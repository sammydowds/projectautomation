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sdowds\Desktop\"/>
    </mc:Choice>
  </mc:AlternateContent>
  <xr:revisionPtr revIDLastSave="0" documentId="8_{0357B749-7239-4778-A060-CB2332CB6522}" xr6:coauthVersionLast="41" xr6:coauthVersionMax="41" xr10:uidLastSave="{00000000-0000-0000-0000-000000000000}"/>
  <bookViews>
    <workbookView xWindow="-108" yWindow="-108" windowWidth="23256" windowHeight="12576" tabRatio="420" firstSheet="1" activeTab="1" xr2:uid="{00000000-000D-0000-FFFF-FFFF00000000}"/>
  </bookViews>
  <sheets>
    <sheet name="Graphical Overview" sheetId="1" r:id="rId1"/>
    <sheet name="Data" sheetId="2" r:id="rId2"/>
    <sheet name="Key" sheetId="6" state="hidden" r:id="rId3"/>
    <sheet name="WK Conversion" sheetId="3" r:id="rId4"/>
    <sheet name="Acieta Calendar" sheetId="4" r:id="rId5"/>
  </sheets>
  <definedNames>
    <definedName name="_xlnm._FilterDatabase" localSheetId="1" hidden="1">Data!$A$3:$Z$62</definedName>
    <definedName name="_xlnm._FilterDatabase" localSheetId="0" hidden="1">'Graphical Overview'!$A$6:$CR$38</definedName>
    <definedName name="_xlnm._FilterDatabase" localSheetId="2" hidden="1">Key!$A$6:$A$8</definedName>
    <definedName name="_xlnm._FilterDatabase" localSheetId="3" hidden="1">'WK Conversion'!$A$6:$BD$25</definedName>
    <definedName name="Locator">Data!$LCB$524280</definedName>
    <definedName name="_xlnm.Print_Area" localSheetId="4">'Acieta Calendar'!$A$1:$AI$1</definedName>
    <definedName name="_xlnm.Print_Area" localSheetId="1">Data!$B$2:$Y$61</definedName>
    <definedName name="_xlnm.Print_Area" localSheetId="0">'Graphical Overview'!$A$1:$CF$92</definedName>
    <definedName name="_xlnm.Print_Area" localSheetId="3">'WK Conversion'!$A$1:$BD$25</definedName>
    <definedName name="_xlnm.Print_Titles" localSheetId="1">Data!$1:$3</definedName>
    <definedName name="_xlnm.Print_Titles" localSheetId="0">'Graphical Overview'!$1:$6</definedName>
    <definedName name="TDate">TODAY()</definedName>
    <definedName name="Z_331C22F3_3A53_4065_9E9B_D58177FA8FE9_.wvu.FilterData" localSheetId="1" hidden="1">Data!$B$3:$AD$6</definedName>
    <definedName name="Z_43E90341_4154_4674_BA7F_0610C2DC13A8_.wvu.FilterData" localSheetId="1" hidden="1">Data!$B$3:$AD$6</definedName>
    <definedName name="Z_45679FD1_D604_47CD_8880_C314827B1D64_.wvu.FilterData" localSheetId="1" hidden="1">Data!$B$3:$AD$6</definedName>
    <definedName name="Z_545F1728_5E8F_4FD8_8D0A_A45F96038C4D_.wvu.FilterData" localSheetId="1" hidden="1">Data!$B$3:$AD$6</definedName>
    <definedName name="Z_7A9BF10A_C904_4CA3_8CB2_38F25CEFF910_.wvu.FilterData" localSheetId="1" hidden="1">Data!$B$3:$AD$6</definedName>
    <definedName name="Z_BC444CD9_6086_4907_B31E_64AF43D7BDC9_.wvu.FilterData" localSheetId="1" hidden="1">Data!$B$3:$AD$6</definedName>
    <definedName name="Z_D7EAD319_F587_455F_8FDB_124B57BF5038_.wvu.FilterData" localSheetId="1" hidden="1">Data!$B$3:$AD$6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Q51" i="2" l="1"/>
  <c r="BF51" i="2"/>
  <c r="AU51" i="2"/>
  <c r="AJ51" i="2"/>
  <c r="T13" i="2" l="1"/>
  <c r="T56" i="2" l="1"/>
  <c r="BQ50" i="2" l="1"/>
  <c r="BF50" i="2"/>
  <c r="AU50" i="2"/>
  <c r="AJ50" i="2"/>
  <c r="BQ49" i="2"/>
  <c r="BF49" i="2"/>
  <c r="AU49" i="2"/>
  <c r="AJ49" i="2"/>
  <c r="T55" i="2" l="1"/>
  <c r="B2" i="2" l="1"/>
  <c r="AJ20" i="2" l="1"/>
  <c r="D16" i="3" s="1"/>
  <c r="D18" i="3"/>
  <c r="AU20" i="2"/>
  <c r="R14" i="1" s="1"/>
  <c r="O18" i="3"/>
  <c r="O17" i="3"/>
  <c r="BD24" i="3"/>
  <c r="BC24" i="3"/>
  <c r="BB24" i="3"/>
  <c r="BA24" i="3"/>
  <c r="AZ24" i="3"/>
  <c r="AY24" i="3"/>
  <c r="AX24" i="3"/>
  <c r="AV24" i="3"/>
  <c r="AU24" i="3"/>
  <c r="AT24" i="3"/>
  <c r="AS24" i="3"/>
  <c r="AR24" i="3"/>
  <c r="AQ24" i="3"/>
  <c r="AP24" i="3"/>
  <c r="AO24" i="3"/>
  <c r="AN24" i="3"/>
  <c r="AM24" i="3"/>
  <c r="AL24" i="3"/>
  <c r="AJ24" i="3"/>
  <c r="AI24" i="3"/>
  <c r="AH24" i="3"/>
  <c r="AG24" i="3"/>
  <c r="AF24" i="3"/>
  <c r="AE24" i="3"/>
  <c r="AD24" i="3"/>
  <c r="AC24" i="3"/>
  <c r="AB24" i="3"/>
  <c r="AA24" i="3"/>
  <c r="Y24" i="3"/>
  <c r="X24" i="3"/>
  <c r="W24" i="3"/>
  <c r="V24" i="3"/>
  <c r="U24" i="3"/>
  <c r="T24" i="3"/>
  <c r="S24" i="3"/>
  <c r="R24" i="3"/>
  <c r="Q24" i="3"/>
  <c r="P24" i="3"/>
  <c r="N24" i="3"/>
  <c r="M24" i="3"/>
  <c r="L24" i="3"/>
  <c r="K24" i="3"/>
  <c r="J24" i="3"/>
  <c r="I24" i="3"/>
  <c r="H24" i="3"/>
  <c r="G24" i="3"/>
  <c r="F24" i="3"/>
  <c r="E24" i="3"/>
  <c r="C24" i="3"/>
  <c r="B24" i="3"/>
  <c r="A24" i="3"/>
  <c r="AY22" i="1"/>
  <c r="AX22" i="1"/>
  <c r="AW22" i="1"/>
  <c r="AV22" i="1"/>
  <c r="AU22" i="1"/>
  <c r="AT22" i="1"/>
  <c r="AS22" i="1"/>
  <c r="AR22" i="1"/>
  <c r="AQ22" i="1"/>
  <c r="AP22" i="1"/>
  <c r="AO22" i="1"/>
  <c r="AM22" i="1"/>
  <c r="AL22" i="1"/>
  <c r="AK22" i="1"/>
  <c r="AJ22" i="1"/>
  <c r="AI22" i="1"/>
  <c r="AH22" i="1"/>
  <c r="AG22" i="1"/>
  <c r="AF22" i="1"/>
  <c r="AE22" i="1"/>
  <c r="AD22" i="1"/>
  <c r="AB22" i="1"/>
  <c r="AA22" i="1"/>
  <c r="Z22" i="1"/>
  <c r="Y22" i="1"/>
  <c r="X22" i="1"/>
  <c r="W22" i="1"/>
  <c r="V22" i="1"/>
  <c r="U22" i="1"/>
  <c r="T22" i="1"/>
  <c r="S22" i="1"/>
  <c r="Q22" i="1"/>
  <c r="P22" i="1"/>
  <c r="O22" i="1"/>
  <c r="N22" i="1"/>
  <c r="M22" i="1"/>
  <c r="L22" i="1"/>
  <c r="K22" i="1"/>
  <c r="J22" i="1"/>
  <c r="I22" i="1"/>
  <c r="H22" i="1"/>
  <c r="G22" i="1" s="1"/>
  <c r="F22" i="1"/>
  <c r="E22" i="1"/>
  <c r="D22" i="1"/>
  <c r="C22" i="1"/>
  <c r="B22" i="1"/>
  <c r="A22" i="1"/>
  <c r="BD11" i="3"/>
  <c r="BC11" i="3"/>
  <c r="BB11" i="3"/>
  <c r="BA11" i="3"/>
  <c r="AZ11" i="3"/>
  <c r="AY11" i="3"/>
  <c r="AX11" i="3"/>
  <c r="AW11" i="3"/>
  <c r="AV11" i="3"/>
  <c r="AU11" i="3"/>
  <c r="AT11" i="3"/>
  <c r="AS11" i="3"/>
  <c r="AR11" i="3"/>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B11" i="3"/>
  <c r="A11"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B7" i="3"/>
  <c r="A7" i="3"/>
  <c r="AZ24" i="1"/>
  <c r="AY24" i="1"/>
  <c r="AX24" i="1"/>
  <c r="AW24" i="1"/>
  <c r="AV24" i="1"/>
  <c r="AU24" i="1"/>
  <c r="AT24" i="1"/>
  <c r="AS24" i="1"/>
  <c r="AR24" i="1"/>
  <c r="AQ24" i="1"/>
  <c r="AP24" i="1"/>
  <c r="AO24" i="1"/>
  <c r="AN24" i="1"/>
  <c r="AM24" i="1"/>
  <c r="AL24" i="1"/>
  <c r="AK24" i="1"/>
  <c r="AJ24" i="1"/>
  <c r="AI24" i="1"/>
  <c r="AH24" i="1"/>
  <c r="AG24" i="1"/>
  <c r="AF24" i="1"/>
  <c r="AE24" i="1"/>
  <c r="AD24" i="1"/>
  <c r="AC24" i="1"/>
  <c r="AB24" i="1"/>
  <c r="AA24" i="1"/>
  <c r="Z24" i="1"/>
  <c r="Y24" i="1"/>
  <c r="X24" i="1"/>
  <c r="W24" i="1"/>
  <c r="V24" i="1"/>
  <c r="U24" i="1"/>
  <c r="T24" i="1"/>
  <c r="S24" i="1"/>
  <c r="R24" i="1"/>
  <c r="Q24" i="1"/>
  <c r="P24" i="1"/>
  <c r="O24" i="1"/>
  <c r="N24" i="1"/>
  <c r="M24" i="1"/>
  <c r="L24" i="1"/>
  <c r="K24" i="1"/>
  <c r="J24" i="1"/>
  <c r="I24" i="1"/>
  <c r="H24" i="1"/>
  <c r="G24" i="1" s="1"/>
  <c r="F24" i="1"/>
  <c r="E24" i="1"/>
  <c r="D24" i="1"/>
  <c r="C24" i="1"/>
  <c r="B24" i="1"/>
  <c r="A24" i="1"/>
  <c r="AY11" i="1"/>
  <c r="AX11" i="1"/>
  <c r="AW11" i="1"/>
  <c r="AV11" i="1"/>
  <c r="AU11" i="1"/>
  <c r="AT11" i="1"/>
  <c r="AS11" i="1"/>
  <c r="AR11" i="1"/>
  <c r="AQ11" i="1"/>
  <c r="AP11" i="1"/>
  <c r="AO11" i="1"/>
  <c r="AM11" i="1"/>
  <c r="AL11" i="1"/>
  <c r="AK11" i="1"/>
  <c r="AJ11" i="1"/>
  <c r="AI11" i="1"/>
  <c r="AH11" i="1"/>
  <c r="AG11" i="1"/>
  <c r="AF11" i="1"/>
  <c r="AE11" i="1"/>
  <c r="AD11" i="1"/>
  <c r="AB11" i="1"/>
  <c r="AA11" i="1"/>
  <c r="Z11" i="1"/>
  <c r="Y11" i="1"/>
  <c r="X11" i="1"/>
  <c r="W11" i="1"/>
  <c r="V11" i="1"/>
  <c r="U11" i="1"/>
  <c r="T11" i="1"/>
  <c r="S11" i="1"/>
  <c r="Q11" i="1"/>
  <c r="P11" i="1"/>
  <c r="O11" i="1"/>
  <c r="N11" i="1"/>
  <c r="M11" i="1"/>
  <c r="L11" i="1"/>
  <c r="K11" i="1"/>
  <c r="J11" i="1"/>
  <c r="I11" i="1"/>
  <c r="H11" i="1"/>
  <c r="G11" i="1" s="1"/>
  <c r="F11" i="1"/>
  <c r="E11" i="1"/>
  <c r="D11" i="1"/>
  <c r="C11" i="1"/>
  <c r="B11" i="1"/>
  <c r="A11" i="1"/>
  <c r="BD23" i="3"/>
  <c r="BC23" i="3"/>
  <c r="BB23" i="3"/>
  <c r="BA23" i="3"/>
  <c r="AZ23" i="3"/>
  <c r="AY23" i="3"/>
  <c r="AX23" i="3"/>
  <c r="AW23" i="3"/>
  <c r="AV23" i="3"/>
  <c r="AU23" i="3"/>
  <c r="AT23" i="3"/>
  <c r="AS23" i="3"/>
  <c r="AR23" i="3"/>
  <c r="AQ23" i="3"/>
  <c r="AP23" i="3"/>
  <c r="AO23" i="3"/>
  <c r="AN23" i="3"/>
  <c r="AM23" i="3"/>
  <c r="AL23" i="3"/>
  <c r="AJ23" i="3"/>
  <c r="AI23" i="3"/>
  <c r="AH23" i="3"/>
  <c r="AG23" i="3"/>
  <c r="AF23" i="3"/>
  <c r="AE23" i="3"/>
  <c r="AD23" i="3"/>
  <c r="AC23" i="3"/>
  <c r="AB23" i="3"/>
  <c r="AA23" i="3"/>
  <c r="Y23" i="3"/>
  <c r="X23" i="3"/>
  <c r="W23" i="3"/>
  <c r="V23" i="3"/>
  <c r="U23" i="3"/>
  <c r="T23" i="3"/>
  <c r="S23" i="3"/>
  <c r="R23" i="3"/>
  <c r="Q23" i="3"/>
  <c r="P23" i="3"/>
  <c r="N23" i="3"/>
  <c r="M23" i="3"/>
  <c r="L23" i="3"/>
  <c r="K23" i="3"/>
  <c r="J23" i="3"/>
  <c r="I23" i="3"/>
  <c r="H23" i="3"/>
  <c r="G23" i="3"/>
  <c r="F23" i="3"/>
  <c r="E23" i="3"/>
  <c r="C23" i="3"/>
  <c r="B23" i="3"/>
  <c r="A23" i="3"/>
  <c r="AZ21" i="1"/>
  <c r="AY21" i="1"/>
  <c r="AX21" i="1"/>
  <c r="AW21" i="1"/>
  <c r="AV21" i="1"/>
  <c r="AU21" i="1"/>
  <c r="AT21" i="1"/>
  <c r="AS21" i="1"/>
  <c r="AR21" i="1"/>
  <c r="AQ21" i="1"/>
  <c r="AP21" i="1"/>
  <c r="AO21" i="1"/>
  <c r="AM21" i="1"/>
  <c r="AL21" i="1"/>
  <c r="AK21" i="1"/>
  <c r="AJ21" i="1"/>
  <c r="AI21" i="1"/>
  <c r="AH21" i="1"/>
  <c r="AG21" i="1"/>
  <c r="AF21" i="1"/>
  <c r="AE21" i="1"/>
  <c r="AD21" i="1"/>
  <c r="AB21" i="1"/>
  <c r="AA21" i="1"/>
  <c r="Z21" i="1"/>
  <c r="Y21" i="1"/>
  <c r="X21" i="1"/>
  <c r="W21" i="1"/>
  <c r="V21" i="1"/>
  <c r="U21" i="1"/>
  <c r="T21" i="1"/>
  <c r="S21" i="1"/>
  <c r="Q21" i="1"/>
  <c r="P21" i="1"/>
  <c r="O21" i="1"/>
  <c r="N21" i="1"/>
  <c r="M21" i="1"/>
  <c r="L21" i="1"/>
  <c r="K21" i="1"/>
  <c r="J21" i="1"/>
  <c r="I21" i="1"/>
  <c r="H21" i="1"/>
  <c r="G21" i="1" s="1"/>
  <c r="F21" i="1"/>
  <c r="E21" i="1"/>
  <c r="D21" i="1"/>
  <c r="C21" i="1"/>
  <c r="B21" i="1"/>
  <c r="A21" i="1"/>
  <c r="BD22" i="3"/>
  <c r="BC22" i="3"/>
  <c r="BB22" i="3"/>
  <c r="BA22" i="3"/>
  <c r="AZ22" i="3"/>
  <c r="AY22" i="3"/>
  <c r="AX22" i="3"/>
  <c r="AV22" i="3"/>
  <c r="AU22" i="3"/>
  <c r="AT22" i="3"/>
  <c r="AS22" i="3"/>
  <c r="AR22" i="3"/>
  <c r="AQ22" i="3"/>
  <c r="AP22" i="3"/>
  <c r="AO22" i="3"/>
  <c r="AN22" i="3"/>
  <c r="AM22" i="3"/>
  <c r="AL22" i="3"/>
  <c r="AJ22" i="3"/>
  <c r="AI22" i="3"/>
  <c r="AH22" i="3"/>
  <c r="AG22" i="3"/>
  <c r="AF22" i="3"/>
  <c r="AE22" i="3"/>
  <c r="AD22" i="3"/>
  <c r="AC22" i="3"/>
  <c r="AB22" i="3"/>
  <c r="AA22" i="3"/>
  <c r="Y22" i="3"/>
  <c r="X22" i="3"/>
  <c r="W22" i="3"/>
  <c r="V22" i="3"/>
  <c r="U22" i="3"/>
  <c r="T22" i="3"/>
  <c r="S22" i="3"/>
  <c r="R22" i="3"/>
  <c r="Q22" i="3"/>
  <c r="P22" i="3"/>
  <c r="N22" i="3"/>
  <c r="M22" i="3"/>
  <c r="L22" i="3"/>
  <c r="K22" i="3"/>
  <c r="J22" i="3"/>
  <c r="I22" i="3"/>
  <c r="H22" i="3"/>
  <c r="G22" i="3"/>
  <c r="F22" i="3"/>
  <c r="E22" i="3"/>
  <c r="C22" i="3"/>
  <c r="B22" i="3"/>
  <c r="A22" i="3"/>
  <c r="AY20" i="1"/>
  <c r="AX20" i="1"/>
  <c r="AW20" i="1"/>
  <c r="AV20" i="1"/>
  <c r="AU20" i="1"/>
  <c r="AT20" i="1"/>
  <c r="AS20" i="1"/>
  <c r="AR20" i="1"/>
  <c r="AQ20" i="1"/>
  <c r="AP20" i="1"/>
  <c r="AO20" i="1"/>
  <c r="AM20" i="1"/>
  <c r="AL20" i="1"/>
  <c r="AK20" i="1"/>
  <c r="AJ20" i="1"/>
  <c r="AI20" i="1"/>
  <c r="AH20" i="1"/>
  <c r="AG20" i="1"/>
  <c r="AF20" i="1"/>
  <c r="AE20" i="1"/>
  <c r="AD20" i="1"/>
  <c r="AB20" i="1"/>
  <c r="AA20" i="1"/>
  <c r="Z20" i="1"/>
  <c r="Y20" i="1"/>
  <c r="X20" i="1"/>
  <c r="W20" i="1"/>
  <c r="V20" i="1"/>
  <c r="U20" i="1"/>
  <c r="T20" i="1"/>
  <c r="S20" i="1"/>
  <c r="Q20" i="1"/>
  <c r="P20" i="1"/>
  <c r="O20" i="1"/>
  <c r="N20" i="1"/>
  <c r="M20" i="1"/>
  <c r="L20" i="1"/>
  <c r="K20" i="1"/>
  <c r="J20" i="1"/>
  <c r="I20" i="1"/>
  <c r="H20" i="1"/>
  <c r="F20" i="1"/>
  <c r="E20" i="1"/>
  <c r="D20" i="1"/>
  <c r="C20" i="1"/>
  <c r="B20" i="1"/>
  <c r="A20" i="1"/>
  <c r="BD25" i="3"/>
  <c r="BC25" i="3"/>
  <c r="BB25" i="3"/>
  <c r="BA25" i="3"/>
  <c r="AZ25" i="3"/>
  <c r="AY25" i="3"/>
  <c r="AX25" i="3"/>
  <c r="AW25" i="3"/>
  <c r="AV25" i="3"/>
  <c r="AU25" i="3"/>
  <c r="AT25" i="3"/>
  <c r="AS25" i="3"/>
  <c r="AR25" i="3"/>
  <c r="AQ25" i="3"/>
  <c r="AP25" i="3"/>
  <c r="AO25" i="3"/>
  <c r="AN25" i="3"/>
  <c r="AM25" i="3"/>
  <c r="AL25" i="3"/>
  <c r="AJ25" i="3"/>
  <c r="AI25" i="3"/>
  <c r="AH25" i="3"/>
  <c r="AG25" i="3"/>
  <c r="AF25" i="3"/>
  <c r="AE25" i="3"/>
  <c r="AD25" i="3"/>
  <c r="AC25" i="3"/>
  <c r="AB25" i="3"/>
  <c r="AA25" i="3"/>
  <c r="Y25" i="3"/>
  <c r="X25" i="3"/>
  <c r="W25" i="3"/>
  <c r="V25" i="3"/>
  <c r="U25" i="3"/>
  <c r="T25" i="3"/>
  <c r="S25" i="3"/>
  <c r="R25" i="3"/>
  <c r="Q25" i="3"/>
  <c r="P25" i="3"/>
  <c r="N25" i="3"/>
  <c r="M25" i="3"/>
  <c r="L25" i="3"/>
  <c r="K25" i="3"/>
  <c r="J25" i="3"/>
  <c r="I25" i="3"/>
  <c r="H25" i="3"/>
  <c r="G25" i="3"/>
  <c r="F25" i="3"/>
  <c r="E25" i="3"/>
  <c r="C25" i="3"/>
  <c r="B25" i="3"/>
  <c r="A25" i="3"/>
  <c r="AZ23" i="1"/>
  <c r="AY23" i="1"/>
  <c r="AX23" i="1"/>
  <c r="AW23" i="1"/>
  <c r="AV23" i="1"/>
  <c r="AU23" i="1"/>
  <c r="AT23" i="1"/>
  <c r="AS23" i="1"/>
  <c r="AR23" i="1"/>
  <c r="AQ23" i="1"/>
  <c r="AP23" i="1"/>
  <c r="AO23" i="1"/>
  <c r="AM23" i="1"/>
  <c r="AL23" i="1"/>
  <c r="AK23" i="1"/>
  <c r="AJ23" i="1"/>
  <c r="AI23" i="1"/>
  <c r="AH23" i="1"/>
  <c r="AG23" i="1"/>
  <c r="AF23" i="1"/>
  <c r="AE23" i="1"/>
  <c r="AD23" i="1"/>
  <c r="AB23" i="1"/>
  <c r="AA23" i="1"/>
  <c r="Z23" i="1"/>
  <c r="Y23" i="1"/>
  <c r="X23" i="1"/>
  <c r="W23" i="1"/>
  <c r="V23" i="1"/>
  <c r="U23" i="1"/>
  <c r="T23" i="1"/>
  <c r="S23" i="1"/>
  <c r="Q23" i="1"/>
  <c r="P23" i="1"/>
  <c r="O23" i="1"/>
  <c r="N23" i="1"/>
  <c r="M23" i="1"/>
  <c r="L23" i="1"/>
  <c r="K23" i="1"/>
  <c r="J23" i="1"/>
  <c r="I23" i="1"/>
  <c r="H23" i="1"/>
  <c r="F23" i="1"/>
  <c r="E23" i="1"/>
  <c r="D23" i="1"/>
  <c r="C23" i="1"/>
  <c r="B23" i="1"/>
  <c r="A23" i="1"/>
  <c r="BD20" i="3"/>
  <c r="BC20" i="3"/>
  <c r="BB20" i="3"/>
  <c r="BA20" i="3"/>
  <c r="AZ20" i="3"/>
  <c r="AY20" i="3"/>
  <c r="AX20" i="3"/>
  <c r="AV20" i="3"/>
  <c r="AU20" i="3"/>
  <c r="AT20" i="3"/>
  <c r="AS20" i="3"/>
  <c r="AR20" i="3"/>
  <c r="AQ20" i="3"/>
  <c r="AP20" i="3"/>
  <c r="AO20" i="3"/>
  <c r="AN20" i="3"/>
  <c r="AM20" i="3"/>
  <c r="AL20" i="3"/>
  <c r="AJ20" i="3"/>
  <c r="AI20" i="3"/>
  <c r="AH20" i="3"/>
  <c r="AG20" i="3"/>
  <c r="AF20" i="3"/>
  <c r="AE20" i="3"/>
  <c r="AD20" i="3"/>
  <c r="AC20" i="3"/>
  <c r="AB20" i="3"/>
  <c r="AA20" i="3"/>
  <c r="Y20" i="3"/>
  <c r="X20" i="3"/>
  <c r="W20" i="3"/>
  <c r="V20" i="3"/>
  <c r="U20" i="3"/>
  <c r="T20" i="3"/>
  <c r="S20" i="3"/>
  <c r="R20" i="3"/>
  <c r="Q20" i="3"/>
  <c r="P20" i="3"/>
  <c r="N20" i="3"/>
  <c r="M20" i="3"/>
  <c r="L20" i="3"/>
  <c r="K20" i="3"/>
  <c r="J20" i="3"/>
  <c r="I20" i="3"/>
  <c r="H20" i="3"/>
  <c r="G20" i="3"/>
  <c r="F20" i="3"/>
  <c r="E20" i="3"/>
  <c r="C20" i="3"/>
  <c r="B20" i="3"/>
  <c r="A20" i="3"/>
  <c r="AY18" i="1"/>
  <c r="AX18" i="1"/>
  <c r="AW18" i="1"/>
  <c r="AV18" i="1"/>
  <c r="AU18" i="1"/>
  <c r="AT18" i="1"/>
  <c r="AS18" i="1"/>
  <c r="AR18" i="1"/>
  <c r="AQ18" i="1"/>
  <c r="AP18" i="1"/>
  <c r="AO18" i="1"/>
  <c r="AM18" i="1"/>
  <c r="AL18" i="1"/>
  <c r="AK18" i="1"/>
  <c r="AJ18" i="1"/>
  <c r="AI18" i="1"/>
  <c r="AH18" i="1"/>
  <c r="AG18" i="1"/>
  <c r="AF18" i="1"/>
  <c r="AE18" i="1"/>
  <c r="AD18" i="1"/>
  <c r="AB18" i="1"/>
  <c r="AA18" i="1"/>
  <c r="Z18" i="1"/>
  <c r="Y18" i="1"/>
  <c r="X18" i="1"/>
  <c r="W18" i="1"/>
  <c r="V18" i="1"/>
  <c r="U18" i="1"/>
  <c r="T18" i="1"/>
  <c r="S18" i="1"/>
  <c r="Q18" i="1"/>
  <c r="P18" i="1"/>
  <c r="O18" i="1"/>
  <c r="N18" i="1"/>
  <c r="M18" i="1"/>
  <c r="L18" i="1"/>
  <c r="K18" i="1"/>
  <c r="J18" i="1"/>
  <c r="I18" i="1"/>
  <c r="H18" i="1"/>
  <c r="G18" i="1" s="1"/>
  <c r="F18" i="1"/>
  <c r="E18" i="1"/>
  <c r="D18" i="1"/>
  <c r="C18" i="1"/>
  <c r="B18" i="1"/>
  <c r="A18" i="1"/>
  <c r="BD21" i="3"/>
  <c r="BC21" i="3"/>
  <c r="BB21" i="3"/>
  <c r="BA21" i="3"/>
  <c r="AZ21" i="3"/>
  <c r="AY21" i="3"/>
  <c r="AX21" i="3"/>
  <c r="AV21" i="3"/>
  <c r="AU21" i="3"/>
  <c r="AT21" i="3"/>
  <c r="AS21" i="3"/>
  <c r="AR21" i="3"/>
  <c r="AQ21" i="3"/>
  <c r="AP21" i="3"/>
  <c r="AO21" i="3"/>
  <c r="AN21" i="3"/>
  <c r="AM21" i="3"/>
  <c r="AL21" i="3"/>
  <c r="AJ21" i="3"/>
  <c r="AI21" i="3"/>
  <c r="AH21" i="3"/>
  <c r="AG21" i="3"/>
  <c r="AF21" i="3"/>
  <c r="AE21" i="3"/>
  <c r="AD21" i="3"/>
  <c r="AC21" i="3"/>
  <c r="AB21" i="3"/>
  <c r="AA21" i="3"/>
  <c r="Y21" i="3"/>
  <c r="X21" i="3"/>
  <c r="W21" i="3"/>
  <c r="V21" i="3"/>
  <c r="U21" i="3"/>
  <c r="T21" i="3"/>
  <c r="S21" i="3"/>
  <c r="R21" i="3"/>
  <c r="Q21" i="3"/>
  <c r="P21" i="3"/>
  <c r="N21" i="3"/>
  <c r="M21" i="3"/>
  <c r="L21" i="3"/>
  <c r="K21" i="3"/>
  <c r="J21" i="3"/>
  <c r="I21" i="3"/>
  <c r="H21" i="3"/>
  <c r="G21" i="3"/>
  <c r="F21" i="3"/>
  <c r="E21" i="3"/>
  <c r="C21" i="3"/>
  <c r="B21" i="3"/>
  <c r="A21" i="3"/>
  <c r="AY19" i="1"/>
  <c r="AX19" i="1"/>
  <c r="AW19" i="1"/>
  <c r="AV19" i="1"/>
  <c r="AU19" i="1"/>
  <c r="AT19" i="1"/>
  <c r="AS19" i="1"/>
  <c r="AR19" i="1"/>
  <c r="AQ19" i="1"/>
  <c r="AP19" i="1"/>
  <c r="AO19" i="1"/>
  <c r="AM19" i="1"/>
  <c r="AL19" i="1"/>
  <c r="AK19" i="1"/>
  <c r="AJ19" i="1"/>
  <c r="AI19" i="1"/>
  <c r="AH19" i="1"/>
  <c r="AG19" i="1"/>
  <c r="AF19" i="1"/>
  <c r="AE19" i="1"/>
  <c r="AD19" i="1"/>
  <c r="AB19" i="1"/>
  <c r="AA19" i="1"/>
  <c r="Z19" i="1"/>
  <c r="Y19" i="1"/>
  <c r="X19" i="1"/>
  <c r="W19" i="1"/>
  <c r="V19" i="1"/>
  <c r="U19" i="1"/>
  <c r="T19" i="1"/>
  <c r="S19" i="1"/>
  <c r="Q19" i="1"/>
  <c r="P19" i="1"/>
  <c r="O19" i="1"/>
  <c r="N19" i="1"/>
  <c r="M19" i="1"/>
  <c r="L19" i="1"/>
  <c r="K19" i="1"/>
  <c r="J19" i="1"/>
  <c r="I19" i="1"/>
  <c r="H19" i="1"/>
  <c r="G19" i="1" s="1"/>
  <c r="F19" i="1"/>
  <c r="E19" i="1"/>
  <c r="D19" i="1"/>
  <c r="C19" i="1"/>
  <c r="B19" i="1"/>
  <c r="A19" i="1"/>
  <c r="BD19" i="3"/>
  <c r="BC19" i="3"/>
  <c r="BB19" i="3"/>
  <c r="BA19" i="3"/>
  <c r="AZ19" i="3"/>
  <c r="AY19" i="3"/>
  <c r="AX19" i="3"/>
  <c r="AV19" i="3"/>
  <c r="AU19" i="3"/>
  <c r="AT19" i="3"/>
  <c r="AS19" i="3"/>
  <c r="AR19" i="3"/>
  <c r="AQ19" i="3"/>
  <c r="AP19" i="3"/>
  <c r="AO19" i="3"/>
  <c r="AN19" i="3"/>
  <c r="AM19" i="3"/>
  <c r="AL19" i="3"/>
  <c r="AJ19" i="3"/>
  <c r="AI19" i="3"/>
  <c r="AH19" i="3"/>
  <c r="AG19" i="3"/>
  <c r="AF19" i="3"/>
  <c r="AE19" i="3"/>
  <c r="AD19" i="3"/>
  <c r="AC19" i="3"/>
  <c r="AB19" i="3"/>
  <c r="AA19" i="3"/>
  <c r="Y19" i="3"/>
  <c r="X19" i="3"/>
  <c r="W19" i="3"/>
  <c r="V19" i="3"/>
  <c r="U19" i="3"/>
  <c r="T19" i="3"/>
  <c r="S19" i="3"/>
  <c r="R19" i="3"/>
  <c r="Q19" i="3"/>
  <c r="P19" i="3"/>
  <c r="N19" i="3"/>
  <c r="M19" i="3"/>
  <c r="L19" i="3"/>
  <c r="K19" i="3"/>
  <c r="J19" i="3"/>
  <c r="I19" i="3"/>
  <c r="H19" i="3"/>
  <c r="G19" i="3"/>
  <c r="F19" i="3"/>
  <c r="E19" i="3"/>
  <c r="C19" i="3"/>
  <c r="B19" i="3"/>
  <c r="A19" i="3"/>
  <c r="BD18" i="3"/>
  <c r="BC18" i="3"/>
  <c r="BB18" i="3"/>
  <c r="BA18" i="3"/>
  <c r="AZ18" i="3"/>
  <c r="AY18" i="3"/>
  <c r="AX18" i="3"/>
  <c r="AV18" i="3"/>
  <c r="AU18" i="3"/>
  <c r="AT18" i="3"/>
  <c r="AS18" i="3"/>
  <c r="AR18" i="3"/>
  <c r="AQ18" i="3"/>
  <c r="AP18" i="3"/>
  <c r="AO18" i="3"/>
  <c r="AN18" i="3"/>
  <c r="AM18" i="3"/>
  <c r="AL18" i="3"/>
  <c r="AJ18" i="3"/>
  <c r="AI18" i="3"/>
  <c r="AH18" i="3"/>
  <c r="AG18" i="3"/>
  <c r="AF18" i="3"/>
  <c r="AE18" i="3"/>
  <c r="AD18" i="3"/>
  <c r="AC18" i="3"/>
  <c r="AB18" i="3"/>
  <c r="AA18" i="3"/>
  <c r="Y18" i="3"/>
  <c r="X18" i="3"/>
  <c r="W18" i="3"/>
  <c r="V18" i="3"/>
  <c r="U18" i="3"/>
  <c r="T18" i="3"/>
  <c r="S18" i="3"/>
  <c r="R18" i="3"/>
  <c r="Q18" i="3"/>
  <c r="P18" i="3"/>
  <c r="N18" i="3"/>
  <c r="M18" i="3"/>
  <c r="L18" i="3"/>
  <c r="K18" i="3"/>
  <c r="J18" i="3"/>
  <c r="I18" i="3"/>
  <c r="H18" i="3"/>
  <c r="G18" i="3"/>
  <c r="F18" i="3"/>
  <c r="E18" i="3"/>
  <c r="C18" i="3"/>
  <c r="B18" i="3"/>
  <c r="A18" i="3"/>
  <c r="AY17" i="1"/>
  <c r="AX17" i="1"/>
  <c r="AW17" i="1"/>
  <c r="AV17" i="1"/>
  <c r="AU17" i="1"/>
  <c r="AT17" i="1"/>
  <c r="AS17" i="1"/>
  <c r="AR17" i="1"/>
  <c r="AQ17" i="1"/>
  <c r="AP17" i="1"/>
  <c r="AO17" i="1"/>
  <c r="AM17" i="1"/>
  <c r="AL17" i="1"/>
  <c r="AK17" i="1"/>
  <c r="AJ17" i="1"/>
  <c r="AI17" i="1"/>
  <c r="AH17" i="1"/>
  <c r="AG17" i="1"/>
  <c r="AF17" i="1"/>
  <c r="AE17" i="1"/>
  <c r="AD17" i="1"/>
  <c r="AB17" i="1"/>
  <c r="AA17" i="1"/>
  <c r="Z17" i="1"/>
  <c r="Y17" i="1"/>
  <c r="X17" i="1"/>
  <c r="W17" i="1"/>
  <c r="V17" i="1"/>
  <c r="U17" i="1"/>
  <c r="T17" i="1"/>
  <c r="S17" i="1"/>
  <c r="Q17" i="1"/>
  <c r="P17" i="1"/>
  <c r="O17" i="1"/>
  <c r="N17" i="1"/>
  <c r="M17" i="1"/>
  <c r="L17" i="1"/>
  <c r="K17" i="1"/>
  <c r="J17" i="1"/>
  <c r="I17" i="1"/>
  <c r="H17" i="1"/>
  <c r="G17" i="1" s="1"/>
  <c r="F17" i="1"/>
  <c r="E17" i="1"/>
  <c r="D17" i="1"/>
  <c r="C17" i="1"/>
  <c r="B17" i="1"/>
  <c r="A17" i="1"/>
  <c r="AY16" i="1"/>
  <c r="AX16" i="1"/>
  <c r="AW16" i="1"/>
  <c r="AV16" i="1"/>
  <c r="AU16" i="1"/>
  <c r="AT16" i="1"/>
  <c r="AS16" i="1"/>
  <c r="AR16" i="1"/>
  <c r="AQ16" i="1"/>
  <c r="AP16" i="1"/>
  <c r="AO16" i="1"/>
  <c r="AM16" i="1"/>
  <c r="AL16" i="1"/>
  <c r="AK16" i="1"/>
  <c r="AJ16" i="1"/>
  <c r="AI16" i="1"/>
  <c r="AH16" i="1"/>
  <c r="AG16" i="1"/>
  <c r="AF16" i="1"/>
  <c r="AE16" i="1"/>
  <c r="AD16" i="1"/>
  <c r="AB16" i="1"/>
  <c r="AA16" i="1"/>
  <c r="Z16" i="1"/>
  <c r="Y16" i="1"/>
  <c r="X16" i="1"/>
  <c r="W16" i="1"/>
  <c r="V16" i="1"/>
  <c r="U16" i="1"/>
  <c r="T16" i="1"/>
  <c r="S16" i="1"/>
  <c r="Q16" i="1"/>
  <c r="P16" i="1"/>
  <c r="O16" i="1"/>
  <c r="N16" i="1"/>
  <c r="M16" i="1"/>
  <c r="L16" i="1"/>
  <c r="K16" i="1"/>
  <c r="J16" i="1"/>
  <c r="I16" i="1"/>
  <c r="H16" i="1"/>
  <c r="G16" i="1" s="1"/>
  <c r="F16" i="1"/>
  <c r="E16" i="1"/>
  <c r="D16" i="1"/>
  <c r="C16" i="1"/>
  <c r="B16" i="1"/>
  <c r="A16" i="1"/>
  <c r="R46" i="4"/>
  <c r="R47" i="4" s="1"/>
  <c r="S41" i="4" s="1"/>
  <c r="S42" i="4" s="1"/>
  <c r="S43" i="4" s="1"/>
  <c r="S44" i="4" s="1"/>
  <c r="S45" i="4" s="1"/>
  <c r="S46" i="4" s="1"/>
  <c r="S47" i="4" s="1"/>
  <c r="T41" i="4" s="1"/>
  <c r="T42" i="4" s="1"/>
  <c r="T43" i="4" s="1"/>
  <c r="T44" i="4" s="1"/>
  <c r="T45" i="4" s="1"/>
  <c r="T46" i="4" s="1"/>
  <c r="T47" i="4" s="1"/>
  <c r="U41" i="4" s="1"/>
  <c r="U42" i="4" s="1"/>
  <c r="U43" i="4" s="1"/>
  <c r="U44" i="4" s="1"/>
  <c r="U45" i="4" s="1"/>
  <c r="U46" i="4" s="1"/>
  <c r="U47" i="4" s="1"/>
  <c r="V41" i="4" s="1"/>
  <c r="V42" i="4" s="1"/>
  <c r="V43" i="4" s="1"/>
  <c r="V44" i="4" s="1"/>
  <c r="V45" i="4" s="1"/>
  <c r="V46" i="4" s="1"/>
  <c r="V47" i="4" s="1"/>
  <c r="W41" i="4" s="1"/>
  <c r="C46" i="4"/>
  <c r="C47" i="4" s="1"/>
  <c r="D41" i="4" s="1"/>
  <c r="D42" i="4" s="1"/>
  <c r="D43" i="4" s="1"/>
  <c r="D44" i="4" s="1"/>
  <c r="D45" i="4" s="1"/>
  <c r="D46" i="4" s="1"/>
  <c r="D47" i="4" s="1"/>
  <c r="E41" i="4" s="1"/>
  <c r="E42" i="4" s="1"/>
  <c r="E43" i="4" s="1"/>
  <c r="E44" i="4" s="1"/>
  <c r="E45" i="4" s="1"/>
  <c r="E46" i="4" s="1"/>
  <c r="E47" i="4" s="1"/>
  <c r="F41" i="4" s="1"/>
  <c r="F42" i="4" s="1"/>
  <c r="F43" i="4" s="1"/>
  <c r="F44" i="4" s="1"/>
  <c r="F45" i="4" s="1"/>
  <c r="F46" i="4" s="1"/>
  <c r="F47" i="4" s="1"/>
  <c r="G41" i="4" s="1"/>
  <c r="G42" i="4" s="1"/>
  <c r="G43" i="4" s="1"/>
  <c r="G44" i="4" s="1"/>
  <c r="G45" i="4" s="1"/>
  <c r="G46" i="4" s="1"/>
  <c r="G47" i="4" s="1"/>
  <c r="AC44" i="4"/>
  <c r="AC45" i="4" s="1"/>
  <c r="AC46" i="4" s="1"/>
  <c r="AC47" i="4" s="1"/>
  <c r="AD41" i="4" s="1"/>
  <c r="AD42" i="4" s="1"/>
  <c r="AD43" i="4" s="1"/>
  <c r="AD44" i="4" s="1"/>
  <c r="AD45" i="4" s="1"/>
  <c r="AD46" i="4" s="1"/>
  <c r="AD47" i="4" s="1"/>
  <c r="AE41" i="4" s="1"/>
  <c r="AE42" i="4" s="1"/>
  <c r="AE43" i="4" s="1"/>
  <c r="AE44" i="4" s="1"/>
  <c r="AE45" i="4" s="1"/>
  <c r="AE46" i="4" s="1"/>
  <c r="AE47" i="4" s="1"/>
  <c r="AF41" i="4" s="1"/>
  <c r="AF42" i="4" s="1"/>
  <c r="AF43" i="4" s="1"/>
  <c r="AF44" i="4" s="1"/>
  <c r="AF45" i="4" s="1"/>
  <c r="AF46" i="4" s="1"/>
  <c r="AF47" i="4" s="1"/>
  <c r="AG41" i="4" s="1"/>
  <c r="AG42" i="4" s="1"/>
  <c r="AG43" i="4" s="1"/>
  <c r="AG44" i="4" s="1"/>
  <c r="AG45" i="4" s="1"/>
  <c r="AG46" i="4" s="1"/>
  <c r="M44" i="4"/>
  <c r="M45" i="4" s="1"/>
  <c r="M46" i="4" s="1"/>
  <c r="M47" i="4" s="1"/>
  <c r="N41" i="4" s="1"/>
  <c r="N42" i="4" s="1"/>
  <c r="N43" i="4" s="1"/>
  <c r="N44" i="4" s="1"/>
  <c r="N45" i="4" s="1"/>
  <c r="N46" i="4" s="1"/>
  <c r="N47" i="4" s="1"/>
  <c r="O41" i="4" s="1"/>
  <c r="O42" i="4" s="1"/>
  <c r="O43" i="4" s="1"/>
  <c r="O44" i="4" s="1"/>
  <c r="O45" i="4" s="1"/>
  <c r="O46" i="4" s="1"/>
  <c r="O47" i="4" s="1"/>
  <c r="P41" i="4" s="1"/>
  <c r="P42" i="4" s="1"/>
  <c r="P43" i="4" s="1"/>
  <c r="P44" i="4" s="1"/>
  <c r="P45" i="4" s="1"/>
  <c r="P46" i="4" s="1"/>
  <c r="P47" i="4" s="1"/>
  <c r="Q41" i="4" s="1"/>
  <c r="Q42" i="4" s="1"/>
  <c r="Q43" i="4" s="1"/>
  <c r="Q44" i="4" s="1"/>
  <c r="Q45" i="4" s="1"/>
  <c r="X42" i="4"/>
  <c r="X43" i="4" s="1"/>
  <c r="X44" i="4" s="1"/>
  <c r="X45" i="4" s="1"/>
  <c r="X46" i="4" s="1"/>
  <c r="X47" i="4" s="1"/>
  <c r="Y41" i="4" s="1"/>
  <c r="Y42" i="4" s="1"/>
  <c r="Y43" i="4" s="1"/>
  <c r="Y44" i="4" s="1"/>
  <c r="Y45" i="4" s="1"/>
  <c r="Y46" i="4" s="1"/>
  <c r="Y47" i="4" s="1"/>
  <c r="Z41" i="4" s="1"/>
  <c r="Z42" i="4" s="1"/>
  <c r="Z43" i="4" s="1"/>
  <c r="Z44" i="4" s="1"/>
  <c r="Z45" i="4" s="1"/>
  <c r="Z46" i="4" s="1"/>
  <c r="Z47" i="4" s="1"/>
  <c r="AA41" i="4" s="1"/>
  <c r="AA42" i="4" s="1"/>
  <c r="AA43" i="4" s="1"/>
  <c r="AA44" i="4" s="1"/>
  <c r="AA45" i="4" s="1"/>
  <c r="AA46" i="4" s="1"/>
  <c r="AA47" i="4" s="1"/>
  <c r="AB41" i="4" s="1"/>
  <c r="AB42" i="4" s="1"/>
  <c r="AB43" i="4" s="1"/>
  <c r="H42" i="4"/>
  <c r="H43" i="4" s="1"/>
  <c r="H44" i="4" s="1"/>
  <c r="H45" i="4" s="1"/>
  <c r="H46" i="4" s="1"/>
  <c r="H47" i="4" s="1"/>
  <c r="I41" i="4" s="1"/>
  <c r="I42" i="4" s="1"/>
  <c r="I43" i="4" s="1"/>
  <c r="I44" i="4" s="1"/>
  <c r="I45" i="4" s="1"/>
  <c r="I46" i="4" s="1"/>
  <c r="I47" i="4" s="1"/>
  <c r="J41" i="4" s="1"/>
  <c r="J42" i="4" s="1"/>
  <c r="J43" i="4" s="1"/>
  <c r="J44" i="4" s="1"/>
  <c r="J45" i="4" s="1"/>
  <c r="J46" i="4" s="1"/>
  <c r="J47" i="4" s="1"/>
  <c r="K41" i="4" s="1"/>
  <c r="K42" i="4" s="1"/>
  <c r="K43" i="4" s="1"/>
  <c r="K44" i="4" s="1"/>
  <c r="K45" i="4" s="1"/>
  <c r="K46" i="4" s="1"/>
  <c r="K47" i="4" s="1"/>
  <c r="L41" i="4" s="1"/>
  <c r="L42" i="4" s="1"/>
  <c r="L43" i="4" s="1"/>
  <c r="AD40" i="4"/>
  <c r="AE40" i="4" s="1"/>
  <c r="AF40" i="4" s="1"/>
  <c r="Y40" i="4"/>
  <c r="Z40" i="4" s="1"/>
  <c r="AA40" i="4" s="1"/>
  <c r="AB40" i="4" s="1"/>
  <c r="S40" i="4"/>
  <c r="T40" i="4" s="1"/>
  <c r="U40" i="4" s="1"/>
  <c r="V40" i="4" s="1"/>
  <c r="W40" i="4" s="1"/>
  <c r="N40" i="4"/>
  <c r="O40" i="4" s="1"/>
  <c r="P40" i="4" s="1"/>
  <c r="Q40" i="4" s="1"/>
  <c r="I40" i="4"/>
  <c r="J40" i="4" s="1"/>
  <c r="K40" i="4" s="1"/>
  <c r="L40" i="4" s="1"/>
  <c r="D40" i="4"/>
  <c r="E40" i="4" s="1"/>
  <c r="F40" i="4" s="1"/>
  <c r="G40" i="4" s="1"/>
  <c r="R36" i="4"/>
  <c r="R37" i="4" s="1"/>
  <c r="S31" i="4" s="1"/>
  <c r="S32" i="4" s="1"/>
  <c r="S33" i="4" s="1"/>
  <c r="S34" i="4" s="1"/>
  <c r="S35" i="4" s="1"/>
  <c r="S36" i="4" s="1"/>
  <c r="S37" i="4" s="1"/>
  <c r="T31" i="4" s="1"/>
  <c r="T32" i="4" s="1"/>
  <c r="T33" i="4" s="1"/>
  <c r="T34" i="4" s="1"/>
  <c r="T35" i="4" s="1"/>
  <c r="T36" i="4" s="1"/>
  <c r="T37" i="4" s="1"/>
  <c r="U31" i="4" s="1"/>
  <c r="U32" i="4" s="1"/>
  <c r="U33" i="4" s="1"/>
  <c r="U34" i="4" s="1"/>
  <c r="U35" i="4" s="1"/>
  <c r="U36" i="4" s="1"/>
  <c r="U37" i="4" s="1"/>
  <c r="V31" i="4" s="1"/>
  <c r="V32" i="4" s="1"/>
  <c r="V33" i="4" s="1"/>
  <c r="V34" i="4" s="1"/>
  <c r="V35" i="4" s="1"/>
  <c r="V36" i="4" s="1"/>
  <c r="C36" i="4"/>
  <c r="C37" i="4" s="1"/>
  <c r="D31" i="4" s="1"/>
  <c r="D32" i="4" s="1"/>
  <c r="D33" i="4" s="1"/>
  <c r="D34" i="4" s="1"/>
  <c r="D35" i="4" s="1"/>
  <c r="D36" i="4" s="1"/>
  <c r="D37" i="4" s="1"/>
  <c r="E31" i="4" s="1"/>
  <c r="E32" i="4" s="1"/>
  <c r="E33" i="4" s="1"/>
  <c r="E34" i="4" s="1"/>
  <c r="E35" i="4" s="1"/>
  <c r="E36" i="4" s="1"/>
  <c r="E37" i="4" s="1"/>
  <c r="F31" i="4" s="1"/>
  <c r="F32" i="4" s="1"/>
  <c r="F33" i="4" s="1"/>
  <c r="F34" i="4" s="1"/>
  <c r="F35" i="4" s="1"/>
  <c r="F36" i="4" s="1"/>
  <c r="F37" i="4" s="1"/>
  <c r="G31" i="4" s="1"/>
  <c r="G32" i="4" s="1"/>
  <c r="G33" i="4" s="1"/>
  <c r="G34" i="4" s="1"/>
  <c r="G35" i="4" s="1"/>
  <c r="G36" i="4" s="1"/>
  <c r="G37" i="4" s="1"/>
  <c r="AC34" i="4"/>
  <c r="AC35" i="4" s="1"/>
  <c r="AC36" i="4" s="1"/>
  <c r="AC37" i="4" s="1"/>
  <c r="AD31" i="4" s="1"/>
  <c r="AD32" i="4" s="1"/>
  <c r="AD33" i="4" s="1"/>
  <c r="AD34" i="4" s="1"/>
  <c r="AD35" i="4" s="1"/>
  <c r="AD36" i="4" s="1"/>
  <c r="AD37" i="4" s="1"/>
  <c r="AE31" i="4" s="1"/>
  <c r="AE32" i="4" s="1"/>
  <c r="AE33" i="4" s="1"/>
  <c r="AE34" i="4" s="1"/>
  <c r="AE35" i="4" s="1"/>
  <c r="AE36" i="4" s="1"/>
  <c r="AE37" i="4" s="1"/>
  <c r="AF31" i="4" s="1"/>
  <c r="AF32" i="4" s="1"/>
  <c r="AF33" i="4" s="1"/>
  <c r="AF34" i="4" s="1"/>
  <c r="AF35" i="4" s="1"/>
  <c r="AF36" i="4" s="1"/>
  <c r="AF37" i="4" s="1"/>
  <c r="AG31" i="4" s="1"/>
  <c r="AG32" i="4" s="1"/>
  <c r="AG33" i="4" s="1"/>
  <c r="AG34" i="4" s="1"/>
  <c r="M33" i="4"/>
  <c r="M34" i="4" s="1"/>
  <c r="M35" i="4" s="1"/>
  <c r="M36" i="4" s="1"/>
  <c r="M37" i="4" s="1"/>
  <c r="N31" i="4" s="1"/>
  <c r="N32" i="4" s="1"/>
  <c r="N33" i="4" s="1"/>
  <c r="N34" i="4" s="1"/>
  <c r="N35" i="4" s="1"/>
  <c r="N36" i="4" s="1"/>
  <c r="N37" i="4" s="1"/>
  <c r="O31" i="4" s="1"/>
  <c r="O32" i="4" s="1"/>
  <c r="O33" i="4" s="1"/>
  <c r="O34" i="4" s="1"/>
  <c r="O35" i="4" s="1"/>
  <c r="O36" i="4" s="1"/>
  <c r="O37" i="4" s="1"/>
  <c r="P31" i="4" s="1"/>
  <c r="P32" i="4" s="1"/>
  <c r="P33" i="4" s="1"/>
  <c r="P34" i="4" s="1"/>
  <c r="P35" i="4" s="1"/>
  <c r="P36" i="4" s="1"/>
  <c r="P37" i="4" s="1"/>
  <c r="Q31" i="4" s="1"/>
  <c r="Q32" i="4" s="1"/>
  <c r="Q33" i="4" s="1"/>
  <c r="Q34" i="4" s="1"/>
  <c r="H32" i="4"/>
  <c r="H33" i="4" s="1"/>
  <c r="H34" i="4" s="1"/>
  <c r="H35" i="4" s="1"/>
  <c r="H36" i="4" s="1"/>
  <c r="H37" i="4" s="1"/>
  <c r="I31" i="4" s="1"/>
  <c r="I32" i="4" s="1"/>
  <c r="I33" i="4" s="1"/>
  <c r="I34" i="4" s="1"/>
  <c r="I35" i="4" s="1"/>
  <c r="I36" i="4" s="1"/>
  <c r="I37" i="4" s="1"/>
  <c r="J31" i="4" s="1"/>
  <c r="J32" i="4" s="1"/>
  <c r="J33" i="4" s="1"/>
  <c r="J34" i="4" s="1"/>
  <c r="J35" i="4" s="1"/>
  <c r="J36" i="4" s="1"/>
  <c r="J37" i="4" s="1"/>
  <c r="K31" i="4" s="1"/>
  <c r="K32" i="4" s="1"/>
  <c r="K33" i="4" s="1"/>
  <c r="K34" i="4" s="1"/>
  <c r="K35" i="4" s="1"/>
  <c r="K36" i="4" s="1"/>
  <c r="K37" i="4" s="1"/>
  <c r="L31" i="4" s="1"/>
  <c r="X31" i="4"/>
  <c r="X32" i="4" s="1"/>
  <c r="X33" i="4" s="1"/>
  <c r="X34" i="4" s="1"/>
  <c r="X35" i="4" s="1"/>
  <c r="X36" i="4" s="1"/>
  <c r="X37" i="4" s="1"/>
  <c r="Y31" i="4" s="1"/>
  <c r="Y32" i="4" s="1"/>
  <c r="Y33" i="4" s="1"/>
  <c r="Y34" i="4" s="1"/>
  <c r="Y35" i="4" s="1"/>
  <c r="Y36" i="4" s="1"/>
  <c r="Y37" i="4" s="1"/>
  <c r="Z31" i="4" s="1"/>
  <c r="Z32" i="4" s="1"/>
  <c r="Z33" i="4" s="1"/>
  <c r="Z34" i="4" s="1"/>
  <c r="Z35" i="4" s="1"/>
  <c r="Z36" i="4" s="1"/>
  <c r="Z37" i="4" s="1"/>
  <c r="AA31" i="4" s="1"/>
  <c r="AA32" i="4" s="1"/>
  <c r="AA33" i="4" s="1"/>
  <c r="AA34" i="4" s="1"/>
  <c r="AA35" i="4" s="1"/>
  <c r="AA36" i="4" s="1"/>
  <c r="AA37" i="4" s="1"/>
  <c r="AB31" i="4" s="1"/>
  <c r="AB32" i="4" s="1"/>
  <c r="AD30" i="4"/>
  <c r="AE30" i="4" s="1"/>
  <c r="AF30" i="4" s="1"/>
  <c r="AG30" i="4" s="1"/>
  <c r="X30" i="4"/>
  <c r="Y30" i="4" s="1"/>
  <c r="Z30" i="4" s="1"/>
  <c r="AA30" i="4" s="1"/>
  <c r="AB30" i="4" s="1"/>
  <c r="S30" i="4"/>
  <c r="T30" i="4" s="1"/>
  <c r="U30" i="4" s="1"/>
  <c r="V30" i="4" s="1"/>
  <c r="N30" i="4"/>
  <c r="O30" i="4" s="1"/>
  <c r="P30" i="4" s="1"/>
  <c r="Q30" i="4" s="1"/>
  <c r="D30" i="4"/>
  <c r="E30" i="4" s="1"/>
  <c r="F30" i="4" s="1"/>
  <c r="G30" i="4" s="1"/>
  <c r="H30" i="4" s="1"/>
  <c r="I30" i="4" s="1"/>
  <c r="J30" i="4" s="1"/>
  <c r="K30" i="4" s="1"/>
  <c r="L30" i="4" s="1"/>
  <c r="X23" i="4"/>
  <c r="Y17" i="4" s="1"/>
  <c r="Y18" i="4" s="1"/>
  <c r="Y19" i="4" s="1"/>
  <c r="Y20" i="4" s="1"/>
  <c r="Y21" i="4" s="1"/>
  <c r="Y22" i="4" s="1"/>
  <c r="Y23" i="4" s="1"/>
  <c r="Z17" i="4" s="1"/>
  <c r="Z18" i="4" s="1"/>
  <c r="Z19" i="4" s="1"/>
  <c r="Z20" i="4" s="1"/>
  <c r="Z21" i="4" s="1"/>
  <c r="Z22" i="4" s="1"/>
  <c r="Z23" i="4" s="1"/>
  <c r="AA17" i="4" s="1"/>
  <c r="AA18" i="4" s="1"/>
  <c r="AA19" i="4" s="1"/>
  <c r="AA20" i="4" s="1"/>
  <c r="AA21" i="4" s="1"/>
  <c r="AA22" i="4" s="1"/>
  <c r="AA23" i="4" s="1"/>
  <c r="AB17" i="4" s="1"/>
  <c r="AB18" i="4" s="1"/>
  <c r="AB19" i="4" s="1"/>
  <c r="AB20" i="4" s="1"/>
  <c r="AB21" i="4" s="1"/>
  <c r="AB22" i="4" s="1"/>
  <c r="AB23" i="4" s="1"/>
  <c r="AC17" i="4" s="1"/>
  <c r="H22" i="4"/>
  <c r="H23" i="4" s="1"/>
  <c r="I17" i="4" s="1"/>
  <c r="I18" i="4" s="1"/>
  <c r="I19" i="4" s="1"/>
  <c r="I20" i="4" s="1"/>
  <c r="I21" i="4" s="1"/>
  <c r="I22" i="4" s="1"/>
  <c r="I23" i="4" s="1"/>
  <c r="J17" i="4" s="1"/>
  <c r="J18" i="4" s="1"/>
  <c r="J19" i="4" s="1"/>
  <c r="J20" i="4" s="1"/>
  <c r="J21" i="4" s="1"/>
  <c r="J22" i="4" s="1"/>
  <c r="J23" i="4" s="1"/>
  <c r="K17" i="4" s="1"/>
  <c r="K18" i="4" s="1"/>
  <c r="K19" i="4" s="1"/>
  <c r="K20" i="4" s="1"/>
  <c r="K21" i="4" s="1"/>
  <c r="K22" i="4" s="1"/>
  <c r="K23" i="4" s="1"/>
  <c r="L17" i="4" s="1"/>
  <c r="L18" i="4" s="1"/>
  <c r="L19" i="4" s="1"/>
  <c r="L20" i="4" s="1"/>
  <c r="L21" i="4" s="1"/>
  <c r="L22" i="4" s="1"/>
  <c r="L23" i="4" s="1"/>
  <c r="M17" i="4" s="1"/>
  <c r="S20" i="4"/>
  <c r="S21" i="4" s="1"/>
  <c r="S22" i="4" s="1"/>
  <c r="S23" i="4" s="1"/>
  <c r="T17" i="4" s="1"/>
  <c r="T18" i="4" s="1"/>
  <c r="T19" i="4" s="1"/>
  <c r="T20" i="4" s="1"/>
  <c r="T21" i="4" s="1"/>
  <c r="T22" i="4" s="1"/>
  <c r="T23" i="4" s="1"/>
  <c r="U17" i="4" s="1"/>
  <c r="U18" i="4" s="1"/>
  <c r="U19" i="4" s="1"/>
  <c r="U20" i="4" s="1"/>
  <c r="U21" i="4" s="1"/>
  <c r="U22" i="4" s="1"/>
  <c r="U23" i="4" s="1"/>
  <c r="V17" i="4" s="1"/>
  <c r="V18" i="4" s="1"/>
  <c r="V19" i="4" s="1"/>
  <c r="V20" i="4" s="1"/>
  <c r="V21" i="4" s="1"/>
  <c r="V22" i="4" s="1"/>
  <c r="V23" i="4" s="1"/>
  <c r="W17" i="4" s="1"/>
  <c r="W18" i="4" s="1"/>
  <c r="W19" i="4" s="1"/>
  <c r="W20" i="4" s="1"/>
  <c r="W21" i="4" s="1"/>
  <c r="C19" i="4"/>
  <c r="C20" i="4" s="1"/>
  <c r="C21" i="4" s="1"/>
  <c r="C22" i="4" s="1"/>
  <c r="C23" i="4" s="1"/>
  <c r="D17" i="4" s="1"/>
  <c r="D18" i="4" s="1"/>
  <c r="D19" i="4" s="1"/>
  <c r="D20" i="4" s="1"/>
  <c r="D21" i="4" s="1"/>
  <c r="D22" i="4" s="1"/>
  <c r="D23" i="4" s="1"/>
  <c r="E17" i="4" s="1"/>
  <c r="E18" i="4" s="1"/>
  <c r="E19" i="4" s="1"/>
  <c r="E20" i="4" s="1"/>
  <c r="E21" i="4" s="1"/>
  <c r="E22" i="4" s="1"/>
  <c r="E23" i="4" s="1"/>
  <c r="F17" i="4" s="1"/>
  <c r="F18" i="4" s="1"/>
  <c r="F19" i="4" s="1"/>
  <c r="F20" i="4" s="1"/>
  <c r="F21" i="4" s="1"/>
  <c r="F22" i="4" s="1"/>
  <c r="F23" i="4" s="1"/>
  <c r="G17" i="4" s="1"/>
  <c r="G18" i="4" s="1"/>
  <c r="G19" i="4" s="1"/>
  <c r="G20" i="4" s="1"/>
  <c r="AD18" i="4"/>
  <c r="AD19" i="4" s="1"/>
  <c r="AD20" i="4" s="1"/>
  <c r="AD21" i="4" s="1"/>
  <c r="AD22" i="4" s="1"/>
  <c r="AD23" i="4" s="1"/>
  <c r="AE17" i="4" s="1"/>
  <c r="AE18" i="4" s="1"/>
  <c r="AE19" i="4" s="1"/>
  <c r="AE20" i="4" s="1"/>
  <c r="AE21" i="4" s="1"/>
  <c r="AE22" i="4" s="1"/>
  <c r="AE23" i="4" s="1"/>
  <c r="AF17" i="4" s="1"/>
  <c r="AF18" i="4" s="1"/>
  <c r="AF19" i="4" s="1"/>
  <c r="AF20" i="4" s="1"/>
  <c r="AF21" i="4" s="1"/>
  <c r="AF22" i="4" s="1"/>
  <c r="AF23" i="4" s="1"/>
  <c r="AG17" i="4" s="1"/>
  <c r="AG18" i="4" s="1"/>
  <c r="AG19" i="4" s="1"/>
  <c r="AG20" i="4" s="1"/>
  <c r="AG21" i="4" s="1"/>
  <c r="AG22" i="4" s="1"/>
  <c r="AG23" i="4" s="1"/>
  <c r="AH17" i="4" s="1"/>
  <c r="AH18" i="4" s="1"/>
  <c r="AH19" i="4" s="1"/>
  <c r="N18" i="4"/>
  <c r="N19" i="4" s="1"/>
  <c r="N20" i="4" s="1"/>
  <c r="N21" i="4" s="1"/>
  <c r="N22" i="4" s="1"/>
  <c r="N23" i="4" s="1"/>
  <c r="O17" i="4" s="1"/>
  <c r="O18" i="4" s="1"/>
  <c r="O19" i="4" s="1"/>
  <c r="O20" i="4" s="1"/>
  <c r="O21" i="4" s="1"/>
  <c r="O22" i="4" s="1"/>
  <c r="O23" i="4" s="1"/>
  <c r="P17" i="4" s="1"/>
  <c r="P18" i="4" s="1"/>
  <c r="P19" i="4" s="1"/>
  <c r="P20" i="4" s="1"/>
  <c r="P21" i="4" s="1"/>
  <c r="P22" i="4" s="1"/>
  <c r="P23" i="4" s="1"/>
  <c r="Q17" i="4" s="1"/>
  <c r="Q18" i="4" s="1"/>
  <c r="Q19" i="4" s="1"/>
  <c r="Q20" i="4" s="1"/>
  <c r="Q21" i="4" s="1"/>
  <c r="Q22" i="4" s="1"/>
  <c r="Q23" i="4" s="1"/>
  <c r="R17" i="4" s="1"/>
  <c r="R18" i="4" s="1"/>
  <c r="AE16" i="4"/>
  <c r="AF16" i="4" s="1"/>
  <c r="AG16" i="4" s="1"/>
  <c r="Y16" i="4"/>
  <c r="Z16" i="4" s="1"/>
  <c r="AA16" i="4" s="1"/>
  <c r="AB16" i="4" s="1"/>
  <c r="AC16" i="4" s="1"/>
  <c r="T16" i="4"/>
  <c r="U16" i="4" s="1"/>
  <c r="V16" i="4" s="1"/>
  <c r="W16" i="4" s="1"/>
  <c r="O16" i="4"/>
  <c r="P16" i="4" s="1"/>
  <c r="Q16" i="4" s="1"/>
  <c r="R16" i="4" s="1"/>
  <c r="I16" i="4"/>
  <c r="J16" i="4" s="1"/>
  <c r="K16" i="4" s="1"/>
  <c r="L16" i="4" s="1"/>
  <c r="M16" i="4" s="1"/>
  <c r="D16" i="4"/>
  <c r="E16" i="4" s="1"/>
  <c r="F16" i="4" s="1"/>
  <c r="G16" i="4" s="1"/>
  <c r="M13" i="4"/>
  <c r="N7" i="4" s="1"/>
  <c r="N8" i="4" s="1"/>
  <c r="N9" i="4" s="1"/>
  <c r="N10" i="4" s="1"/>
  <c r="N11" i="4" s="1"/>
  <c r="N12" i="4" s="1"/>
  <c r="N13" i="4" s="1"/>
  <c r="O7" i="4" s="1"/>
  <c r="O8" i="4" s="1"/>
  <c r="O9" i="4" s="1"/>
  <c r="O10" i="4" s="1"/>
  <c r="O11" i="4" s="1"/>
  <c r="O12" i="4" s="1"/>
  <c r="O13" i="4" s="1"/>
  <c r="P7" i="4" s="1"/>
  <c r="P8" i="4" s="1"/>
  <c r="P9" i="4" s="1"/>
  <c r="P10" i="4" s="1"/>
  <c r="P11" i="4" s="1"/>
  <c r="P12" i="4" s="1"/>
  <c r="P13" i="4" s="1"/>
  <c r="Q7" i="4" s="1"/>
  <c r="Q8" i="4" s="1"/>
  <c r="Q9" i="4" s="1"/>
  <c r="Q10" i="4" s="1"/>
  <c r="Q11" i="4" s="1"/>
  <c r="Q12" i="4" s="1"/>
  <c r="Q13" i="4" s="1"/>
  <c r="R7" i="4" s="1"/>
  <c r="H13" i="4"/>
  <c r="I7" i="4" s="1"/>
  <c r="I8" i="4" s="1"/>
  <c r="I9" i="4" s="1"/>
  <c r="I10" i="4" s="1"/>
  <c r="I11" i="4" s="1"/>
  <c r="I12" i="4" s="1"/>
  <c r="I13" i="4" s="1"/>
  <c r="J7" i="4" s="1"/>
  <c r="J8" i="4" s="1"/>
  <c r="J9" i="4" s="1"/>
  <c r="J10" i="4" s="1"/>
  <c r="J11" i="4" s="1"/>
  <c r="J12" i="4" s="1"/>
  <c r="J13" i="4" s="1"/>
  <c r="K7" i="4" s="1"/>
  <c r="K8" i="4" s="1"/>
  <c r="K9" i="4" s="1"/>
  <c r="K10" i="4" s="1"/>
  <c r="K11" i="4" s="1"/>
  <c r="K12" i="4" s="1"/>
  <c r="K13" i="4" s="1"/>
  <c r="L7" i="4" s="1"/>
  <c r="L8" i="4" s="1"/>
  <c r="L9" i="4" s="1"/>
  <c r="L10" i="4" s="1"/>
  <c r="L11" i="4" s="1"/>
  <c r="X11" i="4"/>
  <c r="X12" i="4" s="1"/>
  <c r="X13" i="4" s="1"/>
  <c r="Y7" i="4" s="1"/>
  <c r="Y8" i="4" s="1"/>
  <c r="Y9" i="4" s="1"/>
  <c r="Y10" i="4" s="1"/>
  <c r="Y11" i="4" s="1"/>
  <c r="Y12" i="4" s="1"/>
  <c r="Y13" i="4" s="1"/>
  <c r="Z7" i="4" s="1"/>
  <c r="Z8" i="4" s="1"/>
  <c r="Z9" i="4" s="1"/>
  <c r="Z10" i="4" s="1"/>
  <c r="Z11" i="4" s="1"/>
  <c r="Z12" i="4" s="1"/>
  <c r="Z13" i="4" s="1"/>
  <c r="AA7" i="4" s="1"/>
  <c r="AA8" i="4" s="1"/>
  <c r="AA9" i="4" s="1"/>
  <c r="AA10" i="4" s="1"/>
  <c r="AA11" i="4" s="1"/>
  <c r="AA12" i="4" s="1"/>
  <c r="AA13" i="4" s="1"/>
  <c r="AB7" i="4" s="1"/>
  <c r="AB8" i="4" s="1"/>
  <c r="AB9" i="4" s="1"/>
  <c r="AB10" i="4" s="1"/>
  <c r="AB11" i="4" s="1"/>
  <c r="AB12" i="4" s="1"/>
  <c r="C10" i="4"/>
  <c r="C11" i="4" s="1"/>
  <c r="C12" i="4" s="1"/>
  <c r="C13" i="4" s="1"/>
  <c r="D7" i="4" s="1"/>
  <c r="D8" i="4" s="1"/>
  <c r="D9" i="4" s="1"/>
  <c r="D10" i="4" s="1"/>
  <c r="D11" i="4" s="1"/>
  <c r="D12" i="4" s="1"/>
  <c r="D13" i="4" s="1"/>
  <c r="E7" i="4" s="1"/>
  <c r="E8" i="4" s="1"/>
  <c r="E9" i="4" s="1"/>
  <c r="E10" i="4" s="1"/>
  <c r="E11" i="4" s="1"/>
  <c r="E12" i="4" s="1"/>
  <c r="E13" i="4" s="1"/>
  <c r="F7" i="4" s="1"/>
  <c r="F8" i="4" s="1"/>
  <c r="F9" i="4" s="1"/>
  <c r="F10" i="4" s="1"/>
  <c r="F11" i="4" s="1"/>
  <c r="F12" i="4" s="1"/>
  <c r="F13" i="4" s="1"/>
  <c r="G7" i="4" s="1"/>
  <c r="G8" i="4" s="1"/>
  <c r="G9" i="4" s="1"/>
  <c r="G10" i="4" s="1"/>
  <c r="G11" i="4" s="1"/>
  <c r="S9" i="4"/>
  <c r="S10" i="4" s="1"/>
  <c r="S11" i="4" s="1"/>
  <c r="S12" i="4" s="1"/>
  <c r="S13" i="4" s="1"/>
  <c r="T7" i="4" s="1"/>
  <c r="T8" i="4" s="1"/>
  <c r="T9" i="4" s="1"/>
  <c r="T10" i="4" s="1"/>
  <c r="T11" i="4" s="1"/>
  <c r="T12" i="4" s="1"/>
  <c r="T13" i="4" s="1"/>
  <c r="U7" i="4" s="1"/>
  <c r="U8" i="4" s="1"/>
  <c r="U9" i="4" s="1"/>
  <c r="U10" i="4" s="1"/>
  <c r="U11" i="4" s="1"/>
  <c r="U12" i="4" s="1"/>
  <c r="U13" i="4" s="1"/>
  <c r="V7" i="4" s="1"/>
  <c r="V8" i="4" s="1"/>
  <c r="V9" i="4" s="1"/>
  <c r="V10" i="4" s="1"/>
  <c r="V11" i="4" s="1"/>
  <c r="V12" i="4" s="1"/>
  <c r="V13" i="4" s="1"/>
  <c r="W7" i="4" s="1"/>
  <c r="W8" i="4" s="1"/>
  <c r="W9" i="4" s="1"/>
  <c r="AC8" i="4"/>
  <c r="AC9" i="4" s="1"/>
  <c r="AC10" i="4" s="1"/>
  <c r="AC11" i="4" s="1"/>
  <c r="AC12" i="4" s="1"/>
  <c r="AC13" i="4" s="1"/>
  <c r="AD7" i="4" s="1"/>
  <c r="AD8" i="4" s="1"/>
  <c r="AD9" i="4" s="1"/>
  <c r="AD10" i="4" s="1"/>
  <c r="AD11" i="4" s="1"/>
  <c r="AD12" i="4" s="1"/>
  <c r="AD13" i="4" s="1"/>
  <c r="AE7" i="4" s="1"/>
  <c r="AE8" i="4" s="1"/>
  <c r="AE9" i="4" s="1"/>
  <c r="AE10" i="4" s="1"/>
  <c r="AE11" i="4" s="1"/>
  <c r="AE12" i="4" s="1"/>
  <c r="AE13" i="4" s="1"/>
  <c r="AF7" i="4" s="1"/>
  <c r="AF8" i="4" s="1"/>
  <c r="AF9" i="4" s="1"/>
  <c r="AF10" i="4" s="1"/>
  <c r="AF11" i="4" s="1"/>
  <c r="AF12" i="4" s="1"/>
  <c r="AF13" i="4" s="1"/>
  <c r="AG7" i="4" s="1"/>
  <c r="Y6" i="4"/>
  <c r="Z6" i="4" s="1"/>
  <c r="AA6" i="4" s="1"/>
  <c r="AB6" i="4" s="1"/>
  <c r="AC6" i="4" s="1"/>
  <c r="AD6" i="4" s="1"/>
  <c r="AE6" i="4" s="1"/>
  <c r="AF6" i="4" s="1"/>
  <c r="AG6" i="4" s="1"/>
  <c r="T6" i="4"/>
  <c r="U6" i="4" s="1"/>
  <c r="V6" i="4" s="1"/>
  <c r="W6" i="4" s="1"/>
  <c r="N6" i="4"/>
  <c r="O6" i="4" s="1"/>
  <c r="P6" i="4" s="1"/>
  <c r="Q6" i="4" s="1"/>
  <c r="R6" i="4" s="1"/>
  <c r="I6" i="4"/>
  <c r="J6" i="4" s="1"/>
  <c r="K6" i="4" s="1"/>
  <c r="L6" i="4" s="1"/>
  <c r="D6" i="4"/>
  <c r="E6" i="4" s="1"/>
  <c r="F6" i="4" s="1"/>
  <c r="G6" i="4" s="1"/>
  <c r="BD27" i="3"/>
  <c r="BC27" i="3"/>
  <c r="BB27" i="3"/>
  <c r="BA27" i="3"/>
  <c r="AZ27" i="3"/>
  <c r="AY27" i="3"/>
  <c r="AX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B27" i="3"/>
  <c r="A27" i="3"/>
  <c r="BD26" i="3"/>
  <c r="BC26" i="3"/>
  <c r="BB26" i="3"/>
  <c r="BA26" i="3"/>
  <c r="AZ26" i="3"/>
  <c r="AY26" i="3"/>
  <c r="AX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B26" i="3"/>
  <c r="A26" i="3"/>
  <c r="BD17" i="3"/>
  <c r="BC17" i="3"/>
  <c r="BB17" i="3"/>
  <c r="BA17" i="3"/>
  <c r="AZ17" i="3"/>
  <c r="AY17" i="3"/>
  <c r="AX17" i="3"/>
  <c r="AV17" i="3"/>
  <c r="AU17" i="3"/>
  <c r="AT17" i="3"/>
  <c r="AS17" i="3"/>
  <c r="AR17" i="3"/>
  <c r="AQ17" i="3"/>
  <c r="AP17" i="3"/>
  <c r="AO17" i="3"/>
  <c r="AN17" i="3"/>
  <c r="AM17" i="3"/>
  <c r="AL17" i="3"/>
  <c r="AJ17" i="3"/>
  <c r="AI17" i="3"/>
  <c r="AH17" i="3"/>
  <c r="AG17" i="3"/>
  <c r="AF17" i="3"/>
  <c r="AE17" i="3"/>
  <c r="AD17" i="3"/>
  <c r="AC17" i="3"/>
  <c r="AB17" i="3"/>
  <c r="AA17" i="3"/>
  <c r="Y17" i="3"/>
  <c r="X17" i="3"/>
  <c r="W17" i="3"/>
  <c r="V17" i="3"/>
  <c r="U17" i="3"/>
  <c r="T17" i="3"/>
  <c r="S17" i="3"/>
  <c r="R17" i="3"/>
  <c r="Q17" i="3"/>
  <c r="P17" i="3"/>
  <c r="N17" i="3"/>
  <c r="M17" i="3"/>
  <c r="L17" i="3"/>
  <c r="K17" i="3"/>
  <c r="J17" i="3"/>
  <c r="I17" i="3"/>
  <c r="H17" i="3"/>
  <c r="G17" i="3"/>
  <c r="F17" i="3"/>
  <c r="E17" i="3"/>
  <c r="C17" i="3"/>
  <c r="B17" i="3"/>
  <c r="A17" i="3"/>
  <c r="BD16" i="3"/>
  <c r="BC16" i="3"/>
  <c r="BB16" i="3"/>
  <c r="BA16" i="3"/>
  <c r="AZ16" i="3"/>
  <c r="AY16" i="3"/>
  <c r="AX16" i="3"/>
  <c r="AV16" i="3"/>
  <c r="AU16" i="3"/>
  <c r="AT16" i="3"/>
  <c r="AS16" i="3"/>
  <c r="AR16" i="3"/>
  <c r="AQ16" i="3"/>
  <c r="AP16" i="3"/>
  <c r="AO16" i="3"/>
  <c r="AN16" i="3"/>
  <c r="AM16" i="3"/>
  <c r="AL16" i="3"/>
  <c r="AJ16" i="3"/>
  <c r="AI16" i="3"/>
  <c r="AH16" i="3"/>
  <c r="AG16" i="3"/>
  <c r="AF16" i="3"/>
  <c r="AE16" i="3"/>
  <c r="AD16" i="3"/>
  <c r="AC16" i="3"/>
  <c r="AB16" i="3"/>
  <c r="AA16" i="3"/>
  <c r="Y16" i="3"/>
  <c r="X16" i="3"/>
  <c r="W16" i="3"/>
  <c r="V16" i="3"/>
  <c r="U16" i="3"/>
  <c r="T16" i="3"/>
  <c r="S16" i="3"/>
  <c r="R16" i="3"/>
  <c r="Q16" i="3"/>
  <c r="P16" i="3"/>
  <c r="N16" i="3"/>
  <c r="M16" i="3"/>
  <c r="L16" i="3"/>
  <c r="K16" i="3"/>
  <c r="J16" i="3"/>
  <c r="I16" i="3"/>
  <c r="H16" i="3"/>
  <c r="G16" i="3"/>
  <c r="F16" i="3"/>
  <c r="E16" i="3"/>
  <c r="C16" i="3"/>
  <c r="B16" i="3"/>
  <c r="A16" i="3"/>
  <c r="BD15" i="3"/>
  <c r="BC15" i="3"/>
  <c r="BB15" i="3"/>
  <c r="BA15" i="3"/>
  <c r="AZ15" i="3"/>
  <c r="AY15" i="3"/>
  <c r="AX15" i="3"/>
  <c r="AV15" i="3"/>
  <c r="AU15" i="3"/>
  <c r="AT15" i="3"/>
  <c r="AS15" i="3"/>
  <c r="AR15" i="3"/>
  <c r="AQ15" i="3"/>
  <c r="AP15" i="3"/>
  <c r="AO15" i="3"/>
  <c r="AN15" i="3"/>
  <c r="AM15" i="3"/>
  <c r="AL15" i="3"/>
  <c r="AJ15" i="3"/>
  <c r="AI15" i="3"/>
  <c r="AH15" i="3"/>
  <c r="AG15" i="3"/>
  <c r="AF15" i="3"/>
  <c r="AE15" i="3"/>
  <c r="AD15" i="3"/>
  <c r="AC15" i="3"/>
  <c r="AB15" i="3"/>
  <c r="AA15" i="3"/>
  <c r="Y15" i="3"/>
  <c r="X15" i="3"/>
  <c r="W15" i="3"/>
  <c r="V15" i="3"/>
  <c r="U15" i="3"/>
  <c r="T15" i="3"/>
  <c r="S15" i="3"/>
  <c r="R15" i="3"/>
  <c r="Q15" i="3"/>
  <c r="P15" i="3"/>
  <c r="N15" i="3"/>
  <c r="M15" i="3"/>
  <c r="L15" i="3"/>
  <c r="K15" i="3"/>
  <c r="J15" i="3"/>
  <c r="I15" i="3"/>
  <c r="H15" i="3"/>
  <c r="G15" i="3"/>
  <c r="F15" i="3"/>
  <c r="E15" i="3"/>
  <c r="C15" i="3"/>
  <c r="B15" i="3"/>
  <c r="A15" i="3"/>
  <c r="BD14" i="3"/>
  <c r="BC14" i="3"/>
  <c r="BB14" i="3"/>
  <c r="BA14" i="3"/>
  <c r="AZ14" i="3"/>
  <c r="AY14" i="3"/>
  <c r="AX14" i="3"/>
  <c r="AV14" i="3"/>
  <c r="AU14" i="3"/>
  <c r="AT14" i="3"/>
  <c r="AS14" i="3"/>
  <c r="AR14" i="3"/>
  <c r="AQ14" i="3"/>
  <c r="AP14" i="3"/>
  <c r="AO14" i="3"/>
  <c r="AN14" i="3"/>
  <c r="AM14" i="3"/>
  <c r="AL14" i="3"/>
  <c r="AJ14" i="3"/>
  <c r="AI14" i="3"/>
  <c r="AH14" i="3"/>
  <c r="AG14" i="3"/>
  <c r="AF14" i="3"/>
  <c r="AE14" i="3"/>
  <c r="AD14" i="3"/>
  <c r="AC14" i="3"/>
  <c r="AB14" i="3"/>
  <c r="AA14" i="3"/>
  <c r="Y14" i="3"/>
  <c r="X14" i="3"/>
  <c r="W14" i="3"/>
  <c r="V14" i="3"/>
  <c r="U14" i="3"/>
  <c r="T14" i="3"/>
  <c r="S14" i="3"/>
  <c r="R14" i="3"/>
  <c r="Q14" i="3"/>
  <c r="P14" i="3"/>
  <c r="N14" i="3"/>
  <c r="M14" i="3"/>
  <c r="L14" i="3"/>
  <c r="K14" i="3"/>
  <c r="J14" i="3"/>
  <c r="I14" i="3"/>
  <c r="H14" i="3"/>
  <c r="G14" i="3"/>
  <c r="F14" i="3"/>
  <c r="E14" i="3"/>
  <c r="C14" i="3"/>
  <c r="B14" i="3"/>
  <c r="A14"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13" i="3"/>
  <c r="B13" i="3"/>
  <c r="A13" i="3"/>
  <c r="BD12" i="3"/>
  <c r="BC12" i="3"/>
  <c r="BB12" i="3"/>
  <c r="BA12" i="3"/>
  <c r="AZ12" i="3"/>
  <c r="AY12" i="3"/>
  <c r="AX12" i="3"/>
  <c r="AV12" i="3"/>
  <c r="AU12" i="3"/>
  <c r="AT12" i="3"/>
  <c r="AS12" i="3"/>
  <c r="AR12" i="3"/>
  <c r="AQ12" i="3"/>
  <c r="AP12" i="3"/>
  <c r="AO12" i="3"/>
  <c r="AN12" i="3"/>
  <c r="AM12" i="3"/>
  <c r="AL12" i="3"/>
  <c r="AJ12" i="3"/>
  <c r="AI12" i="3"/>
  <c r="AH12" i="3"/>
  <c r="AG12" i="3"/>
  <c r="AF12" i="3"/>
  <c r="AE12" i="3"/>
  <c r="AD12" i="3"/>
  <c r="AC12" i="3"/>
  <c r="AB12" i="3"/>
  <c r="AA12" i="3"/>
  <c r="Y12" i="3"/>
  <c r="X12" i="3"/>
  <c r="W12" i="3"/>
  <c r="V12" i="3"/>
  <c r="U12" i="3"/>
  <c r="T12" i="3"/>
  <c r="S12" i="3"/>
  <c r="R12" i="3"/>
  <c r="Q12" i="3"/>
  <c r="P12" i="3"/>
  <c r="N12" i="3"/>
  <c r="M12" i="3"/>
  <c r="L12" i="3"/>
  <c r="K12" i="3"/>
  <c r="J12" i="3"/>
  <c r="I12" i="3"/>
  <c r="H12" i="3"/>
  <c r="G12" i="3"/>
  <c r="F12" i="3"/>
  <c r="E12" i="3"/>
  <c r="C12" i="3"/>
  <c r="B12" i="3"/>
  <c r="A12" i="3"/>
  <c r="BD10" i="3"/>
  <c r="BC10" i="3"/>
  <c r="BB10" i="3"/>
  <c r="BA10" i="3"/>
  <c r="AZ10" i="3"/>
  <c r="AY10" i="3"/>
  <c r="AX10" i="3"/>
  <c r="AV10" i="3"/>
  <c r="AU10" i="3"/>
  <c r="AT10" i="3"/>
  <c r="AS10" i="3"/>
  <c r="AR10" i="3"/>
  <c r="AQ10" i="3"/>
  <c r="AP10" i="3"/>
  <c r="AO10" i="3"/>
  <c r="AN10" i="3"/>
  <c r="AM10" i="3"/>
  <c r="AL10" i="3"/>
  <c r="AJ10" i="3"/>
  <c r="AI10" i="3"/>
  <c r="AH10" i="3"/>
  <c r="AG10" i="3"/>
  <c r="AF10" i="3"/>
  <c r="AE10" i="3"/>
  <c r="AD10" i="3"/>
  <c r="AC10" i="3"/>
  <c r="AB10" i="3"/>
  <c r="AA10" i="3"/>
  <c r="Y10" i="3"/>
  <c r="X10" i="3"/>
  <c r="W10" i="3"/>
  <c r="V10" i="3"/>
  <c r="U10" i="3"/>
  <c r="T10" i="3"/>
  <c r="S10" i="3"/>
  <c r="R10" i="3"/>
  <c r="Q10" i="3"/>
  <c r="P10" i="3"/>
  <c r="N10" i="3"/>
  <c r="M10" i="3"/>
  <c r="L10" i="3"/>
  <c r="K10" i="3"/>
  <c r="J10" i="3"/>
  <c r="I10" i="3"/>
  <c r="H10" i="3"/>
  <c r="G10" i="3"/>
  <c r="F10" i="3"/>
  <c r="E10" i="3"/>
  <c r="C10" i="3"/>
  <c r="B10" i="3"/>
  <c r="A10" i="3"/>
  <c r="BD9" i="3"/>
  <c r="BC9" i="3"/>
  <c r="BB9" i="3"/>
  <c r="BA9" i="3"/>
  <c r="AZ9" i="3"/>
  <c r="AY9" i="3"/>
  <c r="AX9" i="3"/>
  <c r="AV9" i="3"/>
  <c r="AU9" i="3"/>
  <c r="AT9" i="3"/>
  <c r="AS9" i="3"/>
  <c r="AR9" i="3"/>
  <c r="AQ9" i="3"/>
  <c r="AP9" i="3"/>
  <c r="AO9" i="3"/>
  <c r="AN9" i="3"/>
  <c r="AM9" i="3"/>
  <c r="AL9" i="3"/>
  <c r="AJ9" i="3"/>
  <c r="AI9" i="3"/>
  <c r="AH9" i="3"/>
  <c r="AG9" i="3"/>
  <c r="AF9" i="3"/>
  <c r="AE9" i="3"/>
  <c r="AD9" i="3"/>
  <c r="AC9" i="3"/>
  <c r="AB9" i="3"/>
  <c r="AA9" i="3"/>
  <c r="Y9" i="3"/>
  <c r="X9" i="3"/>
  <c r="W9" i="3"/>
  <c r="V9" i="3"/>
  <c r="U9" i="3"/>
  <c r="T9" i="3"/>
  <c r="S9" i="3"/>
  <c r="R9" i="3"/>
  <c r="Q9" i="3"/>
  <c r="P9" i="3"/>
  <c r="N9" i="3"/>
  <c r="M9" i="3"/>
  <c r="L9" i="3"/>
  <c r="K9" i="3"/>
  <c r="J9" i="3"/>
  <c r="I9" i="3"/>
  <c r="H9" i="3"/>
  <c r="G9" i="3"/>
  <c r="F9" i="3"/>
  <c r="E9" i="3"/>
  <c r="C9" i="3"/>
  <c r="B9" i="3"/>
  <c r="A9" i="3"/>
  <c r="BD8" i="3"/>
  <c r="BC8" i="3"/>
  <c r="BB8" i="3"/>
  <c r="BA8" i="3"/>
  <c r="AZ8" i="3"/>
  <c r="AY8" i="3"/>
  <c r="AX8" i="3"/>
  <c r="AV8" i="3"/>
  <c r="AU8" i="3"/>
  <c r="AT8" i="3"/>
  <c r="AS8" i="3"/>
  <c r="AR8" i="3"/>
  <c r="AQ8" i="3"/>
  <c r="AP8" i="3"/>
  <c r="AO8" i="3"/>
  <c r="AN8" i="3"/>
  <c r="AM8" i="3"/>
  <c r="AL8" i="3"/>
  <c r="AJ8" i="3"/>
  <c r="AI8" i="3"/>
  <c r="AH8" i="3"/>
  <c r="AG8" i="3"/>
  <c r="AF8" i="3"/>
  <c r="AE8" i="3"/>
  <c r="AD8" i="3"/>
  <c r="AC8" i="3"/>
  <c r="AB8" i="3"/>
  <c r="AA8" i="3"/>
  <c r="Y8" i="3"/>
  <c r="X8" i="3"/>
  <c r="W8" i="3"/>
  <c r="V8" i="3"/>
  <c r="U8" i="3"/>
  <c r="T8" i="3"/>
  <c r="S8" i="3"/>
  <c r="R8" i="3"/>
  <c r="Q8" i="3"/>
  <c r="P8" i="3"/>
  <c r="N8" i="3"/>
  <c r="M8" i="3"/>
  <c r="L8" i="3"/>
  <c r="K8" i="3"/>
  <c r="J8" i="3"/>
  <c r="I8" i="3"/>
  <c r="H8" i="3"/>
  <c r="G8" i="3"/>
  <c r="F8" i="3"/>
  <c r="E8" i="3"/>
  <c r="C8" i="3"/>
  <c r="B8" i="3"/>
  <c r="A8" i="3"/>
  <c r="B3" i="3"/>
  <c r="C2" i="3" s="1"/>
  <c r="AN7" i="1"/>
  <c r="AN42" i="1" s="1"/>
  <c r="R15" i="1"/>
  <c r="BQ20" i="2"/>
  <c r="AN14" i="1" s="1"/>
  <c r="AN16" i="1"/>
  <c r="AK21" i="3"/>
  <c r="BF20" i="2"/>
  <c r="AC14" i="1" s="1"/>
  <c r="Z18" i="3"/>
  <c r="D23" i="3"/>
  <c r="R13" i="1"/>
  <c r="AN11" i="1"/>
  <c r="AK10" i="3"/>
  <c r="AN41" i="1"/>
  <c r="AC9" i="1"/>
  <c r="AC41" i="1"/>
  <c r="O10" i="3"/>
  <c r="R41" i="1"/>
  <c r="D10" i="3"/>
  <c r="AN29" i="1"/>
  <c r="R29" i="1"/>
  <c r="Z12" i="3"/>
  <c r="O21" i="3"/>
  <c r="D12" i="3"/>
  <c r="AY41" i="1"/>
  <c r="AX41" i="1"/>
  <c r="AW41" i="1"/>
  <c r="AV41" i="1"/>
  <c r="AU41" i="1"/>
  <c r="AT41" i="1"/>
  <c r="AS41" i="1"/>
  <c r="AR41" i="1"/>
  <c r="AQ41" i="1"/>
  <c r="AP41" i="1"/>
  <c r="AO41" i="1"/>
  <c r="AM41" i="1"/>
  <c r="AL41" i="1"/>
  <c r="AK41" i="1"/>
  <c r="AJ41" i="1"/>
  <c r="AI41" i="1"/>
  <c r="AH41" i="1"/>
  <c r="AG41" i="1"/>
  <c r="AF41" i="1"/>
  <c r="AE41" i="1"/>
  <c r="AD41" i="1"/>
  <c r="AB41" i="1"/>
  <c r="AA41" i="1"/>
  <c r="Z41" i="1"/>
  <c r="Y41" i="1"/>
  <c r="X41" i="1"/>
  <c r="W41" i="1"/>
  <c r="V41" i="1"/>
  <c r="U41" i="1"/>
  <c r="T41" i="1"/>
  <c r="S41" i="1"/>
  <c r="Q41" i="1"/>
  <c r="P41" i="1"/>
  <c r="O41" i="1"/>
  <c r="N41" i="1"/>
  <c r="M41" i="1"/>
  <c r="L41" i="1"/>
  <c r="K41" i="1"/>
  <c r="J41" i="1"/>
  <c r="I41" i="1"/>
  <c r="H41" i="1"/>
  <c r="G41" i="1" s="1"/>
  <c r="F41" i="1"/>
  <c r="E41" i="1"/>
  <c r="D41" i="1"/>
  <c r="C41" i="1"/>
  <c r="B41" i="1"/>
  <c r="A41" i="1"/>
  <c r="AZ40" i="1"/>
  <c r="AY40" i="1"/>
  <c r="AX40" i="1"/>
  <c r="AW40" i="1"/>
  <c r="AV40" i="1"/>
  <c r="AU40" i="1"/>
  <c r="AT40" i="1"/>
  <c r="AS40" i="1"/>
  <c r="AR40" i="1"/>
  <c r="AQ40" i="1"/>
  <c r="AP40" i="1"/>
  <c r="AO40" i="1"/>
  <c r="AN40" i="1"/>
  <c r="AM40" i="1"/>
  <c r="AL40" i="1"/>
  <c r="AK40" i="1"/>
  <c r="AJ40" i="1"/>
  <c r="AI40" i="1"/>
  <c r="AH40" i="1"/>
  <c r="AG40" i="1"/>
  <c r="AF40" i="1"/>
  <c r="AE40" i="1"/>
  <c r="AD40" i="1"/>
  <c r="AC40" i="1"/>
  <c r="AB40" i="1"/>
  <c r="AA40" i="1"/>
  <c r="Z40" i="1"/>
  <c r="Y40" i="1"/>
  <c r="X40" i="1"/>
  <c r="W40" i="1"/>
  <c r="V40" i="1"/>
  <c r="U40" i="1"/>
  <c r="T40" i="1"/>
  <c r="S40" i="1"/>
  <c r="R40" i="1"/>
  <c r="Q40" i="1"/>
  <c r="P40" i="1"/>
  <c r="O40" i="1"/>
  <c r="N40" i="1"/>
  <c r="M40" i="1"/>
  <c r="L40" i="1"/>
  <c r="K40" i="1"/>
  <c r="J40" i="1"/>
  <c r="I40" i="1"/>
  <c r="H40" i="1"/>
  <c r="G40" i="1" s="1"/>
  <c r="F40" i="1"/>
  <c r="E40" i="1"/>
  <c r="D40" i="1"/>
  <c r="C40" i="1"/>
  <c r="B40" i="1"/>
  <c r="A40" i="1"/>
  <c r="AY39" i="1"/>
  <c r="AX39" i="1"/>
  <c r="AW39" i="1"/>
  <c r="AV39" i="1"/>
  <c r="AU39" i="1"/>
  <c r="AT39" i="1"/>
  <c r="AS39" i="1"/>
  <c r="AR39" i="1"/>
  <c r="AQ39" i="1"/>
  <c r="AP39" i="1"/>
  <c r="AO39" i="1"/>
  <c r="AM39" i="1"/>
  <c r="AL39" i="1"/>
  <c r="AK39" i="1"/>
  <c r="AJ39" i="1"/>
  <c r="AI39" i="1"/>
  <c r="AH39" i="1"/>
  <c r="AG39" i="1"/>
  <c r="AF39" i="1"/>
  <c r="AE39" i="1"/>
  <c r="AD39" i="1"/>
  <c r="AB39" i="1"/>
  <c r="AA39" i="1"/>
  <c r="Z39" i="1"/>
  <c r="Y39" i="1"/>
  <c r="X39" i="1"/>
  <c r="W39" i="1"/>
  <c r="V39" i="1"/>
  <c r="U39" i="1"/>
  <c r="T39" i="1"/>
  <c r="S39" i="1"/>
  <c r="Q39" i="1"/>
  <c r="P39" i="1"/>
  <c r="O39" i="1"/>
  <c r="N39" i="1"/>
  <c r="M39" i="1"/>
  <c r="L39" i="1"/>
  <c r="K39" i="1"/>
  <c r="J39" i="1"/>
  <c r="I39" i="1"/>
  <c r="H39" i="1"/>
  <c r="G39" i="1" s="1"/>
  <c r="F39" i="1"/>
  <c r="E39" i="1"/>
  <c r="D39" i="1"/>
  <c r="C39" i="1"/>
  <c r="B39" i="1"/>
  <c r="A39" i="1"/>
  <c r="AY38" i="1"/>
  <c r="AX38" i="1"/>
  <c r="AW38" i="1"/>
  <c r="AV38" i="1"/>
  <c r="AU38" i="1"/>
  <c r="AT38" i="1"/>
  <c r="AS38" i="1"/>
  <c r="AR38" i="1"/>
  <c r="AQ38" i="1"/>
  <c r="AP38" i="1"/>
  <c r="AO38" i="1"/>
  <c r="AM38" i="1"/>
  <c r="AL38" i="1"/>
  <c r="AK38" i="1"/>
  <c r="AJ38" i="1"/>
  <c r="AI38" i="1"/>
  <c r="AH38" i="1"/>
  <c r="AG38" i="1"/>
  <c r="AF38" i="1"/>
  <c r="AE38" i="1"/>
  <c r="AD38" i="1"/>
  <c r="AB38" i="1"/>
  <c r="AA38" i="1"/>
  <c r="Z38" i="1"/>
  <c r="Y38" i="1"/>
  <c r="X38" i="1"/>
  <c r="W38" i="1"/>
  <c r="V38" i="1"/>
  <c r="U38" i="1"/>
  <c r="T38" i="1"/>
  <c r="S38" i="1"/>
  <c r="Q38" i="1"/>
  <c r="P38" i="1"/>
  <c r="O38" i="1"/>
  <c r="N38" i="1"/>
  <c r="M38" i="1"/>
  <c r="L38" i="1"/>
  <c r="K38" i="1"/>
  <c r="J38" i="1"/>
  <c r="I38" i="1"/>
  <c r="H38" i="1"/>
  <c r="G38" i="1" s="1"/>
  <c r="F38" i="1"/>
  <c r="E38" i="1"/>
  <c r="D38" i="1"/>
  <c r="C38" i="1"/>
  <c r="B38" i="1"/>
  <c r="A38" i="1"/>
  <c r="AY37" i="1"/>
  <c r="AX37" i="1"/>
  <c r="AW37" i="1"/>
  <c r="AV37" i="1"/>
  <c r="AU37" i="1"/>
  <c r="AT37" i="1"/>
  <c r="AS37" i="1"/>
  <c r="AR37" i="1"/>
  <c r="AQ37" i="1"/>
  <c r="AP37" i="1"/>
  <c r="AO37" i="1"/>
  <c r="AM37" i="1"/>
  <c r="AL37" i="1"/>
  <c r="AK37" i="1"/>
  <c r="AJ37" i="1"/>
  <c r="AI37" i="1"/>
  <c r="AH37" i="1"/>
  <c r="AG37" i="1"/>
  <c r="AF37" i="1"/>
  <c r="AE37" i="1"/>
  <c r="AD37" i="1"/>
  <c r="AB37" i="1"/>
  <c r="AA37" i="1"/>
  <c r="Z37" i="1"/>
  <c r="Y37" i="1"/>
  <c r="X37" i="1"/>
  <c r="W37" i="1"/>
  <c r="V37" i="1"/>
  <c r="U37" i="1"/>
  <c r="T37" i="1"/>
  <c r="S37" i="1"/>
  <c r="Q37" i="1"/>
  <c r="P37" i="1"/>
  <c r="O37" i="1"/>
  <c r="N37" i="1"/>
  <c r="M37" i="1"/>
  <c r="L37" i="1"/>
  <c r="K37" i="1"/>
  <c r="J37" i="1"/>
  <c r="I37" i="1"/>
  <c r="H37" i="1"/>
  <c r="G37" i="1" s="1"/>
  <c r="F37" i="1"/>
  <c r="E37" i="1"/>
  <c r="D37" i="1"/>
  <c r="C37" i="1"/>
  <c r="B37" i="1"/>
  <c r="A37" i="1"/>
  <c r="AY36" i="1"/>
  <c r="AX36" i="1"/>
  <c r="AW36" i="1"/>
  <c r="AV36" i="1"/>
  <c r="AU36" i="1"/>
  <c r="AT36" i="1"/>
  <c r="AS36" i="1"/>
  <c r="AR36" i="1"/>
  <c r="AQ36" i="1"/>
  <c r="AP36" i="1"/>
  <c r="AO36" i="1"/>
  <c r="AM36" i="1"/>
  <c r="AL36" i="1"/>
  <c r="AK36" i="1"/>
  <c r="AJ36" i="1"/>
  <c r="AI36" i="1"/>
  <c r="AH36" i="1"/>
  <c r="AG36" i="1"/>
  <c r="AF36" i="1"/>
  <c r="AE36" i="1"/>
  <c r="AD36" i="1"/>
  <c r="AB36" i="1"/>
  <c r="AA36" i="1"/>
  <c r="Z36" i="1"/>
  <c r="Y36" i="1"/>
  <c r="X36" i="1"/>
  <c r="W36" i="1"/>
  <c r="V36" i="1"/>
  <c r="U36" i="1"/>
  <c r="T36" i="1"/>
  <c r="S36" i="1"/>
  <c r="Q36" i="1"/>
  <c r="P36" i="1"/>
  <c r="O36" i="1"/>
  <c r="N36" i="1"/>
  <c r="M36" i="1"/>
  <c r="L36" i="1"/>
  <c r="K36" i="1"/>
  <c r="J36" i="1"/>
  <c r="I36" i="1"/>
  <c r="H36" i="1"/>
  <c r="G36" i="1" s="1"/>
  <c r="F36" i="1"/>
  <c r="E36" i="1"/>
  <c r="D36" i="1"/>
  <c r="C36" i="1"/>
  <c r="B36" i="1"/>
  <c r="A36" i="1"/>
  <c r="AY35" i="1"/>
  <c r="AX35" i="1"/>
  <c r="AW35" i="1"/>
  <c r="AV35" i="1"/>
  <c r="AU35" i="1"/>
  <c r="AT35" i="1"/>
  <c r="AS35" i="1"/>
  <c r="AR35" i="1"/>
  <c r="AQ35" i="1"/>
  <c r="AP35" i="1"/>
  <c r="AO35" i="1"/>
  <c r="AM35" i="1"/>
  <c r="AL35" i="1"/>
  <c r="AK35" i="1"/>
  <c r="AJ35" i="1"/>
  <c r="AI35" i="1"/>
  <c r="AH35" i="1"/>
  <c r="AG35" i="1"/>
  <c r="AF35" i="1"/>
  <c r="AE35" i="1"/>
  <c r="AD35" i="1"/>
  <c r="AB35" i="1"/>
  <c r="AA35" i="1"/>
  <c r="Z35" i="1"/>
  <c r="Y35" i="1"/>
  <c r="X35" i="1"/>
  <c r="W35" i="1"/>
  <c r="V35" i="1"/>
  <c r="U35" i="1"/>
  <c r="T35" i="1"/>
  <c r="S35" i="1"/>
  <c r="Q35" i="1"/>
  <c r="P35" i="1"/>
  <c r="O35" i="1"/>
  <c r="N35" i="1"/>
  <c r="M35" i="1"/>
  <c r="L35" i="1"/>
  <c r="K35" i="1"/>
  <c r="J35" i="1"/>
  <c r="I35" i="1"/>
  <c r="H35" i="1"/>
  <c r="F35" i="1"/>
  <c r="E35" i="1"/>
  <c r="D35" i="1"/>
  <c r="C35" i="1"/>
  <c r="B35" i="1"/>
  <c r="A35" i="1"/>
  <c r="AY34" i="1"/>
  <c r="AX34" i="1"/>
  <c r="AW34" i="1"/>
  <c r="AV34" i="1"/>
  <c r="AU34" i="1"/>
  <c r="AT34" i="1"/>
  <c r="AS34" i="1"/>
  <c r="AR34" i="1"/>
  <c r="AQ34" i="1"/>
  <c r="AP34" i="1"/>
  <c r="AO34" i="1"/>
  <c r="AM34" i="1"/>
  <c r="AL34" i="1"/>
  <c r="AK34" i="1"/>
  <c r="AJ34" i="1"/>
  <c r="AI34" i="1"/>
  <c r="AH34" i="1"/>
  <c r="AG34" i="1"/>
  <c r="AF34" i="1"/>
  <c r="AE34" i="1"/>
  <c r="AD34" i="1"/>
  <c r="AB34" i="1"/>
  <c r="AA34" i="1"/>
  <c r="Z34" i="1"/>
  <c r="Y34" i="1"/>
  <c r="X34" i="1"/>
  <c r="W34" i="1"/>
  <c r="V34" i="1"/>
  <c r="U34" i="1"/>
  <c r="T34" i="1"/>
  <c r="S34" i="1"/>
  <c r="Q34" i="1"/>
  <c r="P34" i="1"/>
  <c r="O34" i="1"/>
  <c r="N34" i="1"/>
  <c r="M34" i="1"/>
  <c r="L34" i="1"/>
  <c r="K34" i="1"/>
  <c r="J34" i="1"/>
  <c r="I34" i="1"/>
  <c r="H34" i="1"/>
  <c r="G34" i="1" s="1"/>
  <c r="F34" i="1"/>
  <c r="E34" i="1"/>
  <c r="D34" i="1"/>
  <c r="C34" i="1"/>
  <c r="B34" i="1"/>
  <c r="A34" i="1"/>
  <c r="AY33" i="1"/>
  <c r="AX33" i="1"/>
  <c r="AW33" i="1"/>
  <c r="AV33" i="1"/>
  <c r="AU33" i="1"/>
  <c r="AT33" i="1"/>
  <c r="AS33" i="1"/>
  <c r="AR33" i="1"/>
  <c r="AQ33" i="1"/>
  <c r="AP33" i="1"/>
  <c r="AO33" i="1"/>
  <c r="AM33" i="1"/>
  <c r="AL33" i="1"/>
  <c r="AK33" i="1"/>
  <c r="AJ33" i="1"/>
  <c r="AI33" i="1"/>
  <c r="AH33" i="1"/>
  <c r="AG33" i="1"/>
  <c r="AF33" i="1"/>
  <c r="AE33" i="1"/>
  <c r="AD33" i="1"/>
  <c r="AB33" i="1"/>
  <c r="AA33" i="1"/>
  <c r="Z33" i="1"/>
  <c r="Y33" i="1"/>
  <c r="X33" i="1"/>
  <c r="W33" i="1"/>
  <c r="V33" i="1"/>
  <c r="U33" i="1"/>
  <c r="T33" i="1"/>
  <c r="S33" i="1"/>
  <c r="Q33" i="1"/>
  <c r="P33" i="1"/>
  <c r="O33" i="1"/>
  <c r="N33" i="1"/>
  <c r="M33" i="1"/>
  <c r="L33" i="1"/>
  <c r="K33" i="1"/>
  <c r="J33" i="1"/>
  <c r="I33" i="1"/>
  <c r="H33" i="1"/>
  <c r="F33" i="1"/>
  <c r="E33" i="1"/>
  <c r="D33" i="1"/>
  <c r="C33" i="1"/>
  <c r="B33" i="1"/>
  <c r="A33" i="1"/>
  <c r="AY32" i="1"/>
  <c r="AX32" i="1"/>
  <c r="AW32" i="1"/>
  <c r="AV32" i="1"/>
  <c r="AU32" i="1"/>
  <c r="AT32" i="1"/>
  <c r="AS32" i="1"/>
  <c r="AR32" i="1"/>
  <c r="AQ32" i="1"/>
  <c r="AP32" i="1"/>
  <c r="AO32" i="1"/>
  <c r="AM32" i="1"/>
  <c r="AL32" i="1"/>
  <c r="AK32" i="1"/>
  <c r="AJ32" i="1"/>
  <c r="AI32" i="1"/>
  <c r="AH32" i="1"/>
  <c r="AG32" i="1"/>
  <c r="AF32" i="1"/>
  <c r="AE32" i="1"/>
  <c r="AD32" i="1"/>
  <c r="AB32" i="1"/>
  <c r="AA32" i="1"/>
  <c r="Z32" i="1"/>
  <c r="Y32" i="1"/>
  <c r="X32" i="1"/>
  <c r="W32" i="1"/>
  <c r="V32" i="1"/>
  <c r="U32" i="1"/>
  <c r="T32" i="1"/>
  <c r="S32" i="1"/>
  <c r="Q32" i="1"/>
  <c r="P32" i="1"/>
  <c r="O32" i="1"/>
  <c r="N32" i="1"/>
  <c r="M32" i="1"/>
  <c r="L32" i="1"/>
  <c r="K32" i="1"/>
  <c r="J32" i="1"/>
  <c r="I32" i="1"/>
  <c r="H32" i="1"/>
  <c r="G32" i="1" s="1"/>
  <c r="F32" i="1"/>
  <c r="E32" i="1"/>
  <c r="D32" i="1"/>
  <c r="C32" i="1"/>
  <c r="B32" i="1"/>
  <c r="A32" i="1"/>
  <c r="AY31" i="1"/>
  <c r="AX31" i="1"/>
  <c r="AW31" i="1"/>
  <c r="AV31" i="1"/>
  <c r="AU31" i="1"/>
  <c r="AT31" i="1"/>
  <c r="AS31" i="1"/>
  <c r="AR31" i="1"/>
  <c r="AQ31" i="1"/>
  <c r="AP31" i="1"/>
  <c r="AO31" i="1"/>
  <c r="AM31" i="1"/>
  <c r="AL31" i="1"/>
  <c r="AK31" i="1"/>
  <c r="AJ31" i="1"/>
  <c r="AI31" i="1"/>
  <c r="AH31" i="1"/>
  <c r="AG31" i="1"/>
  <c r="AF31" i="1"/>
  <c r="AE31" i="1"/>
  <c r="AD31" i="1"/>
  <c r="AB31" i="1"/>
  <c r="AA31" i="1"/>
  <c r="Z31" i="1"/>
  <c r="Y31" i="1"/>
  <c r="X31" i="1"/>
  <c r="W31" i="1"/>
  <c r="V31" i="1"/>
  <c r="U31" i="1"/>
  <c r="T31" i="1"/>
  <c r="S31" i="1"/>
  <c r="Q31" i="1"/>
  <c r="P31" i="1"/>
  <c r="O31" i="1"/>
  <c r="N31" i="1"/>
  <c r="M31" i="1"/>
  <c r="L31" i="1"/>
  <c r="K31" i="1"/>
  <c r="J31" i="1"/>
  <c r="I31" i="1"/>
  <c r="H31" i="1"/>
  <c r="G31" i="1" s="1"/>
  <c r="F31" i="1"/>
  <c r="E31" i="1"/>
  <c r="D31" i="1"/>
  <c r="C31" i="1"/>
  <c r="B31" i="1"/>
  <c r="A31" i="1"/>
  <c r="AY30" i="1"/>
  <c r="AX30" i="1"/>
  <c r="AW30" i="1"/>
  <c r="AV30" i="1"/>
  <c r="AU30" i="1"/>
  <c r="AT30" i="1"/>
  <c r="AS30" i="1"/>
  <c r="AR30" i="1"/>
  <c r="AQ30" i="1"/>
  <c r="AP30" i="1"/>
  <c r="AO30" i="1"/>
  <c r="AM30" i="1"/>
  <c r="AL30" i="1"/>
  <c r="AK30" i="1"/>
  <c r="AJ30" i="1"/>
  <c r="AI30" i="1"/>
  <c r="AH30" i="1"/>
  <c r="AG30" i="1"/>
  <c r="AF30" i="1"/>
  <c r="AE30" i="1"/>
  <c r="AD30" i="1"/>
  <c r="AB30" i="1"/>
  <c r="AA30" i="1"/>
  <c r="Z30" i="1"/>
  <c r="Y30" i="1"/>
  <c r="X30" i="1"/>
  <c r="W30" i="1"/>
  <c r="V30" i="1"/>
  <c r="U30" i="1"/>
  <c r="T30" i="1"/>
  <c r="S30" i="1"/>
  <c r="Q30" i="1"/>
  <c r="P30" i="1"/>
  <c r="O30" i="1"/>
  <c r="N30" i="1"/>
  <c r="M30" i="1"/>
  <c r="L30" i="1"/>
  <c r="K30" i="1"/>
  <c r="J30" i="1"/>
  <c r="I30" i="1"/>
  <c r="H30" i="1"/>
  <c r="G30" i="1" s="1"/>
  <c r="F30" i="1"/>
  <c r="E30" i="1"/>
  <c r="D30" i="1"/>
  <c r="C30" i="1"/>
  <c r="B30" i="1"/>
  <c r="A30" i="1"/>
  <c r="AY29" i="1"/>
  <c r="AX29" i="1"/>
  <c r="AW29" i="1"/>
  <c r="AV29" i="1"/>
  <c r="AU29" i="1"/>
  <c r="AT29" i="1"/>
  <c r="AS29" i="1"/>
  <c r="AR29" i="1"/>
  <c r="AQ29" i="1"/>
  <c r="AP29" i="1"/>
  <c r="AO29" i="1"/>
  <c r="AM29" i="1"/>
  <c r="AL29" i="1"/>
  <c r="AK29" i="1"/>
  <c r="AJ29" i="1"/>
  <c r="AI29" i="1"/>
  <c r="AH29" i="1"/>
  <c r="AG29" i="1"/>
  <c r="AF29" i="1"/>
  <c r="AE29" i="1"/>
  <c r="AD29" i="1"/>
  <c r="AB29" i="1"/>
  <c r="AA29" i="1"/>
  <c r="Z29" i="1"/>
  <c r="Y29" i="1"/>
  <c r="X29" i="1"/>
  <c r="W29" i="1"/>
  <c r="V29" i="1"/>
  <c r="U29" i="1"/>
  <c r="T29" i="1"/>
  <c r="S29" i="1"/>
  <c r="Q29" i="1"/>
  <c r="P29" i="1"/>
  <c r="O29" i="1"/>
  <c r="N29" i="1"/>
  <c r="M29" i="1"/>
  <c r="L29" i="1"/>
  <c r="K29" i="1"/>
  <c r="J29" i="1"/>
  <c r="I29" i="1"/>
  <c r="H29" i="1"/>
  <c r="G29" i="1" s="1"/>
  <c r="F29" i="1"/>
  <c r="E29" i="1"/>
  <c r="D29" i="1"/>
  <c r="C29" i="1"/>
  <c r="B29" i="1"/>
  <c r="A29" i="1"/>
  <c r="AY28" i="1"/>
  <c r="AX28" i="1"/>
  <c r="AW28" i="1"/>
  <c r="AV28" i="1"/>
  <c r="AU28" i="1"/>
  <c r="AT28" i="1"/>
  <c r="AS28" i="1"/>
  <c r="AR28" i="1"/>
  <c r="AQ28" i="1"/>
  <c r="AP28" i="1"/>
  <c r="AO28" i="1"/>
  <c r="AM28" i="1"/>
  <c r="AL28" i="1"/>
  <c r="AK28" i="1"/>
  <c r="AJ28" i="1"/>
  <c r="AI28" i="1"/>
  <c r="AH28" i="1"/>
  <c r="AG28" i="1"/>
  <c r="AF28" i="1"/>
  <c r="AE28" i="1"/>
  <c r="AD28" i="1"/>
  <c r="AB28" i="1"/>
  <c r="AA28" i="1"/>
  <c r="Z28" i="1"/>
  <c r="Y28" i="1"/>
  <c r="X28" i="1"/>
  <c r="W28" i="1"/>
  <c r="V28" i="1"/>
  <c r="U28" i="1"/>
  <c r="T28" i="1"/>
  <c r="S28" i="1"/>
  <c r="Q28" i="1"/>
  <c r="P28" i="1"/>
  <c r="O28" i="1"/>
  <c r="N28" i="1"/>
  <c r="M28" i="1"/>
  <c r="L28" i="1"/>
  <c r="K28" i="1"/>
  <c r="J28" i="1"/>
  <c r="I28" i="1"/>
  <c r="H28" i="1"/>
  <c r="G28" i="1" s="1"/>
  <c r="F28" i="1"/>
  <c r="E28" i="1"/>
  <c r="D28" i="1"/>
  <c r="C28" i="1"/>
  <c r="B28" i="1"/>
  <c r="A28" i="1"/>
  <c r="AZ27" i="1"/>
  <c r="AY27" i="1"/>
  <c r="AX27" i="1"/>
  <c r="AW27" i="1"/>
  <c r="AV27" i="1"/>
  <c r="AU27" i="1"/>
  <c r="AT27" i="1"/>
  <c r="AS27" i="1"/>
  <c r="AR27" i="1"/>
  <c r="AQ27" i="1"/>
  <c r="AP27" i="1"/>
  <c r="AO27" i="1"/>
  <c r="AN27" i="1"/>
  <c r="AM27" i="1"/>
  <c r="AL27" i="1"/>
  <c r="AK27" i="1"/>
  <c r="AJ27" i="1"/>
  <c r="AI27" i="1"/>
  <c r="AH27" i="1"/>
  <c r="AG27" i="1"/>
  <c r="AF27" i="1"/>
  <c r="AE27" i="1"/>
  <c r="AD27" i="1"/>
  <c r="AC27" i="1"/>
  <c r="AB27" i="1"/>
  <c r="AA27" i="1"/>
  <c r="Z27" i="1"/>
  <c r="Y27" i="1"/>
  <c r="X27" i="1"/>
  <c r="W27" i="1"/>
  <c r="V27" i="1"/>
  <c r="U27" i="1"/>
  <c r="T27" i="1"/>
  <c r="S27" i="1"/>
  <c r="R27" i="1"/>
  <c r="Q27" i="1"/>
  <c r="P27" i="1"/>
  <c r="O27" i="1"/>
  <c r="N27" i="1"/>
  <c r="M27" i="1"/>
  <c r="L27" i="1"/>
  <c r="K27" i="1"/>
  <c r="J27" i="1"/>
  <c r="I27" i="1"/>
  <c r="H27" i="1"/>
  <c r="G27" i="1" s="1"/>
  <c r="F27" i="1"/>
  <c r="E27" i="1"/>
  <c r="D27" i="1"/>
  <c r="C27" i="1"/>
  <c r="B27" i="1"/>
  <c r="A27" i="1"/>
  <c r="AZ26" i="1"/>
  <c r="AY26" i="1"/>
  <c r="AX26" i="1"/>
  <c r="AW26" i="1"/>
  <c r="AV26" i="1"/>
  <c r="AU26" i="1"/>
  <c r="AT26" i="1"/>
  <c r="AS26" i="1"/>
  <c r="AR26" i="1"/>
  <c r="AQ26" i="1"/>
  <c r="AP26" i="1"/>
  <c r="AO26" i="1"/>
  <c r="AN26" i="1"/>
  <c r="AM26" i="1"/>
  <c r="AL26" i="1"/>
  <c r="AK26" i="1"/>
  <c r="AJ26" i="1"/>
  <c r="AI26" i="1"/>
  <c r="AH26" i="1"/>
  <c r="AG26" i="1"/>
  <c r="AF26" i="1"/>
  <c r="AE26" i="1"/>
  <c r="AD26" i="1"/>
  <c r="AC26" i="1"/>
  <c r="AB26" i="1"/>
  <c r="AA26" i="1"/>
  <c r="Z26" i="1"/>
  <c r="Y26" i="1"/>
  <c r="X26" i="1"/>
  <c r="W26" i="1"/>
  <c r="V26" i="1"/>
  <c r="U26" i="1"/>
  <c r="T26" i="1"/>
  <c r="S26" i="1"/>
  <c r="R26" i="1"/>
  <c r="Q26" i="1"/>
  <c r="P26" i="1"/>
  <c r="O26" i="1"/>
  <c r="N26" i="1"/>
  <c r="M26" i="1"/>
  <c r="L26" i="1"/>
  <c r="K26" i="1"/>
  <c r="J26" i="1"/>
  <c r="I26" i="1"/>
  <c r="H26" i="1"/>
  <c r="G26" i="1" s="1"/>
  <c r="F26" i="1"/>
  <c r="E26" i="1"/>
  <c r="D26" i="1"/>
  <c r="C26" i="1"/>
  <c r="B26" i="1"/>
  <c r="A26" i="1"/>
  <c r="AZ25" i="1"/>
  <c r="AY25" i="1"/>
  <c r="AX25" i="1"/>
  <c r="AW25" i="1"/>
  <c r="AV25" i="1"/>
  <c r="AU25" i="1"/>
  <c r="AT25" i="1"/>
  <c r="AS25" i="1"/>
  <c r="AR25" i="1"/>
  <c r="AQ25" i="1"/>
  <c r="AP25" i="1"/>
  <c r="AO25" i="1"/>
  <c r="AN25" i="1"/>
  <c r="AM25" i="1"/>
  <c r="AL25" i="1"/>
  <c r="AK25" i="1"/>
  <c r="AJ25" i="1"/>
  <c r="AI25" i="1"/>
  <c r="AH25" i="1"/>
  <c r="AG25" i="1"/>
  <c r="AF25" i="1"/>
  <c r="AE25" i="1"/>
  <c r="AD25" i="1"/>
  <c r="AC25" i="1"/>
  <c r="AB25" i="1"/>
  <c r="AA25" i="1"/>
  <c r="Z25" i="1"/>
  <c r="Y25" i="1"/>
  <c r="X25" i="1"/>
  <c r="W25" i="1"/>
  <c r="V25" i="1"/>
  <c r="U25" i="1"/>
  <c r="T25" i="1"/>
  <c r="S25" i="1"/>
  <c r="R25" i="1"/>
  <c r="Q25" i="1"/>
  <c r="P25" i="1"/>
  <c r="O25" i="1"/>
  <c r="N25" i="1"/>
  <c r="M25" i="1"/>
  <c r="L25" i="1"/>
  <c r="K25" i="1"/>
  <c r="J25" i="1"/>
  <c r="I25" i="1"/>
  <c r="H25" i="1"/>
  <c r="F25" i="1"/>
  <c r="E25" i="1"/>
  <c r="D25" i="1"/>
  <c r="C25" i="1"/>
  <c r="B25" i="1"/>
  <c r="A25" i="1"/>
  <c r="AY15" i="1"/>
  <c r="AX15" i="1"/>
  <c r="AW15" i="1"/>
  <c r="AV15" i="1"/>
  <c r="AU15" i="1"/>
  <c r="AT15" i="1"/>
  <c r="AS15" i="1"/>
  <c r="AR15" i="1"/>
  <c r="AQ15" i="1"/>
  <c r="AP15" i="1"/>
  <c r="AO15" i="1"/>
  <c r="AM15" i="1"/>
  <c r="AL15" i="1"/>
  <c r="AK15" i="1"/>
  <c r="AJ15" i="1"/>
  <c r="AI15" i="1"/>
  <c r="AH15" i="1"/>
  <c r="AG15" i="1"/>
  <c r="AF15" i="1"/>
  <c r="AE15" i="1"/>
  <c r="AD15" i="1"/>
  <c r="AB15" i="1"/>
  <c r="AA15" i="1"/>
  <c r="Z15" i="1"/>
  <c r="Y15" i="1"/>
  <c r="X15" i="1"/>
  <c r="W15" i="1"/>
  <c r="V15" i="1"/>
  <c r="U15" i="1"/>
  <c r="T15" i="1"/>
  <c r="S15" i="1"/>
  <c r="Q15" i="1"/>
  <c r="P15" i="1"/>
  <c r="O15" i="1"/>
  <c r="N15" i="1"/>
  <c r="M15" i="1"/>
  <c r="L15" i="1"/>
  <c r="K15" i="1"/>
  <c r="J15" i="1"/>
  <c r="I15" i="1"/>
  <c r="H15" i="1"/>
  <c r="G15" i="1" s="1"/>
  <c r="F15" i="1"/>
  <c r="E15" i="1"/>
  <c r="D15" i="1"/>
  <c r="C15" i="1"/>
  <c r="B15" i="1"/>
  <c r="A15" i="1"/>
  <c r="AY14" i="1"/>
  <c r="AX14" i="1"/>
  <c r="AW14" i="1"/>
  <c r="AV14" i="1"/>
  <c r="AU14" i="1"/>
  <c r="AT14" i="1"/>
  <c r="AS14" i="1"/>
  <c r="AR14" i="1"/>
  <c r="AQ14" i="1"/>
  <c r="AP14" i="1"/>
  <c r="AO14" i="1"/>
  <c r="AM14" i="1"/>
  <c r="AL14" i="1"/>
  <c r="AK14" i="1"/>
  <c r="AJ14" i="1"/>
  <c r="AI14" i="1"/>
  <c r="AH14" i="1"/>
  <c r="AG14" i="1"/>
  <c r="AF14" i="1"/>
  <c r="AE14" i="1"/>
  <c r="AD14" i="1"/>
  <c r="AB14" i="1"/>
  <c r="AA14" i="1"/>
  <c r="Z14" i="1"/>
  <c r="Y14" i="1"/>
  <c r="X14" i="1"/>
  <c r="W14" i="1"/>
  <c r="V14" i="1"/>
  <c r="U14" i="1"/>
  <c r="T14" i="1"/>
  <c r="S14" i="1"/>
  <c r="Q14" i="1"/>
  <c r="P14" i="1"/>
  <c r="O14" i="1"/>
  <c r="N14" i="1"/>
  <c r="M14" i="1"/>
  <c r="L14" i="1"/>
  <c r="K14" i="1"/>
  <c r="J14" i="1"/>
  <c r="I14" i="1"/>
  <c r="H14" i="1"/>
  <c r="F14" i="1"/>
  <c r="E14" i="1"/>
  <c r="D14" i="1"/>
  <c r="C14" i="1"/>
  <c r="B14" i="1"/>
  <c r="A14" i="1"/>
  <c r="AY13" i="1"/>
  <c r="AX13" i="1"/>
  <c r="AW13" i="1"/>
  <c r="AV13" i="1"/>
  <c r="AU13" i="1"/>
  <c r="AT13" i="1"/>
  <c r="AS13" i="1"/>
  <c r="AR13" i="1"/>
  <c r="AQ13" i="1"/>
  <c r="AP13" i="1"/>
  <c r="AO13" i="1"/>
  <c r="AM13" i="1"/>
  <c r="AL13" i="1"/>
  <c r="AK13" i="1"/>
  <c r="AJ13" i="1"/>
  <c r="AI13" i="1"/>
  <c r="AH13" i="1"/>
  <c r="AG13" i="1"/>
  <c r="AF13" i="1"/>
  <c r="AE13" i="1"/>
  <c r="AD13" i="1"/>
  <c r="AB13" i="1"/>
  <c r="AA13" i="1"/>
  <c r="Z13" i="1"/>
  <c r="Y13" i="1"/>
  <c r="X13" i="1"/>
  <c r="W13" i="1"/>
  <c r="V13" i="1"/>
  <c r="U13" i="1"/>
  <c r="T13" i="1"/>
  <c r="S13" i="1"/>
  <c r="Q13" i="1"/>
  <c r="P13" i="1"/>
  <c r="O13" i="1"/>
  <c r="N13" i="1"/>
  <c r="M13" i="1"/>
  <c r="L13" i="1"/>
  <c r="K13" i="1"/>
  <c r="J13" i="1"/>
  <c r="I13" i="1"/>
  <c r="H13" i="1"/>
  <c r="G13" i="1" s="1"/>
  <c r="F13" i="1"/>
  <c r="E13" i="1"/>
  <c r="D13" i="1"/>
  <c r="C13" i="1"/>
  <c r="B13" i="1"/>
  <c r="A13" i="1"/>
  <c r="AY12" i="1"/>
  <c r="AX12" i="1"/>
  <c r="AW12" i="1"/>
  <c r="AV12" i="1"/>
  <c r="AU12" i="1"/>
  <c r="AT12" i="1"/>
  <c r="AS12" i="1"/>
  <c r="AR12" i="1"/>
  <c r="AQ12" i="1"/>
  <c r="AP12" i="1"/>
  <c r="AO12" i="1"/>
  <c r="AM12" i="1"/>
  <c r="AL12" i="1"/>
  <c r="AK12" i="1"/>
  <c r="AJ12" i="1"/>
  <c r="AI12" i="1"/>
  <c r="AH12" i="1"/>
  <c r="AG12" i="1"/>
  <c r="AF12" i="1"/>
  <c r="AE12" i="1"/>
  <c r="AD12" i="1"/>
  <c r="AB12" i="1"/>
  <c r="AA12" i="1"/>
  <c r="Z12" i="1"/>
  <c r="Y12" i="1"/>
  <c r="X12" i="1"/>
  <c r="W12" i="1"/>
  <c r="V12" i="1"/>
  <c r="U12" i="1"/>
  <c r="T12" i="1"/>
  <c r="S12" i="1"/>
  <c r="Q12" i="1"/>
  <c r="P12" i="1"/>
  <c r="O12" i="1"/>
  <c r="N12" i="1"/>
  <c r="M12" i="1"/>
  <c r="L12" i="1"/>
  <c r="K12" i="1"/>
  <c r="J12" i="1"/>
  <c r="I12" i="1"/>
  <c r="H12" i="1"/>
  <c r="G12" i="1" s="1"/>
  <c r="F12" i="1"/>
  <c r="E12" i="1"/>
  <c r="D12" i="1"/>
  <c r="C12" i="1"/>
  <c r="B12" i="1"/>
  <c r="A12" i="1"/>
  <c r="AY10" i="1"/>
  <c r="AX10" i="1"/>
  <c r="AW10" i="1"/>
  <c r="AV10" i="1"/>
  <c r="AU10" i="1"/>
  <c r="AT10" i="1"/>
  <c r="AS10" i="1"/>
  <c r="AR10" i="1"/>
  <c r="AQ10" i="1"/>
  <c r="AP10" i="1"/>
  <c r="AO10" i="1"/>
  <c r="AM10" i="1"/>
  <c r="AL10" i="1"/>
  <c r="AK10" i="1"/>
  <c r="AJ10" i="1"/>
  <c r="AI10" i="1"/>
  <c r="AH10" i="1"/>
  <c r="AG10" i="1"/>
  <c r="AF10" i="1"/>
  <c r="AE10" i="1"/>
  <c r="AD10" i="1"/>
  <c r="AB10" i="1"/>
  <c r="AA10" i="1"/>
  <c r="Z10" i="1"/>
  <c r="Y10" i="1"/>
  <c r="X10" i="1"/>
  <c r="W10" i="1"/>
  <c r="V10" i="1"/>
  <c r="U10" i="1"/>
  <c r="T10" i="1"/>
  <c r="S10" i="1"/>
  <c r="Q10" i="1"/>
  <c r="P10" i="1"/>
  <c r="O10" i="1"/>
  <c r="N10" i="1"/>
  <c r="M10" i="1"/>
  <c r="L10" i="1"/>
  <c r="K10" i="1"/>
  <c r="J10" i="1"/>
  <c r="I10" i="1"/>
  <c r="H10" i="1"/>
  <c r="G10" i="1" s="1"/>
  <c r="F10" i="1"/>
  <c r="E10" i="1"/>
  <c r="D10" i="1"/>
  <c r="C10" i="1"/>
  <c r="B10" i="1"/>
  <c r="A10" i="1"/>
  <c r="AY9" i="1"/>
  <c r="AX9" i="1"/>
  <c r="AW9" i="1"/>
  <c r="AV9" i="1"/>
  <c r="AU9" i="1"/>
  <c r="AT9" i="1"/>
  <c r="AS9" i="1"/>
  <c r="AR9" i="1"/>
  <c r="AQ9" i="1"/>
  <c r="AP9" i="1"/>
  <c r="AO9" i="1"/>
  <c r="AM9" i="1"/>
  <c r="AL9" i="1"/>
  <c r="AK9" i="1"/>
  <c r="AJ9" i="1"/>
  <c r="AI9" i="1"/>
  <c r="AH9" i="1"/>
  <c r="AG9" i="1"/>
  <c r="AF9" i="1"/>
  <c r="AE9" i="1"/>
  <c r="AD9" i="1"/>
  <c r="AB9" i="1"/>
  <c r="AA9" i="1"/>
  <c r="Z9" i="1"/>
  <c r="Y9" i="1"/>
  <c r="X9" i="1"/>
  <c r="W9" i="1"/>
  <c r="V9" i="1"/>
  <c r="U9" i="1"/>
  <c r="T9" i="1"/>
  <c r="S9" i="1"/>
  <c r="Q9" i="1"/>
  <c r="P9" i="1"/>
  <c r="O9" i="1"/>
  <c r="N9" i="1"/>
  <c r="M9" i="1"/>
  <c r="L9" i="1"/>
  <c r="K9" i="1"/>
  <c r="J9" i="1"/>
  <c r="I9" i="1"/>
  <c r="H9" i="1"/>
  <c r="G9" i="1" s="1"/>
  <c r="F9" i="1"/>
  <c r="E9" i="1"/>
  <c r="D9" i="1"/>
  <c r="C9" i="1"/>
  <c r="B9" i="1"/>
  <c r="A9" i="1"/>
  <c r="AY8" i="1"/>
  <c r="AX8" i="1"/>
  <c r="AW8" i="1"/>
  <c r="AV8" i="1"/>
  <c r="AU8" i="1"/>
  <c r="AT8" i="1"/>
  <c r="AS8" i="1"/>
  <c r="AR8" i="1"/>
  <c r="AQ8" i="1"/>
  <c r="AP8" i="1"/>
  <c r="AO8" i="1"/>
  <c r="AM8" i="1"/>
  <c r="AL8" i="1"/>
  <c r="AK8" i="1"/>
  <c r="AJ8" i="1"/>
  <c r="AI8" i="1"/>
  <c r="AH8" i="1"/>
  <c r="AG8" i="1"/>
  <c r="AF8" i="1"/>
  <c r="AE8" i="1"/>
  <c r="AD8" i="1"/>
  <c r="AB8" i="1"/>
  <c r="AA8" i="1"/>
  <c r="Z8" i="1"/>
  <c r="Y8" i="1"/>
  <c r="X8" i="1"/>
  <c r="W8" i="1"/>
  <c r="V8" i="1"/>
  <c r="U8" i="1"/>
  <c r="T8" i="1"/>
  <c r="S8" i="1"/>
  <c r="Q8" i="1"/>
  <c r="P8" i="1"/>
  <c r="O8" i="1"/>
  <c r="N8" i="1"/>
  <c r="M8" i="1"/>
  <c r="L8" i="1"/>
  <c r="K8" i="1"/>
  <c r="J8" i="1"/>
  <c r="I8" i="1"/>
  <c r="H8" i="1"/>
  <c r="G8" i="1" s="1"/>
  <c r="F8" i="1"/>
  <c r="E8" i="1"/>
  <c r="D8" i="1"/>
  <c r="C8" i="1"/>
  <c r="B8" i="1"/>
  <c r="A8" i="1"/>
  <c r="AY7" i="1"/>
  <c r="AY42" i="1" s="1"/>
  <c r="AX7" i="1"/>
  <c r="AX42" i="1" s="1"/>
  <c r="AW7" i="1"/>
  <c r="AW42" i="1" s="1"/>
  <c r="AV7" i="1"/>
  <c r="AV42" i="1" s="1"/>
  <c r="AU7" i="1"/>
  <c r="AU42" i="1" s="1"/>
  <c r="AT7" i="1"/>
  <c r="AT42" i="1" s="1"/>
  <c r="AS7" i="1"/>
  <c r="AS42" i="1" s="1"/>
  <c r="AR7" i="1"/>
  <c r="AR42" i="1" s="1"/>
  <c r="AQ7" i="1"/>
  <c r="AQ42" i="1" s="1"/>
  <c r="AP7" i="1"/>
  <c r="AP42" i="1" s="1"/>
  <c r="AO7" i="1"/>
  <c r="AO42" i="1" s="1"/>
  <c r="AM7" i="1"/>
  <c r="AM42" i="1" s="1"/>
  <c r="AL7" i="1"/>
  <c r="AL42" i="1" s="1"/>
  <c r="AK7" i="1"/>
  <c r="AK42" i="1" s="1"/>
  <c r="AJ7" i="1"/>
  <c r="AJ42" i="1" s="1"/>
  <c r="AI7" i="1"/>
  <c r="AI42" i="1" s="1"/>
  <c r="AH7" i="1"/>
  <c r="AH42" i="1" s="1"/>
  <c r="AG7" i="1"/>
  <c r="AG42" i="1" s="1"/>
  <c r="AF7" i="1"/>
  <c r="AF42" i="1" s="1"/>
  <c r="AE7" i="1"/>
  <c r="AE42" i="1" s="1"/>
  <c r="AD7" i="1"/>
  <c r="AD42" i="1" s="1"/>
  <c r="AB7" i="1"/>
  <c r="AB42" i="1" s="1"/>
  <c r="AA7" i="1"/>
  <c r="AA42" i="1" s="1"/>
  <c r="Z7" i="1"/>
  <c r="Z42" i="1" s="1"/>
  <c r="Y7" i="1"/>
  <c r="Y42" i="1" s="1"/>
  <c r="X7" i="1"/>
  <c r="X42" i="1" s="1"/>
  <c r="W7" i="1"/>
  <c r="W42" i="1" s="1"/>
  <c r="V7" i="1"/>
  <c r="V42" i="1" s="1"/>
  <c r="U7" i="1"/>
  <c r="U42" i="1" s="1"/>
  <c r="T7" i="1"/>
  <c r="T42" i="1" s="1"/>
  <c r="S7" i="1"/>
  <c r="S42" i="1" s="1"/>
  <c r="Q7" i="1"/>
  <c r="Q42" i="1" s="1"/>
  <c r="P7" i="1"/>
  <c r="P42" i="1" s="1"/>
  <c r="O7" i="1"/>
  <c r="O42" i="1" s="1"/>
  <c r="N7" i="1"/>
  <c r="N42" i="1" s="1"/>
  <c r="M7" i="1"/>
  <c r="M42" i="1" s="1"/>
  <c r="L7" i="1"/>
  <c r="L42" i="1" s="1"/>
  <c r="K7" i="1"/>
  <c r="K42" i="1" s="1"/>
  <c r="J7" i="1"/>
  <c r="J42" i="1" s="1"/>
  <c r="I7" i="1"/>
  <c r="I42" i="1" s="1"/>
  <c r="H7" i="1"/>
  <c r="G7" i="1" s="1"/>
  <c r="G42" i="1" s="1"/>
  <c r="F7" i="1"/>
  <c r="E7" i="1"/>
  <c r="D7" i="1"/>
  <c r="C7" i="1"/>
  <c r="B7" i="1"/>
  <c r="A7" i="1"/>
  <c r="B3" i="1"/>
  <c r="F2" i="1" s="1"/>
  <c r="O14" i="3"/>
  <c r="D19" i="3"/>
  <c r="R28" i="1"/>
  <c r="AC28" i="1"/>
  <c r="AN28" i="1"/>
  <c r="AC34" i="1"/>
  <c r="O19" i="3"/>
  <c r="R17" i="1"/>
  <c r="Z19" i="3"/>
  <c r="AC17" i="1"/>
  <c r="AK19" i="3"/>
  <c r="AN17" i="1"/>
  <c r="AC19" i="1"/>
  <c r="Z21" i="3"/>
  <c r="AN19" i="1"/>
  <c r="D21" i="3"/>
  <c r="D9" i="3"/>
  <c r="Z9" i="3"/>
  <c r="AC8" i="1"/>
  <c r="O9" i="3"/>
  <c r="R8" i="1"/>
  <c r="R36" i="1"/>
  <c r="AC30" i="1"/>
  <c r="AN36" i="1"/>
  <c r="AN12" i="1"/>
  <c r="AN34" i="1"/>
  <c r="R12" i="1"/>
  <c r="R34" i="1"/>
  <c r="R30" i="1"/>
  <c r="AN8" i="1"/>
  <c r="AN30" i="1"/>
  <c r="Z14" i="3"/>
  <c r="AK12" i="3"/>
  <c r="AC36" i="1"/>
  <c r="AC29" i="1"/>
  <c r="AZ41" i="1"/>
  <c r="AZ28" i="1"/>
  <c r="AZ34" i="1"/>
  <c r="AZ29" i="1"/>
  <c r="AZ30" i="1"/>
  <c r="AZ36" i="1"/>
  <c r="Z20" i="3"/>
  <c r="AN39" i="1"/>
  <c r="AC37" i="1"/>
  <c r="AN37" i="1"/>
  <c r="D20" i="3"/>
  <c r="R39" i="1"/>
  <c r="O12" i="3"/>
  <c r="AN18" i="1"/>
  <c r="AC18" i="1"/>
  <c r="AK20" i="3"/>
  <c r="R19" i="1"/>
  <c r="R18" i="1"/>
  <c r="O20" i="3"/>
  <c r="AC31" i="1"/>
  <c r="AC11" i="1"/>
  <c r="R10" i="1"/>
  <c r="R31" i="1"/>
  <c r="R11" i="1"/>
  <c r="O15" i="3"/>
  <c r="Z24" i="3"/>
  <c r="AC22" i="1"/>
  <c r="O24" i="3"/>
  <c r="AK14" i="3"/>
  <c r="AC33" i="1"/>
  <c r="R32" i="1"/>
  <c r="AC32" i="1"/>
  <c r="D22" i="3"/>
  <c r="AN38" i="1"/>
  <c r="AC13" i="1"/>
  <c r="AK9" i="3"/>
  <c r="D15" i="3"/>
  <c r="D14" i="3"/>
  <c r="AC12" i="1"/>
  <c r="R20" i="1"/>
  <c r="AC20" i="1"/>
  <c r="D8" i="3"/>
  <c r="AN13" i="1"/>
  <c r="AK15" i="3"/>
  <c r="AN33" i="1"/>
  <c r="Z8" i="3"/>
  <c r="AC7" i="1"/>
  <c r="AC42" i="1" s="1"/>
  <c r="R37" i="1"/>
  <c r="AC38" i="1"/>
  <c r="R35" i="1"/>
  <c r="AC35" i="1"/>
  <c r="R38" i="1"/>
  <c r="AC39" i="1"/>
  <c r="Z15" i="3"/>
  <c r="AN32" i="1"/>
  <c r="R33" i="1"/>
  <c r="AK8" i="3"/>
  <c r="AN31" i="1"/>
  <c r="R7" i="1"/>
  <c r="R42" i="1" s="1"/>
  <c r="AZ18" i="1"/>
  <c r="AW20" i="3"/>
  <c r="AZ19" i="1"/>
  <c r="AW21" i="3"/>
  <c r="AZ11" i="1"/>
  <c r="AZ22" i="1"/>
  <c r="AW24" i="3"/>
  <c r="AW19" i="3"/>
  <c r="AZ17" i="1"/>
  <c r="AZ32" i="1"/>
  <c r="AZ13" i="1"/>
  <c r="AW15" i="3"/>
  <c r="AZ7" i="1"/>
  <c r="AZ42" i="1" s="1"/>
  <c r="AW9" i="3"/>
  <c r="AZ8" i="1"/>
  <c r="AZ33" i="1"/>
  <c r="AW12" i="3"/>
  <c r="AZ10" i="1"/>
  <c r="AW18" i="3"/>
  <c r="AZ16" i="1"/>
  <c r="AZ20" i="1"/>
  <c r="AW22" i="3"/>
  <c r="AW26" i="3"/>
  <c r="AZ31" i="1"/>
  <c r="AW27" i="3"/>
  <c r="AZ37" i="1"/>
  <c r="AW8" i="3"/>
  <c r="AW14" i="3"/>
  <c r="AZ12" i="1"/>
  <c r="AZ35" i="1"/>
  <c r="AZ38" i="1"/>
  <c r="AC16" i="1"/>
  <c r="AK24" i="3"/>
  <c r="O22" i="3"/>
  <c r="AN22" i="1"/>
  <c r="R22" i="1"/>
  <c r="D24" i="3"/>
  <c r="R23" i="1"/>
  <c r="Z25" i="3"/>
  <c r="O25" i="3"/>
  <c r="AN23" i="1"/>
  <c r="D25" i="3"/>
  <c r="AC23" i="1"/>
  <c r="AK25" i="3"/>
  <c r="AN35" i="1"/>
  <c r="AN21" i="1"/>
  <c r="O8" i="3"/>
  <c r="AC21" i="1"/>
  <c r="AK23" i="3"/>
  <c r="R21" i="1"/>
  <c r="O23" i="3"/>
  <c r="Z10" i="3"/>
  <c r="R9" i="1"/>
  <c r="AN9" i="1"/>
  <c r="AC10" i="1"/>
  <c r="AN10" i="1"/>
  <c r="AZ39" i="1"/>
  <c r="AW16" i="3"/>
  <c r="AZ14" i="1"/>
  <c r="AW17" i="3"/>
  <c r="AZ15" i="1"/>
  <c r="AW10" i="3"/>
  <c r="AZ9" i="1"/>
  <c r="Z23" i="3"/>
  <c r="AN15" i="1"/>
  <c r="D17" i="3"/>
  <c r="Z17" i="3"/>
  <c r="AC15" i="1"/>
  <c r="AK17" i="3"/>
  <c r="R16" i="1"/>
  <c r="AK18" i="3"/>
  <c r="AK22" i="3" l="1"/>
  <c r="AN20" i="1"/>
  <c r="Z22" i="3"/>
  <c r="H42" i="1"/>
  <c r="Z16" i="3"/>
  <c r="O16" i="3"/>
  <c r="G35" i="1"/>
  <c r="AK16" i="3"/>
  <c r="G25" i="1"/>
  <c r="G33" i="1"/>
  <c r="G23" i="1"/>
  <c r="G20" i="1"/>
  <c r="G14" i="1"/>
  <c r="BA5" i="1"/>
  <c r="BA6" i="1"/>
  <c r="BB6" i="1" s="1"/>
  <c r="BC6" i="1" s="1"/>
  <c r="BD6" i="1" s="1"/>
  <c r="BE6" i="1" s="1"/>
  <c r="BF6" i="1" s="1"/>
  <c r="BG6" i="1" s="1"/>
  <c r="BH6" i="1" s="1"/>
  <c r="BI6" i="1" s="1"/>
  <c r="BJ6" i="1" s="1"/>
  <c r="BK6" i="1" s="1"/>
  <c r="BL6" i="1" s="1"/>
  <c r="BM6" i="1" s="1"/>
  <c r="BN6" i="1" s="1"/>
  <c r="BO6" i="1" s="1"/>
  <c r="BP6" i="1" s="1"/>
  <c r="BQ6" i="1" s="1"/>
  <c r="BR6" i="1" s="1"/>
  <c r="BS6" i="1" s="1"/>
  <c r="BT6" i="1" s="1"/>
  <c r="BU6" i="1" s="1"/>
  <c r="BV6" i="1" s="1"/>
  <c r="BW6" i="1" s="1"/>
  <c r="BX6" i="1" s="1"/>
  <c r="BY6" i="1" s="1"/>
  <c r="BZ6" i="1" s="1"/>
  <c r="CA6" i="1" s="1"/>
  <c r="CB6" i="1" s="1"/>
  <c r="CC6" i="1" s="1"/>
  <c r="CD6" i="1" s="1"/>
  <c r="CE6" i="1" s="1"/>
  <c r="CF6" i="1" s="1"/>
  <c r="BA33" i="1" l="1"/>
  <c r="BA31" i="1"/>
  <c r="BA38" i="1"/>
  <c r="BA39" i="1"/>
  <c r="BA35" i="1"/>
  <c r="BA15" i="1"/>
  <c r="BA22" i="1"/>
  <c r="BA10" i="1"/>
  <c r="BA13" i="1"/>
  <c r="BA37" i="1"/>
  <c r="BA25" i="1"/>
  <c r="BA28" i="1"/>
  <c r="BA20" i="1"/>
  <c r="BA8" i="1"/>
  <c r="BA11" i="1"/>
  <c r="BA24" i="1"/>
  <c r="BA27" i="1"/>
  <c r="BA29" i="1"/>
  <c r="BA30" i="1"/>
  <c r="BA36" i="1"/>
  <c r="BA9" i="1"/>
  <c r="BA32" i="1"/>
  <c r="BA14" i="1"/>
  <c r="BA12" i="1"/>
  <c r="BB5" i="1"/>
  <c r="BA23" i="1"/>
  <c r="BA41" i="1"/>
  <c r="BA21" i="1"/>
  <c r="BA7" i="1"/>
  <c r="BA34" i="1"/>
  <c r="BA16" i="1"/>
  <c r="BA26" i="1"/>
  <c r="BA40" i="1"/>
  <c r="BA19" i="1"/>
  <c r="BA17" i="1"/>
  <c r="BA18" i="1"/>
  <c r="BB14" i="1" l="1"/>
  <c r="BB38" i="1"/>
  <c r="BB13" i="1"/>
  <c r="BB15" i="1"/>
  <c r="BB39" i="1"/>
  <c r="BB19" i="1"/>
  <c r="BB7" i="1"/>
  <c r="BB12" i="1"/>
  <c r="BB10" i="1"/>
  <c r="BB36" i="1"/>
  <c r="BB17" i="1"/>
  <c r="BC5" i="1"/>
  <c r="BB18" i="1"/>
  <c r="BB32" i="1"/>
  <c r="BB29" i="1"/>
  <c r="BB22" i="1"/>
  <c r="BB27" i="1"/>
  <c r="BB21" i="1"/>
  <c r="BB35" i="1"/>
  <c r="BB30" i="1"/>
  <c r="BB16" i="1"/>
  <c r="BB40" i="1"/>
  <c r="BB26" i="1"/>
  <c r="BB23" i="1"/>
  <c r="BB24" i="1"/>
  <c r="BB34" i="1"/>
  <c r="BB20" i="1"/>
  <c r="BB28" i="1"/>
  <c r="BB9" i="1"/>
  <c r="BB41" i="1"/>
  <c r="BB25" i="1"/>
  <c r="BB31" i="1"/>
  <c r="BB11" i="1"/>
  <c r="BB8" i="1"/>
  <c r="BB33" i="1"/>
  <c r="BB37" i="1"/>
  <c r="BC39" i="1" l="1"/>
  <c r="BC10" i="1"/>
  <c r="BC27" i="1"/>
  <c r="BC30" i="1"/>
  <c r="BC40" i="1"/>
  <c r="BC13" i="1"/>
  <c r="BC14" i="1"/>
  <c r="BC18" i="1"/>
  <c r="BC21" i="1"/>
  <c r="BC32" i="1"/>
  <c r="BC25" i="1"/>
  <c r="BC37" i="1"/>
  <c r="BC36" i="1"/>
  <c r="BC29" i="1"/>
  <c r="BC8" i="1"/>
  <c r="BC23" i="1"/>
  <c r="BC28" i="1"/>
  <c r="BC11" i="1"/>
  <c r="BC41" i="1"/>
  <c r="BC33" i="1"/>
  <c r="BC20" i="1"/>
  <c r="BC22" i="1"/>
  <c r="BC12" i="1"/>
  <c r="BD5" i="1"/>
  <c r="BC26" i="1"/>
  <c r="BC24" i="1"/>
  <c r="BC9" i="1"/>
  <c r="BC19" i="1"/>
  <c r="BC16" i="1"/>
  <c r="BC17" i="1"/>
  <c r="BC34" i="1"/>
  <c r="BC35" i="1"/>
  <c r="BC31" i="1"/>
  <c r="BC7" i="1"/>
  <c r="BC38" i="1"/>
  <c r="BC15" i="1"/>
  <c r="BD38" i="1" l="1"/>
  <c r="BD13" i="1"/>
  <c r="BD20" i="1"/>
  <c r="BD39" i="1"/>
  <c r="BD36" i="1"/>
  <c r="BD41" i="1"/>
  <c r="BD30" i="1"/>
  <c r="BD32" i="1"/>
  <c r="BD28" i="1"/>
  <c r="BD18" i="1"/>
  <c r="BD9" i="1"/>
  <c r="BD27" i="1"/>
  <c r="BD33" i="1"/>
  <c r="BD16" i="1"/>
  <c r="BD11" i="1"/>
  <c r="BD12" i="1"/>
  <c r="BD7" i="1"/>
  <c r="BD14" i="1"/>
  <c r="BD26" i="1"/>
  <c r="BD22" i="1"/>
  <c r="BD10" i="1"/>
  <c r="BD40" i="1"/>
  <c r="BD8" i="1"/>
  <c r="BD21" i="1"/>
  <c r="BE5" i="1"/>
  <c r="BD19" i="1"/>
  <c r="BD29" i="1"/>
  <c r="BD34" i="1"/>
  <c r="BD37" i="1"/>
  <c r="BD35" i="1"/>
  <c r="BD24" i="1"/>
  <c r="BD25" i="1"/>
  <c r="BD31" i="1"/>
  <c r="BD23" i="1"/>
  <c r="BD17" i="1"/>
  <c r="BD15" i="1"/>
  <c r="BE39" i="1" l="1"/>
  <c r="BE31" i="1"/>
  <c r="BF5" i="1"/>
  <c r="BE28" i="1"/>
  <c r="BE27" i="1"/>
  <c r="BE24" i="1"/>
  <c r="BE32" i="1"/>
  <c r="BE14" i="1"/>
  <c r="BE30" i="1"/>
  <c r="BE40" i="1"/>
  <c r="BE17" i="1"/>
  <c r="BE22" i="1"/>
  <c r="BE26" i="1"/>
  <c r="BE33" i="1"/>
  <c r="BE18" i="1"/>
  <c r="BE16" i="1"/>
  <c r="BE35" i="1"/>
  <c r="BE9" i="1"/>
  <c r="BE21" i="1"/>
  <c r="BE8" i="1"/>
  <c r="BE29" i="1"/>
  <c r="BE34" i="1"/>
  <c r="BE15" i="1"/>
  <c r="BE20" i="1"/>
  <c r="BE23" i="1"/>
  <c r="BE7" i="1"/>
  <c r="BE12" i="1"/>
  <c r="BE37" i="1"/>
  <c r="BE11" i="1"/>
  <c r="BE38" i="1"/>
  <c r="BE10" i="1"/>
  <c r="BE19" i="1"/>
  <c r="BE36" i="1"/>
  <c r="BE25" i="1"/>
  <c r="BE41" i="1"/>
  <c r="BE13" i="1"/>
  <c r="BF13" i="1" l="1"/>
  <c r="BF21" i="1"/>
  <c r="BF18" i="1"/>
  <c r="BF16" i="1"/>
  <c r="BF31" i="1"/>
  <c r="BF27" i="1"/>
  <c r="BF32" i="1"/>
  <c r="BF19" i="1"/>
  <c r="BF41" i="1"/>
  <c r="BF34" i="1"/>
  <c r="BF35" i="1"/>
  <c r="BF25" i="1"/>
  <c r="BF22" i="1"/>
  <c r="BF39" i="1"/>
  <c r="BF14" i="1"/>
  <c r="BF37" i="1"/>
  <c r="BF38" i="1"/>
  <c r="BF17" i="1"/>
  <c r="BF15" i="1"/>
  <c r="BF9" i="1"/>
  <c r="BF11" i="1"/>
  <c r="BF26" i="1"/>
  <c r="BF29" i="1"/>
  <c r="BF40" i="1"/>
  <c r="BF8" i="1"/>
  <c r="BF24" i="1"/>
  <c r="BF30" i="1"/>
  <c r="BF7" i="1"/>
  <c r="BF12" i="1"/>
  <c r="BF10" i="1"/>
  <c r="BF20" i="1"/>
  <c r="BF33" i="1"/>
  <c r="BF36" i="1"/>
  <c r="BG5" i="1"/>
  <c r="BF28" i="1"/>
  <c r="BF23" i="1"/>
  <c r="BG16" i="1" l="1"/>
  <c r="BG25" i="1"/>
  <c r="BG38" i="1"/>
  <c r="BG34" i="1"/>
  <c r="BG10" i="1"/>
  <c r="BG13" i="1"/>
  <c r="BH5" i="1"/>
  <c r="BG11" i="1"/>
  <c r="BG27" i="1"/>
  <c r="BG24" i="1"/>
  <c r="BG37" i="1"/>
  <c r="BG39" i="1"/>
  <c r="BG12" i="1"/>
  <c r="BG21" i="1"/>
  <c r="BG33" i="1"/>
  <c r="BG9" i="1"/>
  <c r="BG22" i="1"/>
  <c r="BG7" i="1"/>
  <c r="BG40" i="1"/>
  <c r="BG20" i="1"/>
  <c r="BG23" i="1"/>
  <c r="BG19" i="1"/>
  <c r="BG26" i="1"/>
  <c r="BG29" i="1"/>
  <c r="BG31" i="1"/>
  <c r="BG18" i="1"/>
  <c r="BG30" i="1"/>
  <c r="BG8" i="1"/>
  <c r="BG32" i="1"/>
  <c r="BG17" i="1"/>
  <c r="BG28" i="1"/>
  <c r="BG15" i="1"/>
  <c r="BG35" i="1"/>
  <c r="BG14" i="1"/>
  <c r="BG36" i="1"/>
  <c r="BG41" i="1"/>
  <c r="BH21" i="1" l="1"/>
  <c r="BH26" i="1"/>
  <c r="BH31" i="1"/>
  <c r="BH15" i="1"/>
  <c r="BH11" i="1"/>
  <c r="BH18" i="1"/>
  <c r="BH27" i="1"/>
  <c r="BH20" i="1"/>
  <c r="BH24" i="1"/>
  <c r="BH9" i="1"/>
  <c r="BH22" i="1"/>
  <c r="BH28" i="1"/>
  <c r="BH29" i="1"/>
  <c r="BH30" i="1"/>
  <c r="BI5" i="1"/>
  <c r="BH12" i="1"/>
  <c r="BH36" i="1"/>
  <c r="BH14" i="1"/>
  <c r="BH19" i="1"/>
  <c r="BH41" i="1"/>
  <c r="BH38" i="1"/>
  <c r="BH39" i="1"/>
  <c r="BH10" i="1"/>
  <c r="BH35" i="1"/>
  <c r="BH16" i="1"/>
  <c r="BH37" i="1"/>
  <c r="BH17" i="1"/>
  <c r="BH8" i="1"/>
  <c r="BH23" i="1"/>
  <c r="BH13" i="1"/>
  <c r="BH32" i="1"/>
  <c r="BH25" i="1"/>
  <c r="BH7" i="1"/>
  <c r="BH33" i="1"/>
  <c r="BH40" i="1"/>
  <c r="BH34" i="1"/>
  <c r="BI27" i="1" l="1"/>
  <c r="BI25" i="1"/>
  <c r="BI36" i="1"/>
  <c r="BI37" i="1"/>
  <c r="BI21" i="1"/>
  <c r="BI11" i="1"/>
  <c r="BI41" i="1"/>
  <c r="BI9" i="1"/>
  <c r="BI35" i="1"/>
  <c r="BI30" i="1"/>
  <c r="BI18" i="1"/>
  <c r="BI24" i="1"/>
  <c r="BI26" i="1"/>
  <c r="BI19" i="1"/>
  <c r="BI40" i="1"/>
  <c r="BI22" i="1"/>
  <c r="BI10" i="1"/>
  <c r="BI16" i="1"/>
  <c r="BI38" i="1"/>
  <c r="BI17" i="1"/>
  <c r="BI28" i="1"/>
  <c r="BI33" i="1"/>
  <c r="BI32" i="1"/>
  <c r="BI8" i="1"/>
  <c r="BI12" i="1"/>
  <c r="BI20" i="1"/>
  <c r="BI13" i="1"/>
  <c r="BI7" i="1"/>
  <c r="BI29" i="1"/>
  <c r="BI39" i="1"/>
  <c r="BJ5" i="1"/>
  <c r="BI15" i="1"/>
  <c r="BI31" i="1"/>
  <c r="BI14" i="1"/>
  <c r="BI23" i="1"/>
  <c r="BI34" i="1"/>
  <c r="BJ8" i="1" l="1"/>
  <c r="BJ7" i="1"/>
  <c r="BJ40" i="1"/>
  <c r="BJ13" i="1"/>
  <c r="BJ32" i="1"/>
  <c r="BJ27" i="1"/>
  <c r="BJ38" i="1"/>
  <c r="BJ37" i="1"/>
  <c r="BJ36" i="1"/>
  <c r="BJ17" i="1"/>
  <c r="BJ20" i="1"/>
  <c r="BJ33" i="1"/>
  <c r="BJ16" i="1"/>
  <c r="BJ15" i="1"/>
  <c r="BJ22" i="1"/>
  <c r="BJ39" i="1"/>
  <c r="BJ30" i="1"/>
  <c r="BJ18" i="1"/>
  <c r="BJ19" i="1"/>
  <c r="BJ34" i="1"/>
  <c r="BJ26" i="1"/>
  <c r="BJ12" i="1"/>
  <c r="BJ31" i="1"/>
  <c r="BJ9" i="1"/>
  <c r="BJ28" i="1"/>
  <c r="BJ29" i="1"/>
  <c r="BJ10" i="1"/>
  <c r="BJ24" i="1"/>
  <c r="BJ11" i="1"/>
  <c r="BK5" i="1"/>
  <c r="BJ35" i="1"/>
  <c r="BJ14" i="1"/>
  <c r="BJ21" i="1"/>
  <c r="BJ25" i="1"/>
  <c r="BJ41" i="1"/>
  <c r="BJ23" i="1"/>
  <c r="BK39" i="1" l="1"/>
  <c r="BK12" i="1"/>
  <c r="BK33" i="1"/>
  <c r="BK30" i="1"/>
  <c r="BK40" i="1"/>
  <c r="BK29" i="1"/>
  <c r="BK37" i="1"/>
  <c r="BK34" i="1"/>
  <c r="BK17" i="1"/>
  <c r="BK11" i="1"/>
  <c r="BK26" i="1"/>
  <c r="BK35" i="1"/>
  <c r="BK9" i="1"/>
  <c r="BK16" i="1"/>
  <c r="BK36" i="1"/>
  <c r="BL5" i="1"/>
  <c r="BK20" i="1"/>
  <c r="BK18" i="1"/>
  <c r="BK13" i="1"/>
  <c r="BK8" i="1"/>
  <c r="BK14" i="1"/>
  <c r="BK10" i="1"/>
  <c r="BK7" i="1"/>
  <c r="BK19" i="1"/>
  <c r="BK28" i="1"/>
  <c r="BK25" i="1"/>
  <c r="BK24" i="1"/>
  <c r="BK15" i="1"/>
  <c r="BK38" i="1"/>
  <c r="BK21" i="1"/>
  <c r="BK23" i="1"/>
  <c r="BK31" i="1"/>
  <c r="BK32" i="1"/>
  <c r="BK41" i="1"/>
  <c r="BK27" i="1"/>
  <c r="BK22" i="1"/>
  <c r="BL39" i="1" l="1"/>
  <c r="BL16" i="1"/>
  <c r="BL38" i="1"/>
  <c r="BL21" i="1"/>
  <c r="BL20" i="1"/>
  <c r="BL13" i="1"/>
  <c r="BL36" i="1"/>
  <c r="BL32" i="1"/>
  <c r="BL24" i="1"/>
  <c r="BL37" i="1"/>
  <c r="BL26" i="1"/>
  <c r="BL8" i="1"/>
  <c r="BL12" i="1"/>
  <c r="BL31" i="1"/>
  <c r="BL40" i="1"/>
  <c r="BL33" i="1"/>
  <c r="BL11" i="1"/>
  <c r="BL18" i="1"/>
  <c r="BL15" i="1"/>
  <c r="BL30" i="1"/>
  <c r="BL19" i="1"/>
  <c r="BL22" i="1"/>
  <c r="BL29" i="1"/>
  <c r="BL35" i="1"/>
  <c r="BL7" i="1"/>
  <c r="BL14" i="1"/>
  <c r="BL9" i="1"/>
  <c r="BL34" i="1"/>
  <c r="BL25" i="1"/>
  <c r="BL28" i="1"/>
  <c r="BL41" i="1"/>
  <c r="BL23" i="1"/>
  <c r="BL17" i="1"/>
  <c r="BL10" i="1"/>
  <c r="BM5" i="1"/>
  <c r="BL27" i="1"/>
  <c r="BM40" i="1" l="1"/>
  <c r="BM18" i="1"/>
  <c r="BN5" i="1"/>
  <c r="BM26" i="1"/>
  <c r="BM10" i="1"/>
  <c r="BM22" i="1"/>
  <c r="BM14" i="1"/>
  <c r="BM29" i="1"/>
  <c r="BM21" i="1"/>
  <c r="BM31" i="1"/>
  <c r="BM28" i="1"/>
  <c r="BM11" i="1"/>
  <c r="BM38" i="1"/>
  <c r="BM39" i="1"/>
  <c r="BM33" i="1"/>
  <c r="BM37" i="1"/>
  <c r="BM24" i="1"/>
  <c r="BM8" i="1"/>
  <c r="BM7" i="1"/>
  <c r="BM20" i="1"/>
  <c r="BM27" i="1"/>
  <c r="BM12" i="1"/>
  <c r="BM16" i="1"/>
  <c r="BM23" i="1"/>
  <c r="BM9" i="1"/>
  <c r="BM13" i="1"/>
  <c r="BM15" i="1"/>
  <c r="BM36" i="1"/>
  <c r="BM19" i="1"/>
  <c r="BM34" i="1"/>
  <c r="BM35" i="1"/>
  <c r="BM17" i="1"/>
  <c r="BM30" i="1"/>
  <c r="BM25" i="1"/>
  <c r="BM41" i="1"/>
  <c r="BM32" i="1"/>
  <c r="BN18" i="1" l="1"/>
  <c r="BN20" i="1"/>
  <c r="BN19" i="1"/>
  <c r="BN35" i="1"/>
  <c r="BN11" i="1"/>
  <c r="BN27" i="1"/>
  <c r="BN34" i="1"/>
  <c r="BN26" i="1"/>
  <c r="BN36" i="1"/>
  <c r="BN21" i="1"/>
  <c r="BN13" i="1"/>
  <c r="BN15" i="1"/>
  <c r="BO5" i="1"/>
  <c r="BN10" i="1"/>
  <c r="BN39" i="1"/>
  <c r="BN22" i="1"/>
  <c r="BN24" i="1"/>
  <c r="BN8" i="1"/>
  <c r="BN31" i="1"/>
  <c r="BN17" i="1"/>
  <c r="BN12" i="1"/>
  <c r="BN25" i="1"/>
  <c r="BN38" i="1"/>
  <c r="BN41" i="1"/>
  <c r="BN23" i="1"/>
  <c r="BN37" i="1"/>
  <c r="BN16" i="1"/>
  <c r="BN29" i="1"/>
  <c r="BN9" i="1"/>
  <c r="BN32" i="1"/>
  <c r="BN28" i="1"/>
  <c r="BN14" i="1"/>
  <c r="BN7" i="1"/>
  <c r="BN30" i="1"/>
  <c r="BN40" i="1"/>
  <c r="BN33" i="1"/>
  <c r="BO38" i="1" l="1"/>
  <c r="BO24" i="1"/>
  <c r="BO17" i="1"/>
  <c r="BO35" i="1"/>
  <c r="BO30" i="1"/>
  <c r="BO16" i="1"/>
  <c r="BO34" i="1"/>
  <c r="BO41" i="1"/>
  <c r="BO29" i="1"/>
  <c r="BO10" i="1"/>
  <c r="BO18" i="1"/>
  <c r="BO40" i="1"/>
  <c r="BO33" i="1"/>
  <c r="BO13" i="1"/>
  <c r="BO14" i="1"/>
  <c r="BO23" i="1"/>
  <c r="BO8" i="1"/>
  <c r="BO19" i="1"/>
  <c r="BO26" i="1"/>
  <c r="BO36" i="1"/>
  <c r="BO25" i="1"/>
  <c r="BO28" i="1"/>
  <c r="BO21" i="1"/>
  <c r="BP5" i="1"/>
  <c r="BO7" i="1"/>
  <c r="BO37" i="1"/>
  <c r="BO12" i="1"/>
  <c r="BO20" i="1"/>
  <c r="BO15" i="1"/>
  <c r="BO27" i="1"/>
  <c r="BO31" i="1"/>
  <c r="BO39" i="1"/>
  <c r="BO22" i="1"/>
  <c r="BO9" i="1"/>
  <c r="BO32" i="1"/>
  <c r="BO11" i="1"/>
  <c r="BP36" i="1" l="1"/>
  <c r="BP41" i="1"/>
  <c r="BP30" i="1"/>
  <c r="BP12" i="1"/>
  <c r="BP39" i="1"/>
  <c r="BP20" i="1"/>
  <c r="BP22" i="1"/>
  <c r="BP11" i="1"/>
  <c r="BP29" i="1"/>
  <c r="BP15" i="1"/>
  <c r="BP16" i="1"/>
  <c r="BP13" i="1"/>
  <c r="BP25" i="1"/>
  <c r="BP34" i="1"/>
  <c r="BP33" i="1"/>
  <c r="BP10" i="1"/>
  <c r="BP7" i="1"/>
  <c r="BQ5" i="1"/>
  <c r="BP28" i="1"/>
  <c r="BP35" i="1"/>
  <c r="BP18" i="1"/>
  <c r="BP37" i="1"/>
  <c r="BP19" i="1"/>
  <c r="BP27" i="1"/>
  <c r="BP21" i="1"/>
  <c r="BP40" i="1"/>
  <c r="BP24" i="1"/>
  <c r="BP9" i="1"/>
  <c r="BP38" i="1"/>
  <c r="BP17" i="1"/>
  <c r="BP23" i="1"/>
  <c r="BP32" i="1"/>
  <c r="BP26" i="1"/>
  <c r="BP8" i="1"/>
  <c r="BP31" i="1"/>
  <c r="BP14" i="1"/>
  <c r="BQ30" i="1" l="1"/>
  <c r="BQ40" i="1"/>
  <c r="BQ14" i="1"/>
  <c r="BQ8" i="1"/>
  <c r="BQ39" i="1"/>
  <c r="BQ34" i="1"/>
  <c r="BQ26" i="1"/>
  <c r="BQ13" i="1"/>
  <c r="BQ36" i="1"/>
  <c r="BQ15" i="1"/>
  <c r="BQ11" i="1"/>
  <c r="BQ37" i="1"/>
  <c r="BR5" i="1"/>
  <c r="BQ35" i="1"/>
  <c r="BQ21" i="1"/>
  <c r="BQ29" i="1"/>
  <c r="BQ28" i="1"/>
  <c r="BQ38" i="1"/>
  <c r="BQ33" i="1"/>
  <c r="BQ7" i="1"/>
  <c r="BQ31" i="1"/>
  <c r="BQ9" i="1"/>
  <c r="BQ10" i="1"/>
  <c r="BQ23" i="1"/>
  <c r="BQ16" i="1"/>
  <c r="BQ41" i="1"/>
  <c r="BQ17" i="1"/>
  <c r="BQ22" i="1"/>
  <c r="BQ32" i="1"/>
  <c r="BQ27" i="1"/>
  <c r="BQ20" i="1"/>
  <c r="BQ25" i="1"/>
  <c r="BQ18" i="1"/>
  <c r="BQ24" i="1"/>
  <c r="BQ19" i="1"/>
  <c r="BQ12" i="1"/>
  <c r="BR39" i="1" l="1"/>
  <c r="BR41" i="1"/>
  <c r="BR12" i="1"/>
  <c r="BR14" i="1"/>
  <c r="BR29" i="1"/>
  <c r="BR36" i="1"/>
  <c r="BR15" i="1"/>
  <c r="BR32" i="1"/>
  <c r="BR9" i="1"/>
  <c r="BR23" i="1"/>
  <c r="BR25" i="1"/>
  <c r="BR8" i="1"/>
  <c r="BR13" i="1"/>
  <c r="BR18" i="1"/>
  <c r="BR40" i="1"/>
  <c r="BR19" i="1"/>
  <c r="BR33" i="1"/>
  <c r="BR22" i="1"/>
  <c r="BR10" i="1"/>
  <c r="BR11" i="1"/>
  <c r="BR7" i="1"/>
  <c r="BR16" i="1"/>
  <c r="BR34" i="1"/>
  <c r="BR28" i="1"/>
  <c r="BR38" i="1"/>
  <c r="BR20" i="1"/>
  <c r="BR21" i="1"/>
  <c r="BR30" i="1"/>
  <c r="BR26" i="1"/>
  <c r="BR27" i="1"/>
  <c r="BR24" i="1"/>
  <c r="BR35" i="1"/>
  <c r="BR31" i="1"/>
  <c r="BR17" i="1"/>
  <c r="BS5" i="1"/>
  <c r="BR37" i="1"/>
  <c r="BS27" i="1" l="1"/>
  <c r="BS16" i="1"/>
  <c r="BS41" i="1"/>
  <c r="BS24" i="1"/>
  <c r="BS34" i="1"/>
  <c r="BS12" i="1"/>
  <c r="BT5" i="1"/>
  <c r="BS37" i="1"/>
  <c r="BS39" i="1"/>
  <c r="BS8" i="1"/>
  <c r="BS38" i="1"/>
  <c r="BS7" i="1"/>
  <c r="BS9" i="1"/>
  <c r="BS21" i="1"/>
  <c r="BS18" i="1"/>
  <c r="BS33" i="1"/>
  <c r="BS22" i="1"/>
  <c r="BS30" i="1"/>
  <c r="BS35" i="1"/>
  <c r="BS17" i="1"/>
  <c r="BS19" i="1"/>
  <c r="BS10" i="1"/>
  <c r="BS31" i="1"/>
  <c r="BS36" i="1"/>
  <c r="BS20" i="1"/>
  <c r="BS14" i="1"/>
  <c r="BS40" i="1"/>
  <c r="BS32" i="1"/>
  <c r="BS26" i="1"/>
  <c r="BS11" i="1"/>
  <c r="BS25" i="1"/>
  <c r="BS15" i="1"/>
  <c r="BS23" i="1"/>
  <c r="BS29" i="1"/>
  <c r="BS28" i="1"/>
  <c r="BS13" i="1"/>
  <c r="BT26" i="1" l="1"/>
  <c r="BU5" i="1"/>
  <c r="BT9" i="1"/>
  <c r="BT24" i="1"/>
  <c r="BT19" i="1"/>
  <c r="BT21" i="1"/>
  <c r="BT15" i="1"/>
  <c r="BT28" i="1"/>
  <c r="BT14" i="1"/>
  <c r="BT38" i="1"/>
  <c r="BT11" i="1"/>
  <c r="BT27" i="1"/>
  <c r="BT41" i="1"/>
  <c r="BT30" i="1"/>
  <c r="BT23" i="1"/>
  <c r="BT31" i="1"/>
  <c r="BT8" i="1"/>
  <c r="BT37" i="1"/>
  <c r="BT22" i="1"/>
  <c r="BT13" i="1"/>
  <c r="BT7" i="1"/>
  <c r="BT29" i="1"/>
  <c r="BT12" i="1"/>
  <c r="BT36" i="1"/>
  <c r="BT33" i="1"/>
  <c r="BT20" i="1"/>
  <c r="BT17" i="1"/>
  <c r="BT35" i="1"/>
  <c r="BT32" i="1"/>
  <c r="BT40" i="1"/>
  <c r="BT25" i="1"/>
  <c r="BT10" i="1"/>
  <c r="BT18" i="1"/>
  <c r="BT34" i="1"/>
  <c r="BT39" i="1"/>
  <c r="BT16" i="1"/>
  <c r="BU28" i="1" l="1"/>
  <c r="BU20" i="1"/>
  <c r="BU37" i="1"/>
  <c r="BU11" i="1"/>
  <c r="BU34" i="1"/>
  <c r="BU7" i="1"/>
  <c r="BU33" i="1"/>
  <c r="BU12" i="1"/>
  <c r="BU41" i="1"/>
  <c r="BU10" i="1"/>
  <c r="BU23" i="1"/>
  <c r="BU25" i="1"/>
  <c r="BV5" i="1"/>
  <c r="BU30" i="1"/>
  <c r="BU14" i="1"/>
  <c r="BU35" i="1"/>
  <c r="BU26" i="1"/>
  <c r="BU13" i="1"/>
  <c r="BU9" i="1"/>
  <c r="BU24" i="1"/>
  <c r="BU27" i="1"/>
  <c r="BU21" i="1"/>
  <c r="BU31" i="1"/>
  <c r="BU38" i="1"/>
  <c r="BU36" i="1"/>
  <c r="BU40" i="1"/>
  <c r="BU19" i="1"/>
  <c r="BU8" i="1"/>
  <c r="BU32" i="1"/>
  <c r="BU15" i="1"/>
  <c r="BU22" i="1"/>
  <c r="BU16" i="1"/>
  <c r="BU29" i="1"/>
  <c r="BU17" i="1"/>
  <c r="BU18" i="1"/>
  <c r="BU39" i="1"/>
  <c r="BV11" i="1" l="1"/>
  <c r="BV10" i="1"/>
  <c r="BV28" i="1"/>
  <c r="BV13" i="1"/>
  <c r="BV35" i="1"/>
  <c r="BV40" i="1"/>
  <c r="BV39" i="1"/>
  <c r="BV14" i="1"/>
  <c r="BV32" i="1"/>
  <c r="BV8" i="1"/>
  <c r="BV38" i="1"/>
  <c r="BV36" i="1"/>
  <c r="BV31" i="1"/>
  <c r="BV33" i="1"/>
  <c r="BV37" i="1"/>
  <c r="BV24" i="1"/>
  <c r="BV19" i="1"/>
  <c r="BV30" i="1"/>
  <c r="BV26" i="1"/>
  <c r="BV34" i="1"/>
  <c r="BW5" i="1"/>
  <c r="BV25" i="1"/>
  <c r="BV15" i="1"/>
  <c r="BV12" i="1"/>
  <c r="BV29" i="1"/>
  <c r="BV41" i="1"/>
  <c r="BV20" i="1"/>
  <c r="BV18" i="1"/>
  <c r="BV27" i="1"/>
  <c r="BV21" i="1"/>
  <c r="BV17" i="1"/>
  <c r="BV7" i="1"/>
  <c r="BV16" i="1"/>
  <c r="BV23" i="1"/>
  <c r="BV9" i="1"/>
  <c r="BV22" i="1"/>
  <c r="BW10" i="1" l="1"/>
  <c r="BW12" i="1"/>
  <c r="BW21" i="1"/>
  <c r="BW29" i="1"/>
  <c r="BW11" i="1"/>
  <c r="BW32" i="1"/>
  <c r="BW16" i="1"/>
  <c r="BW33" i="1"/>
  <c r="BW17" i="1"/>
  <c r="BW41" i="1"/>
  <c r="BW13" i="1"/>
  <c r="BW19" i="1"/>
  <c r="BW24" i="1"/>
  <c r="BW39" i="1"/>
  <c r="BW31" i="1"/>
  <c r="BW18" i="1"/>
  <c r="BW20" i="1"/>
  <c r="BW25" i="1"/>
  <c r="BW9" i="1"/>
  <c r="BW15" i="1"/>
  <c r="BW40" i="1"/>
  <c r="BW34" i="1"/>
  <c r="BW23" i="1"/>
  <c r="BW8" i="1"/>
  <c r="BW37" i="1"/>
  <c r="BW28" i="1"/>
  <c r="BW36" i="1"/>
  <c r="BX5" i="1"/>
  <c r="BW27" i="1"/>
  <c r="BW22" i="1"/>
  <c r="BW7" i="1"/>
  <c r="BW38" i="1"/>
  <c r="BW35" i="1"/>
  <c r="BW30" i="1"/>
  <c r="BW14" i="1"/>
  <c r="BW26" i="1"/>
  <c r="BX10" i="1" l="1"/>
  <c r="BX16" i="1"/>
  <c r="BX21" i="1"/>
  <c r="BX24" i="1"/>
  <c r="BY5" i="1"/>
  <c r="BX40" i="1"/>
  <c r="BX11" i="1"/>
  <c r="BX7" i="1"/>
  <c r="BX18" i="1"/>
  <c r="BX13" i="1"/>
  <c r="BX38" i="1"/>
  <c r="BX23" i="1"/>
  <c r="BX27" i="1"/>
  <c r="BX29" i="1"/>
  <c r="BX17" i="1"/>
  <c r="BX34" i="1"/>
  <c r="BX31" i="1"/>
  <c r="BX14" i="1"/>
  <c r="BX8" i="1"/>
  <c r="BX33" i="1"/>
  <c r="BX28" i="1"/>
  <c r="BX30" i="1"/>
  <c r="BX32" i="1"/>
  <c r="BX20" i="1"/>
  <c r="BX22" i="1"/>
  <c r="BX35" i="1"/>
  <c r="BX39" i="1"/>
  <c r="BX9" i="1"/>
  <c r="BX37" i="1"/>
  <c r="BX12" i="1"/>
  <c r="BX15" i="1"/>
  <c r="BX41" i="1"/>
  <c r="BX25" i="1"/>
  <c r="BX19" i="1"/>
  <c r="BX26" i="1"/>
  <c r="BX36" i="1"/>
  <c r="BY33" i="1" l="1"/>
  <c r="BY31" i="1"/>
  <c r="BY22" i="1"/>
  <c r="BZ5" i="1"/>
  <c r="BY17" i="1"/>
  <c r="BY18" i="1"/>
  <c r="BY37" i="1"/>
  <c r="BY14" i="1"/>
  <c r="BY27" i="1"/>
  <c r="BY36" i="1"/>
  <c r="BY24" i="1"/>
  <c r="BY9" i="1"/>
  <c r="BY21" i="1"/>
  <c r="BY35" i="1"/>
  <c r="BY15" i="1"/>
  <c r="BY12" i="1"/>
  <c r="BY28" i="1"/>
  <c r="BY10" i="1"/>
  <c r="BY20" i="1"/>
  <c r="BY26" i="1"/>
  <c r="BY38" i="1"/>
  <c r="BY30" i="1"/>
  <c r="BY25" i="1"/>
  <c r="BY32" i="1"/>
  <c r="BY7" i="1"/>
  <c r="BY34" i="1"/>
  <c r="BY8" i="1"/>
  <c r="BY29" i="1"/>
  <c r="BY13" i="1"/>
  <c r="BY39" i="1"/>
  <c r="BY16" i="1"/>
  <c r="BY23" i="1"/>
  <c r="BY41" i="1"/>
  <c r="BY40" i="1"/>
  <c r="BY11" i="1"/>
  <c r="BY19" i="1"/>
  <c r="BZ27" i="1" l="1"/>
  <c r="BZ29" i="1"/>
  <c r="BZ18" i="1"/>
  <c r="BZ34" i="1"/>
  <c r="BZ12" i="1"/>
  <c r="BZ20" i="1"/>
  <c r="BZ32" i="1"/>
  <c r="BZ28" i="1"/>
  <c r="BZ24" i="1"/>
  <c r="BZ9" i="1"/>
  <c r="BZ40" i="1"/>
  <c r="BZ19" i="1"/>
  <c r="BZ10" i="1"/>
  <c r="BZ30" i="1"/>
  <c r="BZ26" i="1"/>
  <c r="BZ11" i="1"/>
  <c r="BZ23" i="1"/>
  <c r="BZ33" i="1"/>
  <c r="BZ35" i="1"/>
  <c r="BZ25" i="1"/>
  <c r="BZ8" i="1"/>
  <c r="BZ14" i="1"/>
  <c r="BZ37" i="1"/>
  <c r="CA5" i="1"/>
  <c r="BZ22" i="1"/>
  <c r="BZ21" i="1"/>
  <c r="BZ38" i="1"/>
  <c r="BZ16" i="1"/>
  <c r="BZ31" i="1"/>
  <c r="BZ15" i="1"/>
  <c r="BZ39" i="1"/>
  <c r="BZ7" i="1"/>
  <c r="BZ13" i="1"/>
  <c r="BZ17" i="1"/>
  <c r="BZ36" i="1"/>
  <c r="BZ41" i="1"/>
  <c r="CA13" i="1" l="1"/>
  <c r="CA36" i="1"/>
  <c r="CA40" i="1"/>
  <c r="CA39" i="1"/>
  <c r="CA18" i="1"/>
  <c r="CB5" i="1"/>
  <c r="CA7" i="1"/>
  <c r="CA12" i="1"/>
  <c r="CA37" i="1"/>
  <c r="CA26" i="1"/>
  <c r="CA32" i="1"/>
  <c r="CA35" i="1"/>
  <c r="CA19" i="1"/>
  <c r="CA11" i="1"/>
  <c r="CA20" i="1"/>
  <c r="CA41" i="1"/>
  <c r="CA25" i="1"/>
  <c r="CA34" i="1"/>
  <c r="CA14" i="1"/>
  <c r="CA22" i="1"/>
  <c r="CA30" i="1"/>
  <c r="CA10" i="1"/>
  <c r="CA23" i="1"/>
  <c r="CA8" i="1"/>
  <c r="CA31" i="1"/>
  <c r="CA33" i="1"/>
  <c r="CA24" i="1"/>
  <c r="CA17" i="1"/>
  <c r="CA28" i="1"/>
  <c r="CA38" i="1"/>
  <c r="CA21" i="1"/>
  <c r="CA27" i="1"/>
  <c r="CA29" i="1"/>
  <c r="CA15" i="1"/>
  <c r="CA16" i="1"/>
  <c r="CA9" i="1"/>
  <c r="CB32" i="1" l="1"/>
  <c r="CB24" i="1"/>
  <c r="CB31" i="1"/>
  <c r="CB25" i="1"/>
  <c r="CB35" i="1"/>
  <c r="CB29" i="1"/>
  <c r="CB10" i="1"/>
  <c r="CB23" i="1"/>
  <c r="CB28" i="1"/>
  <c r="CB30" i="1"/>
  <c r="CB27" i="1"/>
  <c r="CB15" i="1"/>
  <c r="CB20" i="1"/>
  <c r="CB8" i="1"/>
  <c r="CB33" i="1"/>
  <c r="CB38" i="1"/>
  <c r="CB9" i="1"/>
  <c r="CC5" i="1"/>
  <c r="CB37" i="1"/>
  <c r="CB21" i="1"/>
  <c r="CB13" i="1"/>
  <c r="CB40" i="1"/>
  <c r="CB26" i="1"/>
  <c r="CB11" i="1"/>
  <c r="CB18" i="1"/>
  <c r="CB41" i="1"/>
  <c r="CB34" i="1"/>
  <c r="CB7" i="1"/>
  <c r="CB14" i="1"/>
  <c r="CB17" i="1"/>
  <c r="CB39" i="1"/>
  <c r="CB22" i="1"/>
  <c r="CB19" i="1"/>
  <c r="CB12" i="1"/>
  <c r="CB16" i="1"/>
  <c r="CB36" i="1"/>
  <c r="CC12" i="1" l="1"/>
  <c r="CC31" i="1"/>
  <c r="CC32" i="1"/>
  <c r="CC33" i="1"/>
  <c r="CC24" i="1"/>
  <c r="CC15" i="1"/>
  <c r="CC16" i="1"/>
  <c r="CC23" i="1"/>
  <c r="CC19" i="1"/>
  <c r="CC11" i="1"/>
  <c r="CC21" i="1"/>
  <c r="CC17" i="1"/>
  <c r="CC30" i="1"/>
  <c r="CC34" i="1"/>
  <c r="CD5" i="1"/>
  <c r="CC20" i="1"/>
  <c r="CC18" i="1"/>
  <c r="CC36" i="1"/>
  <c r="CC13" i="1"/>
  <c r="CC8" i="1"/>
  <c r="CC39" i="1"/>
  <c r="CC14" i="1"/>
  <c r="CC26" i="1"/>
  <c r="CC40" i="1"/>
  <c r="CC37" i="1"/>
  <c r="CC9" i="1"/>
  <c r="CC29" i="1"/>
  <c r="CC41" i="1"/>
  <c r="CC27" i="1"/>
  <c r="CC10" i="1"/>
  <c r="CC28" i="1"/>
  <c r="CC25" i="1"/>
  <c r="CC35" i="1"/>
  <c r="CC22" i="1"/>
  <c r="CC38" i="1"/>
  <c r="CC7" i="1"/>
  <c r="CD26" i="1" l="1"/>
  <c r="CD35" i="1"/>
  <c r="CD12" i="1"/>
  <c r="CD21" i="1"/>
  <c r="CD30" i="1"/>
  <c r="CD18" i="1"/>
  <c r="CD16" i="1"/>
  <c r="CD14" i="1"/>
  <c r="CE5" i="1"/>
  <c r="CD41" i="1"/>
  <c r="CD37" i="1"/>
  <c r="CD36" i="1"/>
  <c r="CD40" i="1"/>
  <c r="CD13" i="1"/>
  <c r="CD20" i="1"/>
  <c r="CD33" i="1"/>
  <c r="CD9" i="1"/>
  <c r="CD39" i="1"/>
  <c r="CD10" i="1"/>
  <c r="CD15" i="1"/>
  <c r="CD27" i="1"/>
  <c r="CD19" i="1"/>
  <c r="CD28" i="1"/>
  <c r="CD11" i="1"/>
  <c r="CD22" i="1"/>
  <c r="CD31" i="1"/>
  <c r="CD32" i="1"/>
  <c r="CD23" i="1"/>
  <c r="CD29" i="1"/>
  <c r="CD7" i="1"/>
  <c r="CD17" i="1"/>
  <c r="CD34" i="1"/>
  <c r="CD24" i="1"/>
  <c r="CD38" i="1"/>
  <c r="CD25" i="1"/>
  <c r="CD8" i="1"/>
  <c r="CE36" i="1" l="1"/>
  <c r="CE41" i="1"/>
  <c r="CE34" i="1"/>
  <c r="CE37" i="1"/>
  <c r="CE25" i="1"/>
  <c r="CE11" i="1"/>
  <c r="CE12" i="1"/>
  <c r="CE21" i="1"/>
  <c r="CE22" i="1"/>
  <c r="CE8" i="1"/>
  <c r="CF5" i="1"/>
  <c r="CE18" i="1"/>
  <c r="CE30" i="1"/>
  <c r="CE17" i="1"/>
  <c r="CE27" i="1"/>
  <c r="CE13" i="1"/>
  <c r="CE10" i="1"/>
  <c r="CE15" i="1"/>
  <c r="CE39" i="1"/>
  <c r="CE23" i="1"/>
  <c r="CE38" i="1"/>
  <c r="CE35" i="1"/>
  <c r="CE24" i="1"/>
  <c r="CE16" i="1"/>
  <c r="CE14" i="1"/>
  <c r="CE7" i="1"/>
  <c r="CE40" i="1"/>
  <c r="CE29" i="1"/>
  <c r="CE19" i="1"/>
  <c r="CE20" i="1"/>
  <c r="CE33" i="1"/>
  <c r="CE28" i="1"/>
  <c r="CE31" i="1"/>
  <c r="CE9" i="1"/>
  <c r="CE26" i="1"/>
  <c r="CE32" i="1"/>
  <c r="CF14" i="1" l="1"/>
  <c r="CF22" i="1"/>
  <c r="CF35" i="1"/>
  <c r="CF24" i="1"/>
  <c r="CF29" i="1"/>
  <c r="CF30" i="1"/>
  <c r="CF18" i="1"/>
  <c r="CF10" i="1"/>
  <c r="CF8" i="1"/>
  <c r="CF15" i="1"/>
  <c r="CF32" i="1"/>
  <c r="CF7" i="1"/>
  <c r="CF37" i="1"/>
  <c r="CF11" i="1"/>
  <c r="CF12" i="1"/>
  <c r="CF27" i="1"/>
  <c r="CF20" i="1"/>
  <c r="CF19" i="1"/>
  <c r="CF41" i="1"/>
  <c r="CF23" i="1"/>
  <c r="CF26" i="1"/>
  <c r="CF28" i="1"/>
  <c r="CF36" i="1"/>
  <c r="CF38" i="1"/>
  <c r="CF33" i="1"/>
  <c r="CF16" i="1"/>
  <c r="CF40" i="1"/>
  <c r="CF17" i="1"/>
  <c r="CF13" i="1"/>
  <c r="CF9" i="1"/>
  <c r="CF31" i="1"/>
  <c r="CF34" i="1"/>
  <c r="CF39" i="1"/>
  <c r="CF21" i="1"/>
  <c r="CF25" i="1"/>
</calcChain>
</file>

<file path=xl/sharedStrings.xml><?xml version="1.0" encoding="utf-8"?>
<sst xmlns="http://schemas.openxmlformats.org/spreadsheetml/2006/main" count="1097" uniqueCount="457">
  <si>
    <t>PM</t>
  </si>
  <si>
    <t>Planned Completion Dates</t>
  </si>
  <si>
    <t>Job Number</t>
  </si>
  <si>
    <t>Customer</t>
  </si>
  <si>
    <t>Updated:</t>
  </si>
  <si>
    <t>M</t>
  </si>
  <si>
    <t>A</t>
  </si>
  <si>
    <t>P</t>
  </si>
  <si>
    <t>R</t>
  </si>
  <si>
    <t>I</t>
  </si>
  <si>
    <t xml:space="preserve">Assembly / Wiring </t>
  </si>
  <si>
    <t xml:space="preserve">Programming </t>
  </si>
  <si>
    <t xml:space="preserve">Runoff </t>
  </si>
  <si>
    <t>1st Day of Current Year</t>
  </si>
  <si>
    <t>Install Complete</t>
  </si>
  <si>
    <t>Clear</t>
  </si>
  <si>
    <t>Set Colors</t>
  </si>
  <si>
    <t>Install</t>
  </si>
  <si>
    <t>ME</t>
  </si>
  <si>
    <t>EE</t>
  </si>
  <si>
    <t>Fab</t>
  </si>
  <si>
    <t>Mach</t>
  </si>
  <si>
    <t>Assy</t>
  </si>
  <si>
    <t>Elect</t>
  </si>
  <si>
    <t>Prog</t>
  </si>
  <si>
    <t>Green Days are Holidays</t>
  </si>
  <si>
    <t>January</t>
  </si>
  <si>
    <t>February</t>
  </si>
  <si>
    <t>March</t>
  </si>
  <si>
    <t>April</t>
  </si>
  <si>
    <t>May</t>
  </si>
  <si>
    <t>June</t>
  </si>
  <si>
    <t>WK #</t>
  </si>
  <si>
    <t>Mon</t>
  </si>
  <si>
    <t>Tues</t>
  </si>
  <si>
    <t>Wed</t>
  </si>
  <si>
    <t>Thu</t>
  </si>
  <si>
    <t>Fri</t>
  </si>
  <si>
    <t>Sat</t>
  </si>
  <si>
    <t>Sun</t>
  </si>
  <si>
    <t>July</t>
  </si>
  <si>
    <t>August</t>
  </si>
  <si>
    <t>September</t>
  </si>
  <si>
    <t>October</t>
  </si>
  <si>
    <t>November</t>
  </si>
  <si>
    <t>December</t>
  </si>
  <si>
    <t>Last Updated</t>
  </si>
  <si>
    <t>Comments</t>
  </si>
  <si>
    <t>Assembly Priorities</t>
  </si>
  <si>
    <t>1.</t>
  </si>
  <si>
    <t>2.</t>
  </si>
  <si>
    <t>3.</t>
  </si>
  <si>
    <t>4.</t>
  </si>
  <si>
    <t>5.</t>
  </si>
  <si>
    <t xml:space="preserve">Mech Engineering </t>
  </si>
  <si>
    <t xml:space="preserve">Elec Engineering </t>
  </si>
  <si>
    <t xml:space="preserve">Fabrication / Manufacturing </t>
  </si>
  <si>
    <t>Channel Partner Install Complete</t>
  </si>
  <si>
    <t>Integration Finished
(Ship)</t>
  </si>
  <si>
    <t>Assembly Complete
(Program Start)</t>
  </si>
  <si>
    <t>Manufacturing Complete</t>
  </si>
  <si>
    <t>Electrical Engineering Released</t>
  </si>
  <si>
    <t>Mechanical Engineering Released</t>
  </si>
  <si>
    <t>Chan Install</t>
  </si>
  <si>
    <t>Installation @ Channel</t>
  </si>
  <si>
    <t>Installation @ Customer</t>
  </si>
  <si>
    <t>CI</t>
  </si>
  <si>
    <t>TBD</t>
  </si>
  <si>
    <t>Halverson</t>
  </si>
  <si>
    <t>Tech</t>
  </si>
  <si>
    <t>Foulk</t>
  </si>
  <si>
    <t>Manufacturing Outsourced</t>
  </si>
  <si>
    <t>N/A</t>
  </si>
  <si>
    <t>Internal Runoff</t>
  </si>
  <si>
    <t>Mechanical Engineering Open Issues</t>
  </si>
  <si>
    <t>Electrical  Engineering Open Issues</t>
  </si>
  <si>
    <t>Signed Off From Last Report</t>
  </si>
  <si>
    <t>Job #</t>
  </si>
  <si>
    <t>Integration</t>
  </si>
  <si>
    <t>Installation</t>
  </si>
  <si>
    <t>Redlines</t>
  </si>
  <si>
    <t>Mech</t>
  </si>
  <si>
    <t>Elec.</t>
  </si>
  <si>
    <t>OP
Manual</t>
  </si>
  <si>
    <t>Signoff</t>
  </si>
  <si>
    <t>Acieta Project Milestones Overview</t>
  </si>
  <si>
    <t xml:space="preserve">Teardown/Ship Priorities </t>
  </si>
  <si>
    <t>Action Items &amp; Followup</t>
  </si>
  <si>
    <t>New Purchase Orders</t>
  </si>
  <si>
    <t>RE</t>
  </si>
  <si>
    <t>CE</t>
  </si>
  <si>
    <t>Sold Hours</t>
  </si>
  <si>
    <t>Target/Budgeted Hours</t>
  </si>
  <si>
    <t>Backlog Hours</t>
  </si>
  <si>
    <t>Total Sold Hrs</t>
  </si>
  <si>
    <t>Total Budget Hrs</t>
  </si>
  <si>
    <t>Total Backlog Hrs</t>
  </si>
  <si>
    <t>Completed hours</t>
  </si>
  <si>
    <t>Total Cmptld Hrs</t>
  </si>
  <si>
    <t>Instsll</t>
  </si>
  <si>
    <t>Rework</t>
  </si>
  <si>
    <t>Over budget</t>
  </si>
  <si>
    <t>Total
Sold</t>
  </si>
  <si>
    <t>Total
Target</t>
  </si>
  <si>
    <t>Total Back</t>
  </si>
  <si>
    <t>Total
Compl</t>
  </si>
  <si>
    <t>CP</t>
  </si>
  <si>
    <t>CS</t>
  </si>
  <si>
    <t>Budget Hrs</t>
  </si>
  <si>
    <t>Sold Hrs</t>
  </si>
  <si>
    <t>Backlog</t>
  </si>
  <si>
    <t>Cmpltd Hrs</t>
  </si>
  <si>
    <t>SA0782 Fabtech 2015, show is 11/9 thru 11/12</t>
  </si>
  <si>
    <t>6.</t>
  </si>
  <si>
    <t>2452 Parker pallets versus tubs, review EOAT</t>
  </si>
  <si>
    <t>2466 Metalex, eng approval &amp; cycletime</t>
  </si>
  <si>
    <t>Totals</t>
  </si>
  <si>
    <t>2476 Bobcat, robot only ordered</t>
  </si>
  <si>
    <t>2484 Altamont, robot oinly ordered</t>
  </si>
  <si>
    <t>2483 Altamont, (3) robots ordered</t>
  </si>
  <si>
    <t>7.</t>
  </si>
  <si>
    <t>8.</t>
  </si>
  <si>
    <t>9.</t>
  </si>
  <si>
    <t>10.</t>
  </si>
  <si>
    <t>11.</t>
  </si>
  <si>
    <t>12.</t>
  </si>
  <si>
    <t>2397 ET-MN PTT, on hold</t>
  </si>
  <si>
    <t>2398 TMCO, on hold</t>
  </si>
  <si>
    <t xml:space="preserve"> </t>
  </si>
  <si>
    <t>Customer - Project</t>
  </si>
  <si>
    <t>Mach / Fab Priorities</t>
  </si>
  <si>
    <t>ME Release</t>
  </si>
  <si>
    <t>EE Release</t>
  </si>
  <si>
    <t>MFG Complete</t>
  </si>
  <si>
    <t>Customer Runoff</t>
  </si>
  <si>
    <t>Ship Date</t>
  </si>
  <si>
    <t>Install Start</t>
  </si>
  <si>
    <t>ASSY Complete</t>
  </si>
  <si>
    <t>Splichal</t>
  </si>
  <si>
    <t>General Grind</t>
  </si>
  <si>
    <t>Bill Bailey</t>
  </si>
  <si>
    <t>No</t>
  </si>
  <si>
    <t>Active Documentation Projects and Issues(Updated 04-04-2016)</t>
  </si>
  <si>
    <t>LB</t>
  </si>
  <si>
    <t>Mithlo</t>
  </si>
  <si>
    <t>Controls Status</t>
  </si>
  <si>
    <t>n/a</t>
  </si>
  <si>
    <t>Spartan Mexico
DCM 17</t>
  </si>
  <si>
    <t>2545</t>
  </si>
  <si>
    <t>Gardner Denver
CMM Addition</t>
  </si>
  <si>
    <t>* Pushing some duplicate parts into MFG already to reduce costs
No mechanical release yet
EE waiting on layout</t>
  </si>
  <si>
    <t>Finishing Complete</t>
  </si>
  <si>
    <t>Customer (First Line)
Project Description (Second Line)</t>
  </si>
  <si>
    <t>Original Date 
Current Date</t>
  </si>
  <si>
    <t>PM Last Name</t>
  </si>
  <si>
    <t>ME Last Name</t>
  </si>
  <si>
    <t>EE Last Name</t>
  </si>
  <si>
    <t>LB Last Name</t>
  </si>
  <si>
    <t>RE Last Name</t>
  </si>
  <si>
    <t>CE Last Name</t>
  </si>
  <si>
    <t xml:space="preserve">Original Date </t>
  </si>
  <si>
    <t>milestone date as of post kickoff dashboard</t>
  </si>
  <si>
    <t>Current Date</t>
  </si>
  <si>
    <t>current milestone date</t>
  </si>
  <si>
    <t>Red Date</t>
  </si>
  <si>
    <t>jhkljgkhvb</t>
  </si>
  <si>
    <t>kbk,b,mnb</t>
  </si>
  <si>
    <t>dsgaefgsefd</t>
  </si>
  <si>
    <t>sdgages</t>
  </si>
  <si>
    <t>Original Date 
Current Date
Completed Date</t>
  </si>
  <si>
    <t>Kilburn</t>
  </si>
  <si>
    <t>Anderson</t>
  </si>
  <si>
    <t>Assembly Complete</t>
  </si>
  <si>
    <t>Internal
Runoff</t>
  </si>
  <si>
    <t>Manufacturing
 Complete</t>
  </si>
  <si>
    <t>Current Project Milestones</t>
  </si>
  <si>
    <t>Actual Hours</t>
  </si>
  <si>
    <t>Total Actual Hrs</t>
  </si>
  <si>
    <t>Last Week</t>
  </si>
  <si>
    <t>Int Team</t>
  </si>
  <si>
    <t>Controls</t>
  </si>
  <si>
    <t>PLC</t>
  </si>
  <si>
    <t>HMI</t>
  </si>
  <si>
    <t>BD Diagnostics
PLC Re-write</t>
  </si>
  <si>
    <t>Documentation Complete</t>
  </si>
  <si>
    <t>Mark P</t>
  </si>
  <si>
    <t>ConAgra Foods
Palletizer</t>
  </si>
  <si>
    <t>RMH / Crosswinds
7 Bone Packaging</t>
  </si>
  <si>
    <t>Bowhay &amp; Schneckloth</t>
  </si>
  <si>
    <t>Corning
Gasket Dispense</t>
  </si>
  <si>
    <t>CapStone 
Autoviri 5.2 -  #21 thru #40</t>
  </si>
  <si>
    <t>Bedford Plastics
CNC Router and Saw</t>
  </si>
  <si>
    <t>Eaton Belmond
Grinder Load</t>
  </si>
  <si>
    <t>ID</t>
  </si>
  <si>
    <t>Project_Manager_s__c</t>
  </si>
  <si>
    <t>Mechanical_Engineer__c</t>
  </si>
  <si>
    <t>Electrical_Engineer_s__c</t>
  </si>
  <si>
    <t>LB__c</t>
  </si>
  <si>
    <t>Controls__c</t>
  </si>
  <si>
    <t>Robot_Tech_Programmers__c</t>
  </si>
  <si>
    <t>Tracking__c</t>
  </si>
  <si>
    <t>ME_Release__c</t>
  </si>
  <si>
    <t>EE_Release__c</t>
  </si>
  <si>
    <t>MFG_Complete__c</t>
  </si>
  <si>
    <t>Finishing_Complete__c</t>
  </si>
  <si>
    <t>Assembly_Complete__c</t>
  </si>
  <si>
    <t>Run_Off_Internal__c</t>
  </si>
  <si>
    <t>Run_Off_Acieta__c</t>
  </si>
  <si>
    <t>Integr_CS_Start__c</t>
  </si>
  <si>
    <t>Documents_Done__c</t>
  </si>
  <si>
    <t>Comments_Opps__c</t>
  </si>
  <si>
    <t>Customer_Visit__c</t>
  </si>
  <si>
    <t>Customer Visit</t>
  </si>
  <si>
    <t>a1b0G00000CppN5QAJ</t>
  </si>
  <si>
    <t>a1b0G00000CoxU8QAJ</t>
  </si>
  <si>
    <t>a1b0G00000CnyJVQAZ</t>
  </si>
  <si>
    <t>a1b0G00000CMnfYQAT</t>
  </si>
  <si>
    <t>a1b0G00000CN4aWQAT</t>
  </si>
  <si>
    <t>a1b0G00000CMRGmQAP</t>
  </si>
  <si>
    <t>a1b0G00000Bg64FQAR</t>
  </si>
  <si>
    <t>a1b0G0000092LV6QAM</t>
  </si>
  <si>
    <t>a1b0G0000090VSkQAM</t>
  </si>
  <si>
    <t>a1b0G00000720LcQAI</t>
  </si>
  <si>
    <t>a1b0G000007XJeAQAW</t>
  </si>
  <si>
    <t>SFID #</t>
  </si>
  <si>
    <t>On Track</t>
  </si>
  <si>
    <t>Integ_CS_End__c</t>
  </si>
  <si>
    <t>Integ_CP_End__c</t>
  </si>
  <si>
    <t>n/a-1</t>
  </si>
  <si>
    <t>n/a-2</t>
  </si>
  <si>
    <t>n/a-3</t>
  </si>
  <si>
    <t>n/a-4</t>
  </si>
  <si>
    <t>Operation result</t>
  </si>
  <si>
    <t>Updated IDs</t>
  </si>
  <si>
    <t>Date Time</t>
  </si>
  <si>
    <t>Ship_Date_Notes__c</t>
  </si>
  <si>
    <t>Y</t>
  </si>
  <si>
    <t>N</t>
  </si>
  <si>
    <t>W</t>
  </si>
  <si>
    <t>Lennox
Return Bend Brazing System</t>
  </si>
  <si>
    <t>Customer
Project</t>
  </si>
  <si>
    <t>To follow completion of each cell</t>
  </si>
  <si>
    <t>Assembly is per cell
Runoff dates are per 2 cells</t>
  </si>
  <si>
    <t>EMD
2060 Cell Mods</t>
  </si>
  <si>
    <t>Service</t>
  </si>
  <si>
    <t>a1b0G00000Czz6WQAR</t>
  </si>
  <si>
    <t>a1b0G00000C1jciQAB</t>
  </si>
  <si>
    <t>Jeff Boyer</t>
  </si>
  <si>
    <t>Sammy Dowds</t>
  </si>
  <si>
    <t>Eric Johnson</t>
  </si>
  <si>
    <t>Greg Morehouse</t>
  </si>
  <si>
    <t>Travis Pinkelman</t>
  </si>
  <si>
    <t>Joseph Splichal</t>
  </si>
  <si>
    <t>Brad Bowhay</t>
  </si>
  <si>
    <t>Bob Foulk</t>
  </si>
  <si>
    <t>Darin Schneckloth</t>
  </si>
  <si>
    <t>Bryan Carsrud</t>
  </si>
  <si>
    <t>Jake Crowley</t>
  </si>
  <si>
    <t>Shane Halverson</t>
  </si>
  <si>
    <t>Robert Knox</t>
  </si>
  <si>
    <t>Dan Mitchell</t>
  </si>
  <si>
    <t>Service, Andy Wiese</t>
  </si>
  <si>
    <t>Ryan Smallfoot</t>
  </si>
  <si>
    <t>Andy Wiese</t>
  </si>
  <si>
    <t>Steve Cooprider</t>
  </si>
  <si>
    <t>Syngenta
Bin Washing Complete</t>
  </si>
  <si>
    <t>Darrin Schneckloth</t>
  </si>
  <si>
    <t>NA</t>
  </si>
  <si>
    <t>Tim Bracha</t>
  </si>
  <si>
    <t>John Deere Waterloo
M900 Robot Replacement</t>
  </si>
  <si>
    <t>a1b0G00000D37j1</t>
  </si>
  <si>
    <t>a1b0G00000D2yn4</t>
  </si>
  <si>
    <t>a1b0G00000D2GGH</t>
  </si>
  <si>
    <t>a1b0G00000D1wER</t>
  </si>
  <si>
    <t xml:space="preserve"> 
a1b0G00000D1O8x</t>
  </si>
  <si>
    <t xml:space="preserve"> 
a1b0G00000D26zb</t>
  </si>
  <si>
    <t xml:space="preserve"> 
a1b0G00000D1EXA</t>
  </si>
  <si>
    <t>Jordan
Wehmeier</t>
  </si>
  <si>
    <t>Chris Bishop</t>
  </si>
  <si>
    <t>NSK
Washer Load</t>
  </si>
  <si>
    <t>B&amp;G Foods
Line 23 Automation</t>
  </si>
  <si>
    <t>EM Dynamics
RIBS System</t>
  </si>
  <si>
    <t>Cotterman
RIBS/Weld System</t>
  </si>
  <si>
    <t>O'Neil</t>
  </si>
  <si>
    <t>Bobcat Gwinner
Gen6 ROPS Final Weld</t>
  </si>
  <si>
    <t>Jacobs Corportation
Machining System</t>
  </si>
  <si>
    <t>Bobcat Gwinner
Gen 6 Front Stamping Sub</t>
  </si>
  <si>
    <t>EMD Head Line Move
(2032 Cell Relocation)</t>
  </si>
  <si>
    <t>Bobcat Wahpeton
Friction Weld LUL</t>
  </si>
  <si>
    <t>Hillphoenix
RIBS3</t>
  </si>
  <si>
    <t>a1b0G00000D92fFQAR</t>
  </si>
  <si>
    <t>a1b2I00000DJo1LQAT</t>
  </si>
  <si>
    <t>a1b2I00000DHk0FQAT</t>
  </si>
  <si>
    <t>Gardner Denver
Seat/Valve Machining</t>
  </si>
  <si>
    <t>a1b2I00000DP8xgQAD</t>
  </si>
  <si>
    <t>a1b2I00000DQ2wOQAT</t>
  </si>
  <si>
    <t xml:space="preserve"> 
a1b2I00000DPCuXQAX</t>
  </si>
  <si>
    <t>Yes, for customer runoff</t>
  </si>
  <si>
    <t>New Schedule (1/22/2019) Project on hold as of 1/31/19</t>
  </si>
  <si>
    <t xml:space="preserve">Neapco
Honda LM Gen2 </t>
  </si>
  <si>
    <t>ABU Trailers
Welding System</t>
  </si>
  <si>
    <t>Sean Scallon</t>
  </si>
  <si>
    <t>3M Brookings
HOS2 Upgrades</t>
  </si>
  <si>
    <t>Chicago Metal Fabricators
RIBS System</t>
  </si>
  <si>
    <t>a1b2I00000DSW1pQAH</t>
  </si>
  <si>
    <t>a1b2I00000DZv0sQAD</t>
  </si>
  <si>
    <t>Hold</t>
  </si>
  <si>
    <t xml:space="preserve">Schedule will be loaded following 12-6 on site kickoff. Service pushed to Sept 2019.  Waiting on Customer Approval since 1/29.  Conveyors will drop ship to Winston Salem </t>
  </si>
  <si>
    <t>Corning
2340 Updates</t>
  </si>
  <si>
    <t>Bridgestone
Gripper Feasibility Study</t>
  </si>
  <si>
    <t>Travis Pinkelman
Sean Scallon</t>
  </si>
  <si>
    <t>Shawn Anderson/
Bob Foulk</t>
  </si>
  <si>
    <t>Sylas</t>
  </si>
  <si>
    <t>Kevin</t>
  </si>
  <si>
    <t>a1b2I00000Do4wBQAR</t>
  </si>
  <si>
    <t>a1b2I00000Db4wtQAB</t>
  </si>
  <si>
    <t>a1b2I00000DauezQAB</t>
  </si>
  <si>
    <t>CapStone
Palletizer Gripper</t>
  </si>
  <si>
    <t>Neapco
Slip Yoke Lathe LUL</t>
  </si>
  <si>
    <t>Tom Stroud / Shane Halverson</t>
  </si>
  <si>
    <t>Brian Vokoun</t>
  </si>
  <si>
    <t>Bobcat
Seat Pan Weld</t>
  </si>
  <si>
    <t xml:space="preserve">Bobcat
Phase 2 ROPS </t>
  </si>
  <si>
    <t>Nelson Steel
Ribs 1</t>
  </si>
  <si>
    <t>Main Stream Metals
Squaring Shear</t>
  </si>
  <si>
    <t>Taylor Storey</t>
  </si>
  <si>
    <t>Tom Stroud / Brett Mjelde</t>
  </si>
  <si>
    <t>Shawn Anderson / Darrin Schneckloth</t>
  </si>
  <si>
    <t>Eaton Hastings 
Ford Uplift LUL</t>
  </si>
  <si>
    <t>CI Standard</t>
  </si>
  <si>
    <t>Ryan/Andy</t>
  </si>
  <si>
    <t>Andy/Ryan</t>
  </si>
  <si>
    <t>Andy</t>
  </si>
  <si>
    <t>Ryan</t>
  </si>
  <si>
    <t>a1b2I00000DjwwyQAB</t>
  </si>
  <si>
    <t>a1b2I00000DjvZOQAZ</t>
  </si>
  <si>
    <t>a1b2I00000ChfB8QAJ</t>
  </si>
  <si>
    <t>a1b2I00000ChfDJQAZ</t>
  </si>
  <si>
    <t>a1b2I00000DjvYuQAJ</t>
  </si>
  <si>
    <t>a1b2I00000Dp7B8QAJ</t>
  </si>
  <si>
    <t>a1b2I00000Dq8bTQAR</t>
  </si>
  <si>
    <t>Working toward signoff</t>
  </si>
  <si>
    <t>SRV-2868</t>
  </si>
  <si>
    <t>Spartan - Gate Switch Update</t>
  </si>
  <si>
    <t>SRV-3048</t>
  </si>
  <si>
    <t>Waterous - Update Camera Mount</t>
  </si>
  <si>
    <t xml:space="preserve">PO placed for intial proposal, wiating on order from customer. </t>
  </si>
  <si>
    <t>Updated engr dates 5/14</t>
  </si>
  <si>
    <t>Kevin Schneider</t>
  </si>
  <si>
    <t>new booking, team will review this project during 12/6 onsite meeting.  Project down payment scheduled to arrive 2/5 due to net 45 terms on PO.  4/15 Update - moved assembly complete date again because nobody working on this.  EMD rescheduled move start date to 7/22/19</t>
  </si>
  <si>
    <t>Russ Ridgway</t>
  </si>
  <si>
    <t>Cat Mapleton - M-2000 Grippers x2</t>
  </si>
  <si>
    <t>Cat Mapleton - M-900 gripper</t>
  </si>
  <si>
    <t>003577-1-1</t>
  </si>
  <si>
    <t>003536-1-1 / TBD</t>
  </si>
  <si>
    <t xml:space="preserve">Next robot (4th) is up for installation. Robot will be shipped May 28th. Need site support from 7/8-7/19. </t>
  </si>
  <si>
    <t xml:space="preserve">
47 - TBD
48 - TBD
49 - TBD</t>
  </si>
  <si>
    <t>000635</t>
  </si>
  <si>
    <t xml:space="preserve">New Schedule. Sending Change order this week, and confirming dates in schedule match welder timeline. </t>
  </si>
  <si>
    <t xml:space="preserve">Reviewing hardware on Thursday. </t>
  </si>
  <si>
    <t xml:space="preserve">Pushed back ME and EE release one week. Reviewed manufacturing schedule with Mike, looks good for Assembly to start on 8/8 or 8/12. </t>
  </si>
  <si>
    <t>Husky
Studer Flex Finishing Cell</t>
  </si>
  <si>
    <t>cell #110/16/2019
cell #2 TBD</t>
  </si>
  <si>
    <t>cell #2 - 12/15/2019
cell#1 - 12/20/2019</t>
  </si>
  <si>
    <t xml:space="preserve">8/2/2019 (New Date) </t>
  </si>
  <si>
    <t>9/6/2019 (New Date)</t>
  </si>
  <si>
    <t xml:space="preserve">New Schedule as of 11/20. (1-21-2019…. Loaded new schedule) (2/25/19 - Pushed out schedule 1 week). 4/23 - Revised schedule to accommodate redesign to add second ball screw to lift table. Ship date pushed out a month. 5-21 Pushed out dated about 10 days-2 weeks.  6/21 -Installation delayed by NSK.  Recalculated installation start, complete and documentation dates
</t>
  </si>
  <si>
    <t>8/16/2019 (New Date)</t>
  </si>
  <si>
    <t>8/23/2019 (New Date)</t>
  </si>
  <si>
    <t>4/2/19 New Schedule.  4-23 - No Down payment yet.  Will need to reschedule project. 5/22 New Schedule - Gripper is 13-14 weeks after approval which puts delivery into September. 6/24/2019 - Reloaded dates for ME , mfg, &amp; Finishing</t>
  </si>
  <si>
    <t>Tom Moylan was on a scouting trip last weekend and we will have a discussion this week to discuss future plans</t>
  </si>
  <si>
    <t xml:space="preserve">Pushed back the schedule an additional week - discussed with Andy, and customer is good with change. </t>
  </si>
  <si>
    <t>Schedule built around 11/22 Ship date penalty clause</t>
  </si>
  <si>
    <t>Pete Rogers</t>
  </si>
  <si>
    <t>New tentative dates</t>
  </si>
  <si>
    <t>SRV-3148</t>
  </si>
  <si>
    <t>Scott Dykton</t>
  </si>
  <si>
    <t>TBA</t>
  </si>
  <si>
    <t>Husky - Schunk Servo Gripper for CMM</t>
  </si>
  <si>
    <t>SRV-3187</t>
  </si>
  <si>
    <t>Husky - Controls for Core Ring Regrip</t>
  </si>
  <si>
    <t>Shawn Anderson</t>
  </si>
  <si>
    <t>Danfoss
Sugino LUL</t>
  </si>
  <si>
    <t>Halliburton
Gun Machining Retrofit</t>
  </si>
  <si>
    <t xml:space="preserve">Fast Arc DT 
</t>
  </si>
  <si>
    <t>AIM Aerospace
Qforge L/UL</t>
  </si>
  <si>
    <t>Bobcat Whap
Crate Robot &amp; Panel</t>
  </si>
  <si>
    <t>Terex
Robot Drill</t>
  </si>
  <si>
    <t>Bobcat Gwinner
Tailgate Weld System</t>
  </si>
  <si>
    <t>CapStone
RRD DBL Palletizer</t>
  </si>
  <si>
    <t>Saginaw
RIBS</t>
  </si>
  <si>
    <t>10/4/2019 New Date)</t>
  </si>
  <si>
    <t>revised schedule based on integration availabilty and required training. Don onsite (IA) 8/12, then on site at Corning starting 8/19</t>
  </si>
  <si>
    <t>NLX / Mosey's</t>
  </si>
  <si>
    <t>SRV-3194</t>
  </si>
  <si>
    <t>Need close off plate for panel</t>
  </si>
  <si>
    <t>9/18/2019
Test Guarding and Outbound</t>
  </si>
  <si>
    <t>9/16/2019
No Robot Integration</t>
  </si>
  <si>
    <t>9/30/2019
1 Mech/ 1 Elec Tech Only</t>
  </si>
  <si>
    <t>10-12 week lead time.   No robot.  Very similar to the previous Halliburton cell 2639.  Will build and assemble entire cell and the runoff will consist of showing the customer the functionality of the guarding package and the redesigned Finished Part Outbound Table/Lift System.</t>
  </si>
  <si>
    <t>Jacobson PIM Unload &amp; Retrofit (iA,2619)</t>
  </si>
  <si>
    <t>* Will more than likely have a return trip in September
* Need to determine the show schedule and tech support
* Owe CI a quote for additional grippers</t>
  </si>
  <si>
    <t>On Wednesday of this week we will know the tooling decision and when the building will be completed so we can ship the cell.  We are completing VIDEO customer runoff during celebrate.</t>
  </si>
  <si>
    <t>cell shipping today</t>
  </si>
  <si>
    <t>We are unable to make the smallest boxes work parametrically.  Dates will push as we will need to build a new EOAT which should be completed by EOD today.  Programming is done and plan is to be in Auto for the entire cell by Monday.  Depending on new EOAT's</t>
  </si>
  <si>
    <t>40- TBD        
45–TBD
46–TBD
47–TBD
48–TBD
49–TBD</t>
  </si>
  <si>
    <t>Expect a PO by end of July with delivery Q1</t>
  </si>
  <si>
    <t>Waiting on approval drawings</t>
  </si>
  <si>
    <t xml:space="preserve">
47 TBD
48 TBD 
49 TBD</t>
  </si>
  <si>
    <t>8/27/2019    (New Date)</t>
  </si>
  <si>
    <t>8/29/2019 (New Date)</t>
  </si>
  <si>
    <t xml:space="preserve">9/4/2019 (New Date) </t>
  </si>
  <si>
    <t>9/9/2019 (New Date)</t>
  </si>
  <si>
    <t>10/11/2019 (New Date)</t>
  </si>
  <si>
    <t>11/8/2019 (New Date)</t>
  </si>
  <si>
    <t>Initial Schedule loaded 4/24/19.  Revised runoff and later dates by pushing out 2 weeks.</t>
  </si>
  <si>
    <t>SRV-3168</t>
  </si>
  <si>
    <t>Curries - CVG Updates</t>
  </si>
  <si>
    <t xml:space="preserve">Dixie Iron - 1500HP Addition  </t>
  </si>
  <si>
    <t xml:space="preserve">Need to review dates with the team. </t>
  </si>
  <si>
    <t>8/19 - 8/23</t>
  </si>
  <si>
    <t>Install complete</t>
  </si>
  <si>
    <t xml:space="preserve">Install going well, and the chute has been redesigned and getting reinstalled. </t>
  </si>
  <si>
    <t>8/19/2019 (New Date) (Confidence 50%)</t>
  </si>
  <si>
    <t>New Schedule (10/9/2018). 11/5/2018 - Schedule will need to be rebuild pending acceptable tray handling concept/direction.  Schedule reloaded 12/10/2018.  Schedule reloaded 1/21/19.  4/15/19 update Issues reaching into machine to load valves.  Schedule needs to be recalculated once loading path is known. 4/30 New schedule based on making new fingers. 5/28 update New dateds.  6/3 Update - New dates for customer runoff and Intallation.  Customer runoff delayed due to customer unavailable. Installation start delayed due to customer needing to make grinder mods prior to installation. 7/8 Update  Pushed installation start date. 7/24 update changed install start from 8/5 to 8/19</t>
  </si>
  <si>
    <t>Teardown on 7/25 &amp; 7/26, Shipping on Monday 7/29.</t>
  </si>
  <si>
    <t>Power Brace - Pier Bracket Weld</t>
  </si>
  <si>
    <t>8/6/2019 (New Date)</t>
  </si>
  <si>
    <t>(TBD)   8/26/2019</t>
  </si>
  <si>
    <t>(TBD)        10/25/2019</t>
  </si>
  <si>
    <t>(TBD)          11/1/2019</t>
  </si>
  <si>
    <t>(TBD)      11/12/2019</t>
  </si>
  <si>
    <t>(TBD)      11/18/2019</t>
  </si>
  <si>
    <t>(TBD)   12/31/2019</t>
  </si>
  <si>
    <t>(TBD)  1/31/2020</t>
  </si>
  <si>
    <t>Initial Schedule.  5-6-19 update... ME running behind. Slid schedule for ME, EE, Manufacturing, &amp; Finishing by 2 weeks. 6/10 update slid ME through assy complete dates by 3 weeks.  7/29 update Moved mfg &amp; finishing dates,  Balance of schedule will be rebuilt once press delivery and commisioning time frame is knowmn.</t>
  </si>
  <si>
    <t>ON HOLD 7/26/2019</t>
  </si>
  <si>
    <t>ON HOLD 8/9/2019</t>
  </si>
  <si>
    <t>ON HOLD 8/19/2019</t>
  </si>
  <si>
    <t>ON HOLD 9/15/2019</t>
  </si>
  <si>
    <t>ON HOLD 10/9/2019</t>
  </si>
  <si>
    <t>ON HOLD 10/16/2019</t>
  </si>
  <si>
    <t>ON HOLD 10/22/2019</t>
  </si>
  <si>
    <t>ON HOLD 10/28/2019</t>
  </si>
  <si>
    <t>ON HOLD 11/15/2019</t>
  </si>
  <si>
    <t>ON HOLD 12/13/2019</t>
  </si>
  <si>
    <t>ON HOLD AIM Aerospace has placed this project on hold until the 4th quarter.</t>
  </si>
  <si>
    <t>Pnumatics assembly released 7/17.  Delivery 7/24.  Jack Tran last updated as requiring help onsite 8/19-8/25</t>
  </si>
  <si>
    <t xml:space="preserve">Schunk delivery date pushed to 8/22/19.  </t>
  </si>
  <si>
    <t>Visited CAT 7/24.  No backlash measured on robot.  Payloads updated.  CAT will monitor.</t>
  </si>
  <si>
    <t>Parts will not be finished (anodized) prior to shipment</t>
  </si>
  <si>
    <t>Completed</t>
  </si>
  <si>
    <t>Bobcat Wahpeton - 
Dual Indexing Conveyor Control Panel</t>
  </si>
  <si>
    <t>Electrical Assm.  
9-27</t>
  </si>
  <si>
    <t>na</t>
  </si>
  <si>
    <t>Probably not</t>
  </si>
  <si>
    <t>updated documentation date based on expected completion of testing for project 2721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</si>
</sst>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0.0"/>
    <numFmt numFmtId="165" formatCode="#,###"/>
    <numFmt numFmtId="166" formatCode="[$-409]m/d/yy\ h:mm\ AM/PM;@"/>
    <numFmt numFmtId="167" formatCode="mm/dd/yy;@"/>
    <numFmt numFmtId="168" formatCode="d"/>
    <numFmt numFmtId="169" formatCode="m/d/yyyy;@"/>
  </numFmts>
  <fonts count="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0"/>
      <color indexed="9"/>
      <name val="Arial"/>
      <family val="2"/>
    </font>
    <font>
      <b/>
      <i/>
      <sz val="16"/>
      <name val="Arial"/>
      <family val="2"/>
    </font>
    <font>
      <u/>
      <sz val="10"/>
      <color indexed="62"/>
      <name val="Arial"/>
      <family val="2"/>
    </font>
    <font>
      <sz val="10"/>
      <name val="Arial"/>
      <family val="2"/>
    </font>
    <font>
      <i/>
      <sz val="8"/>
      <name val="Arial"/>
      <family val="2"/>
    </font>
    <font>
      <b/>
      <i/>
      <sz val="18"/>
      <name val="Arial"/>
      <family val="2"/>
    </font>
    <font>
      <b/>
      <i/>
      <sz val="10"/>
      <name val="Arial"/>
      <family val="2"/>
    </font>
    <font>
      <b/>
      <i/>
      <sz val="12"/>
      <name val="Arial"/>
      <family val="2"/>
    </font>
    <font>
      <sz val="12"/>
      <name val="Arial"/>
      <family val="2"/>
    </font>
    <font>
      <sz val="12"/>
      <name val="Arial"/>
      <family val="2"/>
    </font>
    <font>
      <b/>
      <i/>
      <sz val="12"/>
      <name val="Arial"/>
      <family val="2"/>
    </font>
    <font>
      <sz val="11"/>
      <color theme="1"/>
      <name val="Calibri"/>
      <family val="2"/>
      <scheme val="minor"/>
    </font>
    <font>
      <sz val="12"/>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7"/>
      <color indexed="12"/>
      <name val="Arial"/>
      <family val="2"/>
    </font>
    <font>
      <u/>
      <sz val="10"/>
      <color theme="10"/>
      <name val="Arial"/>
      <family val="2"/>
    </font>
    <font>
      <b/>
      <i/>
      <sz val="18"/>
      <name val="Arial"/>
      <family val="2"/>
    </font>
    <font>
      <sz val="18"/>
      <name val="Arial"/>
      <family val="2"/>
    </font>
    <font>
      <b/>
      <sz val="10"/>
      <color indexed="17"/>
      <name val="Arial"/>
      <family val="2"/>
    </font>
    <font>
      <b/>
      <sz val="10"/>
      <name val="Arial"/>
      <family val="2"/>
    </font>
    <font>
      <b/>
      <sz val="10"/>
      <color indexed="12"/>
      <name val="Arial"/>
      <family val="2"/>
    </font>
    <font>
      <b/>
      <sz val="10"/>
      <color indexed="10"/>
      <name val="Arial"/>
      <family val="2"/>
    </font>
    <font>
      <b/>
      <u/>
      <sz val="10"/>
      <color rgb="FF009900"/>
      <name val="Arial"/>
      <family val="2"/>
    </font>
    <font>
      <sz val="10"/>
      <name val="Arial"/>
      <family val="2"/>
    </font>
    <font>
      <sz val="10"/>
      <color theme="0"/>
      <name val="Arial"/>
      <family val="2"/>
    </font>
    <font>
      <sz val="14"/>
      <name val="Arial"/>
      <family val="2"/>
    </font>
    <font>
      <sz val="10"/>
      <name val="Arial"/>
      <family val="2"/>
    </font>
    <font>
      <sz val="8"/>
      <color theme="1" tint="0.14996795556505021"/>
      <name val="Calibri"/>
      <family val="2"/>
      <scheme val="minor"/>
    </font>
    <font>
      <sz val="10"/>
      <color theme="1" tint="0.14993743705557422"/>
      <name val="Cambria"/>
      <family val="2"/>
      <scheme val="major"/>
    </font>
    <font>
      <b/>
      <sz val="14"/>
      <name val="Arial"/>
      <family val="2"/>
    </font>
    <font>
      <sz val="10"/>
      <name val="Arial"/>
      <family val="2"/>
    </font>
    <font>
      <sz val="12"/>
      <name val="Arial"/>
      <family val="2"/>
    </font>
    <font>
      <sz val="14"/>
      <name val="Arial"/>
      <family val="2"/>
    </font>
    <font>
      <b/>
      <sz val="14"/>
      <name val="Arial"/>
      <family val="2"/>
    </font>
    <font>
      <b/>
      <sz val="18"/>
      <name val="Arial"/>
      <family val="2"/>
    </font>
    <font>
      <sz val="12"/>
      <color rgb="FFFF0000"/>
      <name val="Arial"/>
      <family val="2"/>
    </font>
    <font>
      <b/>
      <sz val="12"/>
      <name val="Arial"/>
      <family val="2"/>
    </font>
    <font>
      <b/>
      <sz val="26"/>
      <name val="Arial"/>
      <family val="2"/>
    </font>
    <font>
      <sz val="9"/>
      <name val="Arial"/>
      <family val="2"/>
    </font>
    <font>
      <sz val="8"/>
      <color rgb="FF000000"/>
      <name val="Arial"/>
      <family val="2"/>
    </font>
  </fonts>
  <fills count="74">
    <fill>
      <patternFill patternType="none"/>
    </fill>
    <fill>
      <patternFill patternType="gray125"/>
    </fill>
    <fill>
      <patternFill patternType="solid">
        <fgColor indexed="18"/>
        <bgColor indexed="64"/>
      </patternFill>
    </fill>
    <fill>
      <patternFill patternType="solid">
        <fgColor indexed="51"/>
        <bgColor indexed="64"/>
      </patternFill>
    </fill>
    <fill>
      <patternFill patternType="solid">
        <fgColor indexed="12"/>
        <bgColor indexed="64"/>
      </patternFill>
    </fill>
    <fill>
      <patternFill patternType="solid">
        <fgColor indexed="2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44"/>
      </patternFill>
    </fill>
    <fill>
      <patternFill patternType="solid">
        <fgColor theme="4" tint="0.79998168889431442"/>
        <bgColor theme="4" tint="0.79998168889431442"/>
      </patternFill>
    </fill>
    <fill>
      <gradientFill degree="90">
        <stop position="0">
          <color theme="0"/>
        </stop>
        <stop position="1">
          <color theme="0" tint="-5.0965910824915313E-2"/>
        </stop>
      </gradientFill>
    </fill>
    <fill>
      <patternFill patternType="solid">
        <fgColor theme="3" tint="0.79998168889431442"/>
        <bgColor indexed="64"/>
      </patternFill>
    </fill>
    <fill>
      <patternFill patternType="solid">
        <fgColor rgb="FFFFFF00"/>
        <bgColor indexed="64"/>
      </patternFill>
    </fill>
    <fill>
      <patternFill patternType="solid">
        <fgColor theme="5"/>
        <bgColor indexed="64"/>
      </patternFill>
    </fill>
    <fill>
      <patternFill patternType="solid">
        <fgColor theme="6"/>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7"/>
        <bgColor indexed="64"/>
      </patternFill>
    </fill>
    <fill>
      <patternFill patternType="solid">
        <fgColor theme="9"/>
        <bgColor indexed="64"/>
      </patternFill>
    </fill>
    <fill>
      <patternFill patternType="solid">
        <fgColor theme="0"/>
        <bgColor indexed="64"/>
      </patternFill>
    </fill>
    <fill>
      <patternFill patternType="solid">
        <fgColor rgb="FFFF0000"/>
        <bgColor indexed="64"/>
      </patternFill>
    </fill>
    <fill>
      <patternFill patternType="solid">
        <fgColor rgb="FFFFFF66"/>
        <bgColor indexed="64"/>
      </patternFill>
    </fill>
  </fills>
  <borders count="7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2"/>
      </top>
      <bottom style="double">
        <color indexed="62"/>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rgb="FFFF0000"/>
      </left>
      <right style="medium">
        <color indexed="64"/>
      </right>
      <top style="medium">
        <color indexed="64"/>
      </top>
      <bottom style="medium">
        <color indexed="64"/>
      </bottom>
      <diagonal/>
    </border>
    <border>
      <left style="medium">
        <color indexed="64"/>
      </left>
      <right style="medium">
        <color rgb="FFFF0000"/>
      </right>
      <top style="medium">
        <color indexed="64"/>
      </top>
      <bottom style="medium">
        <color indexed="64"/>
      </bottom>
      <diagonal/>
    </border>
    <border>
      <left style="medium">
        <color rgb="FFFF0000"/>
      </left>
      <right style="thin">
        <color indexed="64"/>
      </right>
      <top/>
      <bottom style="thin">
        <color indexed="64"/>
      </bottom>
      <diagonal/>
    </border>
    <border>
      <left style="thin">
        <color indexed="64"/>
      </left>
      <right style="medium">
        <color rgb="FFFF0000"/>
      </right>
      <top/>
      <bottom style="thin">
        <color indexed="64"/>
      </bottom>
      <diagonal/>
    </border>
    <border>
      <left/>
      <right/>
      <top/>
      <bottom style="thin">
        <color indexed="64"/>
      </bottom>
      <diagonal/>
    </border>
    <border>
      <left style="medium">
        <color rgb="FFFF0000"/>
      </left>
      <right/>
      <top style="medium">
        <color auto="1"/>
      </top>
      <bottom style="medium">
        <color auto="1"/>
      </bottom>
      <diagonal/>
    </border>
    <border>
      <left/>
      <right style="medium">
        <color rgb="FFFF0000"/>
      </right>
      <top style="medium">
        <color auto="1"/>
      </top>
      <bottom style="medium">
        <color auto="1"/>
      </bottom>
      <diagonal/>
    </border>
    <border>
      <left style="medium">
        <color rgb="FFFF0000"/>
      </left>
      <right style="medium">
        <color rgb="FFFF0000"/>
      </right>
      <top/>
      <bottom style="thin">
        <color indexed="64"/>
      </bottom>
      <diagonal/>
    </border>
    <border>
      <left style="thick">
        <color rgb="FFFF5050"/>
      </left>
      <right style="medium">
        <color indexed="64"/>
      </right>
      <top style="medium">
        <color indexed="64"/>
      </top>
      <bottom style="medium">
        <color indexed="64"/>
      </bottom>
      <diagonal/>
    </border>
    <border>
      <left style="medium">
        <color indexed="64"/>
      </left>
      <right style="thick">
        <color rgb="FFFF5050"/>
      </right>
      <top style="medium">
        <color indexed="64"/>
      </top>
      <bottom style="medium">
        <color indexed="64"/>
      </bottom>
      <diagonal/>
    </border>
    <border>
      <left style="thick">
        <color rgb="FFFF5050"/>
      </left>
      <right/>
      <top/>
      <bottom/>
      <diagonal/>
    </border>
    <border>
      <left/>
      <right style="thick">
        <color rgb="FFFF5050"/>
      </right>
      <top/>
      <bottom/>
      <diagonal/>
    </border>
    <border>
      <left style="thick">
        <color rgb="FFFF5050"/>
      </left>
      <right style="thin">
        <color indexed="64"/>
      </right>
      <top/>
      <bottom style="thin">
        <color indexed="64"/>
      </bottom>
      <diagonal/>
    </border>
    <border>
      <left style="thin">
        <color indexed="64"/>
      </left>
      <right style="thick">
        <color rgb="FFFF5050"/>
      </right>
      <top/>
      <bottom style="thin">
        <color indexed="64"/>
      </bottom>
      <diagonal/>
    </border>
    <border>
      <left style="thick">
        <color rgb="FFFF5050"/>
      </left>
      <right style="medium">
        <color indexed="64"/>
      </right>
      <top style="thin">
        <color indexed="64"/>
      </top>
      <bottom/>
      <diagonal/>
    </border>
    <border>
      <left/>
      <right style="thick">
        <color rgb="FFFF5050"/>
      </right>
      <top style="thin">
        <color indexed="64"/>
      </top>
      <bottom/>
      <diagonal/>
    </border>
    <border>
      <left style="thick">
        <color rgb="FFFF5050"/>
      </left>
      <right/>
      <top style="medium">
        <color indexed="64"/>
      </top>
      <bottom style="medium">
        <color indexed="64"/>
      </bottom>
      <diagonal/>
    </border>
    <border>
      <left/>
      <right style="thick">
        <color rgb="FFFF5050"/>
      </right>
      <top style="medium">
        <color indexed="64"/>
      </top>
      <bottom style="medium">
        <color auto="1"/>
      </bottom>
      <diagonal/>
    </border>
    <border>
      <left/>
      <right style="medium">
        <color rgb="FFFF0000"/>
      </right>
      <top/>
      <bottom style="thin">
        <color indexed="64"/>
      </bottom>
      <diagonal/>
    </border>
    <border>
      <left style="thick">
        <color rgb="FFFF5050"/>
      </left>
      <right style="medium">
        <color indexed="64"/>
      </right>
      <top style="thin">
        <color indexed="64"/>
      </top>
      <bottom style="thin">
        <color auto="1"/>
      </bottom>
      <diagonal/>
    </border>
    <border>
      <left/>
      <right style="thick">
        <color rgb="FFFF5050"/>
      </right>
      <top style="thin">
        <color indexed="64"/>
      </top>
      <bottom style="thin">
        <color auto="1"/>
      </bottom>
      <diagonal/>
    </border>
    <border>
      <left/>
      <right/>
      <top style="thin">
        <color indexed="64"/>
      </top>
      <bottom/>
      <diagonal/>
    </border>
    <border>
      <left style="thin">
        <color rgb="FFB4B4B4"/>
      </left>
      <right style="thin">
        <color rgb="FFB4B4B4"/>
      </right>
      <top style="thin">
        <color rgb="FFB4B4B4"/>
      </top>
      <bottom style="thin">
        <color rgb="FFB4B4B4"/>
      </bottom>
      <diagonal/>
    </border>
  </borders>
  <cellStyleXfs count="56264">
    <xf numFmtId="166" fontId="0" fillId="0" borderId="0"/>
    <xf numFmtId="166" fontId="25" fillId="0" borderId="0"/>
    <xf numFmtId="166" fontId="25" fillId="0" borderId="0"/>
    <xf numFmtId="166" fontId="25" fillId="0" borderId="0"/>
    <xf numFmtId="166" fontId="25" fillId="0" borderId="0"/>
    <xf numFmtId="166" fontId="11" fillId="0" borderId="0"/>
    <xf numFmtId="166" fontId="11" fillId="0" borderId="0"/>
    <xf numFmtId="166" fontId="25" fillId="0" borderId="0"/>
    <xf numFmtId="166" fontId="10" fillId="0" borderId="0"/>
    <xf numFmtId="166" fontId="10" fillId="0" borderId="0"/>
    <xf numFmtId="166" fontId="10" fillId="0" borderId="0"/>
    <xf numFmtId="166" fontId="9" fillId="0" borderId="0"/>
    <xf numFmtId="166" fontId="9" fillId="0" borderId="0"/>
    <xf numFmtId="166" fontId="9" fillId="0" borderId="0"/>
    <xf numFmtId="166" fontId="8" fillId="0" borderId="0"/>
    <xf numFmtId="166" fontId="8" fillId="0" borderId="0"/>
    <xf numFmtId="166" fontId="8" fillId="0" borderId="0"/>
    <xf numFmtId="166" fontId="7" fillId="0" borderId="0"/>
    <xf numFmtId="166" fontId="7" fillId="0" borderId="0"/>
    <xf numFmtId="166" fontId="7"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6" fillId="0" borderId="0"/>
    <xf numFmtId="166" fontId="44" fillId="38" borderId="0" applyNumberFormat="0" applyBorder="0" applyAlignment="0" applyProtection="0"/>
    <xf numFmtId="166" fontId="44" fillId="38" borderId="0" applyNumberFormat="0" applyBorder="0" applyAlignment="0" applyProtection="0"/>
    <xf numFmtId="166" fontId="44" fillId="38" borderId="0" applyNumberFormat="0" applyBorder="0" applyAlignment="0" applyProtection="0"/>
    <xf numFmtId="166" fontId="44" fillId="38" borderId="0" applyNumberFormat="0" applyBorder="0" applyAlignment="0" applyProtection="0"/>
    <xf numFmtId="166" fontId="44" fillId="38" borderId="0" applyNumberFormat="0" applyBorder="0" applyAlignment="0" applyProtection="0"/>
    <xf numFmtId="166" fontId="5" fillId="15" borderId="0" applyNumberFormat="0" applyBorder="0" applyAlignment="0" applyProtection="0"/>
    <xf numFmtId="166" fontId="5" fillId="15" borderId="0" applyNumberFormat="0" applyBorder="0" applyAlignment="0" applyProtection="0"/>
    <xf numFmtId="166" fontId="5" fillId="15" borderId="0" applyNumberFormat="0" applyBorder="0" applyAlignment="0" applyProtection="0"/>
    <xf numFmtId="166" fontId="44" fillId="38" borderId="0" applyNumberFormat="0" applyBorder="0" applyAlignment="0" applyProtection="0"/>
    <xf numFmtId="166" fontId="44" fillId="38" borderId="0" applyNumberFormat="0" applyBorder="0" applyAlignment="0" applyProtection="0"/>
    <xf numFmtId="166" fontId="44" fillId="39" borderId="0" applyNumberFormat="0" applyBorder="0" applyAlignment="0" applyProtection="0"/>
    <xf numFmtId="166" fontId="44" fillId="39" borderId="0" applyNumberFormat="0" applyBorder="0" applyAlignment="0" applyProtection="0"/>
    <xf numFmtId="166" fontId="44" fillId="39" borderId="0" applyNumberFormat="0" applyBorder="0" applyAlignment="0" applyProtection="0"/>
    <xf numFmtId="166" fontId="44" fillId="39" borderId="0" applyNumberFormat="0" applyBorder="0" applyAlignment="0" applyProtection="0"/>
    <xf numFmtId="166" fontId="44" fillId="39" borderId="0" applyNumberFormat="0" applyBorder="0" applyAlignment="0" applyProtection="0"/>
    <xf numFmtId="166" fontId="5" fillId="19" borderId="0" applyNumberFormat="0" applyBorder="0" applyAlignment="0" applyProtection="0"/>
    <xf numFmtId="166" fontId="5" fillId="19" borderId="0" applyNumberFormat="0" applyBorder="0" applyAlignment="0" applyProtection="0"/>
    <xf numFmtId="166" fontId="5" fillId="19" borderId="0" applyNumberFormat="0" applyBorder="0" applyAlignment="0" applyProtection="0"/>
    <xf numFmtId="166" fontId="44" fillId="39" borderId="0" applyNumberFormat="0" applyBorder="0" applyAlignment="0" applyProtection="0"/>
    <xf numFmtId="166" fontId="44" fillId="39" borderId="0" applyNumberFormat="0" applyBorder="0" applyAlignment="0" applyProtection="0"/>
    <xf numFmtId="166" fontId="44" fillId="40" borderId="0" applyNumberFormat="0" applyBorder="0" applyAlignment="0" applyProtection="0"/>
    <xf numFmtId="166" fontId="44" fillId="40" borderId="0" applyNumberFormat="0" applyBorder="0" applyAlignment="0" applyProtection="0"/>
    <xf numFmtId="166" fontId="44" fillId="40" borderId="0" applyNumberFormat="0" applyBorder="0" applyAlignment="0" applyProtection="0"/>
    <xf numFmtId="166" fontId="44" fillId="40" borderId="0" applyNumberFormat="0" applyBorder="0" applyAlignment="0" applyProtection="0"/>
    <xf numFmtId="166" fontId="44" fillId="40" borderId="0" applyNumberFormat="0" applyBorder="0" applyAlignment="0" applyProtection="0"/>
    <xf numFmtId="166" fontId="5" fillId="23" borderId="0" applyNumberFormat="0" applyBorder="0" applyAlignment="0" applyProtection="0"/>
    <xf numFmtId="166" fontId="5" fillId="23" borderId="0" applyNumberFormat="0" applyBorder="0" applyAlignment="0" applyProtection="0"/>
    <xf numFmtId="166" fontId="5" fillId="23" borderId="0" applyNumberFormat="0" applyBorder="0" applyAlignment="0" applyProtection="0"/>
    <xf numFmtId="166" fontId="44" fillId="40" borderId="0" applyNumberFormat="0" applyBorder="0" applyAlignment="0" applyProtection="0"/>
    <xf numFmtId="166" fontId="44" fillId="40"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5" fillId="27" borderId="0" applyNumberFormat="0" applyBorder="0" applyAlignment="0" applyProtection="0"/>
    <xf numFmtId="166" fontId="5" fillId="27" borderId="0" applyNumberFormat="0" applyBorder="0" applyAlignment="0" applyProtection="0"/>
    <xf numFmtId="166" fontId="5" fillId="27"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2" borderId="0" applyNumberFormat="0" applyBorder="0" applyAlignment="0" applyProtection="0"/>
    <xf numFmtId="166" fontId="44" fillId="42" borderId="0" applyNumberFormat="0" applyBorder="0" applyAlignment="0" applyProtection="0"/>
    <xf numFmtId="166" fontId="44" fillId="42" borderId="0" applyNumberFormat="0" applyBorder="0" applyAlignment="0" applyProtection="0"/>
    <xf numFmtId="166" fontId="44" fillId="42" borderId="0" applyNumberFormat="0" applyBorder="0" applyAlignment="0" applyProtection="0"/>
    <xf numFmtId="166" fontId="44" fillId="42" borderId="0" applyNumberFormat="0" applyBorder="0" applyAlignment="0" applyProtection="0"/>
    <xf numFmtId="166" fontId="5" fillId="31" borderId="0" applyNumberFormat="0" applyBorder="0" applyAlignment="0" applyProtection="0"/>
    <xf numFmtId="166" fontId="5" fillId="31" borderId="0" applyNumberFormat="0" applyBorder="0" applyAlignment="0" applyProtection="0"/>
    <xf numFmtId="166" fontId="5" fillId="31" borderId="0" applyNumberFormat="0" applyBorder="0" applyAlignment="0" applyProtection="0"/>
    <xf numFmtId="166" fontId="44" fillId="42" borderId="0" applyNumberFormat="0" applyBorder="0" applyAlignment="0" applyProtection="0"/>
    <xf numFmtId="166" fontId="44" fillId="42" borderId="0" applyNumberFormat="0" applyBorder="0" applyAlignment="0" applyProtection="0"/>
    <xf numFmtId="166" fontId="44" fillId="43" borderId="0" applyNumberFormat="0" applyBorder="0" applyAlignment="0" applyProtection="0"/>
    <xf numFmtId="166" fontId="44" fillId="43" borderId="0" applyNumberFormat="0" applyBorder="0" applyAlignment="0" applyProtection="0"/>
    <xf numFmtId="166" fontId="44" fillId="43" borderId="0" applyNumberFormat="0" applyBorder="0" applyAlignment="0" applyProtection="0"/>
    <xf numFmtId="166" fontId="44" fillId="43" borderId="0" applyNumberFormat="0" applyBorder="0" applyAlignment="0" applyProtection="0"/>
    <xf numFmtId="166" fontId="44" fillId="43" borderId="0" applyNumberFormat="0" applyBorder="0" applyAlignment="0" applyProtection="0"/>
    <xf numFmtId="166" fontId="5" fillId="35" borderId="0" applyNumberFormat="0" applyBorder="0" applyAlignment="0" applyProtection="0"/>
    <xf numFmtId="166" fontId="5" fillId="35" borderId="0" applyNumberFormat="0" applyBorder="0" applyAlignment="0" applyProtection="0"/>
    <xf numFmtId="166" fontId="5" fillId="35" borderId="0" applyNumberFormat="0" applyBorder="0" applyAlignment="0" applyProtection="0"/>
    <xf numFmtId="166" fontId="44" fillId="43" borderId="0" applyNumberFormat="0" applyBorder="0" applyAlignment="0" applyProtection="0"/>
    <xf numFmtId="166" fontId="44" fillId="43"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5" fillId="16" borderId="0" applyNumberFormat="0" applyBorder="0" applyAlignment="0" applyProtection="0"/>
    <xf numFmtId="166" fontId="5" fillId="16" borderId="0" applyNumberFormat="0" applyBorder="0" applyAlignment="0" applyProtection="0"/>
    <xf numFmtId="166" fontId="5" fillId="16"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5" borderId="0" applyNumberFormat="0" applyBorder="0" applyAlignment="0" applyProtection="0"/>
    <xf numFmtId="166" fontId="44" fillId="45" borderId="0" applyNumberFormat="0" applyBorder="0" applyAlignment="0" applyProtection="0"/>
    <xf numFmtId="166" fontId="44" fillId="45" borderId="0" applyNumberFormat="0" applyBorder="0" applyAlignment="0" applyProtection="0"/>
    <xf numFmtId="166" fontId="44" fillId="45" borderId="0" applyNumberFormat="0" applyBorder="0" applyAlignment="0" applyProtection="0"/>
    <xf numFmtId="166" fontId="44" fillId="45" borderId="0" applyNumberFormat="0" applyBorder="0" applyAlignment="0" applyProtection="0"/>
    <xf numFmtId="166" fontId="5" fillId="20" borderId="0" applyNumberFormat="0" applyBorder="0" applyAlignment="0" applyProtection="0"/>
    <xf numFmtId="166" fontId="5" fillId="20" borderId="0" applyNumberFormat="0" applyBorder="0" applyAlignment="0" applyProtection="0"/>
    <xf numFmtId="166" fontId="5" fillId="20" borderId="0" applyNumberFormat="0" applyBorder="0" applyAlignment="0" applyProtection="0"/>
    <xf numFmtId="166" fontId="44" fillId="45" borderId="0" applyNumberFormat="0" applyBorder="0" applyAlignment="0" applyProtection="0"/>
    <xf numFmtId="166" fontId="44" fillId="45" borderId="0" applyNumberFormat="0" applyBorder="0" applyAlignment="0" applyProtection="0"/>
    <xf numFmtId="166" fontId="44" fillId="46" borderId="0" applyNumberFormat="0" applyBorder="0" applyAlignment="0" applyProtection="0"/>
    <xf numFmtId="166" fontId="44" fillId="46" borderId="0" applyNumberFormat="0" applyBorder="0" applyAlignment="0" applyProtection="0"/>
    <xf numFmtId="166" fontId="44" fillId="46" borderId="0" applyNumberFormat="0" applyBorder="0" applyAlignment="0" applyProtection="0"/>
    <xf numFmtId="166" fontId="44" fillId="46" borderId="0" applyNumberFormat="0" applyBorder="0" applyAlignment="0" applyProtection="0"/>
    <xf numFmtId="166" fontId="44" fillId="46" borderId="0" applyNumberFormat="0" applyBorder="0" applyAlignment="0" applyProtection="0"/>
    <xf numFmtId="166" fontId="5" fillId="24" borderId="0" applyNumberFormat="0" applyBorder="0" applyAlignment="0" applyProtection="0"/>
    <xf numFmtId="166" fontId="5" fillId="24" borderId="0" applyNumberFormat="0" applyBorder="0" applyAlignment="0" applyProtection="0"/>
    <xf numFmtId="166" fontId="5" fillId="24" borderId="0" applyNumberFormat="0" applyBorder="0" applyAlignment="0" applyProtection="0"/>
    <xf numFmtId="166" fontId="44" fillId="46" borderId="0" applyNumberFormat="0" applyBorder="0" applyAlignment="0" applyProtection="0"/>
    <xf numFmtId="166" fontId="44" fillId="46"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5" fillId="28" borderId="0" applyNumberFormat="0" applyBorder="0" applyAlignment="0" applyProtection="0"/>
    <xf numFmtId="166" fontId="5" fillId="28" borderId="0" applyNumberFormat="0" applyBorder="0" applyAlignment="0" applyProtection="0"/>
    <xf numFmtId="166" fontId="5" fillId="28" borderId="0" applyNumberFormat="0" applyBorder="0" applyAlignment="0" applyProtection="0"/>
    <xf numFmtId="166" fontId="44" fillId="41" borderId="0" applyNumberFormat="0" applyBorder="0" applyAlignment="0" applyProtection="0"/>
    <xf numFmtId="166" fontId="44" fillId="41"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5" fillId="32" borderId="0" applyNumberFormat="0" applyBorder="0" applyAlignment="0" applyProtection="0"/>
    <xf numFmtId="166" fontId="5" fillId="32" borderId="0" applyNumberFormat="0" applyBorder="0" applyAlignment="0" applyProtection="0"/>
    <xf numFmtId="166" fontId="5" fillId="32" borderId="0" applyNumberFormat="0" applyBorder="0" applyAlignment="0" applyProtection="0"/>
    <xf numFmtId="166" fontId="44" fillId="44" borderId="0" applyNumberFormat="0" applyBorder="0" applyAlignment="0" applyProtection="0"/>
    <xf numFmtId="166" fontId="44" fillId="44" borderId="0" applyNumberFormat="0" applyBorder="0" applyAlignment="0" applyProtection="0"/>
    <xf numFmtId="166" fontId="44" fillId="47" borderId="0" applyNumberFormat="0" applyBorder="0" applyAlignment="0" applyProtection="0"/>
    <xf numFmtId="166" fontId="44" fillId="47" borderId="0" applyNumberFormat="0" applyBorder="0" applyAlignment="0" applyProtection="0"/>
    <xf numFmtId="166" fontId="44" fillId="47" borderId="0" applyNumberFormat="0" applyBorder="0" applyAlignment="0" applyProtection="0"/>
    <xf numFmtId="166" fontId="44" fillId="47" borderId="0" applyNumberFormat="0" applyBorder="0" applyAlignment="0" applyProtection="0"/>
    <xf numFmtId="166" fontId="44" fillId="47" borderId="0" applyNumberFormat="0" applyBorder="0" applyAlignment="0" applyProtection="0"/>
    <xf numFmtId="166" fontId="5" fillId="36" borderId="0" applyNumberFormat="0" applyBorder="0" applyAlignment="0" applyProtection="0"/>
    <xf numFmtId="166" fontId="5" fillId="36" borderId="0" applyNumberFormat="0" applyBorder="0" applyAlignment="0" applyProtection="0"/>
    <xf numFmtId="166" fontId="5" fillId="36" borderId="0" applyNumberFormat="0" applyBorder="0" applyAlignment="0" applyProtection="0"/>
    <xf numFmtId="166" fontId="44" fillId="47" borderId="0" applyNumberFormat="0" applyBorder="0" applyAlignment="0" applyProtection="0"/>
    <xf numFmtId="166" fontId="44" fillId="47" borderId="0" applyNumberFormat="0" applyBorder="0" applyAlignment="0" applyProtection="0"/>
    <xf numFmtId="166" fontId="45" fillId="48" borderId="0" applyNumberFormat="0" applyBorder="0" applyAlignment="0" applyProtection="0"/>
    <xf numFmtId="166" fontId="45" fillId="48" borderId="0" applyNumberFormat="0" applyBorder="0" applyAlignment="0" applyProtection="0"/>
    <xf numFmtId="166" fontId="45" fillId="48" borderId="0" applyNumberFormat="0" applyBorder="0" applyAlignment="0" applyProtection="0"/>
    <xf numFmtId="166" fontId="45" fillId="48" borderId="0" applyNumberFormat="0" applyBorder="0" applyAlignment="0" applyProtection="0"/>
    <xf numFmtId="166" fontId="45" fillId="48" borderId="0" applyNumberFormat="0" applyBorder="0" applyAlignment="0" applyProtection="0"/>
    <xf numFmtId="166" fontId="42" fillId="17" borderId="0" applyNumberFormat="0" applyBorder="0" applyAlignment="0" applyProtection="0"/>
    <xf numFmtId="166" fontId="45" fillId="48" borderId="0" applyNumberFormat="0" applyBorder="0" applyAlignment="0" applyProtection="0"/>
    <xf numFmtId="166" fontId="45" fillId="48" borderId="0" applyNumberFormat="0" applyBorder="0" applyAlignment="0" applyProtection="0"/>
    <xf numFmtId="166" fontId="45" fillId="45" borderId="0" applyNumberFormat="0" applyBorder="0" applyAlignment="0" applyProtection="0"/>
    <xf numFmtId="166" fontId="45" fillId="45" borderId="0" applyNumberFormat="0" applyBorder="0" applyAlignment="0" applyProtection="0"/>
    <xf numFmtId="166" fontId="45" fillId="45" borderId="0" applyNumberFormat="0" applyBorder="0" applyAlignment="0" applyProtection="0"/>
    <xf numFmtId="166" fontId="45" fillId="45" borderId="0" applyNumberFormat="0" applyBorder="0" applyAlignment="0" applyProtection="0"/>
    <xf numFmtId="166" fontId="45" fillId="45" borderId="0" applyNumberFormat="0" applyBorder="0" applyAlignment="0" applyProtection="0"/>
    <xf numFmtId="166" fontId="42" fillId="21" borderId="0" applyNumberFormat="0" applyBorder="0" applyAlignment="0" applyProtection="0"/>
    <xf numFmtId="166" fontId="45" fillId="45" borderId="0" applyNumberFormat="0" applyBorder="0" applyAlignment="0" applyProtection="0"/>
    <xf numFmtId="166" fontId="45" fillId="45" borderId="0" applyNumberFormat="0" applyBorder="0" applyAlignment="0" applyProtection="0"/>
    <xf numFmtId="166" fontId="45" fillId="46" borderId="0" applyNumberFormat="0" applyBorder="0" applyAlignment="0" applyProtection="0"/>
    <xf numFmtId="166" fontId="45" fillId="46" borderId="0" applyNumberFormat="0" applyBorder="0" applyAlignment="0" applyProtection="0"/>
    <xf numFmtId="166" fontId="45" fillId="46" borderId="0" applyNumberFormat="0" applyBorder="0" applyAlignment="0" applyProtection="0"/>
    <xf numFmtId="166" fontId="45" fillId="46" borderId="0" applyNumberFormat="0" applyBorder="0" applyAlignment="0" applyProtection="0"/>
    <xf numFmtId="166" fontId="45" fillId="46" borderId="0" applyNumberFormat="0" applyBorder="0" applyAlignment="0" applyProtection="0"/>
    <xf numFmtId="166" fontId="42" fillId="25" borderId="0" applyNumberFormat="0" applyBorder="0" applyAlignment="0" applyProtection="0"/>
    <xf numFmtId="166" fontId="45" fillId="46" borderId="0" applyNumberFormat="0" applyBorder="0" applyAlignment="0" applyProtection="0"/>
    <xf numFmtId="166" fontId="45" fillId="46"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2" fillId="2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2" fillId="33"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1" borderId="0" applyNumberFormat="0" applyBorder="0" applyAlignment="0" applyProtection="0"/>
    <xf numFmtId="166" fontId="45" fillId="51" borderId="0" applyNumberFormat="0" applyBorder="0" applyAlignment="0" applyProtection="0"/>
    <xf numFmtId="166" fontId="45" fillId="51" borderId="0" applyNumberFormat="0" applyBorder="0" applyAlignment="0" applyProtection="0"/>
    <xf numFmtId="166" fontId="45" fillId="51" borderId="0" applyNumberFormat="0" applyBorder="0" applyAlignment="0" applyProtection="0"/>
    <xf numFmtId="166" fontId="45" fillId="51" borderId="0" applyNumberFormat="0" applyBorder="0" applyAlignment="0" applyProtection="0"/>
    <xf numFmtId="166" fontId="42" fillId="37" borderId="0" applyNumberFormat="0" applyBorder="0" applyAlignment="0" applyProtection="0"/>
    <xf numFmtId="166" fontId="45" fillId="51" borderId="0" applyNumberFormat="0" applyBorder="0" applyAlignment="0" applyProtection="0"/>
    <xf numFmtId="166" fontId="45" fillId="51" borderId="0" applyNumberFormat="0" applyBorder="0" applyAlignment="0" applyProtection="0"/>
    <xf numFmtId="166" fontId="45" fillId="52" borderId="0" applyNumberFormat="0" applyBorder="0" applyAlignment="0" applyProtection="0"/>
    <xf numFmtId="166" fontId="45" fillId="52" borderId="0" applyNumberFormat="0" applyBorder="0" applyAlignment="0" applyProtection="0"/>
    <xf numFmtId="166" fontId="45" fillId="52" borderId="0" applyNumberFormat="0" applyBorder="0" applyAlignment="0" applyProtection="0"/>
    <xf numFmtId="166" fontId="45" fillId="52" borderId="0" applyNumberFormat="0" applyBorder="0" applyAlignment="0" applyProtection="0"/>
    <xf numFmtId="166" fontId="45" fillId="52" borderId="0" applyNumberFormat="0" applyBorder="0" applyAlignment="0" applyProtection="0"/>
    <xf numFmtId="166" fontId="42" fillId="14" borderId="0" applyNumberFormat="0" applyBorder="0" applyAlignment="0" applyProtection="0"/>
    <xf numFmtId="166" fontId="45" fillId="52" borderId="0" applyNumberFormat="0" applyBorder="0" applyAlignment="0" applyProtection="0"/>
    <xf numFmtId="166" fontId="45" fillId="52" borderId="0" applyNumberFormat="0" applyBorder="0" applyAlignment="0" applyProtection="0"/>
    <xf numFmtId="166" fontId="45" fillId="53" borderId="0" applyNumberFormat="0" applyBorder="0" applyAlignment="0" applyProtection="0"/>
    <xf numFmtId="166" fontId="45" fillId="53" borderId="0" applyNumberFormat="0" applyBorder="0" applyAlignment="0" applyProtection="0"/>
    <xf numFmtId="166" fontId="45" fillId="53" borderId="0" applyNumberFormat="0" applyBorder="0" applyAlignment="0" applyProtection="0"/>
    <xf numFmtId="166" fontId="45" fillId="53" borderId="0" applyNumberFormat="0" applyBorder="0" applyAlignment="0" applyProtection="0"/>
    <xf numFmtId="166" fontId="45" fillId="53" borderId="0" applyNumberFormat="0" applyBorder="0" applyAlignment="0" applyProtection="0"/>
    <xf numFmtId="166" fontId="42" fillId="18" borderId="0" applyNumberFormat="0" applyBorder="0" applyAlignment="0" applyProtection="0"/>
    <xf numFmtId="166" fontId="45" fillId="53" borderId="0" applyNumberFormat="0" applyBorder="0" applyAlignment="0" applyProtection="0"/>
    <xf numFmtId="166" fontId="45" fillId="53" borderId="0" applyNumberFormat="0" applyBorder="0" applyAlignment="0" applyProtection="0"/>
    <xf numFmtId="166" fontId="45" fillId="54" borderId="0" applyNumberFormat="0" applyBorder="0" applyAlignment="0" applyProtection="0"/>
    <xf numFmtId="166" fontId="45" fillId="54" borderId="0" applyNumberFormat="0" applyBorder="0" applyAlignment="0" applyProtection="0"/>
    <xf numFmtId="166" fontId="45" fillId="54" borderId="0" applyNumberFormat="0" applyBorder="0" applyAlignment="0" applyProtection="0"/>
    <xf numFmtId="166" fontId="45" fillId="54" borderId="0" applyNumberFormat="0" applyBorder="0" applyAlignment="0" applyProtection="0"/>
    <xf numFmtId="166" fontId="45" fillId="54" borderId="0" applyNumberFormat="0" applyBorder="0" applyAlignment="0" applyProtection="0"/>
    <xf numFmtId="166" fontId="42" fillId="22" borderId="0" applyNumberFormat="0" applyBorder="0" applyAlignment="0" applyProtection="0"/>
    <xf numFmtId="166" fontId="45" fillId="54" borderId="0" applyNumberFormat="0" applyBorder="0" applyAlignment="0" applyProtection="0"/>
    <xf numFmtId="166" fontId="45" fillId="54"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2" fillId="26" borderId="0" applyNumberFormat="0" applyBorder="0" applyAlignment="0" applyProtection="0"/>
    <xf numFmtId="166" fontId="45" fillId="49" borderId="0" applyNumberFormat="0" applyBorder="0" applyAlignment="0" applyProtection="0"/>
    <xf numFmtId="166" fontId="45" fillId="49"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2" fillId="30" borderId="0" applyNumberFormat="0" applyBorder="0" applyAlignment="0" applyProtection="0"/>
    <xf numFmtId="166" fontId="45" fillId="50" borderId="0" applyNumberFormat="0" applyBorder="0" applyAlignment="0" applyProtection="0"/>
    <xf numFmtId="166" fontId="45" fillId="50" borderId="0" applyNumberFormat="0" applyBorder="0" applyAlignment="0" applyProtection="0"/>
    <xf numFmtId="166" fontId="45" fillId="55" borderId="0" applyNumberFormat="0" applyBorder="0" applyAlignment="0" applyProtection="0"/>
    <xf numFmtId="166" fontId="45" fillId="55" borderId="0" applyNumberFormat="0" applyBorder="0" applyAlignment="0" applyProtection="0"/>
    <xf numFmtId="166" fontId="45" fillId="55" borderId="0" applyNumberFormat="0" applyBorder="0" applyAlignment="0" applyProtection="0"/>
    <xf numFmtId="166" fontId="45" fillId="55" borderId="0" applyNumberFormat="0" applyBorder="0" applyAlignment="0" applyProtection="0"/>
    <xf numFmtId="166" fontId="45" fillId="55" borderId="0" applyNumberFormat="0" applyBorder="0" applyAlignment="0" applyProtection="0"/>
    <xf numFmtId="166" fontId="42" fillId="34" borderId="0" applyNumberFormat="0" applyBorder="0" applyAlignment="0" applyProtection="0"/>
    <xf numFmtId="166" fontId="45" fillId="55" borderId="0" applyNumberFormat="0" applyBorder="0" applyAlignment="0" applyProtection="0"/>
    <xf numFmtId="166" fontId="45" fillId="55" borderId="0" applyNumberFormat="0" applyBorder="0" applyAlignment="0" applyProtection="0"/>
    <xf numFmtId="166" fontId="46" fillId="39" borderId="0" applyNumberFormat="0" applyBorder="0" applyAlignment="0" applyProtection="0"/>
    <xf numFmtId="166" fontId="46" fillId="39" borderId="0" applyNumberFormat="0" applyBorder="0" applyAlignment="0" applyProtection="0"/>
    <xf numFmtId="166" fontId="46" fillId="39" borderId="0" applyNumberFormat="0" applyBorder="0" applyAlignment="0" applyProtection="0"/>
    <xf numFmtId="166" fontId="46" fillId="39" borderId="0" applyNumberFormat="0" applyBorder="0" applyAlignment="0" applyProtection="0"/>
    <xf numFmtId="166" fontId="46" fillId="39" borderId="0" applyNumberFormat="0" applyBorder="0" applyAlignment="0" applyProtection="0"/>
    <xf numFmtId="166" fontId="32" fillId="8" borderId="0" applyNumberFormat="0" applyBorder="0" applyAlignment="0" applyProtection="0"/>
    <xf numFmtId="166" fontId="46" fillId="39" borderId="0" applyNumberFormat="0" applyBorder="0" applyAlignment="0" applyProtection="0"/>
    <xf numFmtId="166" fontId="46" fillId="39" borderId="0" applyNumberFormat="0" applyBorder="0" applyAlignment="0" applyProtection="0"/>
    <xf numFmtId="166" fontId="47" fillId="56" borderId="33" applyNumberFormat="0" applyAlignment="0" applyProtection="0"/>
    <xf numFmtId="166" fontId="47" fillId="56" borderId="33" applyNumberFormat="0" applyAlignment="0" applyProtection="0"/>
    <xf numFmtId="166" fontId="47" fillId="56" borderId="33" applyNumberFormat="0" applyAlignment="0" applyProtection="0"/>
    <xf numFmtId="166" fontId="47" fillId="56" borderId="33" applyNumberFormat="0" applyAlignment="0" applyProtection="0"/>
    <xf numFmtId="166" fontId="47" fillId="56" borderId="33" applyNumberFormat="0" applyAlignment="0" applyProtection="0"/>
    <xf numFmtId="166" fontId="36" fillId="11" borderId="27" applyNumberFormat="0" applyAlignment="0" applyProtection="0"/>
    <xf numFmtId="166" fontId="47" fillId="56" borderId="33" applyNumberFormat="0" applyAlignment="0" applyProtection="0"/>
    <xf numFmtId="166" fontId="47" fillId="56" borderId="33" applyNumberFormat="0" applyAlignment="0" applyProtection="0"/>
    <xf numFmtId="166" fontId="48" fillId="57" borderId="34" applyNumberFormat="0" applyAlignment="0" applyProtection="0"/>
    <xf numFmtId="166" fontId="48" fillId="57" borderId="34" applyNumberFormat="0" applyAlignment="0" applyProtection="0"/>
    <xf numFmtId="166" fontId="48" fillId="57" borderId="34" applyNumberFormat="0" applyAlignment="0" applyProtection="0"/>
    <xf numFmtId="166" fontId="48" fillId="57" borderId="34" applyNumberFormat="0" applyAlignment="0" applyProtection="0"/>
    <xf numFmtId="166" fontId="48" fillId="57" borderId="34" applyNumberFormat="0" applyAlignment="0" applyProtection="0"/>
    <xf numFmtId="166" fontId="38" fillId="12" borderId="30" applyNumberFormat="0" applyAlignment="0" applyProtection="0"/>
    <xf numFmtId="166" fontId="48" fillId="57" borderId="34" applyNumberFormat="0" applyAlignment="0" applyProtection="0"/>
    <xf numFmtId="166" fontId="48" fillId="57" borderId="34" applyNumberFormat="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44" fillId="0" borderId="0" applyFont="0" applyFill="0" applyBorder="0" applyAlignment="0" applyProtection="0"/>
    <xf numFmtId="44" fontId="11"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4" fillId="0" borderId="0" applyFont="0" applyFill="0" applyBorder="0" applyAlignment="0" applyProtection="0"/>
    <xf numFmtId="44" fontId="11" fillId="0" borderId="0" applyFont="0" applyFill="0" applyBorder="0" applyAlignment="0" applyProtection="0"/>
    <xf numFmtId="166" fontId="49" fillId="0" borderId="0" applyNumberFormat="0" applyFill="0" applyBorder="0" applyAlignment="0" applyProtection="0"/>
    <xf numFmtId="166" fontId="49" fillId="0" borderId="0" applyNumberFormat="0" applyFill="0" applyBorder="0" applyAlignment="0" applyProtection="0"/>
    <xf numFmtId="166" fontId="49" fillId="0" borderId="0" applyNumberFormat="0" applyFill="0" applyBorder="0" applyAlignment="0" applyProtection="0"/>
    <xf numFmtId="166" fontId="49" fillId="0" borderId="0" applyNumberFormat="0" applyFill="0" applyBorder="0" applyAlignment="0" applyProtection="0"/>
    <xf numFmtId="166" fontId="49" fillId="0" borderId="0" applyNumberFormat="0" applyFill="0" applyBorder="0" applyAlignment="0" applyProtection="0"/>
    <xf numFmtId="166" fontId="40" fillId="0" borderId="0" applyNumberFormat="0" applyFill="0" applyBorder="0" applyAlignment="0" applyProtection="0"/>
    <xf numFmtId="166" fontId="49" fillId="0" borderId="0" applyNumberFormat="0" applyFill="0" applyBorder="0" applyAlignment="0" applyProtection="0"/>
    <xf numFmtId="166" fontId="49" fillId="0" borderId="0" applyNumberFormat="0" applyFill="0" applyBorder="0" applyAlignment="0" applyProtection="0"/>
    <xf numFmtId="166" fontId="50" fillId="40" borderId="0" applyNumberFormat="0" applyBorder="0" applyAlignment="0" applyProtection="0"/>
    <xf numFmtId="166" fontId="50" fillId="40" borderId="0" applyNumberFormat="0" applyBorder="0" applyAlignment="0" applyProtection="0"/>
    <xf numFmtId="166" fontId="50" fillId="40" borderId="0" applyNumberFormat="0" applyBorder="0" applyAlignment="0" applyProtection="0"/>
    <xf numFmtId="166" fontId="50" fillId="40" borderId="0" applyNumberFormat="0" applyBorder="0" applyAlignment="0" applyProtection="0"/>
    <xf numFmtId="166" fontId="50" fillId="40" borderId="0" applyNumberFormat="0" applyBorder="0" applyAlignment="0" applyProtection="0"/>
    <xf numFmtId="166" fontId="31" fillId="7" borderId="0" applyNumberFormat="0" applyBorder="0" applyAlignment="0" applyProtection="0"/>
    <xf numFmtId="166" fontId="50" fillId="40" borderId="0" applyNumberFormat="0" applyBorder="0" applyAlignment="0" applyProtection="0"/>
    <xf numFmtId="166" fontId="50" fillId="40" borderId="0" applyNumberFormat="0" applyBorder="0" applyAlignment="0" applyProtection="0"/>
    <xf numFmtId="166" fontId="51" fillId="0" borderId="35" applyNumberFormat="0" applyFill="0" applyAlignment="0" applyProtection="0"/>
    <xf numFmtId="166" fontId="51" fillId="0" borderId="35" applyNumberFormat="0" applyFill="0" applyAlignment="0" applyProtection="0"/>
    <xf numFmtId="166" fontId="51" fillId="0" borderId="35" applyNumberFormat="0" applyFill="0" applyAlignment="0" applyProtection="0"/>
    <xf numFmtId="166" fontId="51" fillId="0" borderId="35" applyNumberFormat="0" applyFill="0" applyAlignment="0" applyProtection="0"/>
    <xf numFmtId="166" fontId="51" fillId="0" borderId="35" applyNumberFormat="0" applyFill="0" applyAlignment="0" applyProtection="0"/>
    <xf numFmtId="166" fontId="28" fillId="0" borderId="24" applyNumberFormat="0" applyFill="0" applyAlignment="0" applyProtection="0"/>
    <xf numFmtId="166" fontId="51" fillId="0" borderId="35" applyNumberFormat="0" applyFill="0" applyAlignment="0" applyProtection="0"/>
    <xf numFmtId="166" fontId="51" fillId="0" borderId="35" applyNumberFormat="0" applyFill="0" applyAlignment="0" applyProtection="0"/>
    <xf numFmtId="166" fontId="52" fillId="0" borderId="36" applyNumberFormat="0" applyFill="0" applyAlignment="0" applyProtection="0"/>
    <xf numFmtId="166" fontId="52" fillId="0" borderId="36" applyNumberFormat="0" applyFill="0" applyAlignment="0" applyProtection="0"/>
    <xf numFmtId="166" fontId="52" fillId="0" borderId="36" applyNumberFormat="0" applyFill="0" applyAlignment="0" applyProtection="0"/>
    <xf numFmtId="166" fontId="52" fillId="0" borderId="36" applyNumberFormat="0" applyFill="0" applyAlignment="0" applyProtection="0"/>
    <xf numFmtId="166" fontId="52" fillId="0" borderId="36" applyNumberFormat="0" applyFill="0" applyAlignment="0" applyProtection="0"/>
    <xf numFmtId="166" fontId="29" fillId="0" borderId="25" applyNumberFormat="0" applyFill="0" applyAlignment="0" applyProtection="0"/>
    <xf numFmtId="166" fontId="52" fillId="0" borderId="36" applyNumberFormat="0" applyFill="0" applyAlignment="0" applyProtection="0"/>
    <xf numFmtId="166" fontId="52" fillId="0" borderId="36" applyNumberFormat="0" applyFill="0" applyAlignment="0" applyProtection="0"/>
    <xf numFmtId="166" fontId="53" fillId="0" borderId="37" applyNumberFormat="0" applyFill="0" applyAlignment="0" applyProtection="0"/>
    <xf numFmtId="166" fontId="53" fillId="0" borderId="37" applyNumberFormat="0" applyFill="0" applyAlignment="0" applyProtection="0"/>
    <xf numFmtId="166" fontId="53" fillId="0" borderId="37" applyNumberFormat="0" applyFill="0" applyAlignment="0" applyProtection="0"/>
    <xf numFmtId="166" fontId="53" fillId="0" borderId="37" applyNumberFormat="0" applyFill="0" applyAlignment="0" applyProtection="0"/>
    <xf numFmtId="166" fontId="53" fillId="0" borderId="37" applyNumberFormat="0" applyFill="0" applyAlignment="0" applyProtection="0"/>
    <xf numFmtId="166" fontId="30" fillId="0" borderId="26" applyNumberFormat="0" applyFill="0" applyAlignment="0" applyProtection="0"/>
    <xf numFmtId="166" fontId="53" fillId="0" borderId="37" applyNumberFormat="0" applyFill="0" applyAlignment="0" applyProtection="0"/>
    <xf numFmtId="166" fontId="53" fillId="0" borderId="37" applyNumberFormat="0" applyFill="0" applyAlignment="0" applyProtection="0"/>
    <xf numFmtId="166" fontId="53" fillId="0" borderId="0" applyNumberFormat="0" applyFill="0" applyBorder="0" applyAlignment="0" applyProtection="0"/>
    <xf numFmtId="166" fontId="53" fillId="0" borderId="0" applyNumberFormat="0" applyFill="0" applyBorder="0" applyAlignment="0" applyProtection="0"/>
    <xf numFmtId="166" fontId="53" fillId="0" borderId="0" applyNumberFormat="0" applyFill="0" applyBorder="0" applyAlignment="0" applyProtection="0"/>
    <xf numFmtId="166" fontId="53" fillId="0" borderId="0" applyNumberFormat="0" applyFill="0" applyBorder="0" applyAlignment="0" applyProtection="0"/>
    <xf numFmtId="166" fontId="53" fillId="0" borderId="0" applyNumberFormat="0" applyFill="0" applyBorder="0" applyAlignment="0" applyProtection="0"/>
    <xf numFmtId="166" fontId="30" fillId="0" borderId="0" applyNumberFormat="0" applyFill="0" applyBorder="0" applyAlignment="0" applyProtection="0"/>
    <xf numFmtId="166" fontId="53" fillId="0" borderId="0" applyNumberFormat="0" applyFill="0" applyBorder="0" applyAlignment="0" applyProtection="0"/>
    <xf numFmtId="166" fontId="53" fillId="0" borderId="0" applyNumberFormat="0" applyFill="0" applyBorder="0" applyAlignment="0" applyProtection="0"/>
    <xf numFmtId="166" fontId="62" fillId="0" borderId="16" applyNumberFormat="0" applyFill="0" applyBorder="0" applyAlignment="0" applyProtection="0"/>
    <xf numFmtId="166" fontId="62" fillId="0" borderId="16" applyNumberFormat="0" applyFill="0" applyBorder="0" applyAlignment="0" applyProtection="0"/>
    <xf numFmtId="166" fontId="43" fillId="0" borderId="16" applyNumberFormat="0" applyFill="0" applyBorder="0" applyAlignment="0" applyProtection="0"/>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2" fillId="0" borderId="16" applyNumberFormat="0" applyFill="0" applyBorder="0" applyAlignment="0" applyProtection="0"/>
    <xf numFmtId="166" fontId="62" fillId="0" borderId="16" applyNumberFormat="0" applyFill="0" applyBorder="0" applyAlignment="0" applyProtection="0"/>
    <xf numFmtId="166" fontId="62" fillId="0" borderId="16" applyNumberFormat="0" applyFill="0" applyBorder="0" applyAlignment="0" applyProtection="0"/>
    <xf numFmtId="166" fontId="43" fillId="0" borderId="16" applyNumberFormat="0" applyFill="0" applyBorder="0" applyAlignment="0" applyProtection="0"/>
    <xf numFmtId="166" fontId="62" fillId="0" borderId="16" applyNumberFormat="0" applyFill="0" applyBorder="0" applyAlignment="0" applyProtection="0"/>
    <xf numFmtId="166" fontId="43" fillId="0" borderId="16" applyNumberFormat="0" applyFill="0" applyBorder="0" applyAlignment="0" applyProtection="0"/>
    <xf numFmtId="166" fontId="61" fillId="0" borderId="0" applyNumberFormat="0" applyFill="0" applyBorder="0" applyAlignment="0" applyProtection="0">
      <alignment vertical="top"/>
      <protection locked="0"/>
    </xf>
    <xf numFmtId="166" fontId="43"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61" fillId="0" borderId="0" applyNumberFormat="0" applyFill="0" applyBorder="0" applyAlignment="0" applyProtection="0">
      <alignment vertical="top"/>
      <protection locked="0"/>
    </xf>
    <xf numFmtId="166" fontId="54" fillId="43" borderId="33" applyNumberFormat="0" applyAlignment="0" applyProtection="0"/>
    <xf numFmtId="166" fontId="54" fillId="43" borderId="33" applyNumberFormat="0" applyAlignment="0" applyProtection="0"/>
    <xf numFmtId="166" fontId="54" fillId="43" borderId="33" applyNumberFormat="0" applyAlignment="0" applyProtection="0"/>
    <xf numFmtId="166" fontId="54" fillId="43" borderId="33" applyNumberFormat="0" applyAlignment="0" applyProtection="0"/>
    <xf numFmtId="166" fontId="54" fillId="43" borderId="33" applyNumberFormat="0" applyAlignment="0" applyProtection="0"/>
    <xf numFmtId="166" fontId="34" fillId="10" borderId="27" applyNumberFormat="0" applyAlignment="0" applyProtection="0"/>
    <xf numFmtId="166" fontId="54" fillId="43" borderId="33" applyNumberFormat="0" applyAlignment="0" applyProtection="0"/>
    <xf numFmtId="166" fontId="54" fillId="43" borderId="33" applyNumberFormat="0" applyAlignment="0" applyProtection="0"/>
    <xf numFmtId="166" fontId="55" fillId="0" borderId="38" applyNumberFormat="0" applyFill="0" applyAlignment="0" applyProtection="0"/>
    <xf numFmtId="166" fontId="55" fillId="0" borderId="38" applyNumberFormat="0" applyFill="0" applyAlignment="0" applyProtection="0"/>
    <xf numFmtId="166" fontId="55" fillId="0" borderId="38" applyNumberFormat="0" applyFill="0" applyAlignment="0" applyProtection="0"/>
    <xf numFmtId="166" fontId="55" fillId="0" borderId="38" applyNumberFormat="0" applyFill="0" applyAlignment="0" applyProtection="0"/>
    <xf numFmtId="166" fontId="55" fillId="0" borderId="38" applyNumberFormat="0" applyFill="0" applyAlignment="0" applyProtection="0"/>
    <xf numFmtId="166" fontId="37" fillId="0" borderId="29" applyNumberFormat="0" applyFill="0" applyAlignment="0" applyProtection="0"/>
    <xf numFmtId="166" fontId="55" fillId="0" borderId="38" applyNumberFormat="0" applyFill="0" applyAlignment="0" applyProtection="0"/>
    <xf numFmtId="166" fontId="55" fillId="0" borderId="38" applyNumberFormat="0" applyFill="0" applyAlignment="0" applyProtection="0"/>
    <xf numFmtId="166" fontId="56" fillId="58" borderId="0" applyNumberFormat="0" applyBorder="0" applyAlignment="0" applyProtection="0"/>
    <xf numFmtId="166" fontId="56" fillId="58" borderId="0" applyNumberFormat="0" applyBorder="0" applyAlignment="0" applyProtection="0"/>
    <xf numFmtId="166" fontId="56" fillId="58" borderId="0" applyNumberFormat="0" applyBorder="0" applyAlignment="0" applyProtection="0"/>
    <xf numFmtId="166" fontId="56" fillId="58" borderId="0" applyNumberFormat="0" applyBorder="0" applyAlignment="0" applyProtection="0"/>
    <xf numFmtId="166" fontId="56" fillId="58" borderId="0" applyNumberFormat="0" applyBorder="0" applyAlignment="0" applyProtection="0"/>
    <xf numFmtId="166" fontId="33" fillId="9" borderId="0" applyNumberFormat="0" applyBorder="0" applyAlignment="0" applyProtection="0"/>
    <xf numFmtId="166" fontId="56" fillId="58" borderId="0" applyNumberFormat="0" applyBorder="0" applyAlignment="0" applyProtection="0"/>
    <xf numFmtId="166" fontId="56" fillId="58" borderId="0" applyNumberFormat="0" applyBorder="0" applyAlignment="0" applyProtection="0"/>
    <xf numFmtId="165" fontId="11" fillId="0" borderId="0" applyAlignment="0">
      <alignment horizontal="center"/>
    </xf>
    <xf numFmtId="166" fontId="11" fillId="0" borderId="16"/>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11" fillId="0" borderId="0"/>
    <xf numFmtId="166" fontId="11" fillId="0" borderId="16"/>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11" fillId="0" borderId="16"/>
    <xf numFmtId="166" fontId="5" fillId="0" borderId="0"/>
    <xf numFmtId="166" fontId="5" fillId="0" borderId="0"/>
    <xf numFmtId="166" fontId="11" fillId="0" borderId="16"/>
    <xf numFmtId="166" fontId="5" fillId="0" borderId="0"/>
    <xf numFmtId="166" fontId="11" fillId="0" borderId="16"/>
    <xf numFmtId="166" fontId="11" fillId="0" borderId="16"/>
    <xf numFmtId="166" fontId="11" fillId="0" borderId="0"/>
    <xf numFmtId="166" fontId="11" fillId="0" borderId="0"/>
    <xf numFmtId="166" fontId="11" fillId="0" borderId="16"/>
    <xf numFmtId="166" fontId="11" fillId="0" borderId="16"/>
    <xf numFmtId="166" fontId="11" fillId="0" borderId="16"/>
    <xf numFmtId="164" fontId="11" fillId="0" borderId="0" applyProtection="0">
      <alignment wrapText="1"/>
    </xf>
    <xf numFmtId="166" fontId="11" fillId="0" borderId="0"/>
    <xf numFmtId="166" fontId="11" fillId="0" borderId="0"/>
    <xf numFmtId="166" fontId="11" fillId="0" borderId="0"/>
    <xf numFmtId="166" fontId="11" fillId="0" borderId="16"/>
    <xf numFmtId="166" fontId="11" fillId="0" borderId="16"/>
    <xf numFmtId="166" fontId="11" fillId="0" borderId="0"/>
    <xf numFmtId="166" fontId="11" fillId="0" borderId="0"/>
    <xf numFmtId="166" fontId="11" fillId="0" borderId="0"/>
    <xf numFmtId="166" fontId="11" fillId="0" borderId="16"/>
    <xf numFmtId="166" fontId="11" fillId="0" borderId="16"/>
    <xf numFmtId="166" fontId="11" fillId="0" borderId="16"/>
    <xf numFmtId="166" fontId="11" fillId="0" borderId="16"/>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5" fillId="13" borderId="31" applyNumberFormat="0" applyFont="0" applyAlignment="0" applyProtection="0"/>
    <xf numFmtId="166" fontId="5" fillId="13" borderId="31" applyNumberFormat="0" applyFont="0" applyAlignment="0" applyProtection="0"/>
    <xf numFmtId="166" fontId="44" fillId="13" borderId="31"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57" fillId="56" borderId="40" applyNumberFormat="0" applyAlignment="0" applyProtection="0"/>
    <xf numFmtId="166" fontId="57" fillId="56" borderId="40" applyNumberFormat="0" applyAlignment="0" applyProtection="0"/>
    <xf numFmtId="166" fontId="57" fillId="56" borderId="40" applyNumberFormat="0" applyAlignment="0" applyProtection="0"/>
    <xf numFmtId="166" fontId="57" fillId="56" borderId="40" applyNumberFormat="0" applyAlignment="0" applyProtection="0"/>
    <xf numFmtId="166" fontId="57" fillId="56" borderId="40" applyNumberFormat="0" applyAlignment="0" applyProtection="0"/>
    <xf numFmtId="166" fontId="35" fillId="11" borderId="28" applyNumberFormat="0" applyAlignment="0" applyProtection="0"/>
    <xf numFmtId="166" fontId="57" fillId="56" borderId="40" applyNumberFormat="0" applyAlignment="0" applyProtection="0"/>
    <xf numFmtId="166" fontId="57" fillId="56" borderId="40"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4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166" fontId="62" fillId="61" borderId="41" applyNumberFormat="0" applyFont="0" applyFill="0" applyBorder="0" applyProtection="0">
      <alignment shrinkToFit="1"/>
    </xf>
    <xf numFmtId="166" fontId="43" fillId="60" borderId="41" applyNumberFormat="0" applyFont="0" applyFill="0" applyBorder="0" applyProtection="0">
      <alignment shrinkToFit="1"/>
    </xf>
    <xf numFmtId="166" fontId="43" fillId="60" borderId="41" applyNumberFormat="0" applyFont="0" applyFill="0" applyBorder="0" applyProtection="0">
      <alignment shrinkToFit="1"/>
    </xf>
    <xf numFmtId="166" fontId="43" fillId="60" borderId="41" applyNumberFormat="0" applyFont="0" applyFill="0" applyBorder="0" applyProtection="0"/>
    <xf numFmtId="166" fontId="62" fillId="61" borderId="41" applyNumberFormat="0" applyFont="0" applyFill="0" applyBorder="0" applyProtection="0">
      <alignment shrinkToFit="1"/>
    </xf>
    <xf numFmtId="166" fontId="43" fillId="60" borderId="41" applyNumberFormat="0" applyFont="0" applyFill="0" applyBorder="0" applyProtection="0">
      <alignment shrinkToFit="1"/>
    </xf>
    <xf numFmtId="166" fontId="43" fillId="60" borderId="41" applyNumberFormat="0" applyFont="0" applyFill="0" applyBorder="0" applyProtection="0"/>
    <xf numFmtId="166" fontId="58" fillId="0" borderId="0" applyNumberFormat="0" applyFill="0" applyBorder="0" applyAlignment="0" applyProtection="0"/>
    <xf numFmtId="166" fontId="58" fillId="0" borderId="0" applyNumberFormat="0" applyFill="0" applyBorder="0" applyAlignment="0" applyProtection="0"/>
    <xf numFmtId="166" fontId="58" fillId="0" borderId="0" applyNumberFormat="0" applyFill="0" applyBorder="0" applyAlignment="0" applyProtection="0"/>
    <xf numFmtId="166" fontId="58" fillId="0" borderId="0" applyNumberFormat="0" applyFill="0" applyBorder="0" applyAlignment="0" applyProtection="0"/>
    <xf numFmtId="166" fontId="58" fillId="0" borderId="0" applyNumberFormat="0" applyFill="0" applyBorder="0" applyAlignment="0" applyProtection="0"/>
    <xf numFmtId="166" fontId="27" fillId="0" borderId="0" applyNumberFormat="0" applyFill="0" applyBorder="0" applyAlignment="0" applyProtection="0"/>
    <xf numFmtId="166" fontId="58" fillId="0" borderId="0" applyNumberFormat="0" applyFill="0" applyBorder="0" applyAlignment="0" applyProtection="0"/>
    <xf numFmtId="166" fontId="58" fillId="0" borderId="0" applyNumberFormat="0" applyFill="0" applyBorder="0" applyAlignment="0" applyProtection="0"/>
    <xf numFmtId="166" fontId="59" fillId="0" borderId="42" applyNumberFormat="0" applyFill="0" applyAlignment="0" applyProtection="0"/>
    <xf numFmtId="166" fontId="59" fillId="0" borderId="42" applyNumberFormat="0" applyFill="0" applyAlignment="0" applyProtection="0"/>
    <xf numFmtId="166" fontId="59" fillId="0" borderId="42" applyNumberFormat="0" applyFill="0" applyAlignment="0" applyProtection="0"/>
    <xf numFmtId="166" fontId="59" fillId="0" borderId="42" applyNumberFormat="0" applyFill="0" applyAlignment="0" applyProtection="0"/>
    <xf numFmtId="166" fontId="59" fillId="0" borderId="42" applyNumberFormat="0" applyFill="0" applyAlignment="0" applyProtection="0"/>
    <xf numFmtId="166" fontId="41" fillId="0" borderId="32" applyNumberFormat="0" applyFill="0" applyAlignment="0" applyProtection="0"/>
    <xf numFmtId="166" fontId="59" fillId="0" borderId="42" applyNumberFormat="0" applyFill="0" applyAlignment="0" applyProtection="0"/>
    <xf numFmtId="166" fontId="59" fillId="0" borderId="42" applyNumberFormat="0" applyFill="0" applyAlignment="0" applyProtection="0"/>
    <xf numFmtId="166" fontId="60" fillId="0" borderId="0" applyNumberFormat="0" applyFill="0" applyBorder="0" applyAlignment="0" applyProtection="0"/>
    <xf numFmtId="166" fontId="60" fillId="0" borderId="0" applyNumberFormat="0" applyFill="0" applyBorder="0" applyAlignment="0" applyProtection="0"/>
    <xf numFmtId="166" fontId="60" fillId="0" borderId="0" applyNumberFormat="0" applyFill="0" applyBorder="0" applyAlignment="0" applyProtection="0"/>
    <xf numFmtId="166" fontId="60" fillId="0" borderId="0" applyNumberFormat="0" applyFill="0" applyBorder="0" applyAlignment="0" applyProtection="0"/>
    <xf numFmtId="166" fontId="60" fillId="0" borderId="0" applyNumberFormat="0" applyFill="0" applyBorder="0" applyAlignment="0" applyProtection="0"/>
    <xf numFmtId="166" fontId="39" fillId="0" borderId="0" applyNumberFormat="0" applyFill="0" applyBorder="0" applyAlignment="0" applyProtection="0"/>
    <xf numFmtId="166" fontId="60" fillId="0" borderId="0" applyNumberFormat="0" applyFill="0" applyBorder="0" applyAlignment="0" applyProtection="0"/>
    <xf numFmtId="166" fontId="60" fillId="0" borderId="0" applyNumberFormat="0" applyFill="0" applyBorder="0" applyAlignment="0" applyProtection="0"/>
    <xf numFmtId="166" fontId="16" fillId="0" borderId="0" applyNumberFormat="0" applyFill="0" applyBorder="0" applyAlignment="0" applyProtection="0">
      <alignment vertical="top"/>
      <protection locked="0"/>
    </xf>
    <xf numFmtId="166" fontId="5" fillId="0" borderId="0"/>
    <xf numFmtId="166" fontId="5" fillId="0" borderId="0"/>
    <xf numFmtId="166" fontId="5" fillId="0" borderId="0"/>
    <xf numFmtId="166" fontId="5" fillId="0" borderId="0"/>
    <xf numFmtId="166" fontId="11" fillId="0" borderId="0"/>
    <xf numFmtId="166" fontId="11"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4" fillId="0" borderId="0"/>
    <xf numFmtId="166" fontId="4" fillId="0" borderId="0"/>
    <xf numFmtId="166" fontId="4" fillId="0" borderId="0"/>
    <xf numFmtId="0" fontId="70" fillId="0" borderId="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42" fillId="17" borderId="0" applyNumberFormat="0" applyBorder="0" applyAlignment="0" applyProtection="0"/>
    <xf numFmtId="0" fontId="42" fillId="21" borderId="0" applyNumberFormat="0" applyBorder="0" applyAlignment="0" applyProtection="0"/>
    <xf numFmtId="0" fontId="42" fillId="25" borderId="0" applyNumberFormat="0" applyBorder="0" applyAlignment="0" applyProtection="0"/>
    <xf numFmtId="0" fontId="42" fillId="29" borderId="0" applyNumberFormat="0" applyBorder="0" applyAlignment="0" applyProtection="0"/>
    <xf numFmtId="0" fontId="42" fillId="33" borderId="0" applyNumberFormat="0" applyBorder="0" applyAlignment="0" applyProtection="0"/>
    <xf numFmtId="0" fontId="42" fillId="37" borderId="0" applyNumberFormat="0" applyBorder="0" applyAlignment="0" applyProtection="0"/>
    <xf numFmtId="0" fontId="42" fillId="14" borderId="0" applyNumberFormat="0" applyBorder="0" applyAlignment="0" applyProtection="0"/>
    <xf numFmtId="0" fontId="42" fillId="18" borderId="0" applyNumberFormat="0" applyBorder="0" applyAlignment="0" applyProtection="0"/>
    <xf numFmtId="0" fontId="42" fillId="22" borderId="0" applyNumberFormat="0" applyBorder="0" applyAlignment="0" applyProtection="0"/>
    <xf numFmtId="0" fontId="42" fillId="26" borderId="0" applyNumberFormat="0" applyBorder="0" applyAlignment="0" applyProtection="0"/>
    <xf numFmtId="0" fontId="42" fillId="30" borderId="0" applyNumberFormat="0" applyBorder="0" applyAlignment="0" applyProtection="0"/>
    <xf numFmtId="0" fontId="42" fillId="34" borderId="0" applyNumberFormat="0" applyBorder="0" applyAlignment="0" applyProtection="0"/>
    <xf numFmtId="0" fontId="32" fillId="8" borderId="0" applyNumberFormat="0" applyBorder="0" applyAlignment="0" applyProtection="0"/>
    <xf numFmtId="0" fontId="36" fillId="11" borderId="27" applyNumberFormat="0" applyAlignment="0" applyProtection="0"/>
    <xf numFmtId="0" fontId="38" fillId="12" borderId="30" applyNumberFormat="0" applyAlignment="0" applyProtection="0"/>
    <xf numFmtId="43" fontId="11" fillId="0" borderId="0" applyFont="0" applyFill="0" applyBorder="0" applyAlignment="0" applyProtection="0"/>
    <xf numFmtId="43" fontId="1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40" fillId="0" borderId="0" applyNumberFormat="0" applyFill="0" applyBorder="0" applyAlignment="0" applyProtection="0"/>
    <xf numFmtId="0" fontId="31" fillId="7" borderId="0" applyNumberFormat="0" applyBorder="0" applyAlignment="0" applyProtection="0"/>
    <xf numFmtId="0" fontId="28" fillId="0" borderId="24" applyNumberFormat="0" applyFill="0" applyAlignment="0" applyProtection="0"/>
    <xf numFmtId="0" fontId="29" fillId="0" borderId="25" applyNumberFormat="0" applyFill="0" applyAlignment="0" applyProtection="0"/>
    <xf numFmtId="0" fontId="30" fillId="0" borderId="26" applyNumberFormat="0" applyFill="0" applyAlignment="0" applyProtection="0"/>
    <xf numFmtId="0" fontId="30" fillId="0" borderId="0" applyNumberFormat="0" applyFill="0" applyBorder="0" applyAlignment="0" applyProtection="0"/>
    <xf numFmtId="0" fontId="16"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4" fillId="10" borderId="27" applyNumberFormat="0" applyAlignment="0" applyProtection="0"/>
    <xf numFmtId="0" fontId="37" fillId="0" borderId="29" applyNumberFormat="0" applyFill="0" applyAlignment="0" applyProtection="0"/>
    <xf numFmtId="0" fontId="33" fillId="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11" fillId="0" borderId="16"/>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11"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11" fillId="0" borderId="0"/>
    <xf numFmtId="0" fontId="11"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3" borderId="31" applyNumberFormat="0" applyFont="0" applyAlignment="0" applyProtection="0"/>
    <xf numFmtId="0" fontId="3" fillId="13" borderId="31" applyNumberFormat="0" applyFont="0" applyAlignment="0" applyProtection="0"/>
    <xf numFmtId="0" fontId="44" fillId="13" borderId="31" applyNumberFormat="0" applyFont="0" applyAlignment="0" applyProtection="0"/>
    <xf numFmtId="0" fontId="35" fillId="11" borderId="28" applyNumberFormat="0" applyAlignment="0" applyProtection="0"/>
    <xf numFmtId="9" fontId="11" fillId="0" borderId="0" applyFont="0" applyFill="0" applyBorder="0" applyAlignment="0"/>
    <xf numFmtId="9" fontId="11" fillId="0" borderId="0" applyFont="0" applyFill="0" applyBorder="0" applyAlignment="0" applyProtection="0"/>
    <xf numFmtId="0" fontId="27" fillId="0" borderId="0" applyNumberFormat="0" applyFill="0" applyBorder="0" applyAlignment="0" applyProtection="0"/>
    <xf numFmtId="0" fontId="41" fillId="0" borderId="32" applyNumberFormat="0" applyFill="0" applyAlignment="0" applyProtection="0"/>
    <xf numFmtId="0" fontId="39" fillId="0" borderId="0" applyNumberFormat="0" applyFill="0" applyBorder="0" applyAlignment="0" applyProtection="0"/>
    <xf numFmtId="0" fontId="70"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15" borderId="0" applyNumberFormat="0" applyBorder="0" applyAlignment="0" applyProtection="0"/>
    <xf numFmtId="166" fontId="2" fillId="15" borderId="0" applyNumberFormat="0" applyBorder="0" applyAlignment="0" applyProtection="0"/>
    <xf numFmtId="166" fontId="2" fillId="15" borderId="0" applyNumberFormat="0" applyBorder="0" applyAlignment="0" applyProtection="0"/>
    <xf numFmtId="166" fontId="2" fillId="19" borderId="0" applyNumberFormat="0" applyBorder="0" applyAlignment="0" applyProtection="0"/>
    <xf numFmtId="166" fontId="2" fillId="19" borderId="0" applyNumberFormat="0" applyBorder="0" applyAlignment="0" applyProtection="0"/>
    <xf numFmtId="166" fontId="2" fillId="19" borderId="0" applyNumberFormat="0" applyBorder="0" applyAlignment="0" applyProtection="0"/>
    <xf numFmtId="166" fontId="2" fillId="23" borderId="0" applyNumberFormat="0" applyBorder="0" applyAlignment="0" applyProtection="0"/>
    <xf numFmtId="166" fontId="2" fillId="23" borderId="0" applyNumberFormat="0" applyBorder="0" applyAlignment="0" applyProtection="0"/>
    <xf numFmtId="166" fontId="2" fillId="23" borderId="0" applyNumberFormat="0" applyBorder="0" applyAlignment="0" applyProtection="0"/>
    <xf numFmtId="166" fontId="2" fillId="27" borderId="0" applyNumberFormat="0" applyBorder="0" applyAlignment="0" applyProtection="0"/>
    <xf numFmtId="166" fontId="2" fillId="27" borderId="0" applyNumberFormat="0" applyBorder="0" applyAlignment="0" applyProtection="0"/>
    <xf numFmtId="166" fontId="2" fillId="27" borderId="0" applyNumberFormat="0" applyBorder="0" applyAlignment="0" applyProtection="0"/>
    <xf numFmtId="166" fontId="2" fillId="31" borderId="0" applyNumberFormat="0" applyBorder="0" applyAlignment="0" applyProtection="0"/>
    <xf numFmtId="166" fontId="2" fillId="31" borderId="0" applyNumberFormat="0" applyBorder="0" applyAlignment="0" applyProtection="0"/>
    <xf numFmtId="166" fontId="2" fillId="31" borderId="0" applyNumberFormat="0" applyBorder="0" applyAlignment="0" applyProtection="0"/>
    <xf numFmtId="166" fontId="2" fillId="35" borderId="0" applyNumberFormat="0" applyBorder="0" applyAlignment="0" applyProtection="0"/>
    <xf numFmtId="166" fontId="2" fillId="35" borderId="0" applyNumberFormat="0" applyBorder="0" applyAlignment="0" applyProtection="0"/>
    <xf numFmtId="166" fontId="2" fillId="35" borderId="0" applyNumberFormat="0" applyBorder="0" applyAlignment="0" applyProtection="0"/>
    <xf numFmtId="166" fontId="2" fillId="16" borderId="0" applyNumberFormat="0" applyBorder="0" applyAlignment="0" applyProtection="0"/>
    <xf numFmtId="166" fontId="2" fillId="16" borderId="0" applyNumberFormat="0" applyBorder="0" applyAlignment="0" applyProtection="0"/>
    <xf numFmtId="166" fontId="2" fillId="16" borderId="0" applyNumberFormat="0" applyBorder="0" applyAlignment="0" applyProtection="0"/>
    <xf numFmtId="166" fontId="2" fillId="20" borderId="0" applyNumberFormat="0" applyBorder="0" applyAlignment="0" applyProtection="0"/>
    <xf numFmtId="166" fontId="2" fillId="20" borderId="0" applyNumberFormat="0" applyBorder="0" applyAlignment="0" applyProtection="0"/>
    <xf numFmtId="166" fontId="2" fillId="20" borderId="0" applyNumberFormat="0" applyBorder="0" applyAlignment="0" applyProtection="0"/>
    <xf numFmtId="166" fontId="2" fillId="24" borderId="0" applyNumberFormat="0" applyBorder="0" applyAlignment="0" applyProtection="0"/>
    <xf numFmtId="166" fontId="2" fillId="24" borderId="0" applyNumberFormat="0" applyBorder="0" applyAlignment="0" applyProtection="0"/>
    <xf numFmtId="166" fontId="2" fillId="24" borderId="0" applyNumberFormat="0" applyBorder="0" applyAlignment="0" applyProtection="0"/>
    <xf numFmtId="166" fontId="2" fillId="28" borderId="0" applyNumberFormat="0" applyBorder="0" applyAlignment="0" applyProtection="0"/>
    <xf numFmtId="166" fontId="2" fillId="28" borderId="0" applyNumberFormat="0" applyBorder="0" applyAlignment="0" applyProtection="0"/>
    <xf numFmtId="166" fontId="2" fillId="28" borderId="0" applyNumberFormat="0" applyBorder="0" applyAlignment="0" applyProtection="0"/>
    <xf numFmtId="166" fontId="2" fillId="32" borderId="0" applyNumberFormat="0" applyBorder="0" applyAlignment="0" applyProtection="0"/>
    <xf numFmtId="166" fontId="2" fillId="32" borderId="0" applyNumberFormat="0" applyBorder="0" applyAlignment="0" applyProtection="0"/>
    <xf numFmtId="166" fontId="2" fillId="32" borderId="0" applyNumberFormat="0" applyBorder="0" applyAlignment="0" applyProtection="0"/>
    <xf numFmtId="166" fontId="2" fillId="36" borderId="0" applyNumberFormat="0" applyBorder="0" applyAlignment="0" applyProtection="0"/>
    <xf numFmtId="166" fontId="2" fillId="36" borderId="0" applyNumberFormat="0" applyBorder="0" applyAlignment="0" applyProtection="0"/>
    <xf numFmtId="166" fontId="2" fillId="36"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13" borderId="31" applyNumberFormat="0" applyFont="0" applyAlignment="0" applyProtection="0"/>
    <xf numFmtId="166" fontId="2" fillId="13" borderId="31" applyNumberFormat="0" applyFont="0" applyAlignment="0" applyProtection="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0" fontId="11" fillId="0" borderId="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13" borderId="31" applyNumberFormat="0" applyFont="0" applyAlignment="0" applyProtection="0"/>
    <xf numFmtId="0" fontId="2" fillId="13" borderId="31" applyNumberFormat="0" applyFont="0" applyAlignment="0" applyProtection="0"/>
    <xf numFmtId="0" fontId="11" fillId="0" borderId="0"/>
    <xf numFmtId="0" fontId="11" fillId="0" borderId="0"/>
    <xf numFmtId="0" fontId="73" fillId="0" borderId="0"/>
    <xf numFmtId="44"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166" fontId="44" fillId="38"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166"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166"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166"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166" fontId="44" fillId="3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6"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6"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6"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6" fontId="44" fillId="40"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6"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6"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6"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6" fontId="44" fillId="4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6"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6"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6"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6" fontId="44" fillId="42"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6"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6"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6"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6" fontId="44" fillId="43"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6"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6"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6"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6" fontId="44" fillId="44"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166"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166"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166"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166" fontId="44" fillId="45"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166"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166"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166"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166" fontId="44" fillId="46"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6"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6"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6"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6" fontId="44" fillId="41"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166"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166"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166"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166" fontId="44" fillId="4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166"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166"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166"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166" fontId="44"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166"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166"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166"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166" fontId="42" fillId="17" borderId="0" applyNumberFormat="0" applyBorder="0" applyAlignment="0" applyProtection="0"/>
    <xf numFmtId="166" fontId="42" fillId="21" borderId="0" applyNumberFormat="0" applyBorder="0" applyAlignment="0" applyProtection="0"/>
    <xf numFmtId="166" fontId="42" fillId="25" borderId="0" applyNumberFormat="0" applyBorder="0" applyAlignment="0" applyProtection="0"/>
    <xf numFmtId="166" fontId="42" fillId="29" borderId="0" applyNumberFormat="0" applyBorder="0" applyAlignment="0" applyProtection="0"/>
    <xf numFmtId="166" fontId="42" fillId="33" borderId="0" applyNumberFormat="0" applyBorder="0" applyAlignment="0" applyProtection="0"/>
    <xf numFmtId="166" fontId="42" fillId="37" borderId="0" applyNumberFormat="0" applyBorder="0" applyAlignment="0" applyProtection="0"/>
    <xf numFmtId="166" fontId="42" fillId="14" borderId="0" applyNumberFormat="0" applyBorder="0" applyAlignment="0" applyProtection="0"/>
    <xf numFmtId="166" fontId="42" fillId="18" borderId="0" applyNumberFormat="0" applyBorder="0" applyAlignment="0" applyProtection="0"/>
    <xf numFmtId="166" fontId="42" fillId="22" borderId="0" applyNumberFormat="0" applyBorder="0" applyAlignment="0" applyProtection="0"/>
    <xf numFmtId="166" fontId="42" fillId="26" borderId="0" applyNumberFormat="0" applyBorder="0" applyAlignment="0" applyProtection="0"/>
    <xf numFmtId="166" fontId="42" fillId="30" borderId="0" applyNumberFormat="0" applyBorder="0" applyAlignment="0" applyProtection="0"/>
    <xf numFmtId="166" fontId="42" fillId="34" borderId="0" applyNumberFormat="0" applyBorder="0" applyAlignment="0" applyProtection="0"/>
    <xf numFmtId="166" fontId="32" fillId="8" borderId="0" applyNumberFormat="0" applyBorder="0" applyAlignment="0" applyProtection="0"/>
    <xf numFmtId="168" fontId="74" fillId="62" borderId="0" applyNumberFormat="0" applyFont="0" applyBorder="0" applyAlignment="0" applyProtection="0">
      <alignment horizontal="center"/>
    </xf>
    <xf numFmtId="166" fontId="36" fillId="11" borderId="27" applyNumberFormat="0" applyAlignment="0" applyProtection="0"/>
    <xf numFmtId="166" fontId="38" fillId="12" borderId="30" applyNumberFormat="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166" fontId="40" fillId="0" borderId="0" applyNumberFormat="0" applyFill="0" applyBorder="0" applyAlignment="0" applyProtection="0"/>
    <xf numFmtId="166" fontId="31" fillId="7" borderId="0" applyNumberFormat="0" applyBorder="0" applyAlignment="0" applyProtection="0"/>
    <xf numFmtId="166" fontId="28" fillId="0" borderId="24" applyNumberFormat="0" applyFill="0" applyAlignment="0" applyProtection="0"/>
    <xf numFmtId="166" fontId="29" fillId="0" borderId="25" applyNumberFormat="0" applyFill="0" applyAlignment="0" applyProtection="0"/>
    <xf numFmtId="166" fontId="30" fillId="0" borderId="26" applyNumberFormat="0" applyFill="0" applyAlignment="0" applyProtection="0"/>
    <xf numFmtId="166" fontId="30" fillId="0" borderId="0" applyNumberFormat="0" applyFill="0" applyBorder="0" applyAlignment="0" applyProtection="0"/>
    <xf numFmtId="166" fontId="16"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166" fontId="43" fillId="0" borderId="0" applyNumberFormat="0" applyFill="0" applyBorder="0" applyAlignment="0" applyProtection="0">
      <alignment vertical="top"/>
      <protection locked="0"/>
    </xf>
    <xf numFmtId="166" fontId="16" fillId="0" borderId="0" applyNumberFormat="0" applyFill="0" applyBorder="0" applyAlignment="0" applyProtection="0">
      <alignment vertical="top"/>
      <protection locked="0"/>
    </xf>
    <xf numFmtId="166" fontId="34" fillId="10" borderId="27" applyNumberFormat="0" applyAlignment="0" applyProtection="0"/>
    <xf numFmtId="0" fontId="75" fillId="0" borderId="0" applyFill="0" applyBorder="0" applyProtection="0">
      <alignment horizontal="right" vertical="center"/>
    </xf>
    <xf numFmtId="166" fontId="37" fillId="0" borderId="29" applyNumberFormat="0" applyFill="0" applyAlignment="0" applyProtection="0"/>
    <xf numFmtId="166" fontId="33" fillId="9" borderId="0" applyNumberFormat="0" applyBorder="0" applyAlignment="0" applyProtection="0"/>
    <xf numFmtId="165" fontId="11" fillId="0" borderId="0" applyAlignment="0">
      <alignment horizontal="center"/>
    </xf>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0"/>
    <xf numFmtId="0" fontId="11" fillId="0" borderId="0"/>
    <xf numFmtId="166" fontId="11" fillId="0" borderId="16"/>
    <xf numFmtId="0" fontId="11" fillId="0" borderId="16"/>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16"/>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16"/>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16"/>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16"/>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0"/>
    <xf numFmtId="0" fontId="11" fillId="0" borderId="0"/>
    <xf numFmtId="0" fontId="1" fillId="0" borderId="0"/>
    <xf numFmtId="0" fontId="1" fillId="0" borderId="0"/>
    <xf numFmtId="166" fontId="1" fillId="0" borderId="0"/>
    <xf numFmtId="0" fontId="1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0"/>
    <xf numFmtId="0" fontId="1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1" fillId="0" borderId="0"/>
    <xf numFmtId="166" fontId="11" fillId="0" borderId="0"/>
    <xf numFmtId="166" fontId="11" fillId="0" borderId="0"/>
    <xf numFmtId="166" fontId="11" fillId="0" borderId="0"/>
    <xf numFmtId="0" fontId="1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164" fontId="11" fillId="0" borderId="0" applyProtection="0">
      <alignment wrapText="1"/>
    </xf>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4" fontId="11" fillId="0" borderId="0" applyProtection="0">
      <alignment wrapText="1"/>
    </xf>
    <xf numFmtId="166" fontId="11" fillId="0" borderId="16"/>
    <xf numFmtId="166" fontId="11" fillId="0" borderId="0"/>
    <xf numFmtId="0" fontId="11" fillId="0" borderId="0"/>
    <xf numFmtId="166" fontId="11" fillId="0" borderId="16"/>
    <xf numFmtId="166" fontId="11" fillId="0" borderId="0"/>
    <xf numFmtId="0" fontId="11" fillId="0" borderId="0"/>
    <xf numFmtId="166" fontId="11" fillId="0" borderId="0"/>
    <xf numFmtId="166" fontId="11" fillId="0" borderId="0"/>
    <xf numFmtId="0" fontId="11" fillId="0" borderId="0"/>
    <xf numFmtId="166" fontId="11" fillId="0" borderId="0"/>
    <xf numFmtId="0" fontId="1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1" fillId="0" borderId="16"/>
    <xf numFmtId="0" fontId="1" fillId="0" borderId="0"/>
    <xf numFmtId="166" fontId="1" fillId="0" borderId="0"/>
    <xf numFmtId="0" fontId="1" fillId="0" borderId="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166"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166" fontId="44"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166"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166" fontId="11" fillId="59" borderId="39" applyNumberFormat="0" applyFont="0" applyAlignment="0" applyProtection="0"/>
    <xf numFmtId="166" fontId="11" fillId="59" borderId="39"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0" fontId="1" fillId="13" borderId="31" applyNumberFormat="0" applyFont="0" applyAlignment="0" applyProtection="0"/>
    <xf numFmtId="166" fontId="35" fillId="11" borderId="28"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75" fillId="0" borderId="0">
      <alignment vertical="center"/>
    </xf>
    <xf numFmtId="166" fontId="27" fillId="0" borderId="0" applyNumberFormat="0" applyFill="0" applyBorder="0" applyAlignment="0" applyProtection="0"/>
    <xf numFmtId="166" fontId="41" fillId="0" borderId="32" applyNumberFormat="0" applyFill="0" applyAlignment="0" applyProtection="0"/>
    <xf numFmtId="166" fontId="39" fillId="0" borderId="0" applyNumberForma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0" fontId="11" fillId="0" borderId="0"/>
    <xf numFmtId="0" fontId="1" fillId="0" borderId="0"/>
    <xf numFmtId="0" fontId="1" fillId="0" borderId="0"/>
  </cellStyleXfs>
  <cellXfs count="355">
    <xf numFmtId="166" fontId="0" fillId="0" borderId="0" xfId="0"/>
    <xf numFmtId="166" fontId="0" fillId="0" borderId="0" xfId="0" applyAlignment="1">
      <alignment horizontal="center"/>
    </xf>
    <xf numFmtId="166" fontId="14" fillId="2" borderId="1" xfId="0" applyFont="1" applyFill="1" applyBorder="1" applyAlignment="1">
      <alignment horizontal="center"/>
    </xf>
    <xf numFmtId="166" fontId="14" fillId="2" borderId="2" xfId="0" applyFont="1" applyFill="1" applyBorder="1" applyAlignment="1">
      <alignment horizontal="center"/>
    </xf>
    <xf numFmtId="166" fontId="14" fillId="2" borderId="1" xfId="0" applyFont="1" applyFill="1" applyBorder="1" applyAlignment="1">
      <alignment horizontal="center" wrapText="1"/>
    </xf>
    <xf numFmtId="166" fontId="15" fillId="0" borderId="0" xfId="0" applyFont="1" applyAlignment="1">
      <alignment horizontal="left"/>
    </xf>
    <xf numFmtId="14" fontId="0" fillId="0" borderId="0" xfId="0" applyNumberFormat="1" applyAlignment="1">
      <alignment horizontal="center"/>
    </xf>
    <xf numFmtId="2" fontId="0" fillId="0" borderId="0" xfId="0" applyNumberFormat="1"/>
    <xf numFmtId="166" fontId="17" fillId="0" borderId="0" xfId="0" applyFont="1" applyAlignment="1">
      <alignment horizontal="center"/>
    </xf>
    <xf numFmtId="166" fontId="17" fillId="0" borderId="0" xfId="0" applyFont="1"/>
    <xf numFmtId="166" fontId="17" fillId="0" borderId="0" xfId="0" applyFont="1" applyAlignment="1">
      <alignment horizontal="left"/>
    </xf>
    <xf numFmtId="14" fontId="17" fillId="0" borderId="0" xfId="0" applyNumberFormat="1" applyFont="1" applyAlignment="1">
      <alignment horizontal="center"/>
    </xf>
    <xf numFmtId="1" fontId="0" fillId="0" borderId="0" xfId="0" applyNumberFormat="1"/>
    <xf numFmtId="1" fontId="17" fillId="0" borderId="3" xfId="0" applyNumberFormat="1" applyFont="1" applyBorder="1" applyAlignment="1">
      <alignment horizontal="center"/>
    </xf>
    <xf numFmtId="1" fontId="0" fillId="0" borderId="3" xfId="0" applyNumberFormat="1" applyBorder="1" applyAlignment="1">
      <alignment horizontal="center"/>
    </xf>
    <xf numFmtId="2" fontId="18" fillId="0" borderId="0" xfId="0" applyNumberFormat="1" applyFont="1"/>
    <xf numFmtId="2" fontId="18" fillId="0" borderId="0" xfId="0" applyNumberFormat="1" applyFont="1" applyAlignment="1">
      <alignment horizontal="right"/>
    </xf>
    <xf numFmtId="166" fontId="18" fillId="0" borderId="0" xfId="0" applyFont="1" applyAlignment="1">
      <alignment horizontal="left"/>
    </xf>
    <xf numFmtId="166" fontId="14" fillId="2" borderId="4" xfId="0" applyFont="1" applyFill="1" applyBorder="1" applyAlignment="1">
      <alignment horizontal="center"/>
    </xf>
    <xf numFmtId="166" fontId="14" fillId="2" borderId="5" xfId="0" applyFont="1" applyFill="1" applyBorder="1" applyAlignment="1">
      <alignment horizontal="center"/>
    </xf>
    <xf numFmtId="166" fontId="0" fillId="0" borderId="0" xfId="0" applyAlignment="1">
      <alignment horizontal="right"/>
    </xf>
    <xf numFmtId="166" fontId="19" fillId="0" borderId="0" xfId="0" applyFont="1"/>
    <xf numFmtId="166" fontId="0" fillId="0" borderId="0" xfId="0" applyAlignment="1">
      <alignment horizontal="left"/>
    </xf>
    <xf numFmtId="166" fontId="20" fillId="0" borderId="0" xfId="0" applyFont="1" applyAlignment="1">
      <alignment horizontal="right"/>
    </xf>
    <xf numFmtId="166" fontId="21" fillId="0" borderId="0" xfId="0" applyFont="1" applyAlignment="1">
      <alignment horizontal="left"/>
    </xf>
    <xf numFmtId="166" fontId="22" fillId="0" borderId="0" xfId="0" applyFont="1" applyAlignment="1">
      <alignment horizontal="left"/>
    </xf>
    <xf numFmtId="166" fontId="21" fillId="0" borderId="0" xfId="0" applyFont="1"/>
    <xf numFmtId="166" fontId="23" fillId="0" borderId="0" xfId="0" applyFont="1" applyAlignment="1">
      <alignment horizontal="left"/>
    </xf>
    <xf numFmtId="166" fontId="22" fillId="0" borderId="0" xfId="0" quotePrefix="1" applyFont="1" applyAlignment="1">
      <alignment horizontal="center"/>
    </xf>
    <xf numFmtId="166" fontId="14" fillId="2" borderId="2" xfId="0" applyFont="1" applyFill="1" applyBorder="1" applyAlignment="1">
      <alignment horizontal="center" wrapText="1"/>
    </xf>
    <xf numFmtId="166" fontId="12" fillId="0" borderId="0" xfId="0" applyFont="1" applyAlignment="1">
      <alignment horizontal="center"/>
    </xf>
    <xf numFmtId="166" fontId="0" fillId="0" borderId="9" xfId="0" quotePrefix="1" applyBorder="1" applyAlignment="1">
      <alignment horizontal="center"/>
    </xf>
    <xf numFmtId="166" fontId="0" fillId="0" borderId="5" xfId="0" quotePrefix="1" applyBorder="1" applyAlignment="1">
      <alignment horizontal="center"/>
    </xf>
    <xf numFmtId="166" fontId="0" fillId="0" borderId="12" xfId="0" quotePrefix="1" applyBorder="1" applyAlignment="1">
      <alignment horizontal="center"/>
    </xf>
    <xf numFmtId="166" fontId="12" fillId="0" borderId="0" xfId="0" applyFont="1" applyAlignment="1">
      <alignment horizontal="right"/>
    </xf>
    <xf numFmtId="166" fontId="23" fillId="0" borderId="0" xfId="0" quotePrefix="1" applyFont="1" applyAlignment="1">
      <alignment horizontal="center"/>
    </xf>
    <xf numFmtId="166" fontId="24" fillId="0" borderId="0" xfId="0" applyFont="1" applyAlignment="1">
      <alignment horizontal="left"/>
    </xf>
    <xf numFmtId="166" fontId="0" fillId="0" borderId="0" xfId="0" quotePrefix="1" applyAlignment="1">
      <alignment horizontal="center"/>
    </xf>
    <xf numFmtId="166" fontId="12" fillId="0" borderId="16" xfId="0" applyFont="1" applyBorder="1" applyAlignment="1">
      <alignment horizontal="center" vertical="center"/>
    </xf>
    <xf numFmtId="166" fontId="12" fillId="0" borderId="19" xfId="0" applyFont="1" applyBorder="1" applyAlignment="1">
      <alignment horizontal="center" vertical="center"/>
    </xf>
    <xf numFmtId="166" fontId="22" fillId="0" borderId="16" xfId="0" applyFont="1" applyBorder="1" applyAlignment="1">
      <alignment horizontal="center" vertical="center" wrapText="1"/>
    </xf>
    <xf numFmtId="49" fontId="11" fillId="0" borderId="17" xfId="0" applyNumberFormat="1" applyFont="1" applyBorder="1" applyAlignment="1">
      <alignment horizontal="center" vertical="center" wrapText="1"/>
    </xf>
    <xf numFmtId="166" fontId="11" fillId="0" borderId="17" xfId="0" applyFont="1" applyBorder="1" applyAlignment="1">
      <alignment horizontal="center" vertical="center" wrapText="1"/>
    </xf>
    <xf numFmtId="166" fontId="63" fillId="0" borderId="0" xfId="0" applyFont="1" applyAlignment="1">
      <alignment horizontal="center" vertical="top"/>
    </xf>
    <xf numFmtId="166" fontId="64" fillId="0" borderId="0" xfId="0" applyFont="1"/>
    <xf numFmtId="166" fontId="65" fillId="0" borderId="0" xfId="0" applyFont="1"/>
    <xf numFmtId="166" fontId="66" fillId="3" borderId="2" xfId="0" applyFont="1" applyFill="1" applyBorder="1"/>
    <xf numFmtId="166" fontId="66" fillId="0" borderId="4" xfId="0" applyFont="1" applyBorder="1"/>
    <xf numFmtId="166" fontId="66" fillId="0" borderId="8" xfId="0" applyFont="1" applyBorder="1"/>
    <xf numFmtId="166" fontId="67" fillId="0" borderId="8" xfId="0" applyFont="1" applyBorder="1"/>
    <xf numFmtId="166" fontId="68" fillId="0" borderId="11" xfId="0" applyFont="1" applyBorder="1"/>
    <xf numFmtId="166" fontId="11" fillId="0" borderId="0" xfId="0" applyFont="1"/>
    <xf numFmtId="1" fontId="14" fillId="4" borderId="1" xfId="0" applyNumberFormat="1" applyFont="1" applyFill="1" applyBorder="1" applyAlignment="1">
      <alignment horizontal="center"/>
    </xf>
    <xf numFmtId="1" fontId="66" fillId="3" borderId="2" xfId="0" applyNumberFormat="1" applyFont="1" applyFill="1" applyBorder="1" applyAlignment="1">
      <alignment horizontal="center" vertical="top"/>
    </xf>
    <xf numFmtId="1" fontId="66" fillId="3" borderId="6" xfId="0" applyNumberFormat="1" applyFont="1" applyFill="1" applyBorder="1" applyAlignment="1">
      <alignment horizontal="center" vertical="top"/>
    </xf>
    <xf numFmtId="1" fontId="66" fillId="3" borderId="7" xfId="0" applyNumberFormat="1" applyFont="1" applyFill="1" applyBorder="1" applyAlignment="1">
      <alignment horizontal="center" vertical="top"/>
    </xf>
    <xf numFmtId="1" fontId="0" fillId="0" borderId="9" xfId="0" applyNumberFormat="1" applyBorder="1" applyAlignment="1">
      <alignment horizontal="center" vertical="top"/>
    </xf>
    <xf numFmtId="1" fontId="0" fillId="0" borderId="0" xfId="0" applyNumberFormat="1" applyAlignment="1">
      <alignment horizontal="center" vertical="top"/>
    </xf>
    <xf numFmtId="1" fontId="0" fillId="0" borderId="10" xfId="0" applyNumberFormat="1" applyBorder="1" applyAlignment="1">
      <alignment horizontal="center" vertical="top"/>
    </xf>
    <xf numFmtId="1" fontId="69" fillId="0" borderId="0" xfId="0" applyNumberFormat="1" applyFont="1" applyAlignment="1">
      <alignment horizontal="center" vertical="top"/>
    </xf>
    <xf numFmtId="1" fontId="69" fillId="0" borderId="9" xfId="0" applyNumberFormat="1" applyFont="1" applyBorder="1" applyAlignment="1">
      <alignment horizontal="center" vertical="top"/>
    </xf>
    <xf numFmtId="1" fontId="67" fillId="0" borderId="9" xfId="0" applyNumberFormat="1" applyFont="1" applyBorder="1" applyAlignment="1">
      <alignment horizontal="center" vertical="top"/>
    </xf>
    <xf numFmtId="1" fontId="67" fillId="0" borderId="0" xfId="0" applyNumberFormat="1" applyFont="1" applyAlignment="1">
      <alignment horizontal="center" vertical="top"/>
    </xf>
    <xf numFmtId="1" fontId="67" fillId="0" borderId="10" xfId="0" applyNumberFormat="1" applyFont="1" applyBorder="1" applyAlignment="1">
      <alignment horizontal="center" vertical="top"/>
    </xf>
    <xf numFmtId="1" fontId="68" fillId="0" borderId="12" xfId="0" applyNumberFormat="1" applyFont="1" applyBorder="1" applyAlignment="1">
      <alignment horizontal="center" vertical="top"/>
    </xf>
    <xf numFmtId="1" fontId="68" fillId="0" borderId="3" xfId="0" applyNumberFormat="1" applyFont="1" applyBorder="1" applyAlignment="1">
      <alignment horizontal="center" vertical="top"/>
    </xf>
    <xf numFmtId="1" fontId="68" fillId="0" borderId="13" xfId="0" applyNumberFormat="1" applyFont="1" applyBorder="1" applyAlignment="1">
      <alignment horizontal="center" vertical="top"/>
    </xf>
    <xf numFmtId="1" fontId="0" fillId="0" borderId="14" xfId="0" applyNumberFormat="1" applyBorder="1" applyAlignment="1">
      <alignment horizontal="center" vertical="top"/>
    </xf>
    <xf numFmtId="1" fontId="11" fillId="0" borderId="0" xfId="0" applyNumberFormat="1" applyFont="1" applyAlignment="1">
      <alignment horizontal="center" vertical="top"/>
    </xf>
    <xf numFmtId="1" fontId="69" fillId="0" borderId="10" xfId="0" applyNumberFormat="1" applyFont="1" applyBorder="1" applyAlignment="1">
      <alignment horizontal="center" vertical="top"/>
    </xf>
    <xf numFmtId="1" fontId="0" fillId="0" borderId="0" xfId="0" applyNumberFormat="1" applyAlignment="1">
      <alignment horizontal="center"/>
    </xf>
    <xf numFmtId="0" fontId="0" fillId="0" borderId="0" xfId="0" applyNumberFormat="1"/>
    <xf numFmtId="166" fontId="23" fillId="0" borderId="0" xfId="0" applyFont="1"/>
    <xf numFmtId="1" fontId="0" fillId="0" borderId="5" xfId="0" applyNumberFormat="1" applyBorder="1" applyAlignment="1">
      <alignment horizontal="center" vertical="top"/>
    </xf>
    <xf numFmtId="1" fontId="0" fillId="0" borderId="15" xfId="0" applyNumberFormat="1" applyBorder="1" applyAlignment="1">
      <alignment horizontal="center" vertical="top"/>
    </xf>
    <xf numFmtId="1" fontId="69" fillId="0" borderId="14" xfId="0" applyNumberFormat="1" applyFont="1" applyBorder="1" applyAlignment="1">
      <alignment horizontal="center" vertical="top"/>
    </xf>
    <xf numFmtId="166" fontId="71" fillId="0" borderId="0" xfId="0" applyFont="1"/>
    <xf numFmtId="166" fontId="14" fillId="2" borderId="4" xfId="0" applyFont="1" applyFill="1" applyBorder="1" applyAlignment="1">
      <alignment horizontal="center" vertical="center"/>
    </xf>
    <xf numFmtId="0" fontId="0" fillId="0" borderId="0" xfId="0" applyNumberFormat="1" applyAlignment="1">
      <alignment horizontal="center"/>
    </xf>
    <xf numFmtId="1" fontId="12" fillId="3" borderId="7" xfId="0" applyNumberFormat="1" applyFont="1" applyFill="1" applyBorder="1" applyAlignment="1">
      <alignment horizontal="center" vertical="top"/>
    </xf>
    <xf numFmtId="1" fontId="11" fillId="0" borderId="9" xfId="0" applyNumberFormat="1" applyFont="1" applyBorder="1" applyAlignment="1">
      <alignment horizontal="center" vertical="top"/>
    </xf>
    <xf numFmtId="1" fontId="11" fillId="0" borderId="10" xfId="0" applyNumberFormat="1" applyFont="1" applyBorder="1" applyAlignment="1">
      <alignment horizontal="center" vertical="top"/>
    </xf>
    <xf numFmtId="1" fontId="11" fillId="0" borderId="15" xfId="0" applyNumberFormat="1" applyFont="1" applyBorder="1" applyAlignment="1">
      <alignment horizontal="center" vertical="top"/>
    </xf>
    <xf numFmtId="1" fontId="66" fillId="3" borderId="12" xfId="0" applyNumberFormat="1" applyFont="1" applyFill="1" applyBorder="1" applyAlignment="1">
      <alignment horizontal="center" vertical="top"/>
    </xf>
    <xf numFmtId="1" fontId="66" fillId="3" borderId="3" xfId="0" applyNumberFormat="1" applyFont="1" applyFill="1" applyBorder="1" applyAlignment="1">
      <alignment horizontal="center" vertical="top"/>
    </xf>
    <xf numFmtId="1" fontId="66" fillId="3" borderId="13" xfId="0" applyNumberFormat="1" applyFont="1" applyFill="1" applyBorder="1" applyAlignment="1">
      <alignment horizontal="center" vertical="top"/>
    </xf>
    <xf numFmtId="1" fontId="0" fillId="0" borderId="13" xfId="0" applyNumberFormat="1" applyBorder="1" applyAlignment="1">
      <alignment horizontal="center" vertical="top"/>
    </xf>
    <xf numFmtId="166" fontId="0" fillId="0" borderId="10" xfId="0" applyBorder="1" applyAlignment="1">
      <alignment horizontal="center" vertical="top"/>
    </xf>
    <xf numFmtId="166" fontId="0" fillId="0" borderId="13" xfId="0" applyBorder="1" applyAlignment="1">
      <alignment horizontal="center" vertical="top"/>
    </xf>
    <xf numFmtId="166" fontId="11" fillId="0" borderId="10" xfId="0" applyFont="1" applyBorder="1" applyAlignment="1">
      <alignment horizontal="center" vertical="top"/>
    </xf>
    <xf numFmtId="166" fontId="11" fillId="0" borderId="20" xfId="0" applyFont="1" applyBorder="1" applyAlignment="1">
      <alignment horizontal="center" vertical="center" wrapText="1"/>
    </xf>
    <xf numFmtId="166" fontId="14" fillId="2" borderId="51" xfId="0" applyFont="1" applyFill="1" applyBorder="1" applyAlignment="1">
      <alignment horizontal="center" wrapText="1"/>
    </xf>
    <xf numFmtId="166" fontId="14" fillId="2" borderId="51" xfId="0" applyFont="1" applyFill="1" applyBorder="1" applyAlignment="1">
      <alignment horizontal="center"/>
    </xf>
    <xf numFmtId="166" fontId="14" fillId="2" borderId="56" xfId="0" applyFont="1" applyFill="1" applyBorder="1" applyAlignment="1">
      <alignment horizontal="center" wrapText="1"/>
    </xf>
    <xf numFmtId="166" fontId="14" fillId="2" borderId="57" xfId="0" applyFont="1" applyFill="1" applyBorder="1" applyAlignment="1">
      <alignment horizontal="center"/>
    </xf>
    <xf numFmtId="166" fontId="14" fillId="2" borderId="52" xfId="0" applyFont="1" applyFill="1" applyBorder="1" applyAlignment="1">
      <alignment horizontal="center"/>
    </xf>
    <xf numFmtId="166" fontId="14" fillId="2" borderId="61" xfId="0" applyFont="1" applyFill="1" applyBorder="1" applyAlignment="1">
      <alignment horizontal="center" wrapText="1"/>
    </xf>
    <xf numFmtId="166" fontId="14" fillId="2" borderId="53" xfId="0" applyFont="1" applyFill="1" applyBorder="1" applyAlignment="1">
      <alignment horizontal="center" wrapText="1"/>
    </xf>
    <xf numFmtId="1" fontId="11" fillId="0" borderId="0" xfId="0" applyNumberFormat="1" applyFont="1" applyAlignment="1">
      <alignment horizontal="center"/>
    </xf>
    <xf numFmtId="166" fontId="11" fillId="0" borderId="20" xfId="0" applyFont="1" applyBorder="1" applyAlignment="1">
      <alignment vertical="center" wrapText="1"/>
    </xf>
    <xf numFmtId="166" fontId="0" fillId="0" borderId="64" xfId="0" applyBorder="1"/>
    <xf numFmtId="166" fontId="0" fillId="0" borderId="65" xfId="0" applyBorder="1"/>
    <xf numFmtId="166" fontId="14" fillId="2" borderId="66" xfId="0" applyFont="1" applyFill="1" applyBorder="1" applyAlignment="1">
      <alignment horizontal="center" wrapText="1"/>
    </xf>
    <xf numFmtId="166" fontId="14" fillId="2" borderId="67" xfId="0" applyFont="1" applyFill="1" applyBorder="1" applyAlignment="1">
      <alignment horizontal="center"/>
    </xf>
    <xf numFmtId="166" fontId="14" fillId="2" borderId="72" xfId="0" applyFont="1" applyFill="1" applyBorder="1" applyAlignment="1">
      <alignment horizontal="center" wrapText="1"/>
    </xf>
    <xf numFmtId="1" fontId="11" fillId="0" borderId="68" xfId="0" applyNumberFormat="1" applyFont="1" applyBorder="1" applyAlignment="1">
      <alignment horizontal="center" vertical="center" wrapText="1"/>
    </xf>
    <xf numFmtId="1" fontId="11" fillId="0" borderId="47" xfId="0" applyNumberFormat="1" applyFont="1" applyBorder="1" applyAlignment="1">
      <alignment horizontal="center" vertical="center" wrapText="1"/>
    </xf>
    <xf numFmtId="1" fontId="11" fillId="0" borderId="69" xfId="0" applyNumberFormat="1" applyFont="1" applyBorder="1" applyAlignment="1">
      <alignment horizontal="center" vertical="center" wrapText="1"/>
    </xf>
    <xf numFmtId="166" fontId="12" fillId="0" borderId="16" xfId="0" applyFont="1" applyBorder="1" applyAlignment="1">
      <alignment horizontal="center" vertical="center" wrapText="1"/>
    </xf>
    <xf numFmtId="1" fontId="12" fillId="0" borderId="47" xfId="0" applyNumberFormat="1" applyFont="1" applyBorder="1" applyAlignment="1">
      <alignment horizontal="center" vertical="center" wrapText="1"/>
    </xf>
    <xf numFmtId="166" fontId="14" fillId="2" borderId="5" xfId="0" applyFont="1" applyFill="1" applyBorder="1" applyAlignment="1">
      <alignment horizontal="center" vertical="center"/>
    </xf>
    <xf numFmtId="166" fontId="22" fillId="0" borderId="23" xfId="0" applyFont="1" applyBorder="1" applyAlignment="1">
      <alignment horizontal="center" vertical="center" wrapText="1"/>
    </xf>
    <xf numFmtId="1" fontId="11" fillId="0" borderId="0" xfId="0" quotePrefix="1" applyNumberFormat="1" applyFont="1" applyAlignment="1">
      <alignment horizontal="center"/>
    </xf>
    <xf numFmtId="166" fontId="22" fillId="0" borderId="0" xfId="0" applyFont="1"/>
    <xf numFmtId="166" fontId="11" fillId="0" borderId="9" xfId="0" quotePrefix="1" applyFont="1" applyBorder="1" applyAlignment="1">
      <alignment horizontal="center"/>
    </xf>
    <xf numFmtId="166" fontId="11" fillId="0" borderId="12" xfId="0" quotePrefix="1" applyFont="1" applyBorder="1" applyAlignment="1">
      <alignment horizontal="center"/>
    </xf>
    <xf numFmtId="166" fontId="12" fillId="0" borderId="18" xfId="0" applyFont="1" applyBorder="1" applyAlignment="1">
      <alignment horizontal="center" vertical="center" wrapText="1"/>
    </xf>
    <xf numFmtId="166" fontId="11" fillId="0" borderId="0" xfId="0" applyFont="1" applyAlignment="1">
      <alignment horizontal="center" vertical="center" wrapText="1"/>
    </xf>
    <xf numFmtId="49" fontId="11" fillId="0" borderId="0" xfId="0" applyNumberFormat="1" applyFont="1" applyAlignment="1">
      <alignment horizontal="center" vertical="center" wrapText="1"/>
    </xf>
    <xf numFmtId="166" fontId="12" fillId="0" borderId="0" xfId="0" applyFont="1" applyAlignment="1">
      <alignment horizontal="center" vertical="center"/>
    </xf>
    <xf numFmtId="166" fontId="12" fillId="0" borderId="10" xfId="0" applyFont="1" applyBorder="1" applyAlignment="1">
      <alignment horizontal="center" vertical="center"/>
    </xf>
    <xf numFmtId="166" fontId="12" fillId="0" borderId="0" xfId="0" applyFont="1" applyAlignment="1">
      <alignment horizontal="center" vertical="center" wrapText="1"/>
    </xf>
    <xf numFmtId="166" fontId="12" fillId="0" borderId="0" xfId="0" applyFont="1" applyAlignment="1">
      <alignment horizontal="right" vertical="center" wrapText="1"/>
    </xf>
    <xf numFmtId="1" fontId="11" fillId="0" borderId="73" xfId="0" applyNumberFormat="1" applyFont="1" applyBorder="1" applyAlignment="1">
      <alignment horizontal="center" vertical="center" wrapText="1"/>
    </xf>
    <xf numFmtId="1" fontId="11" fillId="0" borderId="44" xfId="0" applyNumberFormat="1" applyFont="1" applyBorder="1" applyAlignment="1">
      <alignment horizontal="center" vertical="center" wrapText="1"/>
    </xf>
    <xf numFmtId="1" fontId="11" fillId="0" borderId="74" xfId="0" applyNumberFormat="1" applyFont="1" applyBorder="1" applyAlignment="1">
      <alignment horizontal="center" vertical="center" wrapText="1"/>
    </xf>
    <xf numFmtId="1" fontId="11" fillId="0" borderId="58" xfId="0" applyNumberFormat="1" applyFont="1" applyBorder="1" applyAlignment="1">
      <alignment horizontal="center" vertical="center" wrapText="1"/>
    </xf>
    <xf numFmtId="1" fontId="12" fillId="0" borderId="58" xfId="0" applyNumberFormat="1" applyFont="1" applyBorder="1" applyAlignment="1">
      <alignment horizontal="center" vertical="center" wrapText="1"/>
    </xf>
    <xf numFmtId="14" fontId="22" fillId="0" borderId="16" xfId="0" applyNumberFormat="1" applyFont="1" applyBorder="1" applyAlignment="1" applyProtection="1">
      <alignment horizontal="center" vertical="center"/>
      <protection locked="0"/>
    </xf>
    <xf numFmtId="14" fontId="22" fillId="0" borderId="23" xfId="0" applyNumberFormat="1" applyFont="1" applyBorder="1" applyAlignment="1">
      <alignment horizontal="center" vertical="center" wrapText="1"/>
    </xf>
    <xf numFmtId="14" fontId="22" fillId="0" borderId="20" xfId="0" applyNumberFormat="1" applyFont="1" applyBorder="1" applyAlignment="1">
      <alignment horizontal="center" vertical="center" wrapText="1"/>
    </xf>
    <xf numFmtId="14" fontId="22" fillId="0" borderId="22" xfId="0" applyNumberFormat="1" applyFont="1" applyBorder="1" applyAlignment="1">
      <alignment horizontal="center" vertical="center" wrapText="1"/>
    </xf>
    <xf numFmtId="166" fontId="14" fillId="2" borderId="21" xfId="0" applyFont="1" applyFill="1" applyBorder="1" applyAlignment="1">
      <alignment horizontal="center" vertical="center"/>
    </xf>
    <xf numFmtId="166" fontId="76" fillId="63" borderId="16" xfId="0" applyFont="1" applyFill="1" applyBorder="1" applyAlignment="1">
      <alignment horizontal="center" wrapText="1"/>
    </xf>
    <xf numFmtId="166" fontId="76" fillId="63" borderId="16" xfId="0" applyFont="1" applyFill="1" applyBorder="1" applyAlignment="1">
      <alignment horizontal="center"/>
    </xf>
    <xf numFmtId="166" fontId="76" fillId="63" borderId="16" xfId="0" applyFont="1" applyFill="1" applyBorder="1" applyAlignment="1">
      <alignment horizontal="center" textRotation="90" wrapText="1"/>
    </xf>
    <xf numFmtId="166" fontId="76" fillId="63" borderId="16" xfId="0" applyFont="1" applyFill="1" applyBorder="1" applyAlignment="1">
      <alignment horizontal="center" vertical="center"/>
    </xf>
    <xf numFmtId="166" fontId="76" fillId="63" borderId="16" xfId="0" applyFont="1" applyFill="1" applyBorder="1" applyAlignment="1">
      <alignment horizontal="center" vertical="center" wrapText="1"/>
    </xf>
    <xf numFmtId="166" fontId="72" fillId="0" borderId="0" xfId="0" applyFont="1"/>
    <xf numFmtId="166" fontId="0" fillId="0" borderId="0" xfId="0" applyAlignment="1">
      <alignment wrapText="1"/>
    </xf>
    <xf numFmtId="166" fontId="76" fillId="63" borderId="16" xfId="0" applyFont="1" applyFill="1" applyBorder="1" applyAlignment="1">
      <alignment horizontal="center" textRotation="90"/>
    </xf>
    <xf numFmtId="166" fontId="12" fillId="0" borderId="16" xfId="0" applyFont="1" applyBorder="1" applyAlignment="1">
      <alignment horizontal="center"/>
    </xf>
    <xf numFmtId="169" fontId="22" fillId="0" borderId="16" xfId="0" applyNumberFormat="1" applyFont="1" applyBorder="1" applyAlignment="1">
      <alignment horizontal="center" vertical="center" wrapText="1"/>
    </xf>
    <xf numFmtId="166" fontId="22" fillId="0" borderId="16" xfId="0" applyFont="1" applyBorder="1" applyAlignment="1">
      <alignment horizontal="center" vertical="center"/>
    </xf>
    <xf numFmtId="166" fontId="22" fillId="0" borderId="16" xfId="0" applyFont="1" applyBorder="1" applyAlignment="1">
      <alignment horizontal="left" vertical="center" wrapText="1"/>
    </xf>
    <xf numFmtId="166" fontId="11" fillId="0" borderId="23" xfId="0" applyFont="1" applyBorder="1" applyAlignment="1">
      <alignment horizontal="center" vertical="center" wrapText="1"/>
    </xf>
    <xf numFmtId="166" fontId="11" fillId="0" borderId="22" xfId="0" applyFont="1" applyBorder="1" applyAlignment="1">
      <alignment horizontal="center" vertical="center" wrapText="1"/>
    </xf>
    <xf numFmtId="166" fontId="0" fillId="0" borderId="22" xfId="0" applyBorder="1" applyAlignment="1">
      <alignment wrapText="1"/>
    </xf>
    <xf numFmtId="166" fontId="22" fillId="0" borderId="16" xfId="0" applyFont="1" applyBorder="1" applyAlignment="1">
      <alignment horizontal="left" vertical="center"/>
    </xf>
    <xf numFmtId="166" fontId="0" fillId="0" borderId="20" xfId="0" applyBorder="1" applyAlignment="1">
      <alignment wrapText="1"/>
    </xf>
    <xf numFmtId="166" fontId="22" fillId="64" borderId="16" xfId="0" applyFont="1" applyFill="1" applyBorder="1" applyAlignment="1">
      <alignment horizontal="center" vertical="center" wrapText="1"/>
    </xf>
    <xf numFmtId="167" fontId="26" fillId="0" borderId="16" xfId="9" applyNumberFormat="1" applyFont="1" applyBorder="1" applyAlignment="1" applyProtection="1">
      <alignment horizontal="center" vertical="center" wrapText="1"/>
      <protection locked="0"/>
    </xf>
    <xf numFmtId="166" fontId="26" fillId="0" borderId="16" xfId="9" applyFont="1" applyBorder="1" applyAlignment="1" applyProtection="1">
      <alignment horizontal="left" vertical="center" wrapText="1"/>
      <protection locked="0"/>
    </xf>
    <xf numFmtId="14" fontId="22" fillId="64" borderId="23" xfId="0" applyNumberFormat="1" applyFont="1" applyFill="1" applyBorder="1" applyAlignment="1">
      <alignment horizontal="center" vertical="center" wrapText="1"/>
    </xf>
    <xf numFmtId="14" fontId="22" fillId="64" borderId="20" xfId="0" applyNumberFormat="1" applyFont="1" applyFill="1" applyBorder="1" applyAlignment="1">
      <alignment horizontal="center" vertical="center" wrapText="1"/>
    </xf>
    <xf numFmtId="166" fontId="0" fillId="64" borderId="20" xfId="0" applyFill="1" applyBorder="1" applyAlignment="1">
      <alignment wrapText="1"/>
    </xf>
    <xf numFmtId="166" fontId="0" fillId="64" borderId="22" xfId="0" applyFill="1" applyBorder="1" applyAlignment="1">
      <alignment wrapText="1"/>
    </xf>
    <xf numFmtId="166" fontId="76" fillId="0" borderId="16" xfId="0" applyFont="1" applyBorder="1" applyAlignment="1">
      <alignment horizontal="center" vertical="center" wrapText="1"/>
    </xf>
    <xf numFmtId="166" fontId="22" fillId="0" borderId="0" xfId="0" applyFont="1" applyAlignment="1">
      <alignment horizontal="center" vertical="center"/>
    </xf>
    <xf numFmtId="166" fontId="79" fillId="63" borderId="16" xfId="0" applyFont="1" applyFill="1" applyBorder="1" applyAlignment="1">
      <alignment horizontal="center" vertical="center"/>
    </xf>
    <xf numFmtId="166" fontId="80" fillId="63" borderId="16" xfId="0" applyFont="1" applyFill="1" applyBorder="1" applyAlignment="1">
      <alignment horizontal="center" wrapText="1"/>
    </xf>
    <xf numFmtId="166" fontId="80" fillId="63" borderId="16" xfId="0" applyFont="1" applyFill="1" applyBorder="1" applyAlignment="1">
      <alignment horizontal="center"/>
    </xf>
    <xf numFmtId="166" fontId="80" fillId="63" borderId="16" xfId="0" applyFont="1" applyFill="1" applyBorder="1" applyAlignment="1">
      <alignment horizontal="center" vertical="center"/>
    </xf>
    <xf numFmtId="166" fontId="78" fillId="0" borderId="0" xfId="0" applyFont="1" applyAlignment="1">
      <alignment horizontal="center" vertical="center"/>
    </xf>
    <xf numFmtId="166" fontId="22" fillId="0" borderId="16" xfId="0" applyFont="1" applyBorder="1" applyAlignment="1" applyProtection="1">
      <alignment horizontal="center" vertical="center" wrapText="1"/>
      <protection locked="0"/>
    </xf>
    <xf numFmtId="14" fontId="22" fillId="0" borderId="16" xfId="0" applyNumberFormat="1" applyFont="1" applyBorder="1" applyAlignment="1">
      <alignment horizontal="center" vertical="center"/>
    </xf>
    <xf numFmtId="166" fontId="78" fillId="0" borderId="0" xfId="0" applyFont="1" applyAlignment="1">
      <alignment horizontal="left" vertical="center"/>
    </xf>
    <xf numFmtId="166" fontId="77" fillId="0" borderId="0" xfId="0" applyFont="1" applyAlignment="1">
      <alignment horizontal="center" vertical="center"/>
    </xf>
    <xf numFmtId="1" fontId="78" fillId="67" borderId="0" xfId="0" applyNumberFormat="1" applyFont="1" applyFill="1" applyAlignment="1" applyProtection="1">
      <alignment horizontal="center" vertical="center"/>
      <protection locked="0"/>
    </xf>
    <xf numFmtId="1" fontId="78" fillId="0" borderId="0" xfId="0" applyNumberFormat="1" applyFont="1" applyAlignment="1" applyProtection="1">
      <alignment horizontal="center" vertical="center"/>
      <protection locked="0"/>
    </xf>
    <xf numFmtId="166" fontId="77" fillId="0" borderId="0" xfId="0" applyFont="1" applyAlignment="1">
      <alignment horizontal="left"/>
    </xf>
    <xf numFmtId="166" fontId="72" fillId="63" borderId="16" xfId="0" applyFont="1" applyFill="1" applyBorder="1" applyAlignment="1">
      <alignment horizontal="center" vertical="center"/>
    </xf>
    <xf numFmtId="166" fontId="84" fillId="63" borderId="16" xfId="0" applyFont="1" applyFill="1" applyBorder="1" applyAlignment="1">
      <alignment horizontal="left"/>
    </xf>
    <xf numFmtId="166" fontId="11" fillId="0" borderId="0" xfId="0" applyFont="1" applyAlignment="1">
      <alignment horizontal="center" vertical="center"/>
    </xf>
    <xf numFmtId="166" fontId="72" fillId="0" borderId="0" xfId="0" applyFont="1" applyAlignment="1">
      <alignment horizontal="center" vertical="center"/>
    </xf>
    <xf numFmtId="166" fontId="11" fillId="63" borderId="0" xfId="0" applyFont="1" applyFill="1" applyAlignment="1">
      <alignment horizontal="center"/>
    </xf>
    <xf numFmtId="166" fontId="11" fillId="0" borderId="0" xfId="0" applyFont="1" applyAlignment="1">
      <alignment horizontal="center"/>
    </xf>
    <xf numFmtId="166" fontId="12" fillId="63" borderId="0" xfId="0" applyFont="1" applyFill="1" applyAlignment="1">
      <alignment horizontal="center"/>
    </xf>
    <xf numFmtId="166" fontId="79" fillId="0" borderId="0" xfId="0" applyFont="1" applyAlignment="1">
      <alignment horizontal="left" vertical="center"/>
    </xf>
    <xf numFmtId="166" fontId="79" fillId="0" borderId="0" xfId="0" applyFont="1" applyAlignment="1">
      <alignment horizontal="center" vertical="center"/>
    </xf>
    <xf numFmtId="166" fontId="80" fillId="65" borderId="0" xfId="0" applyFont="1" applyFill="1" applyAlignment="1">
      <alignment horizontal="center" textRotation="90"/>
    </xf>
    <xf numFmtId="166" fontId="80" fillId="66" borderId="0" xfId="0" applyFont="1" applyFill="1" applyAlignment="1">
      <alignment horizontal="center" textRotation="90"/>
    </xf>
    <xf numFmtId="166" fontId="80" fillId="70" borderId="0" xfId="0" applyFont="1" applyFill="1" applyAlignment="1">
      <alignment horizontal="center" textRotation="90"/>
    </xf>
    <xf numFmtId="166" fontId="80" fillId="69" borderId="0" xfId="0" applyFont="1" applyFill="1" applyAlignment="1">
      <alignment horizontal="center" textRotation="90"/>
    </xf>
    <xf numFmtId="166" fontId="77" fillId="0" borderId="0" xfId="0" applyFont="1"/>
    <xf numFmtId="166" fontId="11" fillId="63" borderId="0" xfId="0" applyFont="1" applyFill="1" applyAlignment="1">
      <alignment horizontal="center" wrapText="1"/>
    </xf>
    <xf numFmtId="166" fontId="79" fillId="63" borderId="16" xfId="0" applyFont="1" applyFill="1" applyBorder="1" applyAlignment="1">
      <alignment horizontal="center" wrapText="1"/>
    </xf>
    <xf numFmtId="166" fontId="78" fillId="0" borderId="0" xfId="0" applyFont="1" applyAlignment="1">
      <alignment horizontal="center" vertical="center" wrapText="1"/>
    </xf>
    <xf numFmtId="166" fontId="77" fillId="0" borderId="0" xfId="0" applyFont="1" applyAlignment="1">
      <alignment horizontal="center" wrapText="1"/>
    </xf>
    <xf numFmtId="166" fontId="76" fillId="0" borderId="0" xfId="0" applyFont="1" applyAlignment="1">
      <alignment horizontal="center" vertical="center"/>
    </xf>
    <xf numFmtId="166" fontId="79" fillId="0" borderId="0" xfId="0" applyFont="1"/>
    <xf numFmtId="166" fontId="80" fillId="65" borderId="0" xfId="0" applyFont="1" applyFill="1"/>
    <xf numFmtId="166" fontId="79" fillId="65" borderId="0" xfId="0" applyFont="1" applyFill="1"/>
    <xf numFmtId="166" fontId="80" fillId="66" borderId="0" xfId="0" applyFont="1" applyFill="1"/>
    <xf numFmtId="166" fontId="79" fillId="66" borderId="0" xfId="0" applyFont="1" applyFill="1"/>
    <xf numFmtId="166" fontId="80" fillId="70" borderId="0" xfId="0" applyFont="1" applyFill="1"/>
    <xf numFmtId="166" fontId="79" fillId="70" borderId="0" xfId="0" applyFont="1" applyFill="1"/>
    <xf numFmtId="166" fontId="80" fillId="69" borderId="0" xfId="0" applyFont="1" applyFill="1"/>
    <xf numFmtId="166" fontId="79" fillId="69" borderId="0" xfId="0" applyFont="1" applyFill="1"/>
    <xf numFmtId="166" fontId="79" fillId="68" borderId="0" xfId="0" applyFont="1" applyFill="1"/>
    <xf numFmtId="166" fontId="80" fillId="0" borderId="0" xfId="0" applyFont="1" applyAlignment="1">
      <alignment horizontal="center" vertical="center"/>
    </xf>
    <xf numFmtId="166" fontId="80" fillId="68" borderId="0" xfId="0" applyFont="1" applyFill="1" applyAlignment="1">
      <alignment horizontal="center"/>
    </xf>
    <xf numFmtId="166" fontId="11" fillId="0" borderId="16" xfId="0" applyFont="1" applyBorder="1"/>
    <xf numFmtId="166" fontId="22" fillId="0" borderId="16" xfId="0" applyFont="1" applyBorder="1"/>
    <xf numFmtId="14" fontId="80" fillId="63" borderId="16" xfId="0" applyNumberFormat="1" applyFont="1" applyFill="1" applyBorder="1" applyAlignment="1">
      <alignment horizontal="center" textRotation="90" wrapText="1"/>
    </xf>
    <xf numFmtId="14" fontId="22" fillId="0" borderId="16" xfId="0" applyNumberFormat="1" applyFont="1" applyBorder="1" applyAlignment="1" applyProtection="1">
      <alignment horizontal="center" vertical="center" wrapText="1"/>
      <protection locked="0"/>
    </xf>
    <xf numFmtId="14" fontId="22" fillId="64" borderId="16" xfId="0" applyNumberFormat="1" applyFont="1" applyFill="1" applyBorder="1" applyAlignment="1" applyProtection="1">
      <alignment horizontal="center" vertical="center" wrapText="1"/>
      <protection locked="0"/>
    </xf>
    <xf numFmtId="14" fontId="78" fillId="0" borderId="0" xfId="0" applyNumberFormat="1" applyFont="1" applyAlignment="1">
      <alignment horizontal="center" vertical="center" wrapText="1"/>
    </xf>
    <xf numFmtId="14" fontId="77" fillId="0" borderId="0" xfId="0" applyNumberFormat="1" applyFont="1" applyAlignment="1">
      <alignment horizontal="center" vertical="center" wrapText="1"/>
    </xf>
    <xf numFmtId="166" fontId="22" fillId="0" borderId="16" xfId="0" applyFont="1" applyBorder="1" applyAlignment="1" applyProtection="1">
      <alignment horizontal="left" vertical="center" wrapText="1"/>
      <protection locked="0"/>
    </xf>
    <xf numFmtId="14" fontId="80" fillId="63" borderId="16" xfId="0" applyNumberFormat="1" applyFont="1" applyFill="1" applyBorder="1" applyAlignment="1">
      <alignment horizontal="center" vertical="center" wrapText="1"/>
    </xf>
    <xf numFmtId="14" fontId="82" fillId="0" borderId="16" xfId="0" applyNumberFormat="1" applyFont="1" applyBorder="1" applyAlignment="1" applyProtection="1">
      <alignment horizontal="center" vertical="center" wrapText="1"/>
      <protection locked="0"/>
    </xf>
    <xf numFmtId="14" fontId="22" fillId="0" borderId="16" xfId="0" applyNumberFormat="1" applyFont="1" applyBorder="1" applyAlignment="1">
      <alignment horizontal="center" vertical="center" wrapText="1"/>
    </xf>
    <xf numFmtId="166" fontId="79" fillId="63" borderId="16" xfId="0" applyFont="1" applyFill="1" applyBorder="1" applyAlignment="1">
      <alignment wrapText="1"/>
    </xf>
    <xf numFmtId="166" fontId="80" fillId="63" borderId="16" xfId="0" applyFont="1" applyFill="1" applyBorder="1" applyAlignment="1">
      <alignment horizontal="center" vertical="center" wrapText="1"/>
    </xf>
    <xf numFmtId="166" fontId="22" fillId="0" borderId="16" xfId="0" applyFont="1" applyBorder="1" applyAlignment="1" applyProtection="1">
      <alignment vertical="center" wrapText="1"/>
      <protection locked="0"/>
    </xf>
    <xf numFmtId="166" fontId="22" fillId="0" borderId="16" xfId="0" applyFont="1" applyBorder="1" applyAlignment="1">
      <alignment vertical="center" wrapText="1"/>
    </xf>
    <xf numFmtId="166" fontId="22" fillId="0" borderId="16" xfId="0" applyFont="1" applyBorder="1" applyAlignment="1">
      <alignment wrapText="1"/>
    </xf>
    <xf numFmtId="166" fontId="78" fillId="0" borderId="0" xfId="0" applyFont="1" applyAlignment="1">
      <alignment vertical="center" wrapText="1"/>
    </xf>
    <xf numFmtId="166" fontId="77" fillId="0" borderId="0" xfId="0" applyFont="1" applyAlignment="1">
      <alignment wrapText="1"/>
    </xf>
    <xf numFmtId="1" fontId="83" fillId="0" borderId="16" xfId="0" applyNumberFormat="1" applyFont="1" applyBorder="1" applyAlignment="1" applyProtection="1">
      <alignment horizontal="center" vertical="center"/>
      <protection locked="0"/>
    </xf>
    <xf numFmtId="166" fontId="76" fillId="63" borderId="0" xfId="0" applyFont="1" applyFill="1" applyAlignment="1">
      <alignment horizontal="center" wrapText="1"/>
    </xf>
    <xf numFmtId="166" fontId="22" fillId="71" borderId="16" xfId="0" applyFont="1" applyFill="1" applyBorder="1" applyAlignment="1" applyProtection="1">
      <alignment horizontal="center" vertical="center" wrapText="1"/>
      <protection locked="0"/>
    </xf>
    <xf numFmtId="0" fontId="22" fillId="0" borderId="16" xfId="0" applyNumberFormat="1" applyFont="1" applyBorder="1" applyAlignment="1" applyProtection="1">
      <alignment horizontal="center" vertical="center"/>
      <protection locked="0"/>
    </xf>
    <xf numFmtId="0" fontId="11" fillId="63" borderId="0" xfId="0" applyNumberFormat="1" applyFont="1" applyFill="1" applyAlignment="1">
      <alignment horizontal="center"/>
    </xf>
    <xf numFmtId="0" fontId="80" fillId="63" borderId="16" xfId="0" applyNumberFormat="1" applyFont="1" applyFill="1" applyBorder="1" applyAlignment="1">
      <alignment horizontal="center"/>
    </xf>
    <xf numFmtId="0" fontId="22" fillId="0" borderId="16" xfId="0" applyNumberFormat="1" applyFont="1" applyBorder="1" applyAlignment="1">
      <alignment horizontal="center" vertical="center"/>
    </xf>
    <xf numFmtId="0" fontId="78" fillId="0" borderId="0" xfId="0" applyNumberFormat="1" applyFont="1" applyAlignment="1">
      <alignment horizontal="center" vertical="center"/>
    </xf>
    <xf numFmtId="0" fontId="77" fillId="0" borderId="0" xfId="0" applyNumberFormat="1" applyFont="1" applyAlignment="1">
      <alignment horizontal="center"/>
    </xf>
    <xf numFmtId="0" fontId="78" fillId="0" borderId="16" xfId="0" applyNumberFormat="1" applyFont="1" applyBorder="1" applyAlignment="1">
      <alignment horizontal="center" vertical="center"/>
    </xf>
    <xf numFmtId="166" fontId="78" fillId="0" borderId="16" xfId="0" applyFont="1" applyBorder="1" applyAlignment="1">
      <alignment horizontal="center" vertical="center" wrapText="1"/>
    </xf>
    <xf numFmtId="14" fontId="78" fillId="0" borderId="16" xfId="0" applyNumberFormat="1" applyFont="1" applyBorder="1" applyAlignment="1">
      <alignment horizontal="center" vertical="center" wrapText="1"/>
    </xf>
    <xf numFmtId="166" fontId="78" fillId="0" borderId="16" xfId="0" applyFont="1" applyBorder="1" applyAlignment="1">
      <alignment horizontal="center" vertical="center"/>
    </xf>
    <xf numFmtId="166" fontId="11" fillId="0" borderId="16" xfId="0" applyFont="1" applyBorder="1" applyAlignment="1">
      <alignment horizontal="center" vertical="center"/>
    </xf>
    <xf numFmtId="166" fontId="22" fillId="0" borderId="16" xfId="0" applyFont="1" applyBorder="1" applyAlignment="1">
      <alignment horizontal="center" wrapText="1"/>
    </xf>
    <xf numFmtId="166" fontId="83" fillId="0" borderId="16" xfId="0" applyFont="1" applyBorder="1" applyAlignment="1">
      <alignment horizontal="center" vertical="center"/>
    </xf>
    <xf numFmtId="166" fontId="81" fillId="63" borderId="16" xfId="0" applyFont="1" applyFill="1" applyBorder="1" applyAlignment="1">
      <alignment horizontal="center" textRotation="90"/>
    </xf>
    <xf numFmtId="166" fontId="83" fillId="0" borderId="0" xfId="0" applyFont="1" applyAlignment="1">
      <alignment horizontal="center" vertical="center"/>
    </xf>
    <xf numFmtId="14" fontId="78" fillId="64" borderId="16" xfId="0" applyNumberFormat="1" applyFont="1" applyFill="1" applyBorder="1" applyAlignment="1">
      <alignment horizontal="center" vertical="center" wrapText="1"/>
    </xf>
    <xf numFmtId="166" fontId="22" fillId="64" borderId="16" xfId="0" applyFont="1" applyFill="1" applyBorder="1" applyAlignment="1">
      <alignment vertical="center" wrapText="1"/>
    </xf>
    <xf numFmtId="1" fontId="22" fillId="0" borderId="16" xfId="0" applyNumberFormat="1" applyFont="1" applyBorder="1" applyAlignment="1" applyProtection="1">
      <alignment horizontal="center" vertical="center"/>
      <protection locked="0"/>
    </xf>
    <xf numFmtId="14" fontId="22" fillId="72" borderId="16" xfId="0" applyNumberFormat="1" applyFont="1" applyFill="1" applyBorder="1" applyAlignment="1">
      <alignment horizontal="center" vertical="center" wrapText="1"/>
    </xf>
    <xf numFmtId="14" fontId="22" fillId="0" borderId="16" xfId="0" applyNumberFormat="1" applyFont="1" applyFill="1" applyBorder="1" applyAlignment="1" applyProtection="1">
      <alignment horizontal="center" vertical="center" wrapText="1"/>
      <protection locked="0"/>
    </xf>
    <xf numFmtId="14" fontId="22" fillId="0" borderId="16" xfId="0" applyNumberFormat="1" applyFont="1" applyFill="1" applyBorder="1" applyAlignment="1">
      <alignment horizontal="center" vertical="center" wrapText="1"/>
    </xf>
    <xf numFmtId="166" fontId="85" fillId="0" borderId="16" xfId="0" applyFont="1" applyBorder="1"/>
    <xf numFmtId="166" fontId="11" fillId="0" borderId="0" xfId="0" applyFont="1" applyBorder="1"/>
    <xf numFmtId="166" fontId="22" fillId="0" borderId="0" xfId="0" applyFont="1" applyBorder="1" applyAlignment="1" applyProtection="1">
      <alignment horizontal="center" vertical="center" wrapText="1"/>
      <protection locked="0"/>
    </xf>
    <xf numFmtId="14" fontId="78" fillId="0" borderId="16" xfId="0" applyNumberFormat="1" applyFont="1" applyFill="1" applyBorder="1" applyAlignment="1">
      <alignment horizontal="center" vertical="center" wrapText="1"/>
    </xf>
    <xf numFmtId="166" fontId="78" fillId="0" borderId="16" xfId="0" applyFont="1" applyBorder="1" applyAlignment="1">
      <alignment vertical="center" wrapText="1"/>
    </xf>
    <xf numFmtId="14" fontId="22" fillId="72" borderId="16" xfId="0" applyNumberFormat="1" applyFont="1" applyFill="1" applyBorder="1" applyAlignment="1" applyProtection="1">
      <alignment horizontal="center" vertical="center" wrapText="1"/>
      <protection locked="0"/>
    </xf>
    <xf numFmtId="14" fontId="78" fillId="73" borderId="16" xfId="0" applyNumberFormat="1" applyFont="1" applyFill="1" applyBorder="1" applyAlignment="1">
      <alignment horizontal="center" vertical="center" wrapText="1"/>
    </xf>
    <xf numFmtId="14" fontId="22" fillId="64" borderId="16" xfId="0" applyNumberFormat="1" applyFont="1" applyFill="1" applyBorder="1" applyAlignment="1">
      <alignment horizontal="center" vertical="center" wrapText="1"/>
    </xf>
    <xf numFmtId="166" fontId="11" fillId="0" borderId="76" xfId="0" applyFont="1" applyBorder="1"/>
    <xf numFmtId="1" fontId="83" fillId="0" borderId="16" xfId="0" applyNumberFormat="1" applyFont="1" applyFill="1" applyBorder="1" applyAlignment="1" applyProtection="1">
      <alignment horizontal="center" vertical="center"/>
      <protection locked="0"/>
    </xf>
    <xf numFmtId="14" fontId="82" fillId="0" borderId="16" xfId="0" applyNumberFormat="1" applyFont="1" applyFill="1" applyBorder="1" applyAlignment="1" applyProtection="1">
      <alignment horizontal="center" vertical="center" wrapText="1"/>
      <protection locked="0"/>
    </xf>
    <xf numFmtId="14" fontId="22" fillId="71" borderId="16" xfId="0" applyNumberFormat="1" applyFont="1" applyFill="1" applyBorder="1" applyAlignment="1" applyProtection="1">
      <alignment horizontal="center" vertical="center" wrapText="1"/>
      <protection locked="0"/>
    </xf>
    <xf numFmtId="49" fontId="22" fillId="0" borderId="16" xfId="0" applyNumberFormat="1" applyFont="1" applyBorder="1" applyAlignment="1">
      <alignment horizontal="center" vertical="center"/>
    </xf>
    <xf numFmtId="14" fontId="78" fillId="72" borderId="16" xfId="0" applyNumberFormat="1" applyFont="1" applyFill="1" applyBorder="1" applyAlignment="1">
      <alignment horizontal="center" vertical="center" wrapText="1"/>
    </xf>
    <xf numFmtId="14" fontId="85" fillId="64" borderId="16" xfId="0" applyNumberFormat="1" applyFont="1" applyFill="1" applyBorder="1" applyAlignment="1">
      <alignment horizontal="center" vertical="center" wrapText="1"/>
    </xf>
    <xf numFmtId="166" fontId="22" fillId="0" borderId="16" xfId="0" applyFont="1" applyFill="1" applyBorder="1" applyAlignment="1" applyProtection="1">
      <alignment vertical="center" wrapText="1"/>
      <protection locked="0"/>
    </xf>
    <xf numFmtId="14" fontId="11" fillId="0" borderId="16" xfId="0" applyNumberFormat="1" applyFont="1" applyFill="1" applyBorder="1" applyAlignment="1">
      <alignment horizontal="center" vertical="center" wrapText="1"/>
    </xf>
    <xf numFmtId="166" fontId="77" fillId="0" borderId="16" xfId="0" applyFont="1" applyBorder="1"/>
    <xf numFmtId="166" fontId="22" fillId="64" borderId="16" xfId="0" applyFont="1" applyFill="1" applyBorder="1" applyAlignment="1" applyProtection="1">
      <alignment horizontal="center" vertical="center" wrapText="1"/>
      <protection locked="0"/>
    </xf>
    <xf numFmtId="14" fontId="22" fillId="73" borderId="16" xfId="0" applyNumberFormat="1" applyFont="1" applyFill="1" applyBorder="1" applyAlignment="1" applyProtection="1">
      <alignment horizontal="center" vertical="center" wrapText="1"/>
      <protection locked="0"/>
    </xf>
    <xf numFmtId="166" fontId="22" fillId="0" borderId="16" xfId="0" applyFont="1" applyFill="1" applyBorder="1" applyAlignment="1" applyProtection="1">
      <alignment horizontal="center" vertical="center" wrapText="1"/>
      <protection locked="0"/>
    </xf>
    <xf numFmtId="166" fontId="77" fillId="0" borderId="0" xfId="0" applyFont="1" applyBorder="1"/>
    <xf numFmtId="166" fontId="85" fillId="0" borderId="76" xfId="0" applyFont="1" applyBorder="1"/>
    <xf numFmtId="166" fontId="86" fillId="0" borderId="76" xfId="0" applyFont="1" applyFill="1" applyBorder="1" applyAlignment="1">
      <alignment horizontal="left" vertical="top"/>
    </xf>
    <xf numFmtId="166" fontId="86" fillId="0" borderId="0" xfId="0" applyFont="1" applyFill="1" applyBorder="1" applyAlignment="1">
      <alignment horizontal="left" vertical="top"/>
    </xf>
    <xf numFmtId="166" fontId="22" fillId="0" borderId="23" xfId="0" applyFont="1" applyBorder="1" applyAlignment="1">
      <alignment horizontal="left" vertical="top" wrapText="1"/>
    </xf>
    <xf numFmtId="166" fontId="0" fillId="0" borderId="20" xfId="0" applyBorder="1" applyAlignment="1">
      <alignment horizontal="left" vertical="top" wrapText="1"/>
    </xf>
    <xf numFmtId="166" fontId="0" fillId="0" borderId="22" xfId="0" applyBorder="1" applyAlignment="1">
      <alignment horizontal="left" vertical="top" wrapText="1"/>
    </xf>
    <xf numFmtId="0" fontId="11" fillId="0" borderId="18" xfId="0" applyNumberFormat="1" applyFont="1" applyBorder="1" applyAlignment="1">
      <alignment horizontal="center" vertical="center" shrinkToFit="1"/>
    </xf>
    <xf numFmtId="0" fontId="11" fillId="0" borderId="22" xfId="0" applyNumberFormat="1" applyFont="1" applyBorder="1" applyAlignment="1">
      <alignment horizontal="center" vertical="center" shrinkToFit="1"/>
    </xf>
    <xf numFmtId="0" fontId="11" fillId="0" borderId="23" xfId="0" applyNumberFormat="1" applyFont="1" applyBorder="1" applyAlignment="1">
      <alignment vertical="center" shrinkToFit="1"/>
    </xf>
    <xf numFmtId="0" fontId="11" fillId="0" borderId="20" xfId="0" applyNumberFormat="1" applyFont="1" applyBorder="1" applyAlignment="1">
      <alignment vertical="center" shrinkToFit="1"/>
    </xf>
    <xf numFmtId="0" fontId="11" fillId="0" borderId="22" xfId="0" applyNumberFormat="1" applyFont="1" applyBorder="1" applyAlignment="1">
      <alignment vertical="center" shrinkToFit="1"/>
    </xf>
    <xf numFmtId="166" fontId="14" fillId="2" borderId="9" xfId="0" applyFont="1" applyFill="1" applyBorder="1" applyAlignment="1">
      <alignment horizontal="center" vertical="center" wrapText="1"/>
    </xf>
    <xf numFmtId="166" fontId="14" fillId="2" borderId="0" xfId="0" applyFont="1" applyFill="1" applyAlignment="1">
      <alignment horizontal="center" vertical="center" wrapText="1"/>
    </xf>
    <xf numFmtId="166" fontId="0" fillId="0" borderId="0" xfId="0" applyAlignment="1">
      <alignment wrapText="1"/>
    </xf>
    <xf numFmtId="166" fontId="0" fillId="0" borderId="10" xfId="0" applyBorder="1" applyAlignment="1">
      <alignment wrapText="1"/>
    </xf>
    <xf numFmtId="166" fontId="14" fillId="2" borderId="49" xfId="0" applyFont="1" applyFill="1" applyBorder="1" applyAlignment="1">
      <alignment horizontal="center" vertical="center" wrapText="1"/>
    </xf>
    <xf numFmtId="0" fontId="11" fillId="0" borderId="23" xfId="0" applyNumberFormat="1" applyFont="1" applyBorder="1" applyAlignment="1">
      <alignment horizontal="center" vertical="center" shrinkToFit="1"/>
    </xf>
    <xf numFmtId="0" fontId="11" fillId="0" borderId="20" xfId="0" applyNumberFormat="1" applyFont="1" applyBorder="1" applyAlignment="1">
      <alignment horizontal="center" vertical="center" shrinkToFit="1"/>
    </xf>
    <xf numFmtId="0" fontId="11" fillId="0" borderId="23" xfId="0" applyNumberFormat="1" applyFont="1" applyBorder="1" applyAlignment="1">
      <alignment horizontal="center" vertical="center" wrapText="1"/>
    </xf>
    <xf numFmtId="0" fontId="11" fillId="0" borderId="22" xfId="0" applyNumberFormat="1" applyFont="1" applyBorder="1" applyAlignment="1">
      <alignment horizontal="center" vertical="center" wrapText="1"/>
    </xf>
    <xf numFmtId="0" fontId="11" fillId="0" borderId="20" xfId="0" applyNumberFormat="1" applyFont="1" applyBorder="1" applyAlignment="1">
      <alignment horizontal="center" vertical="center" wrapText="1"/>
    </xf>
    <xf numFmtId="0" fontId="11" fillId="0" borderId="44" xfId="0" applyNumberFormat="1" applyFont="1" applyBorder="1" applyAlignment="1">
      <alignment horizontal="center" vertical="center" wrapText="1"/>
    </xf>
    <xf numFmtId="0" fontId="11" fillId="0" borderId="16" xfId="0" applyNumberFormat="1" applyFont="1" applyBorder="1" applyAlignment="1">
      <alignment horizontal="center" vertical="center" wrapText="1"/>
    </xf>
    <xf numFmtId="0" fontId="11" fillId="0" borderId="19" xfId="0" applyNumberFormat="1" applyFont="1" applyBorder="1" applyAlignment="1">
      <alignment horizontal="center" vertical="center" wrapText="1"/>
    </xf>
    <xf numFmtId="166" fontId="11" fillId="0" borderId="0" xfId="0" applyFont="1" applyAlignment="1">
      <alignment horizontal="left" wrapText="1"/>
    </xf>
    <xf numFmtId="166" fontId="0" fillId="0" borderId="0" xfId="0" applyAlignment="1">
      <alignment horizontal="left" wrapText="1"/>
    </xf>
    <xf numFmtId="166" fontId="0" fillId="0" borderId="10" xfId="0" applyBorder="1" applyAlignment="1">
      <alignment horizontal="left" wrapText="1"/>
    </xf>
    <xf numFmtId="166" fontId="11" fillId="0" borderId="0" xfId="0" applyFont="1" applyAlignment="1">
      <alignment horizontal="left" shrinkToFit="1"/>
    </xf>
    <xf numFmtId="166" fontId="11" fillId="0" borderId="10" xfId="0" applyFont="1" applyBorder="1" applyAlignment="1">
      <alignment horizontal="left" shrinkToFit="1"/>
    </xf>
    <xf numFmtId="166" fontId="11" fillId="0" borderId="43" xfId="0" applyFont="1" applyBorder="1" applyAlignment="1">
      <alignment horizontal="center" vertical="center" wrapText="1"/>
    </xf>
    <xf numFmtId="166" fontId="11" fillId="0" borderId="15" xfId="0" applyFont="1" applyBorder="1" applyAlignment="1">
      <alignment horizontal="center" vertical="center" wrapText="1"/>
    </xf>
    <xf numFmtId="166" fontId="11" fillId="0" borderId="14" xfId="0" applyFont="1" applyBorder="1" applyAlignment="1">
      <alignment horizontal="center" vertical="center" wrapText="1"/>
    </xf>
    <xf numFmtId="166" fontId="11" fillId="0" borderId="49" xfId="0" applyFont="1" applyBorder="1" applyAlignment="1">
      <alignment horizontal="center" vertical="center" wrapText="1"/>
    </xf>
    <xf numFmtId="166" fontId="11" fillId="0" borderId="0" xfId="0" applyFont="1" applyAlignment="1">
      <alignment horizontal="center" vertical="center" wrapText="1"/>
    </xf>
    <xf numFmtId="166" fontId="11" fillId="0" borderId="10" xfId="0" applyFont="1" applyBorder="1" applyAlignment="1">
      <alignment horizontal="center" vertical="center" wrapText="1"/>
    </xf>
    <xf numFmtId="166" fontId="11" fillId="0" borderId="43" xfId="0" applyFont="1" applyBorder="1" applyAlignment="1">
      <alignment horizontal="center" vertical="center" shrinkToFit="1"/>
    </xf>
    <xf numFmtId="166" fontId="11" fillId="0" borderId="15" xfId="0" applyFont="1" applyBorder="1" applyAlignment="1">
      <alignment horizontal="center" vertical="center" shrinkToFit="1"/>
    </xf>
    <xf numFmtId="166" fontId="11" fillId="0" borderId="45" xfId="0" applyFont="1" applyBorder="1" applyAlignment="1">
      <alignment horizontal="center" vertical="center" shrinkToFit="1"/>
    </xf>
    <xf numFmtId="166" fontId="11" fillId="0" borderId="49" xfId="0" applyFont="1" applyBorder="1" applyAlignment="1">
      <alignment horizontal="center" vertical="center" shrinkToFit="1"/>
    </xf>
    <xf numFmtId="166" fontId="11" fillId="0" borderId="0" xfId="0" applyFont="1" applyAlignment="1">
      <alignment horizontal="center" vertical="center" shrinkToFit="1"/>
    </xf>
    <xf numFmtId="166" fontId="11" fillId="0" borderId="48" xfId="0" applyFont="1" applyBorder="1" applyAlignment="1">
      <alignment horizontal="center" vertical="center" shrinkToFit="1"/>
    </xf>
    <xf numFmtId="166" fontId="20" fillId="0" borderId="2" xfId="0" applyFont="1" applyBorder="1" applyAlignment="1">
      <alignment horizontal="left"/>
    </xf>
    <xf numFmtId="166" fontId="20" fillId="0" borderId="6" xfId="0" applyFont="1" applyBorder="1" applyAlignment="1">
      <alignment horizontal="left"/>
    </xf>
    <xf numFmtId="166" fontId="20" fillId="0" borderId="7" xfId="0" applyFont="1" applyBorder="1" applyAlignment="1">
      <alignment horizontal="left"/>
    </xf>
    <xf numFmtId="166" fontId="11" fillId="0" borderId="45" xfId="0" applyFont="1" applyBorder="1" applyAlignment="1">
      <alignment horizontal="center" vertical="center" wrapText="1"/>
    </xf>
    <xf numFmtId="166" fontId="11" fillId="0" borderId="48" xfId="0" applyFont="1" applyBorder="1" applyAlignment="1">
      <alignment horizontal="center" vertical="center" wrapText="1"/>
    </xf>
    <xf numFmtId="166" fontId="11" fillId="0" borderId="46" xfId="0" applyFont="1" applyBorder="1" applyAlignment="1">
      <alignment horizontal="center" vertical="center" wrapText="1"/>
    </xf>
    <xf numFmtId="166" fontId="11" fillId="0" borderId="15" xfId="0" applyFont="1" applyBorder="1" applyAlignment="1">
      <alignment horizontal="left" wrapText="1"/>
    </xf>
    <xf numFmtId="166" fontId="0" fillId="0" borderId="15" xfId="0" applyBorder="1" applyAlignment="1">
      <alignment horizontal="left" wrapText="1"/>
    </xf>
    <xf numFmtId="166" fontId="0" fillId="0" borderId="14" xfId="0" applyBorder="1" applyAlignment="1">
      <alignment horizontal="left" wrapText="1"/>
    </xf>
    <xf numFmtId="166" fontId="11" fillId="0" borderId="5" xfId="0" applyFont="1" applyBorder="1" applyAlignment="1">
      <alignment horizontal="center" vertical="center" shrinkToFit="1"/>
    </xf>
    <xf numFmtId="166" fontId="11" fillId="0" borderId="9" xfId="0" applyFont="1" applyBorder="1" applyAlignment="1">
      <alignment horizontal="center" vertical="center" shrinkToFit="1"/>
    </xf>
    <xf numFmtId="166" fontId="20" fillId="0" borderId="2" xfId="0" applyFont="1" applyBorder="1" applyAlignment="1">
      <alignment horizontal="center"/>
    </xf>
    <xf numFmtId="166" fontId="20" fillId="0" borderId="6" xfId="0" applyFont="1" applyBorder="1" applyAlignment="1">
      <alignment horizontal="center"/>
    </xf>
    <xf numFmtId="166" fontId="20" fillId="0" borderId="7" xfId="0" applyFont="1" applyBorder="1" applyAlignment="1">
      <alignment horizontal="center"/>
    </xf>
    <xf numFmtId="166" fontId="14" fillId="2" borderId="62" xfId="0" applyFont="1" applyFill="1" applyBorder="1" applyAlignment="1">
      <alignment horizontal="center" wrapText="1"/>
    </xf>
    <xf numFmtId="166" fontId="0" fillId="0" borderId="1" xfId="0" applyBorder="1" applyAlignment="1">
      <alignment wrapText="1"/>
    </xf>
    <xf numFmtId="166" fontId="0" fillId="0" borderId="63" xfId="0" applyBorder="1" applyAlignment="1">
      <alignment wrapText="1"/>
    </xf>
    <xf numFmtId="166" fontId="14" fillId="2" borderId="70" xfId="0" applyFont="1" applyFill="1" applyBorder="1" applyAlignment="1">
      <alignment horizontal="center" wrapText="1"/>
    </xf>
    <xf numFmtId="166" fontId="0" fillId="0" borderId="6" xfId="0" applyBorder="1" applyAlignment="1">
      <alignment wrapText="1"/>
    </xf>
    <xf numFmtId="166" fontId="0" fillId="0" borderId="71" xfId="0" applyBorder="1" applyAlignment="1">
      <alignment wrapText="1"/>
    </xf>
    <xf numFmtId="166" fontId="11" fillId="0" borderId="50" xfId="0" applyFont="1" applyBorder="1" applyAlignment="1">
      <alignment horizontal="center" vertical="center" wrapText="1"/>
    </xf>
    <xf numFmtId="166" fontId="11" fillId="0" borderId="3" xfId="0" applyFont="1" applyBorder="1" applyAlignment="1">
      <alignment horizontal="left" wrapText="1"/>
    </xf>
    <xf numFmtId="166" fontId="0" fillId="0" borderId="3" xfId="0" applyBorder="1" applyAlignment="1">
      <alignment horizontal="left" wrapText="1"/>
    </xf>
    <xf numFmtId="166" fontId="0" fillId="0" borderId="13" xfId="0" applyBorder="1" applyAlignment="1">
      <alignment horizontal="left" wrapText="1"/>
    </xf>
    <xf numFmtId="166" fontId="11" fillId="0" borderId="15" xfId="0" applyFont="1" applyBorder="1" applyAlignment="1">
      <alignment horizontal="left" shrinkToFit="1"/>
    </xf>
    <xf numFmtId="166" fontId="11" fillId="0" borderId="14" xfId="0" applyFont="1" applyBorder="1" applyAlignment="1">
      <alignment horizontal="left" shrinkToFit="1"/>
    </xf>
    <xf numFmtId="14" fontId="80" fillId="63" borderId="16" xfId="0" applyNumberFormat="1" applyFont="1" applyFill="1" applyBorder="1" applyAlignment="1">
      <alignment horizontal="center" vertical="center" wrapText="1"/>
    </xf>
    <xf numFmtId="166" fontId="22" fillId="0" borderId="75" xfId="0" applyFont="1" applyBorder="1" applyAlignment="1">
      <alignment horizontal="center" vertical="center" wrapText="1"/>
    </xf>
    <xf numFmtId="166" fontId="22" fillId="0" borderId="0" xfId="0" applyFont="1" applyAlignment="1">
      <alignment horizontal="center" vertical="center" wrapText="1"/>
    </xf>
    <xf numFmtId="166" fontId="22" fillId="0" borderId="75" xfId="0" applyFont="1" applyBorder="1" applyAlignment="1">
      <alignment horizontal="center" vertical="center"/>
    </xf>
    <xf numFmtId="166" fontId="22" fillId="0" borderId="0" xfId="0" applyFont="1" applyAlignment="1">
      <alignment horizontal="center" vertical="center"/>
    </xf>
    <xf numFmtId="49" fontId="22" fillId="0" borderId="75" xfId="0" applyNumberFormat="1" applyFont="1" applyBorder="1" applyAlignment="1" applyProtection="1">
      <alignment horizontal="center" vertical="center" wrapText="1"/>
      <protection locked="0"/>
    </xf>
    <xf numFmtId="49" fontId="22" fillId="0" borderId="0" xfId="0" applyNumberFormat="1" applyFont="1" applyAlignment="1" applyProtection="1">
      <alignment horizontal="center" vertical="center" wrapText="1"/>
      <protection locked="0"/>
    </xf>
    <xf numFmtId="166" fontId="14" fillId="5" borderId="12" xfId="0" applyFont="1" applyFill="1" applyBorder="1" applyAlignment="1">
      <alignment horizontal="center" wrapText="1"/>
    </xf>
    <xf numFmtId="166" fontId="14" fillId="5" borderId="3" xfId="0" applyFont="1" applyFill="1" applyBorder="1" applyAlignment="1">
      <alignment horizontal="center" wrapText="1"/>
    </xf>
    <xf numFmtId="166" fontId="14" fillId="2" borderId="54" xfId="0" applyFont="1" applyFill="1" applyBorder="1" applyAlignment="1">
      <alignment horizontal="center" wrapText="1"/>
    </xf>
    <xf numFmtId="166" fontId="0" fillId="0" borderId="55" xfId="0" applyBorder="1" applyAlignment="1">
      <alignment wrapText="1"/>
    </xf>
    <xf numFmtId="166" fontId="14" fillId="2" borderId="59" xfId="0" applyFont="1" applyFill="1" applyBorder="1" applyAlignment="1">
      <alignment horizontal="center" wrapText="1"/>
    </xf>
    <xf numFmtId="166" fontId="0" fillId="0" borderId="60" xfId="0" applyBorder="1" applyAlignment="1">
      <alignment wrapText="1"/>
    </xf>
    <xf numFmtId="1" fontId="19" fillId="0" borderId="0" xfId="0" applyNumberFormat="1" applyFont="1" applyAlignment="1">
      <alignment horizontal="center"/>
    </xf>
    <xf numFmtId="166" fontId="14" fillId="6" borderId="2" xfId="0" applyFont="1" applyFill="1" applyBorder="1" applyAlignment="1">
      <alignment horizontal="center"/>
    </xf>
    <xf numFmtId="166" fontId="0" fillId="0" borderId="6" xfId="0" applyBorder="1"/>
    <xf numFmtId="166" fontId="0" fillId="0" borderId="7" xfId="0" applyBorder="1"/>
    <xf numFmtId="166" fontId="14" fillId="6" borderId="6" xfId="0" applyFont="1" applyFill="1" applyBorder="1" applyAlignment="1">
      <alignment horizontal="center"/>
    </xf>
    <xf numFmtId="166" fontId="14" fillId="6" borderId="7" xfId="0" applyFont="1" applyFill="1" applyBorder="1" applyAlignment="1">
      <alignment horizontal="center"/>
    </xf>
    <xf numFmtId="166" fontId="14" fillId="6" borderId="5" xfId="0" applyFont="1" applyFill="1" applyBorder="1" applyAlignment="1">
      <alignment horizontal="center"/>
    </xf>
    <xf numFmtId="166" fontId="14" fillId="6" borderId="15" xfId="0" applyFont="1" applyFill="1" applyBorder="1" applyAlignment="1">
      <alignment horizontal="center"/>
    </xf>
    <xf numFmtId="166" fontId="14" fillId="6" borderId="14" xfId="0" applyFont="1" applyFill="1" applyBorder="1" applyAlignment="1">
      <alignment horizontal="center"/>
    </xf>
  </cellXfs>
  <cellStyles count="56264">
    <cellStyle name="20% - Accent1 10" xfId="1930" xr:uid="{00000000-0005-0000-0000-000000000000}"/>
    <cellStyle name="20% - Accent1 2" xfId="34" xr:uid="{00000000-0005-0000-0000-000001000000}"/>
    <cellStyle name="20% - Accent1 2 2" xfId="35" xr:uid="{00000000-0005-0000-0000-000002000000}"/>
    <cellStyle name="20% - Accent1 3" xfId="36" xr:uid="{00000000-0005-0000-0000-000003000000}"/>
    <cellStyle name="20% - Accent1 4" xfId="37" xr:uid="{00000000-0005-0000-0000-000004000000}"/>
    <cellStyle name="20% - Accent1 5" xfId="38" xr:uid="{00000000-0005-0000-0000-000005000000}"/>
    <cellStyle name="20% - Accent1 6" xfId="39" xr:uid="{00000000-0005-0000-0000-000006000000}"/>
    <cellStyle name="20% - Accent1 6 10" xfId="1932" xr:uid="{00000000-0005-0000-0000-000007000000}"/>
    <cellStyle name="20% - Accent1 6 10 2" xfId="1933" xr:uid="{00000000-0005-0000-0000-000008000000}"/>
    <cellStyle name="20% - Accent1 6 10 2 2" xfId="1934" xr:uid="{00000000-0005-0000-0000-000009000000}"/>
    <cellStyle name="20% - Accent1 6 10 2 2 2" xfId="1935" xr:uid="{00000000-0005-0000-0000-00000A000000}"/>
    <cellStyle name="20% - Accent1 6 10 2 3" xfId="1936" xr:uid="{00000000-0005-0000-0000-00000B000000}"/>
    <cellStyle name="20% - Accent1 6 10 3" xfId="1937" xr:uid="{00000000-0005-0000-0000-00000C000000}"/>
    <cellStyle name="20% - Accent1 6 10 3 2" xfId="1938" xr:uid="{00000000-0005-0000-0000-00000D000000}"/>
    <cellStyle name="20% - Accent1 6 10 4" xfId="1939" xr:uid="{00000000-0005-0000-0000-00000E000000}"/>
    <cellStyle name="20% - Accent1 6 11" xfId="1940" xr:uid="{00000000-0005-0000-0000-00000F000000}"/>
    <cellStyle name="20% - Accent1 6 11 2" xfId="1941" xr:uid="{00000000-0005-0000-0000-000010000000}"/>
    <cellStyle name="20% - Accent1 6 11 2 2" xfId="1942" xr:uid="{00000000-0005-0000-0000-000011000000}"/>
    <cellStyle name="20% - Accent1 6 11 3" xfId="1943" xr:uid="{00000000-0005-0000-0000-000012000000}"/>
    <cellStyle name="20% - Accent1 6 12" xfId="1944" xr:uid="{00000000-0005-0000-0000-000013000000}"/>
    <cellStyle name="20% - Accent1 6 12 2" xfId="1945" xr:uid="{00000000-0005-0000-0000-000014000000}"/>
    <cellStyle name="20% - Accent1 6 12 2 2" xfId="1946" xr:uid="{00000000-0005-0000-0000-000015000000}"/>
    <cellStyle name="20% - Accent1 6 12 3" xfId="1947" xr:uid="{00000000-0005-0000-0000-000016000000}"/>
    <cellStyle name="20% - Accent1 6 13" xfId="1948" xr:uid="{00000000-0005-0000-0000-000017000000}"/>
    <cellStyle name="20% - Accent1 6 13 2" xfId="1949" xr:uid="{00000000-0005-0000-0000-000018000000}"/>
    <cellStyle name="20% - Accent1 6 13 2 2" xfId="1950" xr:uid="{00000000-0005-0000-0000-000019000000}"/>
    <cellStyle name="20% - Accent1 6 13 3" xfId="1951" xr:uid="{00000000-0005-0000-0000-00001A000000}"/>
    <cellStyle name="20% - Accent1 6 14" xfId="1952" xr:uid="{00000000-0005-0000-0000-00001B000000}"/>
    <cellStyle name="20% - Accent1 6 14 2" xfId="1953" xr:uid="{00000000-0005-0000-0000-00001C000000}"/>
    <cellStyle name="20% - Accent1 6 15" xfId="1954" xr:uid="{00000000-0005-0000-0000-00001D000000}"/>
    <cellStyle name="20% - Accent1 6 16" xfId="1955" xr:uid="{00000000-0005-0000-0000-00001E000000}"/>
    <cellStyle name="20% - Accent1 6 17" xfId="1931" xr:uid="{00000000-0005-0000-0000-00001F000000}"/>
    <cellStyle name="20% - Accent1 6 2" xfId="40" xr:uid="{00000000-0005-0000-0000-000020000000}"/>
    <cellStyle name="20% - Accent1 6 2 10" xfId="1957" xr:uid="{00000000-0005-0000-0000-000021000000}"/>
    <cellStyle name="20% - Accent1 6 2 10 2" xfId="1958" xr:uid="{00000000-0005-0000-0000-000022000000}"/>
    <cellStyle name="20% - Accent1 6 2 10 2 2" xfId="1959" xr:uid="{00000000-0005-0000-0000-000023000000}"/>
    <cellStyle name="20% - Accent1 6 2 10 3" xfId="1960" xr:uid="{00000000-0005-0000-0000-000024000000}"/>
    <cellStyle name="20% - Accent1 6 2 11" xfId="1961" xr:uid="{00000000-0005-0000-0000-000025000000}"/>
    <cellStyle name="20% - Accent1 6 2 11 2" xfId="1962" xr:uid="{00000000-0005-0000-0000-000026000000}"/>
    <cellStyle name="20% - Accent1 6 2 11 2 2" xfId="1963" xr:uid="{00000000-0005-0000-0000-000027000000}"/>
    <cellStyle name="20% - Accent1 6 2 11 3" xfId="1964" xr:uid="{00000000-0005-0000-0000-000028000000}"/>
    <cellStyle name="20% - Accent1 6 2 12" xfId="1965" xr:uid="{00000000-0005-0000-0000-000029000000}"/>
    <cellStyle name="20% - Accent1 6 2 12 2" xfId="1966" xr:uid="{00000000-0005-0000-0000-00002A000000}"/>
    <cellStyle name="20% - Accent1 6 2 13" xfId="1967" xr:uid="{00000000-0005-0000-0000-00002B000000}"/>
    <cellStyle name="20% - Accent1 6 2 14" xfId="1968" xr:uid="{00000000-0005-0000-0000-00002C000000}"/>
    <cellStyle name="20% - Accent1 6 2 15" xfId="1956" xr:uid="{00000000-0005-0000-0000-00002D000000}"/>
    <cellStyle name="20% - Accent1 6 2 2" xfId="812" xr:uid="{00000000-0005-0000-0000-00002E000000}"/>
    <cellStyle name="20% - Accent1 6 2 2 10" xfId="1970" xr:uid="{00000000-0005-0000-0000-00002F000000}"/>
    <cellStyle name="20% - Accent1 6 2 2 11" xfId="1969" xr:uid="{00000000-0005-0000-0000-000030000000}"/>
    <cellStyle name="20% - Accent1 6 2 2 2" xfId="1570" xr:uid="{00000000-0005-0000-0000-000031000000}"/>
    <cellStyle name="20% - Accent1 6 2 2 2 2" xfId="1972" xr:uid="{00000000-0005-0000-0000-000032000000}"/>
    <cellStyle name="20% - Accent1 6 2 2 2 2 2" xfId="1973" xr:uid="{00000000-0005-0000-0000-000033000000}"/>
    <cellStyle name="20% - Accent1 6 2 2 2 2 2 2" xfId="1974" xr:uid="{00000000-0005-0000-0000-000034000000}"/>
    <cellStyle name="20% - Accent1 6 2 2 2 2 2 2 2" xfId="1975" xr:uid="{00000000-0005-0000-0000-000035000000}"/>
    <cellStyle name="20% - Accent1 6 2 2 2 2 2 3" xfId="1976" xr:uid="{00000000-0005-0000-0000-000036000000}"/>
    <cellStyle name="20% - Accent1 6 2 2 2 2 3" xfId="1977" xr:uid="{00000000-0005-0000-0000-000037000000}"/>
    <cellStyle name="20% - Accent1 6 2 2 2 2 3 2" xfId="1978" xr:uid="{00000000-0005-0000-0000-000038000000}"/>
    <cellStyle name="20% - Accent1 6 2 2 2 2 4" xfId="1979" xr:uid="{00000000-0005-0000-0000-000039000000}"/>
    <cellStyle name="20% - Accent1 6 2 2 2 3" xfId="1980" xr:uid="{00000000-0005-0000-0000-00003A000000}"/>
    <cellStyle name="20% - Accent1 6 2 2 2 3 2" xfId="1981" xr:uid="{00000000-0005-0000-0000-00003B000000}"/>
    <cellStyle name="20% - Accent1 6 2 2 2 3 2 2" xfId="1982" xr:uid="{00000000-0005-0000-0000-00003C000000}"/>
    <cellStyle name="20% - Accent1 6 2 2 2 3 2 2 2" xfId="1983" xr:uid="{00000000-0005-0000-0000-00003D000000}"/>
    <cellStyle name="20% - Accent1 6 2 2 2 3 2 3" xfId="1984" xr:uid="{00000000-0005-0000-0000-00003E000000}"/>
    <cellStyle name="20% - Accent1 6 2 2 2 3 3" xfId="1985" xr:uid="{00000000-0005-0000-0000-00003F000000}"/>
    <cellStyle name="20% - Accent1 6 2 2 2 3 3 2" xfId="1986" xr:uid="{00000000-0005-0000-0000-000040000000}"/>
    <cellStyle name="20% - Accent1 6 2 2 2 3 4" xfId="1987" xr:uid="{00000000-0005-0000-0000-000041000000}"/>
    <cellStyle name="20% - Accent1 6 2 2 2 4" xfId="1988" xr:uid="{00000000-0005-0000-0000-000042000000}"/>
    <cellStyle name="20% - Accent1 6 2 2 2 4 2" xfId="1989" xr:uid="{00000000-0005-0000-0000-000043000000}"/>
    <cellStyle name="20% - Accent1 6 2 2 2 4 2 2" xfId="1990" xr:uid="{00000000-0005-0000-0000-000044000000}"/>
    <cellStyle name="20% - Accent1 6 2 2 2 4 3" xfId="1991" xr:uid="{00000000-0005-0000-0000-000045000000}"/>
    <cellStyle name="20% - Accent1 6 2 2 2 5" xfId="1992" xr:uid="{00000000-0005-0000-0000-000046000000}"/>
    <cellStyle name="20% - Accent1 6 2 2 2 5 2" xfId="1993" xr:uid="{00000000-0005-0000-0000-000047000000}"/>
    <cellStyle name="20% - Accent1 6 2 2 2 6" xfId="1994" xr:uid="{00000000-0005-0000-0000-000048000000}"/>
    <cellStyle name="20% - Accent1 6 2 2 2 7" xfId="1971" xr:uid="{00000000-0005-0000-0000-000049000000}"/>
    <cellStyle name="20% - Accent1 6 2 2 3" xfId="1995" xr:uid="{00000000-0005-0000-0000-00004A000000}"/>
    <cellStyle name="20% - Accent1 6 2 2 3 2" xfId="1996" xr:uid="{00000000-0005-0000-0000-00004B000000}"/>
    <cellStyle name="20% - Accent1 6 2 2 3 2 2" xfId="1997" xr:uid="{00000000-0005-0000-0000-00004C000000}"/>
    <cellStyle name="20% - Accent1 6 2 2 3 2 2 2" xfId="1998" xr:uid="{00000000-0005-0000-0000-00004D000000}"/>
    <cellStyle name="20% - Accent1 6 2 2 3 2 2 2 2" xfId="1999" xr:uid="{00000000-0005-0000-0000-00004E000000}"/>
    <cellStyle name="20% - Accent1 6 2 2 3 2 2 3" xfId="2000" xr:uid="{00000000-0005-0000-0000-00004F000000}"/>
    <cellStyle name="20% - Accent1 6 2 2 3 2 3" xfId="2001" xr:uid="{00000000-0005-0000-0000-000050000000}"/>
    <cellStyle name="20% - Accent1 6 2 2 3 2 3 2" xfId="2002" xr:uid="{00000000-0005-0000-0000-000051000000}"/>
    <cellStyle name="20% - Accent1 6 2 2 3 2 4" xfId="2003" xr:uid="{00000000-0005-0000-0000-000052000000}"/>
    <cellStyle name="20% - Accent1 6 2 2 3 3" xfId="2004" xr:uid="{00000000-0005-0000-0000-000053000000}"/>
    <cellStyle name="20% - Accent1 6 2 2 3 3 2" xfId="2005" xr:uid="{00000000-0005-0000-0000-000054000000}"/>
    <cellStyle name="20% - Accent1 6 2 2 3 3 2 2" xfId="2006" xr:uid="{00000000-0005-0000-0000-000055000000}"/>
    <cellStyle name="20% - Accent1 6 2 2 3 3 3" xfId="2007" xr:uid="{00000000-0005-0000-0000-000056000000}"/>
    <cellStyle name="20% - Accent1 6 2 2 3 4" xfId="2008" xr:uid="{00000000-0005-0000-0000-000057000000}"/>
    <cellStyle name="20% - Accent1 6 2 2 3 4 2" xfId="2009" xr:uid="{00000000-0005-0000-0000-000058000000}"/>
    <cellStyle name="20% - Accent1 6 2 2 3 5" xfId="2010" xr:uid="{00000000-0005-0000-0000-000059000000}"/>
    <cellStyle name="20% - Accent1 6 2 2 4" xfId="2011" xr:uid="{00000000-0005-0000-0000-00005A000000}"/>
    <cellStyle name="20% - Accent1 6 2 2 4 2" xfId="2012" xr:uid="{00000000-0005-0000-0000-00005B000000}"/>
    <cellStyle name="20% - Accent1 6 2 2 4 2 2" xfId="2013" xr:uid="{00000000-0005-0000-0000-00005C000000}"/>
    <cellStyle name="20% - Accent1 6 2 2 4 2 2 2" xfId="2014" xr:uid="{00000000-0005-0000-0000-00005D000000}"/>
    <cellStyle name="20% - Accent1 6 2 2 4 2 2 2 2" xfId="2015" xr:uid="{00000000-0005-0000-0000-00005E000000}"/>
    <cellStyle name="20% - Accent1 6 2 2 4 2 2 3" xfId="2016" xr:uid="{00000000-0005-0000-0000-00005F000000}"/>
    <cellStyle name="20% - Accent1 6 2 2 4 2 3" xfId="2017" xr:uid="{00000000-0005-0000-0000-000060000000}"/>
    <cellStyle name="20% - Accent1 6 2 2 4 2 3 2" xfId="2018" xr:uid="{00000000-0005-0000-0000-000061000000}"/>
    <cellStyle name="20% - Accent1 6 2 2 4 2 4" xfId="2019" xr:uid="{00000000-0005-0000-0000-000062000000}"/>
    <cellStyle name="20% - Accent1 6 2 2 4 3" xfId="2020" xr:uid="{00000000-0005-0000-0000-000063000000}"/>
    <cellStyle name="20% - Accent1 6 2 2 4 3 2" xfId="2021" xr:uid="{00000000-0005-0000-0000-000064000000}"/>
    <cellStyle name="20% - Accent1 6 2 2 4 3 2 2" xfId="2022" xr:uid="{00000000-0005-0000-0000-000065000000}"/>
    <cellStyle name="20% - Accent1 6 2 2 4 3 3" xfId="2023" xr:uid="{00000000-0005-0000-0000-000066000000}"/>
    <cellStyle name="20% - Accent1 6 2 2 4 4" xfId="2024" xr:uid="{00000000-0005-0000-0000-000067000000}"/>
    <cellStyle name="20% - Accent1 6 2 2 4 4 2" xfId="2025" xr:uid="{00000000-0005-0000-0000-000068000000}"/>
    <cellStyle name="20% - Accent1 6 2 2 4 5" xfId="2026" xr:uid="{00000000-0005-0000-0000-000069000000}"/>
    <cellStyle name="20% - Accent1 6 2 2 5" xfId="2027" xr:uid="{00000000-0005-0000-0000-00006A000000}"/>
    <cellStyle name="20% - Accent1 6 2 2 5 2" xfId="2028" xr:uid="{00000000-0005-0000-0000-00006B000000}"/>
    <cellStyle name="20% - Accent1 6 2 2 5 2 2" xfId="2029" xr:uid="{00000000-0005-0000-0000-00006C000000}"/>
    <cellStyle name="20% - Accent1 6 2 2 5 2 2 2" xfId="2030" xr:uid="{00000000-0005-0000-0000-00006D000000}"/>
    <cellStyle name="20% - Accent1 6 2 2 5 2 3" xfId="2031" xr:uid="{00000000-0005-0000-0000-00006E000000}"/>
    <cellStyle name="20% - Accent1 6 2 2 5 3" xfId="2032" xr:uid="{00000000-0005-0000-0000-00006F000000}"/>
    <cellStyle name="20% - Accent1 6 2 2 5 3 2" xfId="2033" xr:uid="{00000000-0005-0000-0000-000070000000}"/>
    <cellStyle name="20% - Accent1 6 2 2 5 4" xfId="2034" xr:uid="{00000000-0005-0000-0000-000071000000}"/>
    <cellStyle name="20% - Accent1 6 2 2 6" xfId="2035" xr:uid="{00000000-0005-0000-0000-000072000000}"/>
    <cellStyle name="20% - Accent1 6 2 2 6 2" xfId="2036" xr:uid="{00000000-0005-0000-0000-000073000000}"/>
    <cellStyle name="20% - Accent1 6 2 2 6 2 2" xfId="2037" xr:uid="{00000000-0005-0000-0000-000074000000}"/>
    <cellStyle name="20% - Accent1 6 2 2 6 2 2 2" xfId="2038" xr:uid="{00000000-0005-0000-0000-000075000000}"/>
    <cellStyle name="20% - Accent1 6 2 2 6 2 3" xfId="2039" xr:uid="{00000000-0005-0000-0000-000076000000}"/>
    <cellStyle name="20% - Accent1 6 2 2 6 3" xfId="2040" xr:uid="{00000000-0005-0000-0000-000077000000}"/>
    <cellStyle name="20% - Accent1 6 2 2 6 3 2" xfId="2041" xr:uid="{00000000-0005-0000-0000-000078000000}"/>
    <cellStyle name="20% - Accent1 6 2 2 6 4" xfId="2042" xr:uid="{00000000-0005-0000-0000-000079000000}"/>
    <cellStyle name="20% - Accent1 6 2 2 7" xfId="2043" xr:uid="{00000000-0005-0000-0000-00007A000000}"/>
    <cellStyle name="20% - Accent1 6 2 2 7 2" xfId="2044" xr:uid="{00000000-0005-0000-0000-00007B000000}"/>
    <cellStyle name="20% - Accent1 6 2 2 7 2 2" xfId="2045" xr:uid="{00000000-0005-0000-0000-00007C000000}"/>
    <cellStyle name="20% - Accent1 6 2 2 7 2 2 2" xfId="2046" xr:uid="{00000000-0005-0000-0000-00007D000000}"/>
    <cellStyle name="20% - Accent1 6 2 2 7 2 3" xfId="2047" xr:uid="{00000000-0005-0000-0000-00007E000000}"/>
    <cellStyle name="20% - Accent1 6 2 2 7 3" xfId="2048" xr:uid="{00000000-0005-0000-0000-00007F000000}"/>
    <cellStyle name="20% - Accent1 6 2 2 7 3 2" xfId="2049" xr:uid="{00000000-0005-0000-0000-000080000000}"/>
    <cellStyle name="20% - Accent1 6 2 2 7 4" xfId="2050" xr:uid="{00000000-0005-0000-0000-000081000000}"/>
    <cellStyle name="20% - Accent1 6 2 2 8" xfId="2051" xr:uid="{00000000-0005-0000-0000-000082000000}"/>
    <cellStyle name="20% - Accent1 6 2 2 8 2" xfId="2052" xr:uid="{00000000-0005-0000-0000-000083000000}"/>
    <cellStyle name="20% - Accent1 6 2 2 8 2 2" xfId="2053" xr:uid="{00000000-0005-0000-0000-000084000000}"/>
    <cellStyle name="20% - Accent1 6 2 2 8 3" xfId="2054" xr:uid="{00000000-0005-0000-0000-000085000000}"/>
    <cellStyle name="20% - Accent1 6 2 2 9" xfId="2055" xr:uid="{00000000-0005-0000-0000-000086000000}"/>
    <cellStyle name="20% - Accent1 6 2 2 9 2" xfId="2056" xr:uid="{00000000-0005-0000-0000-000087000000}"/>
    <cellStyle name="20% - Accent1 6 2 3" xfId="1245" xr:uid="{00000000-0005-0000-0000-000088000000}"/>
    <cellStyle name="20% - Accent1 6 2 3 2" xfId="2058" xr:uid="{00000000-0005-0000-0000-000089000000}"/>
    <cellStyle name="20% - Accent1 6 2 3 2 2" xfId="2059" xr:uid="{00000000-0005-0000-0000-00008A000000}"/>
    <cellStyle name="20% - Accent1 6 2 3 2 2 2" xfId="2060" xr:uid="{00000000-0005-0000-0000-00008B000000}"/>
    <cellStyle name="20% - Accent1 6 2 3 2 2 2 2" xfId="2061" xr:uid="{00000000-0005-0000-0000-00008C000000}"/>
    <cellStyle name="20% - Accent1 6 2 3 2 2 3" xfId="2062" xr:uid="{00000000-0005-0000-0000-00008D000000}"/>
    <cellStyle name="20% - Accent1 6 2 3 2 3" xfId="2063" xr:uid="{00000000-0005-0000-0000-00008E000000}"/>
    <cellStyle name="20% - Accent1 6 2 3 2 3 2" xfId="2064" xr:uid="{00000000-0005-0000-0000-00008F000000}"/>
    <cellStyle name="20% - Accent1 6 2 3 2 4" xfId="2065" xr:uid="{00000000-0005-0000-0000-000090000000}"/>
    <cellStyle name="20% - Accent1 6 2 3 3" xfId="2066" xr:uid="{00000000-0005-0000-0000-000091000000}"/>
    <cellStyle name="20% - Accent1 6 2 3 3 2" xfId="2067" xr:uid="{00000000-0005-0000-0000-000092000000}"/>
    <cellStyle name="20% - Accent1 6 2 3 3 2 2" xfId="2068" xr:uid="{00000000-0005-0000-0000-000093000000}"/>
    <cellStyle name="20% - Accent1 6 2 3 3 2 2 2" xfId="2069" xr:uid="{00000000-0005-0000-0000-000094000000}"/>
    <cellStyle name="20% - Accent1 6 2 3 3 2 3" xfId="2070" xr:uid="{00000000-0005-0000-0000-000095000000}"/>
    <cellStyle name="20% - Accent1 6 2 3 3 3" xfId="2071" xr:uid="{00000000-0005-0000-0000-000096000000}"/>
    <cellStyle name="20% - Accent1 6 2 3 3 3 2" xfId="2072" xr:uid="{00000000-0005-0000-0000-000097000000}"/>
    <cellStyle name="20% - Accent1 6 2 3 3 4" xfId="2073" xr:uid="{00000000-0005-0000-0000-000098000000}"/>
    <cellStyle name="20% - Accent1 6 2 3 4" xfId="2074" xr:uid="{00000000-0005-0000-0000-000099000000}"/>
    <cellStyle name="20% - Accent1 6 2 3 4 2" xfId="2075" xr:uid="{00000000-0005-0000-0000-00009A000000}"/>
    <cellStyle name="20% - Accent1 6 2 3 4 2 2" xfId="2076" xr:uid="{00000000-0005-0000-0000-00009B000000}"/>
    <cellStyle name="20% - Accent1 6 2 3 4 3" xfId="2077" xr:uid="{00000000-0005-0000-0000-00009C000000}"/>
    <cellStyle name="20% - Accent1 6 2 3 5" xfId="2078" xr:uid="{00000000-0005-0000-0000-00009D000000}"/>
    <cellStyle name="20% - Accent1 6 2 3 5 2" xfId="2079" xr:uid="{00000000-0005-0000-0000-00009E000000}"/>
    <cellStyle name="20% - Accent1 6 2 3 6" xfId="2080" xr:uid="{00000000-0005-0000-0000-00009F000000}"/>
    <cellStyle name="20% - Accent1 6 2 3 7" xfId="2057" xr:uid="{00000000-0005-0000-0000-0000A0000000}"/>
    <cellStyle name="20% - Accent1 6 2 4" xfId="2081" xr:uid="{00000000-0005-0000-0000-0000A1000000}"/>
    <cellStyle name="20% - Accent1 6 2 4 2" xfId="2082" xr:uid="{00000000-0005-0000-0000-0000A2000000}"/>
    <cellStyle name="20% - Accent1 6 2 4 2 2" xfId="2083" xr:uid="{00000000-0005-0000-0000-0000A3000000}"/>
    <cellStyle name="20% - Accent1 6 2 4 2 2 2" xfId="2084" xr:uid="{00000000-0005-0000-0000-0000A4000000}"/>
    <cellStyle name="20% - Accent1 6 2 4 2 2 2 2" xfId="2085" xr:uid="{00000000-0005-0000-0000-0000A5000000}"/>
    <cellStyle name="20% - Accent1 6 2 4 2 2 3" xfId="2086" xr:uid="{00000000-0005-0000-0000-0000A6000000}"/>
    <cellStyle name="20% - Accent1 6 2 4 2 3" xfId="2087" xr:uid="{00000000-0005-0000-0000-0000A7000000}"/>
    <cellStyle name="20% - Accent1 6 2 4 2 3 2" xfId="2088" xr:uid="{00000000-0005-0000-0000-0000A8000000}"/>
    <cellStyle name="20% - Accent1 6 2 4 2 4" xfId="2089" xr:uid="{00000000-0005-0000-0000-0000A9000000}"/>
    <cellStyle name="20% - Accent1 6 2 4 3" xfId="2090" xr:uid="{00000000-0005-0000-0000-0000AA000000}"/>
    <cellStyle name="20% - Accent1 6 2 4 3 2" xfId="2091" xr:uid="{00000000-0005-0000-0000-0000AB000000}"/>
    <cellStyle name="20% - Accent1 6 2 4 3 2 2" xfId="2092" xr:uid="{00000000-0005-0000-0000-0000AC000000}"/>
    <cellStyle name="20% - Accent1 6 2 4 3 3" xfId="2093" xr:uid="{00000000-0005-0000-0000-0000AD000000}"/>
    <cellStyle name="20% - Accent1 6 2 4 4" xfId="2094" xr:uid="{00000000-0005-0000-0000-0000AE000000}"/>
    <cellStyle name="20% - Accent1 6 2 4 4 2" xfId="2095" xr:uid="{00000000-0005-0000-0000-0000AF000000}"/>
    <cellStyle name="20% - Accent1 6 2 4 5" xfId="2096" xr:uid="{00000000-0005-0000-0000-0000B0000000}"/>
    <cellStyle name="20% - Accent1 6 2 5" xfId="2097" xr:uid="{00000000-0005-0000-0000-0000B1000000}"/>
    <cellStyle name="20% - Accent1 6 2 5 2" xfId="2098" xr:uid="{00000000-0005-0000-0000-0000B2000000}"/>
    <cellStyle name="20% - Accent1 6 2 5 2 2" xfId="2099" xr:uid="{00000000-0005-0000-0000-0000B3000000}"/>
    <cellStyle name="20% - Accent1 6 2 5 2 2 2" xfId="2100" xr:uid="{00000000-0005-0000-0000-0000B4000000}"/>
    <cellStyle name="20% - Accent1 6 2 5 2 2 2 2" xfId="2101" xr:uid="{00000000-0005-0000-0000-0000B5000000}"/>
    <cellStyle name="20% - Accent1 6 2 5 2 2 3" xfId="2102" xr:uid="{00000000-0005-0000-0000-0000B6000000}"/>
    <cellStyle name="20% - Accent1 6 2 5 2 3" xfId="2103" xr:uid="{00000000-0005-0000-0000-0000B7000000}"/>
    <cellStyle name="20% - Accent1 6 2 5 2 3 2" xfId="2104" xr:uid="{00000000-0005-0000-0000-0000B8000000}"/>
    <cellStyle name="20% - Accent1 6 2 5 2 4" xfId="2105" xr:uid="{00000000-0005-0000-0000-0000B9000000}"/>
    <cellStyle name="20% - Accent1 6 2 5 3" xfId="2106" xr:uid="{00000000-0005-0000-0000-0000BA000000}"/>
    <cellStyle name="20% - Accent1 6 2 5 3 2" xfId="2107" xr:uid="{00000000-0005-0000-0000-0000BB000000}"/>
    <cellStyle name="20% - Accent1 6 2 5 3 2 2" xfId="2108" xr:uid="{00000000-0005-0000-0000-0000BC000000}"/>
    <cellStyle name="20% - Accent1 6 2 5 3 3" xfId="2109" xr:uid="{00000000-0005-0000-0000-0000BD000000}"/>
    <cellStyle name="20% - Accent1 6 2 5 4" xfId="2110" xr:uid="{00000000-0005-0000-0000-0000BE000000}"/>
    <cellStyle name="20% - Accent1 6 2 5 4 2" xfId="2111" xr:uid="{00000000-0005-0000-0000-0000BF000000}"/>
    <cellStyle name="20% - Accent1 6 2 5 5" xfId="2112" xr:uid="{00000000-0005-0000-0000-0000C0000000}"/>
    <cellStyle name="20% - Accent1 6 2 6" xfId="2113" xr:uid="{00000000-0005-0000-0000-0000C1000000}"/>
    <cellStyle name="20% - Accent1 6 2 6 2" xfId="2114" xr:uid="{00000000-0005-0000-0000-0000C2000000}"/>
    <cellStyle name="20% - Accent1 6 2 6 2 2" xfId="2115" xr:uid="{00000000-0005-0000-0000-0000C3000000}"/>
    <cellStyle name="20% - Accent1 6 2 6 2 2 2" xfId="2116" xr:uid="{00000000-0005-0000-0000-0000C4000000}"/>
    <cellStyle name="20% - Accent1 6 2 6 2 3" xfId="2117" xr:uid="{00000000-0005-0000-0000-0000C5000000}"/>
    <cellStyle name="20% - Accent1 6 2 6 3" xfId="2118" xr:uid="{00000000-0005-0000-0000-0000C6000000}"/>
    <cellStyle name="20% - Accent1 6 2 6 3 2" xfId="2119" xr:uid="{00000000-0005-0000-0000-0000C7000000}"/>
    <cellStyle name="20% - Accent1 6 2 6 4" xfId="2120" xr:uid="{00000000-0005-0000-0000-0000C8000000}"/>
    <cellStyle name="20% - Accent1 6 2 7" xfId="2121" xr:uid="{00000000-0005-0000-0000-0000C9000000}"/>
    <cellStyle name="20% - Accent1 6 2 7 2" xfId="2122" xr:uid="{00000000-0005-0000-0000-0000CA000000}"/>
    <cellStyle name="20% - Accent1 6 2 7 2 2" xfId="2123" xr:uid="{00000000-0005-0000-0000-0000CB000000}"/>
    <cellStyle name="20% - Accent1 6 2 7 2 2 2" xfId="2124" xr:uid="{00000000-0005-0000-0000-0000CC000000}"/>
    <cellStyle name="20% - Accent1 6 2 7 2 3" xfId="2125" xr:uid="{00000000-0005-0000-0000-0000CD000000}"/>
    <cellStyle name="20% - Accent1 6 2 7 3" xfId="2126" xr:uid="{00000000-0005-0000-0000-0000CE000000}"/>
    <cellStyle name="20% - Accent1 6 2 7 3 2" xfId="2127" xr:uid="{00000000-0005-0000-0000-0000CF000000}"/>
    <cellStyle name="20% - Accent1 6 2 7 4" xfId="2128" xr:uid="{00000000-0005-0000-0000-0000D0000000}"/>
    <cellStyle name="20% - Accent1 6 2 8" xfId="2129" xr:uid="{00000000-0005-0000-0000-0000D1000000}"/>
    <cellStyle name="20% - Accent1 6 2 8 2" xfId="2130" xr:uid="{00000000-0005-0000-0000-0000D2000000}"/>
    <cellStyle name="20% - Accent1 6 2 8 2 2" xfId="2131" xr:uid="{00000000-0005-0000-0000-0000D3000000}"/>
    <cellStyle name="20% - Accent1 6 2 8 2 2 2" xfId="2132" xr:uid="{00000000-0005-0000-0000-0000D4000000}"/>
    <cellStyle name="20% - Accent1 6 2 8 2 3" xfId="2133" xr:uid="{00000000-0005-0000-0000-0000D5000000}"/>
    <cellStyle name="20% - Accent1 6 2 8 3" xfId="2134" xr:uid="{00000000-0005-0000-0000-0000D6000000}"/>
    <cellStyle name="20% - Accent1 6 2 8 3 2" xfId="2135" xr:uid="{00000000-0005-0000-0000-0000D7000000}"/>
    <cellStyle name="20% - Accent1 6 2 8 4" xfId="2136" xr:uid="{00000000-0005-0000-0000-0000D8000000}"/>
    <cellStyle name="20% - Accent1 6 2 9" xfId="2137" xr:uid="{00000000-0005-0000-0000-0000D9000000}"/>
    <cellStyle name="20% - Accent1 6 2 9 2" xfId="2138" xr:uid="{00000000-0005-0000-0000-0000DA000000}"/>
    <cellStyle name="20% - Accent1 6 2 9 2 2" xfId="2139" xr:uid="{00000000-0005-0000-0000-0000DB000000}"/>
    <cellStyle name="20% - Accent1 6 2 9 3" xfId="2140" xr:uid="{00000000-0005-0000-0000-0000DC000000}"/>
    <cellStyle name="20% - Accent1 6 3" xfId="41" xr:uid="{00000000-0005-0000-0000-0000DD000000}"/>
    <cellStyle name="20% - Accent1 6 3 10" xfId="2142" xr:uid="{00000000-0005-0000-0000-0000DE000000}"/>
    <cellStyle name="20% - Accent1 6 3 10 2" xfId="2143" xr:uid="{00000000-0005-0000-0000-0000DF000000}"/>
    <cellStyle name="20% - Accent1 6 3 10 2 2" xfId="2144" xr:uid="{00000000-0005-0000-0000-0000E0000000}"/>
    <cellStyle name="20% - Accent1 6 3 10 3" xfId="2145" xr:uid="{00000000-0005-0000-0000-0000E1000000}"/>
    <cellStyle name="20% - Accent1 6 3 11" xfId="2146" xr:uid="{00000000-0005-0000-0000-0000E2000000}"/>
    <cellStyle name="20% - Accent1 6 3 11 2" xfId="2147" xr:uid="{00000000-0005-0000-0000-0000E3000000}"/>
    <cellStyle name="20% - Accent1 6 3 11 2 2" xfId="2148" xr:uid="{00000000-0005-0000-0000-0000E4000000}"/>
    <cellStyle name="20% - Accent1 6 3 11 3" xfId="2149" xr:uid="{00000000-0005-0000-0000-0000E5000000}"/>
    <cellStyle name="20% - Accent1 6 3 12" xfId="2150" xr:uid="{00000000-0005-0000-0000-0000E6000000}"/>
    <cellStyle name="20% - Accent1 6 3 12 2" xfId="2151" xr:uid="{00000000-0005-0000-0000-0000E7000000}"/>
    <cellStyle name="20% - Accent1 6 3 13" xfId="2152" xr:uid="{00000000-0005-0000-0000-0000E8000000}"/>
    <cellStyle name="20% - Accent1 6 3 14" xfId="2153" xr:uid="{00000000-0005-0000-0000-0000E9000000}"/>
    <cellStyle name="20% - Accent1 6 3 15" xfId="2141" xr:uid="{00000000-0005-0000-0000-0000EA000000}"/>
    <cellStyle name="20% - Accent1 6 3 2" xfId="813" xr:uid="{00000000-0005-0000-0000-0000EB000000}"/>
    <cellStyle name="20% - Accent1 6 3 2 10" xfId="2155" xr:uid="{00000000-0005-0000-0000-0000EC000000}"/>
    <cellStyle name="20% - Accent1 6 3 2 11" xfId="2154" xr:uid="{00000000-0005-0000-0000-0000ED000000}"/>
    <cellStyle name="20% - Accent1 6 3 2 2" xfId="1571" xr:uid="{00000000-0005-0000-0000-0000EE000000}"/>
    <cellStyle name="20% - Accent1 6 3 2 2 2" xfId="2157" xr:uid="{00000000-0005-0000-0000-0000EF000000}"/>
    <cellStyle name="20% - Accent1 6 3 2 2 2 2" xfId="2158" xr:uid="{00000000-0005-0000-0000-0000F0000000}"/>
    <cellStyle name="20% - Accent1 6 3 2 2 2 2 2" xfId="2159" xr:uid="{00000000-0005-0000-0000-0000F1000000}"/>
    <cellStyle name="20% - Accent1 6 3 2 2 2 2 2 2" xfId="2160" xr:uid="{00000000-0005-0000-0000-0000F2000000}"/>
    <cellStyle name="20% - Accent1 6 3 2 2 2 2 3" xfId="2161" xr:uid="{00000000-0005-0000-0000-0000F3000000}"/>
    <cellStyle name="20% - Accent1 6 3 2 2 2 3" xfId="2162" xr:uid="{00000000-0005-0000-0000-0000F4000000}"/>
    <cellStyle name="20% - Accent1 6 3 2 2 2 3 2" xfId="2163" xr:uid="{00000000-0005-0000-0000-0000F5000000}"/>
    <cellStyle name="20% - Accent1 6 3 2 2 2 4" xfId="2164" xr:uid="{00000000-0005-0000-0000-0000F6000000}"/>
    <cellStyle name="20% - Accent1 6 3 2 2 3" xfId="2165" xr:uid="{00000000-0005-0000-0000-0000F7000000}"/>
    <cellStyle name="20% - Accent1 6 3 2 2 3 2" xfId="2166" xr:uid="{00000000-0005-0000-0000-0000F8000000}"/>
    <cellStyle name="20% - Accent1 6 3 2 2 3 2 2" xfId="2167" xr:uid="{00000000-0005-0000-0000-0000F9000000}"/>
    <cellStyle name="20% - Accent1 6 3 2 2 3 2 2 2" xfId="2168" xr:uid="{00000000-0005-0000-0000-0000FA000000}"/>
    <cellStyle name="20% - Accent1 6 3 2 2 3 2 3" xfId="2169" xr:uid="{00000000-0005-0000-0000-0000FB000000}"/>
    <cellStyle name="20% - Accent1 6 3 2 2 3 3" xfId="2170" xr:uid="{00000000-0005-0000-0000-0000FC000000}"/>
    <cellStyle name="20% - Accent1 6 3 2 2 3 3 2" xfId="2171" xr:uid="{00000000-0005-0000-0000-0000FD000000}"/>
    <cellStyle name="20% - Accent1 6 3 2 2 3 4" xfId="2172" xr:uid="{00000000-0005-0000-0000-0000FE000000}"/>
    <cellStyle name="20% - Accent1 6 3 2 2 4" xfId="2173" xr:uid="{00000000-0005-0000-0000-0000FF000000}"/>
    <cellStyle name="20% - Accent1 6 3 2 2 4 2" xfId="2174" xr:uid="{00000000-0005-0000-0000-000000010000}"/>
    <cellStyle name="20% - Accent1 6 3 2 2 4 2 2" xfId="2175" xr:uid="{00000000-0005-0000-0000-000001010000}"/>
    <cellStyle name="20% - Accent1 6 3 2 2 4 3" xfId="2176" xr:uid="{00000000-0005-0000-0000-000002010000}"/>
    <cellStyle name="20% - Accent1 6 3 2 2 5" xfId="2177" xr:uid="{00000000-0005-0000-0000-000003010000}"/>
    <cellStyle name="20% - Accent1 6 3 2 2 5 2" xfId="2178" xr:uid="{00000000-0005-0000-0000-000004010000}"/>
    <cellStyle name="20% - Accent1 6 3 2 2 6" xfId="2179" xr:uid="{00000000-0005-0000-0000-000005010000}"/>
    <cellStyle name="20% - Accent1 6 3 2 2 7" xfId="2156" xr:uid="{00000000-0005-0000-0000-000006010000}"/>
    <cellStyle name="20% - Accent1 6 3 2 3" xfId="2180" xr:uid="{00000000-0005-0000-0000-000007010000}"/>
    <cellStyle name="20% - Accent1 6 3 2 3 2" xfId="2181" xr:uid="{00000000-0005-0000-0000-000008010000}"/>
    <cellStyle name="20% - Accent1 6 3 2 3 2 2" xfId="2182" xr:uid="{00000000-0005-0000-0000-000009010000}"/>
    <cellStyle name="20% - Accent1 6 3 2 3 2 2 2" xfId="2183" xr:uid="{00000000-0005-0000-0000-00000A010000}"/>
    <cellStyle name="20% - Accent1 6 3 2 3 2 2 2 2" xfId="2184" xr:uid="{00000000-0005-0000-0000-00000B010000}"/>
    <cellStyle name="20% - Accent1 6 3 2 3 2 2 3" xfId="2185" xr:uid="{00000000-0005-0000-0000-00000C010000}"/>
    <cellStyle name="20% - Accent1 6 3 2 3 2 3" xfId="2186" xr:uid="{00000000-0005-0000-0000-00000D010000}"/>
    <cellStyle name="20% - Accent1 6 3 2 3 2 3 2" xfId="2187" xr:uid="{00000000-0005-0000-0000-00000E010000}"/>
    <cellStyle name="20% - Accent1 6 3 2 3 2 4" xfId="2188" xr:uid="{00000000-0005-0000-0000-00000F010000}"/>
    <cellStyle name="20% - Accent1 6 3 2 3 3" xfId="2189" xr:uid="{00000000-0005-0000-0000-000010010000}"/>
    <cellStyle name="20% - Accent1 6 3 2 3 3 2" xfId="2190" xr:uid="{00000000-0005-0000-0000-000011010000}"/>
    <cellStyle name="20% - Accent1 6 3 2 3 3 2 2" xfId="2191" xr:uid="{00000000-0005-0000-0000-000012010000}"/>
    <cellStyle name="20% - Accent1 6 3 2 3 3 3" xfId="2192" xr:uid="{00000000-0005-0000-0000-000013010000}"/>
    <cellStyle name="20% - Accent1 6 3 2 3 4" xfId="2193" xr:uid="{00000000-0005-0000-0000-000014010000}"/>
    <cellStyle name="20% - Accent1 6 3 2 3 4 2" xfId="2194" xr:uid="{00000000-0005-0000-0000-000015010000}"/>
    <cellStyle name="20% - Accent1 6 3 2 3 5" xfId="2195" xr:uid="{00000000-0005-0000-0000-000016010000}"/>
    <cellStyle name="20% - Accent1 6 3 2 4" xfId="2196" xr:uid="{00000000-0005-0000-0000-000017010000}"/>
    <cellStyle name="20% - Accent1 6 3 2 4 2" xfId="2197" xr:uid="{00000000-0005-0000-0000-000018010000}"/>
    <cellStyle name="20% - Accent1 6 3 2 4 2 2" xfId="2198" xr:uid="{00000000-0005-0000-0000-000019010000}"/>
    <cellStyle name="20% - Accent1 6 3 2 4 2 2 2" xfId="2199" xr:uid="{00000000-0005-0000-0000-00001A010000}"/>
    <cellStyle name="20% - Accent1 6 3 2 4 2 2 2 2" xfId="2200" xr:uid="{00000000-0005-0000-0000-00001B010000}"/>
    <cellStyle name="20% - Accent1 6 3 2 4 2 2 3" xfId="2201" xr:uid="{00000000-0005-0000-0000-00001C010000}"/>
    <cellStyle name="20% - Accent1 6 3 2 4 2 3" xfId="2202" xr:uid="{00000000-0005-0000-0000-00001D010000}"/>
    <cellStyle name="20% - Accent1 6 3 2 4 2 3 2" xfId="2203" xr:uid="{00000000-0005-0000-0000-00001E010000}"/>
    <cellStyle name="20% - Accent1 6 3 2 4 2 4" xfId="2204" xr:uid="{00000000-0005-0000-0000-00001F010000}"/>
    <cellStyle name="20% - Accent1 6 3 2 4 3" xfId="2205" xr:uid="{00000000-0005-0000-0000-000020010000}"/>
    <cellStyle name="20% - Accent1 6 3 2 4 3 2" xfId="2206" xr:uid="{00000000-0005-0000-0000-000021010000}"/>
    <cellStyle name="20% - Accent1 6 3 2 4 3 2 2" xfId="2207" xr:uid="{00000000-0005-0000-0000-000022010000}"/>
    <cellStyle name="20% - Accent1 6 3 2 4 3 3" xfId="2208" xr:uid="{00000000-0005-0000-0000-000023010000}"/>
    <cellStyle name="20% - Accent1 6 3 2 4 4" xfId="2209" xr:uid="{00000000-0005-0000-0000-000024010000}"/>
    <cellStyle name="20% - Accent1 6 3 2 4 4 2" xfId="2210" xr:uid="{00000000-0005-0000-0000-000025010000}"/>
    <cellStyle name="20% - Accent1 6 3 2 4 5" xfId="2211" xr:uid="{00000000-0005-0000-0000-000026010000}"/>
    <cellStyle name="20% - Accent1 6 3 2 5" xfId="2212" xr:uid="{00000000-0005-0000-0000-000027010000}"/>
    <cellStyle name="20% - Accent1 6 3 2 5 2" xfId="2213" xr:uid="{00000000-0005-0000-0000-000028010000}"/>
    <cellStyle name="20% - Accent1 6 3 2 5 2 2" xfId="2214" xr:uid="{00000000-0005-0000-0000-000029010000}"/>
    <cellStyle name="20% - Accent1 6 3 2 5 2 2 2" xfId="2215" xr:uid="{00000000-0005-0000-0000-00002A010000}"/>
    <cellStyle name="20% - Accent1 6 3 2 5 2 3" xfId="2216" xr:uid="{00000000-0005-0000-0000-00002B010000}"/>
    <cellStyle name="20% - Accent1 6 3 2 5 3" xfId="2217" xr:uid="{00000000-0005-0000-0000-00002C010000}"/>
    <cellStyle name="20% - Accent1 6 3 2 5 3 2" xfId="2218" xr:uid="{00000000-0005-0000-0000-00002D010000}"/>
    <cellStyle name="20% - Accent1 6 3 2 5 4" xfId="2219" xr:uid="{00000000-0005-0000-0000-00002E010000}"/>
    <cellStyle name="20% - Accent1 6 3 2 6" xfId="2220" xr:uid="{00000000-0005-0000-0000-00002F010000}"/>
    <cellStyle name="20% - Accent1 6 3 2 6 2" xfId="2221" xr:uid="{00000000-0005-0000-0000-000030010000}"/>
    <cellStyle name="20% - Accent1 6 3 2 6 2 2" xfId="2222" xr:uid="{00000000-0005-0000-0000-000031010000}"/>
    <cellStyle name="20% - Accent1 6 3 2 6 2 2 2" xfId="2223" xr:uid="{00000000-0005-0000-0000-000032010000}"/>
    <cellStyle name="20% - Accent1 6 3 2 6 2 3" xfId="2224" xr:uid="{00000000-0005-0000-0000-000033010000}"/>
    <cellStyle name="20% - Accent1 6 3 2 6 3" xfId="2225" xr:uid="{00000000-0005-0000-0000-000034010000}"/>
    <cellStyle name="20% - Accent1 6 3 2 6 3 2" xfId="2226" xr:uid="{00000000-0005-0000-0000-000035010000}"/>
    <cellStyle name="20% - Accent1 6 3 2 6 4" xfId="2227" xr:uid="{00000000-0005-0000-0000-000036010000}"/>
    <cellStyle name="20% - Accent1 6 3 2 7" xfId="2228" xr:uid="{00000000-0005-0000-0000-000037010000}"/>
    <cellStyle name="20% - Accent1 6 3 2 7 2" xfId="2229" xr:uid="{00000000-0005-0000-0000-000038010000}"/>
    <cellStyle name="20% - Accent1 6 3 2 7 2 2" xfId="2230" xr:uid="{00000000-0005-0000-0000-000039010000}"/>
    <cellStyle name="20% - Accent1 6 3 2 7 2 2 2" xfId="2231" xr:uid="{00000000-0005-0000-0000-00003A010000}"/>
    <cellStyle name="20% - Accent1 6 3 2 7 2 3" xfId="2232" xr:uid="{00000000-0005-0000-0000-00003B010000}"/>
    <cellStyle name="20% - Accent1 6 3 2 7 3" xfId="2233" xr:uid="{00000000-0005-0000-0000-00003C010000}"/>
    <cellStyle name="20% - Accent1 6 3 2 7 3 2" xfId="2234" xr:uid="{00000000-0005-0000-0000-00003D010000}"/>
    <cellStyle name="20% - Accent1 6 3 2 7 4" xfId="2235" xr:uid="{00000000-0005-0000-0000-00003E010000}"/>
    <cellStyle name="20% - Accent1 6 3 2 8" xfId="2236" xr:uid="{00000000-0005-0000-0000-00003F010000}"/>
    <cellStyle name="20% - Accent1 6 3 2 8 2" xfId="2237" xr:uid="{00000000-0005-0000-0000-000040010000}"/>
    <cellStyle name="20% - Accent1 6 3 2 8 2 2" xfId="2238" xr:uid="{00000000-0005-0000-0000-000041010000}"/>
    <cellStyle name="20% - Accent1 6 3 2 8 3" xfId="2239" xr:uid="{00000000-0005-0000-0000-000042010000}"/>
    <cellStyle name="20% - Accent1 6 3 2 9" xfId="2240" xr:uid="{00000000-0005-0000-0000-000043010000}"/>
    <cellStyle name="20% - Accent1 6 3 2 9 2" xfId="2241" xr:uid="{00000000-0005-0000-0000-000044010000}"/>
    <cellStyle name="20% - Accent1 6 3 3" xfId="1246" xr:uid="{00000000-0005-0000-0000-000045010000}"/>
    <cellStyle name="20% - Accent1 6 3 3 2" xfId="2243" xr:uid="{00000000-0005-0000-0000-000046010000}"/>
    <cellStyle name="20% - Accent1 6 3 3 2 2" xfId="2244" xr:uid="{00000000-0005-0000-0000-000047010000}"/>
    <cellStyle name="20% - Accent1 6 3 3 2 2 2" xfId="2245" xr:uid="{00000000-0005-0000-0000-000048010000}"/>
    <cellStyle name="20% - Accent1 6 3 3 2 2 2 2" xfId="2246" xr:uid="{00000000-0005-0000-0000-000049010000}"/>
    <cellStyle name="20% - Accent1 6 3 3 2 2 3" xfId="2247" xr:uid="{00000000-0005-0000-0000-00004A010000}"/>
    <cellStyle name="20% - Accent1 6 3 3 2 3" xfId="2248" xr:uid="{00000000-0005-0000-0000-00004B010000}"/>
    <cellStyle name="20% - Accent1 6 3 3 2 3 2" xfId="2249" xr:uid="{00000000-0005-0000-0000-00004C010000}"/>
    <cellStyle name="20% - Accent1 6 3 3 2 4" xfId="2250" xr:uid="{00000000-0005-0000-0000-00004D010000}"/>
    <cellStyle name="20% - Accent1 6 3 3 3" xfId="2251" xr:uid="{00000000-0005-0000-0000-00004E010000}"/>
    <cellStyle name="20% - Accent1 6 3 3 3 2" xfId="2252" xr:uid="{00000000-0005-0000-0000-00004F010000}"/>
    <cellStyle name="20% - Accent1 6 3 3 3 2 2" xfId="2253" xr:uid="{00000000-0005-0000-0000-000050010000}"/>
    <cellStyle name="20% - Accent1 6 3 3 3 2 2 2" xfId="2254" xr:uid="{00000000-0005-0000-0000-000051010000}"/>
    <cellStyle name="20% - Accent1 6 3 3 3 2 3" xfId="2255" xr:uid="{00000000-0005-0000-0000-000052010000}"/>
    <cellStyle name="20% - Accent1 6 3 3 3 3" xfId="2256" xr:uid="{00000000-0005-0000-0000-000053010000}"/>
    <cellStyle name="20% - Accent1 6 3 3 3 3 2" xfId="2257" xr:uid="{00000000-0005-0000-0000-000054010000}"/>
    <cellStyle name="20% - Accent1 6 3 3 3 4" xfId="2258" xr:uid="{00000000-0005-0000-0000-000055010000}"/>
    <cellStyle name="20% - Accent1 6 3 3 4" xfId="2259" xr:uid="{00000000-0005-0000-0000-000056010000}"/>
    <cellStyle name="20% - Accent1 6 3 3 4 2" xfId="2260" xr:uid="{00000000-0005-0000-0000-000057010000}"/>
    <cellStyle name="20% - Accent1 6 3 3 4 2 2" xfId="2261" xr:uid="{00000000-0005-0000-0000-000058010000}"/>
    <cellStyle name="20% - Accent1 6 3 3 4 3" xfId="2262" xr:uid="{00000000-0005-0000-0000-000059010000}"/>
    <cellStyle name="20% - Accent1 6 3 3 5" xfId="2263" xr:uid="{00000000-0005-0000-0000-00005A010000}"/>
    <cellStyle name="20% - Accent1 6 3 3 5 2" xfId="2264" xr:uid="{00000000-0005-0000-0000-00005B010000}"/>
    <cellStyle name="20% - Accent1 6 3 3 6" xfId="2265" xr:uid="{00000000-0005-0000-0000-00005C010000}"/>
    <cellStyle name="20% - Accent1 6 3 3 7" xfId="2242" xr:uid="{00000000-0005-0000-0000-00005D010000}"/>
    <cellStyle name="20% - Accent1 6 3 4" xfId="2266" xr:uid="{00000000-0005-0000-0000-00005E010000}"/>
    <cellStyle name="20% - Accent1 6 3 4 2" xfId="2267" xr:uid="{00000000-0005-0000-0000-00005F010000}"/>
    <cellStyle name="20% - Accent1 6 3 4 2 2" xfId="2268" xr:uid="{00000000-0005-0000-0000-000060010000}"/>
    <cellStyle name="20% - Accent1 6 3 4 2 2 2" xfId="2269" xr:uid="{00000000-0005-0000-0000-000061010000}"/>
    <cellStyle name="20% - Accent1 6 3 4 2 2 2 2" xfId="2270" xr:uid="{00000000-0005-0000-0000-000062010000}"/>
    <cellStyle name="20% - Accent1 6 3 4 2 2 3" xfId="2271" xr:uid="{00000000-0005-0000-0000-000063010000}"/>
    <cellStyle name="20% - Accent1 6 3 4 2 3" xfId="2272" xr:uid="{00000000-0005-0000-0000-000064010000}"/>
    <cellStyle name="20% - Accent1 6 3 4 2 3 2" xfId="2273" xr:uid="{00000000-0005-0000-0000-000065010000}"/>
    <cellStyle name="20% - Accent1 6 3 4 2 4" xfId="2274" xr:uid="{00000000-0005-0000-0000-000066010000}"/>
    <cellStyle name="20% - Accent1 6 3 4 3" xfId="2275" xr:uid="{00000000-0005-0000-0000-000067010000}"/>
    <cellStyle name="20% - Accent1 6 3 4 3 2" xfId="2276" xr:uid="{00000000-0005-0000-0000-000068010000}"/>
    <cellStyle name="20% - Accent1 6 3 4 3 2 2" xfId="2277" xr:uid="{00000000-0005-0000-0000-000069010000}"/>
    <cellStyle name="20% - Accent1 6 3 4 3 3" xfId="2278" xr:uid="{00000000-0005-0000-0000-00006A010000}"/>
    <cellStyle name="20% - Accent1 6 3 4 4" xfId="2279" xr:uid="{00000000-0005-0000-0000-00006B010000}"/>
    <cellStyle name="20% - Accent1 6 3 4 4 2" xfId="2280" xr:uid="{00000000-0005-0000-0000-00006C010000}"/>
    <cellStyle name="20% - Accent1 6 3 4 5" xfId="2281" xr:uid="{00000000-0005-0000-0000-00006D010000}"/>
    <cellStyle name="20% - Accent1 6 3 5" xfId="2282" xr:uid="{00000000-0005-0000-0000-00006E010000}"/>
    <cellStyle name="20% - Accent1 6 3 5 2" xfId="2283" xr:uid="{00000000-0005-0000-0000-00006F010000}"/>
    <cellStyle name="20% - Accent1 6 3 5 2 2" xfId="2284" xr:uid="{00000000-0005-0000-0000-000070010000}"/>
    <cellStyle name="20% - Accent1 6 3 5 2 2 2" xfId="2285" xr:uid="{00000000-0005-0000-0000-000071010000}"/>
    <cellStyle name="20% - Accent1 6 3 5 2 2 2 2" xfId="2286" xr:uid="{00000000-0005-0000-0000-000072010000}"/>
    <cellStyle name="20% - Accent1 6 3 5 2 2 3" xfId="2287" xr:uid="{00000000-0005-0000-0000-000073010000}"/>
    <cellStyle name="20% - Accent1 6 3 5 2 3" xfId="2288" xr:uid="{00000000-0005-0000-0000-000074010000}"/>
    <cellStyle name="20% - Accent1 6 3 5 2 3 2" xfId="2289" xr:uid="{00000000-0005-0000-0000-000075010000}"/>
    <cellStyle name="20% - Accent1 6 3 5 2 4" xfId="2290" xr:uid="{00000000-0005-0000-0000-000076010000}"/>
    <cellStyle name="20% - Accent1 6 3 5 3" xfId="2291" xr:uid="{00000000-0005-0000-0000-000077010000}"/>
    <cellStyle name="20% - Accent1 6 3 5 3 2" xfId="2292" xr:uid="{00000000-0005-0000-0000-000078010000}"/>
    <cellStyle name="20% - Accent1 6 3 5 3 2 2" xfId="2293" xr:uid="{00000000-0005-0000-0000-000079010000}"/>
    <cellStyle name="20% - Accent1 6 3 5 3 3" xfId="2294" xr:uid="{00000000-0005-0000-0000-00007A010000}"/>
    <cellStyle name="20% - Accent1 6 3 5 4" xfId="2295" xr:uid="{00000000-0005-0000-0000-00007B010000}"/>
    <cellStyle name="20% - Accent1 6 3 5 4 2" xfId="2296" xr:uid="{00000000-0005-0000-0000-00007C010000}"/>
    <cellStyle name="20% - Accent1 6 3 5 5" xfId="2297" xr:uid="{00000000-0005-0000-0000-00007D010000}"/>
    <cellStyle name="20% - Accent1 6 3 6" xfId="2298" xr:uid="{00000000-0005-0000-0000-00007E010000}"/>
    <cellStyle name="20% - Accent1 6 3 6 2" xfId="2299" xr:uid="{00000000-0005-0000-0000-00007F010000}"/>
    <cellStyle name="20% - Accent1 6 3 6 2 2" xfId="2300" xr:uid="{00000000-0005-0000-0000-000080010000}"/>
    <cellStyle name="20% - Accent1 6 3 6 2 2 2" xfId="2301" xr:uid="{00000000-0005-0000-0000-000081010000}"/>
    <cellStyle name="20% - Accent1 6 3 6 2 3" xfId="2302" xr:uid="{00000000-0005-0000-0000-000082010000}"/>
    <cellStyle name="20% - Accent1 6 3 6 3" xfId="2303" xr:uid="{00000000-0005-0000-0000-000083010000}"/>
    <cellStyle name="20% - Accent1 6 3 6 3 2" xfId="2304" xr:uid="{00000000-0005-0000-0000-000084010000}"/>
    <cellStyle name="20% - Accent1 6 3 6 4" xfId="2305" xr:uid="{00000000-0005-0000-0000-000085010000}"/>
    <cellStyle name="20% - Accent1 6 3 7" xfId="2306" xr:uid="{00000000-0005-0000-0000-000086010000}"/>
    <cellStyle name="20% - Accent1 6 3 7 2" xfId="2307" xr:uid="{00000000-0005-0000-0000-000087010000}"/>
    <cellStyle name="20% - Accent1 6 3 7 2 2" xfId="2308" xr:uid="{00000000-0005-0000-0000-000088010000}"/>
    <cellStyle name="20% - Accent1 6 3 7 2 2 2" xfId="2309" xr:uid="{00000000-0005-0000-0000-000089010000}"/>
    <cellStyle name="20% - Accent1 6 3 7 2 3" xfId="2310" xr:uid="{00000000-0005-0000-0000-00008A010000}"/>
    <cellStyle name="20% - Accent1 6 3 7 3" xfId="2311" xr:uid="{00000000-0005-0000-0000-00008B010000}"/>
    <cellStyle name="20% - Accent1 6 3 7 3 2" xfId="2312" xr:uid="{00000000-0005-0000-0000-00008C010000}"/>
    <cellStyle name="20% - Accent1 6 3 7 4" xfId="2313" xr:uid="{00000000-0005-0000-0000-00008D010000}"/>
    <cellStyle name="20% - Accent1 6 3 8" xfId="2314" xr:uid="{00000000-0005-0000-0000-00008E010000}"/>
    <cellStyle name="20% - Accent1 6 3 8 2" xfId="2315" xr:uid="{00000000-0005-0000-0000-00008F010000}"/>
    <cellStyle name="20% - Accent1 6 3 8 2 2" xfId="2316" xr:uid="{00000000-0005-0000-0000-000090010000}"/>
    <cellStyle name="20% - Accent1 6 3 8 2 2 2" xfId="2317" xr:uid="{00000000-0005-0000-0000-000091010000}"/>
    <cellStyle name="20% - Accent1 6 3 8 2 3" xfId="2318" xr:uid="{00000000-0005-0000-0000-000092010000}"/>
    <cellStyle name="20% - Accent1 6 3 8 3" xfId="2319" xr:uid="{00000000-0005-0000-0000-000093010000}"/>
    <cellStyle name="20% - Accent1 6 3 8 3 2" xfId="2320" xr:uid="{00000000-0005-0000-0000-000094010000}"/>
    <cellStyle name="20% - Accent1 6 3 8 4" xfId="2321" xr:uid="{00000000-0005-0000-0000-000095010000}"/>
    <cellStyle name="20% - Accent1 6 3 9" xfId="2322" xr:uid="{00000000-0005-0000-0000-000096010000}"/>
    <cellStyle name="20% - Accent1 6 3 9 2" xfId="2323" xr:uid="{00000000-0005-0000-0000-000097010000}"/>
    <cellStyle name="20% - Accent1 6 3 9 2 2" xfId="2324" xr:uid="{00000000-0005-0000-0000-000098010000}"/>
    <cellStyle name="20% - Accent1 6 3 9 3" xfId="2325" xr:uid="{00000000-0005-0000-0000-000099010000}"/>
    <cellStyle name="20% - Accent1 6 4" xfId="811" xr:uid="{00000000-0005-0000-0000-00009A010000}"/>
    <cellStyle name="20% - Accent1 6 4 10" xfId="2327" xr:uid="{00000000-0005-0000-0000-00009B010000}"/>
    <cellStyle name="20% - Accent1 6 4 11" xfId="2326" xr:uid="{00000000-0005-0000-0000-00009C010000}"/>
    <cellStyle name="20% - Accent1 6 4 2" xfId="1569" xr:uid="{00000000-0005-0000-0000-00009D010000}"/>
    <cellStyle name="20% - Accent1 6 4 2 2" xfId="2329" xr:uid="{00000000-0005-0000-0000-00009E010000}"/>
    <cellStyle name="20% - Accent1 6 4 2 2 2" xfId="2330" xr:uid="{00000000-0005-0000-0000-00009F010000}"/>
    <cellStyle name="20% - Accent1 6 4 2 2 2 2" xfId="2331" xr:uid="{00000000-0005-0000-0000-0000A0010000}"/>
    <cellStyle name="20% - Accent1 6 4 2 2 2 2 2" xfId="2332" xr:uid="{00000000-0005-0000-0000-0000A1010000}"/>
    <cellStyle name="20% - Accent1 6 4 2 2 2 3" xfId="2333" xr:uid="{00000000-0005-0000-0000-0000A2010000}"/>
    <cellStyle name="20% - Accent1 6 4 2 2 3" xfId="2334" xr:uid="{00000000-0005-0000-0000-0000A3010000}"/>
    <cellStyle name="20% - Accent1 6 4 2 2 3 2" xfId="2335" xr:uid="{00000000-0005-0000-0000-0000A4010000}"/>
    <cellStyle name="20% - Accent1 6 4 2 2 4" xfId="2336" xr:uid="{00000000-0005-0000-0000-0000A5010000}"/>
    <cellStyle name="20% - Accent1 6 4 2 3" xfId="2337" xr:uid="{00000000-0005-0000-0000-0000A6010000}"/>
    <cellStyle name="20% - Accent1 6 4 2 3 2" xfId="2338" xr:uid="{00000000-0005-0000-0000-0000A7010000}"/>
    <cellStyle name="20% - Accent1 6 4 2 3 2 2" xfId="2339" xr:uid="{00000000-0005-0000-0000-0000A8010000}"/>
    <cellStyle name="20% - Accent1 6 4 2 3 2 2 2" xfId="2340" xr:uid="{00000000-0005-0000-0000-0000A9010000}"/>
    <cellStyle name="20% - Accent1 6 4 2 3 2 3" xfId="2341" xr:uid="{00000000-0005-0000-0000-0000AA010000}"/>
    <cellStyle name="20% - Accent1 6 4 2 3 3" xfId="2342" xr:uid="{00000000-0005-0000-0000-0000AB010000}"/>
    <cellStyle name="20% - Accent1 6 4 2 3 3 2" xfId="2343" xr:uid="{00000000-0005-0000-0000-0000AC010000}"/>
    <cellStyle name="20% - Accent1 6 4 2 3 4" xfId="2344" xr:uid="{00000000-0005-0000-0000-0000AD010000}"/>
    <cellStyle name="20% - Accent1 6 4 2 4" xfId="2345" xr:uid="{00000000-0005-0000-0000-0000AE010000}"/>
    <cellStyle name="20% - Accent1 6 4 2 4 2" xfId="2346" xr:uid="{00000000-0005-0000-0000-0000AF010000}"/>
    <cellStyle name="20% - Accent1 6 4 2 4 2 2" xfId="2347" xr:uid="{00000000-0005-0000-0000-0000B0010000}"/>
    <cellStyle name="20% - Accent1 6 4 2 4 3" xfId="2348" xr:uid="{00000000-0005-0000-0000-0000B1010000}"/>
    <cellStyle name="20% - Accent1 6 4 2 5" xfId="2349" xr:uid="{00000000-0005-0000-0000-0000B2010000}"/>
    <cellStyle name="20% - Accent1 6 4 2 5 2" xfId="2350" xr:uid="{00000000-0005-0000-0000-0000B3010000}"/>
    <cellStyle name="20% - Accent1 6 4 2 6" xfId="2351" xr:uid="{00000000-0005-0000-0000-0000B4010000}"/>
    <cellStyle name="20% - Accent1 6 4 2 7" xfId="2328" xr:uid="{00000000-0005-0000-0000-0000B5010000}"/>
    <cellStyle name="20% - Accent1 6 4 3" xfId="2352" xr:uid="{00000000-0005-0000-0000-0000B6010000}"/>
    <cellStyle name="20% - Accent1 6 4 3 2" xfId="2353" xr:uid="{00000000-0005-0000-0000-0000B7010000}"/>
    <cellStyle name="20% - Accent1 6 4 3 2 2" xfId="2354" xr:uid="{00000000-0005-0000-0000-0000B8010000}"/>
    <cellStyle name="20% - Accent1 6 4 3 2 2 2" xfId="2355" xr:uid="{00000000-0005-0000-0000-0000B9010000}"/>
    <cellStyle name="20% - Accent1 6 4 3 2 2 2 2" xfId="2356" xr:uid="{00000000-0005-0000-0000-0000BA010000}"/>
    <cellStyle name="20% - Accent1 6 4 3 2 2 3" xfId="2357" xr:uid="{00000000-0005-0000-0000-0000BB010000}"/>
    <cellStyle name="20% - Accent1 6 4 3 2 3" xfId="2358" xr:uid="{00000000-0005-0000-0000-0000BC010000}"/>
    <cellStyle name="20% - Accent1 6 4 3 2 3 2" xfId="2359" xr:uid="{00000000-0005-0000-0000-0000BD010000}"/>
    <cellStyle name="20% - Accent1 6 4 3 2 4" xfId="2360" xr:uid="{00000000-0005-0000-0000-0000BE010000}"/>
    <cellStyle name="20% - Accent1 6 4 3 3" xfId="2361" xr:uid="{00000000-0005-0000-0000-0000BF010000}"/>
    <cellStyle name="20% - Accent1 6 4 3 3 2" xfId="2362" xr:uid="{00000000-0005-0000-0000-0000C0010000}"/>
    <cellStyle name="20% - Accent1 6 4 3 3 2 2" xfId="2363" xr:uid="{00000000-0005-0000-0000-0000C1010000}"/>
    <cellStyle name="20% - Accent1 6 4 3 3 3" xfId="2364" xr:uid="{00000000-0005-0000-0000-0000C2010000}"/>
    <cellStyle name="20% - Accent1 6 4 3 4" xfId="2365" xr:uid="{00000000-0005-0000-0000-0000C3010000}"/>
    <cellStyle name="20% - Accent1 6 4 3 4 2" xfId="2366" xr:uid="{00000000-0005-0000-0000-0000C4010000}"/>
    <cellStyle name="20% - Accent1 6 4 3 5" xfId="2367" xr:uid="{00000000-0005-0000-0000-0000C5010000}"/>
    <cellStyle name="20% - Accent1 6 4 4" xfId="2368" xr:uid="{00000000-0005-0000-0000-0000C6010000}"/>
    <cellStyle name="20% - Accent1 6 4 4 2" xfId="2369" xr:uid="{00000000-0005-0000-0000-0000C7010000}"/>
    <cellStyle name="20% - Accent1 6 4 4 2 2" xfId="2370" xr:uid="{00000000-0005-0000-0000-0000C8010000}"/>
    <cellStyle name="20% - Accent1 6 4 4 2 2 2" xfId="2371" xr:uid="{00000000-0005-0000-0000-0000C9010000}"/>
    <cellStyle name="20% - Accent1 6 4 4 2 2 2 2" xfId="2372" xr:uid="{00000000-0005-0000-0000-0000CA010000}"/>
    <cellStyle name="20% - Accent1 6 4 4 2 2 3" xfId="2373" xr:uid="{00000000-0005-0000-0000-0000CB010000}"/>
    <cellStyle name="20% - Accent1 6 4 4 2 3" xfId="2374" xr:uid="{00000000-0005-0000-0000-0000CC010000}"/>
    <cellStyle name="20% - Accent1 6 4 4 2 3 2" xfId="2375" xr:uid="{00000000-0005-0000-0000-0000CD010000}"/>
    <cellStyle name="20% - Accent1 6 4 4 2 4" xfId="2376" xr:uid="{00000000-0005-0000-0000-0000CE010000}"/>
    <cellStyle name="20% - Accent1 6 4 4 3" xfId="2377" xr:uid="{00000000-0005-0000-0000-0000CF010000}"/>
    <cellStyle name="20% - Accent1 6 4 4 3 2" xfId="2378" xr:uid="{00000000-0005-0000-0000-0000D0010000}"/>
    <cellStyle name="20% - Accent1 6 4 4 3 2 2" xfId="2379" xr:uid="{00000000-0005-0000-0000-0000D1010000}"/>
    <cellStyle name="20% - Accent1 6 4 4 3 3" xfId="2380" xr:uid="{00000000-0005-0000-0000-0000D2010000}"/>
    <cellStyle name="20% - Accent1 6 4 4 4" xfId="2381" xr:uid="{00000000-0005-0000-0000-0000D3010000}"/>
    <cellStyle name="20% - Accent1 6 4 4 4 2" xfId="2382" xr:uid="{00000000-0005-0000-0000-0000D4010000}"/>
    <cellStyle name="20% - Accent1 6 4 4 5" xfId="2383" xr:uid="{00000000-0005-0000-0000-0000D5010000}"/>
    <cellStyle name="20% - Accent1 6 4 5" xfId="2384" xr:uid="{00000000-0005-0000-0000-0000D6010000}"/>
    <cellStyle name="20% - Accent1 6 4 5 2" xfId="2385" xr:uid="{00000000-0005-0000-0000-0000D7010000}"/>
    <cellStyle name="20% - Accent1 6 4 5 2 2" xfId="2386" xr:uid="{00000000-0005-0000-0000-0000D8010000}"/>
    <cellStyle name="20% - Accent1 6 4 5 2 2 2" xfId="2387" xr:uid="{00000000-0005-0000-0000-0000D9010000}"/>
    <cellStyle name="20% - Accent1 6 4 5 2 3" xfId="2388" xr:uid="{00000000-0005-0000-0000-0000DA010000}"/>
    <cellStyle name="20% - Accent1 6 4 5 3" xfId="2389" xr:uid="{00000000-0005-0000-0000-0000DB010000}"/>
    <cellStyle name="20% - Accent1 6 4 5 3 2" xfId="2390" xr:uid="{00000000-0005-0000-0000-0000DC010000}"/>
    <cellStyle name="20% - Accent1 6 4 5 4" xfId="2391" xr:uid="{00000000-0005-0000-0000-0000DD010000}"/>
    <cellStyle name="20% - Accent1 6 4 6" xfId="2392" xr:uid="{00000000-0005-0000-0000-0000DE010000}"/>
    <cellStyle name="20% - Accent1 6 4 6 2" xfId="2393" xr:uid="{00000000-0005-0000-0000-0000DF010000}"/>
    <cellStyle name="20% - Accent1 6 4 6 2 2" xfId="2394" xr:uid="{00000000-0005-0000-0000-0000E0010000}"/>
    <cellStyle name="20% - Accent1 6 4 6 2 2 2" xfId="2395" xr:uid="{00000000-0005-0000-0000-0000E1010000}"/>
    <cellStyle name="20% - Accent1 6 4 6 2 3" xfId="2396" xr:uid="{00000000-0005-0000-0000-0000E2010000}"/>
    <cellStyle name="20% - Accent1 6 4 6 3" xfId="2397" xr:uid="{00000000-0005-0000-0000-0000E3010000}"/>
    <cellStyle name="20% - Accent1 6 4 6 3 2" xfId="2398" xr:uid="{00000000-0005-0000-0000-0000E4010000}"/>
    <cellStyle name="20% - Accent1 6 4 6 4" xfId="2399" xr:uid="{00000000-0005-0000-0000-0000E5010000}"/>
    <cellStyle name="20% - Accent1 6 4 7" xfId="2400" xr:uid="{00000000-0005-0000-0000-0000E6010000}"/>
    <cellStyle name="20% - Accent1 6 4 7 2" xfId="2401" xr:uid="{00000000-0005-0000-0000-0000E7010000}"/>
    <cellStyle name="20% - Accent1 6 4 7 2 2" xfId="2402" xr:uid="{00000000-0005-0000-0000-0000E8010000}"/>
    <cellStyle name="20% - Accent1 6 4 7 2 2 2" xfId="2403" xr:uid="{00000000-0005-0000-0000-0000E9010000}"/>
    <cellStyle name="20% - Accent1 6 4 7 2 3" xfId="2404" xr:uid="{00000000-0005-0000-0000-0000EA010000}"/>
    <cellStyle name="20% - Accent1 6 4 7 3" xfId="2405" xr:uid="{00000000-0005-0000-0000-0000EB010000}"/>
    <cellStyle name="20% - Accent1 6 4 7 3 2" xfId="2406" xr:uid="{00000000-0005-0000-0000-0000EC010000}"/>
    <cellStyle name="20% - Accent1 6 4 7 4" xfId="2407" xr:uid="{00000000-0005-0000-0000-0000ED010000}"/>
    <cellStyle name="20% - Accent1 6 4 8" xfId="2408" xr:uid="{00000000-0005-0000-0000-0000EE010000}"/>
    <cellStyle name="20% - Accent1 6 4 8 2" xfId="2409" xr:uid="{00000000-0005-0000-0000-0000EF010000}"/>
    <cellStyle name="20% - Accent1 6 4 8 2 2" xfId="2410" xr:uid="{00000000-0005-0000-0000-0000F0010000}"/>
    <cellStyle name="20% - Accent1 6 4 8 3" xfId="2411" xr:uid="{00000000-0005-0000-0000-0000F1010000}"/>
    <cellStyle name="20% - Accent1 6 4 9" xfId="2412" xr:uid="{00000000-0005-0000-0000-0000F2010000}"/>
    <cellStyle name="20% - Accent1 6 4 9 2" xfId="2413" xr:uid="{00000000-0005-0000-0000-0000F3010000}"/>
    <cellStyle name="20% - Accent1 6 5" xfId="1244" xr:uid="{00000000-0005-0000-0000-0000F4010000}"/>
    <cellStyle name="20% - Accent1 6 5 2" xfId="2415" xr:uid="{00000000-0005-0000-0000-0000F5010000}"/>
    <cellStyle name="20% - Accent1 6 5 2 2" xfId="2416" xr:uid="{00000000-0005-0000-0000-0000F6010000}"/>
    <cellStyle name="20% - Accent1 6 5 2 2 2" xfId="2417" xr:uid="{00000000-0005-0000-0000-0000F7010000}"/>
    <cellStyle name="20% - Accent1 6 5 2 2 2 2" xfId="2418" xr:uid="{00000000-0005-0000-0000-0000F8010000}"/>
    <cellStyle name="20% - Accent1 6 5 2 2 3" xfId="2419" xr:uid="{00000000-0005-0000-0000-0000F9010000}"/>
    <cellStyle name="20% - Accent1 6 5 2 3" xfId="2420" xr:uid="{00000000-0005-0000-0000-0000FA010000}"/>
    <cellStyle name="20% - Accent1 6 5 2 3 2" xfId="2421" xr:uid="{00000000-0005-0000-0000-0000FB010000}"/>
    <cellStyle name="20% - Accent1 6 5 2 4" xfId="2422" xr:uid="{00000000-0005-0000-0000-0000FC010000}"/>
    <cellStyle name="20% - Accent1 6 5 3" xfId="2423" xr:uid="{00000000-0005-0000-0000-0000FD010000}"/>
    <cellStyle name="20% - Accent1 6 5 3 2" xfId="2424" xr:uid="{00000000-0005-0000-0000-0000FE010000}"/>
    <cellStyle name="20% - Accent1 6 5 3 2 2" xfId="2425" xr:uid="{00000000-0005-0000-0000-0000FF010000}"/>
    <cellStyle name="20% - Accent1 6 5 3 2 2 2" xfId="2426" xr:uid="{00000000-0005-0000-0000-000000020000}"/>
    <cellStyle name="20% - Accent1 6 5 3 2 3" xfId="2427" xr:uid="{00000000-0005-0000-0000-000001020000}"/>
    <cellStyle name="20% - Accent1 6 5 3 3" xfId="2428" xr:uid="{00000000-0005-0000-0000-000002020000}"/>
    <cellStyle name="20% - Accent1 6 5 3 3 2" xfId="2429" xr:uid="{00000000-0005-0000-0000-000003020000}"/>
    <cellStyle name="20% - Accent1 6 5 3 4" xfId="2430" xr:uid="{00000000-0005-0000-0000-000004020000}"/>
    <cellStyle name="20% - Accent1 6 5 4" xfId="2431" xr:uid="{00000000-0005-0000-0000-000005020000}"/>
    <cellStyle name="20% - Accent1 6 5 4 2" xfId="2432" xr:uid="{00000000-0005-0000-0000-000006020000}"/>
    <cellStyle name="20% - Accent1 6 5 4 2 2" xfId="2433" xr:uid="{00000000-0005-0000-0000-000007020000}"/>
    <cellStyle name="20% - Accent1 6 5 4 3" xfId="2434" xr:uid="{00000000-0005-0000-0000-000008020000}"/>
    <cellStyle name="20% - Accent1 6 5 5" xfId="2435" xr:uid="{00000000-0005-0000-0000-000009020000}"/>
    <cellStyle name="20% - Accent1 6 5 5 2" xfId="2436" xr:uid="{00000000-0005-0000-0000-00000A020000}"/>
    <cellStyle name="20% - Accent1 6 5 6" xfId="2437" xr:uid="{00000000-0005-0000-0000-00000B020000}"/>
    <cellStyle name="20% - Accent1 6 5 7" xfId="2414" xr:uid="{00000000-0005-0000-0000-00000C020000}"/>
    <cellStyle name="20% - Accent1 6 6" xfId="2438" xr:uid="{00000000-0005-0000-0000-00000D020000}"/>
    <cellStyle name="20% - Accent1 6 6 2" xfId="2439" xr:uid="{00000000-0005-0000-0000-00000E020000}"/>
    <cellStyle name="20% - Accent1 6 6 2 2" xfId="2440" xr:uid="{00000000-0005-0000-0000-00000F020000}"/>
    <cellStyle name="20% - Accent1 6 6 2 2 2" xfId="2441" xr:uid="{00000000-0005-0000-0000-000010020000}"/>
    <cellStyle name="20% - Accent1 6 6 2 2 2 2" xfId="2442" xr:uid="{00000000-0005-0000-0000-000011020000}"/>
    <cellStyle name="20% - Accent1 6 6 2 2 3" xfId="2443" xr:uid="{00000000-0005-0000-0000-000012020000}"/>
    <cellStyle name="20% - Accent1 6 6 2 3" xfId="2444" xr:uid="{00000000-0005-0000-0000-000013020000}"/>
    <cellStyle name="20% - Accent1 6 6 2 3 2" xfId="2445" xr:uid="{00000000-0005-0000-0000-000014020000}"/>
    <cellStyle name="20% - Accent1 6 6 2 4" xfId="2446" xr:uid="{00000000-0005-0000-0000-000015020000}"/>
    <cellStyle name="20% - Accent1 6 6 3" xfId="2447" xr:uid="{00000000-0005-0000-0000-000016020000}"/>
    <cellStyle name="20% - Accent1 6 6 3 2" xfId="2448" xr:uid="{00000000-0005-0000-0000-000017020000}"/>
    <cellStyle name="20% - Accent1 6 6 3 2 2" xfId="2449" xr:uid="{00000000-0005-0000-0000-000018020000}"/>
    <cellStyle name="20% - Accent1 6 6 3 3" xfId="2450" xr:uid="{00000000-0005-0000-0000-000019020000}"/>
    <cellStyle name="20% - Accent1 6 6 4" xfId="2451" xr:uid="{00000000-0005-0000-0000-00001A020000}"/>
    <cellStyle name="20% - Accent1 6 6 4 2" xfId="2452" xr:uid="{00000000-0005-0000-0000-00001B020000}"/>
    <cellStyle name="20% - Accent1 6 6 5" xfId="2453" xr:uid="{00000000-0005-0000-0000-00001C020000}"/>
    <cellStyle name="20% - Accent1 6 7" xfId="2454" xr:uid="{00000000-0005-0000-0000-00001D020000}"/>
    <cellStyle name="20% - Accent1 6 7 2" xfId="2455" xr:uid="{00000000-0005-0000-0000-00001E020000}"/>
    <cellStyle name="20% - Accent1 6 7 2 2" xfId="2456" xr:uid="{00000000-0005-0000-0000-00001F020000}"/>
    <cellStyle name="20% - Accent1 6 7 2 2 2" xfId="2457" xr:uid="{00000000-0005-0000-0000-000020020000}"/>
    <cellStyle name="20% - Accent1 6 7 2 2 2 2" xfId="2458" xr:uid="{00000000-0005-0000-0000-000021020000}"/>
    <cellStyle name="20% - Accent1 6 7 2 2 3" xfId="2459" xr:uid="{00000000-0005-0000-0000-000022020000}"/>
    <cellStyle name="20% - Accent1 6 7 2 3" xfId="2460" xr:uid="{00000000-0005-0000-0000-000023020000}"/>
    <cellStyle name="20% - Accent1 6 7 2 3 2" xfId="2461" xr:uid="{00000000-0005-0000-0000-000024020000}"/>
    <cellStyle name="20% - Accent1 6 7 2 4" xfId="2462" xr:uid="{00000000-0005-0000-0000-000025020000}"/>
    <cellStyle name="20% - Accent1 6 7 3" xfId="2463" xr:uid="{00000000-0005-0000-0000-000026020000}"/>
    <cellStyle name="20% - Accent1 6 7 3 2" xfId="2464" xr:uid="{00000000-0005-0000-0000-000027020000}"/>
    <cellStyle name="20% - Accent1 6 7 3 2 2" xfId="2465" xr:uid="{00000000-0005-0000-0000-000028020000}"/>
    <cellStyle name="20% - Accent1 6 7 3 3" xfId="2466" xr:uid="{00000000-0005-0000-0000-000029020000}"/>
    <cellStyle name="20% - Accent1 6 7 4" xfId="2467" xr:uid="{00000000-0005-0000-0000-00002A020000}"/>
    <cellStyle name="20% - Accent1 6 7 4 2" xfId="2468" xr:uid="{00000000-0005-0000-0000-00002B020000}"/>
    <cellStyle name="20% - Accent1 6 7 5" xfId="2469" xr:uid="{00000000-0005-0000-0000-00002C020000}"/>
    <cellStyle name="20% - Accent1 6 8" xfId="2470" xr:uid="{00000000-0005-0000-0000-00002D020000}"/>
    <cellStyle name="20% - Accent1 6 8 2" xfId="2471" xr:uid="{00000000-0005-0000-0000-00002E020000}"/>
    <cellStyle name="20% - Accent1 6 8 2 2" xfId="2472" xr:uid="{00000000-0005-0000-0000-00002F020000}"/>
    <cellStyle name="20% - Accent1 6 8 2 2 2" xfId="2473" xr:uid="{00000000-0005-0000-0000-000030020000}"/>
    <cellStyle name="20% - Accent1 6 8 2 3" xfId="2474" xr:uid="{00000000-0005-0000-0000-000031020000}"/>
    <cellStyle name="20% - Accent1 6 8 3" xfId="2475" xr:uid="{00000000-0005-0000-0000-000032020000}"/>
    <cellStyle name="20% - Accent1 6 8 3 2" xfId="2476" xr:uid="{00000000-0005-0000-0000-000033020000}"/>
    <cellStyle name="20% - Accent1 6 8 4" xfId="2477" xr:uid="{00000000-0005-0000-0000-000034020000}"/>
    <cellStyle name="20% - Accent1 6 9" xfId="2478" xr:uid="{00000000-0005-0000-0000-000035020000}"/>
    <cellStyle name="20% - Accent1 6 9 2" xfId="2479" xr:uid="{00000000-0005-0000-0000-000036020000}"/>
    <cellStyle name="20% - Accent1 6 9 2 2" xfId="2480" xr:uid="{00000000-0005-0000-0000-000037020000}"/>
    <cellStyle name="20% - Accent1 6 9 2 2 2" xfId="2481" xr:uid="{00000000-0005-0000-0000-000038020000}"/>
    <cellStyle name="20% - Accent1 6 9 2 3" xfId="2482" xr:uid="{00000000-0005-0000-0000-000039020000}"/>
    <cellStyle name="20% - Accent1 6 9 3" xfId="2483" xr:uid="{00000000-0005-0000-0000-00003A020000}"/>
    <cellStyle name="20% - Accent1 6 9 3 2" xfId="2484" xr:uid="{00000000-0005-0000-0000-00003B020000}"/>
    <cellStyle name="20% - Accent1 6 9 4" xfId="2485" xr:uid="{00000000-0005-0000-0000-00003C020000}"/>
    <cellStyle name="20% - Accent1 7" xfId="42" xr:uid="{00000000-0005-0000-0000-00003D020000}"/>
    <cellStyle name="20% - Accent1 8" xfId="43" xr:uid="{00000000-0005-0000-0000-00003E020000}"/>
    <cellStyle name="20% - Accent1 8 2" xfId="2486" xr:uid="{00000000-0005-0000-0000-00003F020000}"/>
    <cellStyle name="20% - Accent1 8 2 2" xfId="2487" xr:uid="{00000000-0005-0000-0000-000040020000}"/>
    <cellStyle name="20% - Accent1 8 3" xfId="2488" xr:uid="{00000000-0005-0000-0000-000041020000}"/>
    <cellStyle name="20% - Accent1 9" xfId="2489" xr:uid="{00000000-0005-0000-0000-000042020000}"/>
    <cellStyle name="20% - Accent1 9 2" xfId="2490" xr:uid="{00000000-0005-0000-0000-000043020000}"/>
    <cellStyle name="20% - Accent1 9 2 2" xfId="2491" xr:uid="{00000000-0005-0000-0000-000044020000}"/>
    <cellStyle name="20% - Accent1 9 3" xfId="2492" xr:uid="{00000000-0005-0000-0000-000045020000}"/>
    <cellStyle name="20% - Accent2 10" xfId="2493" xr:uid="{00000000-0005-0000-0000-000046020000}"/>
    <cellStyle name="20% - Accent2 2" xfId="44" xr:uid="{00000000-0005-0000-0000-000047020000}"/>
    <cellStyle name="20% - Accent2 2 2" xfId="45" xr:uid="{00000000-0005-0000-0000-000048020000}"/>
    <cellStyle name="20% - Accent2 3" xfId="46" xr:uid="{00000000-0005-0000-0000-000049020000}"/>
    <cellStyle name="20% - Accent2 4" xfId="47" xr:uid="{00000000-0005-0000-0000-00004A020000}"/>
    <cellStyle name="20% - Accent2 5" xfId="48" xr:uid="{00000000-0005-0000-0000-00004B020000}"/>
    <cellStyle name="20% - Accent2 6" xfId="49" xr:uid="{00000000-0005-0000-0000-00004C020000}"/>
    <cellStyle name="20% - Accent2 6 10" xfId="2495" xr:uid="{00000000-0005-0000-0000-00004D020000}"/>
    <cellStyle name="20% - Accent2 6 10 2" xfId="2496" xr:uid="{00000000-0005-0000-0000-00004E020000}"/>
    <cellStyle name="20% - Accent2 6 10 2 2" xfId="2497" xr:uid="{00000000-0005-0000-0000-00004F020000}"/>
    <cellStyle name="20% - Accent2 6 10 2 2 2" xfId="2498" xr:uid="{00000000-0005-0000-0000-000050020000}"/>
    <cellStyle name="20% - Accent2 6 10 2 3" xfId="2499" xr:uid="{00000000-0005-0000-0000-000051020000}"/>
    <cellStyle name="20% - Accent2 6 10 3" xfId="2500" xr:uid="{00000000-0005-0000-0000-000052020000}"/>
    <cellStyle name="20% - Accent2 6 10 3 2" xfId="2501" xr:uid="{00000000-0005-0000-0000-000053020000}"/>
    <cellStyle name="20% - Accent2 6 10 4" xfId="2502" xr:uid="{00000000-0005-0000-0000-000054020000}"/>
    <cellStyle name="20% - Accent2 6 11" xfId="2503" xr:uid="{00000000-0005-0000-0000-000055020000}"/>
    <cellStyle name="20% - Accent2 6 11 2" xfId="2504" xr:uid="{00000000-0005-0000-0000-000056020000}"/>
    <cellStyle name="20% - Accent2 6 11 2 2" xfId="2505" xr:uid="{00000000-0005-0000-0000-000057020000}"/>
    <cellStyle name="20% - Accent2 6 11 3" xfId="2506" xr:uid="{00000000-0005-0000-0000-000058020000}"/>
    <cellStyle name="20% - Accent2 6 12" xfId="2507" xr:uid="{00000000-0005-0000-0000-000059020000}"/>
    <cellStyle name="20% - Accent2 6 12 2" xfId="2508" xr:uid="{00000000-0005-0000-0000-00005A020000}"/>
    <cellStyle name="20% - Accent2 6 12 2 2" xfId="2509" xr:uid="{00000000-0005-0000-0000-00005B020000}"/>
    <cellStyle name="20% - Accent2 6 12 3" xfId="2510" xr:uid="{00000000-0005-0000-0000-00005C020000}"/>
    <cellStyle name="20% - Accent2 6 13" xfId="2511" xr:uid="{00000000-0005-0000-0000-00005D020000}"/>
    <cellStyle name="20% - Accent2 6 13 2" xfId="2512" xr:uid="{00000000-0005-0000-0000-00005E020000}"/>
    <cellStyle name="20% - Accent2 6 13 2 2" xfId="2513" xr:uid="{00000000-0005-0000-0000-00005F020000}"/>
    <cellStyle name="20% - Accent2 6 13 3" xfId="2514" xr:uid="{00000000-0005-0000-0000-000060020000}"/>
    <cellStyle name="20% - Accent2 6 14" xfId="2515" xr:uid="{00000000-0005-0000-0000-000061020000}"/>
    <cellStyle name="20% - Accent2 6 14 2" xfId="2516" xr:uid="{00000000-0005-0000-0000-000062020000}"/>
    <cellStyle name="20% - Accent2 6 15" xfId="2517" xr:uid="{00000000-0005-0000-0000-000063020000}"/>
    <cellStyle name="20% - Accent2 6 16" xfId="2518" xr:uid="{00000000-0005-0000-0000-000064020000}"/>
    <cellStyle name="20% - Accent2 6 17" xfId="2494" xr:uid="{00000000-0005-0000-0000-000065020000}"/>
    <cellStyle name="20% - Accent2 6 2" xfId="50" xr:uid="{00000000-0005-0000-0000-000066020000}"/>
    <cellStyle name="20% - Accent2 6 2 10" xfId="2520" xr:uid="{00000000-0005-0000-0000-000067020000}"/>
    <cellStyle name="20% - Accent2 6 2 10 2" xfId="2521" xr:uid="{00000000-0005-0000-0000-000068020000}"/>
    <cellStyle name="20% - Accent2 6 2 10 2 2" xfId="2522" xr:uid="{00000000-0005-0000-0000-000069020000}"/>
    <cellStyle name="20% - Accent2 6 2 10 3" xfId="2523" xr:uid="{00000000-0005-0000-0000-00006A020000}"/>
    <cellStyle name="20% - Accent2 6 2 11" xfId="2524" xr:uid="{00000000-0005-0000-0000-00006B020000}"/>
    <cellStyle name="20% - Accent2 6 2 11 2" xfId="2525" xr:uid="{00000000-0005-0000-0000-00006C020000}"/>
    <cellStyle name="20% - Accent2 6 2 11 2 2" xfId="2526" xr:uid="{00000000-0005-0000-0000-00006D020000}"/>
    <cellStyle name="20% - Accent2 6 2 11 3" xfId="2527" xr:uid="{00000000-0005-0000-0000-00006E020000}"/>
    <cellStyle name="20% - Accent2 6 2 12" xfId="2528" xr:uid="{00000000-0005-0000-0000-00006F020000}"/>
    <cellStyle name="20% - Accent2 6 2 12 2" xfId="2529" xr:uid="{00000000-0005-0000-0000-000070020000}"/>
    <cellStyle name="20% - Accent2 6 2 13" xfId="2530" xr:uid="{00000000-0005-0000-0000-000071020000}"/>
    <cellStyle name="20% - Accent2 6 2 14" xfId="2531" xr:uid="{00000000-0005-0000-0000-000072020000}"/>
    <cellStyle name="20% - Accent2 6 2 15" xfId="2519" xr:uid="{00000000-0005-0000-0000-000073020000}"/>
    <cellStyle name="20% - Accent2 6 2 2" xfId="815" xr:uid="{00000000-0005-0000-0000-000074020000}"/>
    <cellStyle name="20% - Accent2 6 2 2 10" xfId="2533" xr:uid="{00000000-0005-0000-0000-000075020000}"/>
    <cellStyle name="20% - Accent2 6 2 2 11" xfId="2532" xr:uid="{00000000-0005-0000-0000-000076020000}"/>
    <cellStyle name="20% - Accent2 6 2 2 2" xfId="1573" xr:uid="{00000000-0005-0000-0000-000077020000}"/>
    <cellStyle name="20% - Accent2 6 2 2 2 2" xfId="2535" xr:uid="{00000000-0005-0000-0000-000078020000}"/>
    <cellStyle name="20% - Accent2 6 2 2 2 2 2" xfId="2536" xr:uid="{00000000-0005-0000-0000-000079020000}"/>
    <cellStyle name="20% - Accent2 6 2 2 2 2 2 2" xfId="2537" xr:uid="{00000000-0005-0000-0000-00007A020000}"/>
    <cellStyle name="20% - Accent2 6 2 2 2 2 2 2 2" xfId="2538" xr:uid="{00000000-0005-0000-0000-00007B020000}"/>
    <cellStyle name="20% - Accent2 6 2 2 2 2 2 3" xfId="2539" xr:uid="{00000000-0005-0000-0000-00007C020000}"/>
    <cellStyle name="20% - Accent2 6 2 2 2 2 3" xfId="2540" xr:uid="{00000000-0005-0000-0000-00007D020000}"/>
    <cellStyle name="20% - Accent2 6 2 2 2 2 3 2" xfId="2541" xr:uid="{00000000-0005-0000-0000-00007E020000}"/>
    <cellStyle name="20% - Accent2 6 2 2 2 2 4" xfId="2542" xr:uid="{00000000-0005-0000-0000-00007F020000}"/>
    <cellStyle name="20% - Accent2 6 2 2 2 3" xfId="2543" xr:uid="{00000000-0005-0000-0000-000080020000}"/>
    <cellStyle name="20% - Accent2 6 2 2 2 3 2" xfId="2544" xr:uid="{00000000-0005-0000-0000-000081020000}"/>
    <cellStyle name="20% - Accent2 6 2 2 2 3 2 2" xfId="2545" xr:uid="{00000000-0005-0000-0000-000082020000}"/>
    <cellStyle name="20% - Accent2 6 2 2 2 3 2 2 2" xfId="2546" xr:uid="{00000000-0005-0000-0000-000083020000}"/>
    <cellStyle name="20% - Accent2 6 2 2 2 3 2 3" xfId="2547" xr:uid="{00000000-0005-0000-0000-000084020000}"/>
    <cellStyle name="20% - Accent2 6 2 2 2 3 3" xfId="2548" xr:uid="{00000000-0005-0000-0000-000085020000}"/>
    <cellStyle name="20% - Accent2 6 2 2 2 3 3 2" xfId="2549" xr:uid="{00000000-0005-0000-0000-000086020000}"/>
    <cellStyle name="20% - Accent2 6 2 2 2 3 4" xfId="2550" xr:uid="{00000000-0005-0000-0000-000087020000}"/>
    <cellStyle name="20% - Accent2 6 2 2 2 4" xfId="2551" xr:uid="{00000000-0005-0000-0000-000088020000}"/>
    <cellStyle name="20% - Accent2 6 2 2 2 4 2" xfId="2552" xr:uid="{00000000-0005-0000-0000-000089020000}"/>
    <cellStyle name="20% - Accent2 6 2 2 2 4 2 2" xfId="2553" xr:uid="{00000000-0005-0000-0000-00008A020000}"/>
    <cellStyle name="20% - Accent2 6 2 2 2 4 3" xfId="2554" xr:uid="{00000000-0005-0000-0000-00008B020000}"/>
    <cellStyle name="20% - Accent2 6 2 2 2 5" xfId="2555" xr:uid="{00000000-0005-0000-0000-00008C020000}"/>
    <cellStyle name="20% - Accent2 6 2 2 2 5 2" xfId="2556" xr:uid="{00000000-0005-0000-0000-00008D020000}"/>
    <cellStyle name="20% - Accent2 6 2 2 2 6" xfId="2557" xr:uid="{00000000-0005-0000-0000-00008E020000}"/>
    <cellStyle name="20% - Accent2 6 2 2 2 7" xfId="2534" xr:uid="{00000000-0005-0000-0000-00008F020000}"/>
    <cellStyle name="20% - Accent2 6 2 2 3" xfId="2558" xr:uid="{00000000-0005-0000-0000-000090020000}"/>
    <cellStyle name="20% - Accent2 6 2 2 3 2" xfId="2559" xr:uid="{00000000-0005-0000-0000-000091020000}"/>
    <cellStyle name="20% - Accent2 6 2 2 3 2 2" xfId="2560" xr:uid="{00000000-0005-0000-0000-000092020000}"/>
    <cellStyle name="20% - Accent2 6 2 2 3 2 2 2" xfId="2561" xr:uid="{00000000-0005-0000-0000-000093020000}"/>
    <cellStyle name="20% - Accent2 6 2 2 3 2 2 2 2" xfId="2562" xr:uid="{00000000-0005-0000-0000-000094020000}"/>
    <cellStyle name="20% - Accent2 6 2 2 3 2 2 3" xfId="2563" xr:uid="{00000000-0005-0000-0000-000095020000}"/>
    <cellStyle name="20% - Accent2 6 2 2 3 2 3" xfId="2564" xr:uid="{00000000-0005-0000-0000-000096020000}"/>
    <cellStyle name="20% - Accent2 6 2 2 3 2 3 2" xfId="2565" xr:uid="{00000000-0005-0000-0000-000097020000}"/>
    <cellStyle name="20% - Accent2 6 2 2 3 2 4" xfId="2566" xr:uid="{00000000-0005-0000-0000-000098020000}"/>
    <cellStyle name="20% - Accent2 6 2 2 3 3" xfId="2567" xr:uid="{00000000-0005-0000-0000-000099020000}"/>
    <cellStyle name="20% - Accent2 6 2 2 3 3 2" xfId="2568" xr:uid="{00000000-0005-0000-0000-00009A020000}"/>
    <cellStyle name="20% - Accent2 6 2 2 3 3 2 2" xfId="2569" xr:uid="{00000000-0005-0000-0000-00009B020000}"/>
    <cellStyle name="20% - Accent2 6 2 2 3 3 3" xfId="2570" xr:uid="{00000000-0005-0000-0000-00009C020000}"/>
    <cellStyle name="20% - Accent2 6 2 2 3 4" xfId="2571" xr:uid="{00000000-0005-0000-0000-00009D020000}"/>
    <cellStyle name="20% - Accent2 6 2 2 3 4 2" xfId="2572" xr:uid="{00000000-0005-0000-0000-00009E020000}"/>
    <cellStyle name="20% - Accent2 6 2 2 3 5" xfId="2573" xr:uid="{00000000-0005-0000-0000-00009F020000}"/>
    <cellStyle name="20% - Accent2 6 2 2 4" xfId="2574" xr:uid="{00000000-0005-0000-0000-0000A0020000}"/>
    <cellStyle name="20% - Accent2 6 2 2 4 2" xfId="2575" xr:uid="{00000000-0005-0000-0000-0000A1020000}"/>
    <cellStyle name="20% - Accent2 6 2 2 4 2 2" xfId="2576" xr:uid="{00000000-0005-0000-0000-0000A2020000}"/>
    <cellStyle name="20% - Accent2 6 2 2 4 2 2 2" xfId="2577" xr:uid="{00000000-0005-0000-0000-0000A3020000}"/>
    <cellStyle name="20% - Accent2 6 2 2 4 2 2 2 2" xfId="2578" xr:uid="{00000000-0005-0000-0000-0000A4020000}"/>
    <cellStyle name="20% - Accent2 6 2 2 4 2 2 3" xfId="2579" xr:uid="{00000000-0005-0000-0000-0000A5020000}"/>
    <cellStyle name="20% - Accent2 6 2 2 4 2 3" xfId="2580" xr:uid="{00000000-0005-0000-0000-0000A6020000}"/>
    <cellStyle name="20% - Accent2 6 2 2 4 2 3 2" xfId="2581" xr:uid="{00000000-0005-0000-0000-0000A7020000}"/>
    <cellStyle name="20% - Accent2 6 2 2 4 2 4" xfId="2582" xr:uid="{00000000-0005-0000-0000-0000A8020000}"/>
    <cellStyle name="20% - Accent2 6 2 2 4 3" xfId="2583" xr:uid="{00000000-0005-0000-0000-0000A9020000}"/>
    <cellStyle name="20% - Accent2 6 2 2 4 3 2" xfId="2584" xr:uid="{00000000-0005-0000-0000-0000AA020000}"/>
    <cellStyle name="20% - Accent2 6 2 2 4 3 2 2" xfId="2585" xr:uid="{00000000-0005-0000-0000-0000AB020000}"/>
    <cellStyle name="20% - Accent2 6 2 2 4 3 3" xfId="2586" xr:uid="{00000000-0005-0000-0000-0000AC020000}"/>
    <cellStyle name="20% - Accent2 6 2 2 4 4" xfId="2587" xr:uid="{00000000-0005-0000-0000-0000AD020000}"/>
    <cellStyle name="20% - Accent2 6 2 2 4 4 2" xfId="2588" xr:uid="{00000000-0005-0000-0000-0000AE020000}"/>
    <cellStyle name="20% - Accent2 6 2 2 4 5" xfId="2589" xr:uid="{00000000-0005-0000-0000-0000AF020000}"/>
    <cellStyle name="20% - Accent2 6 2 2 5" xfId="2590" xr:uid="{00000000-0005-0000-0000-0000B0020000}"/>
    <cellStyle name="20% - Accent2 6 2 2 5 2" xfId="2591" xr:uid="{00000000-0005-0000-0000-0000B1020000}"/>
    <cellStyle name="20% - Accent2 6 2 2 5 2 2" xfId="2592" xr:uid="{00000000-0005-0000-0000-0000B2020000}"/>
    <cellStyle name="20% - Accent2 6 2 2 5 2 2 2" xfId="2593" xr:uid="{00000000-0005-0000-0000-0000B3020000}"/>
    <cellStyle name="20% - Accent2 6 2 2 5 2 3" xfId="2594" xr:uid="{00000000-0005-0000-0000-0000B4020000}"/>
    <cellStyle name="20% - Accent2 6 2 2 5 3" xfId="2595" xr:uid="{00000000-0005-0000-0000-0000B5020000}"/>
    <cellStyle name="20% - Accent2 6 2 2 5 3 2" xfId="2596" xr:uid="{00000000-0005-0000-0000-0000B6020000}"/>
    <cellStyle name="20% - Accent2 6 2 2 5 4" xfId="2597" xr:uid="{00000000-0005-0000-0000-0000B7020000}"/>
    <cellStyle name="20% - Accent2 6 2 2 6" xfId="2598" xr:uid="{00000000-0005-0000-0000-0000B8020000}"/>
    <cellStyle name="20% - Accent2 6 2 2 6 2" xfId="2599" xr:uid="{00000000-0005-0000-0000-0000B9020000}"/>
    <cellStyle name="20% - Accent2 6 2 2 6 2 2" xfId="2600" xr:uid="{00000000-0005-0000-0000-0000BA020000}"/>
    <cellStyle name="20% - Accent2 6 2 2 6 2 2 2" xfId="2601" xr:uid="{00000000-0005-0000-0000-0000BB020000}"/>
    <cellStyle name="20% - Accent2 6 2 2 6 2 3" xfId="2602" xr:uid="{00000000-0005-0000-0000-0000BC020000}"/>
    <cellStyle name="20% - Accent2 6 2 2 6 3" xfId="2603" xr:uid="{00000000-0005-0000-0000-0000BD020000}"/>
    <cellStyle name="20% - Accent2 6 2 2 6 3 2" xfId="2604" xr:uid="{00000000-0005-0000-0000-0000BE020000}"/>
    <cellStyle name="20% - Accent2 6 2 2 6 4" xfId="2605" xr:uid="{00000000-0005-0000-0000-0000BF020000}"/>
    <cellStyle name="20% - Accent2 6 2 2 7" xfId="2606" xr:uid="{00000000-0005-0000-0000-0000C0020000}"/>
    <cellStyle name="20% - Accent2 6 2 2 7 2" xfId="2607" xr:uid="{00000000-0005-0000-0000-0000C1020000}"/>
    <cellStyle name="20% - Accent2 6 2 2 7 2 2" xfId="2608" xr:uid="{00000000-0005-0000-0000-0000C2020000}"/>
    <cellStyle name="20% - Accent2 6 2 2 7 2 2 2" xfId="2609" xr:uid="{00000000-0005-0000-0000-0000C3020000}"/>
    <cellStyle name="20% - Accent2 6 2 2 7 2 3" xfId="2610" xr:uid="{00000000-0005-0000-0000-0000C4020000}"/>
    <cellStyle name="20% - Accent2 6 2 2 7 3" xfId="2611" xr:uid="{00000000-0005-0000-0000-0000C5020000}"/>
    <cellStyle name="20% - Accent2 6 2 2 7 3 2" xfId="2612" xr:uid="{00000000-0005-0000-0000-0000C6020000}"/>
    <cellStyle name="20% - Accent2 6 2 2 7 4" xfId="2613" xr:uid="{00000000-0005-0000-0000-0000C7020000}"/>
    <cellStyle name="20% - Accent2 6 2 2 8" xfId="2614" xr:uid="{00000000-0005-0000-0000-0000C8020000}"/>
    <cellStyle name="20% - Accent2 6 2 2 8 2" xfId="2615" xr:uid="{00000000-0005-0000-0000-0000C9020000}"/>
    <cellStyle name="20% - Accent2 6 2 2 8 2 2" xfId="2616" xr:uid="{00000000-0005-0000-0000-0000CA020000}"/>
    <cellStyle name="20% - Accent2 6 2 2 8 3" xfId="2617" xr:uid="{00000000-0005-0000-0000-0000CB020000}"/>
    <cellStyle name="20% - Accent2 6 2 2 9" xfId="2618" xr:uid="{00000000-0005-0000-0000-0000CC020000}"/>
    <cellStyle name="20% - Accent2 6 2 2 9 2" xfId="2619" xr:uid="{00000000-0005-0000-0000-0000CD020000}"/>
    <cellStyle name="20% - Accent2 6 2 3" xfId="1248" xr:uid="{00000000-0005-0000-0000-0000CE020000}"/>
    <cellStyle name="20% - Accent2 6 2 3 2" xfId="2621" xr:uid="{00000000-0005-0000-0000-0000CF020000}"/>
    <cellStyle name="20% - Accent2 6 2 3 2 2" xfId="2622" xr:uid="{00000000-0005-0000-0000-0000D0020000}"/>
    <cellStyle name="20% - Accent2 6 2 3 2 2 2" xfId="2623" xr:uid="{00000000-0005-0000-0000-0000D1020000}"/>
    <cellStyle name="20% - Accent2 6 2 3 2 2 2 2" xfId="2624" xr:uid="{00000000-0005-0000-0000-0000D2020000}"/>
    <cellStyle name="20% - Accent2 6 2 3 2 2 3" xfId="2625" xr:uid="{00000000-0005-0000-0000-0000D3020000}"/>
    <cellStyle name="20% - Accent2 6 2 3 2 3" xfId="2626" xr:uid="{00000000-0005-0000-0000-0000D4020000}"/>
    <cellStyle name="20% - Accent2 6 2 3 2 3 2" xfId="2627" xr:uid="{00000000-0005-0000-0000-0000D5020000}"/>
    <cellStyle name="20% - Accent2 6 2 3 2 4" xfId="2628" xr:uid="{00000000-0005-0000-0000-0000D6020000}"/>
    <cellStyle name="20% - Accent2 6 2 3 3" xfId="2629" xr:uid="{00000000-0005-0000-0000-0000D7020000}"/>
    <cellStyle name="20% - Accent2 6 2 3 3 2" xfId="2630" xr:uid="{00000000-0005-0000-0000-0000D8020000}"/>
    <cellStyle name="20% - Accent2 6 2 3 3 2 2" xfId="2631" xr:uid="{00000000-0005-0000-0000-0000D9020000}"/>
    <cellStyle name="20% - Accent2 6 2 3 3 2 2 2" xfId="2632" xr:uid="{00000000-0005-0000-0000-0000DA020000}"/>
    <cellStyle name="20% - Accent2 6 2 3 3 2 3" xfId="2633" xr:uid="{00000000-0005-0000-0000-0000DB020000}"/>
    <cellStyle name="20% - Accent2 6 2 3 3 3" xfId="2634" xr:uid="{00000000-0005-0000-0000-0000DC020000}"/>
    <cellStyle name="20% - Accent2 6 2 3 3 3 2" xfId="2635" xr:uid="{00000000-0005-0000-0000-0000DD020000}"/>
    <cellStyle name="20% - Accent2 6 2 3 3 4" xfId="2636" xr:uid="{00000000-0005-0000-0000-0000DE020000}"/>
    <cellStyle name="20% - Accent2 6 2 3 4" xfId="2637" xr:uid="{00000000-0005-0000-0000-0000DF020000}"/>
    <cellStyle name="20% - Accent2 6 2 3 4 2" xfId="2638" xr:uid="{00000000-0005-0000-0000-0000E0020000}"/>
    <cellStyle name="20% - Accent2 6 2 3 4 2 2" xfId="2639" xr:uid="{00000000-0005-0000-0000-0000E1020000}"/>
    <cellStyle name="20% - Accent2 6 2 3 4 3" xfId="2640" xr:uid="{00000000-0005-0000-0000-0000E2020000}"/>
    <cellStyle name="20% - Accent2 6 2 3 5" xfId="2641" xr:uid="{00000000-0005-0000-0000-0000E3020000}"/>
    <cellStyle name="20% - Accent2 6 2 3 5 2" xfId="2642" xr:uid="{00000000-0005-0000-0000-0000E4020000}"/>
    <cellStyle name="20% - Accent2 6 2 3 6" xfId="2643" xr:uid="{00000000-0005-0000-0000-0000E5020000}"/>
    <cellStyle name="20% - Accent2 6 2 3 7" xfId="2620" xr:uid="{00000000-0005-0000-0000-0000E6020000}"/>
    <cellStyle name="20% - Accent2 6 2 4" xfId="2644" xr:uid="{00000000-0005-0000-0000-0000E7020000}"/>
    <cellStyle name="20% - Accent2 6 2 4 2" xfId="2645" xr:uid="{00000000-0005-0000-0000-0000E8020000}"/>
    <cellStyle name="20% - Accent2 6 2 4 2 2" xfId="2646" xr:uid="{00000000-0005-0000-0000-0000E9020000}"/>
    <cellStyle name="20% - Accent2 6 2 4 2 2 2" xfId="2647" xr:uid="{00000000-0005-0000-0000-0000EA020000}"/>
    <cellStyle name="20% - Accent2 6 2 4 2 2 2 2" xfId="2648" xr:uid="{00000000-0005-0000-0000-0000EB020000}"/>
    <cellStyle name="20% - Accent2 6 2 4 2 2 3" xfId="2649" xr:uid="{00000000-0005-0000-0000-0000EC020000}"/>
    <cellStyle name="20% - Accent2 6 2 4 2 3" xfId="2650" xr:uid="{00000000-0005-0000-0000-0000ED020000}"/>
    <cellStyle name="20% - Accent2 6 2 4 2 3 2" xfId="2651" xr:uid="{00000000-0005-0000-0000-0000EE020000}"/>
    <cellStyle name="20% - Accent2 6 2 4 2 4" xfId="2652" xr:uid="{00000000-0005-0000-0000-0000EF020000}"/>
    <cellStyle name="20% - Accent2 6 2 4 3" xfId="2653" xr:uid="{00000000-0005-0000-0000-0000F0020000}"/>
    <cellStyle name="20% - Accent2 6 2 4 3 2" xfId="2654" xr:uid="{00000000-0005-0000-0000-0000F1020000}"/>
    <cellStyle name="20% - Accent2 6 2 4 3 2 2" xfId="2655" xr:uid="{00000000-0005-0000-0000-0000F2020000}"/>
    <cellStyle name="20% - Accent2 6 2 4 3 3" xfId="2656" xr:uid="{00000000-0005-0000-0000-0000F3020000}"/>
    <cellStyle name="20% - Accent2 6 2 4 4" xfId="2657" xr:uid="{00000000-0005-0000-0000-0000F4020000}"/>
    <cellStyle name="20% - Accent2 6 2 4 4 2" xfId="2658" xr:uid="{00000000-0005-0000-0000-0000F5020000}"/>
    <cellStyle name="20% - Accent2 6 2 4 5" xfId="2659" xr:uid="{00000000-0005-0000-0000-0000F6020000}"/>
    <cellStyle name="20% - Accent2 6 2 5" xfId="2660" xr:uid="{00000000-0005-0000-0000-0000F7020000}"/>
    <cellStyle name="20% - Accent2 6 2 5 2" xfId="2661" xr:uid="{00000000-0005-0000-0000-0000F8020000}"/>
    <cellStyle name="20% - Accent2 6 2 5 2 2" xfId="2662" xr:uid="{00000000-0005-0000-0000-0000F9020000}"/>
    <cellStyle name="20% - Accent2 6 2 5 2 2 2" xfId="2663" xr:uid="{00000000-0005-0000-0000-0000FA020000}"/>
    <cellStyle name="20% - Accent2 6 2 5 2 2 2 2" xfId="2664" xr:uid="{00000000-0005-0000-0000-0000FB020000}"/>
    <cellStyle name="20% - Accent2 6 2 5 2 2 3" xfId="2665" xr:uid="{00000000-0005-0000-0000-0000FC020000}"/>
    <cellStyle name="20% - Accent2 6 2 5 2 3" xfId="2666" xr:uid="{00000000-0005-0000-0000-0000FD020000}"/>
    <cellStyle name="20% - Accent2 6 2 5 2 3 2" xfId="2667" xr:uid="{00000000-0005-0000-0000-0000FE020000}"/>
    <cellStyle name="20% - Accent2 6 2 5 2 4" xfId="2668" xr:uid="{00000000-0005-0000-0000-0000FF020000}"/>
    <cellStyle name="20% - Accent2 6 2 5 3" xfId="2669" xr:uid="{00000000-0005-0000-0000-000000030000}"/>
    <cellStyle name="20% - Accent2 6 2 5 3 2" xfId="2670" xr:uid="{00000000-0005-0000-0000-000001030000}"/>
    <cellStyle name="20% - Accent2 6 2 5 3 2 2" xfId="2671" xr:uid="{00000000-0005-0000-0000-000002030000}"/>
    <cellStyle name="20% - Accent2 6 2 5 3 3" xfId="2672" xr:uid="{00000000-0005-0000-0000-000003030000}"/>
    <cellStyle name="20% - Accent2 6 2 5 4" xfId="2673" xr:uid="{00000000-0005-0000-0000-000004030000}"/>
    <cellStyle name="20% - Accent2 6 2 5 4 2" xfId="2674" xr:uid="{00000000-0005-0000-0000-000005030000}"/>
    <cellStyle name="20% - Accent2 6 2 5 5" xfId="2675" xr:uid="{00000000-0005-0000-0000-000006030000}"/>
    <cellStyle name="20% - Accent2 6 2 6" xfId="2676" xr:uid="{00000000-0005-0000-0000-000007030000}"/>
    <cellStyle name="20% - Accent2 6 2 6 2" xfId="2677" xr:uid="{00000000-0005-0000-0000-000008030000}"/>
    <cellStyle name="20% - Accent2 6 2 6 2 2" xfId="2678" xr:uid="{00000000-0005-0000-0000-000009030000}"/>
    <cellStyle name="20% - Accent2 6 2 6 2 2 2" xfId="2679" xr:uid="{00000000-0005-0000-0000-00000A030000}"/>
    <cellStyle name="20% - Accent2 6 2 6 2 3" xfId="2680" xr:uid="{00000000-0005-0000-0000-00000B030000}"/>
    <cellStyle name="20% - Accent2 6 2 6 3" xfId="2681" xr:uid="{00000000-0005-0000-0000-00000C030000}"/>
    <cellStyle name="20% - Accent2 6 2 6 3 2" xfId="2682" xr:uid="{00000000-0005-0000-0000-00000D030000}"/>
    <cellStyle name="20% - Accent2 6 2 6 4" xfId="2683" xr:uid="{00000000-0005-0000-0000-00000E030000}"/>
    <cellStyle name="20% - Accent2 6 2 7" xfId="2684" xr:uid="{00000000-0005-0000-0000-00000F030000}"/>
    <cellStyle name="20% - Accent2 6 2 7 2" xfId="2685" xr:uid="{00000000-0005-0000-0000-000010030000}"/>
    <cellStyle name="20% - Accent2 6 2 7 2 2" xfId="2686" xr:uid="{00000000-0005-0000-0000-000011030000}"/>
    <cellStyle name="20% - Accent2 6 2 7 2 2 2" xfId="2687" xr:uid="{00000000-0005-0000-0000-000012030000}"/>
    <cellStyle name="20% - Accent2 6 2 7 2 3" xfId="2688" xr:uid="{00000000-0005-0000-0000-000013030000}"/>
    <cellStyle name="20% - Accent2 6 2 7 3" xfId="2689" xr:uid="{00000000-0005-0000-0000-000014030000}"/>
    <cellStyle name="20% - Accent2 6 2 7 3 2" xfId="2690" xr:uid="{00000000-0005-0000-0000-000015030000}"/>
    <cellStyle name="20% - Accent2 6 2 7 4" xfId="2691" xr:uid="{00000000-0005-0000-0000-000016030000}"/>
    <cellStyle name="20% - Accent2 6 2 8" xfId="2692" xr:uid="{00000000-0005-0000-0000-000017030000}"/>
    <cellStyle name="20% - Accent2 6 2 8 2" xfId="2693" xr:uid="{00000000-0005-0000-0000-000018030000}"/>
    <cellStyle name="20% - Accent2 6 2 8 2 2" xfId="2694" xr:uid="{00000000-0005-0000-0000-000019030000}"/>
    <cellStyle name="20% - Accent2 6 2 8 2 2 2" xfId="2695" xr:uid="{00000000-0005-0000-0000-00001A030000}"/>
    <cellStyle name="20% - Accent2 6 2 8 2 3" xfId="2696" xr:uid="{00000000-0005-0000-0000-00001B030000}"/>
    <cellStyle name="20% - Accent2 6 2 8 3" xfId="2697" xr:uid="{00000000-0005-0000-0000-00001C030000}"/>
    <cellStyle name="20% - Accent2 6 2 8 3 2" xfId="2698" xr:uid="{00000000-0005-0000-0000-00001D030000}"/>
    <cellStyle name="20% - Accent2 6 2 8 4" xfId="2699" xr:uid="{00000000-0005-0000-0000-00001E030000}"/>
    <cellStyle name="20% - Accent2 6 2 9" xfId="2700" xr:uid="{00000000-0005-0000-0000-00001F030000}"/>
    <cellStyle name="20% - Accent2 6 2 9 2" xfId="2701" xr:uid="{00000000-0005-0000-0000-000020030000}"/>
    <cellStyle name="20% - Accent2 6 2 9 2 2" xfId="2702" xr:uid="{00000000-0005-0000-0000-000021030000}"/>
    <cellStyle name="20% - Accent2 6 2 9 3" xfId="2703" xr:uid="{00000000-0005-0000-0000-000022030000}"/>
    <cellStyle name="20% - Accent2 6 3" xfId="51" xr:uid="{00000000-0005-0000-0000-000023030000}"/>
    <cellStyle name="20% - Accent2 6 3 10" xfId="2705" xr:uid="{00000000-0005-0000-0000-000024030000}"/>
    <cellStyle name="20% - Accent2 6 3 10 2" xfId="2706" xr:uid="{00000000-0005-0000-0000-000025030000}"/>
    <cellStyle name="20% - Accent2 6 3 10 2 2" xfId="2707" xr:uid="{00000000-0005-0000-0000-000026030000}"/>
    <cellStyle name="20% - Accent2 6 3 10 3" xfId="2708" xr:uid="{00000000-0005-0000-0000-000027030000}"/>
    <cellStyle name="20% - Accent2 6 3 11" xfId="2709" xr:uid="{00000000-0005-0000-0000-000028030000}"/>
    <cellStyle name="20% - Accent2 6 3 11 2" xfId="2710" xr:uid="{00000000-0005-0000-0000-000029030000}"/>
    <cellStyle name="20% - Accent2 6 3 11 2 2" xfId="2711" xr:uid="{00000000-0005-0000-0000-00002A030000}"/>
    <cellStyle name="20% - Accent2 6 3 11 3" xfId="2712" xr:uid="{00000000-0005-0000-0000-00002B030000}"/>
    <cellStyle name="20% - Accent2 6 3 12" xfId="2713" xr:uid="{00000000-0005-0000-0000-00002C030000}"/>
    <cellStyle name="20% - Accent2 6 3 12 2" xfId="2714" xr:uid="{00000000-0005-0000-0000-00002D030000}"/>
    <cellStyle name="20% - Accent2 6 3 13" xfId="2715" xr:uid="{00000000-0005-0000-0000-00002E030000}"/>
    <cellStyle name="20% - Accent2 6 3 14" xfId="2716" xr:uid="{00000000-0005-0000-0000-00002F030000}"/>
    <cellStyle name="20% - Accent2 6 3 15" xfId="2704" xr:uid="{00000000-0005-0000-0000-000030030000}"/>
    <cellStyle name="20% - Accent2 6 3 2" xfId="816" xr:uid="{00000000-0005-0000-0000-000031030000}"/>
    <cellStyle name="20% - Accent2 6 3 2 10" xfId="2718" xr:uid="{00000000-0005-0000-0000-000032030000}"/>
    <cellStyle name="20% - Accent2 6 3 2 11" xfId="2717" xr:uid="{00000000-0005-0000-0000-000033030000}"/>
    <cellStyle name="20% - Accent2 6 3 2 2" xfId="1574" xr:uid="{00000000-0005-0000-0000-000034030000}"/>
    <cellStyle name="20% - Accent2 6 3 2 2 2" xfId="2720" xr:uid="{00000000-0005-0000-0000-000035030000}"/>
    <cellStyle name="20% - Accent2 6 3 2 2 2 2" xfId="2721" xr:uid="{00000000-0005-0000-0000-000036030000}"/>
    <cellStyle name="20% - Accent2 6 3 2 2 2 2 2" xfId="2722" xr:uid="{00000000-0005-0000-0000-000037030000}"/>
    <cellStyle name="20% - Accent2 6 3 2 2 2 2 2 2" xfId="2723" xr:uid="{00000000-0005-0000-0000-000038030000}"/>
    <cellStyle name="20% - Accent2 6 3 2 2 2 2 3" xfId="2724" xr:uid="{00000000-0005-0000-0000-000039030000}"/>
    <cellStyle name="20% - Accent2 6 3 2 2 2 3" xfId="2725" xr:uid="{00000000-0005-0000-0000-00003A030000}"/>
    <cellStyle name="20% - Accent2 6 3 2 2 2 3 2" xfId="2726" xr:uid="{00000000-0005-0000-0000-00003B030000}"/>
    <cellStyle name="20% - Accent2 6 3 2 2 2 4" xfId="2727" xr:uid="{00000000-0005-0000-0000-00003C030000}"/>
    <cellStyle name="20% - Accent2 6 3 2 2 3" xfId="2728" xr:uid="{00000000-0005-0000-0000-00003D030000}"/>
    <cellStyle name="20% - Accent2 6 3 2 2 3 2" xfId="2729" xr:uid="{00000000-0005-0000-0000-00003E030000}"/>
    <cellStyle name="20% - Accent2 6 3 2 2 3 2 2" xfId="2730" xr:uid="{00000000-0005-0000-0000-00003F030000}"/>
    <cellStyle name="20% - Accent2 6 3 2 2 3 2 2 2" xfId="2731" xr:uid="{00000000-0005-0000-0000-000040030000}"/>
    <cellStyle name="20% - Accent2 6 3 2 2 3 2 3" xfId="2732" xr:uid="{00000000-0005-0000-0000-000041030000}"/>
    <cellStyle name="20% - Accent2 6 3 2 2 3 3" xfId="2733" xr:uid="{00000000-0005-0000-0000-000042030000}"/>
    <cellStyle name="20% - Accent2 6 3 2 2 3 3 2" xfId="2734" xr:uid="{00000000-0005-0000-0000-000043030000}"/>
    <cellStyle name="20% - Accent2 6 3 2 2 3 4" xfId="2735" xr:uid="{00000000-0005-0000-0000-000044030000}"/>
    <cellStyle name="20% - Accent2 6 3 2 2 4" xfId="2736" xr:uid="{00000000-0005-0000-0000-000045030000}"/>
    <cellStyle name="20% - Accent2 6 3 2 2 4 2" xfId="2737" xr:uid="{00000000-0005-0000-0000-000046030000}"/>
    <cellStyle name="20% - Accent2 6 3 2 2 4 2 2" xfId="2738" xr:uid="{00000000-0005-0000-0000-000047030000}"/>
    <cellStyle name="20% - Accent2 6 3 2 2 4 3" xfId="2739" xr:uid="{00000000-0005-0000-0000-000048030000}"/>
    <cellStyle name="20% - Accent2 6 3 2 2 5" xfId="2740" xr:uid="{00000000-0005-0000-0000-000049030000}"/>
    <cellStyle name="20% - Accent2 6 3 2 2 5 2" xfId="2741" xr:uid="{00000000-0005-0000-0000-00004A030000}"/>
    <cellStyle name="20% - Accent2 6 3 2 2 6" xfId="2742" xr:uid="{00000000-0005-0000-0000-00004B030000}"/>
    <cellStyle name="20% - Accent2 6 3 2 2 7" xfId="2719" xr:uid="{00000000-0005-0000-0000-00004C030000}"/>
    <cellStyle name="20% - Accent2 6 3 2 3" xfId="2743" xr:uid="{00000000-0005-0000-0000-00004D030000}"/>
    <cellStyle name="20% - Accent2 6 3 2 3 2" xfId="2744" xr:uid="{00000000-0005-0000-0000-00004E030000}"/>
    <cellStyle name="20% - Accent2 6 3 2 3 2 2" xfId="2745" xr:uid="{00000000-0005-0000-0000-00004F030000}"/>
    <cellStyle name="20% - Accent2 6 3 2 3 2 2 2" xfId="2746" xr:uid="{00000000-0005-0000-0000-000050030000}"/>
    <cellStyle name="20% - Accent2 6 3 2 3 2 2 2 2" xfId="2747" xr:uid="{00000000-0005-0000-0000-000051030000}"/>
    <cellStyle name="20% - Accent2 6 3 2 3 2 2 3" xfId="2748" xr:uid="{00000000-0005-0000-0000-000052030000}"/>
    <cellStyle name="20% - Accent2 6 3 2 3 2 3" xfId="2749" xr:uid="{00000000-0005-0000-0000-000053030000}"/>
    <cellStyle name="20% - Accent2 6 3 2 3 2 3 2" xfId="2750" xr:uid="{00000000-0005-0000-0000-000054030000}"/>
    <cellStyle name="20% - Accent2 6 3 2 3 2 4" xfId="2751" xr:uid="{00000000-0005-0000-0000-000055030000}"/>
    <cellStyle name="20% - Accent2 6 3 2 3 3" xfId="2752" xr:uid="{00000000-0005-0000-0000-000056030000}"/>
    <cellStyle name="20% - Accent2 6 3 2 3 3 2" xfId="2753" xr:uid="{00000000-0005-0000-0000-000057030000}"/>
    <cellStyle name="20% - Accent2 6 3 2 3 3 2 2" xfId="2754" xr:uid="{00000000-0005-0000-0000-000058030000}"/>
    <cellStyle name="20% - Accent2 6 3 2 3 3 3" xfId="2755" xr:uid="{00000000-0005-0000-0000-000059030000}"/>
    <cellStyle name="20% - Accent2 6 3 2 3 4" xfId="2756" xr:uid="{00000000-0005-0000-0000-00005A030000}"/>
    <cellStyle name="20% - Accent2 6 3 2 3 4 2" xfId="2757" xr:uid="{00000000-0005-0000-0000-00005B030000}"/>
    <cellStyle name="20% - Accent2 6 3 2 3 5" xfId="2758" xr:uid="{00000000-0005-0000-0000-00005C030000}"/>
    <cellStyle name="20% - Accent2 6 3 2 4" xfId="2759" xr:uid="{00000000-0005-0000-0000-00005D030000}"/>
    <cellStyle name="20% - Accent2 6 3 2 4 2" xfId="2760" xr:uid="{00000000-0005-0000-0000-00005E030000}"/>
    <cellStyle name="20% - Accent2 6 3 2 4 2 2" xfId="2761" xr:uid="{00000000-0005-0000-0000-00005F030000}"/>
    <cellStyle name="20% - Accent2 6 3 2 4 2 2 2" xfId="2762" xr:uid="{00000000-0005-0000-0000-000060030000}"/>
    <cellStyle name="20% - Accent2 6 3 2 4 2 2 2 2" xfId="2763" xr:uid="{00000000-0005-0000-0000-000061030000}"/>
    <cellStyle name="20% - Accent2 6 3 2 4 2 2 3" xfId="2764" xr:uid="{00000000-0005-0000-0000-000062030000}"/>
    <cellStyle name="20% - Accent2 6 3 2 4 2 3" xfId="2765" xr:uid="{00000000-0005-0000-0000-000063030000}"/>
    <cellStyle name="20% - Accent2 6 3 2 4 2 3 2" xfId="2766" xr:uid="{00000000-0005-0000-0000-000064030000}"/>
    <cellStyle name="20% - Accent2 6 3 2 4 2 4" xfId="2767" xr:uid="{00000000-0005-0000-0000-000065030000}"/>
    <cellStyle name="20% - Accent2 6 3 2 4 3" xfId="2768" xr:uid="{00000000-0005-0000-0000-000066030000}"/>
    <cellStyle name="20% - Accent2 6 3 2 4 3 2" xfId="2769" xr:uid="{00000000-0005-0000-0000-000067030000}"/>
    <cellStyle name="20% - Accent2 6 3 2 4 3 2 2" xfId="2770" xr:uid="{00000000-0005-0000-0000-000068030000}"/>
    <cellStyle name="20% - Accent2 6 3 2 4 3 3" xfId="2771" xr:uid="{00000000-0005-0000-0000-000069030000}"/>
    <cellStyle name="20% - Accent2 6 3 2 4 4" xfId="2772" xr:uid="{00000000-0005-0000-0000-00006A030000}"/>
    <cellStyle name="20% - Accent2 6 3 2 4 4 2" xfId="2773" xr:uid="{00000000-0005-0000-0000-00006B030000}"/>
    <cellStyle name="20% - Accent2 6 3 2 4 5" xfId="2774" xr:uid="{00000000-0005-0000-0000-00006C030000}"/>
    <cellStyle name="20% - Accent2 6 3 2 5" xfId="2775" xr:uid="{00000000-0005-0000-0000-00006D030000}"/>
    <cellStyle name="20% - Accent2 6 3 2 5 2" xfId="2776" xr:uid="{00000000-0005-0000-0000-00006E030000}"/>
    <cellStyle name="20% - Accent2 6 3 2 5 2 2" xfId="2777" xr:uid="{00000000-0005-0000-0000-00006F030000}"/>
    <cellStyle name="20% - Accent2 6 3 2 5 2 2 2" xfId="2778" xr:uid="{00000000-0005-0000-0000-000070030000}"/>
    <cellStyle name="20% - Accent2 6 3 2 5 2 3" xfId="2779" xr:uid="{00000000-0005-0000-0000-000071030000}"/>
    <cellStyle name="20% - Accent2 6 3 2 5 3" xfId="2780" xr:uid="{00000000-0005-0000-0000-000072030000}"/>
    <cellStyle name="20% - Accent2 6 3 2 5 3 2" xfId="2781" xr:uid="{00000000-0005-0000-0000-000073030000}"/>
    <cellStyle name="20% - Accent2 6 3 2 5 4" xfId="2782" xr:uid="{00000000-0005-0000-0000-000074030000}"/>
    <cellStyle name="20% - Accent2 6 3 2 6" xfId="2783" xr:uid="{00000000-0005-0000-0000-000075030000}"/>
    <cellStyle name="20% - Accent2 6 3 2 6 2" xfId="2784" xr:uid="{00000000-0005-0000-0000-000076030000}"/>
    <cellStyle name="20% - Accent2 6 3 2 6 2 2" xfId="2785" xr:uid="{00000000-0005-0000-0000-000077030000}"/>
    <cellStyle name="20% - Accent2 6 3 2 6 2 2 2" xfId="2786" xr:uid="{00000000-0005-0000-0000-000078030000}"/>
    <cellStyle name="20% - Accent2 6 3 2 6 2 3" xfId="2787" xr:uid="{00000000-0005-0000-0000-000079030000}"/>
    <cellStyle name="20% - Accent2 6 3 2 6 3" xfId="2788" xr:uid="{00000000-0005-0000-0000-00007A030000}"/>
    <cellStyle name="20% - Accent2 6 3 2 6 3 2" xfId="2789" xr:uid="{00000000-0005-0000-0000-00007B030000}"/>
    <cellStyle name="20% - Accent2 6 3 2 6 4" xfId="2790" xr:uid="{00000000-0005-0000-0000-00007C030000}"/>
    <cellStyle name="20% - Accent2 6 3 2 7" xfId="2791" xr:uid="{00000000-0005-0000-0000-00007D030000}"/>
    <cellStyle name="20% - Accent2 6 3 2 7 2" xfId="2792" xr:uid="{00000000-0005-0000-0000-00007E030000}"/>
    <cellStyle name="20% - Accent2 6 3 2 7 2 2" xfId="2793" xr:uid="{00000000-0005-0000-0000-00007F030000}"/>
    <cellStyle name="20% - Accent2 6 3 2 7 2 2 2" xfId="2794" xr:uid="{00000000-0005-0000-0000-000080030000}"/>
    <cellStyle name="20% - Accent2 6 3 2 7 2 3" xfId="2795" xr:uid="{00000000-0005-0000-0000-000081030000}"/>
    <cellStyle name="20% - Accent2 6 3 2 7 3" xfId="2796" xr:uid="{00000000-0005-0000-0000-000082030000}"/>
    <cellStyle name="20% - Accent2 6 3 2 7 3 2" xfId="2797" xr:uid="{00000000-0005-0000-0000-000083030000}"/>
    <cellStyle name="20% - Accent2 6 3 2 7 4" xfId="2798" xr:uid="{00000000-0005-0000-0000-000084030000}"/>
    <cellStyle name="20% - Accent2 6 3 2 8" xfId="2799" xr:uid="{00000000-0005-0000-0000-000085030000}"/>
    <cellStyle name="20% - Accent2 6 3 2 8 2" xfId="2800" xr:uid="{00000000-0005-0000-0000-000086030000}"/>
    <cellStyle name="20% - Accent2 6 3 2 8 2 2" xfId="2801" xr:uid="{00000000-0005-0000-0000-000087030000}"/>
    <cellStyle name="20% - Accent2 6 3 2 8 3" xfId="2802" xr:uid="{00000000-0005-0000-0000-000088030000}"/>
    <cellStyle name="20% - Accent2 6 3 2 9" xfId="2803" xr:uid="{00000000-0005-0000-0000-000089030000}"/>
    <cellStyle name="20% - Accent2 6 3 2 9 2" xfId="2804" xr:uid="{00000000-0005-0000-0000-00008A030000}"/>
    <cellStyle name="20% - Accent2 6 3 3" xfId="1249" xr:uid="{00000000-0005-0000-0000-00008B030000}"/>
    <cellStyle name="20% - Accent2 6 3 3 2" xfId="2806" xr:uid="{00000000-0005-0000-0000-00008C030000}"/>
    <cellStyle name="20% - Accent2 6 3 3 2 2" xfId="2807" xr:uid="{00000000-0005-0000-0000-00008D030000}"/>
    <cellStyle name="20% - Accent2 6 3 3 2 2 2" xfId="2808" xr:uid="{00000000-0005-0000-0000-00008E030000}"/>
    <cellStyle name="20% - Accent2 6 3 3 2 2 2 2" xfId="2809" xr:uid="{00000000-0005-0000-0000-00008F030000}"/>
    <cellStyle name="20% - Accent2 6 3 3 2 2 3" xfId="2810" xr:uid="{00000000-0005-0000-0000-000090030000}"/>
    <cellStyle name="20% - Accent2 6 3 3 2 3" xfId="2811" xr:uid="{00000000-0005-0000-0000-000091030000}"/>
    <cellStyle name="20% - Accent2 6 3 3 2 3 2" xfId="2812" xr:uid="{00000000-0005-0000-0000-000092030000}"/>
    <cellStyle name="20% - Accent2 6 3 3 2 4" xfId="2813" xr:uid="{00000000-0005-0000-0000-000093030000}"/>
    <cellStyle name="20% - Accent2 6 3 3 3" xfId="2814" xr:uid="{00000000-0005-0000-0000-000094030000}"/>
    <cellStyle name="20% - Accent2 6 3 3 3 2" xfId="2815" xr:uid="{00000000-0005-0000-0000-000095030000}"/>
    <cellStyle name="20% - Accent2 6 3 3 3 2 2" xfId="2816" xr:uid="{00000000-0005-0000-0000-000096030000}"/>
    <cellStyle name="20% - Accent2 6 3 3 3 2 2 2" xfId="2817" xr:uid="{00000000-0005-0000-0000-000097030000}"/>
    <cellStyle name="20% - Accent2 6 3 3 3 2 3" xfId="2818" xr:uid="{00000000-0005-0000-0000-000098030000}"/>
    <cellStyle name="20% - Accent2 6 3 3 3 3" xfId="2819" xr:uid="{00000000-0005-0000-0000-000099030000}"/>
    <cellStyle name="20% - Accent2 6 3 3 3 3 2" xfId="2820" xr:uid="{00000000-0005-0000-0000-00009A030000}"/>
    <cellStyle name="20% - Accent2 6 3 3 3 4" xfId="2821" xr:uid="{00000000-0005-0000-0000-00009B030000}"/>
    <cellStyle name="20% - Accent2 6 3 3 4" xfId="2822" xr:uid="{00000000-0005-0000-0000-00009C030000}"/>
    <cellStyle name="20% - Accent2 6 3 3 4 2" xfId="2823" xr:uid="{00000000-0005-0000-0000-00009D030000}"/>
    <cellStyle name="20% - Accent2 6 3 3 4 2 2" xfId="2824" xr:uid="{00000000-0005-0000-0000-00009E030000}"/>
    <cellStyle name="20% - Accent2 6 3 3 4 3" xfId="2825" xr:uid="{00000000-0005-0000-0000-00009F030000}"/>
    <cellStyle name="20% - Accent2 6 3 3 5" xfId="2826" xr:uid="{00000000-0005-0000-0000-0000A0030000}"/>
    <cellStyle name="20% - Accent2 6 3 3 5 2" xfId="2827" xr:uid="{00000000-0005-0000-0000-0000A1030000}"/>
    <cellStyle name="20% - Accent2 6 3 3 6" xfId="2828" xr:uid="{00000000-0005-0000-0000-0000A2030000}"/>
    <cellStyle name="20% - Accent2 6 3 3 7" xfId="2805" xr:uid="{00000000-0005-0000-0000-0000A3030000}"/>
    <cellStyle name="20% - Accent2 6 3 4" xfId="2829" xr:uid="{00000000-0005-0000-0000-0000A4030000}"/>
    <cellStyle name="20% - Accent2 6 3 4 2" xfId="2830" xr:uid="{00000000-0005-0000-0000-0000A5030000}"/>
    <cellStyle name="20% - Accent2 6 3 4 2 2" xfId="2831" xr:uid="{00000000-0005-0000-0000-0000A6030000}"/>
    <cellStyle name="20% - Accent2 6 3 4 2 2 2" xfId="2832" xr:uid="{00000000-0005-0000-0000-0000A7030000}"/>
    <cellStyle name="20% - Accent2 6 3 4 2 2 2 2" xfId="2833" xr:uid="{00000000-0005-0000-0000-0000A8030000}"/>
    <cellStyle name="20% - Accent2 6 3 4 2 2 3" xfId="2834" xr:uid="{00000000-0005-0000-0000-0000A9030000}"/>
    <cellStyle name="20% - Accent2 6 3 4 2 3" xfId="2835" xr:uid="{00000000-0005-0000-0000-0000AA030000}"/>
    <cellStyle name="20% - Accent2 6 3 4 2 3 2" xfId="2836" xr:uid="{00000000-0005-0000-0000-0000AB030000}"/>
    <cellStyle name="20% - Accent2 6 3 4 2 4" xfId="2837" xr:uid="{00000000-0005-0000-0000-0000AC030000}"/>
    <cellStyle name="20% - Accent2 6 3 4 3" xfId="2838" xr:uid="{00000000-0005-0000-0000-0000AD030000}"/>
    <cellStyle name="20% - Accent2 6 3 4 3 2" xfId="2839" xr:uid="{00000000-0005-0000-0000-0000AE030000}"/>
    <cellStyle name="20% - Accent2 6 3 4 3 2 2" xfId="2840" xr:uid="{00000000-0005-0000-0000-0000AF030000}"/>
    <cellStyle name="20% - Accent2 6 3 4 3 3" xfId="2841" xr:uid="{00000000-0005-0000-0000-0000B0030000}"/>
    <cellStyle name="20% - Accent2 6 3 4 4" xfId="2842" xr:uid="{00000000-0005-0000-0000-0000B1030000}"/>
    <cellStyle name="20% - Accent2 6 3 4 4 2" xfId="2843" xr:uid="{00000000-0005-0000-0000-0000B2030000}"/>
    <cellStyle name="20% - Accent2 6 3 4 5" xfId="2844" xr:uid="{00000000-0005-0000-0000-0000B3030000}"/>
    <cellStyle name="20% - Accent2 6 3 5" xfId="2845" xr:uid="{00000000-0005-0000-0000-0000B4030000}"/>
    <cellStyle name="20% - Accent2 6 3 5 2" xfId="2846" xr:uid="{00000000-0005-0000-0000-0000B5030000}"/>
    <cellStyle name="20% - Accent2 6 3 5 2 2" xfId="2847" xr:uid="{00000000-0005-0000-0000-0000B6030000}"/>
    <cellStyle name="20% - Accent2 6 3 5 2 2 2" xfId="2848" xr:uid="{00000000-0005-0000-0000-0000B7030000}"/>
    <cellStyle name="20% - Accent2 6 3 5 2 2 2 2" xfId="2849" xr:uid="{00000000-0005-0000-0000-0000B8030000}"/>
    <cellStyle name="20% - Accent2 6 3 5 2 2 3" xfId="2850" xr:uid="{00000000-0005-0000-0000-0000B9030000}"/>
    <cellStyle name="20% - Accent2 6 3 5 2 3" xfId="2851" xr:uid="{00000000-0005-0000-0000-0000BA030000}"/>
    <cellStyle name="20% - Accent2 6 3 5 2 3 2" xfId="2852" xr:uid="{00000000-0005-0000-0000-0000BB030000}"/>
    <cellStyle name="20% - Accent2 6 3 5 2 4" xfId="2853" xr:uid="{00000000-0005-0000-0000-0000BC030000}"/>
    <cellStyle name="20% - Accent2 6 3 5 3" xfId="2854" xr:uid="{00000000-0005-0000-0000-0000BD030000}"/>
    <cellStyle name="20% - Accent2 6 3 5 3 2" xfId="2855" xr:uid="{00000000-0005-0000-0000-0000BE030000}"/>
    <cellStyle name="20% - Accent2 6 3 5 3 2 2" xfId="2856" xr:uid="{00000000-0005-0000-0000-0000BF030000}"/>
    <cellStyle name="20% - Accent2 6 3 5 3 3" xfId="2857" xr:uid="{00000000-0005-0000-0000-0000C0030000}"/>
    <cellStyle name="20% - Accent2 6 3 5 4" xfId="2858" xr:uid="{00000000-0005-0000-0000-0000C1030000}"/>
    <cellStyle name="20% - Accent2 6 3 5 4 2" xfId="2859" xr:uid="{00000000-0005-0000-0000-0000C2030000}"/>
    <cellStyle name="20% - Accent2 6 3 5 5" xfId="2860" xr:uid="{00000000-0005-0000-0000-0000C3030000}"/>
    <cellStyle name="20% - Accent2 6 3 6" xfId="2861" xr:uid="{00000000-0005-0000-0000-0000C4030000}"/>
    <cellStyle name="20% - Accent2 6 3 6 2" xfId="2862" xr:uid="{00000000-0005-0000-0000-0000C5030000}"/>
    <cellStyle name="20% - Accent2 6 3 6 2 2" xfId="2863" xr:uid="{00000000-0005-0000-0000-0000C6030000}"/>
    <cellStyle name="20% - Accent2 6 3 6 2 2 2" xfId="2864" xr:uid="{00000000-0005-0000-0000-0000C7030000}"/>
    <cellStyle name="20% - Accent2 6 3 6 2 3" xfId="2865" xr:uid="{00000000-0005-0000-0000-0000C8030000}"/>
    <cellStyle name="20% - Accent2 6 3 6 3" xfId="2866" xr:uid="{00000000-0005-0000-0000-0000C9030000}"/>
    <cellStyle name="20% - Accent2 6 3 6 3 2" xfId="2867" xr:uid="{00000000-0005-0000-0000-0000CA030000}"/>
    <cellStyle name="20% - Accent2 6 3 6 4" xfId="2868" xr:uid="{00000000-0005-0000-0000-0000CB030000}"/>
    <cellStyle name="20% - Accent2 6 3 7" xfId="2869" xr:uid="{00000000-0005-0000-0000-0000CC030000}"/>
    <cellStyle name="20% - Accent2 6 3 7 2" xfId="2870" xr:uid="{00000000-0005-0000-0000-0000CD030000}"/>
    <cellStyle name="20% - Accent2 6 3 7 2 2" xfId="2871" xr:uid="{00000000-0005-0000-0000-0000CE030000}"/>
    <cellStyle name="20% - Accent2 6 3 7 2 2 2" xfId="2872" xr:uid="{00000000-0005-0000-0000-0000CF030000}"/>
    <cellStyle name="20% - Accent2 6 3 7 2 3" xfId="2873" xr:uid="{00000000-0005-0000-0000-0000D0030000}"/>
    <cellStyle name="20% - Accent2 6 3 7 3" xfId="2874" xr:uid="{00000000-0005-0000-0000-0000D1030000}"/>
    <cellStyle name="20% - Accent2 6 3 7 3 2" xfId="2875" xr:uid="{00000000-0005-0000-0000-0000D2030000}"/>
    <cellStyle name="20% - Accent2 6 3 7 4" xfId="2876" xr:uid="{00000000-0005-0000-0000-0000D3030000}"/>
    <cellStyle name="20% - Accent2 6 3 8" xfId="2877" xr:uid="{00000000-0005-0000-0000-0000D4030000}"/>
    <cellStyle name="20% - Accent2 6 3 8 2" xfId="2878" xr:uid="{00000000-0005-0000-0000-0000D5030000}"/>
    <cellStyle name="20% - Accent2 6 3 8 2 2" xfId="2879" xr:uid="{00000000-0005-0000-0000-0000D6030000}"/>
    <cellStyle name="20% - Accent2 6 3 8 2 2 2" xfId="2880" xr:uid="{00000000-0005-0000-0000-0000D7030000}"/>
    <cellStyle name="20% - Accent2 6 3 8 2 3" xfId="2881" xr:uid="{00000000-0005-0000-0000-0000D8030000}"/>
    <cellStyle name="20% - Accent2 6 3 8 3" xfId="2882" xr:uid="{00000000-0005-0000-0000-0000D9030000}"/>
    <cellStyle name="20% - Accent2 6 3 8 3 2" xfId="2883" xr:uid="{00000000-0005-0000-0000-0000DA030000}"/>
    <cellStyle name="20% - Accent2 6 3 8 4" xfId="2884" xr:uid="{00000000-0005-0000-0000-0000DB030000}"/>
    <cellStyle name="20% - Accent2 6 3 9" xfId="2885" xr:uid="{00000000-0005-0000-0000-0000DC030000}"/>
    <cellStyle name="20% - Accent2 6 3 9 2" xfId="2886" xr:uid="{00000000-0005-0000-0000-0000DD030000}"/>
    <cellStyle name="20% - Accent2 6 3 9 2 2" xfId="2887" xr:uid="{00000000-0005-0000-0000-0000DE030000}"/>
    <cellStyle name="20% - Accent2 6 3 9 3" xfId="2888" xr:uid="{00000000-0005-0000-0000-0000DF030000}"/>
    <cellStyle name="20% - Accent2 6 4" xfId="814" xr:uid="{00000000-0005-0000-0000-0000E0030000}"/>
    <cellStyle name="20% - Accent2 6 4 10" xfId="2890" xr:uid="{00000000-0005-0000-0000-0000E1030000}"/>
    <cellStyle name="20% - Accent2 6 4 11" xfId="2889" xr:uid="{00000000-0005-0000-0000-0000E2030000}"/>
    <cellStyle name="20% - Accent2 6 4 2" xfId="1572" xr:uid="{00000000-0005-0000-0000-0000E3030000}"/>
    <cellStyle name="20% - Accent2 6 4 2 2" xfId="2892" xr:uid="{00000000-0005-0000-0000-0000E4030000}"/>
    <cellStyle name="20% - Accent2 6 4 2 2 2" xfId="2893" xr:uid="{00000000-0005-0000-0000-0000E5030000}"/>
    <cellStyle name="20% - Accent2 6 4 2 2 2 2" xfId="2894" xr:uid="{00000000-0005-0000-0000-0000E6030000}"/>
    <cellStyle name="20% - Accent2 6 4 2 2 2 2 2" xfId="2895" xr:uid="{00000000-0005-0000-0000-0000E7030000}"/>
    <cellStyle name="20% - Accent2 6 4 2 2 2 3" xfId="2896" xr:uid="{00000000-0005-0000-0000-0000E8030000}"/>
    <cellStyle name="20% - Accent2 6 4 2 2 3" xfId="2897" xr:uid="{00000000-0005-0000-0000-0000E9030000}"/>
    <cellStyle name="20% - Accent2 6 4 2 2 3 2" xfId="2898" xr:uid="{00000000-0005-0000-0000-0000EA030000}"/>
    <cellStyle name="20% - Accent2 6 4 2 2 4" xfId="2899" xr:uid="{00000000-0005-0000-0000-0000EB030000}"/>
    <cellStyle name="20% - Accent2 6 4 2 3" xfId="2900" xr:uid="{00000000-0005-0000-0000-0000EC030000}"/>
    <cellStyle name="20% - Accent2 6 4 2 3 2" xfId="2901" xr:uid="{00000000-0005-0000-0000-0000ED030000}"/>
    <cellStyle name="20% - Accent2 6 4 2 3 2 2" xfId="2902" xr:uid="{00000000-0005-0000-0000-0000EE030000}"/>
    <cellStyle name="20% - Accent2 6 4 2 3 2 2 2" xfId="2903" xr:uid="{00000000-0005-0000-0000-0000EF030000}"/>
    <cellStyle name="20% - Accent2 6 4 2 3 2 3" xfId="2904" xr:uid="{00000000-0005-0000-0000-0000F0030000}"/>
    <cellStyle name="20% - Accent2 6 4 2 3 3" xfId="2905" xr:uid="{00000000-0005-0000-0000-0000F1030000}"/>
    <cellStyle name="20% - Accent2 6 4 2 3 3 2" xfId="2906" xr:uid="{00000000-0005-0000-0000-0000F2030000}"/>
    <cellStyle name="20% - Accent2 6 4 2 3 4" xfId="2907" xr:uid="{00000000-0005-0000-0000-0000F3030000}"/>
    <cellStyle name="20% - Accent2 6 4 2 4" xfId="2908" xr:uid="{00000000-0005-0000-0000-0000F4030000}"/>
    <cellStyle name="20% - Accent2 6 4 2 4 2" xfId="2909" xr:uid="{00000000-0005-0000-0000-0000F5030000}"/>
    <cellStyle name="20% - Accent2 6 4 2 4 2 2" xfId="2910" xr:uid="{00000000-0005-0000-0000-0000F6030000}"/>
    <cellStyle name="20% - Accent2 6 4 2 4 3" xfId="2911" xr:uid="{00000000-0005-0000-0000-0000F7030000}"/>
    <cellStyle name="20% - Accent2 6 4 2 5" xfId="2912" xr:uid="{00000000-0005-0000-0000-0000F8030000}"/>
    <cellStyle name="20% - Accent2 6 4 2 5 2" xfId="2913" xr:uid="{00000000-0005-0000-0000-0000F9030000}"/>
    <cellStyle name="20% - Accent2 6 4 2 6" xfId="2914" xr:uid="{00000000-0005-0000-0000-0000FA030000}"/>
    <cellStyle name="20% - Accent2 6 4 2 7" xfId="2891" xr:uid="{00000000-0005-0000-0000-0000FB030000}"/>
    <cellStyle name="20% - Accent2 6 4 3" xfId="2915" xr:uid="{00000000-0005-0000-0000-0000FC030000}"/>
    <cellStyle name="20% - Accent2 6 4 3 2" xfId="2916" xr:uid="{00000000-0005-0000-0000-0000FD030000}"/>
    <cellStyle name="20% - Accent2 6 4 3 2 2" xfId="2917" xr:uid="{00000000-0005-0000-0000-0000FE030000}"/>
    <cellStyle name="20% - Accent2 6 4 3 2 2 2" xfId="2918" xr:uid="{00000000-0005-0000-0000-0000FF030000}"/>
    <cellStyle name="20% - Accent2 6 4 3 2 2 2 2" xfId="2919" xr:uid="{00000000-0005-0000-0000-000000040000}"/>
    <cellStyle name="20% - Accent2 6 4 3 2 2 3" xfId="2920" xr:uid="{00000000-0005-0000-0000-000001040000}"/>
    <cellStyle name="20% - Accent2 6 4 3 2 3" xfId="2921" xr:uid="{00000000-0005-0000-0000-000002040000}"/>
    <cellStyle name="20% - Accent2 6 4 3 2 3 2" xfId="2922" xr:uid="{00000000-0005-0000-0000-000003040000}"/>
    <cellStyle name="20% - Accent2 6 4 3 2 4" xfId="2923" xr:uid="{00000000-0005-0000-0000-000004040000}"/>
    <cellStyle name="20% - Accent2 6 4 3 3" xfId="2924" xr:uid="{00000000-0005-0000-0000-000005040000}"/>
    <cellStyle name="20% - Accent2 6 4 3 3 2" xfId="2925" xr:uid="{00000000-0005-0000-0000-000006040000}"/>
    <cellStyle name="20% - Accent2 6 4 3 3 2 2" xfId="2926" xr:uid="{00000000-0005-0000-0000-000007040000}"/>
    <cellStyle name="20% - Accent2 6 4 3 3 3" xfId="2927" xr:uid="{00000000-0005-0000-0000-000008040000}"/>
    <cellStyle name="20% - Accent2 6 4 3 4" xfId="2928" xr:uid="{00000000-0005-0000-0000-000009040000}"/>
    <cellStyle name="20% - Accent2 6 4 3 4 2" xfId="2929" xr:uid="{00000000-0005-0000-0000-00000A040000}"/>
    <cellStyle name="20% - Accent2 6 4 3 5" xfId="2930" xr:uid="{00000000-0005-0000-0000-00000B040000}"/>
    <cellStyle name="20% - Accent2 6 4 4" xfId="2931" xr:uid="{00000000-0005-0000-0000-00000C040000}"/>
    <cellStyle name="20% - Accent2 6 4 4 2" xfId="2932" xr:uid="{00000000-0005-0000-0000-00000D040000}"/>
    <cellStyle name="20% - Accent2 6 4 4 2 2" xfId="2933" xr:uid="{00000000-0005-0000-0000-00000E040000}"/>
    <cellStyle name="20% - Accent2 6 4 4 2 2 2" xfId="2934" xr:uid="{00000000-0005-0000-0000-00000F040000}"/>
    <cellStyle name="20% - Accent2 6 4 4 2 2 2 2" xfId="2935" xr:uid="{00000000-0005-0000-0000-000010040000}"/>
    <cellStyle name="20% - Accent2 6 4 4 2 2 3" xfId="2936" xr:uid="{00000000-0005-0000-0000-000011040000}"/>
    <cellStyle name="20% - Accent2 6 4 4 2 3" xfId="2937" xr:uid="{00000000-0005-0000-0000-000012040000}"/>
    <cellStyle name="20% - Accent2 6 4 4 2 3 2" xfId="2938" xr:uid="{00000000-0005-0000-0000-000013040000}"/>
    <cellStyle name="20% - Accent2 6 4 4 2 4" xfId="2939" xr:uid="{00000000-0005-0000-0000-000014040000}"/>
    <cellStyle name="20% - Accent2 6 4 4 3" xfId="2940" xr:uid="{00000000-0005-0000-0000-000015040000}"/>
    <cellStyle name="20% - Accent2 6 4 4 3 2" xfId="2941" xr:uid="{00000000-0005-0000-0000-000016040000}"/>
    <cellStyle name="20% - Accent2 6 4 4 3 2 2" xfId="2942" xr:uid="{00000000-0005-0000-0000-000017040000}"/>
    <cellStyle name="20% - Accent2 6 4 4 3 3" xfId="2943" xr:uid="{00000000-0005-0000-0000-000018040000}"/>
    <cellStyle name="20% - Accent2 6 4 4 4" xfId="2944" xr:uid="{00000000-0005-0000-0000-000019040000}"/>
    <cellStyle name="20% - Accent2 6 4 4 4 2" xfId="2945" xr:uid="{00000000-0005-0000-0000-00001A040000}"/>
    <cellStyle name="20% - Accent2 6 4 4 5" xfId="2946" xr:uid="{00000000-0005-0000-0000-00001B040000}"/>
    <cellStyle name="20% - Accent2 6 4 5" xfId="2947" xr:uid="{00000000-0005-0000-0000-00001C040000}"/>
    <cellStyle name="20% - Accent2 6 4 5 2" xfId="2948" xr:uid="{00000000-0005-0000-0000-00001D040000}"/>
    <cellStyle name="20% - Accent2 6 4 5 2 2" xfId="2949" xr:uid="{00000000-0005-0000-0000-00001E040000}"/>
    <cellStyle name="20% - Accent2 6 4 5 2 2 2" xfId="2950" xr:uid="{00000000-0005-0000-0000-00001F040000}"/>
    <cellStyle name="20% - Accent2 6 4 5 2 3" xfId="2951" xr:uid="{00000000-0005-0000-0000-000020040000}"/>
    <cellStyle name="20% - Accent2 6 4 5 3" xfId="2952" xr:uid="{00000000-0005-0000-0000-000021040000}"/>
    <cellStyle name="20% - Accent2 6 4 5 3 2" xfId="2953" xr:uid="{00000000-0005-0000-0000-000022040000}"/>
    <cellStyle name="20% - Accent2 6 4 5 4" xfId="2954" xr:uid="{00000000-0005-0000-0000-000023040000}"/>
    <cellStyle name="20% - Accent2 6 4 6" xfId="2955" xr:uid="{00000000-0005-0000-0000-000024040000}"/>
    <cellStyle name="20% - Accent2 6 4 6 2" xfId="2956" xr:uid="{00000000-0005-0000-0000-000025040000}"/>
    <cellStyle name="20% - Accent2 6 4 6 2 2" xfId="2957" xr:uid="{00000000-0005-0000-0000-000026040000}"/>
    <cellStyle name="20% - Accent2 6 4 6 2 2 2" xfId="2958" xr:uid="{00000000-0005-0000-0000-000027040000}"/>
    <cellStyle name="20% - Accent2 6 4 6 2 3" xfId="2959" xr:uid="{00000000-0005-0000-0000-000028040000}"/>
    <cellStyle name="20% - Accent2 6 4 6 3" xfId="2960" xr:uid="{00000000-0005-0000-0000-000029040000}"/>
    <cellStyle name="20% - Accent2 6 4 6 3 2" xfId="2961" xr:uid="{00000000-0005-0000-0000-00002A040000}"/>
    <cellStyle name="20% - Accent2 6 4 6 4" xfId="2962" xr:uid="{00000000-0005-0000-0000-00002B040000}"/>
    <cellStyle name="20% - Accent2 6 4 7" xfId="2963" xr:uid="{00000000-0005-0000-0000-00002C040000}"/>
    <cellStyle name="20% - Accent2 6 4 7 2" xfId="2964" xr:uid="{00000000-0005-0000-0000-00002D040000}"/>
    <cellStyle name="20% - Accent2 6 4 7 2 2" xfId="2965" xr:uid="{00000000-0005-0000-0000-00002E040000}"/>
    <cellStyle name="20% - Accent2 6 4 7 2 2 2" xfId="2966" xr:uid="{00000000-0005-0000-0000-00002F040000}"/>
    <cellStyle name="20% - Accent2 6 4 7 2 3" xfId="2967" xr:uid="{00000000-0005-0000-0000-000030040000}"/>
    <cellStyle name="20% - Accent2 6 4 7 3" xfId="2968" xr:uid="{00000000-0005-0000-0000-000031040000}"/>
    <cellStyle name="20% - Accent2 6 4 7 3 2" xfId="2969" xr:uid="{00000000-0005-0000-0000-000032040000}"/>
    <cellStyle name="20% - Accent2 6 4 7 4" xfId="2970" xr:uid="{00000000-0005-0000-0000-000033040000}"/>
    <cellStyle name="20% - Accent2 6 4 8" xfId="2971" xr:uid="{00000000-0005-0000-0000-000034040000}"/>
    <cellStyle name="20% - Accent2 6 4 8 2" xfId="2972" xr:uid="{00000000-0005-0000-0000-000035040000}"/>
    <cellStyle name="20% - Accent2 6 4 8 2 2" xfId="2973" xr:uid="{00000000-0005-0000-0000-000036040000}"/>
    <cellStyle name="20% - Accent2 6 4 8 3" xfId="2974" xr:uid="{00000000-0005-0000-0000-000037040000}"/>
    <cellStyle name="20% - Accent2 6 4 9" xfId="2975" xr:uid="{00000000-0005-0000-0000-000038040000}"/>
    <cellStyle name="20% - Accent2 6 4 9 2" xfId="2976" xr:uid="{00000000-0005-0000-0000-000039040000}"/>
    <cellStyle name="20% - Accent2 6 5" xfId="1247" xr:uid="{00000000-0005-0000-0000-00003A040000}"/>
    <cellStyle name="20% - Accent2 6 5 2" xfId="2978" xr:uid="{00000000-0005-0000-0000-00003B040000}"/>
    <cellStyle name="20% - Accent2 6 5 2 2" xfId="2979" xr:uid="{00000000-0005-0000-0000-00003C040000}"/>
    <cellStyle name="20% - Accent2 6 5 2 2 2" xfId="2980" xr:uid="{00000000-0005-0000-0000-00003D040000}"/>
    <cellStyle name="20% - Accent2 6 5 2 2 2 2" xfId="2981" xr:uid="{00000000-0005-0000-0000-00003E040000}"/>
    <cellStyle name="20% - Accent2 6 5 2 2 3" xfId="2982" xr:uid="{00000000-0005-0000-0000-00003F040000}"/>
    <cellStyle name="20% - Accent2 6 5 2 3" xfId="2983" xr:uid="{00000000-0005-0000-0000-000040040000}"/>
    <cellStyle name="20% - Accent2 6 5 2 3 2" xfId="2984" xr:uid="{00000000-0005-0000-0000-000041040000}"/>
    <cellStyle name="20% - Accent2 6 5 2 4" xfId="2985" xr:uid="{00000000-0005-0000-0000-000042040000}"/>
    <cellStyle name="20% - Accent2 6 5 3" xfId="2986" xr:uid="{00000000-0005-0000-0000-000043040000}"/>
    <cellStyle name="20% - Accent2 6 5 3 2" xfId="2987" xr:uid="{00000000-0005-0000-0000-000044040000}"/>
    <cellStyle name="20% - Accent2 6 5 3 2 2" xfId="2988" xr:uid="{00000000-0005-0000-0000-000045040000}"/>
    <cellStyle name="20% - Accent2 6 5 3 2 2 2" xfId="2989" xr:uid="{00000000-0005-0000-0000-000046040000}"/>
    <cellStyle name="20% - Accent2 6 5 3 2 3" xfId="2990" xr:uid="{00000000-0005-0000-0000-000047040000}"/>
    <cellStyle name="20% - Accent2 6 5 3 3" xfId="2991" xr:uid="{00000000-0005-0000-0000-000048040000}"/>
    <cellStyle name="20% - Accent2 6 5 3 3 2" xfId="2992" xr:uid="{00000000-0005-0000-0000-000049040000}"/>
    <cellStyle name="20% - Accent2 6 5 3 4" xfId="2993" xr:uid="{00000000-0005-0000-0000-00004A040000}"/>
    <cellStyle name="20% - Accent2 6 5 4" xfId="2994" xr:uid="{00000000-0005-0000-0000-00004B040000}"/>
    <cellStyle name="20% - Accent2 6 5 4 2" xfId="2995" xr:uid="{00000000-0005-0000-0000-00004C040000}"/>
    <cellStyle name="20% - Accent2 6 5 4 2 2" xfId="2996" xr:uid="{00000000-0005-0000-0000-00004D040000}"/>
    <cellStyle name="20% - Accent2 6 5 4 3" xfId="2997" xr:uid="{00000000-0005-0000-0000-00004E040000}"/>
    <cellStyle name="20% - Accent2 6 5 5" xfId="2998" xr:uid="{00000000-0005-0000-0000-00004F040000}"/>
    <cellStyle name="20% - Accent2 6 5 5 2" xfId="2999" xr:uid="{00000000-0005-0000-0000-000050040000}"/>
    <cellStyle name="20% - Accent2 6 5 6" xfId="3000" xr:uid="{00000000-0005-0000-0000-000051040000}"/>
    <cellStyle name="20% - Accent2 6 5 7" xfId="2977" xr:uid="{00000000-0005-0000-0000-000052040000}"/>
    <cellStyle name="20% - Accent2 6 6" xfId="3001" xr:uid="{00000000-0005-0000-0000-000053040000}"/>
    <cellStyle name="20% - Accent2 6 6 2" xfId="3002" xr:uid="{00000000-0005-0000-0000-000054040000}"/>
    <cellStyle name="20% - Accent2 6 6 2 2" xfId="3003" xr:uid="{00000000-0005-0000-0000-000055040000}"/>
    <cellStyle name="20% - Accent2 6 6 2 2 2" xfId="3004" xr:uid="{00000000-0005-0000-0000-000056040000}"/>
    <cellStyle name="20% - Accent2 6 6 2 2 2 2" xfId="3005" xr:uid="{00000000-0005-0000-0000-000057040000}"/>
    <cellStyle name="20% - Accent2 6 6 2 2 3" xfId="3006" xr:uid="{00000000-0005-0000-0000-000058040000}"/>
    <cellStyle name="20% - Accent2 6 6 2 3" xfId="3007" xr:uid="{00000000-0005-0000-0000-000059040000}"/>
    <cellStyle name="20% - Accent2 6 6 2 3 2" xfId="3008" xr:uid="{00000000-0005-0000-0000-00005A040000}"/>
    <cellStyle name="20% - Accent2 6 6 2 4" xfId="3009" xr:uid="{00000000-0005-0000-0000-00005B040000}"/>
    <cellStyle name="20% - Accent2 6 6 3" xfId="3010" xr:uid="{00000000-0005-0000-0000-00005C040000}"/>
    <cellStyle name="20% - Accent2 6 6 3 2" xfId="3011" xr:uid="{00000000-0005-0000-0000-00005D040000}"/>
    <cellStyle name="20% - Accent2 6 6 3 2 2" xfId="3012" xr:uid="{00000000-0005-0000-0000-00005E040000}"/>
    <cellStyle name="20% - Accent2 6 6 3 3" xfId="3013" xr:uid="{00000000-0005-0000-0000-00005F040000}"/>
    <cellStyle name="20% - Accent2 6 6 4" xfId="3014" xr:uid="{00000000-0005-0000-0000-000060040000}"/>
    <cellStyle name="20% - Accent2 6 6 4 2" xfId="3015" xr:uid="{00000000-0005-0000-0000-000061040000}"/>
    <cellStyle name="20% - Accent2 6 6 5" xfId="3016" xr:uid="{00000000-0005-0000-0000-000062040000}"/>
    <cellStyle name="20% - Accent2 6 7" xfId="3017" xr:uid="{00000000-0005-0000-0000-000063040000}"/>
    <cellStyle name="20% - Accent2 6 7 2" xfId="3018" xr:uid="{00000000-0005-0000-0000-000064040000}"/>
    <cellStyle name="20% - Accent2 6 7 2 2" xfId="3019" xr:uid="{00000000-0005-0000-0000-000065040000}"/>
    <cellStyle name="20% - Accent2 6 7 2 2 2" xfId="3020" xr:uid="{00000000-0005-0000-0000-000066040000}"/>
    <cellStyle name="20% - Accent2 6 7 2 2 2 2" xfId="3021" xr:uid="{00000000-0005-0000-0000-000067040000}"/>
    <cellStyle name="20% - Accent2 6 7 2 2 3" xfId="3022" xr:uid="{00000000-0005-0000-0000-000068040000}"/>
    <cellStyle name="20% - Accent2 6 7 2 3" xfId="3023" xr:uid="{00000000-0005-0000-0000-000069040000}"/>
    <cellStyle name="20% - Accent2 6 7 2 3 2" xfId="3024" xr:uid="{00000000-0005-0000-0000-00006A040000}"/>
    <cellStyle name="20% - Accent2 6 7 2 4" xfId="3025" xr:uid="{00000000-0005-0000-0000-00006B040000}"/>
    <cellStyle name="20% - Accent2 6 7 3" xfId="3026" xr:uid="{00000000-0005-0000-0000-00006C040000}"/>
    <cellStyle name="20% - Accent2 6 7 3 2" xfId="3027" xr:uid="{00000000-0005-0000-0000-00006D040000}"/>
    <cellStyle name="20% - Accent2 6 7 3 2 2" xfId="3028" xr:uid="{00000000-0005-0000-0000-00006E040000}"/>
    <cellStyle name="20% - Accent2 6 7 3 3" xfId="3029" xr:uid="{00000000-0005-0000-0000-00006F040000}"/>
    <cellStyle name="20% - Accent2 6 7 4" xfId="3030" xr:uid="{00000000-0005-0000-0000-000070040000}"/>
    <cellStyle name="20% - Accent2 6 7 4 2" xfId="3031" xr:uid="{00000000-0005-0000-0000-000071040000}"/>
    <cellStyle name="20% - Accent2 6 7 5" xfId="3032" xr:uid="{00000000-0005-0000-0000-000072040000}"/>
    <cellStyle name="20% - Accent2 6 8" xfId="3033" xr:uid="{00000000-0005-0000-0000-000073040000}"/>
    <cellStyle name="20% - Accent2 6 8 2" xfId="3034" xr:uid="{00000000-0005-0000-0000-000074040000}"/>
    <cellStyle name="20% - Accent2 6 8 2 2" xfId="3035" xr:uid="{00000000-0005-0000-0000-000075040000}"/>
    <cellStyle name="20% - Accent2 6 8 2 2 2" xfId="3036" xr:uid="{00000000-0005-0000-0000-000076040000}"/>
    <cellStyle name="20% - Accent2 6 8 2 3" xfId="3037" xr:uid="{00000000-0005-0000-0000-000077040000}"/>
    <cellStyle name="20% - Accent2 6 8 3" xfId="3038" xr:uid="{00000000-0005-0000-0000-000078040000}"/>
    <cellStyle name="20% - Accent2 6 8 3 2" xfId="3039" xr:uid="{00000000-0005-0000-0000-000079040000}"/>
    <cellStyle name="20% - Accent2 6 8 4" xfId="3040" xr:uid="{00000000-0005-0000-0000-00007A040000}"/>
    <cellStyle name="20% - Accent2 6 9" xfId="3041" xr:uid="{00000000-0005-0000-0000-00007B040000}"/>
    <cellStyle name="20% - Accent2 6 9 2" xfId="3042" xr:uid="{00000000-0005-0000-0000-00007C040000}"/>
    <cellStyle name="20% - Accent2 6 9 2 2" xfId="3043" xr:uid="{00000000-0005-0000-0000-00007D040000}"/>
    <cellStyle name="20% - Accent2 6 9 2 2 2" xfId="3044" xr:uid="{00000000-0005-0000-0000-00007E040000}"/>
    <cellStyle name="20% - Accent2 6 9 2 3" xfId="3045" xr:uid="{00000000-0005-0000-0000-00007F040000}"/>
    <cellStyle name="20% - Accent2 6 9 3" xfId="3046" xr:uid="{00000000-0005-0000-0000-000080040000}"/>
    <cellStyle name="20% - Accent2 6 9 3 2" xfId="3047" xr:uid="{00000000-0005-0000-0000-000081040000}"/>
    <cellStyle name="20% - Accent2 6 9 4" xfId="3048" xr:uid="{00000000-0005-0000-0000-000082040000}"/>
    <cellStyle name="20% - Accent2 7" xfId="52" xr:uid="{00000000-0005-0000-0000-000083040000}"/>
    <cellStyle name="20% - Accent2 8" xfId="53" xr:uid="{00000000-0005-0000-0000-000084040000}"/>
    <cellStyle name="20% - Accent2 8 2" xfId="3049" xr:uid="{00000000-0005-0000-0000-000085040000}"/>
    <cellStyle name="20% - Accent2 8 2 2" xfId="3050" xr:uid="{00000000-0005-0000-0000-000086040000}"/>
    <cellStyle name="20% - Accent2 8 3" xfId="3051" xr:uid="{00000000-0005-0000-0000-000087040000}"/>
    <cellStyle name="20% - Accent2 9" xfId="3052" xr:uid="{00000000-0005-0000-0000-000088040000}"/>
    <cellStyle name="20% - Accent2 9 2" xfId="3053" xr:uid="{00000000-0005-0000-0000-000089040000}"/>
    <cellStyle name="20% - Accent2 9 2 2" xfId="3054" xr:uid="{00000000-0005-0000-0000-00008A040000}"/>
    <cellStyle name="20% - Accent2 9 3" xfId="3055" xr:uid="{00000000-0005-0000-0000-00008B040000}"/>
    <cellStyle name="20% - Accent3 10" xfId="3056" xr:uid="{00000000-0005-0000-0000-00008C040000}"/>
    <cellStyle name="20% - Accent3 2" xfId="54" xr:uid="{00000000-0005-0000-0000-00008D040000}"/>
    <cellStyle name="20% - Accent3 2 2" xfId="55" xr:uid="{00000000-0005-0000-0000-00008E040000}"/>
    <cellStyle name="20% - Accent3 3" xfId="56" xr:uid="{00000000-0005-0000-0000-00008F040000}"/>
    <cellStyle name="20% - Accent3 4" xfId="57" xr:uid="{00000000-0005-0000-0000-000090040000}"/>
    <cellStyle name="20% - Accent3 5" xfId="58" xr:uid="{00000000-0005-0000-0000-000091040000}"/>
    <cellStyle name="20% - Accent3 6" xfId="59" xr:uid="{00000000-0005-0000-0000-000092040000}"/>
    <cellStyle name="20% - Accent3 6 10" xfId="3058" xr:uid="{00000000-0005-0000-0000-000093040000}"/>
    <cellStyle name="20% - Accent3 6 10 2" xfId="3059" xr:uid="{00000000-0005-0000-0000-000094040000}"/>
    <cellStyle name="20% - Accent3 6 10 2 2" xfId="3060" xr:uid="{00000000-0005-0000-0000-000095040000}"/>
    <cellStyle name="20% - Accent3 6 10 2 2 2" xfId="3061" xr:uid="{00000000-0005-0000-0000-000096040000}"/>
    <cellStyle name="20% - Accent3 6 10 2 3" xfId="3062" xr:uid="{00000000-0005-0000-0000-000097040000}"/>
    <cellStyle name="20% - Accent3 6 10 3" xfId="3063" xr:uid="{00000000-0005-0000-0000-000098040000}"/>
    <cellStyle name="20% - Accent3 6 10 3 2" xfId="3064" xr:uid="{00000000-0005-0000-0000-000099040000}"/>
    <cellStyle name="20% - Accent3 6 10 4" xfId="3065" xr:uid="{00000000-0005-0000-0000-00009A040000}"/>
    <cellStyle name="20% - Accent3 6 11" xfId="3066" xr:uid="{00000000-0005-0000-0000-00009B040000}"/>
    <cellStyle name="20% - Accent3 6 11 2" xfId="3067" xr:uid="{00000000-0005-0000-0000-00009C040000}"/>
    <cellStyle name="20% - Accent3 6 11 2 2" xfId="3068" xr:uid="{00000000-0005-0000-0000-00009D040000}"/>
    <cellStyle name="20% - Accent3 6 11 3" xfId="3069" xr:uid="{00000000-0005-0000-0000-00009E040000}"/>
    <cellStyle name="20% - Accent3 6 12" xfId="3070" xr:uid="{00000000-0005-0000-0000-00009F040000}"/>
    <cellStyle name="20% - Accent3 6 12 2" xfId="3071" xr:uid="{00000000-0005-0000-0000-0000A0040000}"/>
    <cellStyle name="20% - Accent3 6 12 2 2" xfId="3072" xr:uid="{00000000-0005-0000-0000-0000A1040000}"/>
    <cellStyle name="20% - Accent3 6 12 3" xfId="3073" xr:uid="{00000000-0005-0000-0000-0000A2040000}"/>
    <cellStyle name="20% - Accent3 6 13" xfId="3074" xr:uid="{00000000-0005-0000-0000-0000A3040000}"/>
    <cellStyle name="20% - Accent3 6 13 2" xfId="3075" xr:uid="{00000000-0005-0000-0000-0000A4040000}"/>
    <cellStyle name="20% - Accent3 6 13 2 2" xfId="3076" xr:uid="{00000000-0005-0000-0000-0000A5040000}"/>
    <cellStyle name="20% - Accent3 6 13 3" xfId="3077" xr:uid="{00000000-0005-0000-0000-0000A6040000}"/>
    <cellStyle name="20% - Accent3 6 14" xfId="3078" xr:uid="{00000000-0005-0000-0000-0000A7040000}"/>
    <cellStyle name="20% - Accent3 6 14 2" xfId="3079" xr:uid="{00000000-0005-0000-0000-0000A8040000}"/>
    <cellStyle name="20% - Accent3 6 15" xfId="3080" xr:uid="{00000000-0005-0000-0000-0000A9040000}"/>
    <cellStyle name="20% - Accent3 6 16" xfId="3081" xr:uid="{00000000-0005-0000-0000-0000AA040000}"/>
    <cellStyle name="20% - Accent3 6 17" xfId="3057" xr:uid="{00000000-0005-0000-0000-0000AB040000}"/>
    <cellStyle name="20% - Accent3 6 2" xfId="60" xr:uid="{00000000-0005-0000-0000-0000AC040000}"/>
    <cellStyle name="20% - Accent3 6 2 10" xfId="3083" xr:uid="{00000000-0005-0000-0000-0000AD040000}"/>
    <cellStyle name="20% - Accent3 6 2 10 2" xfId="3084" xr:uid="{00000000-0005-0000-0000-0000AE040000}"/>
    <cellStyle name="20% - Accent3 6 2 10 2 2" xfId="3085" xr:uid="{00000000-0005-0000-0000-0000AF040000}"/>
    <cellStyle name="20% - Accent3 6 2 10 3" xfId="3086" xr:uid="{00000000-0005-0000-0000-0000B0040000}"/>
    <cellStyle name="20% - Accent3 6 2 11" xfId="3087" xr:uid="{00000000-0005-0000-0000-0000B1040000}"/>
    <cellStyle name="20% - Accent3 6 2 11 2" xfId="3088" xr:uid="{00000000-0005-0000-0000-0000B2040000}"/>
    <cellStyle name="20% - Accent3 6 2 11 2 2" xfId="3089" xr:uid="{00000000-0005-0000-0000-0000B3040000}"/>
    <cellStyle name="20% - Accent3 6 2 11 3" xfId="3090" xr:uid="{00000000-0005-0000-0000-0000B4040000}"/>
    <cellStyle name="20% - Accent3 6 2 12" xfId="3091" xr:uid="{00000000-0005-0000-0000-0000B5040000}"/>
    <cellStyle name="20% - Accent3 6 2 12 2" xfId="3092" xr:uid="{00000000-0005-0000-0000-0000B6040000}"/>
    <cellStyle name="20% - Accent3 6 2 13" xfId="3093" xr:uid="{00000000-0005-0000-0000-0000B7040000}"/>
    <cellStyle name="20% - Accent3 6 2 14" xfId="3094" xr:uid="{00000000-0005-0000-0000-0000B8040000}"/>
    <cellStyle name="20% - Accent3 6 2 15" xfId="3082" xr:uid="{00000000-0005-0000-0000-0000B9040000}"/>
    <cellStyle name="20% - Accent3 6 2 2" xfId="818" xr:uid="{00000000-0005-0000-0000-0000BA040000}"/>
    <cellStyle name="20% - Accent3 6 2 2 10" xfId="3096" xr:uid="{00000000-0005-0000-0000-0000BB040000}"/>
    <cellStyle name="20% - Accent3 6 2 2 11" xfId="3095" xr:uid="{00000000-0005-0000-0000-0000BC040000}"/>
    <cellStyle name="20% - Accent3 6 2 2 2" xfId="1576" xr:uid="{00000000-0005-0000-0000-0000BD040000}"/>
    <cellStyle name="20% - Accent3 6 2 2 2 2" xfId="3098" xr:uid="{00000000-0005-0000-0000-0000BE040000}"/>
    <cellStyle name="20% - Accent3 6 2 2 2 2 2" xfId="3099" xr:uid="{00000000-0005-0000-0000-0000BF040000}"/>
    <cellStyle name="20% - Accent3 6 2 2 2 2 2 2" xfId="3100" xr:uid="{00000000-0005-0000-0000-0000C0040000}"/>
    <cellStyle name="20% - Accent3 6 2 2 2 2 2 2 2" xfId="3101" xr:uid="{00000000-0005-0000-0000-0000C1040000}"/>
    <cellStyle name="20% - Accent3 6 2 2 2 2 2 3" xfId="3102" xr:uid="{00000000-0005-0000-0000-0000C2040000}"/>
    <cellStyle name="20% - Accent3 6 2 2 2 2 3" xfId="3103" xr:uid="{00000000-0005-0000-0000-0000C3040000}"/>
    <cellStyle name="20% - Accent3 6 2 2 2 2 3 2" xfId="3104" xr:uid="{00000000-0005-0000-0000-0000C4040000}"/>
    <cellStyle name="20% - Accent3 6 2 2 2 2 4" xfId="3105" xr:uid="{00000000-0005-0000-0000-0000C5040000}"/>
    <cellStyle name="20% - Accent3 6 2 2 2 3" xfId="3106" xr:uid="{00000000-0005-0000-0000-0000C6040000}"/>
    <cellStyle name="20% - Accent3 6 2 2 2 3 2" xfId="3107" xr:uid="{00000000-0005-0000-0000-0000C7040000}"/>
    <cellStyle name="20% - Accent3 6 2 2 2 3 2 2" xfId="3108" xr:uid="{00000000-0005-0000-0000-0000C8040000}"/>
    <cellStyle name="20% - Accent3 6 2 2 2 3 2 2 2" xfId="3109" xr:uid="{00000000-0005-0000-0000-0000C9040000}"/>
    <cellStyle name="20% - Accent3 6 2 2 2 3 2 3" xfId="3110" xr:uid="{00000000-0005-0000-0000-0000CA040000}"/>
    <cellStyle name="20% - Accent3 6 2 2 2 3 3" xfId="3111" xr:uid="{00000000-0005-0000-0000-0000CB040000}"/>
    <cellStyle name="20% - Accent3 6 2 2 2 3 3 2" xfId="3112" xr:uid="{00000000-0005-0000-0000-0000CC040000}"/>
    <cellStyle name="20% - Accent3 6 2 2 2 3 4" xfId="3113" xr:uid="{00000000-0005-0000-0000-0000CD040000}"/>
    <cellStyle name="20% - Accent3 6 2 2 2 4" xfId="3114" xr:uid="{00000000-0005-0000-0000-0000CE040000}"/>
    <cellStyle name="20% - Accent3 6 2 2 2 4 2" xfId="3115" xr:uid="{00000000-0005-0000-0000-0000CF040000}"/>
    <cellStyle name="20% - Accent3 6 2 2 2 4 2 2" xfId="3116" xr:uid="{00000000-0005-0000-0000-0000D0040000}"/>
    <cellStyle name="20% - Accent3 6 2 2 2 4 3" xfId="3117" xr:uid="{00000000-0005-0000-0000-0000D1040000}"/>
    <cellStyle name="20% - Accent3 6 2 2 2 5" xfId="3118" xr:uid="{00000000-0005-0000-0000-0000D2040000}"/>
    <cellStyle name="20% - Accent3 6 2 2 2 5 2" xfId="3119" xr:uid="{00000000-0005-0000-0000-0000D3040000}"/>
    <cellStyle name="20% - Accent3 6 2 2 2 6" xfId="3120" xr:uid="{00000000-0005-0000-0000-0000D4040000}"/>
    <cellStyle name="20% - Accent3 6 2 2 2 7" xfId="3097" xr:uid="{00000000-0005-0000-0000-0000D5040000}"/>
    <cellStyle name="20% - Accent3 6 2 2 3" xfId="3121" xr:uid="{00000000-0005-0000-0000-0000D6040000}"/>
    <cellStyle name="20% - Accent3 6 2 2 3 2" xfId="3122" xr:uid="{00000000-0005-0000-0000-0000D7040000}"/>
    <cellStyle name="20% - Accent3 6 2 2 3 2 2" xfId="3123" xr:uid="{00000000-0005-0000-0000-0000D8040000}"/>
    <cellStyle name="20% - Accent3 6 2 2 3 2 2 2" xfId="3124" xr:uid="{00000000-0005-0000-0000-0000D9040000}"/>
    <cellStyle name="20% - Accent3 6 2 2 3 2 2 2 2" xfId="3125" xr:uid="{00000000-0005-0000-0000-0000DA040000}"/>
    <cellStyle name="20% - Accent3 6 2 2 3 2 2 3" xfId="3126" xr:uid="{00000000-0005-0000-0000-0000DB040000}"/>
    <cellStyle name="20% - Accent3 6 2 2 3 2 3" xfId="3127" xr:uid="{00000000-0005-0000-0000-0000DC040000}"/>
    <cellStyle name="20% - Accent3 6 2 2 3 2 3 2" xfId="3128" xr:uid="{00000000-0005-0000-0000-0000DD040000}"/>
    <cellStyle name="20% - Accent3 6 2 2 3 2 4" xfId="3129" xr:uid="{00000000-0005-0000-0000-0000DE040000}"/>
    <cellStyle name="20% - Accent3 6 2 2 3 3" xfId="3130" xr:uid="{00000000-0005-0000-0000-0000DF040000}"/>
    <cellStyle name="20% - Accent3 6 2 2 3 3 2" xfId="3131" xr:uid="{00000000-0005-0000-0000-0000E0040000}"/>
    <cellStyle name="20% - Accent3 6 2 2 3 3 2 2" xfId="3132" xr:uid="{00000000-0005-0000-0000-0000E1040000}"/>
    <cellStyle name="20% - Accent3 6 2 2 3 3 3" xfId="3133" xr:uid="{00000000-0005-0000-0000-0000E2040000}"/>
    <cellStyle name="20% - Accent3 6 2 2 3 4" xfId="3134" xr:uid="{00000000-0005-0000-0000-0000E3040000}"/>
    <cellStyle name="20% - Accent3 6 2 2 3 4 2" xfId="3135" xr:uid="{00000000-0005-0000-0000-0000E4040000}"/>
    <cellStyle name="20% - Accent3 6 2 2 3 5" xfId="3136" xr:uid="{00000000-0005-0000-0000-0000E5040000}"/>
    <cellStyle name="20% - Accent3 6 2 2 4" xfId="3137" xr:uid="{00000000-0005-0000-0000-0000E6040000}"/>
    <cellStyle name="20% - Accent3 6 2 2 4 2" xfId="3138" xr:uid="{00000000-0005-0000-0000-0000E7040000}"/>
    <cellStyle name="20% - Accent3 6 2 2 4 2 2" xfId="3139" xr:uid="{00000000-0005-0000-0000-0000E8040000}"/>
    <cellStyle name="20% - Accent3 6 2 2 4 2 2 2" xfId="3140" xr:uid="{00000000-0005-0000-0000-0000E9040000}"/>
    <cellStyle name="20% - Accent3 6 2 2 4 2 2 2 2" xfId="3141" xr:uid="{00000000-0005-0000-0000-0000EA040000}"/>
    <cellStyle name="20% - Accent3 6 2 2 4 2 2 3" xfId="3142" xr:uid="{00000000-0005-0000-0000-0000EB040000}"/>
    <cellStyle name="20% - Accent3 6 2 2 4 2 3" xfId="3143" xr:uid="{00000000-0005-0000-0000-0000EC040000}"/>
    <cellStyle name="20% - Accent3 6 2 2 4 2 3 2" xfId="3144" xr:uid="{00000000-0005-0000-0000-0000ED040000}"/>
    <cellStyle name="20% - Accent3 6 2 2 4 2 4" xfId="3145" xr:uid="{00000000-0005-0000-0000-0000EE040000}"/>
    <cellStyle name="20% - Accent3 6 2 2 4 3" xfId="3146" xr:uid="{00000000-0005-0000-0000-0000EF040000}"/>
    <cellStyle name="20% - Accent3 6 2 2 4 3 2" xfId="3147" xr:uid="{00000000-0005-0000-0000-0000F0040000}"/>
    <cellStyle name="20% - Accent3 6 2 2 4 3 2 2" xfId="3148" xr:uid="{00000000-0005-0000-0000-0000F1040000}"/>
    <cellStyle name="20% - Accent3 6 2 2 4 3 3" xfId="3149" xr:uid="{00000000-0005-0000-0000-0000F2040000}"/>
    <cellStyle name="20% - Accent3 6 2 2 4 4" xfId="3150" xr:uid="{00000000-0005-0000-0000-0000F3040000}"/>
    <cellStyle name="20% - Accent3 6 2 2 4 4 2" xfId="3151" xr:uid="{00000000-0005-0000-0000-0000F4040000}"/>
    <cellStyle name="20% - Accent3 6 2 2 4 5" xfId="3152" xr:uid="{00000000-0005-0000-0000-0000F5040000}"/>
    <cellStyle name="20% - Accent3 6 2 2 5" xfId="3153" xr:uid="{00000000-0005-0000-0000-0000F6040000}"/>
    <cellStyle name="20% - Accent3 6 2 2 5 2" xfId="3154" xr:uid="{00000000-0005-0000-0000-0000F7040000}"/>
    <cellStyle name="20% - Accent3 6 2 2 5 2 2" xfId="3155" xr:uid="{00000000-0005-0000-0000-0000F8040000}"/>
    <cellStyle name="20% - Accent3 6 2 2 5 2 2 2" xfId="3156" xr:uid="{00000000-0005-0000-0000-0000F9040000}"/>
    <cellStyle name="20% - Accent3 6 2 2 5 2 3" xfId="3157" xr:uid="{00000000-0005-0000-0000-0000FA040000}"/>
    <cellStyle name="20% - Accent3 6 2 2 5 3" xfId="3158" xr:uid="{00000000-0005-0000-0000-0000FB040000}"/>
    <cellStyle name="20% - Accent3 6 2 2 5 3 2" xfId="3159" xr:uid="{00000000-0005-0000-0000-0000FC040000}"/>
    <cellStyle name="20% - Accent3 6 2 2 5 4" xfId="3160" xr:uid="{00000000-0005-0000-0000-0000FD040000}"/>
    <cellStyle name="20% - Accent3 6 2 2 6" xfId="3161" xr:uid="{00000000-0005-0000-0000-0000FE040000}"/>
    <cellStyle name="20% - Accent3 6 2 2 6 2" xfId="3162" xr:uid="{00000000-0005-0000-0000-0000FF040000}"/>
    <cellStyle name="20% - Accent3 6 2 2 6 2 2" xfId="3163" xr:uid="{00000000-0005-0000-0000-000000050000}"/>
    <cellStyle name="20% - Accent3 6 2 2 6 2 2 2" xfId="3164" xr:uid="{00000000-0005-0000-0000-000001050000}"/>
    <cellStyle name="20% - Accent3 6 2 2 6 2 3" xfId="3165" xr:uid="{00000000-0005-0000-0000-000002050000}"/>
    <cellStyle name="20% - Accent3 6 2 2 6 3" xfId="3166" xr:uid="{00000000-0005-0000-0000-000003050000}"/>
    <cellStyle name="20% - Accent3 6 2 2 6 3 2" xfId="3167" xr:uid="{00000000-0005-0000-0000-000004050000}"/>
    <cellStyle name="20% - Accent3 6 2 2 6 4" xfId="3168" xr:uid="{00000000-0005-0000-0000-000005050000}"/>
    <cellStyle name="20% - Accent3 6 2 2 7" xfId="3169" xr:uid="{00000000-0005-0000-0000-000006050000}"/>
    <cellStyle name="20% - Accent3 6 2 2 7 2" xfId="3170" xr:uid="{00000000-0005-0000-0000-000007050000}"/>
    <cellStyle name="20% - Accent3 6 2 2 7 2 2" xfId="3171" xr:uid="{00000000-0005-0000-0000-000008050000}"/>
    <cellStyle name="20% - Accent3 6 2 2 7 2 2 2" xfId="3172" xr:uid="{00000000-0005-0000-0000-000009050000}"/>
    <cellStyle name="20% - Accent3 6 2 2 7 2 3" xfId="3173" xr:uid="{00000000-0005-0000-0000-00000A050000}"/>
    <cellStyle name="20% - Accent3 6 2 2 7 3" xfId="3174" xr:uid="{00000000-0005-0000-0000-00000B050000}"/>
    <cellStyle name="20% - Accent3 6 2 2 7 3 2" xfId="3175" xr:uid="{00000000-0005-0000-0000-00000C050000}"/>
    <cellStyle name="20% - Accent3 6 2 2 7 4" xfId="3176" xr:uid="{00000000-0005-0000-0000-00000D050000}"/>
    <cellStyle name="20% - Accent3 6 2 2 8" xfId="3177" xr:uid="{00000000-0005-0000-0000-00000E050000}"/>
    <cellStyle name="20% - Accent3 6 2 2 8 2" xfId="3178" xr:uid="{00000000-0005-0000-0000-00000F050000}"/>
    <cellStyle name="20% - Accent3 6 2 2 8 2 2" xfId="3179" xr:uid="{00000000-0005-0000-0000-000010050000}"/>
    <cellStyle name="20% - Accent3 6 2 2 8 3" xfId="3180" xr:uid="{00000000-0005-0000-0000-000011050000}"/>
    <cellStyle name="20% - Accent3 6 2 2 9" xfId="3181" xr:uid="{00000000-0005-0000-0000-000012050000}"/>
    <cellStyle name="20% - Accent3 6 2 2 9 2" xfId="3182" xr:uid="{00000000-0005-0000-0000-000013050000}"/>
    <cellStyle name="20% - Accent3 6 2 3" xfId="1251" xr:uid="{00000000-0005-0000-0000-000014050000}"/>
    <cellStyle name="20% - Accent3 6 2 3 2" xfId="3184" xr:uid="{00000000-0005-0000-0000-000015050000}"/>
    <cellStyle name="20% - Accent3 6 2 3 2 2" xfId="3185" xr:uid="{00000000-0005-0000-0000-000016050000}"/>
    <cellStyle name="20% - Accent3 6 2 3 2 2 2" xfId="3186" xr:uid="{00000000-0005-0000-0000-000017050000}"/>
    <cellStyle name="20% - Accent3 6 2 3 2 2 2 2" xfId="3187" xr:uid="{00000000-0005-0000-0000-000018050000}"/>
    <cellStyle name="20% - Accent3 6 2 3 2 2 3" xfId="3188" xr:uid="{00000000-0005-0000-0000-000019050000}"/>
    <cellStyle name="20% - Accent3 6 2 3 2 3" xfId="3189" xr:uid="{00000000-0005-0000-0000-00001A050000}"/>
    <cellStyle name="20% - Accent3 6 2 3 2 3 2" xfId="3190" xr:uid="{00000000-0005-0000-0000-00001B050000}"/>
    <cellStyle name="20% - Accent3 6 2 3 2 4" xfId="3191" xr:uid="{00000000-0005-0000-0000-00001C050000}"/>
    <cellStyle name="20% - Accent3 6 2 3 3" xfId="3192" xr:uid="{00000000-0005-0000-0000-00001D050000}"/>
    <cellStyle name="20% - Accent3 6 2 3 3 2" xfId="3193" xr:uid="{00000000-0005-0000-0000-00001E050000}"/>
    <cellStyle name="20% - Accent3 6 2 3 3 2 2" xfId="3194" xr:uid="{00000000-0005-0000-0000-00001F050000}"/>
    <cellStyle name="20% - Accent3 6 2 3 3 2 2 2" xfId="3195" xr:uid="{00000000-0005-0000-0000-000020050000}"/>
    <cellStyle name="20% - Accent3 6 2 3 3 2 3" xfId="3196" xr:uid="{00000000-0005-0000-0000-000021050000}"/>
    <cellStyle name="20% - Accent3 6 2 3 3 3" xfId="3197" xr:uid="{00000000-0005-0000-0000-000022050000}"/>
    <cellStyle name="20% - Accent3 6 2 3 3 3 2" xfId="3198" xr:uid="{00000000-0005-0000-0000-000023050000}"/>
    <cellStyle name="20% - Accent3 6 2 3 3 4" xfId="3199" xr:uid="{00000000-0005-0000-0000-000024050000}"/>
    <cellStyle name="20% - Accent3 6 2 3 4" xfId="3200" xr:uid="{00000000-0005-0000-0000-000025050000}"/>
    <cellStyle name="20% - Accent3 6 2 3 4 2" xfId="3201" xr:uid="{00000000-0005-0000-0000-000026050000}"/>
    <cellStyle name="20% - Accent3 6 2 3 4 2 2" xfId="3202" xr:uid="{00000000-0005-0000-0000-000027050000}"/>
    <cellStyle name="20% - Accent3 6 2 3 4 3" xfId="3203" xr:uid="{00000000-0005-0000-0000-000028050000}"/>
    <cellStyle name="20% - Accent3 6 2 3 5" xfId="3204" xr:uid="{00000000-0005-0000-0000-000029050000}"/>
    <cellStyle name="20% - Accent3 6 2 3 5 2" xfId="3205" xr:uid="{00000000-0005-0000-0000-00002A050000}"/>
    <cellStyle name="20% - Accent3 6 2 3 6" xfId="3206" xr:uid="{00000000-0005-0000-0000-00002B050000}"/>
    <cellStyle name="20% - Accent3 6 2 3 7" xfId="3183" xr:uid="{00000000-0005-0000-0000-00002C050000}"/>
    <cellStyle name="20% - Accent3 6 2 4" xfId="3207" xr:uid="{00000000-0005-0000-0000-00002D050000}"/>
    <cellStyle name="20% - Accent3 6 2 4 2" xfId="3208" xr:uid="{00000000-0005-0000-0000-00002E050000}"/>
    <cellStyle name="20% - Accent3 6 2 4 2 2" xfId="3209" xr:uid="{00000000-0005-0000-0000-00002F050000}"/>
    <cellStyle name="20% - Accent3 6 2 4 2 2 2" xfId="3210" xr:uid="{00000000-0005-0000-0000-000030050000}"/>
    <cellStyle name="20% - Accent3 6 2 4 2 2 2 2" xfId="3211" xr:uid="{00000000-0005-0000-0000-000031050000}"/>
    <cellStyle name="20% - Accent3 6 2 4 2 2 3" xfId="3212" xr:uid="{00000000-0005-0000-0000-000032050000}"/>
    <cellStyle name="20% - Accent3 6 2 4 2 3" xfId="3213" xr:uid="{00000000-0005-0000-0000-000033050000}"/>
    <cellStyle name="20% - Accent3 6 2 4 2 3 2" xfId="3214" xr:uid="{00000000-0005-0000-0000-000034050000}"/>
    <cellStyle name="20% - Accent3 6 2 4 2 4" xfId="3215" xr:uid="{00000000-0005-0000-0000-000035050000}"/>
    <cellStyle name="20% - Accent3 6 2 4 3" xfId="3216" xr:uid="{00000000-0005-0000-0000-000036050000}"/>
    <cellStyle name="20% - Accent3 6 2 4 3 2" xfId="3217" xr:uid="{00000000-0005-0000-0000-000037050000}"/>
    <cellStyle name="20% - Accent3 6 2 4 3 2 2" xfId="3218" xr:uid="{00000000-0005-0000-0000-000038050000}"/>
    <cellStyle name="20% - Accent3 6 2 4 3 3" xfId="3219" xr:uid="{00000000-0005-0000-0000-000039050000}"/>
    <cellStyle name="20% - Accent3 6 2 4 4" xfId="3220" xr:uid="{00000000-0005-0000-0000-00003A050000}"/>
    <cellStyle name="20% - Accent3 6 2 4 4 2" xfId="3221" xr:uid="{00000000-0005-0000-0000-00003B050000}"/>
    <cellStyle name="20% - Accent3 6 2 4 5" xfId="3222" xr:uid="{00000000-0005-0000-0000-00003C050000}"/>
    <cellStyle name="20% - Accent3 6 2 5" xfId="3223" xr:uid="{00000000-0005-0000-0000-00003D050000}"/>
    <cellStyle name="20% - Accent3 6 2 5 2" xfId="3224" xr:uid="{00000000-0005-0000-0000-00003E050000}"/>
    <cellStyle name="20% - Accent3 6 2 5 2 2" xfId="3225" xr:uid="{00000000-0005-0000-0000-00003F050000}"/>
    <cellStyle name="20% - Accent3 6 2 5 2 2 2" xfId="3226" xr:uid="{00000000-0005-0000-0000-000040050000}"/>
    <cellStyle name="20% - Accent3 6 2 5 2 2 2 2" xfId="3227" xr:uid="{00000000-0005-0000-0000-000041050000}"/>
    <cellStyle name="20% - Accent3 6 2 5 2 2 3" xfId="3228" xr:uid="{00000000-0005-0000-0000-000042050000}"/>
    <cellStyle name="20% - Accent3 6 2 5 2 3" xfId="3229" xr:uid="{00000000-0005-0000-0000-000043050000}"/>
    <cellStyle name="20% - Accent3 6 2 5 2 3 2" xfId="3230" xr:uid="{00000000-0005-0000-0000-000044050000}"/>
    <cellStyle name="20% - Accent3 6 2 5 2 4" xfId="3231" xr:uid="{00000000-0005-0000-0000-000045050000}"/>
    <cellStyle name="20% - Accent3 6 2 5 3" xfId="3232" xr:uid="{00000000-0005-0000-0000-000046050000}"/>
    <cellStyle name="20% - Accent3 6 2 5 3 2" xfId="3233" xr:uid="{00000000-0005-0000-0000-000047050000}"/>
    <cellStyle name="20% - Accent3 6 2 5 3 2 2" xfId="3234" xr:uid="{00000000-0005-0000-0000-000048050000}"/>
    <cellStyle name="20% - Accent3 6 2 5 3 3" xfId="3235" xr:uid="{00000000-0005-0000-0000-000049050000}"/>
    <cellStyle name="20% - Accent3 6 2 5 4" xfId="3236" xr:uid="{00000000-0005-0000-0000-00004A050000}"/>
    <cellStyle name="20% - Accent3 6 2 5 4 2" xfId="3237" xr:uid="{00000000-0005-0000-0000-00004B050000}"/>
    <cellStyle name="20% - Accent3 6 2 5 5" xfId="3238" xr:uid="{00000000-0005-0000-0000-00004C050000}"/>
    <cellStyle name="20% - Accent3 6 2 6" xfId="3239" xr:uid="{00000000-0005-0000-0000-00004D050000}"/>
    <cellStyle name="20% - Accent3 6 2 6 2" xfId="3240" xr:uid="{00000000-0005-0000-0000-00004E050000}"/>
    <cellStyle name="20% - Accent3 6 2 6 2 2" xfId="3241" xr:uid="{00000000-0005-0000-0000-00004F050000}"/>
    <cellStyle name="20% - Accent3 6 2 6 2 2 2" xfId="3242" xr:uid="{00000000-0005-0000-0000-000050050000}"/>
    <cellStyle name="20% - Accent3 6 2 6 2 3" xfId="3243" xr:uid="{00000000-0005-0000-0000-000051050000}"/>
    <cellStyle name="20% - Accent3 6 2 6 3" xfId="3244" xr:uid="{00000000-0005-0000-0000-000052050000}"/>
    <cellStyle name="20% - Accent3 6 2 6 3 2" xfId="3245" xr:uid="{00000000-0005-0000-0000-000053050000}"/>
    <cellStyle name="20% - Accent3 6 2 6 4" xfId="3246" xr:uid="{00000000-0005-0000-0000-000054050000}"/>
    <cellStyle name="20% - Accent3 6 2 7" xfId="3247" xr:uid="{00000000-0005-0000-0000-000055050000}"/>
    <cellStyle name="20% - Accent3 6 2 7 2" xfId="3248" xr:uid="{00000000-0005-0000-0000-000056050000}"/>
    <cellStyle name="20% - Accent3 6 2 7 2 2" xfId="3249" xr:uid="{00000000-0005-0000-0000-000057050000}"/>
    <cellStyle name="20% - Accent3 6 2 7 2 2 2" xfId="3250" xr:uid="{00000000-0005-0000-0000-000058050000}"/>
    <cellStyle name="20% - Accent3 6 2 7 2 3" xfId="3251" xr:uid="{00000000-0005-0000-0000-000059050000}"/>
    <cellStyle name="20% - Accent3 6 2 7 3" xfId="3252" xr:uid="{00000000-0005-0000-0000-00005A050000}"/>
    <cellStyle name="20% - Accent3 6 2 7 3 2" xfId="3253" xr:uid="{00000000-0005-0000-0000-00005B050000}"/>
    <cellStyle name="20% - Accent3 6 2 7 4" xfId="3254" xr:uid="{00000000-0005-0000-0000-00005C050000}"/>
    <cellStyle name="20% - Accent3 6 2 8" xfId="3255" xr:uid="{00000000-0005-0000-0000-00005D050000}"/>
    <cellStyle name="20% - Accent3 6 2 8 2" xfId="3256" xr:uid="{00000000-0005-0000-0000-00005E050000}"/>
    <cellStyle name="20% - Accent3 6 2 8 2 2" xfId="3257" xr:uid="{00000000-0005-0000-0000-00005F050000}"/>
    <cellStyle name="20% - Accent3 6 2 8 2 2 2" xfId="3258" xr:uid="{00000000-0005-0000-0000-000060050000}"/>
    <cellStyle name="20% - Accent3 6 2 8 2 3" xfId="3259" xr:uid="{00000000-0005-0000-0000-000061050000}"/>
    <cellStyle name="20% - Accent3 6 2 8 3" xfId="3260" xr:uid="{00000000-0005-0000-0000-000062050000}"/>
    <cellStyle name="20% - Accent3 6 2 8 3 2" xfId="3261" xr:uid="{00000000-0005-0000-0000-000063050000}"/>
    <cellStyle name="20% - Accent3 6 2 8 4" xfId="3262" xr:uid="{00000000-0005-0000-0000-000064050000}"/>
    <cellStyle name="20% - Accent3 6 2 9" xfId="3263" xr:uid="{00000000-0005-0000-0000-000065050000}"/>
    <cellStyle name="20% - Accent3 6 2 9 2" xfId="3264" xr:uid="{00000000-0005-0000-0000-000066050000}"/>
    <cellStyle name="20% - Accent3 6 2 9 2 2" xfId="3265" xr:uid="{00000000-0005-0000-0000-000067050000}"/>
    <cellStyle name="20% - Accent3 6 2 9 3" xfId="3266" xr:uid="{00000000-0005-0000-0000-000068050000}"/>
    <cellStyle name="20% - Accent3 6 3" xfId="61" xr:uid="{00000000-0005-0000-0000-000069050000}"/>
    <cellStyle name="20% - Accent3 6 3 10" xfId="3268" xr:uid="{00000000-0005-0000-0000-00006A050000}"/>
    <cellStyle name="20% - Accent3 6 3 10 2" xfId="3269" xr:uid="{00000000-0005-0000-0000-00006B050000}"/>
    <cellStyle name="20% - Accent3 6 3 10 2 2" xfId="3270" xr:uid="{00000000-0005-0000-0000-00006C050000}"/>
    <cellStyle name="20% - Accent3 6 3 10 3" xfId="3271" xr:uid="{00000000-0005-0000-0000-00006D050000}"/>
    <cellStyle name="20% - Accent3 6 3 11" xfId="3272" xr:uid="{00000000-0005-0000-0000-00006E050000}"/>
    <cellStyle name="20% - Accent3 6 3 11 2" xfId="3273" xr:uid="{00000000-0005-0000-0000-00006F050000}"/>
    <cellStyle name="20% - Accent3 6 3 11 2 2" xfId="3274" xr:uid="{00000000-0005-0000-0000-000070050000}"/>
    <cellStyle name="20% - Accent3 6 3 11 3" xfId="3275" xr:uid="{00000000-0005-0000-0000-000071050000}"/>
    <cellStyle name="20% - Accent3 6 3 12" xfId="3276" xr:uid="{00000000-0005-0000-0000-000072050000}"/>
    <cellStyle name="20% - Accent3 6 3 12 2" xfId="3277" xr:uid="{00000000-0005-0000-0000-000073050000}"/>
    <cellStyle name="20% - Accent3 6 3 13" xfId="3278" xr:uid="{00000000-0005-0000-0000-000074050000}"/>
    <cellStyle name="20% - Accent3 6 3 14" xfId="3279" xr:uid="{00000000-0005-0000-0000-000075050000}"/>
    <cellStyle name="20% - Accent3 6 3 15" xfId="3267" xr:uid="{00000000-0005-0000-0000-000076050000}"/>
    <cellStyle name="20% - Accent3 6 3 2" xfId="819" xr:uid="{00000000-0005-0000-0000-000077050000}"/>
    <cellStyle name="20% - Accent3 6 3 2 10" xfId="3281" xr:uid="{00000000-0005-0000-0000-000078050000}"/>
    <cellStyle name="20% - Accent3 6 3 2 11" xfId="3280" xr:uid="{00000000-0005-0000-0000-000079050000}"/>
    <cellStyle name="20% - Accent3 6 3 2 2" xfId="1577" xr:uid="{00000000-0005-0000-0000-00007A050000}"/>
    <cellStyle name="20% - Accent3 6 3 2 2 2" xfId="3283" xr:uid="{00000000-0005-0000-0000-00007B050000}"/>
    <cellStyle name="20% - Accent3 6 3 2 2 2 2" xfId="3284" xr:uid="{00000000-0005-0000-0000-00007C050000}"/>
    <cellStyle name="20% - Accent3 6 3 2 2 2 2 2" xfId="3285" xr:uid="{00000000-0005-0000-0000-00007D050000}"/>
    <cellStyle name="20% - Accent3 6 3 2 2 2 2 2 2" xfId="3286" xr:uid="{00000000-0005-0000-0000-00007E050000}"/>
    <cellStyle name="20% - Accent3 6 3 2 2 2 2 3" xfId="3287" xr:uid="{00000000-0005-0000-0000-00007F050000}"/>
    <cellStyle name="20% - Accent3 6 3 2 2 2 3" xfId="3288" xr:uid="{00000000-0005-0000-0000-000080050000}"/>
    <cellStyle name="20% - Accent3 6 3 2 2 2 3 2" xfId="3289" xr:uid="{00000000-0005-0000-0000-000081050000}"/>
    <cellStyle name="20% - Accent3 6 3 2 2 2 4" xfId="3290" xr:uid="{00000000-0005-0000-0000-000082050000}"/>
    <cellStyle name="20% - Accent3 6 3 2 2 3" xfId="3291" xr:uid="{00000000-0005-0000-0000-000083050000}"/>
    <cellStyle name="20% - Accent3 6 3 2 2 3 2" xfId="3292" xr:uid="{00000000-0005-0000-0000-000084050000}"/>
    <cellStyle name="20% - Accent3 6 3 2 2 3 2 2" xfId="3293" xr:uid="{00000000-0005-0000-0000-000085050000}"/>
    <cellStyle name="20% - Accent3 6 3 2 2 3 2 2 2" xfId="3294" xr:uid="{00000000-0005-0000-0000-000086050000}"/>
    <cellStyle name="20% - Accent3 6 3 2 2 3 2 3" xfId="3295" xr:uid="{00000000-0005-0000-0000-000087050000}"/>
    <cellStyle name="20% - Accent3 6 3 2 2 3 3" xfId="3296" xr:uid="{00000000-0005-0000-0000-000088050000}"/>
    <cellStyle name="20% - Accent3 6 3 2 2 3 3 2" xfId="3297" xr:uid="{00000000-0005-0000-0000-000089050000}"/>
    <cellStyle name="20% - Accent3 6 3 2 2 3 4" xfId="3298" xr:uid="{00000000-0005-0000-0000-00008A050000}"/>
    <cellStyle name="20% - Accent3 6 3 2 2 4" xfId="3299" xr:uid="{00000000-0005-0000-0000-00008B050000}"/>
    <cellStyle name="20% - Accent3 6 3 2 2 4 2" xfId="3300" xr:uid="{00000000-0005-0000-0000-00008C050000}"/>
    <cellStyle name="20% - Accent3 6 3 2 2 4 2 2" xfId="3301" xr:uid="{00000000-0005-0000-0000-00008D050000}"/>
    <cellStyle name="20% - Accent3 6 3 2 2 4 3" xfId="3302" xr:uid="{00000000-0005-0000-0000-00008E050000}"/>
    <cellStyle name="20% - Accent3 6 3 2 2 5" xfId="3303" xr:uid="{00000000-0005-0000-0000-00008F050000}"/>
    <cellStyle name="20% - Accent3 6 3 2 2 5 2" xfId="3304" xr:uid="{00000000-0005-0000-0000-000090050000}"/>
    <cellStyle name="20% - Accent3 6 3 2 2 6" xfId="3305" xr:uid="{00000000-0005-0000-0000-000091050000}"/>
    <cellStyle name="20% - Accent3 6 3 2 2 7" xfId="3282" xr:uid="{00000000-0005-0000-0000-000092050000}"/>
    <cellStyle name="20% - Accent3 6 3 2 3" xfId="3306" xr:uid="{00000000-0005-0000-0000-000093050000}"/>
    <cellStyle name="20% - Accent3 6 3 2 3 2" xfId="3307" xr:uid="{00000000-0005-0000-0000-000094050000}"/>
    <cellStyle name="20% - Accent3 6 3 2 3 2 2" xfId="3308" xr:uid="{00000000-0005-0000-0000-000095050000}"/>
    <cellStyle name="20% - Accent3 6 3 2 3 2 2 2" xfId="3309" xr:uid="{00000000-0005-0000-0000-000096050000}"/>
    <cellStyle name="20% - Accent3 6 3 2 3 2 2 2 2" xfId="3310" xr:uid="{00000000-0005-0000-0000-000097050000}"/>
    <cellStyle name="20% - Accent3 6 3 2 3 2 2 3" xfId="3311" xr:uid="{00000000-0005-0000-0000-000098050000}"/>
    <cellStyle name="20% - Accent3 6 3 2 3 2 3" xfId="3312" xr:uid="{00000000-0005-0000-0000-000099050000}"/>
    <cellStyle name="20% - Accent3 6 3 2 3 2 3 2" xfId="3313" xr:uid="{00000000-0005-0000-0000-00009A050000}"/>
    <cellStyle name="20% - Accent3 6 3 2 3 2 4" xfId="3314" xr:uid="{00000000-0005-0000-0000-00009B050000}"/>
    <cellStyle name="20% - Accent3 6 3 2 3 3" xfId="3315" xr:uid="{00000000-0005-0000-0000-00009C050000}"/>
    <cellStyle name="20% - Accent3 6 3 2 3 3 2" xfId="3316" xr:uid="{00000000-0005-0000-0000-00009D050000}"/>
    <cellStyle name="20% - Accent3 6 3 2 3 3 2 2" xfId="3317" xr:uid="{00000000-0005-0000-0000-00009E050000}"/>
    <cellStyle name="20% - Accent3 6 3 2 3 3 3" xfId="3318" xr:uid="{00000000-0005-0000-0000-00009F050000}"/>
    <cellStyle name="20% - Accent3 6 3 2 3 4" xfId="3319" xr:uid="{00000000-0005-0000-0000-0000A0050000}"/>
    <cellStyle name="20% - Accent3 6 3 2 3 4 2" xfId="3320" xr:uid="{00000000-0005-0000-0000-0000A1050000}"/>
    <cellStyle name="20% - Accent3 6 3 2 3 5" xfId="3321" xr:uid="{00000000-0005-0000-0000-0000A2050000}"/>
    <cellStyle name="20% - Accent3 6 3 2 4" xfId="3322" xr:uid="{00000000-0005-0000-0000-0000A3050000}"/>
    <cellStyle name="20% - Accent3 6 3 2 4 2" xfId="3323" xr:uid="{00000000-0005-0000-0000-0000A4050000}"/>
    <cellStyle name="20% - Accent3 6 3 2 4 2 2" xfId="3324" xr:uid="{00000000-0005-0000-0000-0000A5050000}"/>
    <cellStyle name="20% - Accent3 6 3 2 4 2 2 2" xfId="3325" xr:uid="{00000000-0005-0000-0000-0000A6050000}"/>
    <cellStyle name="20% - Accent3 6 3 2 4 2 2 2 2" xfId="3326" xr:uid="{00000000-0005-0000-0000-0000A7050000}"/>
    <cellStyle name="20% - Accent3 6 3 2 4 2 2 3" xfId="3327" xr:uid="{00000000-0005-0000-0000-0000A8050000}"/>
    <cellStyle name="20% - Accent3 6 3 2 4 2 3" xfId="3328" xr:uid="{00000000-0005-0000-0000-0000A9050000}"/>
    <cellStyle name="20% - Accent3 6 3 2 4 2 3 2" xfId="3329" xr:uid="{00000000-0005-0000-0000-0000AA050000}"/>
    <cellStyle name="20% - Accent3 6 3 2 4 2 4" xfId="3330" xr:uid="{00000000-0005-0000-0000-0000AB050000}"/>
    <cellStyle name="20% - Accent3 6 3 2 4 3" xfId="3331" xr:uid="{00000000-0005-0000-0000-0000AC050000}"/>
    <cellStyle name="20% - Accent3 6 3 2 4 3 2" xfId="3332" xr:uid="{00000000-0005-0000-0000-0000AD050000}"/>
    <cellStyle name="20% - Accent3 6 3 2 4 3 2 2" xfId="3333" xr:uid="{00000000-0005-0000-0000-0000AE050000}"/>
    <cellStyle name="20% - Accent3 6 3 2 4 3 3" xfId="3334" xr:uid="{00000000-0005-0000-0000-0000AF050000}"/>
    <cellStyle name="20% - Accent3 6 3 2 4 4" xfId="3335" xr:uid="{00000000-0005-0000-0000-0000B0050000}"/>
    <cellStyle name="20% - Accent3 6 3 2 4 4 2" xfId="3336" xr:uid="{00000000-0005-0000-0000-0000B1050000}"/>
    <cellStyle name="20% - Accent3 6 3 2 4 5" xfId="3337" xr:uid="{00000000-0005-0000-0000-0000B2050000}"/>
    <cellStyle name="20% - Accent3 6 3 2 5" xfId="3338" xr:uid="{00000000-0005-0000-0000-0000B3050000}"/>
    <cellStyle name="20% - Accent3 6 3 2 5 2" xfId="3339" xr:uid="{00000000-0005-0000-0000-0000B4050000}"/>
    <cellStyle name="20% - Accent3 6 3 2 5 2 2" xfId="3340" xr:uid="{00000000-0005-0000-0000-0000B5050000}"/>
    <cellStyle name="20% - Accent3 6 3 2 5 2 2 2" xfId="3341" xr:uid="{00000000-0005-0000-0000-0000B6050000}"/>
    <cellStyle name="20% - Accent3 6 3 2 5 2 3" xfId="3342" xr:uid="{00000000-0005-0000-0000-0000B7050000}"/>
    <cellStyle name="20% - Accent3 6 3 2 5 3" xfId="3343" xr:uid="{00000000-0005-0000-0000-0000B8050000}"/>
    <cellStyle name="20% - Accent3 6 3 2 5 3 2" xfId="3344" xr:uid="{00000000-0005-0000-0000-0000B9050000}"/>
    <cellStyle name="20% - Accent3 6 3 2 5 4" xfId="3345" xr:uid="{00000000-0005-0000-0000-0000BA050000}"/>
    <cellStyle name="20% - Accent3 6 3 2 6" xfId="3346" xr:uid="{00000000-0005-0000-0000-0000BB050000}"/>
    <cellStyle name="20% - Accent3 6 3 2 6 2" xfId="3347" xr:uid="{00000000-0005-0000-0000-0000BC050000}"/>
    <cellStyle name="20% - Accent3 6 3 2 6 2 2" xfId="3348" xr:uid="{00000000-0005-0000-0000-0000BD050000}"/>
    <cellStyle name="20% - Accent3 6 3 2 6 2 2 2" xfId="3349" xr:uid="{00000000-0005-0000-0000-0000BE050000}"/>
    <cellStyle name="20% - Accent3 6 3 2 6 2 3" xfId="3350" xr:uid="{00000000-0005-0000-0000-0000BF050000}"/>
    <cellStyle name="20% - Accent3 6 3 2 6 3" xfId="3351" xr:uid="{00000000-0005-0000-0000-0000C0050000}"/>
    <cellStyle name="20% - Accent3 6 3 2 6 3 2" xfId="3352" xr:uid="{00000000-0005-0000-0000-0000C1050000}"/>
    <cellStyle name="20% - Accent3 6 3 2 6 4" xfId="3353" xr:uid="{00000000-0005-0000-0000-0000C2050000}"/>
    <cellStyle name="20% - Accent3 6 3 2 7" xfId="3354" xr:uid="{00000000-0005-0000-0000-0000C3050000}"/>
    <cellStyle name="20% - Accent3 6 3 2 7 2" xfId="3355" xr:uid="{00000000-0005-0000-0000-0000C4050000}"/>
    <cellStyle name="20% - Accent3 6 3 2 7 2 2" xfId="3356" xr:uid="{00000000-0005-0000-0000-0000C5050000}"/>
    <cellStyle name="20% - Accent3 6 3 2 7 2 2 2" xfId="3357" xr:uid="{00000000-0005-0000-0000-0000C6050000}"/>
    <cellStyle name="20% - Accent3 6 3 2 7 2 3" xfId="3358" xr:uid="{00000000-0005-0000-0000-0000C7050000}"/>
    <cellStyle name="20% - Accent3 6 3 2 7 3" xfId="3359" xr:uid="{00000000-0005-0000-0000-0000C8050000}"/>
    <cellStyle name="20% - Accent3 6 3 2 7 3 2" xfId="3360" xr:uid="{00000000-0005-0000-0000-0000C9050000}"/>
    <cellStyle name="20% - Accent3 6 3 2 7 4" xfId="3361" xr:uid="{00000000-0005-0000-0000-0000CA050000}"/>
    <cellStyle name="20% - Accent3 6 3 2 8" xfId="3362" xr:uid="{00000000-0005-0000-0000-0000CB050000}"/>
    <cellStyle name="20% - Accent3 6 3 2 8 2" xfId="3363" xr:uid="{00000000-0005-0000-0000-0000CC050000}"/>
    <cellStyle name="20% - Accent3 6 3 2 8 2 2" xfId="3364" xr:uid="{00000000-0005-0000-0000-0000CD050000}"/>
    <cellStyle name="20% - Accent3 6 3 2 8 3" xfId="3365" xr:uid="{00000000-0005-0000-0000-0000CE050000}"/>
    <cellStyle name="20% - Accent3 6 3 2 9" xfId="3366" xr:uid="{00000000-0005-0000-0000-0000CF050000}"/>
    <cellStyle name="20% - Accent3 6 3 2 9 2" xfId="3367" xr:uid="{00000000-0005-0000-0000-0000D0050000}"/>
    <cellStyle name="20% - Accent3 6 3 3" xfId="1252" xr:uid="{00000000-0005-0000-0000-0000D1050000}"/>
    <cellStyle name="20% - Accent3 6 3 3 2" xfId="3369" xr:uid="{00000000-0005-0000-0000-0000D2050000}"/>
    <cellStyle name="20% - Accent3 6 3 3 2 2" xfId="3370" xr:uid="{00000000-0005-0000-0000-0000D3050000}"/>
    <cellStyle name="20% - Accent3 6 3 3 2 2 2" xfId="3371" xr:uid="{00000000-0005-0000-0000-0000D4050000}"/>
    <cellStyle name="20% - Accent3 6 3 3 2 2 2 2" xfId="3372" xr:uid="{00000000-0005-0000-0000-0000D5050000}"/>
    <cellStyle name="20% - Accent3 6 3 3 2 2 3" xfId="3373" xr:uid="{00000000-0005-0000-0000-0000D6050000}"/>
    <cellStyle name="20% - Accent3 6 3 3 2 3" xfId="3374" xr:uid="{00000000-0005-0000-0000-0000D7050000}"/>
    <cellStyle name="20% - Accent3 6 3 3 2 3 2" xfId="3375" xr:uid="{00000000-0005-0000-0000-0000D8050000}"/>
    <cellStyle name="20% - Accent3 6 3 3 2 4" xfId="3376" xr:uid="{00000000-0005-0000-0000-0000D9050000}"/>
    <cellStyle name="20% - Accent3 6 3 3 3" xfId="3377" xr:uid="{00000000-0005-0000-0000-0000DA050000}"/>
    <cellStyle name="20% - Accent3 6 3 3 3 2" xfId="3378" xr:uid="{00000000-0005-0000-0000-0000DB050000}"/>
    <cellStyle name="20% - Accent3 6 3 3 3 2 2" xfId="3379" xr:uid="{00000000-0005-0000-0000-0000DC050000}"/>
    <cellStyle name="20% - Accent3 6 3 3 3 2 2 2" xfId="3380" xr:uid="{00000000-0005-0000-0000-0000DD050000}"/>
    <cellStyle name="20% - Accent3 6 3 3 3 2 3" xfId="3381" xr:uid="{00000000-0005-0000-0000-0000DE050000}"/>
    <cellStyle name="20% - Accent3 6 3 3 3 3" xfId="3382" xr:uid="{00000000-0005-0000-0000-0000DF050000}"/>
    <cellStyle name="20% - Accent3 6 3 3 3 3 2" xfId="3383" xr:uid="{00000000-0005-0000-0000-0000E0050000}"/>
    <cellStyle name="20% - Accent3 6 3 3 3 4" xfId="3384" xr:uid="{00000000-0005-0000-0000-0000E1050000}"/>
    <cellStyle name="20% - Accent3 6 3 3 4" xfId="3385" xr:uid="{00000000-0005-0000-0000-0000E2050000}"/>
    <cellStyle name="20% - Accent3 6 3 3 4 2" xfId="3386" xr:uid="{00000000-0005-0000-0000-0000E3050000}"/>
    <cellStyle name="20% - Accent3 6 3 3 4 2 2" xfId="3387" xr:uid="{00000000-0005-0000-0000-0000E4050000}"/>
    <cellStyle name="20% - Accent3 6 3 3 4 3" xfId="3388" xr:uid="{00000000-0005-0000-0000-0000E5050000}"/>
    <cellStyle name="20% - Accent3 6 3 3 5" xfId="3389" xr:uid="{00000000-0005-0000-0000-0000E6050000}"/>
    <cellStyle name="20% - Accent3 6 3 3 5 2" xfId="3390" xr:uid="{00000000-0005-0000-0000-0000E7050000}"/>
    <cellStyle name="20% - Accent3 6 3 3 6" xfId="3391" xr:uid="{00000000-0005-0000-0000-0000E8050000}"/>
    <cellStyle name="20% - Accent3 6 3 3 7" xfId="3368" xr:uid="{00000000-0005-0000-0000-0000E9050000}"/>
    <cellStyle name="20% - Accent3 6 3 4" xfId="3392" xr:uid="{00000000-0005-0000-0000-0000EA050000}"/>
    <cellStyle name="20% - Accent3 6 3 4 2" xfId="3393" xr:uid="{00000000-0005-0000-0000-0000EB050000}"/>
    <cellStyle name="20% - Accent3 6 3 4 2 2" xfId="3394" xr:uid="{00000000-0005-0000-0000-0000EC050000}"/>
    <cellStyle name="20% - Accent3 6 3 4 2 2 2" xfId="3395" xr:uid="{00000000-0005-0000-0000-0000ED050000}"/>
    <cellStyle name="20% - Accent3 6 3 4 2 2 2 2" xfId="3396" xr:uid="{00000000-0005-0000-0000-0000EE050000}"/>
    <cellStyle name="20% - Accent3 6 3 4 2 2 3" xfId="3397" xr:uid="{00000000-0005-0000-0000-0000EF050000}"/>
    <cellStyle name="20% - Accent3 6 3 4 2 3" xfId="3398" xr:uid="{00000000-0005-0000-0000-0000F0050000}"/>
    <cellStyle name="20% - Accent3 6 3 4 2 3 2" xfId="3399" xr:uid="{00000000-0005-0000-0000-0000F1050000}"/>
    <cellStyle name="20% - Accent3 6 3 4 2 4" xfId="3400" xr:uid="{00000000-0005-0000-0000-0000F2050000}"/>
    <cellStyle name="20% - Accent3 6 3 4 3" xfId="3401" xr:uid="{00000000-0005-0000-0000-0000F3050000}"/>
    <cellStyle name="20% - Accent3 6 3 4 3 2" xfId="3402" xr:uid="{00000000-0005-0000-0000-0000F4050000}"/>
    <cellStyle name="20% - Accent3 6 3 4 3 2 2" xfId="3403" xr:uid="{00000000-0005-0000-0000-0000F5050000}"/>
    <cellStyle name="20% - Accent3 6 3 4 3 3" xfId="3404" xr:uid="{00000000-0005-0000-0000-0000F6050000}"/>
    <cellStyle name="20% - Accent3 6 3 4 4" xfId="3405" xr:uid="{00000000-0005-0000-0000-0000F7050000}"/>
    <cellStyle name="20% - Accent3 6 3 4 4 2" xfId="3406" xr:uid="{00000000-0005-0000-0000-0000F8050000}"/>
    <cellStyle name="20% - Accent3 6 3 4 5" xfId="3407" xr:uid="{00000000-0005-0000-0000-0000F9050000}"/>
    <cellStyle name="20% - Accent3 6 3 5" xfId="3408" xr:uid="{00000000-0005-0000-0000-0000FA050000}"/>
    <cellStyle name="20% - Accent3 6 3 5 2" xfId="3409" xr:uid="{00000000-0005-0000-0000-0000FB050000}"/>
    <cellStyle name="20% - Accent3 6 3 5 2 2" xfId="3410" xr:uid="{00000000-0005-0000-0000-0000FC050000}"/>
    <cellStyle name="20% - Accent3 6 3 5 2 2 2" xfId="3411" xr:uid="{00000000-0005-0000-0000-0000FD050000}"/>
    <cellStyle name="20% - Accent3 6 3 5 2 2 2 2" xfId="3412" xr:uid="{00000000-0005-0000-0000-0000FE050000}"/>
    <cellStyle name="20% - Accent3 6 3 5 2 2 3" xfId="3413" xr:uid="{00000000-0005-0000-0000-0000FF050000}"/>
    <cellStyle name="20% - Accent3 6 3 5 2 3" xfId="3414" xr:uid="{00000000-0005-0000-0000-000000060000}"/>
    <cellStyle name="20% - Accent3 6 3 5 2 3 2" xfId="3415" xr:uid="{00000000-0005-0000-0000-000001060000}"/>
    <cellStyle name="20% - Accent3 6 3 5 2 4" xfId="3416" xr:uid="{00000000-0005-0000-0000-000002060000}"/>
    <cellStyle name="20% - Accent3 6 3 5 3" xfId="3417" xr:uid="{00000000-0005-0000-0000-000003060000}"/>
    <cellStyle name="20% - Accent3 6 3 5 3 2" xfId="3418" xr:uid="{00000000-0005-0000-0000-000004060000}"/>
    <cellStyle name="20% - Accent3 6 3 5 3 2 2" xfId="3419" xr:uid="{00000000-0005-0000-0000-000005060000}"/>
    <cellStyle name="20% - Accent3 6 3 5 3 3" xfId="3420" xr:uid="{00000000-0005-0000-0000-000006060000}"/>
    <cellStyle name="20% - Accent3 6 3 5 4" xfId="3421" xr:uid="{00000000-0005-0000-0000-000007060000}"/>
    <cellStyle name="20% - Accent3 6 3 5 4 2" xfId="3422" xr:uid="{00000000-0005-0000-0000-000008060000}"/>
    <cellStyle name="20% - Accent3 6 3 5 5" xfId="3423" xr:uid="{00000000-0005-0000-0000-000009060000}"/>
    <cellStyle name="20% - Accent3 6 3 6" xfId="3424" xr:uid="{00000000-0005-0000-0000-00000A060000}"/>
    <cellStyle name="20% - Accent3 6 3 6 2" xfId="3425" xr:uid="{00000000-0005-0000-0000-00000B060000}"/>
    <cellStyle name="20% - Accent3 6 3 6 2 2" xfId="3426" xr:uid="{00000000-0005-0000-0000-00000C060000}"/>
    <cellStyle name="20% - Accent3 6 3 6 2 2 2" xfId="3427" xr:uid="{00000000-0005-0000-0000-00000D060000}"/>
    <cellStyle name="20% - Accent3 6 3 6 2 3" xfId="3428" xr:uid="{00000000-0005-0000-0000-00000E060000}"/>
    <cellStyle name="20% - Accent3 6 3 6 3" xfId="3429" xr:uid="{00000000-0005-0000-0000-00000F060000}"/>
    <cellStyle name="20% - Accent3 6 3 6 3 2" xfId="3430" xr:uid="{00000000-0005-0000-0000-000010060000}"/>
    <cellStyle name="20% - Accent3 6 3 6 4" xfId="3431" xr:uid="{00000000-0005-0000-0000-000011060000}"/>
    <cellStyle name="20% - Accent3 6 3 7" xfId="3432" xr:uid="{00000000-0005-0000-0000-000012060000}"/>
    <cellStyle name="20% - Accent3 6 3 7 2" xfId="3433" xr:uid="{00000000-0005-0000-0000-000013060000}"/>
    <cellStyle name="20% - Accent3 6 3 7 2 2" xfId="3434" xr:uid="{00000000-0005-0000-0000-000014060000}"/>
    <cellStyle name="20% - Accent3 6 3 7 2 2 2" xfId="3435" xr:uid="{00000000-0005-0000-0000-000015060000}"/>
    <cellStyle name="20% - Accent3 6 3 7 2 3" xfId="3436" xr:uid="{00000000-0005-0000-0000-000016060000}"/>
    <cellStyle name="20% - Accent3 6 3 7 3" xfId="3437" xr:uid="{00000000-0005-0000-0000-000017060000}"/>
    <cellStyle name="20% - Accent3 6 3 7 3 2" xfId="3438" xr:uid="{00000000-0005-0000-0000-000018060000}"/>
    <cellStyle name="20% - Accent3 6 3 7 4" xfId="3439" xr:uid="{00000000-0005-0000-0000-000019060000}"/>
    <cellStyle name="20% - Accent3 6 3 8" xfId="3440" xr:uid="{00000000-0005-0000-0000-00001A060000}"/>
    <cellStyle name="20% - Accent3 6 3 8 2" xfId="3441" xr:uid="{00000000-0005-0000-0000-00001B060000}"/>
    <cellStyle name="20% - Accent3 6 3 8 2 2" xfId="3442" xr:uid="{00000000-0005-0000-0000-00001C060000}"/>
    <cellStyle name="20% - Accent3 6 3 8 2 2 2" xfId="3443" xr:uid="{00000000-0005-0000-0000-00001D060000}"/>
    <cellStyle name="20% - Accent3 6 3 8 2 3" xfId="3444" xr:uid="{00000000-0005-0000-0000-00001E060000}"/>
    <cellStyle name="20% - Accent3 6 3 8 3" xfId="3445" xr:uid="{00000000-0005-0000-0000-00001F060000}"/>
    <cellStyle name="20% - Accent3 6 3 8 3 2" xfId="3446" xr:uid="{00000000-0005-0000-0000-000020060000}"/>
    <cellStyle name="20% - Accent3 6 3 8 4" xfId="3447" xr:uid="{00000000-0005-0000-0000-000021060000}"/>
    <cellStyle name="20% - Accent3 6 3 9" xfId="3448" xr:uid="{00000000-0005-0000-0000-000022060000}"/>
    <cellStyle name="20% - Accent3 6 3 9 2" xfId="3449" xr:uid="{00000000-0005-0000-0000-000023060000}"/>
    <cellStyle name="20% - Accent3 6 3 9 2 2" xfId="3450" xr:uid="{00000000-0005-0000-0000-000024060000}"/>
    <cellStyle name="20% - Accent3 6 3 9 3" xfId="3451" xr:uid="{00000000-0005-0000-0000-000025060000}"/>
    <cellStyle name="20% - Accent3 6 4" xfId="817" xr:uid="{00000000-0005-0000-0000-000026060000}"/>
    <cellStyle name="20% - Accent3 6 4 10" xfId="3453" xr:uid="{00000000-0005-0000-0000-000027060000}"/>
    <cellStyle name="20% - Accent3 6 4 11" xfId="3452" xr:uid="{00000000-0005-0000-0000-000028060000}"/>
    <cellStyle name="20% - Accent3 6 4 2" xfId="1575" xr:uid="{00000000-0005-0000-0000-000029060000}"/>
    <cellStyle name="20% - Accent3 6 4 2 2" xfId="3455" xr:uid="{00000000-0005-0000-0000-00002A060000}"/>
    <cellStyle name="20% - Accent3 6 4 2 2 2" xfId="3456" xr:uid="{00000000-0005-0000-0000-00002B060000}"/>
    <cellStyle name="20% - Accent3 6 4 2 2 2 2" xfId="3457" xr:uid="{00000000-0005-0000-0000-00002C060000}"/>
    <cellStyle name="20% - Accent3 6 4 2 2 2 2 2" xfId="3458" xr:uid="{00000000-0005-0000-0000-00002D060000}"/>
    <cellStyle name="20% - Accent3 6 4 2 2 2 3" xfId="3459" xr:uid="{00000000-0005-0000-0000-00002E060000}"/>
    <cellStyle name="20% - Accent3 6 4 2 2 3" xfId="3460" xr:uid="{00000000-0005-0000-0000-00002F060000}"/>
    <cellStyle name="20% - Accent3 6 4 2 2 3 2" xfId="3461" xr:uid="{00000000-0005-0000-0000-000030060000}"/>
    <cellStyle name="20% - Accent3 6 4 2 2 4" xfId="3462" xr:uid="{00000000-0005-0000-0000-000031060000}"/>
    <cellStyle name="20% - Accent3 6 4 2 3" xfId="3463" xr:uid="{00000000-0005-0000-0000-000032060000}"/>
    <cellStyle name="20% - Accent3 6 4 2 3 2" xfId="3464" xr:uid="{00000000-0005-0000-0000-000033060000}"/>
    <cellStyle name="20% - Accent3 6 4 2 3 2 2" xfId="3465" xr:uid="{00000000-0005-0000-0000-000034060000}"/>
    <cellStyle name="20% - Accent3 6 4 2 3 2 2 2" xfId="3466" xr:uid="{00000000-0005-0000-0000-000035060000}"/>
    <cellStyle name="20% - Accent3 6 4 2 3 2 3" xfId="3467" xr:uid="{00000000-0005-0000-0000-000036060000}"/>
    <cellStyle name="20% - Accent3 6 4 2 3 3" xfId="3468" xr:uid="{00000000-0005-0000-0000-000037060000}"/>
    <cellStyle name="20% - Accent3 6 4 2 3 3 2" xfId="3469" xr:uid="{00000000-0005-0000-0000-000038060000}"/>
    <cellStyle name="20% - Accent3 6 4 2 3 4" xfId="3470" xr:uid="{00000000-0005-0000-0000-000039060000}"/>
    <cellStyle name="20% - Accent3 6 4 2 4" xfId="3471" xr:uid="{00000000-0005-0000-0000-00003A060000}"/>
    <cellStyle name="20% - Accent3 6 4 2 4 2" xfId="3472" xr:uid="{00000000-0005-0000-0000-00003B060000}"/>
    <cellStyle name="20% - Accent3 6 4 2 4 2 2" xfId="3473" xr:uid="{00000000-0005-0000-0000-00003C060000}"/>
    <cellStyle name="20% - Accent3 6 4 2 4 3" xfId="3474" xr:uid="{00000000-0005-0000-0000-00003D060000}"/>
    <cellStyle name="20% - Accent3 6 4 2 5" xfId="3475" xr:uid="{00000000-0005-0000-0000-00003E060000}"/>
    <cellStyle name="20% - Accent3 6 4 2 5 2" xfId="3476" xr:uid="{00000000-0005-0000-0000-00003F060000}"/>
    <cellStyle name="20% - Accent3 6 4 2 6" xfId="3477" xr:uid="{00000000-0005-0000-0000-000040060000}"/>
    <cellStyle name="20% - Accent3 6 4 2 7" xfId="3454" xr:uid="{00000000-0005-0000-0000-000041060000}"/>
    <cellStyle name="20% - Accent3 6 4 3" xfId="3478" xr:uid="{00000000-0005-0000-0000-000042060000}"/>
    <cellStyle name="20% - Accent3 6 4 3 2" xfId="3479" xr:uid="{00000000-0005-0000-0000-000043060000}"/>
    <cellStyle name="20% - Accent3 6 4 3 2 2" xfId="3480" xr:uid="{00000000-0005-0000-0000-000044060000}"/>
    <cellStyle name="20% - Accent3 6 4 3 2 2 2" xfId="3481" xr:uid="{00000000-0005-0000-0000-000045060000}"/>
    <cellStyle name="20% - Accent3 6 4 3 2 2 2 2" xfId="3482" xr:uid="{00000000-0005-0000-0000-000046060000}"/>
    <cellStyle name="20% - Accent3 6 4 3 2 2 3" xfId="3483" xr:uid="{00000000-0005-0000-0000-000047060000}"/>
    <cellStyle name="20% - Accent3 6 4 3 2 3" xfId="3484" xr:uid="{00000000-0005-0000-0000-000048060000}"/>
    <cellStyle name="20% - Accent3 6 4 3 2 3 2" xfId="3485" xr:uid="{00000000-0005-0000-0000-000049060000}"/>
    <cellStyle name="20% - Accent3 6 4 3 2 4" xfId="3486" xr:uid="{00000000-0005-0000-0000-00004A060000}"/>
    <cellStyle name="20% - Accent3 6 4 3 3" xfId="3487" xr:uid="{00000000-0005-0000-0000-00004B060000}"/>
    <cellStyle name="20% - Accent3 6 4 3 3 2" xfId="3488" xr:uid="{00000000-0005-0000-0000-00004C060000}"/>
    <cellStyle name="20% - Accent3 6 4 3 3 2 2" xfId="3489" xr:uid="{00000000-0005-0000-0000-00004D060000}"/>
    <cellStyle name="20% - Accent3 6 4 3 3 3" xfId="3490" xr:uid="{00000000-0005-0000-0000-00004E060000}"/>
    <cellStyle name="20% - Accent3 6 4 3 4" xfId="3491" xr:uid="{00000000-0005-0000-0000-00004F060000}"/>
    <cellStyle name="20% - Accent3 6 4 3 4 2" xfId="3492" xr:uid="{00000000-0005-0000-0000-000050060000}"/>
    <cellStyle name="20% - Accent3 6 4 3 5" xfId="3493" xr:uid="{00000000-0005-0000-0000-000051060000}"/>
    <cellStyle name="20% - Accent3 6 4 4" xfId="3494" xr:uid="{00000000-0005-0000-0000-000052060000}"/>
    <cellStyle name="20% - Accent3 6 4 4 2" xfId="3495" xr:uid="{00000000-0005-0000-0000-000053060000}"/>
    <cellStyle name="20% - Accent3 6 4 4 2 2" xfId="3496" xr:uid="{00000000-0005-0000-0000-000054060000}"/>
    <cellStyle name="20% - Accent3 6 4 4 2 2 2" xfId="3497" xr:uid="{00000000-0005-0000-0000-000055060000}"/>
    <cellStyle name="20% - Accent3 6 4 4 2 2 2 2" xfId="3498" xr:uid="{00000000-0005-0000-0000-000056060000}"/>
    <cellStyle name="20% - Accent3 6 4 4 2 2 3" xfId="3499" xr:uid="{00000000-0005-0000-0000-000057060000}"/>
    <cellStyle name="20% - Accent3 6 4 4 2 3" xfId="3500" xr:uid="{00000000-0005-0000-0000-000058060000}"/>
    <cellStyle name="20% - Accent3 6 4 4 2 3 2" xfId="3501" xr:uid="{00000000-0005-0000-0000-000059060000}"/>
    <cellStyle name="20% - Accent3 6 4 4 2 4" xfId="3502" xr:uid="{00000000-0005-0000-0000-00005A060000}"/>
    <cellStyle name="20% - Accent3 6 4 4 3" xfId="3503" xr:uid="{00000000-0005-0000-0000-00005B060000}"/>
    <cellStyle name="20% - Accent3 6 4 4 3 2" xfId="3504" xr:uid="{00000000-0005-0000-0000-00005C060000}"/>
    <cellStyle name="20% - Accent3 6 4 4 3 2 2" xfId="3505" xr:uid="{00000000-0005-0000-0000-00005D060000}"/>
    <cellStyle name="20% - Accent3 6 4 4 3 3" xfId="3506" xr:uid="{00000000-0005-0000-0000-00005E060000}"/>
    <cellStyle name="20% - Accent3 6 4 4 4" xfId="3507" xr:uid="{00000000-0005-0000-0000-00005F060000}"/>
    <cellStyle name="20% - Accent3 6 4 4 4 2" xfId="3508" xr:uid="{00000000-0005-0000-0000-000060060000}"/>
    <cellStyle name="20% - Accent3 6 4 4 5" xfId="3509" xr:uid="{00000000-0005-0000-0000-000061060000}"/>
    <cellStyle name="20% - Accent3 6 4 5" xfId="3510" xr:uid="{00000000-0005-0000-0000-000062060000}"/>
    <cellStyle name="20% - Accent3 6 4 5 2" xfId="3511" xr:uid="{00000000-0005-0000-0000-000063060000}"/>
    <cellStyle name="20% - Accent3 6 4 5 2 2" xfId="3512" xr:uid="{00000000-0005-0000-0000-000064060000}"/>
    <cellStyle name="20% - Accent3 6 4 5 2 2 2" xfId="3513" xr:uid="{00000000-0005-0000-0000-000065060000}"/>
    <cellStyle name="20% - Accent3 6 4 5 2 3" xfId="3514" xr:uid="{00000000-0005-0000-0000-000066060000}"/>
    <cellStyle name="20% - Accent3 6 4 5 3" xfId="3515" xr:uid="{00000000-0005-0000-0000-000067060000}"/>
    <cellStyle name="20% - Accent3 6 4 5 3 2" xfId="3516" xr:uid="{00000000-0005-0000-0000-000068060000}"/>
    <cellStyle name="20% - Accent3 6 4 5 4" xfId="3517" xr:uid="{00000000-0005-0000-0000-000069060000}"/>
    <cellStyle name="20% - Accent3 6 4 6" xfId="3518" xr:uid="{00000000-0005-0000-0000-00006A060000}"/>
    <cellStyle name="20% - Accent3 6 4 6 2" xfId="3519" xr:uid="{00000000-0005-0000-0000-00006B060000}"/>
    <cellStyle name="20% - Accent3 6 4 6 2 2" xfId="3520" xr:uid="{00000000-0005-0000-0000-00006C060000}"/>
    <cellStyle name="20% - Accent3 6 4 6 2 2 2" xfId="3521" xr:uid="{00000000-0005-0000-0000-00006D060000}"/>
    <cellStyle name="20% - Accent3 6 4 6 2 3" xfId="3522" xr:uid="{00000000-0005-0000-0000-00006E060000}"/>
    <cellStyle name="20% - Accent3 6 4 6 3" xfId="3523" xr:uid="{00000000-0005-0000-0000-00006F060000}"/>
    <cellStyle name="20% - Accent3 6 4 6 3 2" xfId="3524" xr:uid="{00000000-0005-0000-0000-000070060000}"/>
    <cellStyle name="20% - Accent3 6 4 6 4" xfId="3525" xr:uid="{00000000-0005-0000-0000-000071060000}"/>
    <cellStyle name="20% - Accent3 6 4 7" xfId="3526" xr:uid="{00000000-0005-0000-0000-000072060000}"/>
    <cellStyle name="20% - Accent3 6 4 7 2" xfId="3527" xr:uid="{00000000-0005-0000-0000-000073060000}"/>
    <cellStyle name="20% - Accent3 6 4 7 2 2" xfId="3528" xr:uid="{00000000-0005-0000-0000-000074060000}"/>
    <cellStyle name="20% - Accent3 6 4 7 2 2 2" xfId="3529" xr:uid="{00000000-0005-0000-0000-000075060000}"/>
    <cellStyle name="20% - Accent3 6 4 7 2 3" xfId="3530" xr:uid="{00000000-0005-0000-0000-000076060000}"/>
    <cellStyle name="20% - Accent3 6 4 7 3" xfId="3531" xr:uid="{00000000-0005-0000-0000-000077060000}"/>
    <cellStyle name="20% - Accent3 6 4 7 3 2" xfId="3532" xr:uid="{00000000-0005-0000-0000-000078060000}"/>
    <cellStyle name="20% - Accent3 6 4 7 4" xfId="3533" xr:uid="{00000000-0005-0000-0000-000079060000}"/>
    <cellStyle name="20% - Accent3 6 4 8" xfId="3534" xr:uid="{00000000-0005-0000-0000-00007A060000}"/>
    <cellStyle name="20% - Accent3 6 4 8 2" xfId="3535" xr:uid="{00000000-0005-0000-0000-00007B060000}"/>
    <cellStyle name="20% - Accent3 6 4 8 2 2" xfId="3536" xr:uid="{00000000-0005-0000-0000-00007C060000}"/>
    <cellStyle name="20% - Accent3 6 4 8 3" xfId="3537" xr:uid="{00000000-0005-0000-0000-00007D060000}"/>
    <cellStyle name="20% - Accent3 6 4 9" xfId="3538" xr:uid="{00000000-0005-0000-0000-00007E060000}"/>
    <cellStyle name="20% - Accent3 6 4 9 2" xfId="3539" xr:uid="{00000000-0005-0000-0000-00007F060000}"/>
    <cellStyle name="20% - Accent3 6 5" xfId="1250" xr:uid="{00000000-0005-0000-0000-000080060000}"/>
    <cellStyle name="20% - Accent3 6 5 2" xfId="3541" xr:uid="{00000000-0005-0000-0000-000081060000}"/>
    <cellStyle name="20% - Accent3 6 5 2 2" xfId="3542" xr:uid="{00000000-0005-0000-0000-000082060000}"/>
    <cellStyle name="20% - Accent3 6 5 2 2 2" xfId="3543" xr:uid="{00000000-0005-0000-0000-000083060000}"/>
    <cellStyle name="20% - Accent3 6 5 2 2 2 2" xfId="3544" xr:uid="{00000000-0005-0000-0000-000084060000}"/>
    <cellStyle name="20% - Accent3 6 5 2 2 3" xfId="3545" xr:uid="{00000000-0005-0000-0000-000085060000}"/>
    <cellStyle name="20% - Accent3 6 5 2 3" xfId="3546" xr:uid="{00000000-0005-0000-0000-000086060000}"/>
    <cellStyle name="20% - Accent3 6 5 2 3 2" xfId="3547" xr:uid="{00000000-0005-0000-0000-000087060000}"/>
    <cellStyle name="20% - Accent3 6 5 2 4" xfId="3548" xr:uid="{00000000-0005-0000-0000-000088060000}"/>
    <cellStyle name="20% - Accent3 6 5 3" xfId="3549" xr:uid="{00000000-0005-0000-0000-000089060000}"/>
    <cellStyle name="20% - Accent3 6 5 3 2" xfId="3550" xr:uid="{00000000-0005-0000-0000-00008A060000}"/>
    <cellStyle name="20% - Accent3 6 5 3 2 2" xfId="3551" xr:uid="{00000000-0005-0000-0000-00008B060000}"/>
    <cellStyle name="20% - Accent3 6 5 3 2 2 2" xfId="3552" xr:uid="{00000000-0005-0000-0000-00008C060000}"/>
    <cellStyle name="20% - Accent3 6 5 3 2 3" xfId="3553" xr:uid="{00000000-0005-0000-0000-00008D060000}"/>
    <cellStyle name="20% - Accent3 6 5 3 3" xfId="3554" xr:uid="{00000000-0005-0000-0000-00008E060000}"/>
    <cellStyle name="20% - Accent3 6 5 3 3 2" xfId="3555" xr:uid="{00000000-0005-0000-0000-00008F060000}"/>
    <cellStyle name="20% - Accent3 6 5 3 4" xfId="3556" xr:uid="{00000000-0005-0000-0000-000090060000}"/>
    <cellStyle name="20% - Accent3 6 5 4" xfId="3557" xr:uid="{00000000-0005-0000-0000-000091060000}"/>
    <cellStyle name="20% - Accent3 6 5 4 2" xfId="3558" xr:uid="{00000000-0005-0000-0000-000092060000}"/>
    <cellStyle name="20% - Accent3 6 5 4 2 2" xfId="3559" xr:uid="{00000000-0005-0000-0000-000093060000}"/>
    <cellStyle name="20% - Accent3 6 5 4 3" xfId="3560" xr:uid="{00000000-0005-0000-0000-000094060000}"/>
    <cellStyle name="20% - Accent3 6 5 5" xfId="3561" xr:uid="{00000000-0005-0000-0000-000095060000}"/>
    <cellStyle name="20% - Accent3 6 5 5 2" xfId="3562" xr:uid="{00000000-0005-0000-0000-000096060000}"/>
    <cellStyle name="20% - Accent3 6 5 6" xfId="3563" xr:uid="{00000000-0005-0000-0000-000097060000}"/>
    <cellStyle name="20% - Accent3 6 5 7" xfId="3540" xr:uid="{00000000-0005-0000-0000-000098060000}"/>
    <cellStyle name="20% - Accent3 6 6" xfId="3564" xr:uid="{00000000-0005-0000-0000-000099060000}"/>
    <cellStyle name="20% - Accent3 6 6 2" xfId="3565" xr:uid="{00000000-0005-0000-0000-00009A060000}"/>
    <cellStyle name="20% - Accent3 6 6 2 2" xfId="3566" xr:uid="{00000000-0005-0000-0000-00009B060000}"/>
    <cellStyle name="20% - Accent3 6 6 2 2 2" xfId="3567" xr:uid="{00000000-0005-0000-0000-00009C060000}"/>
    <cellStyle name="20% - Accent3 6 6 2 2 2 2" xfId="3568" xr:uid="{00000000-0005-0000-0000-00009D060000}"/>
    <cellStyle name="20% - Accent3 6 6 2 2 3" xfId="3569" xr:uid="{00000000-0005-0000-0000-00009E060000}"/>
    <cellStyle name="20% - Accent3 6 6 2 3" xfId="3570" xr:uid="{00000000-0005-0000-0000-00009F060000}"/>
    <cellStyle name="20% - Accent3 6 6 2 3 2" xfId="3571" xr:uid="{00000000-0005-0000-0000-0000A0060000}"/>
    <cellStyle name="20% - Accent3 6 6 2 4" xfId="3572" xr:uid="{00000000-0005-0000-0000-0000A1060000}"/>
    <cellStyle name="20% - Accent3 6 6 3" xfId="3573" xr:uid="{00000000-0005-0000-0000-0000A2060000}"/>
    <cellStyle name="20% - Accent3 6 6 3 2" xfId="3574" xr:uid="{00000000-0005-0000-0000-0000A3060000}"/>
    <cellStyle name="20% - Accent3 6 6 3 2 2" xfId="3575" xr:uid="{00000000-0005-0000-0000-0000A4060000}"/>
    <cellStyle name="20% - Accent3 6 6 3 3" xfId="3576" xr:uid="{00000000-0005-0000-0000-0000A5060000}"/>
    <cellStyle name="20% - Accent3 6 6 4" xfId="3577" xr:uid="{00000000-0005-0000-0000-0000A6060000}"/>
    <cellStyle name="20% - Accent3 6 6 4 2" xfId="3578" xr:uid="{00000000-0005-0000-0000-0000A7060000}"/>
    <cellStyle name="20% - Accent3 6 6 5" xfId="3579" xr:uid="{00000000-0005-0000-0000-0000A8060000}"/>
    <cellStyle name="20% - Accent3 6 7" xfId="3580" xr:uid="{00000000-0005-0000-0000-0000A9060000}"/>
    <cellStyle name="20% - Accent3 6 7 2" xfId="3581" xr:uid="{00000000-0005-0000-0000-0000AA060000}"/>
    <cellStyle name="20% - Accent3 6 7 2 2" xfId="3582" xr:uid="{00000000-0005-0000-0000-0000AB060000}"/>
    <cellStyle name="20% - Accent3 6 7 2 2 2" xfId="3583" xr:uid="{00000000-0005-0000-0000-0000AC060000}"/>
    <cellStyle name="20% - Accent3 6 7 2 2 2 2" xfId="3584" xr:uid="{00000000-0005-0000-0000-0000AD060000}"/>
    <cellStyle name="20% - Accent3 6 7 2 2 3" xfId="3585" xr:uid="{00000000-0005-0000-0000-0000AE060000}"/>
    <cellStyle name="20% - Accent3 6 7 2 3" xfId="3586" xr:uid="{00000000-0005-0000-0000-0000AF060000}"/>
    <cellStyle name="20% - Accent3 6 7 2 3 2" xfId="3587" xr:uid="{00000000-0005-0000-0000-0000B0060000}"/>
    <cellStyle name="20% - Accent3 6 7 2 4" xfId="3588" xr:uid="{00000000-0005-0000-0000-0000B1060000}"/>
    <cellStyle name="20% - Accent3 6 7 3" xfId="3589" xr:uid="{00000000-0005-0000-0000-0000B2060000}"/>
    <cellStyle name="20% - Accent3 6 7 3 2" xfId="3590" xr:uid="{00000000-0005-0000-0000-0000B3060000}"/>
    <cellStyle name="20% - Accent3 6 7 3 2 2" xfId="3591" xr:uid="{00000000-0005-0000-0000-0000B4060000}"/>
    <cellStyle name="20% - Accent3 6 7 3 3" xfId="3592" xr:uid="{00000000-0005-0000-0000-0000B5060000}"/>
    <cellStyle name="20% - Accent3 6 7 4" xfId="3593" xr:uid="{00000000-0005-0000-0000-0000B6060000}"/>
    <cellStyle name="20% - Accent3 6 7 4 2" xfId="3594" xr:uid="{00000000-0005-0000-0000-0000B7060000}"/>
    <cellStyle name="20% - Accent3 6 7 5" xfId="3595" xr:uid="{00000000-0005-0000-0000-0000B8060000}"/>
    <cellStyle name="20% - Accent3 6 8" xfId="3596" xr:uid="{00000000-0005-0000-0000-0000B9060000}"/>
    <cellStyle name="20% - Accent3 6 8 2" xfId="3597" xr:uid="{00000000-0005-0000-0000-0000BA060000}"/>
    <cellStyle name="20% - Accent3 6 8 2 2" xfId="3598" xr:uid="{00000000-0005-0000-0000-0000BB060000}"/>
    <cellStyle name="20% - Accent3 6 8 2 2 2" xfId="3599" xr:uid="{00000000-0005-0000-0000-0000BC060000}"/>
    <cellStyle name="20% - Accent3 6 8 2 3" xfId="3600" xr:uid="{00000000-0005-0000-0000-0000BD060000}"/>
    <cellStyle name="20% - Accent3 6 8 3" xfId="3601" xr:uid="{00000000-0005-0000-0000-0000BE060000}"/>
    <cellStyle name="20% - Accent3 6 8 3 2" xfId="3602" xr:uid="{00000000-0005-0000-0000-0000BF060000}"/>
    <cellStyle name="20% - Accent3 6 8 4" xfId="3603" xr:uid="{00000000-0005-0000-0000-0000C0060000}"/>
    <cellStyle name="20% - Accent3 6 9" xfId="3604" xr:uid="{00000000-0005-0000-0000-0000C1060000}"/>
    <cellStyle name="20% - Accent3 6 9 2" xfId="3605" xr:uid="{00000000-0005-0000-0000-0000C2060000}"/>
    <cellStyle name="20% - Accent3 6 9 2 2" xfId="3606" xr:uid="{00000000-0005-0000-0000-0000C3060000}"/>
    <cellStyle name="20% - Accent3 6 9 2 2 2" xfId="3607" xr:uid="{00000000-0005-0000-0000-0000C4060000}"/>
    <cellStyle name="20% - Accent3 6 9 2 3" xfId="3608" xr:uid="{00000000-0005-0000-0000-0000C5060000}"/>
    <cellStyle name="20% - Accent3 6 9 3" xfId="3609" xr:uid="{00000000-0005-0000-0000-0000C6060000}"/>
    <cellStyle name="20% - Accent3 6 9 3 2" xfId="3610" xr:uid="{00000000-0005-0000-0000-0000C7060000}"/>
    <cellStyle name="20% - Accent3 6 9 4" xfId="3611" xr:uid="{00000000-0005-0000-0000-0000C8060000}"/>
    <cellStyle name="20% - Accent3 7" xfId="62" xr:uid="{00000000-0005-0000-0000-0000C9060000}"/>
    <cellStyle name="20% - Accent3 8" xfId="63" xr:uid="{00000000-0005-0000-0000-0000CA060000}"/>
    <cellStyle name="20% - Accent3 8 2" xfId="3612" xr:uid="{00000000-0005-0000-0000-0000CB060000}"/>
    <cellStyle name="20% - Accent3 8 2 2" xfId="3613" xr:uid="{00000000-0005-0000-0000-0000CC060000}"/>
    <cellStyle name="20% - Accent3 8 3" xfId="3614" xr:uid="{00000000-0005-0000-0000-0000CD060000}"/>
    <cellStyle name="20% - Accent3 9" xfId="3615" xr:uid="{00000000-0005-0000-0000-0000CE060000}"/>
    <cellStyle name="20% - Accent3 9 2" xfId="3616" xr:uid="{00000000-0005-0000-0000-0000CF060000}"/>
    <cellStyle name="20% - Accent3 9 2 2" xfId="3617" xr:uid="{00000000-0005-0000-0000-0000D0060000}"/>
    <cellStyle name="20% - Accent3 9 3" xfId="3618" xr:uid="{00000000-0005-0000-0000-0000D1060000}"/>
    <cellStyle name="20% - Accent4 10" xfId="3619" xr:uid="{00000000-0005-0000-0000-0000D2060000}"/>
    <cellStyle name="20% - Accent4 2" xfId="64" xr:uid="{00000000-0005-0000-0000-0000D3060000}"/>
    <cellStyle name="20% - Accent4 2 2" xfId="65" xr:uid="{00000000-0005-0000-0000-0000D4060000}"/>
    <cellStyle name="20% - Accent4 3" xfId="66" xr:uid="{00000000-0005-0000-0000-0000D5060000}"/>
    <cellStyle name="20% - Accent4 4" xfId="67" xr:uid="{00000000-0005-0000-0000-0000D6060000}"/>
    <cellStyle name="20% - Accent4 5" xfId="68" xr:uid="{00000000-0005-0000-0000-0000D7060000}"/>
    <cellStyle name="20% - Accent4 6" xfId="69" xr:uid="{00000000-0005-0000-0000-0000D8060000}"/>
    <cellStyle name="20% - Accent4 6 10" xfId="3621" xr:uid="{00000000-0005-0000-0000-0000D9060000}"/>
    <cellStyle name="20% - Accent4 6 10 2" xfId="3622" xr:uid="{00000000-0005-0000-0000-0000DA060000}"/>
    <cellStyle name="20% - Accent4 6 10 2 2" xfId="3623" xr:uid="{00000000-0005-0000-0000-0000DB060000}"/>
    <cellStyle name="20% - Accent4 6 10 2 2 2" xfId="3624" xr:uid="{00000000-0005-0000-0000-0000DC060000}"/>
    <cellStyle name="20% - Accent4 6 10 2 3" xfId="3625" xr:uid="{00000000-0005-0000-0000-0000DD060000}"/>
    <cellStyle name="20% - Accent4 6 10 3" xfId="3626" xr:uid="{00000000-0005-0000-0000-0000DE060000}"/>
    <cellStyle name="20% - Accent4 6 10 3 2" xfId="3627" xr:uid="{00000000-0005-0000-0000-0000DF060000}"/>
    <cellStyle name="20% - Accent4 6 10 4" xfId="3628" xr:uid="{00000000-0005-0000-0000-0000E0060000}"/>
    <cellStyle name="20% - Accent4 6 11" xfId="3629" xr:uid="{00000000-0005-0000-0000-0000E1060000}"/>
    <cellStyle name="20% - Accent4 6 11 2" xfId="3630" xr:uid="{00000000-0005-0000-0000-0000E2060000}"/>
    <cellStyle name="20% - Accent4 6 11 2 2" xfId="3631" xr:uid="{00000000-0005-0000-0000-0000E3060000}"/>
    <cellStyle name="20% - Accent4 6 11 3" xfId="3632" xr:uid="{00000000-0005-0000-0000-0000E4060000}"/>
    <cellStyle name="20% - Accent4 6 12" xfId="3633" xr:uid="{00000000-0005-0000-0000-0000E5060000}"/>
    <cellStyle name="20% - Accent4 6 12 2" xfId="3634" xr:uid="{00000000-0005-0000-0000-0000E6060000}"/>
    <cellStyle name="20% - Accent4 6 12 2 2" xfId="3635" xr:uid="{00000000-0005-0000-0000-0000E7060000}"/>
    <cellStyle name="20% - Accent4 6 12 3" xfId="3636" xr:uid="{00000000-0005-0000-0000-0000E8060000}"/>
    <cellStyle name="20% - Accent4 6 13" xfId="3637" xr:uid="{00000000-0005-0000-0000-0000E9060000}"/>
    <cellStyle name="20% - Accent4 6 13 2" xfId="3638" xr:uid="{00000000-0005-0000-0000-0000EA060000}"/>
    <cellStyle name="20% - Accent4 6 13 2 2" xfId="3639" xr:uid="{00000000-0005-0000-0000-0000EB060000}"/>
    <cellStyle name="20% - Accent4 6 13 3" xfId="3640" xr:uid="{00000000-0005-0000-0000-0000EC060000}"/>
    <cellStyle name="20% - Accent4 6 14" xfId="3641" xr:uid="{00000000-0005-0000-0000-0000ED060000}"/>
    <cellStyle name="20% - Accent4 6 14 2" xfId="3642" xr:uid="{00000000-0005-0000-0000-0000EE060000}"/>
    <cellStyle name="20% - Accent4 6 15" xfId="3643" xr:uid="{00000000-0005-0000-0000-0000EF060000}"/>
    <cellStyle name="20% - Accent4 6 16" xfId="3644" xr:uid="{00000000-0005-0000-0000-0000F0060000}"/>
    <cellStyle name="20% - Accent4 6 17" xfId="3620" xr:uid="{00000000-0005-0000-0000-0000F1060000}"/>
    <cellStyle name="20% - Accent4 6 2" xfId="70" xr:uid="{00000000-0005-0000-0000-0000F2060000}"/>
    <cellStyle name="20% - Accent4 6 2 10" xfId="3646" xr:uid="{00000000-0005-0000-0000-0000F3060000}"/>
    <cellStyle name="20% - Accent4 6 2 10 2" xfId="3647" xr:uid="{00000000-0005-0000-0000-0000F4060000}"/>
    <cellStyle name="20% - Accent4 6 2 10 2 2" xfId="3648" xr:uid="{00000000-0005-0000-0000-0000F5060000}"/>
    <cellStyle name="20% - Accent4 6 2 10 3" xfId="3649" xr:uid="{00000000-0005-0000-0000-0000F6060000}"/>
    <cellStyle name="20% - Accent4 6 2 11" xfId="3650" xr:uid="{00000000-0005-0000-0000-0000F7060000}"/>
    <cellStyle name="20% - Accent4 6 2 11 2" xfId="3651" xr:uid="{00000000-0005-0000-0000-0000F8060000}"/>
    <cellStyle name="20% - Accent4 6 2 11 2 2" xfId="3652" xr:uid="{00000000-0005-0000-0000-0000F9060000}"/>
    <cellStyle name="20% - Accent4 6 2 11 3" xfId="3653" xr:uid="{00000000-0005-0000-0000-0000FA060000}"/>
    <cellStyle name="20% - Accent4 6 2 12" xfId="3654" xr:uid="{00000000-0005-0000-0000-0000FB060000}"/>
    <cellStyle name="20% - Accent4 6 2 12 2" xfId="3655" xr:uid="{00000000-0005-0000-0000-0000FC060000}"/>
    <cellStyle name="20% - Accent4 6 2 13" xfId="3656" xr:uid="{00000000-0005-0000-0000-0000FD060000}"/>
    <cellStyle name="20% - Accent4 6 2 14" xfId="3657" xr:uid="{00000000-0005-0000-0000-0000FE060000}"/>
    <cellStyle name="20% - Accent4 6 2 15" xfId="3645" xr:uid="{00000000-0005-0000-0000-0000FF060000}"/>
    <cellStyle name="20% - Accent4 6 2 2" xfId="821" xr:uid="{00000000-0005-0000-0000-000000070000}"/>
    <cellStyle name="20% - Accent4 6 2 2 10" xfId="3659" xr:uid="{00000000-0005-0000-0000-000001070000}"/>
    <cellStyle name="20% - Accent4 6 2 2 11" xfId="3658" xr:uid="{00000000-0005-0000-0000-000002070000}"/>
    <cellStyle name="20% - Accent4 6 2 2 2" xfId="1579" xr:uid="{00000000-0005-0000-0000-000003070000}"/>
    <cellStyle name="20% - Accent4 6 2 2 2 2" xfId="3661" xr:uid="{00000000-0005-0000-0000-000004070000}"/>
    <cellStyle name="20% - Accent4 6 2 2 2 2 2" xfId="3662" xr:uid="{00000000-0005-0000-0000-000005070000}"/>
    <cellStyle name="20% - Accent4 6 2 2 2 2 2 2" xfId="3663" xr:uid="{00000000-0005-0000-0000-000006070000}"/>
    <cellStyle name="20% - Accent4 6 2 2 2 2 2 2 2" xfId="3664" xr:uid="{00000000-0005-0000-0000-000007070000}"/>
    <cellStyle name="20% - Accent4 6 2 2 2 2 2 3" xfId="3665" xr:uid="{00000000-0005-0000-0000-000008070000}"/>
    <cellStyle name="20% - Accent4 6 2 2 2 2 3" xfId="3666" xr:uid="{00000000-0005-0000-0000-000009070000}"/>
    <cellStyle name="20% - Accent4 6 2 2 2 2 3 2" xfId="3667" xr:uid="{00000000-0005-0000-0000-00000A070000}"/>
    <cellStyle name="20% - Accent4 6 2 2 2 2 4" xfId="3668" xr:uid="{00000000-0005-0000-0000-00000B070000}"/>
    <cellStyle name="20% - Accent4 6 2 2 2 3" xfId="3669" xr:uid="{00000000-0005-0000-0000-00000C070000}"/>
    <cellStyle name="20% - Accent4 6 2 2 2 3 2" xfId="3670" xr:uid="{00000000-0005-0000-0000-00000D070000}"/>
    <cellStyle name="20% - Accent4 6 2 2 2 3 2 2" xfId="3671" xr:uid="{00000000-0005-0000-0000-00000E070000}"/>
    <cellStyle name="20% - Accent4 6 2 2 2 3 2 2 2" xfId="3672" xr:uid="{00000000-0005-0000-0000-00000F070000}"/>
    <cellStyle name="20% - Accent4 6 2 2 2 3 2 3" xfId="3673" xr:uid="{00000000-0005-0000-0000-000010070000}"/>
    <cellStyle name="20% - Accent4 6 2 2 2 3 3" xfId="3674" xr:uid="{00000000-0005-0000-0000-000011070000}"/>
    <cellStyle name="20% - Accent4 6 2 2 2 3 3 2" xfId="3675" xr:uid="{00000000-0005-0000-0000-000012070000}"/>
    <cellStyle name="20% - Accent4 6 2 2 2 3 4" xfId="3676" xr:uid="{00000000-0005-0000-0000-000013070000}"/>
    <cellStyle name="20% - Accent4 6 2 2 2 4" xfId="3677" xr:uid="{00000000-0005-0000-0000-000014070000}"/>
    <cellStyle name="20% - Accent4 6 2 2 2 4 2" xfId="3678" xr:uid="{00000000-0005-0000-0000-000015070000}"/>
    <cellStyle name="20% - Accent4 6 2 2 2 4 2 2" xfId="3679" xr:uid="{00000000-0005-0000-0000-000016070000}"/>
    <cellStyle name="20% - Accent4 6 2 2 2 4 3" xfId="3680" xr:uid="{00000000-0005-0000-0000-000017070000}"/>
    <cellStyle name="20% - Accent4 6 2 2 2 5" xfId="3681" xr:uid="{00000000-0005-0000-0000-000018070000}"/>
    <cellStyle name="20% - Accent4 6 2 2 2 5 2" xfId="3682" xr:uid="{00000000-0005-0000-0000-000019070000}"/>
    <cellStyle name="20% - Accent4 6 2 2 2 6" xfId="3683" xr:uid="{00000000-0005-0000-0000-00001A070000}"/>
    <cellStyle name="20% - Accent4 6 2 2 2 7" xfId="3660" xr:uid="{00000000-0005-0000-0000-00001B070000}"/>
    <cellStyle name="20% - Accent4 6 2 2 3" xfId="3684" xr:uid="{00000000-0005-0000-0000-00001C070000}"/>
    <cellStyle name="20% - Accent4 6 2 2 3 2" xfId="3685" xr:uid="{00000000-0005-0000-0000-00001D070000}"/>
    <cellStyle name="20% - Accent4 6 2 2 3 2 2" xfId="3686" xr:uid="{00000000-0005-0000-0000-00001E070000}"/>
    <cellStyle name="20% - Accent4 6 2 2 3 2 2 2" xfId="3687" xr:uid="{00000000-0005-0000-0000-00001F070000}"/>
    <cellStyle name="20% - Accent4 6 2 2 3 2 2 2 2" xfId="3688" xr:uid="{00000000-0005-0000-0000-000020070000}"/>
    <cellStyle name="20% - Accent4 6 2 2 3 2 2 3" xfId="3689" xr:uid="{00000000-0005-0000-0000-000021070000}"/>
    <cellStyle name="20% - Accent4 6 2 2 3 2 3" xfId="3690" xr:uid="{00000000-0005-0000-0000-000022070000}"/>
    <cellStyle name="20% - Accent4 6 2 2 3 2 3 2" xfId="3691" xr:uid="{00000000-0005-0000-0000-000023070000}"/>
    <cellStyle name="20% - Accent4 6 2 2 3 2 4" xfId="3692" xr:uid="{00000000-0005-0000-0000-000024070000}"/>
    <cellStyle name="20% - Accent4 6 2 2 3 3" xfId="3693" xr:uid="{00000000-0005-0000-0000-000025070000}"/>
    <cellStyle name="20% - Accent4 6 2 2 3 3 2" xfId="3694" xr:uid="{00000000-0005-0000-0000-000026070000}"/>
    <cellStyle name="20% - Accent4 6 2 2 3 3 2 2" xfId="3695" xr:uid="{00000000-0005-0000-0000-000027070000}"/>
    <cellStyle name="20% - Accent4 6 2 2 3 3 3" xfId="3696" xr:uid="{00000000-0005-0000-0000-000028070000}"/>
    <cellStyle name="20% - Accent4 6 2 2 3 4" xfId="3697" xr:uid="{00000000-0005-0000-0000-000029070000}"/>
    <cellStyle name="20% - Accent4 6 2 2 3 4 2" xfId="3698" xr:uid="{00000000-0005-0000-0000-00002A070000}"/>
    <cellStyle name="20% - Accent4 6 2 2 3 5" xfId="3699" xr:uid="{00000000-0005-0000-0000-00002B070000}"/>
    <cellStyle name="20% - Accent4 6 2 2 4" xfId="3700" xr:uid="{00000000-0005-0000-0000-00002C070000}"/>
    <cellStyle name="20% - Accent4 6 2 2 4 2" xfId="3701" xr:uid="{00000000-0005-0000-0000-00002D070000}"/>
    <cellStyle name="20% - Accent4 6 2 2 4 2 2" xfId="3702" xr:uid="{00000000-0005-0000-0000-00002E070000}"/>
    <cellStyle name="20% - Accent4 6 2 2 4 2 2 2" xfId="3703" xr:uid="{00000000-0005-0000-0000-00002F070000}"/>
    <cellStyle name="20% - Accent4 6 2 2 4 2 2 2 2" xfId="3704" xr:uid="{00000000-0005-0000-0000-000030070000}"/>
    <cellStyle name="20% - Accent4 6 2 2 4 2 2 3" xfId="3705" xr:uid="{00000000-0005-0000-0000-000031070000}"/>
    <cellStyle name="20% - Accent4 6 2 2 4 2 3" xfId="3706" xr:uid="{00000000-0005-0000-0000-000032070000}"/>
    <cellStyle name="20% - Accent4 6 2 2 4 2 3 2" xfId="3707" xr:uid="{00000000-0005-0000-0000-000033070000}"/>
    <cellStyle name="20% - Accent4 6 2 2 4 2 4" xfId="3708" xr:uid="{00000000-0005-0000-0000-000034070000}"/>
    <cellStyle name="20% - Accent4 6 2 2 4 3" xfId="3709" xr:uid="{00000000-0005-0000-0000-000035070000}"/>
    <cellStyle name="20% - Accent4 6 2 2 4 3 2" xfId="3710" xr:uid="{00000000-0005-0000-0000-000036070000}"/>
    <cellStyle name="20% - Accent4 6 2 2 4 3 2 2" xfId="3711" xr:uid="{00000000-0005-0000-0000-000037070000}"/>
    <cellStyle name="20% - Accent4 6 2 2 4 3 3" xfId="3712" xr:uid="{00000000-0005-0000-0000-000038070000}"/>
    <cellStyle name="20% - Accent4 6 2 2 4 4" xfId="3713" xr:uid="{00000000-0005-0000-0000-000039070000}"/>
    <cellStyle name="20% - Accent4 6 2 2 4 4 2" xfId="3714" xr:uid="{00000000-0005-0000-0000-00003A070000}"/>
    <cellStyle name="20% - Accent4 6 2 2 4 5" xfId="3715" xr:uid="{00000000-0005-0000-0000-00003B070000}"/>
    <cellStyle name="20% - Accent4 6 2 2 5" xfId="3716" xr:uid="{00000000-0005-0000-0000-00003C070000}"/>
    <cellStyle name="20% - Accent4 6 2 2 5 2" xfId="3717" xr:uid="{00000000-0005-0000-0000-00003D070000}"/>
    <cellStyle name="20% - Accent4 6 2 2 5 2 2" xfId="3718" xr:uid="{00000000-0005-0000-0000-00003E070000}"/>
    <cellStyle name="20% - Accent4 6 2 2 5 2 2 2" xfId="3719" xr:uid="{00000000-0005-0000-0000-00003F070000}"/>
    <cellStyle name="20% - Accent4 6 2 2 5 2 3" xfId="3720" xr:uid="{00000000-0005-0000-0000-000040070000}"/>
    <cellStyle name="20% - Accent4 6 2 2 5 3" xfId="3721" xr:uid="{00000000-0005-0000-0000-000041070000}"/>
    <cellStyle name="20% - Accent4 6 2 2 5 3 2" xfId="3722" xr:uid="{00000000-0005-0000-0000-000042070000}"/>
    <cellStyle name="20% - Accent4 6 2 2 5 4" xfId="3723" xr:uid="{00000000-0005-0000-0000-000043070000}"/>
    <cellStyle name="20% - Accent4 6 2 2 6" xfId="3724" xr:uid="{00000000-0005-0000-0000-000044070000}"/>
    <cellStyle name="20% - Accent4 6 2 2 6 2" xfId="3725" xr:uid="{00000000-0005-0000-0000-000045070000}"/>
    <cellStyle name="20% - Accent4 6 2 2 6 2 2" xfId="3726" xr:uid="{00000000-0005-0000-0000-000046070000}"/>
    <cellStyle name="20% - Accent4 6 2 2 6 2 2 2" xfId="3727" xr:uid="{00000000-0005-0000-0000-000047070000}"/>
    <cellStyle name="20% - Accent4 6 2 2 6 2 3" xfId="3728" xr:uid="{00000000-0005-0000-0000-000048070000}"/>
    <cellStyle name="20% - Accent4 6 2 2 6 3" xfId="3729" xr:uid="{00000000-0005-0000-0000-000049070000}"/>
    <cellStyle name="20% - Accent4 6 2 2 6 3 2" xfId="3730" xr:uid="{00000000-0005-0000-0000-00004A070000}"/>
    <cellStyle name="20% - Accent4 6 2 2 6 4" xfId="3731" xr:uid="{00000000-0005-0000-0000-00004B070000}"/>
    <cellStyle name="20% - Accent4 6 2 2 7" xfId="3732" xr:uid="{00000000-0005-0000-0000-00004C070000}"/>
    <cellStyle name="20% - Accent4 6 2 2 7 2" xfId="3733" xr:uid="{00000000-0005-0000-0000-00004D070000}"/>
    <cellStyle name="20% - Accent4 6 2 2 7 2 2" xfId="3734" xr:uid="{00000000-0005-0000-0000-00004E070000}"/>
    <cellStyle name="20% - Accent4 6 2 2 7 2 2 2" xfId="3735" xr:uid="{00000000-0005-0000-0000-00004F070000}"/>
    <cellStyle name="20% - Accent4 6 2 2 7 2 3" xfId="3736" xr:uid="{00000000-0005-0000-0000-000050070000}"/>
    <cellStyle name="20% - Accent4 6 2 2 7 3" xfId="3737" xr:uid="{00000000-0005-0000-0000-000051070000}"/>
    <cellStyle name="20% - Accent4 6 2 2 7 3 2" xfId="3738" xr:uid="{00000000-0005-0000-0000-000052070000}"/>
    <cellStyle name="20% - Accent4 6 2 2 7 4" xfId="3739" xr:uid="{00000000-0005-0000-0000-000053070000}"/>
    <cellStyle name="20% - Accent4 6 2 2 8" xfId="3740" xr:uid="{00000000-0005-0000-0000-000054070000}"/>
    <cellStyle name="20% - Accent4 6 2 2 8 2" xfId="3741" xr:uid="{00000000-0005-0000-0000-000055070000}"/>
    <cellStyle name="20% - Accent4 6 2 2 8 2 2" xfId="3742" xr:uid="{00000000-0005-0000-0000-000056070000}"/>
    <cellStyle name="20% - Accent4 6 2 2 8 3" xfId="3743" xr:uid="{00000000-0005-0000-0000-000057070000}"/>
    <cellStyle name="20% - Accent4 6 2 2 9" xfId="3744" xr:uid="{00000000-0005-0000-0000-000058070000}"/>
    <cellStyle name="20% - Accent4 6 2 2 9 2" xfId="3745" xr:uid="{00000000-0005-0000-0000-000059070000}"/>
    <cellStyle name="20% - Accent4 6 2 3" xfId="1254" xr:uid="{00000000-0005-0000-0000-00005A070000}"/>
    <cellStyle name="20% - Accent4 6 2 3 2" xfId="3747" xr:uid="{00000000-0005-0000-0000-00005B070000}"/>
    <cellStyle name="20% - Accent4 6 2 3 2 2" xfId="3748" xr:uid="{00000000-0005-0000-0000-00005C070000}"/>
    <cellStyle name="20% - Accent4 6 2 3 2 2 2" xfId="3749" xr:uid="{00000000-0005-0000-0000-00005D070000}"/>
    <cellStyle name="20% - Accent4 6 2 3 2 2 2 2" xfId="3750" xr:uid="{00000000-0005-0000-0000-00005E070000}"/>
    <cellStyle name="20% - Accent4 6 2 3 2 2 3" xfId="3751" xr:uid="{00000000-0005-0000-0000-00005F070000}"/>
    <cellStyle name="20% - Accent4 6 2 3 2 3" xfId="3752" xr:uid="{00000000-0005-0000-0000-000060070000}"/>
    <cellStyle name="20% - Accent4 6 2 3 2 3 2" xfId="3753" xr:uid="{00000000-0005-0000-0000-000061070000}"/>
    <cellStyle name="20% - Accent4 6 2 3 2 4" xfId="3754" xr:uid="{00000000-0005-0000-0000-000062070000}"/>
    <cellStyle name="20% - Accent4 6 2 3 3" xfId="3755" xr:uid="{00000000-0005-0000-0000-000063070000}"/>
    <cellStyle name="20% - Accent4 6 2 3 3 2" xfId="3756" xr:uid="{00000000-0005-0000-0000-000064070000}"/>
    <cellStyle name="20% - Accent4 6 2 3 3 2 2" xfId="3757" xr:uid="{00000000-0005-0000-0000-000065070000}"/>
    <cellStyle name="20% - Accent4 6 2 3 3 2 2 2" xfId="3758" xr:uid="{00000000-0005-0000-0000-000066070000}"/>
    <cellStyle name="20% - Accent4 6 2 3 3 2 3" xfId="3759" xr:uid="{00000000-0005-0000-0000-000067070000}"/>
    <cellStyle name="20% - Accent4 6 2 3 3 3" xfId="3760" xr:uid="{00000000-0005-0000-0000-000068070000}"/>
    <cellStyle name="20% - Accent4 6 2 3 3 3 2" xfId="3761" xr:uid="{00000000-0005-0000-0000-000069070000}"/>
    <cellStyle name="20% - Accent4 6 2 3 3 4" xfId="3762" xr:uid="{00000000-0005-0000-0000-00006A070000}"/>
    <cellStyle name="20% - Accent4 6 2 3 4" xfId="3763" xr:uid="{00000000-0005-0000-0000-00006B070000}"/>
    <cellStyle name="20% - Accent4 6 2 3 4 2" xfId="3764" xr:uid="{00000000-0005-0000-0000-00006C070000}"/>
    <cellStyle name="20% - Accent4 6 2 3 4 2 2" xfId="3765" xr:uid="{00000000-0005-0000-0000-00006D070000}"/>
    <cellStyle name="20% - Accent4 6 2 3 4 3" xfId="3766" xr:uid="{00000000-0005-0000-0000-00006E070000}"/>
    <cellStyle name="20% - Accent4 6 2 3 5" xfId="3767" xr:uid="{00000000-0005-0000-0000-00006F070000}"/>
    <cellStyle name="20% - Accent4 6 2 3 5 2" xfId="3768" xr:uid="{00000000-0005-0000-0000-000070070000}"/>
    <cellStyle name="20% - Accent4 6 2 3 6" xfId="3769" xr:uid="{00000000-0005-0000-0000-000071070000}"/>
    <cellStyle name="20% - Accent4 6 2 3 7" xfId="3746" xr:uid="{00000000-0005-0000-0000-000072070000}"/>
    <cellStyle name="20% - Accent4 6 2 4" xfId="3770" xr:uid="{00000000-0005-0000-0000-000073070000}"/>
    <cellStyle name="20% - Accent4 6 2 4 2" xfId="3771" xr:uid="{00000000-0005-0000-0000-000074070000}"/>
    <cellStyle name="20% - Accent4 6 2 4 2 2" xfId="3772" xr:uid="{00000000-0005-0000-0000-000075070000}"/>
    <cellStyle name="20% - Accent4 6 2 4 2 2 2" xfId="3773" xr:uid="{00000000-0005-0000-0000-000076070000}"/>
    <cellStyle name="20% - Accent4 6 2 4 2 2 2 2" xfId="3774" xr:uid="{00000000-0005-0000-0000-000077070000}"/>
    <cellStyle name="20% - Accent4 6 2 4 2 2 3" xfId="3775" xr:uid="{00000000-0005-0000-0000-000078070000}"/>
    <cellStyle name="20% - Accent4 6 2 4 2 3" xfId="3776" xr:uid="{00000000-0005-0000-0000-000079070000}"/>
    <cellStyle name="20% - Accent4 6 2 4 2 3 2" xfId="3777" xr:uid="{00000000-0005-0000-0000-00007A070000}"/>
    <cellStyle name="20% - Accent4 6 2 4 2 4" xfId="3778" xr:uid="{00000000-0005-0000-0000-00007B070000}"/>
    <cellStyle name="20% - Accent4 6 2 4 3" xfId="3779" xr:uid="{00000000-0005-0000-0000-00007C070000}"/>
    <cellStyle name="20% - Accent4 6 2 4 3 2" xfId="3780" xr:uid="{00000000-0005-0000-0000-00007D070000}"/>
    <cellStyle name="20% - Accent4 6 2 4 3 2 2" xfId="3781" xr:uid="{00000000-0005-0000-0000-00007E070000}"/>
    <cellStyle name="20% - Accent4 6 2 4 3 3" xfId="3782" xr:uid="{00000000-0005-0000-0000-00007F070000}"/>
    <cellStyle name="20% - Accent4 6 2 4 4" xfId="3783" xr:uid="{00000000-0005-0000-0000-000080070000}"/>
    <cellStyle name="20% - Accent4 6 2 4 4 2" xfId="3784" xr:uid="{00000000-0005-0000-0000-000081070000}"/>
    <cellStyle name="20% - Accent4 6 2 4 5" xfId="3785" xr:uid="{00000000-0005-0000-0000-000082070000}"/>
    <cellStyle name="20% - Accent4 6 2 5" xfId="3786" xr:uid="{00000000-0005-0000-0000-000083070000}"/>
    <cellStyle name="20% - Accent4 6 2 5 2" xfId="3787" xr:uid="{00000000-0005-0000-0000-000084070000}"/>
    <cellStyle name="20% - Accent4 6 2 5 2 2" xfId="3788" xr:uid="{00000000-0005-0000-0000-000085070000}"/>
    <cellStyle name="20% - Accent4 6 2 5 2 2 2" xfId="3789" xr:uid="{00000000-0005-0000-0000-000086070000}"/>
    <cellStyle name="20% - Accent4 6 2 5 2 2 2 2" xfId="3790" xr:uid="{00000000-0005-0000-0000-000087070000}"/>
    <cellStyle name="20% - Accent4 6 2 5 2 2 3" xfId="3791" xr:uid="{00000000-0005-0000-0000-000088070000}"/>
    <cellStyle name="20% - Accent4 6 2 5 2 3" xfId="3792" xr:uid="{00000000-0005-0000-0000-000089070000}"/>
    <cellStyle name="20% - Accent4 6 2 5 2 3 2" xfId="3793" xr:uid="{00000000-0005-0000-0000-00008A070000}"/>
    <cellStyle name="20% - Accent4 6 2 5 2 4" xfId="3794" xr:uid="{00000000-0005-0000-0000-00008B070000}"/>
    <cellStyle name="20% - Accent4 6 2 5 3" xfId="3795" xr:uid="{00000000-0005-0000-0000-00008C070000}"/>
    <cellStyle name="20% - Accent4 6 2 5 3 2" xfId="3796" xr:uid="{00000000-0005-0000-0000-00008D070000}"/>
    <cellStyle name="20% - Accent4 6 2 5 3 2 2" xfId="3797" xr:uid="{00000000-0005-0000-0000-00008E070000}"/>
    <cellStyle name="20% - Accent4 6 2 5 3 3" xfId="3798" xr:uid="{00000000-0005-0000-0000-00008F070000}"/>
    <cellStyle name="20% - Accent4 6 2 5 4" xfId="3799" xr:uid="{00000000-0005-0000-0000-000090070000}"/>
    <cellStyle name="20% - Accent4 6 2 5 4 2" xfId="3800" xr:uid="{00000000-0005-0000-0000-000091070000}"/>
    <cellStyle name="20% - Accent4 6 2 5 5" xfId="3801" xr:uid="{00000000-0005-0000-0000-000092070000}"/>
    <cellStyle name="20% - Accent4 6 2 6" xfId="3802" xr:uid="{00000000-0005-0000-0000-000093070000}"/>
    <cellStyle name="20% - Accent4 6 2 6 2" xfId="3803" xr:uid="{00000000-0005-0000-0000-000094070000}"/>
    <cellStyle name="20% - Accent4 6 2 6 2 2" xfId="3804" xr:uid="{00000000-0005-0000-0000-000095070000}"/>
    <cellStyle name="20% - Accent4 6 2 6 2 2 2" xfId="3805" xr:uid="{00000000-0005-0000-0000-000096070000}"/>
    <cellStyle name="20% - Accent4 6 2 6 2 3" xfId="3806" xr:uid="{00000000-0005-0000-0000-000097070000}"/>
    <cellStyle name="20% - Accent4 6 2 6 3" xfId="3807" xr:uid="{00000000-0005-0000-0000-000098070000}"/>
    <cellStyle name="20% - Accent4 6 2 6 3 2" xfId="3808" xr:uid="{00000000-0005-0000-0000-000099070000}"/>
    <cellStyle name="20% - Accent4 6 2 6 4" xfId="3809" xr:uid="{00000000-0005-0000-0000-00009A070000}"/>
    <cellStyle name="20% - Accent4 6 2 7" xfId="3810" xr:uid="{00000000-0005-0000-0000-00009B070000}"/>
    <cellStyle name="20% - Accent4 6 2 7 2" xfId="3811" xr:uid="{00000000-0005-0000-0000-00009C070000}"/>
    <cellStyle name="20% - Accent4 6 2 7 2 2" xfId="3812" xr:uid="{00000000-0005-0000-0000-00009D070000}"/>
    <cellStyle name="20% - Accent4 6 2 7 2 2 2" xfId="3813" xr:uid="{00000000-0005-0000-0000-00009E070000}"/>
    <cellStyle name="20% - Accent4 6 2 7 2 3" xfId="3814" xr:uid="{00000000-0005-0000-0000-00009F070000}"/>
    <cellStyle name="20% - Accent4 6 2 7 3" xfId="3815" xr:uid="{00000000-0005-0000-0000-0000A0070000}"/>
    <cellStyle name="20% - Accent4 6 2 7 3 2" xfId="3816" xr:uid="{00000000-0005-0000-0000-0000A1070000}"/>
    <cellStyle name="20% - Accent4 6 2 7 4" xfId="3817" xr:uid="{00000000-0005-0000-0000-0000A2070000}"/>
    <cellStyle name="20% - Accent4 6 2 8" xfId="3818" xr:uid="{00000000-0005-0000-0000-0000A3070000}"/>
    <cellStyle name="20% - Accent4 6 2 8 2" xfId="3819" xr:uid="{00000000-0005-0000-0000-0000A4070000}"/>
    <cellStyle name="20% - Accent4 6 2 8 2 2" xfId="3820" xr:uid="{00000000-0005-0000-0000-0000A5070000}"/>
    <cellStyle name="20% - Accent4 6 2 8 2 2 2" xfId="3821" xr:uid="{00000000-0005-0000-0000-0000A6070000}"/>
    <cellStyle name="20% - Accent4 6 2 8 2 3" xfId="3822" xr:uid="{00000000-0005-0000-0000-0000A7070000}"/>
    <cellStyle name="20% - Accent4 6 2 8 3" xfId="3823" xr:uid="{00000000-0005-0000-0000-0000A8070000}"/>
    <cellStyle name="20% - Accent4 6 2 8 3 2" xfId="3824" xr:uid="{00000000-0005-0000-0000-0000A9070000}"/>
    <cellStyle name="20% - Accent4 6 2 8 4" xfId="3825" xr:uid="{00000000-0005-0000-0000-0000AA070000}"/>
    <cellStyle name="20% - Accent4 6 2 9" xfId="3826" xr:uid="{00000000-0005-0000-0000-0000AB070000}"/>
    <cellStyle name="20% - Accent4 6 2 9 2" xfId="3827" xr:uid="{00000000-0005-0000-0000-0000AC070000}"/>
    <cellStyle name="20% - Accent4 6 2 9 2 2" xfId="3828" xr:uid="{00000000-0005-0000-0000-0000AD070000}"/>
    <cellStyle name="20% - Accent4 6 2 9 3" xfId="3829" xr:uid="{00000000-0005-0000-0000-0000AE070000}"/>
    <cellStyle name="20% - Accent4 6 3" xfId="71" xr:uid="{00000000-0005-0000-0000-0000AF070000}"/>
    <cellStyle name="20% - Accent4 6 3 10" xfId="3831" xr:uid="{00000000-0005-0000-0000-0000B0070000}"/>
    <cellStyle name="20% - Accent4 6 3 10 2" xfId="3832" xr:uid="{00000000-0005-0000-0000-0000B1070000}"/>
    <cellStyle name="20% - Accent4 6 3 10 2 2" xfId="3833" xr:uid="{00000000-0005-0000-0000-0000B2070000}"/>
    <cellStyle name="20% - Accent4 6 3 10 3" xfId="3834" xr:uid="{00000000-0005-0000-0000-0000B3070000}"/>
    <cellStyle name="20% - Accent4 6 3 11" xfId="3835" xr:uid="{00000000-0005-0000-0000-0000B4070000}"/>
    <cellStyle name="20% - Accent4 6 3 11 2" xfId="3836" xr:uid="{00000000-0005-0000-0000-0000B5070000}"/>
    <cellStyle name="20% - Accent4 6 3 11 2 2" xfId="3837" xr:uid="{00000000-0005-0000-0000-0000B6070000}"/>
    <cellStyle name="20% - Accent4 6 3 11 3" xfId="3838" xr:uid="{00000000-0005-0000-0000-0000B7070000}"/>
    <cellStyle name="20% - Accent4 6 3 12" xfId="3839" xr:uid="{00000000-0005-0000-0000-0000B8070000}"/>
    <cellStyle name="20% - Accent4 6 3 12 2" xfId="3840" xr:uid="{00000000-0005-0000-0000-0000B9070000}"/>
    <cellStyle name="20% - Accent4 6 3 13" xfId="3841" xr:uid="{00000000-0005-0000-0000-0000BA070000}"/>
    <cellStyle name="20% - Accent4 6 3 14" xfId="3842" xr:uid="{00000000-0005-0000-0000-0000BB070000}"/>
    <cellStyle name="20% - Accent4 6 3 15" xfId="3830" xr:uid="{00000000-0005-0000-0000-0000BC070000}"/>
    <cellStyle name="20% - Accent4 6 3 2" xfId="822" xr:uid="{00000000-0005-0000-0000-0000BD070000}"/>
    <cellStyle name="20% - Accent4 6 3 2 10" xfId="3844" xr:uid="{00000000-0005-0000-0000-0000BE070000}"/>
    <cellStyle name="20% - Accent4 6 3 2 11" xfId="3843" xr:uid="{00000000-0005-0000-0000-0000BF070000}"/>
    <cellStyle name="20% - Accent4 6 3 2 2" xfId="1580" xr:uid="{00000000-0005-0000-0000-0000C0070000}"/>
    <cellStyle name="20% - Accent4 6 3 2 2 2" xfId="3846" xr:uid="{00000000-0005-0000-0000-0000C1070000}"/>
    <cellStyle name="20% - Accent4 6 3 2 2 2 2" xfId="3847" xr:uid="{00000000-0005-0000-0000-0000C2070000}"/>
    <cellStyle name="20% - Accent4 6 3 2 2 2 2 2" xfId="3848" xr:uid="{00000000-0005-0000-0000-0000C3070000}"/>
    <cellStyle name="20% - Accent4 6 3 2 2 2 2 2 2" xfId="3849" xr:uid="{00000000-0005-0000-0000-0000C4070000}"/>
    <cellStyle name="20% - Accent4 6 3 2 2 2 2 3" xfId="3850" xr:uid="{00000000-0005-0000-0000-0000C5070000}"/>
    <cellStyle name="20% - Accent4 6 3 2 2 2 3" xfId="3851" xr:uid="{00000000-0005-0000-0000-0000C6070000}"/>
    <cellStyle name="20% - Accent4 6 3 2 2 2 3 2" xfId="3852" xr:uid="{00000000-0005-0000-0000-0000C7070000}"/>
    <cellStyle name="20% - Accent4 6 3 2 2 2 4" xfId="3853" xr:uid="{00000000-0005-0000-0000-0000C8070000}"/>
    <cellStyle name="20% - Accent4 6 3 2 2 3" xfId="3854" xr:uid="{00000000-0005-0000-0000-0000C9070000}"/>
    <cellStyle name="20% - Accent4 6 3 2 2 3 2" xfId="3855" xr:uid="{00000000-0005-0000-0000-0000CA070000}"/>
    <cellStyle name="20% - Accent4 6 3 2 2 3 2 2" xfId="3856" xr:uid="{00000000-0005-0000-0000-0000CB070000}"/>
    <cellStyle name="20% - Accent4 6 3 2 2 3 2 2 2" xfId="3857" xr:uid="{00000000-0005-0000-0000-0000CC070000}"/>
    <cellStyle name="20% - Accent4 6 3 2 2 3 2 3" xfId="3858" xr:uid="{00000000-0005-0000-0000-0000CD070000}"/>
    <cellStyle name="20% - Accent4 6 3 2 2 3 3" xfId="3859" xr:uid="{00000000-0005-0000-0000-0000CE070000}"/>
    <cellStyle name="20% - Accent4 6 3 2 2 3 3 2" xfId="3860" xr:uid="{00000000-0005-0000-0000-0000CF070000}"/>
    <cellStyle name="20% - Accent4 6 3 2 2 3 4" xfId="3861" xr:uid="{00000000-0005-0000-0000-0000D0070000}"/>
    <cellStyle name="20% - Accent4 6 3 2 2 4" xfId="3862" xr:uid="{00000000-0005-0000-0000-0000D1070000}"/>
    <cellStyle name="20% - Accent4 6 3 2 2 4 2" xfId="3863" xr:uid="{00000000-0005-0000-0000-0000D2070000}"/>
    <cellStyle name="20% - Accent4 6 3 2 2 4 2 2" xfId="3864" xr:uid="{00000000-0005-0000-0000-0000D3070000}"/>
    <cellStyle name="20% - Accent4 6 3 2 2 4 3" xfId="3865" xr:uid="{00000000-0005-0000-0000-0000D4070000}"/>
    <cellStyle name="20% - Accent4 6 3 2 2 5" xfId="3866" xr:uid="{00000000-0005-0000-0000-0000D5070000}"/>
    <cellStyle name="20% - Accent4 6 3 2 2 5 2" xfId="3867" xr:uid="{00000000-0005-0000-0000-0000D6070000}"/>
    <cellStyle name="20% - Accent4 6 3 2 2 6" xfId="3868" xr:uid="{00000000-0005-0000-0000-0000D7070000}"/>
    <cellStyle name="20% - Accent4 6 3 2 2 7" xfId="3845" xr:uid="{00000000-0005-0000-0000-0000D8070000}"/>
    <cellStyle name="20% - Accent4 6 3 2 3" xfId="3869" xr:uid="{00000000-0005-0000-0000-0000D9070000}"/>
    <cellStyle name="20% - Accent4 6 3 2 3 2" xfId="3870" xr:uid="{00000000-0005-0000-0000-0000DA070000}"/>
    <cellStyle name="20% - Accent4 6 3 2 3 2 2" xfId="3871" xr:uid="{00000000-0005-0000-0000-0000DB070000}"/>
    <cellStyle name="20% - Accent4 6 3 2 3 2 2 2" xfId="3872" xr:uid="{00000000-0005-0000-0000-0000DC070000}"/>
    <cellStyle name="20% - Accent4 6 3 2 3 2 2 2 2" xfId="3873" xr:uid="{00000000-0005-0000-0000-0000DD070000}"/>
    <cellStyle name="20% - Accent4 6 3 2 3 2 2 3" xfId="3874" xr:uid="{00000000-0005-0000-0000-0000DE070000}"/>
    <cellStyle name="20% - Accent4 6 3 2 3 2 3" xfId="3875" xr:uid="{00000000-0005-0000-0000-0000DF070000}"/>
    <cellStyle name="20% - Accent4 6 3 2 3 2 3 2" xfId="3876" xr:uid="{00000000-0005-0000-0000-0000E0070000}"/>
    <cellStyle name="20% - Accent4 6 3 2 3 2 4" xfId="3877" xr:uid="{00000000-0005-0000-0000-0000E1070000}"/>
    <cellStyle name="20% - Accent4 6 3 2 3 3" xfId="3878" xr:uid="{00000000-0005-0000-0000-0000E2070000}"/>
    <cellStyle name="20% - Accent4 6 3 2 3 3 2" xfId="3879" xr:uid="{00000000-0005-0000-0000-0000E3070000}"/>
    <cellStyle name="20% - Accent4 6 3 2 3 3 2 2" xfId="3880" xr:uid="{00000000-0005-0000-0000-0000E4070000}"/>
    <cellStyle name="20% - Accent4 6 3 2 3 3 3" xfId="3881" xr:uid="{00000000-0005-0000-0000-0000E5070000}"/>
    <cellStyle name="20% - Accent4 6 3 2 3 4" xfId="3882" xr:uid="{00000000-0005-0000-0000-0000E6070000}"/>
    <cellStyle name="20% - Accent4 6 3 2 3 4 2" xfId="3883" xr:uid="{00000000-0005-0000-0000-0000E7070000}"/>
    <cellStyle name="20% - Accent4 6 3 2 3 5" xfId="3884" xr:uid="{00000000-0005-0000-0000-0000E8070000}"/>
    <cellStyle name="20% - Accent4 6 3 2 4" xfId="3885" xr:uid="{00000000-0005-0000-0000-0000E9070000}"/>
    <cellStyle name="20% - Accent4 6 3 2 4 2" xfId="3886" xr:uid="{00000000-0005-0000-0000-0000EA070000}"/>
    <cellStyle name="20% - Accent4 6 3 2 4 2 2" xfId="3887" xr:uid="{00000000-0005-0000-0000-0000EB070000}"/>
    <cellStyle name="20% - Accent4 6 3 2 4 2 2 2" xfId="3888" xr:uid="{00000000-0005-0000-0000-0000EC070000}"/>
    <cellStyle name="20% - Accent4 6 3 2 4 2 2 2 2" xfId="3889" xr:uid="{00000000-0005-0000-0000-0000ED070000}"/>
    <cellStyle name="20% - Accent4 6 3 2 4 2 2 3" xfId="3890" xr:uid="{00000000-0005-0000-0000-0000EE070000}"/>
    <cellStyle name="20% - Accent4 6 3 2 4 2 3" xfId="3891" xr:uid="{00000000-0005-0000-0000-0000EF070000}"/>
    <cellStyle name="20% - Accent4 6 3 2 4 2 3 2" xfId="3892" xr:uid="{00000000-0005-0000-0000-0000F0070000}"/>
    <cellStyle name="20% - Accent4 6 3 2 4 2 4" xfId="3893" xr:uid="{00000000-0005-0000-0000-0000F1070000}"/>
    <cellStyle name="20% - Accent4 6 3 2 4 3" xfId="3894" xr:uid="{00000000-0005-0000-0000-0000F2070000}"/>
    <cellStyle name="20% - Accent4 6 3 2 4 3 2" xfId="3895" xr:uid="{00000000-0005-0000-0000-0000F3070000}"/>
    <cellStyle name="20% - Accent4 6 3 2 4 3 2 2" xfId="3896" xr:uid="{00000000-0005-0000-0000-0000F4070000}"/>
    <cellStyle name="20% - Accent4 6 3 2 4 3 3" xfId="3897" xr:uid="{00000000-0005-0000-0000-0000F5070000}"/>
    <cellStyle name="20% - Accent4 6 3 2 4 4" xfId="3898" xr:uid="{00000000-0005-0000-0000-0000F6070000}"/>
    <cellStyle name="20% - Accent4 6 3 2 4 4 2" xfId="3899" xr:uid="{00000000-0005-0000-0000-0000F7070000}"/>
    <cellStyle name="20% - Accent4 6 3 2 4 5" xfId="3900" xr:uid="{00000000-0005-0000-0000-0000F8070000}"/>
    <cellStyle name="20% - Accent4 6 3 2 5" xfId="3901" xr:uid="{00000000-0005-0000-0000-0000F9070000}"/>
    <cellStyle name="20% - Accent4 6 3 2 5 2" xfId="3902" xr:uid="{00000000-0005-0000-0000-0000FA070000}"/>
    <cellStyle name="20% - Accent4 6 3 2 5 2 2" xfId="3903" xr:uid="{00000000-0005-0000-0000-0000FB070000}"/>
    <cellStyle name="20% - Accent4 6 3 2 5 2 2 2" xfId="3904" xr:uid="{00000000-0005-0000-0000-0000FC070000}"/>
    <cellStyle name="20% - Accent4 6 3 2 5 2 3" xfId="3905" xr:uid="{00000000-0005-0000-0000-0000FD070000}"/>
    <cellStyle name="20% - Accent4 6 3 2 5 3" xfId="3906" xr:uid="{00000000-0005-0000-0000-0000FE070000}"/>
    <cellStyle name="20% - Accent4 6 3 2 5 3 2" xfId="3907" xr:uid="{00000000-0005-0000-0000-0000FF070000}"/>
    <cellStyle name="20% - Accent4 6 3 2 5 4" xfId="3908" xr:uid="{00000000-0005-0000-0000-000000080000}"/>
    <cellStyle name="20% - Accent4 6 3 2 6" xfId="3909" xr:uid="{00000000-0005-0000-0000-000001080000}"/>
    <cellStyle name="20% - Accent4 6 3 2 6 2" xfId="3910" xr:uid="{00000000-0005-0000-0000-000002080000}"/>
    <cellStyle name="20% - Accent4 6 3 2 6 2 2" xfId="3911" xr:uid="{00000000-0005-0000-0000-000003080000}"/>
    <cellStyle name="20% - Accent4 6 3 2 6 2 2 2" xfId="3912" xr:uid="{00000000-0005-0000-0000-000004080000}"/>
    <cellStyle name="20% - Accent4 6 3 2 6 2 3" xfId="3913" xr:uid="{00000000-0005-0000-0000-000005080000}"/>
    <cellStyle name="20% - Accent4 6 3 2 6 3" xfId="3914" xr:uid="{00000000-0005-0000-0000-000006080000}"/>
    <cellStyle name="20% - Accent4 6 3 2 6 3 2" xfId="3915" xr:uid="{00000000-0005-0000-0000-000007080000}"/>
    <cellStyle name="20% - Accent4 6 3 2 6 4" xfId="3916" xr:uid="{00000000-0005-0000-0000-000008080000}"/>
    <cellStyle name="20% - Accent4 6 3 2 7" xfId="3917" xr:uid="{00000000-0005-0000-0000-000009080000}"/>
    <cellStyle name="20% - Accent4 6 3 2 7 2" xfId="3918" xr:uid="{00000000-0005-0000-0000-00000A080000}"/>
    <cellStyle name="20% - Accent4 6 3 2 7 2 2" xfId="3919" xr:uid="{00000000-0005-0000-0000-00000B080000}"/>
    <cellStyle name="20% - Accent4 6 3 2 7 2 2 2" xfId="3920" xr:uid="{00000000-0005-0000-0000-00000C080000}"/>
    <cellStyle name="20% - Accent4 6 3 2 7 2 3" xfId="3921" xr:uid="{00000000-0005-0000-0000-00000D080000}"/>
    <cellStyle name="20% - Accent4 6 3 2 7 3" xfId="3922" xr:uid="{00000000-0005-0000-0000-00000E080000}"/>
    <cellStyle name="20% - Accent4 6 3 2 7 3 2" xfId="3923" xr:uid="{00000000-0005-0000-0000-00000F080000}"/>
    <cellStyle name="20% - Accent4 6 3 2 7 4" xfId="3924" xr:uid="{00000000-0005-0000-0000-000010080000}"/>
    <cellStyle name="20% - Accent4 6 3 2 8" xfId="3925" xr:uid="{00000000-0005-0000-0000-000011080000}"/>
    <cellStyle name="20% - Accent4 6 3 2 8 2" xfId="3926" xr:uid="{00000000-0005-0000-0000-000012080000}"/>
    <cellStyle name="20% - Accent4 6 3 2 8 2 2" xfId="3927" xr:uid="{00000000-0005-0000-0000-000013080000}"/>
    <cellStyle name="20% - Accent4 6 3 2 8 3" xfId="3928" xr:uid="{00000000-0005-0000-0000-000014080000}"/>
    <cellStyle name="20% - Accent4 6 3 2 9" xfId="3929" xr:uid="{00000000-0005-0000-0000-000015080000}"/>
    <cellStyle name="20% - Accent4 6 3 2 9 2" xfId="3930" xr:uid="{00000000-0005-0000-0000-000016080000}"/>
    <cellStyle name="20% - Accent4 6 3 3" xfId="1255" xr:uid="{00000000-0005-0000-0000-000017080000}"/>
    <cellStyle name="20% - Accent4 6 3 3 2" xfId="3932" xr:uid="{00000000-0005-0000-0000-000018080000}"/>
    <cellStyle name="20% - Accent4 6 3 3 2 2" xfId="3933" xr:uid="{00000000-0005-0000-0000-000019080000}"/>
    <cellStyle name="20% - Accent4 6 3 3 2 2 2" xfId="3934" xr:uid="{00000000-0005-0000-0000-00001A080000}"/>
    <cellStyle name="20% - Accent4 6 3 3 2 2 2 2" xfId="3935" xr:uid="{00000000-0005-0000-0000-00001B080000}"/>
    <cellStyle name="20% - Accent4 6 3 3 2 2 3" xfId="3936" xr:uid="{00000000-0005-0000-0000-00001C080000}"/>
    <cellStyle name="20% - Accent4 6 3 3 2 3" xfId="3937" xr:uid="{00000000-0005-0000-0000-00001D080000}"/>
    <cellStyle name="20% - Accent4 6 3 3 2 3 2" xfId="3938" xr:uid="{00000000-0005-0000-0000-00001E080000}"/>
    <cellStyle name="20% - Accent4 6 3 3 2 4" xfId="3939" xr:uid="{00000000-0005-0000-0000-00001F080000}"/>
    <cellStyle name="20% - Accent4 6 3 3 3" xfId="3940" xr:uid="{00000000-0005-0000-0000-000020080000}"/>
    <cellStyle name="20% - Accent4 6 3 3 3 2" xfId="3941" xr:uid="{00000000-0005-0000-0000-000021080000}"/>
    <cellStyle name="20% - Accent4 6 3 3 3 2 2" xfId="3942" xr:uid="{00000000-0005-0000-0000-000022080000}"/>
    <cellStyle name="20% - Accent4 6 3 3 3 2 2 2" xfId="3943" xr:uid="{00000000-0005-0000-0000-000023080000}"/>
    <cellStyle name="20% - Accent4 6 3 3 3 2 3" xfId="3944" xr:uid="{00000000-0005-0000-0000-000024080000}"/>
    <cellStyle name="20% - Accent4 6 3 3 3 3" xfId="3945" xr:uid="{00000000-0005-0000-0000-000025080000}"/>
    <cellStyle name="20% - Accent4 6 3 3 3 3 2" xfId="3946" xr:uid="{00000000-0005-0000-0000-000026080000}"/>
    <cellStyle name="20% - Accent4 6 3 3 3 4" xfId="3947" xr:uid="{00000000-0005-0000-0000-000027080000}"/>
    <cellStyle name="20% - Accent4 6 3 3 4" xfId="3948" xr:uid="{00000000-0005-0000-0000-000028080000}"/>
    <cellStyle name="20% - Accent4 6 3 3 4 2" xfId="3949" xr:uid="{00000000-0005-0000-0000-000029080000}"/>
    <cellStyle name="20% - Accent4 6 3 3 4 2 2" xfId="3950" xr:uid="{00000000-0005-0000-0000-00002A080000}"/>
    <cellStyle name="20% - Accent4 6 3 3 4 3" xfId="3951" xr:uid="{00000000-0005-0000-0000-00002B080000}"/>
    <cellStyle name="20% - Accent4 6 3 3 5" xfId="3952" xr:uid="{00000000-0005-0000-0000-00002C080000}"/>
    <cellStyle name="20% - Accent4 6 3 3 5 2" xfId="3953" xr:uid="{00000000-0005-0000-0000-00002D080000}"/>
    <cellStyle name="20% - Accent4 6 3 3 6" xfId="3954" xr:uid="{00000000-0005-0000-0000-00002E080000}"/>
    <cellStyle name="20% - Accent4 6 3 3 7" xfId="3931" xr:uid="{00000000-0005-0000-0000-00002F080000}"/>
    <cellStyle name="20% - Accent4 6 3 4" xfId="3955" xr:uid="{00000000-0005-0000-0000-000030080000}"/>
    <cellStyle name="20% - Accent4 6 3 4 2" xfId="3956" xr:uid="{00000000-0005-0000-0000-000031080000}"/>
    <cellStyle name="20% - Accent4 6 3 4 2 2" xfId="3957" xr:uid="{00000000-0005-0000-0000-000032080000}"/>
    <cellStyle name="20% - Accent4 6 3 4 2 2 2" xfId="3958" xr:uid="{00000000-0005-0000-0000-000033080000}"/>
    <cellStyle name="20% - Accent4 6 3 4 2 2 2 2" xfId="3959" xr:uid="{00000000-0005-0000-0000-000034080000}"/>
    <cellStyle name="20% - Accent4 6 3 4 2 2 3" xfId="3960" xr:uid="{00000000-0005-0000-0000-000035080000}"/>
    <cellStyle name="20% - Accent4 6 3 4 2 3" xfId="3961" xr:uid="{00000000-0005-0000-0000-000036080000}"/>
    <cellStyle name="20% - Accent4 6 3 4 2 3 2" xfId="3962" xr:uid="{00000000-0005-0000-0000-000037080000}"/>
    <cellStyle name="20% - Accent4 6 3 4 2 4" xfId="3963" xr:uid="{00000000-0005-0000-0000-000038080000}"/>
    <cellStyle name="20% - Accent4 6 3 4 3" xfId="3964" xr:uid="{00000000-0005-0000-0000-000039080000}"/>
    <cellStyle name="20% - Accent4 6 3 4 3 2" xfId="3965" xr:uid="{00000000-0005-0000-0000-00003A080000}"/>
    <cellStyle name="20% - Accent4 6 3 4 3 2 2" xfId="3966" xr:uid="{00000000-0005-0000-0000-00003B080000}"/>
    <cellStyle name="20% - Accent4 6 3 4 3 3" xfId="3967" xr:uid="{00000000-0005-0000-0000-00003C080000}"/>
    <cellStyle name="20% - Accent4 6 3 4 4" xfId="3968" xr:uid="{00000000-0005-0000-0000-00003D080000}"/>
    <cellStyle name="20% - Accent4 6 3 4 4 2" xfId="3969" xr:uid="{00000000-0005-0000-0000-00003E080000}"/>
    <cellStyle name="20% - Accent4 6 3 4 5" xfId="3970" xr:uid="{00000000-0005-0000-0000-00003F080000}"/>
    <cellStyle name="20% - Accent4 6 3 5" xfId="3971" xr:uid="{00000000-0005-0000-0000-000040080000}"/>
    <cellStyle name="20% - Accent4 6 3 5 2" xfId="3972" xr:uid="{00000000-0005-0000-0000-000041080000}"/>
    <cellStyle name="20% - Accent4 6 3 5 2 2" xfId="3973" xr:uid="{00000000-0005-0000-0000-000042080000}"/>
    <cellStyle name="20% - Accent4 6 3 5 2 2 2" xfId="3974" xr:uid="{00000000-0005-0000-0000-000043080000}"/>
    <cellStyle name="20% - Accent4 6 3 5 2 2 2 2" xfId="3975" xr:uid="{00000000-0005-0000-0000-000044080000}"/>
    <cellStyle name="20% - Accent4 6 3 5 2 2 3" xfId="3976" xr:uid="{00000000-0005-0000-0000-000045080000}"/>
    <cellStyle name="20% - Accent4 6 3 5 2 3" xfId="3977" xr:uid="{00000000-0005-0000-0000-000046080000}"/>
    <cellStyle name="20% - Accent4 6 3 5 2 3 2" xfId="3978" xr:uid="{00000000-0005-0000-0000-000047080000}"/>
    <cellStyle name="20% - Accent4 6 3 5 2 4" xfId="3979" xr:uid="{00000000-0005-0000-0000-000048080000}"/>
    <cellStyle name="20% - Accent4 6 3 5 3" xfId="3980" xr:uid="{00000000-0005-0000-0000-000049080000}"/>
    <cellStyle name="20% - Accent4 6 3 5 3 2" xfId="3981" xr:uid="{00000000-0005-0000-0000-00004A080000}"/>
    <cellStyle name="20% - Accent4 6 3 5 3 2 2" xfId="3982" xr:uid="{00000000-0005-0000-0000-00004B080000}"/>
    <cellStyle name="20% - Accent4 6 3 5 3 3" xfId="3983" xr:uid="{00000000-0005-0000-0000-00004C080000}"/>
    <cellStyle name="20% - Accent4 6 3 5 4" xfId="3984" xr:uid="{00000000-0005-0000-0000-00004D080000}"/>
    <cellStyle name="20% - Accent4 6 3 5 4 2" xfId="3985" xr:uid="{00000000-0005-0000-0000-00004E080000}"/>
    <cellStyle name="20% - Accent4 6 3 5 5" xfId="3986" xr:uid="{00000000-0005-0000-0000-00004F080000}"/>
    <cellStyle name="20% - Accent4 6 3 6" xfId="3987" xr:uid="{00000000-0005-0000-0000-000050080000}"/>
    <cellStyle name="20% - Accent4 6 3 6 2" xfId="3988" xr:uid="{00000000-0005-0000-0000-000051080000}"/>
    <cellStyle name="20% - Accent4 6 3 6 2 2" xfId="3989" xr:uid="{00000000-0005-0000-0000-000052080000}"/>
    <cellStyle name="20% - Accent4 6 3 6 2 2 2" xfId="3990" xr:uid="{00000000-0005-0000-0000-000053080000}"/>
    <cellStyle name="20% - Accent4 6 3 6 2 3" xfId="3991" xr:uid="{00000000-0005-0000-0000-000054080000}"/>
    <cellStyle name="20% - Accent4 6 3 6 3" xfId="3992" xr:uid="{00000000-0005-0000-0000-000055080000}"/>
    <cellStyle name="20% - Accent4 6 3 6 3 2" xfId="3993" xr:uid="{00000000-0005-0000-0000-000056080000}"/>
    <cellStyle name="20% - Accent4 6 3 6 4" xfId="3994" xr:uid="{00000000-0005-0000-0000-000057080000}"/>
    <cellStyle name="20% - Accent4 6 3 7" xfId="3995" xr:uid="{00000000-0005-0000-0000-000058080000}"/>
    <cellStyle name="20% - Accent4 6 3 7 2" xfId="3996" xr:uid="{00000000-0005-0000-0000-000059080000}"/>
    <cellStyle name="20% - Accent4 6 3 7 2 2" xfId="3997" xr:uid="{00000000-0005-0000-0000-00005A080000}"/>
    <cellStyle name="20% - Accent4 6 3 7 2 2 2" xfId="3998" xr:uid="{00000000-0005-0000-0000-00005B080000}"/>
    <cellStyle name="20% - Accent4 6 3 7 2 3" xfId="3999" xr:uid="{00000000-0005-0000-0000-00005C080000}"/>
    <cellStyle name="20% - Accent4 6 3 7 3" xfId="4000" xr:uid="{00000000-0005-0000-0000-00005D080000}"/>
    <cellStyle name="20% - Accent4 6 3 7 3 2" xfId="4001" xr:uid="{00000000-0005-0000-0000-00005E080000}"/>
    <cellStyle name="20% - Accent4 6 3 7 4" xfId="4002" xr:uid="{00000000-0005-0000-0000-00005F080000}"/>
    <cellStyle name="20% - Accent4 6 3 8" xfId="4003" xr:uid="{00000000-0005-0000-0000-000060080000}"/>
    <cellStyle name="20% - Accent4 6 3 8 2" xfId="4004" xr:uid="{00000000-0005-0000-0000-000061080000}"/>
    <cellStyle name="20% - Accent4 6 3 8 2 2" xfId="4005" xr:uid="{00000000-0005-0000-0000-000062080000}"/>
    <cellStyle name="20% - Accent4 6 3 8 2 2 2" xfId="4006" xr:uid="{00000000-0005-0000-0000-000063080000}"/>
    <cellStyle name="20% - Accent4 6 3 8 2 3" xfId="4007" xr:uid="{00000000-0005-0000-0000-000064080000}"/>
    <cellStyle name="20% - Accent4 6 3 8 3" xfId="4008" xr:uid="{00000000-0005-0000-0000-000065080000}"/>
    <cellStyle name="20% - Accent4 6 3 8 3 2" xfId="4009" xr:uid="{00000000-0005-0000-0000-000066080000}"/>
    <cellStyle name="20% - Accent4 6 3 8 4" xfId="4010" xr:uid="{00000000-0005-0000-0000-000067080000}"/>
    <cellStyle name="20% - Accent4 6 3 9" xfId="4011" xr:uid="{00000000-0005-0000-0000-000068080000}"/>
    <cellStyle name="20% - Accent4 6 3 9 2" xfId="4012" xr:uid="{00000000-0005-0000-0000-000069080000}"/>
    <cellStyle name="20% - Accent4 6 3 9 2 2" xfId="4013" xr:uid="{00000000-0005-0000-0000-00006A080000}"/>
    <cellStyle name="20% - Accent4 6 3 9 3" xfId="4014" xr:uid="{00000000-0005-0000-0000-00006B080000}"/>
    <cellStyle name="20% - Accent4 6 4" xfId="820" xr:uid="{00000000-0005-0000-0000-00006C080000}"/>
    <cellStyle name="20% - Accent4 6 4 10" xfId="4016" xr:uid="{00000000-0005-0000-0000-00006D080000}"/>
    <cellStyle name="20% - Accent4 6 4 11" xfId="4015" xr:uid="{00000000-0005-0000-0000-00006E080000}"/>
    <cellStyle name="20% - Accent4 6 4 2" xfId="1578" xr:uid="{00000000-0005-0000-0000-00006F080000}"/>
    <cellStyle name="20% - Accent4 6 4 2 2" xfId="4018" xr:uid="{00000000-0005-0000-0000-000070080000}"/>
    <cellStyle name="20% - Accent4 6 4 2 2 2" xfId="4019" xr:uid="{00000000-0005-0000-0000-000071080000}"/>
    <cellStyle name="20% - Accent4 6 4 2 2 2 2" xfId="4020" xr:uid="{00000000-0005-0000-0000-000072080000}"/>
    <cellStyle name="20% - Accent4 6 4 2 2 2 2 2" xfId="4021" xr:uid="{00000000-0005-0000-0000-000073080000}"/>
    <cellStyle name="20% - Accent4 6 4 2 2 2 3" xfId="4022" xr:uid="{00000000-0005-0000-0000-000074080000}"/>
    <cellStyle name="20% - Accent4 6 4 2 2 3" xfId="4023" xr:uid="{00000000-0005-0000-0000-000075080000}"/>
    <cellStyle name="20% - Accent4 6 4 2 2 3 2" xfId="4024" xr:uid="{00000000-0005-0000-0000-000076080000}"/>
    <cellStyle name="20% - Accent4 6 4 2 2 4" xfId="4025" xr:uid="{00000000-0005-0000-0000-000077080000}"/>
    <cellStyle name="20% - Accent4 6 4 2 3" xfId="4026" xr:uid="{00000000-0005-0000-0000-000078080000}"/>
    <cellStyle name="20% - Accent4 6 4 2 3 2" xfId="4027" xr:uid="{00000000-0005-0000-0000-000079080000}"/>
    <cellStyle name="20% - Accent4 6 4 2 3 2 2" xfId="4028" xr:uid="{00000000-0005-0000-0000-00007A080000}"/>
    <cellStyle name="20% - Accent4 6 4 2 3 2 2 2" xfId="4029" xr:uid="{00000000-0005-0000-0000-00007B080000}"/>
    <cellStyle name="20% - Accent4 6 4 2 3 2 3" xfId="4030" xr:uid="{00000000-0005-0000-0000-00007C080000}"/>
    <cellStyle name="20% - Accent4 6 4 2 3 3" xfId="4031" xr:uid="{00000000-0005-0000-0000-00007D080000}"/>
    <cellStyle name="20% - Accent4 6 4 2 3 3 2" xfId="4032" xr:uid="{00000000-0005-0000-0000-00007E080000}"/>
    <cellStyle name="20% - Accent4 6 4 2 3 4" xfId="4033" xr:uid="{00000000-0005-0000-0000-00007F080000}"/>
    <cellStyle name="20% - Accent4 6 4 2 4" xfId="4034" xr:uid="{00000000-0005-0000-0000-000080080000}"/>
    <cellStyle name="20% - Accent4 6 4 2 4 2" xfId="4035" xr:uid="{00000000-0005-0000-0000-000081080000}"/>
    <cellStyle name="20% - Accent4 6 4 2 4 2 2" xfId="4036" xr:uid="{00000000-0005-0000-0000-000082080000}"/>
    <cellStyle name="20% - Accent4 6 4 2 4 3" xfId="4037" xr:uid="{00000000-0005-0000-0000-000083080000}"/>
    <cellStyle name="20% - Accent4 6 4 2 5" xfId="4038" xr:uid="{00000000-0005-0000-0000-000084080000}"/>
    <cellStyle name="20% - Accent4 6 4 2 5 2" xfId="4039" xr:uid="{00000000-0005-0000-0000-000085080000}"/>
    <cellStyle name="20% - Accent4 6 4 2 6" xfId="4040" xr:uid="{00000000-0005-0000-0000-000086080000}"/>
    <cellStyle name="20% - Accent4 6 4 2 7" xfId="4017" xr:uid="{00000000-0005-0000-0000-000087080000}"/>
    <cellStyle name="20% - Accent4 6 4 3" xfId="4041" xr:uid="{00000000-0005-0000-0000-000088080000}"/>
    <cellStyle name="20% - Accent4 6 4 3 2" xfId="4042" xr:uid="{00000000-0005-0000-0000-000089080000}"/>
    <cellStyle name="20% - Accent4 6 4 3 2 2" xfId="4043" xr:uid="{00000000-0005-0000-0000-00008A080000}"/>
    <cellStyle name="20% - Accent4 6 4 3 2 2 2" xfId="4044" xr:uid="{00000000-0005-0000-0000-00008B080000}"/>
    <cellStyle name="20% - Accent4 6 4 3 2 2 2 2" xfId="4045" xr:uid="{00000000-0005-0000-0000-00008C080000}"/>
    <cellStyle name="20% - Accent4 6 4 3 2 2 3" xfId="4046" xr:uid="{00000000-0005-0000-0000-00008D080000}"/>
    <cellStyle name="20% - Accent4 6 4 3 2 3" xfId="4047" xr:uid="{00000000-0005-0000-0000-00008E080000}"/>
    <cellStyle name="20% - Accent4 6 4 3 2 3 2" xfId="4048" xr:uid="{00000000-0005-0000-0000-00008F080000}"/>
    <cellStyle name="20% - Accent4 6 4 3 2 4" xfId="4049" xr:uid="{00000000-0005-0000-0000-000090080000}"/>
    <cellStyle name="20% - Accent4 6 4 3 3" xfId="4050" xr:uid="{00000000-0005-0000-0000-000091080000}"/>
    <cellStyle name="20% - Accent4 6 4 3 3 2" xfId="4051" xr:uid="{00000000-0005-0000-0000-000092080000}"/>
    <cellStyle name="20% - Accent4 6 4 3 3 2 2" xfId="4052" xr:uid="{00000000-0005-0000-0000-000093080000}"/>
    <cellStyle name="20% - Accent4 6 4 3 3 3" xfId="4053" xr:uid="{00000000-0005-0000-0000-000094080000}"/>
    <cellStyle name="20% - Accent4 6 4 3 4" xfId="4054" xr:uid="{00000000-0005-0000-0000-000095080000}"/>
    <cellStyle name="20% - Accent4 6 4 3 4 2" xfId="4055" xr:uid="{00000000-0005-0000-0000-000096080000}"/>
    <cellStyle name="20% - Accent4 6 4 3 5" xfId="4056" xr:uid="{00000000-0005-0000-0000-000097080000}"/>
    <cellStyle name="20% - Accent4 6 4 4" xfId="4057" xr:uid="{00000000-0005-0000-0000-000098080000}"/>
    <cellStyle name="20% - Accent4 6 4 4 2" xfId="4058" xr:uid="{00000000-0005-0000-0000-000099080000}"/>
    <cellStyle name="20% - Accent4 6 4 4 2 2" xfId="4059" xr:uid="{00000000-0005-0000-0000-00009A080000}"/>
    <cellStyle name="20% - Accent4 6 4 4 2 2 2" xfId="4060" xr:uid="{00000000-0005-0000-0000-00009B080000}"/>
    <cellStyle name="20% - Accent4 6 4 4 2 2 2 2" xfId="4061" xr:uid="{00000000-0005-0000-0000-00009C080000}"/>
    <cellStyle name="20% - Accent4 6 4 4 2 2 3" xfId="4062" xr:uid="{00000000-0005-0000-0000-00009D080000}"/>
    <cellStyle name="20% - Accent4 6 4 4 2 3" xfId="4063" xr:uid="{00000000-0005-0000-0000-00009E080000}"/>
    <cellStyle name="20% - Accent4 6 4 4 2 3 2" xfId="4064" xr:uid="{00000000-0005-0000-0000-00009F080000}"/>
    <cellStyle name="20% - Accent4 6 4 4 2 4" xfId="4065" xr:uid="{00000000-0005-0000-0000-0000A0080000}"/>
    <cellStyle name="20% - Accent4 6 4 4 3" xfId="4066" xr:uid="{00000000-0005-0000-0000-0000A1080000}"/>
    <cellStyle name="20% - Accent4 6 4 4 3 2" xfId="4067" xr:uid="{00000000-0005-0000-0000-0000A2080000}"/>
    <cellStyle name="20% - Accent4 6 4 4 3 2 2" xfId="4068" xr:uid="{00000000-0005-0000-0000-0000A3080000}"/>
    <cellStyle name="20% - Accent4 6 4 4 3 3" xfId="4069" xr:uid="{00000000-0005-0000-0000-0000A4080000}"/>
    <cellStyle name="20% - Accent4 6 4 4 4" xfId="4070" xr:uid="{00000000-0005-0000-0000-0000A5080000}"/>
    <cellStyle name="20% - Accent4 6 4 4 4 2" xfId="4071" xr:uid="{00000000-0005-0000-0000-0000A6080000}"/>
    <cellStyle name="20% - Accent4 6 4 4 5" xfId="4072" xr:uid="{00000000-0005-0000-0000-0000A7080000}"/>
    <cellStyle name="20% - Accent4 6 4 5" xfId="4073" xr:uid="{00000000-0005-0000-0000-0000A8080000}"/>
    <cellStyle name="20% - Accent4 6 4 5 2" xfId="4074" xr:uid="{00000000-0005-0000-0000-0000A9080000}"/>
    <cellStyle name="20% - Accent4 6 4 5 2 2" xfId="4075" xr:uid="{00000000-0005-0000-0000-0000AA080000}"/>
    <cellStyle name="20% - Accent4 6 4 5 2 2 2" xfId="4076" xr:uid="{00000000-0005-0000-0000-0000AB080000}"/>
    <cellStyle name="20% - Accent4 6 4 5 2 3" xfId="4077" xr:uid="{00000000-0005-0000-0000-0000AC080000}"/>
    <cellStyle name="20% - Accent4 6 4 5 3" xfId="4078" xr:uid="{00000000-0005-0000-0000-0000AD080000}"/>
    <cellStyle name="20% - Accent4 6 4 5 3 2" xfId="4079" xr:uid="{00000000-0005-0000-0000-0000AE080000}"/>
    <cellStyle name="20% - Accent4 6 4 5 4" xfId="4080" xr:uid="{00000000-0005-0000-0000-0000AF080000}"/>
    <cellStyle name="20% - Accent4 6 4 6" xfId="4081" xr:uid="{00000000-0005-0000-0000-0000B0080000}"/>
    <cellStyle name="20% - Accent4 6 4 6 2" xfId="4082" xr:uid="{00000000-0005-0000-0000-0000B1080000}"/>
    <cellStyle name="20% - Accent4 6 4 6 2 2" xfId="4083" xr:uid="{00000000-0005-0000-0000-0000B2080000}"/>
    <cellStyle name="20% - Accent4 6 4 6 2 2 2" xfId="4084" xr:uid="{00000000-0005-0000-0000-0000B3080000}"/>
    <cellStyle name="20% - Accent4 6 4 6 2 3" xfId="4085" xr:uid="{00000000-0005-0000-0000-0000B4080000}"/>
    <cellStyle name="20% - Accent4 6 4 6 3" xfId="4086" xr:uid="{00000000-0005-0000-0000-0000B5080000}"/>
    <cellStyle name="20% - Accent4 6 4 6 3 2" xfId="4087" xr:uid="{00000000-0005-0000-0000-0000B6080000}"/>
    <cellStyle name="20% - Accent4 6 4 6 4" xfId="4088" xr:uid="{00000000-0005-0000-0000-0000B7080000}"/>
    <cellStyle name="20% - Accent4 6 4 7" xfId="4089" xr:uid="{00000000-0005-0000-0000-0000B8080000}"/>
    <cellStyle name="20% - Accent4 6 4 7 2" xfId="4090" xr:uid="{00000000-0005-0000-0000-0000B9080000}"/>
    <cellStyle name="20% - Accent4 6 4 7 2 2" xfId="4091" xr:uid="{00000000-0005-0000-0000-0000BA080000}"/>
    <cellStyle name="20% - Accent4 6 4 7 2 2 2" xfId="4092" xr:uid="{00000000-0005-0000-0000-0000BB080000}"/>
    <cellStyle name="20% - Accent4 6 4 7 2 3" xfId="4093" xr:uid="{00000000-0005-0000-0000-0000BC080000}"/>
    <cellStyle name="20% - Accent4 6 4 7 3" xfId="4094" xr:uid="{00000000-0005-0000-0000-0000BD080000}"/>
    <cellStyle name="20% - Accent4 6 4 7 3 2" xfId="4095" xr:uid="{00000000-0005-0000-0000-0000BE080000}"/>
    <cellStyle name="20% - Accent4 6 4 7 4" xfId="4096" xr:uid="{00000000-0005-0000-0000-0000BF080000}"/>
    <cellStyle name="20% - Accent4 6 4 8" xfId="4097" xr:uid="{00000000-0005-0000-0000-0000C0080000}"/>
    <cellStyle name="20% - Accent4 6 4 8 2" xfId="4098" xr:uid="{00000000-0005-0000-0000-0000C1080000}"/>
    <cellStyle name="20% - Accent4 6 4 8 2 2" xfId="4099" xr:uid="{00000000-0005-0000-0000-0000C2080000}"/>
    <cellStyle name="20% - Accent4 6 4 8 3" xfId="4100" xr:uid="{00000000-0005-0000-0000-0000C3080000}"/>
    <cellStyle name="20% - Accent4 6 4 9" xfId="4101" xr:uid="{00000000-0005-0000-0000-0000C4080000}"/>
    <cellStyle name="20% - Accent4 6 4 9 2" xfId="4102" xr:uid="{00000000-0005-0000-0000-0000C5080000}"/>
    <cellStyle name="20% - Accent4 6 5" xfId="1253" xr:uid="{00000000-0005-0000-0000-0000C6080000}"/>
    <cellStyle name="20% - Accent4 6 5 2" xfId="4104" xr:uid="{00000000-0005-0000-0000-0000C7080000}"/>
    <cellStyle name="20% - Accent4 6 5 2 2" xfId="4105" xr:uid="{00000000-0005-0000-0000-0000C8080000}"/>
    <cellStyle name="20% - Accent4 6 5 2 2 2" xfId="4106" xr:uid="{00000000-0005-0000-0000-0000C9080000}"/>
    <cellStyle name="20% - Accent4 6 5 2 2 2 2" xfId="4107" xr:uid="{00000000-0005-0000-0000-0000CA080000}"/>
    <cellStyle name="20% - Accent4 6 5 2 2 3" xfId="4108" xr:uid="{00000000-0005-0000-0000-0000CB080000}"/>
    <cellStyle name="20% - Accent4 6 5 2 3" xfId="4109" xr:uid="{00000000-0005-0000-0000-0000CC080000}"/>
    <cellStyle name="20% - Accent4 6 5 2 3 2" xfId="4110" xr:uid="{00000000-0005-0000-0000-0000CD080000}"/>
    <cellStyle name="20% - Accent4 6 5 2 4" xfId="4111" xr:uid="{00000000-0005-0000-0000-0000CE080000}"/>
    <cellStyle name="20% - Accent4 6 5 3" xfId="4112" xr:uid="{00000000-0005-0000-0000-0000CF080000}"/>
    <cellStyle name="20% - Accent4 6 5 3 2" xfId="4113" xr:uid="{00000000-0005-0000-0000-0000D0080000}"/>
    <cellStyle name="20% - Accent4 6 5 3 2 2" xfId="4114" xr:uid="{00000000-0005-0000-0000-0000D1080000}"/>
    <cellStyle name="20% - Accent4 6 5 3 2 2 2" xfId="4115" xr:uid="{00000000-0005-0000-0000-0000D2080000}"/>
    <cellStyle name="20% - Accent4 6 5 3 2 3" xfId="4116" xr:uid="{00000000-0005-0000-0000-0000D3080000}"/>
    <cellStyle name="20% - Accent4 6 5 3 3" xfId="4117" xr:uid="{00000000-0005-0000-0000-0000D4080000}"/>
    <cellStyle name="20% - Accent4 6 5 3 3 2" xfId="4118" xr:uid="{00000000-0005-0000-0000-0000D5080000}"/>
    <cellStyle name="20% - Accent4 6 5 3 4" xfId="4119" xr:uid="{00000000-0005-0000-0000-0000D6080000}"/>
    <cellStyle name="20% - Accent4 6 5 4" xfId="4120" xr:uid="{00000000-0005-0000-0000-0000D7080000}"/>
    <cellStyle name="20% - Accent4 6 5 4 2" xfId="4121" xr:uid="{00000000-0005-0000-0000-0000D8080000}"/>
    <cellStyle name="20% - Accent4 6 5 4 2 2" xfId="4122" xr:uid="{00000000-0005-0000-0000-0000D9080000}"/>
    <cellStyle name="20% - Accent4 6 5 4 3" xfId="4123" xr:uid="{00000000-0005-0000-0000-0000DA080000}"/>
    <cellStyle name="20% - Accent4 6 5 5" xfId="4124" xr:uid="{00000000-0005-0000-0000-0000DB080000}"/>
    <cellStyle name="20% - Accent4 6 5 5 2" xfId="4125" xr:uid="{00000000-0005-0000-0000-0000DC080000}"/>
    <cellStyle name="20% - Accent4 6 5 6" xfId="4126" xr:uid="{00000000-0005-0000-0000-0000DD080000}"/>
    <cellStyle name="20% - Accent4 6 5 7" xfId="4103" xr:uid="{00000000-0005-0000-0000-0000DE080000}"/>
    <cellStyle name="20% - Accent4 6 6" xfId="4127" xr:uid="{00000000-0005-0000-0000-0000DF080000}"/>
    <cellStyle name="20% - Accent4 6 6 2" xfId="4128" xr:uid="{00000000-0005-0000-0000-0000E0080000}"/>
    <cellStyle name="20% - Accent4 6 6 2 2" xfId="4129" xr:uid="{00000000-0005-0000-0000-0000E1080000}"/>
    <cellStyle name="20% - Accent4 6 6 2 2 2" xfId="4130" xr:uid="{00000000-0005-0000-0000-0000E2080000}"/>
    <cellStyle name="20% - Accent4 6 6 2 2 2 2" xfId="4131" xr:uid="{00000000-0005-0000-0000-0000E3080000}"/>
    <cellStyle name="20% - Accent4 6 6 2 2 3" xfId="4132" xr:uid="{00000000-0005-0000-0000-0000E4080000}"/>
    <cellStyle name="20% - Accent4 6 6 2 3" xfId="4133" xr:uid="{00000000-0005-0000-0000-0000E5080000}"/>
    <cellStyle name="20% - Accent4 6 6 2 3 2" xfId="4134" xr:uid="{00000000-0005-0000-0000-0000E6080000}"/>
    <cellStyle name="20% - Accent4 6 6 2 4" xfId="4135" xr:uid="{00000000-0005-0000-0000-0000E7080000}"/>
    <cellStyle name="20% - Accent4 6 6 3" xfId="4136" xr:uid="{00000000-0005-0000-0000-0000E8080000}"/>
    <cellStyle name="20% - Accent4 6 6 3 2" xfId="4137" xr:uid="{00000000-0005-0000-0000-0000E9080000}"/>
    <cellStyle name="20% - Accent4 6 6 3 2 2" xfId="4138" xr:uid="{00000000-0005-0000-0000-0000EA080000}"/>
    <cellStyle name="20% - Accent4 6 6 3 3" xfId="4139" xr:uid="{00000000-0005-0000-0000-0000EB080000}"/>
    <cellStyle name="20% - Accent4 6 6 4" xfId="4140" xr:uid="{00000000-0005-0000-0000-0000EC080000}"/>
    <cellStyle name="20% - Accent4 6 6 4 2" xfId="4141" xr:uid="{00000000-0005-0000-0000-0000ED080000}"/>
    <cellStyle name="20% - Accent4 6 6 5" xfId="4142" xr:uid="{00000000-0005-0000-0000-0000EE080000}"/>
    <cellStyle name="20% - Accent4 6 7" xfId="4143" xr:uid="{00000000-0005-0000-0000-0000EF080000}"/>
    <cellStyle name="20% - Accent4 6 7 2" xfId="4144" xr:uid="{00000000-0005-0000-0000-0000F0080000}"/>
    <cellStyle name="20% - Accent4 6 7 2 2" xfId="4145" xr:uid="{00000000-0005-0000-0000-0000F1080000}"/>
    <cellStyle name="20% - Accent4 6 7 2 2 2" xfId="4146" xr:uid="{00000000-0005-0000-0000-0000F2080000}"/>
    <cellStyle name="20% - Accent4 6 7 2 2 2 2" xfId="4147" xr:uid="{00000000-0005-0000-0000-0000F3080000}"/>
    <cellStyle name="20% - Accent4 6 7 2 2 3" xfId="4148" xr:uid="{00000000-0005-0000-0000-0000F4080000}"/>
    <cellStyle name="20% - Accent4 6 7 2 3" xfId="4149" xr:uid="{00000000-0005-0000-0000-0000F5080000}"/>
    <cellStyle name="20% - Accent4 6 7 2 3 2" xfId="4150" xr:uid="{00000000-0005-0000-0000-0000F6080000}"/>
    <cellStyle name="20% - Accent4 6 7 2 4" xfId="4151" xr:uid="{00000000-0005-0000-0000-0000F7080000}"/>
    <cellStyle name="20% - Accent4 6 7 3" xfId="4152" xr:uid="{00000000-0005-0000-0000-0000F8080000}"/>
    <cellStyle name="20% - Accent4 6 7 3 2" xfId="4153" xr:uid="{00000000-0005-0000-0000-0000F9080000}"/>
    <cellStyle name="20% - Accent4 6 7 3 2 2" xfId="4154" xr:uid="{00000000-0005-0000-0000-0000FA080000}"/>
    <cellStyle name="20% - Accent4 6 7 3 3" xfId="4155" xr:uid="{00000000-0005-0000-0000-0000FB080000}"/>
    <cellStyle name="20% - Accent4 6 7 4" xfId="4156" xr:uid="{00000000-0005-0000-0000-0000FC080000}"/>
    <cellStyle name="20% - Accent4 6 7 4 2" xfId="4157" xr:uid="{00000000-0005-0000-0000-0000FD080000}"/>
    <cellStyle name="20% - Accent4 6 7 5" xfId="4158" xr:uid="{00000000-0005-0000-0000-0000FE080000}"/>
    <cellStyle name="20% - Accent4 6 8" xfId="4159" xr:uid="{00000000-0005-0000-0000-0000FF080000}"/>
    <cellStyle name="20% - Accent4 6 8 2" xfId="4160" xr:uid="{00000000-0005-0000-0000-000000090000}"/>
    <cellStyle name="20% - Accent4 6 8 2 2" xfId="4161" xr:uid="{00000000-0005-0000-0000-000001090000}"/>
    <cellStyle name="20% - Accent4 6 8 2 2 2" xfId="4162" xr:uid="{00000000-0005-0000-0000-000002090000}"/>
    <cellStyle name="20% - Accent4 6 8 2 3" xfId="4163" xr:uid="{00000000-0005-0000-0000-000003090000}"/>
    <cellStyle name="20% - Accent4 6 8 3" xfId="4164" xr:uid="{00000000-0005-0000-0000-000004090000}"/>
    <cellStyle name="20% - Accent4 6 8 3 2" xfId="4165" xr:uid="{00000000-0005-0000-0000-000005090000}"/>
    <cellStyle name="20% - Accent4 6 8 4" xfId="4166" xr:uid="{00000000-0005-0000-0000-000006090000}"/>
    <cellStyle name="20% - Accent4 6 9" xfId="4167" xr:uid="{00000000-0005-0000-0000-000007090000}"/>
    <cellStyle name="20% - Accent4 6 9 2" xfId="4168" xr:uid="{00000000-0005-0000-0000-000008090000}"/>
    <cellStyle name="20% - Accent4 6 9 2 2" xfId="4169" xr:uid="{00000000-0005-0000-0000-000009090000}"/>
    <cellStyle name="20% - Accent4 6 9 2 2 2" xfId="4170" xr:uid="{00000000-0005-0000-0000-00000A090000}"/>
    <cellStyle name="20% - Accent4 6 9 2 3" xfId="4171" xr:uid="{00000000-0005-0000-0000-00000B090000}"/>
    <cellStyle name="20% - Accent4 6 9 3" xfId="4172" xr:uid="{00000000-0005-0000-0000-00000C090000}"/>
    <cellStyle name="20% - Accent4 6 9 3 2" xfId="4173" xr:uid="{00000000-0005-0000-0000-00000D090000}"/>
    <cellStyle name="20% - Accent4 6 9 4" xfId="4174" xr:uid="{00000000-0005-0000-0000-00000E090000}"/>
    <cellStyle name="20% - Accent4 7" xfId="72" xr:uid="{00000000-0005-0000-0000-00000F090000}"/>
    <cellStyle name="20% - Accent4 8" xfId="73" xr:uid="{00000000-0005-0000-0000-000010090000}"/>
    <cellStyle name="20% - Accent4 8 2" xfId="4175" xr:uid="{00000000-0005-0000-0000-000011090000}"/>
    <cellStyle name="20% - Accent4 8 2 2" xfId="4176" xr:uid="{00000000-0005-0000-0000-000012090000}"/>
    <cellStyle name="20% - Accent4 8 3" xfId="4177" xr:uid="{00000000-0005-0000-0000-000013090000}"/>
    <cellStyle name="20% - Accent4 9" xfId="4178" xr:uid="{00000000-0005-0000-0000-000014090000}"/>
    <cellStyle name="20% - Accent4 9 2" xfId="4179" xr:uid="{00000000-0005-0000-0000-000015090000}"/>
    <cellStyle name="20% - Accent4 9 2 2" xfId="4180" xr:uid="{00000000-0005-0000-0000-000016090000}"/>
    <cellStyle name="20% - Accent4 9 3" xfId="4181" xr:uid="{00000000-0005-0000-0000-000017090000}"/>
    <cellStyle name="20% - Accent5 10" xfId="4182" xr:uid="{00000000-0005-0000-0000-000018090000}"/>
    <cellStyle name="20% - Accent5 2" xfId="74" xr:uid="{00000000-0005-0000-0000-000019090000}"/>
    <cellStyle name="20% - Accent5 2 2" xfId="75" xr:uid="{00000000-0005-0000-0000-00001A090000}"/>
    <cellStyle name="20% - Accent5 3" xfId="76" xr:uid="{00000000-0005-0000-0000-00001B090000}"/>
    <cellStyle name="20% - Accent5 4" xfId="77" xr:uid="{00000000-0005-0000-0000-00001C090000}"/>
    <cellStyle name="20% - Accent5 5" xfId="78" xr:uid="{00000000-0005-0000-0000-00001D090000}"/>
    <cellStyle name="20% - Accent5 6" xfId="79" xr:uid="{00000000-0005-0000-0000-00001E090000}"/>
    <cellStyle name="20% - Accent5 6 10" xfId="4184" xr:uid="{00000000-0005-0000-0000-00001F090000}"/>
    <cellStyle name="20% - Accent5 6 10 2" xfId="4185" xr:uid="{00000000-0005-0000-0000-000020090000}"/>
    <cellStyle name="20% - Accent5 6 10 2 2" xfId="4186" xr:uid="{00000000-0005-0000-0000-000021090000}"/>
    <cellStyle name="20% - Accent5 6 10 2 2 2" xfId="4187" xr:uid="{00000000-0005-0000-0000-000022090000}"/>
    <cellStyle name="20% - Accent5 6 10 2 3" xfId="4188" xr:uid="{00000000-0005-0000-0000-000023090000}"/>
    <cellStyle name="20% - Accent5 6 10 3" xfId="4189" xr:uid="{00000000-0005-0000-0000-000024090000}"/>
    <cellStyle name="20% - Accent5 6 10 3 2" xfId="4190" xr:uid="{00000000-0005-0000-0000-000025090000}"/>
    <cellStyle name="20% - Accent5 6 10 4" xfId="4191" xr:uid="{00000000-0005-0000-0000-000026090000}"/>
    <cellStyle name="20% - Accent5 6 11" xfId="4192" xr:uid="{00000000-0005-0000-0000-000027090000}"/>
    <cellStyle name="20% - Accent5 6 11 2" xfId="4193" xr:uid="{00000000-0005-0000-0000-000028090000}"/>
    <cellStyle name="20% - Accent5 6 11 2 2" xfId="4194" xr:uid="{00000000-0005-0000-0000-000029090000}"/>
    <cellStyle name="20% - Accent5 6 11 3" xfId="4195" xr:uid="{00000000-0005-0000-0000-00002A090000}"/>
    <cellStyle name="20% - Accent5 6 12" xfId="4196" xr:uid="{00000000-0005-0000-0000-00002B090000}"/>
    <cellStyle name="20% - Accent5 6 12 2" xfId="4197" xr:uid="{00000000-0005-0000-0000-00002C090000}"/>
    <cellStyle name="20% - Accent5 6 12 2 2" xfId="4198" xr:uid="{00000000-0005-0000-0000-00002D090000}"/>
    <cellStyle name="20% - Accent5 6 12 3" xfId="4199" xr:uid="{00000000-0005-0000-0000-00002E090000}"/>
    <cellStyle name="20% - Accent5 6 13" xfId="4200" xr:uid="{00000000-0005-0000-0000-00002F090000}"/>
    <cellStyle name="20% - Accent5 6 13 2" xfId="4201" xr:uid="{00000000-0005-0000-0000-000030090000}"/>
    <cellStyle name="20% - Accent5 6 13 2 2" xfId="4202" xr:uid="{00000000-0005-0000-0000-000031090000}"/>
    <cellStyle name="20% - Accent5 6 13 3" xfId="4203" xr:uid="{00000000-0005-0000-0000-000032090000}"/>
    <cellStyle name="20% - Accent5 6 14" xfId="4204" xr:uid="{00000000-0005-0000-0000-000033090000}"/>
    <cellStyle name="20% - Accent5 6 14 2" xfId="4205" xr:uid="{00000000-0005-0000-0000-000034090000}"/>
    <cellStyle name="20% - Accent5 6 15" xfId="4206" xr:uid="{00000000-0005-0000-0000-000035090000}"/>
    <cellStyle name="20% - Accent5 6 16" xfId="4207" xr:uid="{00000000-0005-0000-0000-000036090000}"/>
    <cellStyle name="20% - Accent5 6 17" xfId="4183" xr:uid="{00000000-0005-0000-0000-000037090000}"/>
    <cellStyle name="20% - Accent5 6 2" xfId="80" xr:uid="{00000000-0005-0000-0000-000038090000}"/>
    <cellStyle name="20% - Accent5 6 2 10" xfId="4209" xr:uid="{00000000-0005-0000-0000-000039090000}"/>
    <cellStyle name="20% - Accent5 6 2 10 2" xfId="4210" xr:uid="{00000000-0005-0000-0000-00003A090000}"/>
    <cellStyle name="20% - Accent5 6 2 10 2 2" xfId="4211" xr:uid="{00000000-0005-0000-0000-00003B090000}"/>
    <cellStyle name="20% - Accent5 6 2 10 3" xfId="4212" xr:uid="{00000000-0005-0000-0000-00003C090000}"/>
    <cellStyle name="20% - Accent5 6 2 11" xfId="4213" xr:uid="{00000000-0005-0000-0000-00003D090000}"/>
    <cellStyle name="20% - Accent5 6 2 11 2" xfId="4214" xr:uid="{00000000-0005-0000-0000-00003E090000}"/>
    <cellStyle name="20% - Accent5 6 2 11 2 2" xfId="4215" xr:uid="{00000000-0005-0000-0000-00003F090000}"/>
    <cellStyle name="20% - Accent5 6 2 11 3" xfId="4216" xr:uid="{00000000-0005-0000-0000-000040090000}"/>
    <cellStyle name="20% - Accent5 6 2 12" xfId="4217" xr:uid="{00000000-0005-0000-0000-000041090000}"/>
    <cellStyle name="20% - Accent5 6 2 12 2" xfId="4218" xr:uid="{00000000-0005-0000-0000-000042090000}"/>
    <cellStyle name="20% - Accent5 6 2 13" xfId="4219" xr:uid="{00000000-0005-0000-0000-000043090000}"/>
    <cellStyle name="20% - Accent5 6 2 14" xfId="4220" xr:uid="{00000000-0005-0000-0000-000044090000}"/>
    <cellStyle name="20% - Accent5 6 2 15" xfId="4208" xr:uid="{00000000-0005-0000-0000-000045090000}"/>
    <cellStyle name="20% - Accent5 6 2 2" xfId="824" xr:uid="{00000000-0005-0000-0000-000046090000}"/>
    <cellStyle name="20% - Accent5 6 2 2 10" xfId="4222" xr:uid="{00000000-0005-0000-0000-000047090000}"/>
    <cellStyle name="20% - Accent5 6 2 2 11" xfId="4221" xr:uid="{00000000-0005-0000-0000-000048090000}"/>
    <cellStyle name="20% - Accent5 6 2 2 2" xfId="1582" xr:uid="{00000000-0005-0000-0000-000049090000}"/>
    <cellStyle name="20% - Accent5 6 2 2 2 2" xfId="4224" xr:uid="{00000000-0005-0000-0000-00004A090000}"/>
    <cellStyle name="20% - Accent5 6 2 2 2 2 2" xfId="4225" xr:uid="{00000000-0005-0000-0000-00004B090000}"/>
    <cellStyle name="20% - Accent5 6 2 2 2 2 2 2" xfId="4226" xr:uid="{00000000-0005-0000-0000-00004C090000}"/>
    <cellStyle name="20% - Accent5 6 2 2 2 2 2 2 2" xfId="4227" xr:uid="{00000000-0005-0000-0000-00004D090000}"/>
    <cellStyle name="20% - Accent5 6 2 2 2 2 2 3" xfId="4228" xr:uid="{00000000-0005-0000-0000-00004E090000}"/>
    <cellStyle name="20% - Accent5 6 2 2 2 2 3" xfId="4229" xr:uid="{00000000-0005-0000-0000-00004F090000}"/>
    <cellStyle name="20% - Accent5 6 2 2 2 2 3 2" xfId="4230" xr:uid="{00000000-0005-0000-0000-000050090000}"/>
    <cellStyle name="20% - Accent5 6 2 2 2 2 4" xfId="4231" xr:uid="{00000000-0005-0000-0000-000051090000}"/>
    <cellStyle name="20% - Accent5 6 2 2 2 3" xfId="4232" xr:uid="{00000000-0005-0000-0000-000052090000}"/>
    <cellStyle name="20% - Accent5 6 2 2 2 3 2" xfId="4233" xr:uid="{00000000-0005-0000-0000-000053090000}"/>
    <cellStyle name="20% - Accent5 6 2 2 2 3 2 2" xfId="4234" xr:uid="{00000000-0005-0000-0000-000054090000}"/>
    <cellStyle name="20% - Accent5 6 2 2 2 3 2 2 2" xfId="4235" xr:uid="{00000000-0005-0000-0000-000055090000}"/>
    <cellStyle name="20% - Accent5 6 2 2 2 3 2 3" xfId="4236" xr:uid="{00000000-0005-0000-0000-000056090000}"/>
    <cellStyle name="20% - Accent5 6 2 2 2 3 3" xfId="4237" xr:uid="{00000000-0005-0000-0000-000057090000}"/>
    <cellStyle name="20% - Accent5 6 2 2 2 3 3 2" xfId="4238" xr:uid="{00000000-0005-0000-0000-000058090000}"/>
    <cellStyle name="20% - Accent5 6 2 2 2 3 4" xfId="4239" xr:uid="{00000000-0005-0000-0000-000059090000}"/>
    <cellStyle name="20% - Accent5 6 2 2 2 4" xfId="4240" xr:uid="{00000000-0005-0000-0000-00005A090000}"/>
    <cellStyle name="20% - Accent5 6 2 2 2 4 2" xfId="4241" xr:uid="{00000000-0005-0000-0000-00005B090000}"/>
    <cellStyle name="20% - Accent5 6 2 2 2 4 2 2" xfId="4242" xr:uid="{00000000-0005-0000-0000-00005C090000}"/>
    <cellStyle name="20% - Accent5 6 2 2 2 4 3" xfId="4243" xr:uid="{00000000-0005-0000-0000-00005D090000}"/>
    <cellStyle name="20% - Accent5 6 2 2 2 5" xfId="4244" xr:uid="{00000000-0005-0000-0000-00005E090000}"/>
    <cellStyle name="20% - Accent5 6 2 2 2 5 2" xfId="4245" xr:uid="{00000000-0005-0000-0000-00005F090000}"/>
    <cellStyle name="20% - Accent5 6 2 2 2 6" xfId="4246" xr:uid="{00000000-0005-0000-0000-000060090000}"/>
    <cellStyle name="20% - Accent5 6 2 2 2 7" xfId="4223" xr:uid="{00000000-0005-0000-0000-000061090000}"/>
    <cellStyle name="20% - Accent5 6 2 2 3" xfId="4247" xr:uid="{00000000-0005-0000-0000-000062090000}"/>
    <cellStyle name="20% - Accent5 6 2 2 3 2" xfId="4248" xr:uid="{00000000-0005-0000-0000-000063090000}"/>
    <cellStyle name="20% - Accent5 6 2 2 3 2 2" xfId="4249" xr:uid="{00000000-0005-0000-0000-000064090000}"/>
    <cellStyle name="20% - Accent5 6 2 2 3 2 2 2" xfId="4250" xr:uid="{00000000-0005-0000-0000-000065090000}"/>
    <cellStyle name="20% - Accent5 6 2 2 3 2 2 2 2" xfId="4251" xr:uid="{00000000-0005-0000-0000-000066090000}"/>
    <cellStyle name="20% - Accent5 6 2 2 3 2 2 3" xfId="4252" xr:uid="{00000000-0005-0000-0000-000067090000}"/>
    <cellStyle name="20% - Accent5 6 2 2 3 2 3" xfId="4253" xr:uid="{00000000-0005-0000-0000-000068090000}"/>
    <cellStyle name="20% - Accent5 6 2 2 3 2 3 2" xfId="4254" xr:uid="{00000000-0005-0000-0000-000069090000}"/>
    <cellStyle name="20% - Accent5 6 2 2 3 2 4" xfId="4255" xr:uid="{00000000-0005-0000-0000-00006A090000}"/>
    <cellStyle name="20% - Accent5 6 2 2 3 3" xfId="4256" xr:uid="{00000000-0005-0000-0000-00006B090000}"/>
    <cellStyle name="20% - Accent5 6 2 2 3 3 2" xfId="4257" xr:uid="{00000000-0005-0000-0000-00006C090000}"/>
    <cellStyle name="20% - Accent5 6 2 2 3 3 2 2" xfId="4258" xr:uid="{00000000-0005-0000-0000-00006D090000}"/>
    <cellStyle name="20% - Accent5 6 2 2 3 3 3" xfId="4259" xr:uid="{00000000-0005-0000-0000-00006E090000}"/>
    <cellStyle name="20% - Accent5 6 2 2 3 4" xfId="4260" xr:uid="{00000000-0005-0000-0000-00006F090000}"/>
    <cellStyle name="20% - Accent5 6 2 2 3 4 2" xfId="4261" xr:uid="{00000000-0005-0000-0000-000070090000}"/>
    <cellStyle name="20% - Accent5 6 2 2 3 5" xfId="4262" xr:uid="{00000000-0005-0000-0000-000071090000}"/>
    <cellStyle name="20% - Accent5 6 2 2 4" xfId="4263" xr:uid="{00000000-0005-0000-0000-000072090000}"/>
    <cellStyle name="20% - Accent5 6 2 2 4 2" xfId="4264" xr:uid="{00000000-0005-0000-0000-000073090000}"/>
    <cellStyle name="20% - Accent5 6 2 2 4 2 2" xfId="4265" xr:uid="{00000000-0005-0000-0000-000074090000}"/>
    <cellStyle name="20% - Accent5 6 2 2 4 2 2 2" xfId="4266" xr:uid="{00000000-0005-0000-0000-000075090000}"/>
    <cellStyle name="20% - Accent5 6 2 2 4 2 2 2 2" xfId="4267" xr:uid="{00000000-0005-0000-0000-000076090000}"/>
    <cellStyle name="20% - Accent5 6 2 2 4 2 2 3" xfId="4268" xr:uid="{00000000-0005-0000-0000-000077090000}"/>
    <cellStyle name="20% - Accent5 6 2 2 4 2 3" xfId="4269" xr:uid="{00000000-0005-0000-0000-000078090000}"/>
    <cellStyle name="20% - Accent5 6 2 2 4 2 3 2" xfId="4270" xr:uid="{00000000-0005-0000-0000-000079090000}"/>
    <cellStyle name="20% - Accent5 6 2 2 4 2 4" xfId="4271" xr:uid="{00000000-0005-0000-0000-00007A090000}"/>
    <cellStyle name="20% - Accent5 6 2 2 4 3" xfId="4272" xr:uid="{00000000-0005-0000-0000-00007B090000}"/>
    <cellStyle name="20% - Accent5 6 2 2 4 3 2" xfId="4273" xr:uid="{00000000-0005-0000-0000-00007C090000}"/>
    <cellStyle name="20% - Accent5 6 2 2 4 3 2 2" xfId="4274" xr:uid="{00000000-0005-0000-0000-00007D090000}"/>
    <cellStyle name="20% - Accent5 6 2 2 4 3 3" xfId="4275" xr:uid="{00000000-0005-0000-0000-00007E090000}"/>
    <cellStyle name="20% - Accent5 6 2 2 4 4" xfId="4276" xr:uid="{00000000-0005-0000-0000-00007F090000}"/>
    <cellStyle name="20% - Accent5 6 2 2 4 4 2" xfId="4277" xr:uid="{00000000-0005-0000-0000-000080090000}"/>
    <cellStyle name="20% - Accent5 6 2 2 4 5" xfId="4278" xr:uid="{00000000-0005-0000-0000-000081090000}"/>
    <cellStyle name="20% - Accent5 6 2 2 5" xfId="4279" xr:uid="{00000000-0005-0000-0000-000082090000}"/>
    <cellStyle name="20% - Accent5 6 2 2 5 2" xfId="4280" xr:uid="{00000000-0005-0000-0000-000083090000}"/>
    <cellStyle name="20% - Accent5 6 2 2 5 2 2" xfId="4281" xr:uid="{00000000-0005-0000-0000-000084090000}"/>
    <cellStyle name="20% - Accent5 6 2 2 5 2 2 2" xfId="4282" xr:uid="{00000000-0005-0000-0000-000085090000}"/>
    <cellStyle name="20% - Accent5 6 2 2 5 2 3" xfId="4283" xr:uid="{00000000-0005-0000-0000-000086090000}"/>
    <cellStyle name="20% - Accent5 6 2 2 5 3" xfId="4284" xr:uid="{00000000-0005-0000-0000-000087090000}"/>
    <cellStyle name="20% - Accent5 6 2 2 5 3 2" xfId="4285" xr:uid="{00000000-0005-0000-0000-000088090000}"/>
    <cellStyle name="20% - Accent5 6 2 2 5 4" xfId="4286" xr:uid="{00000000-0005-0000-0000-000089090000}"/>
    <cellStyle name="20% - Accent5 6 2 2 6" xfId="4287" xr:uid="{00000000-0005-0000-0000-00008A090000}"/>
    <cellStyle name="20% - Accent5 6 2 2 6 2" xfId="4288" xr:uid="{00000000-0005-0000-0000-00008B090000}"/>
    <cellStyle name="20% - Accent5 6 2 2 6 2 2" xfId="4289" xr:uid="{00000000-0005-0000-0000-00008C090000}"/>
    <cellStyle name="20% - Accent5 6 2 2 6 2 2 2" xfId="4290" xr:uid="{00000000-0005-0000-0000-00008D090000}"/>
    <cellStyle name="20% - Accent5 6 2 2 6 2 3" xfId="4291" xr:uid="{00000000-0005-0000-0000-00008E090000}"/>
    <cellStyle name="20% - Accent5 6 2 2 6 3" xfId="4292" xr:uid="{00000000-0005-0000-0000-00008F090000}"/>
    <cellStyle name="20% - Accent5 6 2 2 6 3 2" xfId="4293" xr:uid="{00000000-0005-0000-0000-000090090000}"/>
    <cellStyle name="20% - Accent5 6 2 2 6 4" xfId="4294" xr:uid="{00000000-0005-0000-0000-000091090000}"/>
    <cellStyle name="20% - Accent5 6 2 2 7" xfId="4295" xr:uid="{00000000-0005-0000-0000-000092090000}"/>
    <cellStyle name="20% - Accent5 6 2 2 7 2" xfId="4296" xr:uid="{00000000-0005-0000-0000-000093090000}"/>
    <cellStyle name="20% - Accent5 6 2 2 7 2 2" xfId="4297" xr:uid="{00000000-0005-0000-0000-000094090000}"/>
    <cellStyle name="20% - Accent5 6 2 2 7 2 2 2" xfId="4298" xr:uid="{00000000-0005-0000-0000-000095090000}"/>
    <cellStyle name="20% - Accent5 6 2 2 7 2 3" xfId="4299" xr:uid="{00000000-0005-0000-0000-000096090000}"/>
    <cellStyle name="20% - Accent5 6 2 2 7 3" xfId="4300" xr:uid="{00000000-0005-0000-0000-000097090000}"/>
    <cellStyle name="20% - Accent5 6 2 2 7 3 2" xfId="4301" xr:uid="{00000000-0005-0000-0000-000098090000}"/>
    <cellStyle name="20% - Accent5 6 2 2 7 4" xfId="4302" xr:uid="{00000000-0005-0000-0000-000099090000}"/>
    <cellStyle name="20% - Accent5 6 2 2 8" xfId="4303" xr:uid="{00000000-0005-0000-0000-00009A090000}"/>
    <cellStyle name="20% - Accent5 6 2 2 8 2" xfId="4304" xr:uid="{00000000-0005-0000-0000-00009B090000}"/>
    <cellStyle name="20% - Accent5 6 2 2 8 2 2" xfId="4305" xr:uid="{00000000-0005-0000-0000-00009C090000}"/>
    <cellStyle name="20% - Accent5 6 2 2 8 3" xfId="4306" xr:uid="{00000000-0005-0000-0000-00009D090000}"/>
    <cellStyle name="20% - Accent5 6 2 2 9" xfId="4307" xr:uid="{00000000-0005-0000-0000-00009E090000}"/>
    <cellStyle name="20% - Accent5 6 2 2 9 2" xfId="4308" xr:uid="{00000000-0005-0000-0000-00009F090000}"/>
    <cellStyle name="20% - Accent5 6 2 3" xfId="1257" xr:uid="{00000000-0005-0000-0000-0000A0090000}"/>
    <cellStyle name="20% - Accent5 6 2 3 2" xfId="4310" xr:uid="{00000000-0005-0000-0000-0000A1090000}"/>
    <cellStyle name="20% - Accent5 6 2 3 2 2" xfId="4311" xr:uid="{00000000-0005-0000-0000-0000A2090000}"/>
    <cellStyle name="20% - Accent5 6 2 3 2 2 2" xfId="4312" xr:uid="{00000000-0005-0000-0000-0000A3090000}"/>
    <cellStyle name="20% - Accent5 6 2 3 2 2 2 2" xfId="4313" xr:uid="{00000000-0005-0000-0000-0000A4090000}"/>
    <cellStyle name="20% - Accent5 6 2 3 2 2 3" xfId="4314" xr:uid="{00000000-0005-0000-0000-0000A5090000}"/>
    <cellStyle name="20% - Accent5 6 2 3 2 3" xfId="4315" xr:uid="{00000000-0005-0000-0000-0000A6090000}"/>
    <cellStyle name="20% - Accent5 6 2 3 2 3 2" xfId="4316" xr:uid="{00000000-0005-0000-0000-0000A7090000}"/>
    <cellStyle name="20% - Accent5 6 2 3 2 4" xfId="4317" xr:uid="{00000000-0005-0000-0000-0000A8090000}"/>
    <cellStyle name="20% - Accent5 6 2 3 3" xfId="4318" xr:uid="{00000000-0005-0000-0000-0000A9090000}"/>
    <cellStyle name="20% - Accent5 6 2 3 3 2" xfId="4319" xr:uid="{00000000-0005-0000-0000-0000AA090000}"/>
    <cellStyle name="20% - Accent5 6 2 3 3 2 2" xfId="4320" xr:uid="{00000000-0005-0000-0000-0000AB090000}"/>
    <cellStyle name="20% - Accent5 6 2 3 3 2 2 2" xfId="4321" xr:uid="{00000000-0005-0000-0000-0000AC090000}"/>
    <cellStyle name="20% - Accent5 6 2 3 3 2 3" xfId="4322" xr:uid="{00000000-0005-0000-0000-0000AD090000}"/>
    <cellStyle name="20% - Accent5 6 2 3 3 3" xfId="4323" xr:uid="{00000000-0005-0000-0000-0000AE090000}"/>
    <cellStyle name="20% - Accent5 6 2 3 3 3 2" xfId="4324" xr:uid="{00000000-0005-0000-0000-0000AF090000}"/>
    <cellStyle name="20% - Accent5 6 2 3 3 4" xfId="4325" xr:uid="{00000000-0005-0000-0000-0000B0090000}"/>
    <cellStyle name="20% - Accent5 6 2 3 4" xfId="4326" xr:uid="{00000000-0005-0000-0000-0000B1090000}"/>
    <cellStyle name="20% - Accent5 6 2 3 4 2" xfId="4327" xr:uid="{00000000-0005-0000-0000-0000B2090000}"/>
    <cellStyle name="20% - Accent5 6 2 3 4 2 2" xfId="4328" xr:uid="{00000000-0005-0000-0000-0000B3090000}"/>
    <cellStyle name="20% - Accent5 6 2 3 4 3" xfId="4329" xr:uid="{00000000-0005-0000-0000-0000B4090000}"/>
    <cellStyle name="20% - Accent5 6 2 3 5" xfId="4330" xr:uid="{00000000-0005-0000-0000-0000B5090000}"/>
    <cellStyle name="20% - Accent5 6 2 3 5 2" xfId="4331" xr:uid="{00000000-0005-0000-0000-0000B6090000}"/>
    <cellStyle name="20% - Accent5 6 2 3 6" xfId="4332" xr:uid="{00000000-0005-0000-0000-0000B7090000}"/>
    <cellStyle name="20% - Accent5 6 2 3 7" xfId="4309" xr:uid="{00000000-0005-0000-0000-0000B8090000}"/>
    <cellStyle name="20% - Accent5 6 2 4" xfId="4333" xr:uid="{00000000-0005-0000-0000-0000B9090000}"/>
    <cellStyle name="20% - Accent5 6 2 4 2" xfId="4334" xr:uid="{00000000-0005-0000-0000-0000BA090000}"/>
    <cellStyle name="20% - Accent5 6 2 4 2 2" xfId="4335" xr:uid="{00000000-0005-0000-0000-0000BB090000}"/>
    <cellStyle name="20% - Accent5 6 2 4 2 2 2" xfId="4336" xr:uid="{00000000-0005-0000-0000-0000BC090000}"/>
    <cellStyle name="20% - Accent5 6 2 4 2 2 2 2" xfId="4337" xr:uid="{00000000-0005-0000-0000-0000BD090000}"/>
    <cellStyle name="20% - Accent5 6 2 4 2 2 3" xfId="4338" xr:uid="{00000000-0005-0000-0000-0000BE090000}"/>
    <cellStyle name="20% - Accent5 6 2 4 2 3" xfId="4339" xr:uid="{00000000-0005-0000-0000-0000BF090000}"/>
    <cellStyle name="20% - Accent5 6 2 4 2 3 2" xfId="4340" xr:uid="{00000000-0005-0000-0000-0000C0090000}"/>
    <cellStyle name="20% - Accent5 6 2 4 2 4" xfId="4341" xr:uid="{00000000-0005-0000-0000-0000C1090000}"/>
    <cellStyle name="20% - Accent5 6 2 4 3" xfId="4342" xr:uid="{00000000-0005-0000-0000-0000C2090000}"/>
    <cellStyle name="20% - Accent5 6 2 4 3 2" xfId="4343" xr:uid="{00000000-0005-0000-0000-0000C3090000}"/>
    <cellStyle name="20% - Accent5 6 2 4 3 2 2" xfId="4344" xr:uid="{00000000-0005-0000-0000-0000C4090000}"/>
    <cellStyle name="20% - Accent5 6 2 4 3 3" xfId="4345" xr:uid="{00000000-0005-0000-0000-0000C5090000}"/>
    <cellStyle name="20% - Accent5 6 2 4 4" xfId="4346" xr:uid="{00000000-0005-0000-0000-0000C6090000}"/>
    <cellStyle name="20% - Accent5 6 2 4 4 2" xfId="4347" xr:uid="{00000000-0005-0000-0000-0000C7090000}"/>
    <cellStyle name="20% - Accent5 6 2 4 5" xfId="4348" xr:uid="{00000000-0005-0000-0000-0000C8090000}"/>
    <cellStyle name="20% - Accent5 6 2 5" xfId="4349" xr:uid="{00000000-0005-0000-0000-0000C9090000}"/>
    <cellStyle name="20% - Accent5 6 2 5 2" xfId="4350" xr:uid="{00000000-0005-0000-0000-0000CA090000}"/>
    <cellStyle name="20% - Accent5 6 2 5 2 2" xfId="4351" xr:uid="{00000000-0005-0000-0000-0000CB090000}"/>
    <cellStyle name="20% - Accent5 6 2 5 2 2 2" xfId="4352" xr:uid="{00000000-0005-0000-0000-0000CC090000}"/>
    <cellStyle name="20% - Accent5 6 2 5 2 2 2 2" xfId="4353" xr:uid="{00000000-0005-0000-0000-0000CD090000}"/>
    <cellStyle name="20% - Accent5 6 2 5 2 2 3" xfId="4354" xr:uid="{00000000-0005-0000-0000-0000CE090000}"/>
    <cellStyle name="20% - Accent5 6 2 5 2 3" xfId="4355" xr:uid="{00000000-0005-0000-0000-0000CF090000}"/>
    <cellStyle name="20% - Accent5 6 2 5 2 3 2" xfId="4356" xr:uid="{00000000-0005-0000-0000-0000D0090000}"/>
    <cellStyle name="20% - Accent5 6 2 5 2 4" xfId="4357" xr:uid="{00000000-0005-0000-0000-0000D1090000}"/>
    <cellStyle name="20% - Accent5 6 2 5 3" xfId="4358" xr:uid="{00000000-0005-0000-0000-0000D2090000}"/>
    <cellStyle name="20% - Accent5 6 2 5 3 2" xfId="4359" xr:uid="{00000000-0005-0000-0000-0000D3090000}"/>
    <cellStyle name="20% - Accent5 6 2 5 3 2 2" xfId="4360" xr:uid="{00000000-0005-0000-0000-0000D4090000}"/>
    <cellStyle name="20% - Accent5 6 2 5 3 3" xfId="4361" xr:uid="{00000000-0005-0000-0000-0000D5090000}"/>
    <cellStyle name="20% - Accent5 6 2 5 4" xfId="4362" xr:uid="{00000000-0005-0000-0000-0000D6090000}"/>
    <cellStyle name="20% - Accent5 6 2 5 4 2" xfId="4363" xr:uid="{00000000-0005-0000-0000-0000D7090000}"/>
    <cellStyle name="20% - Accent5 6 2 5 5" xfId="4364" xr:uid="{00000000-0005-0000-0000-0000D8090000}"/>
    <cellStyle name="20% - Accent5 6 2 6" xfId="4365" xr:uid="{00000000-0005-0000-0000-0000D9090000}"/>
    <cellStyle name="20% - Accent5 6 2 6 2" xfId="4366" xr:uid="{00000000-0005-0000-0000-0000DA090000}"/>
    <cellStyle name="20% - Accent5 6 2 6 2 2" xfId="4367" xr:uid="{00000000-0005-0000-0000-0000DB090000}"/>
    <cellStyle name="20% - Accent5 6 2 6 2 2 2" xfId="4368" xr:uid="{00000000-0005-0000-0000-0000DC090000}"/>
    <cellStyle name="20% - Accent5 6 2 6 2 3" xfId="4369" xr:uid="{00000000-0005-0000-0000-0000DD090000}"/>
    <cellStyle name="20% - Accent5 6 2 6 3" xfId="4370" xr:uid="{00000000-0005-0000-0000-0000DE090000}"/>
    <cellStyle name="20% - Accent5 6 2 6 3 2" xfId="4371" xr:uid="{00000000-0005-0000-0000-0000DF090000}"/>
    <cellStyle name="20% - Accent5 6 2 6 4" xfId="4372" xr:uid="{00000000-0005-0000-0000-0000E0090000}"/>
    <cellStyle name="20% - Accent5 6 2 7" xfId="4373" xr:uid="{00000000-0005-0000-0000-0000E1090000}"/>
    <cellStyle name="20% - Accent5 6 2 7 2" xfId="4374" xr:uid="{00000000-0005-0000-0000-0000E2090000}"/>
    <cellStyle name="20% - Accent5 6 2 7 2 2" xfId="4375" xr:uid="{00000000-0005-0000-0000-0000E3090000}"/>
    <cellStyle name="20% - Accent5 6 2 7 2 2 2" xfId="4376" xr:uid="{00000000-0005-0000-0000-0000E4090000}"/>
    <cellStyle name="20% - Accent5 6 2 7 2 3" xfId="4377" xr:uid="{00000000-0005-0000-0000-0000E5090000}"/>
    <cellStyle name="20% - Accent5 6 2 7 3" xfId="4378" xr:uid="{00000000-0005-0000-0000-0000E6090000}"/>
    <cellStyle name="20% - Accent5 6 2 7 3 2" xfId="4379" xr:uid="{00000000-0005-0000-0000-0000E7090000}"/>
    <cellStyle name="20% - Accent5 6 2 7 4" xfId="4380" xr:uid="{00000000-0005-0000-0000-0000E8090000}"/>
    <cellStyle name="20% - Accent5 6 2 8" xfId="4381" xr:uid="{00000000-0005-0000-0000-0000E9090000}"/>
    <cellStyle name="20% - Accent5 6 2 8 2" xfId="4382" xr:uid="{00000000-0005-0000-0000-0000EA090000}"/>
    <cellStyle name="20% - Accent5 6 2 8 2 2" xfId="4383" xr:uid="{00000000-0005-0000-0000-0000EB090000}"/>
    <cellStyle name="20% - Accent5 6 2 8 2 2 2" xfId="4384" xr:uid="{00000000-0005-0000-0000-0000EC090000}"/>
    <cellStyle name="20% - Accent5 6 2 8 2 3" xfId="4385" xr:uid="{00000000-0005-0000-0000-0000ED090000}"/>
    <cellStyle name="20% - Accent5 6 2 8 3" xfId="4386" xr:uid="{00000000-0005-0000-0000-0000EE090000}"/>
    <cellStyle name="20% - Accent5 6 2 8 3 2" xfId="4387" xr:uid="{00000000-0005-0000-0000-0000EF090000}"/>
    <cellStyle name="20% - Accent5 6 2 8 4" xfId="4388" xr:uid="{00000000-0005-0000-0000-0000F0090000}"/>
    <cellStyle name="20% - Accent5 6 2 9" xfId="4389" xr:uid="{00000000-0005-0000-0000-0000F1090000}"/>
    <cellStyle name="20% - Accent5 6 2 9 2" xfId="4390" xr:uid="{00000000-0005-0000-0000-0000F2090000}"/>
    <cellStyle name="20% - Accent5 6 2 9 2 2" xfId="4391" xr:uid="{00000000-0005-0000-0000-0000F3090000}"/>
    <cellStyle name="20% - Accent5 6 2 9 3" xfId="4392" xr:uid="{00000000-0005-0000-0000-0000F4090000}"/>
    <cellStyle name="20% - Accent5 6 3" xfId="81" xr:uid="{00000000-0005-0000-0000-0000F5090000}"/>
    <cellStyle name="20% - Accent5 6 3 10" xfId="4394" xr:uid="{00000000-0005-0000-0000-0000F6090000}"/>
    <cellStyle name="20% - Accent5 6 3 10 2" xfId="4395" xr:uid="{00000000-0005-0000-0000-0000F7090000}"/>
    <cellStyle name="20% - Accent5 6 3 10 2 2" xfId="4396" xr:uid="{00000000-0005-0000-0000-0000F8090000}"/>
    <cellStyle name="20% - Accent5 6 3 10 3" xfId="4397" xr:uid="{00000000-0005-0000-0000-0000F9090000}"/>
    <cellStyle name="20% - Accent5 6 3 11" xfId="4398" xr:uid="{00000000-0005-0000-0000-0000FA090000}"/>
    <cellStyle name="20% - Accent5 6 3 11 2" xfId="4399" xr:uid="{00000000-0005-0000-0000-0000FB090000}"/>
    <cellStyle name="20% - Accent5 6 3 11 2 2" xfId="4400" xr:uid="{00000000-0005-0000-0000-0000FC090000}"/>
    <cellStyle name="20% - Accent5 6 3 11 3" xfId="4401" xr:uid="{00000000-0005-0000-0000-0000FD090000}"/>
    <cellStyle name="20% - Accent5 6 3 12" xfId="4402" xr:uid="{00000000-0005-0000-0000-0000FE090000}"/>
    <cellStyle name="20% - Accent5 6 3 12 2" xfId="4403" xr:uid="{00000000-0005-0000-0000-0000FF090000}"/>
    <cellStyle name="20% - Accent5 6 3 13" xfId="4404" xr:uid="{00000000-0005-0000-0000-0000000A0000}"/>
    <cellStyle name="20% - Accent5 6 3 14" xfId="4405" xr:uid="{00000000-0005-0000-0000-0000010A0000}"/>
    <cellStyle name="20% - Accent5 6 3 15" xfId="4393" xr:uid="{00000000-0005-0000-0000-0000020A0000}"/>
    <cellStyle name="20% - Accent5 6 3 2" xfId="825" xr:uid="{00000000-0005-0000-0000-0000030A0000}"/>
    <cellStyle name="20% - Accent5 6 3 2 10" xfId="4407" xr:uid="{00000000-0005-0000-0000-0000040A0000}"/>
    <cellStyle name="20% - Accent5 6 3 2 11" xfId="4406" xr:uid="{00000000-0005-0000-0000-0000050A0000}"/>
    <cellStyle name="20% - Accent5 6 3 2 2" xfId="1583" xr:uid="{00000000-0005-0000-0000-0000060A0000}"/>
    <cellStyle name="20% - Accent5 6 3 2 2 2" xfId="4409" xr:uid="{00000000-0005-0000-0000-0000070A0000}"/>
    <cellStyle name="20% - Accent5 6 3 2 2 2 2" xfId="4410" xr:uid="{00000000-0005-0000-0000-0000080A0000}"/>
    <cellStyle name="20% - Accent5 6 3 2 2 2 2 2" xfId="4411" xr:uid="{00000000-0005-0000-0000-0000090A0000}"/>
    <cellStyle name="20% - Accent5 6 3 2 2 2 2 2 2" xfId="4412" xr:uid="{00000000-0005-0000-0000-00000A0A0000}"/>
    <cellStyle name="20% - Accent5 6 3 2 2 2 2 3" xfId="4413" xr:uid="{00000000-0005-0000-0000-00000B0A0000}"/>
    <cellStyle name="20% - Accent5 6 3 2 2 2 3" xfId="4414" xr:uid="{00000000-0005-0000-0000-00000C0A0000}"/>
    <cellStyle name="20% - Accent5 6 3 2 2 2 3 2" xfId="4415" xr:uid="{00000000-0005-0000-0000-00000D0A0000}"/>
    <cellStyle name="20% - Accent5 6 3 2 2 2 4" xfId="4416" xr:uid="{00000000-0005-0000-0000-00000E0A0000}"/>
    <cellStyle name="20% - Accent5 6 3 2 2 3" xfId="4417" xr:uid="{00000000-0005-0000-0000-00000F0A0000}"/>
    <cellStyle name="20% - Accent5 6 3 2 2 3 2" xfId="4418" xr:uid="{00000000-0005-0000-0000-0000100A0000}"/>
    <cellStyle name="20% - Accent5 6 3 2 2 3 2 2" xfId="4419" xr:uid="{00000000-0005-0000-0000-0000110A0000}"/>
    <cellStyle name="20% - Accent5 6 3 2 2 3 2 2 2" xfId="4420" xr:uid="{00000000-0005-0000-0000-0000120A0000}"/>
    <cellStyle name="20% - Accent5 6 3 2 2 3 2 3" xfId="4421" xr:uid="{00000000-0005-0000-0000-0000130A0000}"/>
    <cellStyle name="20% - Accent5 6 3 2 2 3 3" xfId="4422" xr:uid="{00000000-0005-0000-0000-0000140A0000}"/>
    <cellStyle name="20% - Accent5 6 3 2 2 3 3 2" xfId="4423" xr:uid="{00000000-0005-0000-0000-0000150A0000}"/>
    <cellStyle name="20% - Accent5 6 3 2 2 3 4" xfId="4424" xr:uid="{00000000-0005-0000-0000-0000160A0000}"/>
    <cellStyle name="20% - Accent5 6 3 2 2 4" xfId="4425" xr:uid="{00000000-0005-0000-0000-0000170A0000}"/>
    <cellStyle name="20% - Accent5 6 3 2 2 4 2" xfId="4426" xr:uid="{00000000-0005-0000-0000-0000180A0000}"/>
    <cellStyle name="20% - Accent5 6 3 2 2 4 2 2" xfId="4427" xr:uid="{00000000-0005-0000-0000-0000190A0000}"/>
    <cellStyle name="20% - Accent5 6 3 2 2 4 3" xfId="4428" xr:uid="{00000000-0005-0000-0000-00001A0A0000}"/>
    <cellStyle name="20% - Accent5 6 3 2 2 5" xfId="4429" xr:uid="{00000000-0005-0000-0000-00001B0A0000}"/>
    <cellStyle name="20% - Accent5 6 3 2 2 5 2" xfId="4430" xr:uid="{00000000-0005-0000-0000-00001C0A0000}"/>
    <cellStyle name="20% - Accent5 6 3 2 2 6" xfId="4431" xr:uid="{00000000-0005-0000-0000-00001D0A0000}"/>
    <cellStyle name="20% - Accent5 6 3 2 2 7" xfId="4408" xr:uid="{00000000-0005-0000-0000-00001E0A0000}"/>
    <cellStyle name="20% - Accent5 6 3 2 3" xfId="4432" xr:uid="{00000000-0005-0000-0000-00001F0A0000}"/>
    <cellStyle name="20% - Accent5 6 3 2 3 2" xfId="4433" xr:uid="{00000000-0005-0000-0000-0000200A0000}"/>
    <cellStyle name="20% - Accent5 6 3 2 3 2 2" xfId="4434" xr:uid="{00000000-0005-0000-0000-0000210A0000}"/>
    <cellStyle name="20% - Accent5 6 3 2 3 2 2 2" xfId="4435" xr:uid="{00000000-0005-0000-0000-0000220A0000}"/>
    <cellStyle name="20% - Accent5 6 3 2 3 2 2 2 2" xfId="4436" xr:uid="{00000000-0005-0000-0000-0000230A0000}"/>
    <cellStyle name="20% - Accent5 6 3 2 3 2 2 3" xfId="4437" xr:uid="{00000000-0005-0000-0000-0000240A0000}"/>
    <cellStyle name="20% - Accent5 6 3 2 3 2 3" xfId="4438" xr:uid="{00000000-0005-0000-0000-0000250A0000}"/>
    <cellStyle name="20% - Accent5 6 3 2 3 2 3 2" xfId="4439" xr:uid="{00000000-0005-0000-0000-0000260A0000}"/>
    <cellStyle name="20% - Accent5 6 3 2 3 2 4" xfId="4440" xr:uid="{00000000-0005-0000-0000-0000270A0000}"/>
    <cellStyle name="20% - Accent5 6 3 2 3 3" xfId="4441" xr:uid="{00000000-0005-0000-0000-0000280A0000}"/>
    <cellStyle name="20% - Accent5 6 3 2 3 3 2" xfId="4442" xr:uid="{00000000-0005-0000-0000-0000290A0000}"/>
    <cellStyle name="20% - Accent5 6 3 2 3 3 2 2" xfId="4443" xr:uid="{00000000-0005-0000-0000-00002A0A0000}"/>
    <cellStyle name="20% - Accent5 6 3 2 3 3 3" xfId="4444" xr:uid="{00000000-0005-0000-0000-00002B0A0000}"/>
    <cellStyle name="20% - Accent5 6 3 2 3 4" xfId="4445" xr:uid="{00000000-0005-0000-0000-00002C0A0000}"/>
    <cellStyle name="20% - Accent5 6 3 2 3 4 2" xfId="4446" xr:uid="{00000000-0005-0000-0000-00002D0A0000}"/>
    <cellStyle name="20% - Accent5 6 3 2 3 5" xfId="4447" xr:uid="{00000000-0005-0000-0000-00002E0A0000}"/>
    <cellStyle name="20% - Accent5 6 3 2 4" xfId="4448" xr:uid="{00000000-0005-0000-0000-00002F0A0000}"/>
    <cellStyle name="20% - Accent5 6 3 2 4 2" xfId="4449" xr:uid="{00000000-0005-0000-0000-0000300A0000}"/>
    <cellStyle name="20% - Accent5 6 3 2 4 2 2" xfId="4450" xr:uid="{00000000-0005-0000-0000-0000310A0000}"/>
    <cellStyle name="20% - Accent5 6 3 2 4 2 2 2" xfId="4451" xr:uid="{00000000-0005-0000-0000-0000320A0000}"/>
    <cellStyle name="20% - Accent5 6 3 2 4 2 2 2 2" xfId="4452" xr:uid="{00000000-0005-0000-0000-0000330A0000}"/>
    <cellStyle name="20% - Accent5 6 3 2 4 2 2 3" xfId="4453" xr:uid="{00000000-0005-0000-0000-0000340A0000}"/>
    <cellStyle name="20% - Accent5 6 3 2 4 2 3" xfId="4454" xr:uid="{00000000-0005-0000-0000-0000350A0000}"/>
    <cellStyle name="20% - Accent5 6 3 2 4 2 3 2" xfId="4455" xr:uid="{00000000-0005-0000-0000-0000360A0000}"/>
    <cellStyle name="20% - Accent5 6 3 2 4 2 4" xfId="4456" xr:uid="{00000000-0005-0000-0000-0000370A0000}"/>
    <cellStyle name="20% - Accent5 6 3 2 4 3" xfId="4457" xr:uid="{00000000-0005-0000-0000-0000380A0000}"/>
    <cellStyle name="20% - Accent5 6 3 2 4 3 2" xfId="4458" xr:uid="{00000000-0005-0000-0000-0000390A0000}"/>
    <cellStyle name="20% - Accent5 6 3 2 4 3 2 2" xfId="4459" xr:uid="{00000000-0005-0000-0000-00003A0A0000}"/>
    <cellStyle name="20% - Accent5 6 3 2 4 3 3" xfId="4460" xr:uid="{00000000-0005-0000-0000-00003B0A0000}"/>
    <cellStyle name="20% - Accent5 6 3 2 4 4" xfId="4461" xr:uid="{00000000-0005-0000-0000-00003C0A0000}"/>
    <cellStyle name="20% - Accent5 6 3 2 4 4 2" xfId="4462" xr:uid="{00000000-0005-0000-0000-00003D0A0000}"/>
    <cellStyle name="20% - Accent5 6 3 2 4 5" xfId="4463" xr:uid="{00000000-0005-0000-0000-00003E0A0000}"/>
    <cellStyle name="20% - Accent5 6 3 2 5" xfId="4464" xr:uid="{00000000-0005-0000-0000-00003F0A0000}"/>
    <cellStyle name="20% - Accent5 6 3 2 5 2" xfId="4465" xr:uid="{00000000-0005-0000-0000-0000400A0000}"/>
    <cellStyle name="20% - Accent5 6 3 2 5 2 2" xfId="4466" xr:uid="{00000000-0005-0000-0000-0000410A0000}"/>
    <cellStyle name="20% - Accent5 6 3 2 5 2 2 2" xfId="4467" xr:uid="{00000000-0005-0000-0000-0000420A0000}"/>
    <cellStyle name="20% - Accent5 6 3 2 5 2 3" xfId="4468" xr:uid="{00000000-0005-0000-0000-0000430A0000}"/>
    <cellStyle name="20% - Accent5 6 3 2 5 3" xfId="4469" xr:uid="{00000000-0005-0000-0000-0000440A0000}"/>
    <cellStyle name="20% - Accent5 6 3 2 5 3 2" xfId="4470" xr:uid="{00000000-0005-0000-0000-0000450A0000}"/>
    <cellStyle name="20% - Accent5 6 3 2 5 4" xfId="4471" xr:uid="{00000000-0005-0000-0000-0000460A0000}"/>
    <cellStyle name="20% - Accent5 6 3 2 6" xfId="4472" xr:uid="{00000000-0005-0000-0000-0000470A0000}"/>
    <cellStyle name="20% - Accent5 6 3 2 6 2" xfId="4473" xr:uid="{00000000-0005-0000-0000-0000480A0000}"/>
    <cellStyle name="20% - Accent5 6 3 2 6 2 2" xfId="4474" xr:uid="{00000000-0005-0000-0000-0000490A0000}"/>
    <cellStyle name="20% - Accent5 6 3 2 6 2 2 2" xfId="4475" xr:uid="{00000000-0005-0000-0000-00004A0A0000}"/>
    <cellStyle name="20% - Accent5 6 3 2 6 2 3" xfId="4476" xr:uid="{00000000-0005-0000-0000-00004B0A0000}"/>
    <cellStyle name="20% - Accent5 6 3 2 6 3" xfId="4477" xr:uid="{00000000-0005-0000-0000-00004C0A0000}"/>
    <cellStyle name="20% - Accent5 6 3 2 6 3 2" xfId="4478" xr:uid="{00000000-0005-0000-0000-00004D0A0000}"/>
    <cellStyle name="20% - Accent5 6 3 2 6 4" xfId="4479" xr:uid="{00000000-0005-0000-0000-00004E0A0000}"/>
    <cellStyle name="20% - Accent5 6 3 2 7" xfId="4480" xr:uid="{00000000-0005-0000-0000-00004F0A0000}"/>
    <cellStyle name="20% - Accent5 6 3 2 7 2" xfId="4481" xr:uid="{00000000-0005-0000-0000-0000500A0000}"/>
    <cellStyle name="20% - Accent5 6 3 2 7 2 2" xfId="4482" xr:uid="{00000000-0005-0000-0000-0000510A0000}"/>
    <cellStyle name="20% - Accent5 6 3 2 7 2 2 2" xfId="4483" xr:uid="{00000000-0005-0000-0000-0000520A0000}"/>
    <cellStyle name="20% - Accent5 6 3 2 7 2 3" xfId="4484" xr:uid="{00000000-0005-0000-0000-0000530A0000}"/>
    <cellStyle name="20% - Accent5 6 3 2 7 3" xfId="4485" xr:uid="{00000000-0005-0000-0000-0000540A0000}"/>
    <cellStyle name="20% - Accent5 6 3 2 7 3 2" xfId="4486" xr:uid="{00000000-0005-0000-0000-0000550A0000}"/>
    <cellStyle name="20% - Accent5 6 3 2 7 4" xfId="4487" xr:uid="{00000000-0005-0000-0000-0000560A0000}"/>
    <cellStyle name="20% - Accent5 6 3 2 8" xfId="4488" xr:uid="{00000000-0005-0000-0000-0000570A0000}"/>
    <cellStyle name="20% - Accent5 6 3 2 8 2" xfId="4489" xr:uid="{00000000-0005-0000-0000-0000580A0000}"/>
    <cellStyle name="20% - Accent5 6 3 2 8 2 2" xfId="4490" xr:uid="{00000000-0005-0000-0000-0000590A0000}"/>
    <cellStyle name="20% - Accent5 6 3 2 8 3" xfId="4491" xr:uid="{00000000-0005-0000-0000-00005A0A0000}"/>
    <cellStyle name="20% - Accent5 6 3 2 9" xfId="4492" xr:uid="{00000000-0005-0000-0000-00005B0A0000}"/>
    <cellStyle name="20% - Accent5 6 3 2 9 2" xfId="4493" xr:uid="{00000000-0005-0000-0000-00005C0A0000}"/>
    <cellStyle name="20% - Accent5 6 3 3" xfId="1258" xr:uid="{00000000-0005-0000-0000-00005D0A0000}"/>
    <cellStyle name="20% - Accent5 6 3 3 2" xfId="4495" xr:uid="{00000000-0005-0000-0000-00005E0A0000}"/>
    <cellStyle name="20% - Accent5 6 3 3 2 2" xfId="4496" xr:uid="{00000000-0005-0000-0000-00005F0A0000}"/>
    <cellStyle name="20% - Accent5 6 3 3 2 2 2" xfId="4497" xr:uid="{00000000-0005-0000-0000-0000600A0000}"/>
    <cellStyle name="20% - Accent5 6 3 3 2 2 2 2" xfId="4498" xr:uid="{00000000-0005-0000-0000-0000610A0000}"/>
    <cellStyle name="20% - Accent5 6 3 3 2 2 3" xfId="4499" xr:uid="{00000000-0005-0000-0000-0000620A0000}"/>
    <cellStyle name="20% - Accent5 6 3 3 2 3" xfId="4500" xr:uid="{00000000-0005-0000-0000-0000630A0000}"/>
    <cellStyle name="20% - Accent5 6 3 3 2 3 2" xfId="4501" xr:uid="{00000000-0005-0000-0000-0000640A0000}"/>
    <cellStyle name="20% - Accent5 6 3 3 2 4" xfId="4502" xr:uid="{00000000-0005-0000-0000-0000650A0000}"/>
    <cellStyle name="20% - Accent5 6 3 3 3" xfId="4503" xr:uid="{00000000-0005-0000-0000-0000660A0000}"/>
    <cellStyle name="20% - Accent5 6 3 3 3 2" xfId="4504" xr:uid="{00000000-0005-0000-0000-0000670A0000}"/>
    <cellStyle name="20% - Accent5 6 3 3 3 2 2" xfId="4505" xr:uid="{00000000-0005-0000-0000-0000680A0000}"/>
    <cellStyle name="20% - Accent5 6 3 3 3 2 2 2" xfId="4506" xr:uid="{00000000-0005-0000-0000-0000690A0000}"/>
    <cellStyle name="20% - Accent5 6 3 3 3 2 3" xfId="4507" xr:uid="{00000000-0005-0000-0000-00006A0A0000}"/>
    <cellStyle name="20% - Accent5 6 3 3 3 3" xfId="4508" xr:uid="{00000000-0005-0000-0000-00006B0A0000}"/>
    <cellStyle name="20% - Accent5 6 3 3 3 3 2" xfId="4509" xr:uid="{00000000-0005-0000-0000-00006C0A0000}"/>
    <cellStyle name="20% - Accent5 6 3 3 3 4" xfId="4510" xr:uid="{00000000-0005-0000-0000-00006D0A0000}"/>
    <cellStyle name="20% - Accent5 6 3 3 4" xfId="4511" xr:uid="{00000000-0005-0000-0000-00006E0A0000}"/>
    <cellStyle name="20% - Accent5 6 3 3 4 2" xfId="4512" xr:uid="{00000000-0005-0000-0000-00006F0A0000}"/>
    <cellStyle name="20% - Accent5 6 3 3 4 2 2" xfId="4513" xr:uid="{00000000-0005-0000-0000-0000700A0000}"/>
    <cellStyle name="20% - Accent5 6 3 3 4 3" xfId="4514" xr:uid="{00000000-0005-0000-0000-0000710A0000}"/>
    <cellStyle name="20% - Accent5 6 3 3 5" xfId="4515" xr:uid="{00000000-0005-0000-0000-0000720A0000}"/>
    <cellStyle name="20% - Accent5 6 3 3 5 2" xfId="4516" xr:uid="{00000000-0005-0000-0000-0000730A0000}"/>
    <cellStyle name="20% - Accent5 6 3 3 6" xfId="4517" xr:uid="{00000000-0005-0000-0000-0000740A0000}"/>
    <cellStyle name="20% - Accent5 6 3 3 7" xfId="4494" xr:uid="{00000000-0005-0000-0000-0000750A0000}"/>
    <cellStyle name="20% - Accent5 6 3 4" xfId="4518" xr:uid="{00000000-0005-0000-0000-0000760A0000}"/>
    <cellStyle name="20% - Accent5 6 3 4 2" xfId="4519" xr:uid="{00000000-0005-0000-0000-0000770A0000}"/>
    <cellStyle name="20% - Accent5 6 3 4 2 2" xfId="4520" xr:uid="{00000000-0005-0000-0000-0000780A0000}"/>
    <cellStyle name="20% - Accent5 6 3 4 2 2 2" xfId="4521" xr:uid="{00000000-0005-0000-0000-0000790A0000}"/>
    <cellStyle name="20% - Accent5 6 3 4 2 2 2 2" xfId="4522" xr:uid="{00000000-0005-0000-0000-00007A0A0000}"/>
    <cellStyle name="20% - Accent5 6 3 4 2 2 3" xfId="4523" xr:uid="{00000000-0005-0000-0000-00007B0A0000}"/>
    <cellStyle name="20% - Accent5 6 3 4 2 3" xfId="4524" xr:uid="{00000000-0005-0000-0000-00007C0A0000}"/>
    <cellStyle name="20% - Accent5 6 3 4 2 3 2" xfId="4525" xr:uid="{00000000-0005-0000-0000-00007D0A0000}"/>
    <cellStyle name="20% - Accent5 6 3 4 2 4" xfId="4526" xr:uid="{00000000-0005-0000-0000-00007E0A0000}"/>
    <cellStyle name="20% - Accent5 6 3 4 3" xfId="4527" xr:uid="{00000000-0005-0000-0000-00007F0A0000}"/>
    <cellStyle name="20% - Accent5 6 3 4 3 2" xfId="4528" xr:uid="{00000000-0005-0000-0000-0000800A0000}"/>
    <cellStyle name="20% - Accent5 6 3 4 3 2 2" xfId="4529" xr:uid="{00000000-0005-0000-0000-0000810A0000}"/>
    <cellStyle name="20% - Accent5 6 3 4 3 3" xfId="4530" xr:uid="{00000000-0005-0000-0000-0000820A0000}"/>
    <cellStyle name="20% - Accent5 6 3 4 4" xfId="4531" xr:uid="{00000000-0005-0000-0000-0000830A0000}"/>
    <cellStyle name="20% - Accent5 6 3 4 4 2" xfId="4532" xr:uid="{00000000-0005-0000-0000-0000840A0000}"/>
    <cellStyle name="20% - Accent5 6 3 4 5" xfId="4533" xr:uid="{00000000-0005-0000-0000-0000850A0000}"/>
    <cellStyle name="20% - Accent5 6 3 5" xfId="4534" xr:uid="{00000000-0005-0000-0000-0000860A0000}"/>
    <cellStyle name="20% - Accent5 6 3 5 2" xfId="4535" xr:uid="{00000000-0005-0000-0000-0000870A0000}"/>
    <cellStyle name="20% - Accent5 6 3 5 2 2" xfId="4536" xr:uid="{00000000-0005-0000-0000-0000880A0000}"/>
    <cellStyle name="20% - Accent5 6 3 5 2 2 2" xfId="4537" xr:uid="{00000000-0005-0000-0000-0000890A0000}"/>
    <cellStyle name="20% - Accent5 6 3 5 2 2 2 2" xfId="4538" xr:uid="{00000000-0005-0000-0000-00008A0A0000}"/>
    <cellStyle name="20% - Accent5 6 3 5 2 2 3" xfId="4539" xr:uid="{00000000-0005-0000-0000-00008B0A0000}"/>
    <cellStyle name="20% - Accent5 6 3 5 2 3" xfId="4540" xr:uid="{00000000-0005-0000-0000-00008C0A0000}"/>
    <cellStyle name="20% - Accent5 6 3 5 2 3 2" xfId="4541" xr:uid="{00000000-0005-0000-0000-00008D0A0000}"/>
    <cellStyle name="20% - Accent5 6 3 5 2 4" xfId="4542" xr:uid="{00000000-0005-0000-0000-00008E0A0000}"/>
    <cellStyle name="20% - Accent5 6 3 5 3" xfId="4543" xr:uid="{00000000-0005-0000-0000-00008F0A0000}"/>
    <cellStyle name="20% - Accent5 6 3 5 3 2" xfId="4544" xr:uid="{00000000-0005-0000-0000-0000900A0000}"/>
    <cellStyle name="20% - Accent5 6 3 5 3 2 2" xfId="4545" xr:uid="{00000000-0005-0000-0000-0000910A0000}"/>
    <cellStyle name="20% - Accent5 6 3 5 3 3" xfId="4546" xr:uid="{00000000-0005-0000-0000-0000920A0000}"/>
    <cellStyle name="20% - Accent5 6 3 5 4" xfId="4547" xr:uid="{00000000-0005-0000-0000-0000930A0000}"/>
    <cellStyle name="20% - Accent5 6 3 5 4 2" xfId="4548" xr:uid="{00000000-0005-0000-0000-0000940A0000}"/>
    <cellStyle name="20% - Accent5 6 3 5 5" xfId="4549" xr:uid="{00000000-0005-0000-0000-0000950A0000}"/>
    <cellStyle name="20% - Accent5 6 3 6" xfId="4550" xr:uid="{00000000-0005-0000-0000-0000960A0000}"/>
    <cellStyle name="20% - Accent5 6 3 6 2" xfId="4551" xr:uid="{00000000-0005-0000-0000-0000970A0000}"/>
    <cellStyle name="20% - Accent5 6 3 6 2 2" xfId="4552" xr:uid="{00000000-0005-0000-0000-0000980A0000}"/>
    <cellStyle name="20% - Accent5 6 3 6 2 2 2" xfId="4553" xr:uid="{00000000-0005-0000-0000-0000990A0000}"/>
    <cellStyle name="20% - Accent5 6 3 6 2 3" xfId="4554" xr:uid="{00000000-0005-0000-0000-00009A0A0000}"/>
    <cellStyle name="20% - Accent5 6 3 6 3" xfId="4555" xr:uid="{00000000-0005-0000-0000-00009B0A0000}"/>
    <cellStyle name="20% - Accent5 6 3 6 3 2" xfId="4556" xr:uid="{00000000-0005-0000-0000-00009C0A0000}"/>
    <cellStyle name="20% - Accent5 6 3 6 4" xfId="4557" xr:uid="{00000000-0005-0000-0000-00009D0A0000}"/>
    <cellStyle name="20% - Accent5 6 3 7" xfId="4558" xr:uid="{00000000-0005-0000-0000-00009E0A0000}"/>
    <cellStyle name="20% - Accent5 6 3 7 2" xfId="4559" xr:uid="{00000000-0005-0000-0000-00009F0A0000}"/>
    <cellStyle name="20% - Accent5 6 3 7 2 2" xfId="4560" xr:uid="{00000000-0005-0000-0000-0000A00A0000}"/>
    <cellStyle name="20% - Accent5 6 3 7 2 2 2" xfId="4561" xr:uid="{00000000-0005-0000-0000-0000A10A0000}"/>
    <cellStyle name="20% - Accent5 6 3 7 2 3" xfId="4562" xr:uid="{00000000-0005-0000-0000-0000A20A0000}"/>
    <cellStyle name="20% - Accent5 6 3 7 3" xfId="4563" xr:uid="{00000000-0005-0000-0000-0000A30A0000}"/>
    <cellStyle name="20% - Accent5 6 3 7 3 2" xfId="4564" xr:uid="{00000000-0005-0000-0000-0000A40A0000}"/>
    <cellStyle name="20% - Accent5 6 3 7 4" xfId="4565" xr:uid="{00000000-0005-0000-0000-0000A50A0000}"/>
    <cellStyle name="20% - Accent5 6 3 8" xfId="4566" xr:uid="{00000000-0005-0000-0000-0000A60A0000}"/>
    <cellStyle name="20% - Accent5 6 3 8 2" xfId="4567" xr:uid="{00000000-0005-0000-0000-0000A70A0000}"/>
    <cellStyle name="20% - Accent5 6 3 8 2 2" xfId="4568" xr:uid="{00000000-0005-0000-0000-0000A80A0000}"/>
    <cellStyle name="20% - Accent5 6 3 8 2 2 2" xfId="4569" xr:uid="{00000000-0005-0000-0000-0000A90A0000}"/>
    <cellStyle name="20% - Accent5 6 3 8 2 3" xfId="4570" xr:uid="{00000000-0005-0000-0000-0000AA0A0000}"/>
    <cellStyle name="20% - Accent5 6 3 8 3" xfId="4571" xr:uid="{00000000-0005-0000-0000-0000AB0A0000}"/>
    <cellStyle name="20% - Accent5 6 3 8 3 2" xfId="4572" xr:uid="{00000000-0005-0000-0000-0000AC0A0000}"/>
    <cellStyle name="20% - Accent5 6 3 8 4" xfId="4573" xr:uid="{00000000-0005-0000-0000-0000AD0A0000}"/>
    <cellStyle name="20% - Accent5 6 3 9" xfId="4574" xr:uid="{00000000-0005-0000-0000-0000AE0A0000}"/>
    <cellStyle name="20% - Accent5 6 3 9 2" xfId="4575" xr:uid="{00000000-0005-0000-0000-0000AF0A0000}"/>
    <cellStyle name="20% - Accent5 6 3 9 2 2" xfId="4576" xr:uid="{00000000-0005-0000-0000-0000B00A0000}"/>
    <cellStyle name="20% - Accent5 6 3 9 3" xfId="4577" xr:uid="{00000000-0005-0000-0000-0000B10A0000}"/>
    <cellStyle name="20% - Accent5 6 4" xfId="823" xr:uid="{00000000-0005-0000-0000-0000B20A0000}"/>
    <cellStyle name="20% - Accent5 6 4 10" xfId="4579" xr:uid="{00000000-0005-0000-0000-0000B30A0000}"/>
    <cellStyle name="20% - Accent5 6 4 11" xfId="4578" xr:uid="{00000000-0005-0000-0000-0000B40A0000}"/>
    <cellStyle name="20% - Accent5 6 4 2" xfId="1581" xr:uid="{00000000-0005-0000-0000-0000B50A0000}"/>
    <cellStyle name="20% - Accent5 6 4 2 2" xfId="4581" xr:uid="{00000000-0005-0000-0000-0000B60A0000}"/>
    <cellStyle name="20% - Accent5 6 4 2 2 2" xfId="4582" xr:uid="{00000000-0005-0000-0000-0000B70A0000}"/>
    <cellStyle name="20% - Accent5 6 4 2 2 2 2" xfId="4583" xr:uid="{00000000-0005-0000-0000-0000B80A0000}"/>
    <cellStyle name="20% - Accent5 6 4 2 2 2 2 2" xfId="4584" xr:uid="{00000000-0005-0000-0000-0000B90A0000}"/>
    <cellStyle name="20% - Accent5 6 4 2 2 2 3" xfId="4585" xr:uid="{00000000-0005-0000-0000-0000BA0A0000}"/>
    <cellStyle name="20% - Accent5 6 4 2 2 3" xfId="4586" xr:uid="{00000000-0005-0000-0000-0000BB0A0000}"/>
    <cellStyle name="20% - Accent5 6 4 2 2 3 2" xfId="4587" xr:uid="{00000000-0005-0000-0000-0000BC0A0000}"/>
    <cellStyle name="20% - Accent5 6 4 2 2 4" xfId="4588" xr:uid="{00000000-0005-0000-0000-0000BD0A0000}"/>
    <cellStyle name="20% - Accent5 6 4 2 3" xfId="4589" xr:uid="{00000000-0005-0000-0000-0000BE0A0000}"/>
    <cellStyle name="20% - Accent5 6 4 2 3 2" xfId="4590" xr:uid="{00000000-0005-0000-0000-0000BF0A0000}"/>
    <cellStyle name="20% - Accent5 6 4 2 3 2 2" xfId="4591" xr:uid="{00000000-0005-0000-0000-0000C00A0000}"/>
    <cellStyle name="20% - Accent5 6 4 2 3 2 2 2" xfId="4592" xr:uid="{00000000-0005-0000-0000-0000C10A0000}"/>
    <cellStyle name="20% - Accent5 6 4 2 3 2 3" xfId="4593" xr:uid="{00000000-0005-0000-0000-0000C20A0000}"/>
    <cellStyle name="20% - Accent5 6 4 2 3 3" xfId="4594" xr:uid="{00000000-0005-0000-0000-0000C30A0000}"/>
    <cellStyle name="20% - Accent5 6 4 2 3 3 2" xfId="4595" xr:uid="{00000000-0005-0000-0000-0000C40A0000}"/>
    <cellStyle name="20% - Accent5 6 4 2 3 4" xfId="4596" xr:uid="{00000000-0005-0000-0000-0000C50A0000}"/>
    <cellStyle name="20% - Accent5 6 4 2 4" xfId="4597" xr:uid="{00000000-0005-0000-0000-0000C60A0000}"/>
    <cellStyle name="20% - Accent5 6 4 2 4 2" xfId="4598" xr:uid="{00000000-0005-0000-0000-0000C70A0000}"/>
    <cellStyle name="20% - Accent5 6 4 2 4 2 2" xfId="4599" xr:uid="{00000000-0005-0000-0000-0000C80A0000}"/>
    <cellStyle name="20% - Accent5 6 4 2 4 3" xfId="4600" xr:uid="{00000000-0005-0000-0000-0000C90A0000}"/>
    <cellStyle name="20% - Accent5 6 4 2 5" xfId="4601" xr:uid="{00000000-0005-0000-0000-0000CA0A0000}"/>
    <cellStyle name="20% - Accent5 6 4 2 5 2" xfId="4602" xr:uid="{00000000-0005-0000-0000-0000CB0A0000}"/>
    <cellStyle name="20% - Accent5 6 4 2 6" xfId="4603" xr:uid="{00000000-0005-0000-0000-0000CC0A0000}"/>
    <cellStyle name="20% - Accent5 6 4 2 7" xfId="4580" xr:uid="{00000000-0005-0000-0000-0000CD0A0000}"/>
    <cellStyle name="20% - Accent5 6 4 3" xfId="4604" xr:uid="{00000000-0005-0000-0000-0000CE0A0000}"/>
    <cellStyle name="20% - Accent5 6 4 3 2" xfId="4605" xr:uid="{00000000-0005-0000-0000-0000CF0A0000}"/>
    <cellStyle name="20% - Accent5 6 4 3 2 2" xfId="4606" xr:uid="{00000000-0005-0000-0000-0000D00A0000}"/>
    <cellStyle name="20% - Accent5 6 4 3 2 2 2" xfId="4607" xr:uid="{00000000-0005-0000-0000-0000D10A0000}"/>
    <cellStyle name="20% - Accent5 6 4 3 2 2 2 2" xfId="4608" xr:uid="{00000000-0005-0000-0000-0000D20A0000}"/>
    <cellStyle name="20% - Accent5 6 4 3 2 2 3" xfId="4609" xr:uid="{00000000-0005-0000-0000-0000D30A0000}"/>
    <cellStyle name="20% - Accent5 6 4 3 2 3" xfId="4610" xr:uid="{00000000-0005-0000-0000-0000D40A0000}"/>
    <cellStyle name="20% - Accent5 6 4 3 2 3 2" xfId="4611" xr:uid="{00000000-0005-0000-0000-0000D50A0000}"/>
    <cellStyle name="20% - Accent5 6 4 3 2 4" xfId="4612" xr:uid="{00000000-0005-0000-0000-0000D60A0000}"/>
    <cellStyle name="20% - Accent5 6 4 3 3" xfId="4613" xr:uid="{00000000-0005-0000-0000-0000D70A0000}"/>
    <cellStyle name="20% - Accent5 6 4 3 3 2" xfId="4614" xr:uid="{00000000-0005-0000-0000-0000D80A0000}"/>
    <cellStyle name="20% - Accent5 6 4 3 3 2 2" xfId="4615" xr:uid="{00000000-0005-0000-0000-0000D90A0000}"/>
    <cellStyle name="20% - Accent5 6 4 3 3 3" xfId="4616" xr:uid="{00000000-0005-0000-0000-0000DA0A0000}"/>
    <cellStyle name="20% - Accent5 6 4 3 4" xfId="4617" xr:uid="{00000000-0005-0000-0000-0000DB0A0000}"/>
    <cellStyle name="20% - Accent5 6 4 3 4 2" xfId="4618" xr:uid="{00000000-0005-0000-0000-0000DC0A0000}"/>
    <cellStyle name="20% - Accent5 6 4 3 5" xfId="4619" xr:uid="{00000000-0005-0000-0000-0000DD0A0000}"/>
    <cellStyle name="20% - Accent5 6 4 4" xfId="4620" xr:uid="{00000000-0005-0000-0000-0000DE0A0000}"/>
    <cellStyle name="20% - Accent5 6 4 4 2" xfId="4621" xr:uid="{00000000-0005-0000-0000-0000DF0A0000}"/>
    <cellStyle name="20% - Accent5 6 4 4 2 2" xfId="4622" xr:uid="{00000000-0005-0000-0000-0000E00A0000}"/>
    <cellStyle name="20% - Accent5 6 4 4 2 2 2" xfId="4623" xr:uid="{00000000-0005-0000-0000-0000E10A0000}"/>
    <cellStyle name="20% - Accent5 6 4 4 2 2 2 2" xfId="4624" xr:uid="{00000000-0005-0000-0000-0000E20A0000}"/>
    <cellStyle name="20% - Accent5 6 4 4 2 2 3" xfId="4625" xr:uid="{00000000-0005-0000-0000-0000E30A0000}"/>
    <cellStyle name="20% - Accent5 6 4 4 2 3" xfId="4626" xr:uid="{00000000-0005-0000-0000-0000E40A0000}"/>
    <cellStyle name="20% - Accent5 6 4 4 2 3 2" xfId="4627" xr:uid="{00000000-0005-0000-0000-0000E50A0000}"/>
    <cellStyle name="20% - Accent5 6 4 4 2 4" xfId="4628" xr:uid="{00000000-0005-0000-0000-0000E60A0000}"/>
    <cellStyle name="20% - Accent5 6 4 4 3" xfId="4629" xr:uid="{00000000-0005-0000-0000-0000E70A0000}"/>
    <cellStyle name="20% - Accent5 6 4 4 3 2" xfId="4630" xr:uid="{00000000-0005-0000-0000-0000E80A0000}"/>
    <cellStyle name="20% - Accent5 6 4 4 3 2 2" xfId="4631" xr:uid="{00000000-0005-0000-0000-0000E90A0000}"/>
    <cellStyle name="20% - Accent5 6 4 4 3 3" xfId="4632" xr:uid="{00000000-0005-0000-0000-0000EA0A0000}"/>
    <cellStyle name="20% - Accent5 6 4 4 4" xfId="4633" xr:uid="{00000000-0005-0000-0000-0000EB0A0000}"/>
    <cellStyle name="20% - Accent5 6 4 4 4 2" xfId="4634" xr:uid="{00000000-0005-0000-0000-0000EC0A0000}"/>
    <cellStyle name="20% - Accent5 6 4 4 5" xfId="4635" xr:uid="{00000000-0005-0000-0000-0000ED0A0000}"/>
    <cellStyle name="20% - Accent5 6 4 5" xfId="4636" xr:uid="{00000000-0005-0000-0000-0000EE0A0000}"/>
    <cellStyle name="20% - Accent5 6 4 5 2" xfId="4637" xr:uid="{00000000-0005-0000-0000-0000EF0A0000}"/>
    <cellStyle name="20% - Accent5 6 4 5 2 2" xfId="4638" xr:uid="{00000000-0005-0000-0000-0000F00A0000}"/>
    <cellStyle name="20% - Accent5 6 4 5 2 2 2" xfId="4639" xr:uid="{00000000-0005-0000-0000-0000F10A0000}"/>
    <cellStyle name="20% - Accent5 6 4 5 2 3" xfId="4640" xr:uid="{00000000-0005-0000-0000-0000F20A0000}"/>
    <cellStyle name="20% - Accent5 6 4 5 3" xfId="4641" xr:uid="{00000000-0005-0000-0000-0000F30A0000}"/>
    <cellStyle name="20% - Accent5 6 4 5 3 2" xfId="4642" xr:uid="{00000000-0005-0000-0000-0000F40A0000}"/>
    <cellStyle name="20% - Accent5 6 4 5 4" xfId="4643" xr:uid="{00000000-0005-0000-0000-0000F50A0000}"/>
    <cellStyle name="20% - Accent5 6 4 6" xfId="4644" xr:uid="{00000000-0005-0000-0000-0000F60A0000}"/>
    <cellStyle name="20% - Accent5 6 4 6 2" xfId="4645" xr:uid="{00000000-0005-0000-0000-0000F70A0000}"/>
    <cellStyle name="20% - Accent5 6 4 6 2 2" xfId="4646" xr:uid="{00000000-0005-0000-0000-0000F80A0000}"/>
    <cellStyle name="20% - Accent5 6 4 6 2 2 2" xfId="4647" xr:uid="{00000000-0005-0000-0000-0000F90A0000}"/>
    <cellStyle name="20% - Accent5 6 4 6 2 3" xfId="4648" xr:uid="{00000000-0005-0000-0000-0000FA0A0000}"/>
    <cellStyle name="20% - Accent5 6 4 6 3" xfId="4649" xr:uid="{00000000-0005-0000-0000-0000FB0A0000}"/>
    <cellStyle name="20% - Accent5 6 4 6 3 2" xfId="4650" xr:uid="{00000000-0005-0000-0000-0000FC0A0000}"/>
    <cellStyle name="20% - Accent5 6 4 6 4" xfId="4651" xr:uid="{00000000-0005-0000-0000-0000FD0A0000}"/>
    <cellStyle name="20% - Accent5 6 4 7" xfId="4652" xr:uid="{00000000-0005-0000-0000-0000FE0A0000}"/>
    <cellStyle name="20% - Accent5 6 4 7 2" xfId="4653" xr:uid="{00000000-0005-0000-0000-0000FF0A0000}"/>
    <cellStyle name="20% - Accent5 6 4 7 2 2" xfId="4654" xr:uid="{00000000-0005-0000-0000-0000000B0000}"/>
    <cellStyle name="20% - Accent5 6 4 7 2 2 2" xfId="4655" xr:uid="{00000000-0005-0000-0000-0000010B0000}"/>
    <cellStyle name="20% - Accent5 6 4 7 2 3" xfId="4656" xr:uid="{00000000-0005-0000-0000-0000020B0000}"/>
    <cellStyle name="20% - Accent5 6 4 7 3" xfId="4657" xr:uid="{00000000-0005-0000-0000-0000030B0000}"/>
    <cellStyle name="20% - Accent5 6 4 7 3 2" xfId="4658" xr:uid="{00000000-0005-0000-0000-0000040B0000}"/>
    <cellStyle name="20% - Accent5 6 4 7 4" xfId="4659" xr:uid="{00000000-0005-0000-0000-0000050B0000}"/>
    <cellStyle name="20% - Accent5 6 4 8" xfId="4660" xr:uid="{00000000-0005-0000-0000-0000060B0000}"/>
    <cellStyle name="20% - Accent5 6 4 8 2" xfId="4661" xr:uid="{00000000-0005-0000-0000-0000070B0000}"/>
    <cellStyle name="20% - Accent5 6 4 8 2 2" xfId="4662" xr:uid="{00000000-0005-0000-0000-0000080B0000}"/>
    <cellStyle name="20% - Accent5 6 4 8 3" xfId="4663" xr:uid="{00000000-0005-0000-0000-0000090B0000}"/>
    <cellStyle name="20% - Accent5 6 4 9" xfId="4664" xr:uid="{00000000-0005-0000-0000-00000A0B0000}"/>
    <cellStyle name="20% - Accent5 6 4 9 2" xfId="4665" xr:uid="{00000000-0005-0000-0000-00000B0B0000}"/>
    <cellStyle name="20% - Accent5 6 5" xfId="1256" xr:uid="{00000000-0005-0000-0000-00000C0B0000}"/>
    <cellStyle name="20% - Accent5 6 5 2" xfId="4667" xr:uid="{00000000-0005-0000-0000-00000D0B0000}"/>
    <cellStyle name="20% - Accent5 6 5 2 2" xfId="4668" xr:uid="{00000000-0005-0000-0000-00000E0B0000}"/>
    <cellStyle name="20% - Accent5 6 5 2 2 2" xfId="4669" xr:uid="{00000000-0005-0000-0000-00000F0B0000}"/>
    <cellStyle name="20% - Accent5 6 5 2 2 2 2" xfId="4670" xr:uid="{00000000-0005-0000-0000-0000100B0000}"/>
    <cellStyle name="20% - Accent5 6 5 2 2 3" xfId="4671" xr:uid="{00000000-0005-0000-0000-0000110B0000}"/>
    <cellStyle name="20% - Accent5 6 5 2 3" xfId="4672" xr:uid="{00000000-0005-0000-0000-0000120B0000}"/>
    <cellStyle name="20% - Accent5 6 5 2 3 2" xfId="4673" xr:uid="{00000000-0005-0000-0000-0000130B0000}"/>
    <cellStyle name="20% - Accent5 6 5 2 4" xfId="4674" xr:uid="{00000000-0005-0000-0000-0000140B0000}"/>
    <cellStyle name="20% - Accent5 6 5 3" xfId="4675" xr:uid="{00000000-0005-0000-0000-0000150B0000}"/>
    <cellStyle name="20% - Accent5 6 5 3 2" xfId="4676" xr:uid="{00000000-0005-0000-0000-0000160B0000}"/>
    <cellStyle name="20% - Accent5 6 5 3 2 2" xfId="4677" xr:uid="{00000000-0005-0000-0000-0000170B0000}"/>
    <cellStyle name="20% - Accent5 6 5 3 2 2 2" xfId="4678" xr:uid="{00000000-0005-0000-0000-0000180B0000}"/>
    <cellStyle name="20% - Accent5 6 5 3 2 3" xfId="4679" xr:uid="{00000000-0005-0000-0000-0000190B0000}"/>
    <cellStyle name="20% - Accent5 6 5 3 3" xfId="4680" xr:uid="{00000000-0005-0000-0000-00001A0B0000}"/>
    <cellStyle name="20% - Accent5 6 5 3 3 2" xfId="4681" xr:uid="{00000000-0005-0000-0000-00001B0B0000}"/>
    <cellStyle name="20% - Accent5 6 5 3 4" xfId="4682" xr:uid="{00000000-0005-0000-0000-00001C0B0000}"/>
    <cellStyle name="20% - Accent5 6 5 4" xfId="4683" xr:uid="{00000000-0005-0000-0000-00001D0B0000}"/>
    <cellStyle name="20% - Accent5 6 5 4 2" xfId="4684" xr:uid="{00000000-0005-0000-0000-00001E0B0000}"/>
    <cellStyle name="20% - Accent5 6 5 4 2 2" xfId="4685" xr:uid="{00000000-0005-0000-0000-00001F0B0000}"/>
    <cellStyle name="20% - Accent5 6 5 4 3" xfId="4686" xr:uid="{00000000-0005-0000-0000-0000200B0000}"/>
    <cellStyle name="20% - Accent5 6 5 5" xfId="4687" xr:uid="{00000000-0005-0000-0000-0000210B0000}"/>
    <cellStyle name="20% - Accent5 6 5 5 2" xfId="4688" xr:uid="{00000000-0005-0000-0000-0000220B0000}"/>
    <cellStyle name="20% - Accent5 6 5 6" xfId="4689" xr:uid="{00000000-0005-0000-0000-0000230B0000}"/>
    <cellStyle name="20% - Accent5 6 5 7" xfId="4666" xr:uid="{00000000-0005-0000-0000-0000240B0000}"/>
    <cellStyle name="20% - Accent5 6 6" xfId="4690" xr:uid="{00000000-0005-0000-0000-0000250B0000}"/>
    <cellStyle name="20% - Accent5 6 6 2" xfId="4691" xr:uid="{00000000-0005-0000-0000-0000260B0000}"/>
    <cellStyle name="20% - Accent5 6 6 2 2" xfId="4692" xr:uid="{00000000-0005-0000-0000-0000270B0000}"/>
    <cellStyle name="20% - Accent5 6 6 2 2 2" xfId="4693" xr:uid="{00000000-0005-0000-0000-0000280B0000}"/>
    <cellStyle name="20% - Accent5 6 6 2 2 2 2" xfId="4694" xr:uid="{00000000-0005-0000-0000-0000290B0000}"/>
    <cellStyle name="20% - Accent5 6 6 2 2 3" xfId="4695" xr:uid="{00000000-0005-0000-0000-00002A0B0000}"/>
    <cellStyle name="20% - Accent5 6 6 2 3" xfId="4696" xr:uid="{00000000-0005-0000-0000-00002B0B0000}"/>
    <cellStyle name="20% - Accent5 6 6 2 3 2" xfId="4697" xr:uid="{00000000-0005-0000-0000-00002C0B0000}"/>
    <cellStyle name="20% - Accent5 6 6 2 4" xfId="4698" xr:uid="{00000000-0005-0000-0000-00002D0B0000}"/>
    <cellStyle name="20% - Accent5 6 6 3" xfId="4699" xr:uid="{00000000-0005-0000-0000-00002E0B0000}"/>
    <cellStyle name="20% - Accent5 6 6 3 2" xfId="4700" xr:uid="{00000000-0005-0000-0000-00002F0B0000}"/>
    <cellStyle name="20% - Accent5 6 6 3 2 2" xfId="4701" xr:uid="{00000000-0005-0000-0000-0000300B0000}"/>
    <cellStyle name="20% - Accent5 6 6 3 3" xfId="4702" xr:uid="{00000000-0005-0000-0000-0000310B0000}"/>
    <cellStyle name="20% - Accent5 6 6 4" xfId="4703" xr:uid="{00000000-0005-0000-0000-0000320B0000}"/>
    <cellStyle name="20% - Accent5 6 6 4 2" xfId="4704" xr:uid="{00000000-0005-0000-0000-0000330B0000}"/>
    <cellStyle name="20% - Accent5 6 6 5" xfId="4705" xr:uid="{00000000-0005-0000-0000-0000340B0000}"/>
    <cellStyle name="20% - Accent5 6 7" xfId="4706" xr:uid="{00000000-0005-0000-0000-0000350B0000}"/>
    <cellStyle name="20% - Accent5 6 7 2" xfId="4707" xr:uid="{00000000-0005-0000-0000-0000360B0000}"/>
    <cellStyle name="20% - Accent5 6 7 2 2" xfId="4708" xr:uid="{00000000-0005-0000-0000-0000370B0000}"/>
    <cellStyle name="20% - Accent5 6 7 2 2 2" xfId="4709" xr:uid="{00000000-0005-0000-0000-0000380B0000}"/>
    <cellStyle name="20% - Accent5 6 7 2 2 2 2" xfId="4710" xr:uid="{00000000-0005-0000-0000-0000390B0000}"/>
    <cellStyle name="20% - Accent5 6 7 2 2 3" xfId="4711" xr:uid="{00000000-0005-0000-0000-00003A0B0000}"/>
    <cellStyle name="20% - Accent5 6 7 2 3" xfId="4712" xr:uid="{00000000-0005-0000-0000-00003B0B0000}"/>
    <cellStyle name="20% - Accent5 6 7 2 3 2" xfId="4713" xr:uid="{00000000-0005-0000-0000-00003C0B0000}"/>
    <cellStyle name="20% - Accent5 6 7 2 4" xfId="4714" xr:uid="{00000000-0005-0000-0000-00003D0B0000}"/>
    <cellStyle name="20% - Accent5 6 7 3" xfId="4715" xr:uid="{00000000-0005-0000-0000-00003E0B0000}"/>
    <cellStyle name="20% - Accent5 6 7 3 2" xfId="4716" xr:uid="{00000000-0005-0000-0000-00003F0B0000}"/>
    <cellStyle name="20% - Accent5 6 7 3 2 2" xfId="4717" xr:uid="{00000000-0005-0000-0000-0000400B0000}"/>
    <cellStyle name="20% - Accent5 6 7 3 3" xfId="4718" xr:uid="{00000000-0005-0000-0000-0000410B0000}"/>
    <cellStyle name="20% - Accent5 6 7 4" xfId="4719" xr:uid="{00000000-0005-0000-0000-0000420B0000}"/>
    <cellStyle name="20% - Accent5 6 7 4 2" xfId="4720" xr:uid="{00000000-0005-0000-0000-0000430B0000}"/>
    <cellStyle name="20% - Accent5 6 7 5" xfId="4721" xr:uid="{00000000-0005-0000-0000-0000440B0000}"/>
    <cellStyle name="20% - Accent5 6 8" xfId="4722" xr:uid="{00000000-0005-0000-0000-0000450B0000}"/>
    <cellStyle name="20% - Accent5 6 8 2" xfId="4723" xr:uid="{00000000-0005-0000-0000-0000460B0000}"/>
    <cellStyle name="20% - Accent5 6 8 2 2" xfId="4724" xr:uid="{00000000-0005-0000-0000-0000470B0000}"/>
    <cellStyle name="20% - Accent5 6 8 2 2 2" xfId="4725" xr:uid="{00000000-0005-0000-0000-0000480B0000}"/>
    <cellStyle name="20% - Accent5 6 8 2 3" xfId="4726" xr:uid="{00000000-0005-0000-0000-0000490B0000}"/>
    <cellStyle name="20% - Accent5 6 8 3" xfId="4727" xr:uid="{00000000-0005-0000-0000-00004A0B0000}"/>
    <cellStyle name="20% - Accent5 6 8 3 2" xfId="4728" xr:uid="{00000000-0005-0000-0000-00004B0B0000}"/>
    <cellStyle name="20% - Accent5 6 8 4" xfId="4729" xr:uid="{00000000-0005-0000-0000-00004C0B0000}"/>
    <cellStyle name="20% - Accent5 6 9" xfId="4730" xr:uid="{00000000-0005-0000-0000-00004D0B0000}"/>
    <cellStyle name="20% - Accent5 6 9 2" xfId="4731" xr:uid="{00000000-0005-0000-0000-00004E0B0000}"/>
    <cellStyle name="20% - Accent5 6 9 2 2" xfId="4732" xr:uid="{00000000-0005-0000-0000-00004F0B0000}"/>
    <cellStyle name="20% - Accent5 6 9 2 2 2" xfId="4733" xr:uid="{00000000-0005-0000-0000-0000500B0000}"/>
    <cellStyle name="20% - Accent5 6 9 2 3" xfId="4734" xr:uid="{00000000-0005-0000-0000-0000510B0000}"/>
    <cellStyle name="20% - Accent5 6 9 3" xfId="4735" xr:uid="{00000000-0005-0000-0000-0000520B0000}"/>
    <cellStyle name="20% - Accent5 6 9 3 2" xfId="4736" xr:uid="{00000000-0005-0000-0000-0000530B0000}"/>
    <cellStyle name="20% - Accent5 6 9 4" xfId="4737" xr:uid="{00000000-0005-0000-0000-0000540B0000}"/>
    <cellStyle name="20% - Accent5 7" xfId="82" xr:uid="{00000000-0005-0000-0000-0000550B0000}"/>
    <cellStyle name="20% - Accent5 8" xfId="83" xr:uid="{00000000-0005-0000-0000-0000560B0000}"/>
    <cellStyle name="20% - Accent5 8 2" xfId="4738" xr:uid="{00000000-0005-0000-0000-0000570B0000}"/>
    <cellStyle name="20% - Accent5 8 2 2" xfId="4739" xr:uid="{00000000-0005-0000-0000-0000580B0000}"/>
    <cellStyle name="20% - Accent5 8 3" xfId="4740" xr:uid="{00000000-0005-0000-0000-0000590B0000}"/>
    <cellStyle name="20% - Accent5 9" xfId="4741" xr:uid="{00000000-0005-0000-0000-00005A0B0000}"/>
    <cellStyle name="20% - Accent5 9 2" xfId="4742" xr:uid="{00000000-0005-0000-0000-00005B0B0000}"/>
    <cellStyle name="20% - Accent5 9 2 2" xfId="4743" xr:uid="{00000000-0005-0000-0000-00005C0B0000}"/>
    <cellStyle name="20% - Accent5 9 3" xfId="4744" xr:uid="{00000000-0005-0000-0000-00005D0B0000}"/>
    <cellStyle name="20% - Accent6 10" xfId="4745" xr:uid="{00000000-0005-0000-0000-00005E0B0000}"/>
    <cellStyle name="20% - Accent6 2" xfId="84" xr:uid="{00000000-0005-0000-0000-00005F0B0000}"/>
    <cellStyle name="20% - Accent6 2 2" xfId="85" xr:uid="{00000000-0005-0000-0000-0000600B0000}"/>
    <cellStyle name="20% - Accent6 3" xfId="86" xr:uid="{00000000-0005-0000-0000-0000610B0000}"/>
    <cellStyle name="20% - Accent6 4" xfId="87" xr:uid="{00000000-0005-0000-0000-0000620B0000}"/>
    <cellStyle name="20% - Accent6 5" xfId="88" xr:uid="{00000000-0005-0000-0000-0000630B0000}"/>
    <cellStyle name="20% - Accent6 6" xfId="89" xr:uid="{00000000-0005-0000-0000-0000640B0000}"/>
    <cellStyle name="20% - Accent6 6 10" xfId="4747" xr:uid="{00000000-0005-0000-0000-0000650B0000}"/>
    <cellStyle name="20% - Accent6 6 10 2" xfId="4748" xr:uid="{00000000-0005-0000-0000-0000660B0000}"/>
    <cellStyle name="20% - Accent6 6 10 2 2" xfId="4749" xr:uid="{00000000-0005-0000-0000-0000670B0000}"/>
    <cellStyle name="20% - Accent6 6 10 2 2 2" xfId="4750" xr:uid="{00000000-0005-0000-0000-0000680B0000}"/>
    <cellStyle name="20% - Accent6 6 10 2 3" xfId="4751" xr:uid="{00000000-0005-0000-0000-0000690B0000}"/>
    <cellStyle name="20% - Accent6 6 10 3" xfId="4752" xr:uid="{00000000-0005-0000-0000-00006A0B0000}"/>
    <cellStyle name="20% - Accent6 6 10 3 2" xfId="4753" xr:uid="{00000000-0005-0000-0000-00006B0B0000}"/>
    <cellStyle name="20% - Accent6 6 10 4" xfId="4754" xr:uid="{00000000-0005-0000-0000-00006C0B0000}"/>
    <cellStyle name="20% - Accent6 6 11" xfId="4755" xr:uid="{00000000-0005-0000-0000-00006D0B0000}"/>
    <cellStyle name="20% - Accent6 6 11 2" xfId="4756" xr:uid="{00000000-0005-0000-0000-00006E0B0000}"/>
    <cellStyle name="20% - Accent6 6 11 2 2" xfId="4757" xr:uid="{00000000-0005-0000-0000-00006F0B0000}"/>
    <cellStyle name="20% - Accent6 6 11 3" xfId="4758" xr:uid="{00000000-0005-0000-0000-0000700B0000}"/>
    <cellStyle name="20% - Accent6 6 12" xfId="4759" xr:uid="{00000000-0005-0000-0000-0000710B0000}"/>
    <cellStyle name="20% - Accent6 6 12 2" xfId="4760" xr:uid="{00000000-0005-0000-0000-0000720B0000}"/>
    <cellStyle name="20% - Accent6 6 12 2 2" xfId="4761" xr:uid="{00000000-0005-0000-0000-0000730B0000}"/>
    <cellStyle name="20% - Accent6 6 12 3" xfId="4762" xr:uid="{00000000-0005-0000-0000-0000740B0000}"/>
    <cellStyle name="20% - Accent6 6 13" xfId="4763" xr:uid="{00000000-0005-0000-0000-0000750B0000}"/>
    <cellStyle name="20% - Accent6 6 13 2" xfId="4764" xr:uid="{00000000-0005-0000-0000-0000760B0000}"/>
    <cellStyle name="20% - Accent6 6 13 2 2" xfId="4765" xr:uid="{00000000-0005-0000-0000-0000770B0000}"/>
    <cellStyle name="20% - Accent6 6 13 3" xfId="4766" xr:uid="{00000000-0005-0000-0000-0000780B0000}"/>
    <cellStyle name="20% - Accent6 6 14" xfId="4767" xr:uid="{00000000-0005-0000-0000-0000790B0000}"/>
    <cellStyle name="20% - Accent6 6 14 2" xfId="4768" xr:uid="{00000000-0005-0000-0000-00007A0B0000}"/>
    <cellStyle name="20% - Accent6 6 15" xfId="4769" xr:uid="{00000000-0005-0000-0000-00007B0B0000}"/>
    <cellStyle name="20% - Accent6 6 16" xfId="4770" xr:uid="{00000000-0005-0000-0000-00007C0B0000}"/>
    <cellStyle name="20% - Accent6 6 17" xfId="4746" xr:uid="{00000000-0005-0000-0000-00007D0B0000}"/>
    <cellStyle name="20% - Accent6 6 2" xfId="90" xr:uid="{00000000-0005-0000-0000-00007E0B0000}"/>
    <cellStyle name="20% - Accent6 6 2 10" xfId="4772" xr:uid="{00000000-0005-0000-0000-00007F0B0000}"/>
    <cellStyle name="20% - Accent6 6 2 10 2" xfId="4773" xr:uid="{00000000-0005-0000-0000-0000800B0000}"/>
    <cellStyle name="20% - Accent6 6 2 10 2 2" xfId="4774" xr:uid="{00000000-0005-0000-0000-0000810B0000}"/>
    <cellStyle name="20% - Accent6 6 2 10 3" xfId="4775" xr:uid="{00000000-0005-0000-0000-0000820B0000}"/>
    <cellStyle name="20% - Accent6 6 2 11" xfId="4776" xr:uid="{00000000-0005-0000-0000-0000830B0000}"/>
    <cellStyle name="20% - Accent6 6 2 11 2" xfId="4777" xr:uid="{00000000-0005-0000-0000-0000840B0000}"/>
    <cellStyle name="20% - Accent6 6 2 11 2 2" xfId="4778" xr:uid="{00000000-0005-0000-0000-0000850B0000}"/>
    <cellStyle name="20% - Accent6 6 2 11 3" xfId="4779" xr:uid="{00000000-0005-0000-0000-0000860B0000}"/>
    <cellStyle name="20% - Accent6 6 2 12" xfId="4780" xr:uid="{00000000-0005-0000-0000-0000870B0000}"/>
    <cellStyle name="20% - Accent6 6 2 12 2" xfId="4781" xr:uid="{00000000-0005-0000-0000-0000880B0000}"/>
    <cellStyle name="20% - Accent6 6 2 13" xfId="4782" xr:uid="{00000000-0005-0000-0000-0000890B0000}"/>
    <cellStyle name="20% - Accent6 6 2 14" xfId="4783" xr:uid="{00000000-0005-0000-0000-00008A0B0000}"/>
    <cellStyle name="20% - Accent6 6 2 15" xfId="4771" xr:uid="{00000000-0005-0000-0000-00008B0B0000}"/>
    <cellStyle name="20% - Accent6 6 2 2" xfId="827" xr:uid="{00000000-0005-0000-0000-00008C0B0000}"/>
    <cellStyle name="20% - Accent6 6 2 2 10" xfId="4785" xr:uid="{00000000-0005-0000-0000-00008D0B0000}"/>
    <cellStyle name="20% - Accent6 6 2 2 11" xfId="4784" xr:uid="{00000000-0005-0000-0000-00008E0B0000}"/>
    <cellStyle name="20% - Accent6 6 2 2 2" xfId="1585" xr:uid="{00000000-0005-0000-0000-00008F0B0000}"/>
    <cellStyle name="20% - Accent6 6 2 2 2 2" xfId="4787" xr:uid="{00000000-0005-0000-0000-0000900B0000}"/>
    <cellStyle name="20% - Accent6 6 2 2 2 2 2" xfId="4788" xr:uid="{00000000-0005-0000-0000-0000910B0000}"/>
    <cellStyle name="20% - Accent6 6 2 2 2 2 2 2" xfId="4789" xr:uid="{00000000-0005-0000-0000-0000920B0000}"/>
    <cellStyle name="20% - Accent6 6 2 2 2 2 2 2 2" xfId="4790" xr:uid="{00000000-0005-0000-0000-0000930B0000}"/>
    <cellStyle name="20% - Accent6 6 2 2 2 2 2 3" xfId="4791" xr:uid="{00000000-0005-0000-0000-0000940B0000}"/>
    <cellStyle name="20% - Accent6 6 2 2 2 2 3" xfId="4792" xr:uid="{00000000-0005-0000-0000-0000950B0000}"/>
    <cellStyle name="20% - Accent6 6 2 2 2 2 3 2" xfId="4793" xr:uid="{00000000-0005-0000-0000-0000960B0000}"/>
    <cellStyle name="20% - Accent6 6 2 2 2 2 4" xfId="4794" xr:uid="{00000000-0005-0000-0000-0000970B0000}"/>
    <cellStyle name="20% - Accent6 6 2 2 2 3" xfId="4795" xr:uid="{00000000-0005-0000-0000-0000980B0000}"/>
    <cellStyle name="20% - Accent6 6 2 2 2 3 2" xfId="4796" xr:uid="{00000000-0005-0000-0000-0000990B0000}"/>
    <cellStyle name="20% - Accent6 6 2 2 2 3 2 2" xfId="4797" xr:uid="{00000000-0005-0000-0000-00009A0B0000}"/>
    <cellStyle name="20% - Accent6 6 2 2 2 3 2 2 2" xfId="4798" xr:uid="{00000000-0005-0000-0000-00009B0B0000}"/>
    <cellStyle name="20% - Accent6 6 2 2 2 3 2 3" xfId="4799" xr:uid="{00000000-0005-0000-0000-00009C0B0000}"/>
    <cellStyle name="20% - Accent6 6 2 2 2 3 3" xfId="4800" xr:uid="{00000000-0005-0000-0000-00009D0B0000}"/>
    <cellStyle name="20% - Accent6 6 2 2 2 3 3 2" xfId="4801" xr:uid="{00000000-0005-0000-0000-00009E0B0000}"/>
    <cellStyle name="20% - Accent6 6 2 2 2 3 4" xfId="4802" xr:uid="{00000000-0005-0000-0000-00009F0B0000}"/>
    <cellStyle name="20% - Accent6 6 2 2 2 4" xfId="4803" xr:uid="{00000000-0005-0000-0000-0000A00B0000}"/>
    <cellStyle name="20% - Accent6 6 2 2 2 4 2" xfId="4804" xr:uid="{00000000-0005-0000-0000-0000A10B0000}"/>
    <cellStyle name="20% - Accent6 6 2 2 2 4 2 2" xfId="4805" xr:uid="{00000000-0005-0000-0000-0000A20B0000}"/>
    <cellStyle name="20% - Accent6 6 2 2 2 4 3" xfId="4806" xr:uid="{00000000-0005-0000-0000-0000A30B0000}"/>
    <cellStyle name="20% - Accent6 6 2 2 2 5" xfId="4807" xr:uid="{00000000-0005-0000-0000-0000A40B0000}"/>
    <cellStyle name="20% - Accent6 6 2 2 2 5 2" xfId="4808" xr:uid="{00000000-0005-0000-0000-0000A50B0000}"/>
    <cellStyle name="20% - Accent6 6 2 2 2 6" xfId="4809" xr:uid="{00000000-0005-0000-0000-0000A60B0000}"/>
    <cellStyle name="20% - Accent6 6 2 2 2 7" xfId="4786" xr:uid="{00000000-0005-0000-0000-0000A70B0000}"/>
    <cellStyle name="20% - Accent6 6 2 2 3" xfId="4810" xr:uid="{00000000-0005-0000-0000-0000A80B0000}"/>
    <cellStyle name="20% - Accent6 6 2 2 3 2" xfId="4811" xr:uid="{00000000-0005-0000-0000-0000A90B0000}"/>
    <cellStyle name="20% - Accent6 6 2 2 3 2 2" xfId="4812" xr:uid="{00000000-0005-0000-0000-0000AA0B0000}"/>
    <cellStyle name="20% - Accent6 6 2 2 3 2 2 2" xfId="4813" xr:uid="{00000000-0005-0000-0000-0000AB0B0000}"/>
    <cellStyle name="20% - Accent6 6 2 2 3 2 2 2 2" xfId="4814" xr:uid="{00000000-0005-0000-0000-0000AC0B0000}"/>
    <cellStyle name="20% - Accent6 6 2 2 3 2 2 3" xfId="4815" xr:uid="{00000000-0005-0000-0000-0000AD0B0000}"/>
    <cellStyle name="20% - Accent6 6 2 2 3 2 3" xfId="4816" xr:uid="{00000000-0005-0000-0000-0000AE0B0000}"/>
    <cellStyle name="20% - Accent6 6 2 2 3 2 3 2" xfId="4817" xr:uid="{00000000-0005-0000-0000-0000AF0B0000}"/>
    <cellStyle name="20% - Accent6 6 2 2 3 2 4" xfId="4818" xr:uid="{00000000-0005-0000-0000-0000B00B0000}"/>
    <cellStyle name="20% - Accent6 6 2 2 3 3" xfId="4819" xr:uid="{00000000-0005-0000-0000-0000B10B0000}"/>
    <cellStyle name="20% - Accent6 6 2 2 3 3 2" xfId="4820" xr:uid="{00000000-0005-0000-0000-0000B20B0000}"/>
    <cellStyle name="20% - Accent6 6 2 2 3 3 2 2" xfId="4821" xr:uid="{00000000-0005-0000-0000-0000B30B0000}"/>
    <cellStyle name="20% - Accent6 6 2 2 3 3 3" xfId="4822" xr:uid="{00000000-0005-0000-0000-0000B40B0000}"/>
    <cellStyle name="20% - Accent6 6 2 2 3 4" xfId="4823" xr:uid="{00000000-0005-0000-0000-0000B50B0000}"/>
    <cellStyle name="20% - Accent6 6 2 2 3 4 2" xfId="4824" xr:uid="{00000000-0005-0000-0000-0000B60B0000}"/>
    <cellStyle name="20% - Accent6 6 2 2 3 5" xfId="4825" xr:uid="{00000000-0005-0000-0000-0000B70B0000}"/>
    <cellStyle name="20% - Accent6 6 2 2 4" xfId="4826" xr:uid="{00000000-0005-0000-0000-0000B80B0000}"/>
    <cellStyle name="20% - Accent6 6 2 2 4 2" xfId="4827" xr:uid="{00000000-0005-0000-0000-0000B90B0000}"/>
    <cellStyle name="20% - Accent6 6 2 2 4 2 2" xfId="4828" xr:uid="{00000000-0005-0000-0000-0000BA0B0000}"/>
    <cellStyle name="20% - Accent6 6 2 2 4 2 2 2" xfId="4829" xr:uid="{00000000-0005-0000-0000-0000BB0B0000}"/>
    <cellStyle name="20% - Accent6 6 2 2 4 2 2 2 2" xfId="4830" xr:uid="{00000000-0005-0000-0000-0000BC0B0000}"/>
    <cellStyle name="20% - Accent6 6 2 2 4 2 2 3" xfId="4831" xr:uid="{00000000-0005-0000-0000-0000BD0B0000}"/>
    <cellStyle name="20% - Accent6 6 2 2 4 2 3" xfId="4832" xr:uid="{00000000-0005-0000-0000-0000BE0B0000}"/>
    <cellStyle name="20% - Accent6 6 2 2 4 2 3 2" xfId="4833" xr:uid="{00000000-0005-0000-0000-0000BF0B0000}"/>
    <cellStyle name="20% - Accent6 6 2 2 4 2 4" xfId="4834" xr:uid="{00000000-0005-0000-0000-0000C00B0000}"/>
    <cellStyle name="20% - Accent6 6 2 2 4 3" xfId="4835" xr:uid="{00000000-0005-0000-0000-0000C10B0000}"/>
    <cellStyle name="20% - Accent6 6 2 2 4 3 2" xfId="4836" xr:uid="{00000000-0005-0000-0000-0000C20B0000}"/>
    <cellStyle name="20% - Accent6 6 2 2 4 3 2 2" xfId="4837" xr:uid="{00000000-0005-0000-0000-0000C30B0000}"/>
    <cellStyle name="20% - Accent6 6 2 2 4 3 3" xfId="4838" xr:uid="{00000000-0005-0000-0000-0000C40B0000}"/>
    <cellStyle name="20% - Accent6 6 2 2 4 4" xfId="4839" xr:uid="{00000000-0005-0000-0000-0000C50B0000}"/>
    <cellStyle name="20% - Accent6 6 2 2 4 4 2" xfId="4840" xr:uid="{00000000-0005-0000-0000-0000C60B0000}"/>
    <cellStyle name="20% - Accent6 6 2 2 4 5" xfId="4841" xr:uid="{00000000-0005-0000-0000-0000C70B0000}"/>
    <cellStyle name="20% - Accent6 6 2 2 5" xfId="4842" xr:uid="{00000000-0005-0000-0000-0000C80B0000}"/>
    <cellStyle name="20% - Accent6 6 2 2 5 2" xfId="4843" xr:uid="{00000000-0005-0000-0000-0000C90B0000}"/>
    <cellStyle name="20% - Accent6 6 2 2 5 2 2" xfId="4844" xr:uid="{00000000-0005-0000-0000-0000CA0B0000}"/>
    <cellStyle name="20% - Accent6 6 2 2 5 2 2 2" xfId="4845" xr:uid="{00000000-0005-0000-0000-0000CB0B0000}"/>
    <cellStyle name="20% - Accent6 6 2 2 5 2 3" xfId="4846" xr:uid="{00000000-0005-0000-0000-0000CC0B0000}"/>
    <cellStyle name="20% - Accent6 6 2 2 5 3" xfId="4847" xr:uid="{00000000-0005-0000-0000-0000CD0B0000}"/>
    <cellStyle name="20% - Accent6 6 2 2 5 3 2" xfId="4848" xr:uid="{00000000-0005-0000-0000-0000CE0B0000}"/>
    <cellStyle name="20% - Accent6 6 2 2 5 4" xfId="4849" xr:uid="{00000000-0005-0000-0000-0000CF0B0000}"/>
    <cellStyle name="20% - Accent6 6 2 2 6" xfId="4850" xr:uid="{00000000-0005-0000-0000-0000D00B0000}"/>
    <cellStyle name="20% - Accent6 6 2 2 6 2" xfId="4851" xr:uid="{00000000-0005-0000-0000-0000D10B0000}"/>
    <cellStyle name="20% - Accent6 6 2 2 6 2 2" xfId="4852" xr:uid="{00000000-0005-0000-0000-0000D20B0000}"/>
    <cellStyle name="20% - Accent6 6 2 2 6 2 2 2" xfId="4853" xr:uid="{00000000-0005-0000-0000-0000D30B0000}"/>
    <cellStyle name="20% - Accent6 6 2 2 6 2 3" xfId="4854" xr:uid="{00000000-0005-0000-0000-0000D40B0000}"/>
    <cellStyle name="20% - Accent6 6 2 2 6 3" xfId="4855" xr:uid="{00000000-0005-0000-0000-0000D50B0000}"/>
    <cellStyle name="20% - Accent6 6 2 2 6 3 2" xfId="4856" xr:uid="{00000000-0005-0000-0000-0000D60B0000}"/>
    <cellStyle name="20% - Accent6 6 2 2 6 4" xfId="4857" xr:uid="{00000000-0005-0000-0000-0000D70B0000}"/>
    <cellStyle name="20% - Accent6 6 2 2 7" xfId="4858" xr:uid="{00000000-0005-0000-0000-0000D80B0000}"/>
    <cellStyle name="20% - Accent6 6 2 2 7 2" xfId="4859" xr:uid="{00000000-0005-0000-0000-0000D90B0000}"/>
    <cellStyle name="20% - Accent6 6 2 2 7 2 2" xfId="4860" xr:uid="{00000000-0005-0000-0000-0000DA0B0000}"/>
    <cellStyle name="20% - Accent6 6 2 2 7 2 2 2" xfId="4861" xr:uid="{00000000-0005-0000-0000-0000DB0B0000}"/>
    <cellStyle name="20% - Accent6 6 2 2 7 2 3" xfId="4862" xr:uid="{00000000-0005-0000-0000-0000DC0B0000}"/>
    <cellStyle name="20% - Accent6 6 2 2 7 3" xfId="4863" xr:uid="{00000000-0005-0000-0000-0000DD0B0000}"/>
    <cellStyle name="20% - Accent6 6 2 2 7 3 2" xfId="4864" xr:uid="{00000000-0005-0000-0000-0000DE0B0000}"/>
    <cellStyle name="20% - Accent6 6 2 2 7 4" xfId="4865" xr:uid="{00000000-0005-0000-0000-0000DF0B0000}"/>
    <cellStyle name="20% - Accent6 6 2 2 8" xfId="4866" xr:uid="{00000000-0005-0000-0000-0000E00B0000}"/>
    <cellStyle name="20% - Accent6 6 2 2 8 2" xfId="4867" xr:uid="{00000000-0005-0000-0000-0000E10B0000}"/>
    <cellStyle name="20% - Accent6 6 2 2 8 2 2" xfId="4868" xr:uid="{00000000-0005-0000-0000-0000E20B0000}"/>
    <cellStyle name="20% - Accent6 6 2 2 8 3" xfId="4869" xr:uid="{00000000-0005-0000-0000-0000E30B0000}"/>
    <cellStyle name="20% - Accent6 6 2 2 9" xfId="4870" xr:uid="{00000000-0005-0000-0000-0000E40B0000}"/>
    <cellStyle name="20% - Accent6 6 2 2 9 2" xfId="4871" xr:uid="{00000000-0005-0000-0000-0000E50B0000}"/>
    <cellStyle name="20% - Accent6 6 2 3" xfId="1260" xr:uid="{00000000-0005-0000-0000-0000E60B0000}"/>
    <cellStyle name="20% - Accent6 6 2 3 2" xfId="4873" xr:uid="{00000000-0005-0000-0000-0000E70B0000}"/>
    <cellStyle name="20% - Accent6 6 2 3 2 2" xfId="4874" xr:uid="{00000000-0005-0000-0000-0000E80B0000}"/>
    <cellStyle name="20% - Accent6 6 2 3 2 2 2" xfId="4875" xr:uid="{00000000-0005-0000-0000-0000E90B0000}"/>
    <cellStyle name="20% - Accent6 6 2 3 2 2 2 2" xfId="4876" xr:uid="{00000000-0005-0000-0000-0000EA0B0000}"/>
    <cellStyle name="20% - Accent6 6 2 3 2 2 3" xfId="4877" xr:uid="{00000000-0005-0000-0000-0000EB0B0000}"/>
    <cellStyle name="20% - Accent6 6 2 3 2 3" xfId="4878" xr:uid="{00000000-0005-0000-0000-0000EC0B0000}"/>
    <cellStyle name="20% - Accent6 6 2 3 2 3 2" xfId="4879" xr:uid="{00000000-0005-0000-0000-0000ED0B0000}"/>
    <cellStyle name="20% - Accent6 6 2 3 2 4" xfId="4880" xr:uid="{00000000-0005-0000-0000-0000EE0B0000}"/>
    <cellStyle name="20% - Accent6 6 2 3 3" xfId="4881" xr:uid="{00000000-0005-0000-0000-0000EF0B0000}"/>
    <cellStyle name="20% - Accent6 6 2 3 3 2" xfId="4882" xr:uid="{00000000-0005-0000-0000-0000F00B0000}"/>
    <cellStyle name="20% - Accent6 6 2 3 3 2 2" xfId="4883" xr:uid="{00000000-0005-0000-0000-0000F10B0000}"/>
    <cellStyle name="20% - Accent6 6 2 3 3 2 2 2" xfId="4884" xr:uid="{00000000-0005-0000-0000-0000F20B0000}"/>
    <cellStyle name="20% - Accent6 6 2 3 3 2 3" xfId="4885" xr:uid="{00000000-0005-0000-0000-0000F30B0000}"/>
    <cellStyle name="20% - Accent6 6 2 3 3 3" xfId="4886" xr:uid="{00000000-0005-0000-0000-0000F40B0000}"/>
    <cellStyle name="20% - Accent6 6 2 3 3 3 2" xfId="4887" xr:uid="{00000000-0005-0000-0000-0000F50B0000}"/>
    <cellStyle name="20% - Accent6 6 2 3 3 4" xfId="4888" xr:uid="{00000000-0005-0000-0000-0000F60B0000}"/>
    <cellStyle name="20% - Accent6 6 2 3 4" xfId="4889" xr:uid="{00000000-0005-0000-0000-0000F70B0000}"/>
    <cellStyle name="20% - Accent6 6 2 3 4 2" xfId="4890" xr:uid="{00000000-0005-0000-0000-0000F80B0000}"/>
    <cellStyle name="20% - Accent6 6 2 3 4 2 2" xfId="4891" xr:uid="{00000000-0005-0000-0000-0000F90B0000}"/>
    <cellStyle name="20% - Accent6 6 2 3 4 3" xfId="4892" xr:uid="{00000000-0005-0000-0000-0000FA0B0000}"/>
    <cellStyle name="20% - Accent6 6 2 3 5" xfId="4893" xr:uid="{00000000-0005-0000-0000-0000FB0B0000}"/>
    <cellStyle name="20% - Accent6 6 2 3 5 2" xfId="4894" xr:uid="{00000000-0005-0000-0000-0000FC0B0000}"/>
    <cellStyle name="20% - Accent6 6 2 3 6" xfId="4895" xr:uid="{00000000-0005-0000-0000-0000FD0B0000}"/>
    <cellStyle name="20% - Accent6 6 2 3 7" xfId="4872" xr:uid="{00000000-0005-0000-0000-0000FE0B0000}"/>
    <cellStyle name="20% - Accent6 6 2 4" xfId="4896" xr:uid="{00000000-0005-0000-0000-0000FF0B0000}"/>
    <cellStyle name="20% - Accent6 6 2 4 2" xfId="4897" xr:uid="{00000000-0005-0000-0000-0000000C0000}"/>
    <cellStyle name="20% - Accent6 6 2 4 2 2" xfId="4898" xr:uid="{00000000-0005-0000-0000-0000010C0000}"/>
    <cellStyle name="20% - Accent6 6 2 4 2 2 2" xfId="4899" xr:uid="{00000000-0005-0000-0000-0000020C0000}"/>
    <cellStyle name="20% - Accent6 6 2 4 2 2 2 2" xfId="4900" xr:uid="{00000000-0005-0000-0000-0000030C0000}"/>
    <cellStyle name="20% - Accent6 6 2 4 2 2 3" xfId="4901" xr:uid="{00000000-0005-0000-0000-0000040C0000}"/>
    <cellStyle name="20% - Accent6 6 2 4 2 3" xfId="4902" xr:uid="{00000000-0005-0000-0000-0000050C0000}"/>
    <cellStyle name="20% - Accent6 6 2 4 2 3 2" xfId="4903" xr:uid="{00000000-0005-0000-0000-0000060C0000}"/>
    <cellStyle name="20% - Accent6 6 2 4 2 4" xfId="4904" xr:uid="{00000000-0005-0000-0000-0000070C0000}"/>
    <cellStyle name="20% - Accent6 6 2 4 3" xfId="4905" xr:uid="{00000000-0005-0000-0000-0000080C0000}"/>
    <cellStyle name="20% - Accent6 6 2 4 3 2" xfId="4906" xr:uid="{00000000-0005-0000-0000-0000090C0000}"/>
    <cellStyle name="20% - Accent6 6 2 4 3 2 2" xfId="4907" xr:uid="{00000000-0005-0000-0000-00000A0C0000}"/>
    <cellStyle name="20% - Accent6 6 2 4 3 3" xfId="4908" xr:uid="{00000000-0005-0000-0000-00000B0C0000}"/>
    <cellStyle name="20% - Accent6 6 2 4 4" xfId="4909" xr:uid="{00000000-0005-0000-0000-00000C0C0000}"/>
    <cellStyle name="20% - Accent6 6 2 4 4 2" xfId="4910" xr:uid="{00000000-0005-0000-0000-00000D0C0000}"/>
    <cellStyle name="20% - Accent6 6 2 4 5" xfId="4911" xr:uid="{00000000-0005-0000-0000-00000E0C0000}"/>
    <cellStyle name="20% - Accent6 6 2 5" xfId="4912" xr:uid="{00000000-0005-0000-0000-00000F0C0000}"/>
    <cellStyle name="20% - Accent6 6 2 5 2" xfId="4913" xr:uid="{00000000-0005-0000-0000-0000100C0000}"/>
    <cellStyle name="20% - Accent6 6 2 5 2 2" xfId="4914" xr:uid="{00000000-0005-0000-0000-0000110C0000}"/>
    <cellStyle name="20% - Accent6 6 2 5 2 2 2" xfId="4915" xr:uid="{00000000-0005-0000-0000-0000120C0000}"/>
    <cellStyle name="20% - Accent6 6 2 5 2 2 2 2" xfId="4916" xr:uid="{00000000-0005-0000-0000-0000130C0000}"/>
    <cellStyle name="20% - Accent6 6 2 5 2 2 3" xfId="4917" xr:uid="{00000000-0005-0000-0000-0000140C0000}"/>
    <cellStyle name="20% - Accent6 6 2 5 2 3" xfId="4918" xr:uid="{00000000-0005-0000-0000-0000150C0000}"/>
    <cellStyle name="20% - Accent6 6 2 5 2 3 2" xfId="4919" xr:uid="{00000000-0005-0000-0000-0000160C0000}"/>
    <cellStyle name="20% - Accent6 6 2 5 2 4" xfId="4920" xr:uid="{00000000-0005-0000-0000-0000170C0000}"/>
    <cellStyle name="20% - Accent6 6 2 5 3" xfId="4921" xr:uid="{00000000-0005-0000-0000-0000180C0000}"/>
    <cellStyle name="20% - Accent6 6 2 5 3 2" xfId="4922" xr:uid="{00000000-0005-0000-0000-0000190C0000}"/>
    <cellStyle name="20% - Accent6 6 2 5 3 2 2" xfId="4923" xr:uid="{00000000-0005-0000-0000-00001A0C0000}"/>
    <cellStyle name="20% - Accent6 6 2 5 3 3" xfId="4924" xr:uid="{00000000-0005-0000-0000-00001B0C0000}"/>
    <cellStyle name="20% - Accent6 6 2 5 4" xfId="4925" xr:uid="{00000000-0005-0000-0000-00001C0C0000}"/>
    <cellStyle name="20% - Accent6 6 2 5 4 2" xfId="4926" xr:uid="{00000000-0005-0000-0000-00001D0C0000}"/>
    <cellStyle name="20% - Accent6 6 2 5 5" xfId="4927" xr:uid="{00000000-0005-0000-0000-00001E0C0000}"/>
    <cellStyle name="20% - Accent6 6 2 6" xfId="4928" xr:uid="{00000000-0005-0000-0000-00001F0C0000}"/>
    <cellStyle name="20% - Accent6 6 2 6 2" xfId="4929" xr:uid="{00000000-0005-0000-0000-0000200C0000}"/>
    <cellStyle name="20% - Accent6 6 2 6 2 2" xfId="4930" xr:uid="{00000000-0005-0000-0000-0000210C0000}"/>
    <cellStyle name="20% - Accent6 6 2 6 2 2 2" xfId="4931" xr:uid="{00000000-0005-0000-0000-0000220C0000}"/>
    <cellStyle name="20% - Accent6 6 2 6 2 3" xfId="4932" xr:uid="{00000000-0005-0000-0000-0000230C0000}"/>
    <cellStyle name="20% - Accent6 6 2 6 3" xfId="4933" xr:uid="{00000000-0005-0000-0000-0000240C0000}"/>
    <cellStyle name="20% - Accent6 6 2 6 3 2" xfId="4934" xr:uid="{00000000-0005-0000-0000-0000250C0000}"/>
    <cellStyle name="20% - Accent6 6 2 6 4" xfId="4935" xr:uid="{00000000-0005-0000-0000-0000260C0000}"/>
    <cellStyle name="20% - Accent6 6 2 7" xfId="4936" xr:uid="{00000000-0005-0000-0000-0000270C0000}"/>
    <cellStyle name="20% - Accent6 6 2 7 2" xfId="4937" xr:uid="{00000000-0005-0000-0000-0000280C0000}"/>
    <cellStyle name="20% - Accent6 6 2 7 2 2" xfId="4938" xr:uid="{00000000-0005-0000-0000-0000290C0000}"/>
    <cellStyle name="20% - Accent6 6 2 7 2 2 2" xfId="4939" xr:uid="{00000000-0005-0000-0000-00002A0C0000}"/>
    <cellStyle name="20% - Accent6 6 2 7 2 3" xfId="4940" xr:uid="{00000000-0005-0000-0000-00002B0C0000}"/>
    <cellStyle name="20% - Accent6 6 2 7 3" xfId="4941" xr:uid="{00000000-0005-0000-0000-00002C0C0000}"/>
    <cellStyle name="20% - Accent6 6 2 7 3 2" xfId="4942" xr:uid="{00000000-0005-0000-0000-00002D0C0000}"/>
    <cellStyle name="20% - Accent6 6 2 7 4" xfId="4943" xr:uid="{00000000-0005-0000-0000-00002E0C0000}"/>
    <cellStyle name="20% - Accent6 6 2 8" xfId="4944" xr:uid="{00000000-0005-0000-0000-00002F0C0000}"/>
    <cellStyle name="20% - Accent6 6 2 8 2" xfId="4945" xr:uid="{00000000-0005-0000-0000-0000300C0000}"/>
    <cellStyle name="20% - Accent6 6 2 8 2 2" xfId="4946" xr:uid="{00000000-0005-0000-0000-0000310C0000}"/>
    <cellStyle name="20% - Accent6 6 2 8 2 2 2" xfId="4947" xr:uid="{00000000-0005-0000-0000-0000320C0000}"/>
    <cellStyle name="20% - Accent6 6 2 8 2 3" xfId="4948" xr:uid="{00000000-0005-0000-0000-0000330C0000}"/>
    <cellStyle name="20% - Accent6 6 2 8 3" xfId="4949" xr:uid="{00000000-0005-0000-0000-0000340C0000}"/>
    <cellStyle name="20% - Accent6 6 2 8 3 2" xfId="4950" xr:uid="{00000000-0005-0000-0000-0000350C0000}"/>
    <cellStyle name="20% - Accent6 6 2 8 4" xfId="4951" xr:uid="{00000000-0005-0000-0000-0000360C0000}"/>
    <cellStyle name="20% - Accent6 6 2 9" xfId="4952" xr:uid="{00000000-0005-0000-0000-0000370C0000}"/>
    <cellStyle name="20% - Accent6 6 2 9 2" xfId="4953" xr:uid="{00000000-0005-0000-0000-0000380C0000}"/>
    <cellStyle name="20% - Accent6 6 2 9 2 2" xfId="4954" xr:uid="{00000000-0005-0000-0000-0000390C0000}"/>
    <cellStyle name="20% - Accent6 6 2 9 3" xfId="4955" xr:uid="{00000000-0005-0000-0000-00003A0C0000}"/>
    <cellStyle name="20% - Accent6 6 3" xfId="91" xr:uid="{00000000-0005-0000-0000-00003B0C0000}"/>
    <cellStyle name="20% - Accent6 6 3 10" xfId="4957" xr:uid="{00000000-0005-0000-0000-00003C0C0000}"/>
    <cellStyle name="20% - Accent6 6 3 10 2" xfId="4958" xr:uid="{00000000-0005-0000-0000-00003D0C0000}"/>
    <cellStyle name="20% - Accent6 6 3 10 2 2" xfId="4959" xr:uid="{00000000-0005-0000-0000-00003E0C0000}"/>
    <cellStyle name="20% - Accent6 6 3 10 3" xfId="4960" xr:uid="{00000000-0005-0000-0000-00003F0C0000}"/>
    <cellStyle name="20% - Accent6 6 3 11" xfId="4961" xr:uid="{00000000-0005-0000-0000-0000400C0000}"/>
    <cellStyle name="20% - Accent6 6 3 11 2" xfId="4962" xr:uid="{00000000-0005-0000-0000-0000410C0000}"/>
    <cellStyle name="20% - Accent6 6 3 11 2 2" xfId="4963" xr:uid="{00000000-0005-0000-0000-0000420C0000}"/>
    <cellStyle name="20% - Accent6 6 3 11 3" xfId="4964" xr:uid="{00000000-0005-0000-0000-0000430C0000}"/>
    <cellStyle name="20% - Accent6 6 3 12" xfId="4965" xr:uid="{00000000-0005-0000-0000-0000440C0000}"/>
    <cellStyle name="20% - Accent6 6 3 12 2" xfId="4966" xr:uid="{00000000-0005-0000-0000-0000450C0000}"/>
    <cellStyle name="20% - Accent6 6 3 13" xfId="4967" xr:uid="{00000000-0005-0000-0000-0000460C0000}"/>
    <cellStyle name="20% - Accent6 6 3 14" xfId="4968" xr:uid="{00000000-0005-0000-0000-0000470C0000}"/>
    <cellStyle name="20% - Accent6 6 3 15" xfId="4956" xr:uid="{00000000-0005-0000-0000-0000480C0000}"/>
    <cellStyle name="20% - Accent6 6 3 2" xfId="828" xr:uid="{00000000-0005-0000-0000-0000490C0000}"/>
    <cellStyle name="20% - Accent6 6 3 2 10" xfId="4970" xr:uid="{00000000-0005-0000-0000-00004A0C0000}"/>
    <cellStyle name="20% - Accent6 6 3 2 11" xfId="4969" xr:uid="{00000000-0005-0000-0000-00004B0C0000}"/>
    <cellStyle name="20% - Accent6 6 3 2 2" xfId="1586" xr:uid="{00000000-0005-0000-0000-00004C0C0000}"/>
    <cellStyle name="20% - Accent6 6 3 2 2 2" xfId="4972" xr:uid="{00000000-0005-0000-0000-00004D0C0000}"/>
    <cellStyle name="20% - Accent6 6 3 2 2 2 2" xfId="4973" xr:uid="{00000000-0005-0000-0000-00004E0C0000}"/>
    <cellStyle name="20% - Accent6 6 3 2 2 2 2 2" xfId="4974" xr:uid="{00000000-0005-0000-0000-00004F0C0000}"/>
    <cellStyle name="20% - Accent6 6 3 2 2 2 2 2 2" xfId="4975" xr:uid="{00000000-0005-0000-0000-0000500C0000}"/>
    <cellStyle name="20% - Accent6 6 3 2 2 2 2 3" xfId="4976" xr:uid="{00000000-0005-0000-0000-0000510C0000}"/>
    <cellStyle name="20% - Accent6 6 3 2 2 2 3" xfId="4977" xr:uid="{00000000-0005-0000-0000-0000520C0000}"/>
    <cellStyle name="20% - Accent6 6 3 2 2 2 3 2" xfId="4978" xr:uid="{00000000-0005-0000-0000-0000530C0000}"/>
    <cellStyle name="20% - Accent6 6 3 2 2 2 4" xfId="4979" xr:uid="{00000000-0005-0000-0000-0000540C0000}"/>
    <cellStyle name="20% - Accent6 6 3 2 2 3" xfId="4980" xr:uid="{00000000-0005-0000-0000-0000550C0000}"/>
    <cellStyle name="20% - Accent6 6 3 2 2 3 2" xfId="4981" xr:uid="{00000000-0005-0000-0000-0000560C0000}"/>
    <cellStyle name="20% - Accent6 6 3 2 2 3 2 2" xfId="4982" xr:uid="{00000000-0005-0000-0000-0000570C0000}"/>
    <cellStyle name="20% - Accent6 6 3 2 2 3 2 2 2" xfId="4983" xr:uid="{00000000-0005-0000-0000-0000580C0000}"/>
    <cellStyle name="20% - Accent6 6 3 2 2 3 2 3" xfId="4984" xr:uid="{00000000-0005-0000-0000-0000590C0000}"/>
    <cellStyle name="20% - Accent6 6 3 2 2 3 3" xfId="4985" xr:uid="{00000000-0005-0000-0000-00005A0C0000}"/>
    <cellStyle name="20% - Accent6 6 3 2 2 3 3 2" xfId="4986" xr:uid="{00000000-0005-0000-0000-00005B0C0000}"/>
    <cellStyle name="20% - Accent6 6 3 2 2 3 4" xfId="4987" xr:uid="{00000000-0005-0000-0000-00005C0C0000}"/>
    <cellStyle name="20% - Accent6 6 3 2 2 4" xfId="4988" xr:uid="{00000000-0005-0000-0000-00005D0C0000}"/>
    <cellStyle name="20% - Accent6 6 3 2 2 4 2" xfId="4989" xr:uid="{00000000-0005-0000-0000-00005E0C0000}"/>
    <cellStyle name="20% - Accent6 6 3 2 2 4 2 2" xfId="4990" xr:uid="{00000000-0005-0000-0000-00005F0C0000}"/>
    <cellStyle name="20% - Accent6 6 3 2 2 4 3" xfId="4991" xr:uid="{00000000-0005-0000-0000-0000600C0000}"/>
    <cellStyle name="20% - Accent6 6 3 2 2 5" xfId="4992" xr:uid="{00000000-0005-0000-0000-0000610C0000}"/>
    <cellStyle name="20% - Accent6 6 3 2 2 5 2" xfId="4993" xr:uid="{00000000-0005-0000-0000-0000620C0000}"/>
    <cellStyle name="20% - Accent6 6 3 2 2 6" xfId="4994" xr:uid="{00000000-0005-0000-0000-0000630C0000}"/>
    <cellStyle name="20% - Accent6 6 3 2 2 7" xfId="4971" xr:uid="{00000000-0005-0000-0000-0000640C0000}"/>
    <cellStyle name="20% - Accent6 6 3 2 3" xfId="4995" xr:uid="{00000000-0005-0000-0000-0000650C0000}"/>
    <cellStyle name="20% - Accent6 6 3 2 3 2" xfId="4996" xr:uid="{00000000-0005-0000-0000-0000660C0000}"/>
    <cellStyle name="20% - Accent6 6 3 2 3 2 2" xfId="4997" xr:uid="{00000000-0005-0000-0000-0000670C0000}"/>
    <cellStyle name="20% - Accent6 6 3 2 3 2 2 2" xfId="4998" xr:uid="{00000000-0005-0000-0000-0000680C0000}"/>
    <cellStyle name="20% - Accent6 6 3 2 3 2 2 2 2" xfId="4999" xr:uid="{00000000-0005-0000-0000-0000690C0000}"/>
    <cellStyle name="20% - Accent6 6 3 2 3 2 2 3" xfId="5000" xr:uid="{00000000-0005-0000-0000-00006A0C0000}"/>
    <cellStyle name="20% - Accent6 6 3 2 3 2 3" xfId="5001" xr:uid="{00000000-0005-0000-0000-00006B0C0000}"/>
    <cellStyle name="20% - Accent6 6 3 2 3 2 3 2" xfId="5002" xr:uid="{00000000-0005-0000-0000-00006C0C0000}"/>
    <cellStyle name="20% - Accent6 6 3 2 3 2 4" xfId="5003" xr:uid="{00000000-0005-0000-0000-00006D0C0000}"/>
    <cellStyle name="20% - Accent6 6 3 2 3 3" xfId="5004" xr:uid="{00000000-0005-0000-0000-00006E0C0000}"/>
    <cellStyle name="20% - Accent6 6 3 2 3 3 2" xfId="5005" xr:uid="{00000000-0005-0000-0000-00006F0C0000}"/>
    <cellStyle name="20% - Accent6 6 3 2 3 3 2 2" xfId="5006" xr:uid="{00000000-0005-0000-0000-0000700C0000}"/>
    <cellStyle name="20% - Accent6 6 3 2 3 3 3" xfId="5007" xr:uid="{00000000-0005-0000-0000-0000710C0000}"/>
    <cellStyle name="20% - Accent6 6 3 2 3 4" xfId="5008" xr:uid="{00000000-0005-0000-0000-0000720C0000}"/>
    <cellStyle name="20% - Accent6 6 3 2 3 4 2" xfId="5009" xr:uid="{00000000-0005-0000-0000-0000730C0000}"/>
    <cellStyle name="20% - Accent6 6 3 2 3 5" xfId="5010" xr:uid="{00000000-0005-0000-0000-0000740C0000}"/>
    <cellStyle name="20% - Accent6 6 3 2 4" xfId="5011" xr:uid="{00000000-0005-0000-0000-0000750C0000}"/>
    <cellStyle name="20% - Accent6 6 3 2 4 2" xfId="5012" xr:uid="{00000000-0005-0000-0000-0000760C0000}"/>
    <cellStyle name="20% - Accent6 6 3 2 4 2 2" xfId="5013" xr:uid="{00000000-0005-0000-0000-0000770C0000}"/>
    <cellStyle name="20% - Accent6 6 3 2 4 2 2 2" xfId="5014" xr:uid="{00000000-0005-0000-0000-0000780C0000}"/>
    <cellStyle name="20% - Accent6 6 3 2 4 2 2 2 2" xfId="5015" xr:uid="{00000000-0005-0000-0000-0000790C0000}"/>
    <cellStyle name="20% - Accent6 6 3 2 4 2 2 3" xfId="5016" xr:uid="{00000000-0005-0000-0000-00007A0C0000}"/>
    <cellStyle name="20% - Accent6 6 3 2 4 2 3" xfId="5017" xr:uid="{00000000-0005-0000-0000-00007B0C0000}"/>
    <cellStyle name="20% - Accent6 6 3 2 4 2 3 2" xfId="5018" xr:uid="{00000000-0005-0000-0000-00007C0C0000}"/>
    <cellStyle name="20% - Accent6 6 3 2 4 2 4" xfId="5019" xr:uid="{00000000-0005-0000-0000-00007D0C0000}"/>
    <cellStyle name="20% - Accent6 6 3 2 4 3" xfId="5020" xr:uid="{00000000-0005-0000-0000-00007E0C0000}"/>
    <cellStyle name="20% - Accent6 6 3 2 4 3 2" xfId="5021" xr:uid="{00000000-0005-0000-0000-00007F0C0000}"/>
    <cellStyle name="20% - Accent6 6 3 2 4 3 2 2" xfId="5022" xr:uid="{00000000-0005-0000-0000-0000800C0000}"/>
    <cellStyle name="20% - Accent6 6 3 2 4 3 3" xfId="5023" xr:uid="{00000000-0005-0000-0000-0000810C0000}"/>
    <cellStyle name="20% - Accent6 6 3 2 4 4" xfId="5024" xr:uid="{00000000-0005-0000-0000-0000820C0000}"/>
    <cellStyle name="20% - Accent6 6 3 2 4 4 2" xfId="5025" xr:uid="{00000000-0005-0000-0000-0000830C0000}"/>
    <cellStyle name="20% - Accent6 6 3 2 4 5" xfId="5026" xr:uid="{00000000-0005-0000-0000-0000840C0000}"/>
    <cellStyle name="20% - Accent6 6 3 2 5" xfId="5027" xr:uid="{00000000-0005-0000-0000-0000850C0000}"/>
    <cellStyle name="20% - Accent6 6 3 2 5 2" xfId="5028" xr:uid="{00000000-0005-0000-0000-0000860C0000}"/>
    <cellStyle name="20% - Accent6 6 3 2 5 2 2" xfId="5029" xr:uid="{00000000-0005-0000-0000-0000870C0000}"/>
    <cellStyle name="20% - Accent6 6 3 2 5 2 2 2" xfId="5030" xr:uid="{00000000-0005-0000-0000-0000880C0000}"/>
    <cellStyle name="20% - Accent6 6 3 2 5 2 3" xfId="5031" xr:uid="{00000000-0005-0000-0000-0000890C0000}"/>
    <cellStyle name="20% - Accent6 6 3 2 5 3" xfId="5032" xr:uid="{00000000-0005-0000-0000-00008A0C0000}"/>
    <cellStyle name="20% - Accent6 6 3 2 5 3 2" xfId="5033" xr:uid="{00000000-0005-0000-0000-00008B0C0000}"/>
    <cellStyle name="20% - Accent6 6 3 2 5 4" xfId="5034" xr:uid="{00000000-0005-0000-0000-00008C0C0000}"/>
    <cellStyle name="20% - Accent6 6 3 2 6" xfId="5035" xr:uid="{00000000-0005-0000-0000-00008D0C0000}"/>
    <cellStyle name="20% - Accent6 6 3 2 6 2" xfId="5036" xr:uid="{00000000-0005-0000-0000-00008E0C0000}"/>
    <cellStyle name="20% - Accent6 6 3 2 6 2 2" xfId="5037" xr:uid="{00000000-0005-0000-0000-00008F0C0000}"/>
    <cellStyle name="20% - Accent6 6 3 2 6 2 2 2" xfId="5038" xr:uid="{00000000-0005-0000-0000-0000900C0000}"/>
    <cellStyle name="20% - Accent6 6 3 2 6 2 3" xfId="5039" xr:uid="{00000000-0005-0000-0000-0000910C0000}"/>
    <cellStyle name="20% - Accent6 6 3 2 6 3" xfId="5040" xr:uid="{00000000-0005-0000-0000-0000920C0000}"/>
    <cellStyle name="20% - Accent6 6 3 2 6 3 2" xfId="5041" xr:uid="{00000000-0005-0000-0000-0000930C0000}"/>
    <cellStyle name="20% - Accent6 6 3 2 6 4" xfId="5042" xr:uid="{00000000-0005-0000-0000-0000940C0000}"/>
    <cellStyle name="20% - Accent6 6 3 2 7" xfId="5043" xr:uid="{00000000-0005-0000-0000-0000950C0000}"/>
    <cellStyle name="20% - Accent6 6 3 2 7 2" xfId="5044" xr:uid="{00000000-0005-0000-0000-0000960C0000}"/>
    <cellStyle name="20% - Accent6 6 3 2 7 2 2" xfId="5045" xr:uid="{00000000-0005-0000-0000-0000970C0000}"/>
    <cellStyle name="20% - Accent6 6 3 2 7 2 2 2" xfId="5046" xr:uid="{00000000-0005-0000-0000-0000980C0000}"/>
    <cellStyle name="20% - Accent6 6 3 2 7 2 3" xfId="5047" xr:uid="{00000000-0005-0000-0000-0000990C0000}"/>
    <cellStyle name="20% - Accent6 6 3 2 7 3" xfId="5048" xr:uid="{00000000-0005-0000-0000-00009A0C0000}"/>
    <cellStyle name="20% - Accent6 6 3 2 7 3 2" xfId="5049" xr:uid="{00000000-0005-0000-0000-00009B0C0000}"/>
    <cellStyle name="20% - Accent6 6 3 2 7 4" xfId="5050" xr:uid="{00000000-0005-0000-0000-00009C0C0000}"/>
    <cellStyle name="20% - Accent6 6 3 2 8" xfId="5051" xr:uid="{00000000-0005-0000-0000-00009D0C0000}"/>
    <cellStyle name="20% - Accent6 6 3 2 8 2" xfId="5052" xr:uid="{00000000-0005-0000-0000-00009E0C0000}"/>
    <cellStyle name="20% - Accent6 6 3 2 8 2 2" xfId="5053" xr:uid="{00000000-0005-0000-0000-00009F0C0000}"/>
    <cellStyle name="20% - Accent6 6 3 2 8 3" xfId="5054" xr:uid="{00000000-0005-0000-0000-0000A00C0000}"/>
    <cellStyle name="20% - Accent6 6 3 2 9" xfId="5055" xr:uid="{00000000-0005-0000-0000-0000A10C0000}"/>
    <cellStyle name="20% - Accent6 6 3 2 9 2" xfId="5056" xr:uid="{00000000-0005-0000-0000-0000A20C0000}"/>
    <cellStyle name="20% - Accent6 6 3 3" xfId="1261" xr:uid="{00000000-0005-0000-0000-0000A30C0000}"/>
    <cellStyle name="20% - Accent6 6 3 3 2" xfId="5058" xr:uid="{00000000-0005-0000-0000-0000A40C0000}"/>
    <cellStyle name="20% - Accent6 6 3 3 2 2" xfId="5059" xr:uid="{00000000-0005-0000-0000-0000A50C0000}"/>
    <cellStyle name="20% - Accent6 6 3 3 2 2 2" xfId="5060" xr:uid="{00000000-0005-0000-0000-0000A60C0000}"/>
    <cellStyle name="20% - Accent6 6 3 3 2 2 2 2" xfId="5061" xr:uid="{00000000-0005-0000-0000-0000A70C0000}"/>
    <cellStyle name="20% - Accent6 6 3 3 2 2 3" xfId="5062" xr:uid="{00000000-0005-0000-0000-0000A80C0000}"/>
    <cellStyle name="20% - Accent6 6 3 3 2 3" xfId="5063" xr:uid="{00000000-0005-0000-0000-0000A90C0000}"/>
    <cellStyle name="20% - Accent6 6 3 3 2 3 2" xfId="5064" xr:uid="{00000000-0005-0000-0000-0000AA0C0000}"/>
    <cellStyle name="20% - Accent6 6 3 3 2 4" xfId="5065" xr:uid="{00000000-0005-0000-0000-0000AB0C0000}"/>
    <cellStyle name="20% - Accent6 6 3 3 3" xfId="5066" xr:uid="{00000000-0005-0000-0000-0000AC0C0000}"/>
    <cellStyle name="20% - Accent6 6 3 3 3 2" xfId="5067" xr:uid="{00000000-0005-0000-0000-0000AD0C0000}"/>
    <cellStyle name="20% - Accent6 6 3 3 3 2 2" xfId="5068" xr:uid="{00000000-0005-0000-0000-0000AE0C0000}"/>
    <cellStyle name="20% - Accent6 6 3 3 3 2 2 2" xfId="5069" xr:uid="{00000000-0005-0000-0000-0000AF0C0000}"/>
    <cellStyle name="20% - Accent6 6 3 3 3 2 3" xfId="5070" xr:uid="{00000000-0005-0000-0000-0000B00C0000}"/>
    <cellStyle name="20% - Accent6 6 3 3 3 3" xfId="5071" xr:uid="{00000000-0005-0000-0000-0000B10C0000}"/>
    <cellStyle name="20% - Accent6 6 3 3 3 3 2" xfId="5072" xr:uid="{00000000-0005-0000-0000-0000B20C0000}"/>
    <cellStyle name="20% - Accent6 6 3 3 3 4" xfId="5073" xr:uid="{00000000-0005-0000-0000-0000B30C0000}"/>
    <cellStyle name="20% - Accent6 6 3 3 4" xfId="5074" xr:uid="{00000000-0005-0000-0000-0000B40C0000}"/>
    <cellStyle name="20% - Accent6 6 3 3 4 2" xfId="5075" xr:uid="{00000000-0005-0000-0000-0000B50C0000}"/>
    <cellStyle name="20% - Accent6 6 3 3 4 2 2" xfId="5076" xr:uid="{00000000-0005-0000-0000-0000B60C0000}"/>
    <cellStyle name="20% - Accent6 6 3 3 4 3" xfId="5077" xr:uid="{00000000-0005-0000-0000-0000B70C0000}"/>
    <cellStyle name="20% - Accent6 6 3 3 5" xfId="5078" xr:uid="{00000000-0005-0000-0000-0000B80C0000}"/>
    <cellStyle name="20% - Accent6 6 3 3 5 2" xfId="5079" xr:uid="{00000000-0005-0000-0000-0000B90C0000}"/>
    <cellStyle name="20% - Accent6 6 3 3 6" xfId="5080" xr:uid="{00000000-0005-0000-0000-0000BA0C0000}"/>
    <cellStyle name="20% - Accent6 6 3 3 7" xfId="5057" xr:uid="{00000000-0005-0000-0000-0000BB0C0000}"/>
    <cellStyle name="20% - Accent6 6 3 4" xfId="5081" xr:uid="{00000000-0005-0000-0000-0000BC0C0000}"/>
    <cellStyle name="20% - Accent6 6 3 4 2" xfId="5082" xr:uid="{00000000-0005-0000-0000-0000BD0C0000}"/>
    <cellStyle name="20% - Accent6 6 3 4 2 2" xfId="5083" xr:uid="{00000000-0005-0000-0000-0000BE0C0000}"/>
    <cellStyle name="20% - Accent6 6 3 4 2 2 2" xfId="5084" xr:uid="{00000000-0005-0000-0000-0000BF0C0000}"/>
    <cellStyle name="20% - Accent6 6 3 4 2 2 2 2" xfId="5085" xr:uid="{00000000-0005-0000-0000-0000C00C0000}"/>
    <cellStyle name="20% - Accent6 6 3 4 2 2 3" xfId="5086" xr:uid="{00000000-0005-0000-0000-0000C10C0000}"/>
    <cellStyle name="20% - Accent6 6 3 4 2 3" xfId="5087" xr:uid="{00000000-0005-0000-0000-0000C20C0000}"/>
    <cellStyle name="20% - Accent6 6 3 4 2 3 2" xfId="5088" xr:uid="{00000000-0005-0000-0000-0000C30C0000}"/>
    <cellStyle name="20% - Accent6 6 3 4 2 4" xfId="5089" xr:uid="{00000000-0005-0000-0000-0000C40C0000}"/>
    <cellStyle name="20% - Accent6 6 3 4 3" xfId="5090" xr:uid="{00000000-0005-0000-0000-0000C50C0000}"/>
    <cellStyle name="20% - Accent6 6 3 4 3 2" xfId="5091" xr:uid="{00000000-0005-0000-0000-0000C60C0000}"/>
    <cellStyle name="20% - Accent6 6 3 4 3 2 2" xfId="5092" xr:uid="{00000000-0005-0000-0000-0000C70C0000}"/>
    <cellStyle name="20% - Accent6 6 3 4 3 3" xfId="5093" xr:uid="{00000000-0005-0000-0000-0000C80C0000}"/>
    <cellStyle name="20% - Accent6 6 3 4 4" xfId="5094" xr:uid="{00000000-0005-0000-0000-0000C90C0000}"/>
    <cellStyle name="20% - Accent6 6 3 4 4 2" xfId="5095" xr:uid="{00000000-0005-0000-0000-0000CA0C0000}"/>
    <cellStyle name="20% - Accent6 6 3 4 5" xfId="5096" xr:uid="{00000000-0005-0000-0000-0000CB0C0000}"/>
    <cellStyle name="20% - Accent6 6 3 5" xfId="5097" xr:uid="{00000000-0005-0000-0000-0000CC0C0000}"/>
    <cellStyle name="20% - Accent6 6 3 5 2" xfId="5098" xr:uid="{00000000-0005-0000-0000-0000CD0C0000}"/>
    <cellStyle name="20% - Accent6 6 3 5 2 2" xfId="5099" xr:uid="{00000000-0005-0000-0000-0000CE0C0000}"/>
    <cellStyle name="20% - Accent6 6 3 5 2 2 2" xfId="5100" xr:uid="{00000000-0005-0000-0000-0000CF0C0000}"/>
    <cellStyle name="20% - Accent6 6 3 5 2 2 2 2" xfId="5101" xr:uid="{00000000-0005-0000-0000-0000D00C0000}"/>
    <cellStyle name="20% - Accent6 6 3 5 2 2 3" xfId="5102" xr:uid="{00000000-0005-0000-0000-0000D10C0000}"/>
    <cellStyle name="20% - Accent6 6 3 5 2 3" xfId="5103" xr:uid="{00000000-0005-0000-0000-0000D20C0000}"/>
    <cellStyle name="20% - Accent6 6 3 5 2 3 2" xfId="5104" xr:uid="{00000000-0005-0000-0000-0000D30C0000}"/>
    <cellStyle name="20% - Accent6 6 3 5 2 4" xfId="5105" xr:uid="{00000000-0005-0000-0000-0000D40C0000}"/>
    <cellStyle name="20% - Accent6 6 3 5 3" xfId="5106" xr:uid="{00000000-0005-0000-0000-0000D50C0000}"/>
    <cellStyle name="20% - Accent6 6 3 5 3 2" xfId="5107" xr:uid="{00000000-0005-0000-0000-0000D60C0000}"/>
    <cellStyle name="20% - Accent6 6 3 5 3 2 2" xfId="5108" xr:uid="{00000000-0005-0000-0000-0000D70C0000}"/>
    <cellStyle name="20% - Accent6 6 3 5 3 3" xfId="5109" xr:uid="{00000000-0005-0000-0000-0000D80C0000}"/>
    <cellStyle name="20% - Accent6 6 3 5 4" xfId="5110" xr:uid="{00000000-0005-0000-0000-0000D90C0000}"/>
    <cellStyle name="20% - Accent6 6 3 5 4 2" xfId="5111" xr:uid="{00000000-0005-0000-0000-0000DA0C0000}"/>
    <cellStyle name="20% - Accent6 6 3 5 5" xfId="5112" xr:uid="{00000000-0005-0000-0000-0000DB0C0000}"/>
    <cellStyle name="20% - Accent6 6 3 6" xfId="5113" xr:uid="{00000000-0005-0000-0000-0000DC0C0000}"/>
    <cellStyle name="20% - Accent6 6 3 6 2" xfId="5114" xr:uid="{00000000-0005-0000-0000-0000DD0C0000}"/>
    <cellStyle name="20% - Accent6 6 3 6 2 2" xfId="5115" xr:uid="{00000000-0005-0000-0000-0000DE0C0000}"/>
    <cellStyle name="20% - Accent6 6 3 6 2 2 2" xfId="5116" xr:uid="{00000000-0005-0000-0000-0000DF0C0000}"/>
    <cellStyle name="20% - Accent6 6 3 6 2 3" xfId="5117" xr:uid="{00000000-0005-0000-0000-0000E00C0000}"/>
    <cellStyle name="20% - Accent6 6 3 6 3" xfId="5118" xr:uid="{00000000-0005-0000-0000-0000E10C0000}"/>
    <cellStyle name="20% - Accent6 6 3 6 3 2" xfId="5119" xr:uid="{00000000-0005-0000-0000-0000E20C0000}"/>
    <cellStyle name="20% - Accent6 6 3 6 4" xfId="5120" xr:uid="{00000000-0005-0000-0000-0000E30C0000}"/>
    <cellStyle name="20% - Accent6 6 3 7" xfId="5121" xr:uid="{00000000-0005-0000-0000-0000E40C0000}"/>
    <cellStyle name="20% - Accent6 6 3 7 2" xfId="5122" xr:uid="{00000000-0005-0000-0000-0000E50C0000}"/>
    <cellStyle name="20% - Accent6 6 3 7 2 2" xfId="5123" xr:uid="{00000000-0005-0000-0000-0000E60C0000}"/>
    <cellStyle name="20% - Accent6 6 3 7 2 2 2" xfId="5124" xr:uid="{00000000-0005-0000-0000-0000E70C0000}"/>
    <cellStyle name="20% - Accent6 6 3 7 2 3" xfId="5125" xr:uid="{00000000-0005-0000-0000-0000E80C0000}"/>
    <cellStyle name="20% - Accent6 6 3 7 3" xfId="5126" xr:uid="{00000000-0005-0000-0000-0000E90C0000}"/>
    <cellStyle name="20% - Accent6 6 3 7 3 2" xfId="5127" xr:uid="{00000000-0005-0000-0000-0000EA0C0000}"/>
    <cellStyle name="20% - Accent6 6 3 7 4" xfId="5128" xr:uid="{00000000-0005-0000-0000-0000EB0C0000}"/>
    <cellStyle name="20% - Accent6 6 3 8" xfId="5129" xr:uid="{00000000-0005-0000-0000-0000EC0C0000}"/>
    <cellStyle name="20% - Accent6 6 3 8 2" xfId="5130" xr:uid="{00000000-0005-0000-0000-0000ED0C0000}"/>
    <cellStyle name="20% - Accent6 6 3 8 2 2" xfId="5131" xr:uid="{00000000-0005-0000-0000-0000EE0C0000}"/>
    <cellStyle name="20% - Accent6 6 3 8 2 2 2" xfId="5132" xr:uid="{00000000-0005-0000-0000-0000EF0C0000}"/>
    <cellStyle name="20% - Accent6 6 3 8 2 3" xfId="5133" xr:uid="{00000000-0005-0000-0000-0000F00C0000}"/>
    <cellStyle name="20% - Accent6 6 3 8 3" xfId="5134" xr:uid="{00000000-0005-0000-0000-0000F10C0000}"/>
    <cellStyle name="20% - Accent6 6 3 8 3 2" xfId="5135" xr:uid="{00000000-0005-0000-0000-0000F20C0000}"/>
    <cellStyle name="20% - Accent6 6 3 8 4" xfId="5136" xr:uid="{00000000-0005-0000-0000-0000F30C0000}"/>
    <cellStyle name="20% - Accent6 6 3 9" xfId="5137" xr:uid="{00000000-0005-0000-0000-0000F40C0000}"/>
    <cellStyle name="20% - Accent6 6 3 9 2" xfId="5138" xr:uid="{00000000-0005-0000-0000-0000F50C0000}"/>
    <cellStyle name="20% - Accent6 6 3 9 2 2" xfId="5139" xr:uid="{00000000-0005-0000-0000-0000F60C0000}"/>
    <cellStyle name="20% - Accent6 6 3 9 3" xfId="5140" xr:uid="{00000000-0005-0000-0000-0000F70C0000}"/>
    <cellStyle name="20% - Accent6 6 4" xfId="826" xr:uid="{00000000-0005-0000-0000-0000F80C0000}"/>
    <cellStyle name="20% - Accent6 6 4 10" xfId="5142" xr:uid="{00000000-0005-0000-0000-0000F90C0000}"/>
    <cellStyle name="20% - Accent6 6 4 11" xfId="5141" xr:uid="{00000000-0005-0000-0000-0000FA0C0000}"/>
    <cellStyle name="20% - Accent6 6 4 2" xfId="1584" xr:uid="{00000000-0005-0000-0000-0000FB0C0000}"/>
    <cellStyle name="20% - Accent6 6 4 2 2" xfId="5144" xr:uid="{00000000-0005-0000-0000-0000FC0C0000}"/>
    <cellStyle name="20% - Accent6 6 4 2 2 2" xfId="5145" xr:uid="{00000000-0005-0000-0000-0000FD0C0000}"/>
    <cellStyle name="20% - Accent6 6 4 2 2 2 2" xfId="5146" xr:uid="{00000000-0005-0000-0000-0000FE0C0000}"/>
    <cellStyle name="20% - Accent6 6 4 2 2 2 2 2" xfId="5147" xr:uid="{00000000-0005-0000-0000-0000FF0C0000}"/>
    <cellStyle name="20% - Accent6 6 4 2 2 2 3" xfId="5148" xr:uid="{00000000-0005-0000-0000-0000000D0000}"/>
    <cellStyle name="20% - Accent6 6 4 2 2 3" xfId="5149" xr:uid="{00000000-0005-0000-0000-0000010D0000}"/>
    <cellStyle name="20% - Accent6 6 4 2 2 3 2" xfId="5150" xr:uid="{00000000-0005-0000-0000-0000020D0000}"/>
    <cellStyle name="20% - Accent6 6 4 2 2 4" xfId="5151" xr:uid="{00000000-0005-0000-0000-0000030D0000}"/>
    <cellStyle name="20% - Accent6 6 4 2 3" xfId="5152" xr:uid="{00000000-0005-0000-0000-0000040D0000}"/>
    <cellStyle name="20% - Accent6 6 4 2 3 2" xfId="5153" xr:uid="{00000000-0005-0000-0000-0000050D0000}"/>
    <cellStyle name="20% - Accent6 6 4 2 3 2 2" xfId="5154" xr:uid="{00000000-0005-0000-0000-0000060D0000}"/>
    <cellStyle name="20% - Accent6 6 4 2 3 2 2 2" xfId="5155" xr:uid="{00000000-0005-0000-0000-0000070D0000}"/>
    <cellStyle name="20% - Accent6 6 4 2 3 2 3" xfId="5156" xr:uid="{00000000-0005-0000-0000-0000080D0000}"/>
    <cellStyle name="20% - Accent6 6 4 2 3 3" xfId="5157" xr:uid="{00000000-0005-0000-0000-0000090D0000}"/>
    <cellStyle name="20% - Accent6 6 4 2 3 3 2" xfId="5158" xr:uid="{00000000-0005-0000-0000-00000A0D0000}"/>
    <cellStyle name="20% - Accent6 6 4 2 3 4" xfId="5159" xr:uid="{00000000-0005-0000-0000-00000B0D0000}"/>
    <cellStyle name="20% - Accent6 6 4 2 4" xfId="5160" xr:uid="{00000000-0005-0000-0000-00000C0D0000}"/>
    <cellStyle name="20% - Accent6 6 4 2 4 2" xfId="5161" xr:uid="{00000000-0005-0000-0000-00000D0D0000}"/>
    <cellStyle name="20% - Accent6 6 4 2 4 2 2" xfId="5162" xr:uid="{00000000-0005-0000-0000-00000E0D0000}"/>
    <cellStyle name="20% - Accent6 6 4 2 4 3" xfId="5163" xr:uid="{00000000-0005-0000-0000-00000F0D0000}"/>
    <cellStyle name="20% - Accent6 6 4 2 5" xfId="5164" xr:uid="{00000000-0005-0000-0000-0000100D0000}"/>
    <cellStyle name="20% - Accent6 6 4 2 5 2" xfId="5165" xr:uid="{00000000-0005-0000-0000-0000110D0000}"/>
    <cellStyle name="20% - Accent6 6 4 2 6" xfId="5166" xr:uid="{00000000-0005-0000-0000-0000120D0000}"/>
    <cellStyle name="20% - Accent6 6 4 2 7" xfId="5143" xr:uid="{00000000-0005-0000-0000-0000130D0000}"/>
    <cellStyle name="20% - Accent6 6 4 3" xfId="5167" xr:uid="{00000000-0005-0000-0000-0000140D0000}"/>
    <cellStyle name="20% - Accent6 6 4 3 2" xfId="5168" xr:uid="{00000000-0005-0000-0000-0000150D0000}"/>
    <cellStyle name="20% - Accent6 6 4 3 2 2" xfId="5169" xr:uid="{00000000-0005-0000-0000-0000160D0000}"/>
    <cellStyle name="20% - Accent6 6 4 3 2 2 2" xfId="5170" xr:uid="{00000000-0005-0000-0000-0000170D0000}"/>
    <cellStyle name="20% - Accent6 6 4 3 2 2 2 2" xfId="5171" xr:uid="{00000000-0005-0000-0000-0000180D0000}"/>
    <cellStyle name="20% - Accent6 6 4 3 2 2 3" xfId="5172" xr:uid="{00000000-0005-0000-0000-0000190D0000}"/>
    <cellStyle name="20% - Accent6 6 4 3 2 3" xfId="5173" xr:uid="{00000000-0005-0000-0000-00001A0D0000}"/>
    <cellStyle name="20% - Accent6 6 4 3 2 3 2" xfId="5174" xr:uid="{00000000-0005-0000-0000-00001B0D0000}"/>
    <cellStyle name="20% - Accent6 6 4 3 2 4" xfId="5175" xr:uid="{00000000-0005-0000-0000-00001C0D0000}"/>
    <cellStyle name="20% - Accent6 6 4 3 3" xfId="5176" xr:uid="{00000000-0005-0000-0000-00001D0D0000}"/>
    <cellStyle name="20% - Accent6 6 4 3 3 2" xfId="5177" xr:uid="{00000000-0005-0000-0000-00001E0D0000}"/>
    <cellStyle name="20% - Accent6 6 4 3 3 2 2" xfId="5178" xr:uid="{00000000-0005-0000-0000-00001F0D0000}"/>
    <cellStyle name="20% - Accent6 6 4 3 3 3" xfId="5179" xr:uid="{00000000-0005-0000-0000-0000200D0000}"/>
    <cellStyle name="20% - Accent6 6 4 3 4" xfId="5180" xr:uid="{00000000-0005-0000-0000-0000210D0000}"/>
    <cellStyle name="20% - Accent6 6 4 3 4 2" xfId="5181" xr:uid="{00000000-0005-0000-0000-0000220D0000}"/>
    <cellStyle name="20% - Accent6 6 4 3 5" xfId="5182" xr:uid="{00000000-0005-0000-0000-0000230D0000}"/>
    <cellStyle name="20% - Accent6 6 4 4" xfId="5183" xr:uid="{00000000-0005-0000-0000-0000240D0000}"/>
    <cellStyle name="20% - Accent6 6 4 4 2" xfId="5184" xr:uid="{00000000-0005-0000-0000-0000250D0000}"/>
    <cellStyle name="20% - Accent6 6 4 4 2 2" xfId="5185" xr:uid="{00000000-0005-0000-0000-0000260D0000}"/>
    <cellStyle name="20% - Accent6 6 4 4 2 2 2" xfId="5186" xr:uid="{00000000-0005-0000-0000-0000270D0000}"/>
    <cellStyle name="20% - Accent6 6 4 4 2 2 2 2" xfId="5187" xr:uid="{00000000-0005-0000-0000-0000280D0000}"/>
    <cellStyle name="20% - Accent6 6 4 4 2 2 3" xfId="5188" xr:uid="{00000000-0005-0000-0000-0000290D0000}"/>
    <cellStyle name="20% - Accent6 6 4 4 2 3" xfId="5189" xr:uid="{00000000-0005-0000-0000-00002A0D0000}"/>
    <cellStyle name="20% - Accent6 6 4 4 2 3 2" xfId="5190" xr:uid="{00000000-0005-0000-0000-00002B0D0000}"/>
    <cellStyle name="20% - Accent6 6 4 4 2 4" xfId="5191" xr:uid="{00000000-0005-0000-0000-00002C0D0000}"/>
    <cellStyle name="20% - Accent6 6 4 4 3" xfId="5192" xr:uid="{00000000-0005-0000-0000-00002D0D0000}"/>
    <cellStyle name="20% - Accent6 6 4 4 3 2" xfId="5193" xr:uid="{00000000-0005-0000-0000-00002E0D0000}"/>
    <cellStyle name="20% - Accent6 6 4 4 3 2 2" xfId="5194" xr:uid="{00000000-0005-0000-0000-00002F0D0000}"/>
    <cellStyle name="20% - Accent6 6 4 4 3 3" xfId="5195" xr:uid="{00000000-0005-0000-0000-0000300D0000}"/>
    <cellStyle name="20% - Accent6 6 4 4 4" xfId="5196" xr:uid="{00000000-0005-0000-0000-0000310D0000}"/>
    <cellStyle name="20% - Accent6 6 4 4 4 2" xfId="5197" xr:uid="{00000000-0005-0000-0000-0000320D0000}"/>
    <cellStyle name="20% - Accent6 6 4 4 5" xfId="5198" xr:uid="{00000000-0005-0000-0000-0000330D0000}"/>
    <cellStyle name="20% - Accent6 6 4 5" xfId="5199" xr:uid="{00000000-0005-0000-0000-0000340D0000}"/>
    <cellStyle name="20% - Accent6 6 4 5 2" xfId="5200" xr:uid="{00000000-0005-0000-0000-0000350D0000}"/>
    <cellStyle name="20% - Accent6 6 4 5 2 2" xfId="5201" xr:uid="{00000000-0005-0000-0000-0000360D0000}"/>
    <cellStyle name="20% - Accent6 6 4 5 2 2 2" xfId="5202" xr:uid="{00000000-0005-0000-0000-0000370D0000}"/>
    <cellStyle name="20% - Accent6 6 4 5 2 3" xfId="5203" xr:uid="{00000000-0005-0000-0000-0000380D0000}"/>
    <cellStyle name="20% - Accent6 6 4 5 3" xfId="5204" xr:uid="{00000000-0005-0000-0000-0000390D0000}"/>
    <cellStyle name="20% - Accent6 6 4 5 3 2" xfId="5205" xr:uid="{00000000-0005-0000-0000-00003A0D0000}"/>
    <cellStyle name="20% - Accent6 6 4 5 4" xfId="5206" xr:uid="{00000000-0005-0000-0000-00003B0D0000}"/>
    <cellStyle name="20% - Accent6 6 4 6" xfId="5207" xr:uid="{00000000-0005-0000-0000-00003C0D0000}"/>
    <cellStyle name="20% - Accent6 6 4 6 2" xfId="5208" xr:uid="{00000000-0005-0000-0000-00003D0D0000}"/>
    <cellStyle name="20% - Accent6 6 4 6 2 2" xfId="5209" xr:uid="{00000000-0005-0000-0000-00003E0D0000}"/>
    <cellStyle name="20% - Accent6 6 4 6 2 2 2" xfId="5210" xr:uid="{00000000-0005-0000-0000-00003F0D0000}"/>
    <cellStyle name="20% - Accent6 6 4 6 2 3" xfId="5211" xr:uid="{00000000-0005-0000-0000-0000400D0000}"/>
    <cellStyle name="20% - Accent6 6 4 6 3" xfId="5212" xr:uid="{00000000-0005-0000-0000-0000410D0000}"/>
    <cellStyle name="20% - Accent6 6 4 6 3 2" xfId="5213" xr:uid="{00000000-0005-0000-0000-0000420D0000}"/>
    <cellStyle name="20% - Accent6 6 4 6 4" xfId="5214" xr:uid="{00000000-0005-0000-0000-0000430D0000}"/>
    <cellStyle name="20% - Accent6 6 4 7" xfId="5215" xr:uid="{00000000-0005-0000-0000-0000440D0000}"/>
    <cellStyle name="20% - Accent6 6 4 7 2" xfId="5216" xr:uid="{00000000-0005-0000-0000-0000450D0000}"/>
    <cellStyle name="20% - Accent6 6 4 7 2 2" xfId="5217" xr:uid="{00000000-0005-0000-0000-0000460D0000}"/>
    <cellStyle name="20% - Accent6 6 4 7 2 2 2" xfId="5218" xr:uid="{00000000-0005-0000-0000-0000470D0000}"/>
    <cellStyle name="20% - Accent6 6 4 7 2 3" xfId="5219" xr:uid="{00000000-0005-0000-0000-0000480D0000}"/>
    <cellStyle name="20% - Accent6 6 4 7 3" xfId="5220" xr:uid="{00000000-0005-0000-0000-0000490D0000}"/>
    <cellStyle name="20% - Accent6 6 4 7 3 2" xfId="5221" xr:uid="{00000000-0005-0000-0000-00004A0D0000}"/>
    <cellStyle name="20% - Accent6 6 4 7 4" xfId="5222" xr:uid="{00000000-0005-0000-0000-00004B0D0000}"/>
    <cellStyle name="20% - Accent6 6 4 8" xfId="5223" xr:uid="{00000000-0005-0000-0000-00004C0D0000}"/>
    <cellStyle name="20% - Accent6 6 4 8 2" xfId="5224" xr:uid="{00000000-0005-0000-0000-00004D0D0000}"/>
    <cellStyle name="20% - Accent6 6 4 8 2 2" xfId="5225" xr:uid="{00000000-0005-0000-0000-00004E0D0000}"/>
    <cellStyle name="20% - Accent6 6 4 8 3" xfId="5226" xr:uid="{00000000-0005-0000-0000-00004F0D0000}"/>
    <cellStyle name="20% - Accent6 6 4 9" xfId="5227" xr:uid="{00000000-0005-0000-0000-0000500D0000}"/>
    <cellStyle name="20% - Accent6 6 4 9 2" xfId="5228" xr:uid="{00000000-0005-0000-0000-0000510D0000}"/>
    <cellStyle name="20% - Accent6 6 5" xfId="1259" xr:uid="{00000000-0005-0000-0000-0000520D0000}"/>
    <cellStyle name="20% - Accent6 6 5 2" xfId="5230" xr:uid="{00000000-0005-0000-0000-0000530D0000}"/>
    <cellStyle name="20% - Accent6 6 5 2 2" xfId="5231" xr:uid="{00000000-0005-0000-0000-0000540D0000}"/>
    <cellStyle name="20% - Accent6 6 5 2 2 2" xfId="5232" xr:uid="{00000000-0005-0000-0000-0000550D0000}"/>
    <cellStyle name="20% - Accent6 6 5 2 2 2 2" xfId="5233" xr:uid="{00000000-0005-0000-0000-0000560D0000}"/>
    <cellStyle name="20% - Accent6 6 5 2 2 3" xfId="5234" xr:uid="{00000000-0005-0000-0000-0000570D0000}"/>
    <cellStyle name="20% - Accent6 6 5 2 3" xfId="5235" xr:uid="{00000000-0005-0000-0000-0000580D0000}"/>
    <cellStyle name="20% - Accent6 6 5 2 3 2" xfId="5236" xr:uid="{00000000-0005-0000-0000-0000590D0000}"/>
    <cellStyle name="20% - Accent6 6 5 2 4" xfId="5237" xr:uid="{00000000-0005-0000-0000-00005A0D0000}"/>
    <cellStyle name="20% - Accent6 6 5 3" xfId="5238" xr:uid="{00000000-0005-0000-0000-00005B0D0000}"/>
    <cellStyle name="20% - Accent6 6 5 3 2" xfId="5239" xr:uid="{00000000-0005-0000-0000-00005C0D0000}"/>
    <cellStyle name="20% - Accent6 6 5 3 2 2" xfId="5240" xr:uid="{00000000-0005-0000-0000-00005D0D0000}"/>
    <cellStyle name="20% - Accent6 6 5 3 2 2 2" xfId="5241" xr:uid="{00000000-0005-0000-0000-00005E0D0000}"/>
    <cellStyle name="20% - Accent6 6 5 3 2 3" xfId="5242" xr:uid="{00000000-0005-0000-0000-00005F0D0000}"/>
    <cellStyle name="20% - Accent6 6 5 3 3" xfId="5243" xr:uid="{00000000-0005-0000-0000-0000600D0000}"/>
    <cellStyle name="20% - Accent6 6 5 3 3 2" xfId="5244" xr:uid="{00000000-0005-0000-0000-0000610D0000}"/>
    <cellStyle name="20% - Accent6 6 5 3 4" xfId="5245" xr:uid="{00000000-0005-0000-0000-0000620D0000}"/>
    <cellStyle name="20% - Accent6 6 5 4" xfId="5246" xr:uid="{00000000-0005-0000-0000-0000630D0000}"/>
    <cellStyle name="20% - Accent6 6 5 4 2" xfId="5247" xr:uid="{00000000-0005-0000-0000-0000640D0000}"/>
    <cellStyle name="20% - Accent6 6 5 4 2 2" xfId="5248" xr:uid="{00000000-0005-0000-0000-0000650D0000}"/>
    <cellStyle name="20% - Accent6 6 5 4 3" xfId="5249" xr:uid="{00000000-0005-0000-0000-0000660D0000}"/>
    <cellStyle name="20% - Accent6 6 5 5" xfId="5250" xr:uid="{00000000-0005-0000-0000-0000670D0000}"/>
    <cellStyle name="20% - Accent6 6 5 5 2" xfId="5251" xr:uid="{00000000-0005-0000-0000-0000680D0000}"/>
    <cellStyle name="20% - Accent6 6 5 6" xfId="5252" xr:uid="{00000000-0005-0000-0000-0000690D0000}"/>
    <cellStyle name="20% - Accent6 6 5 7" xfId="5229" xr:uid="{00000000-0005-0000-0000-00006A0D0000}"/>
    <cellStyle name="20% - Accent6 6 6" xfId="5253" xr:uid="{00000000-0005-0000-0000-00006B0D0000}"/>
    <cellStyle name="20% - Accent6 6 6 2" xfId="5254" xr:uid="{00000000-0005-0000-0000-00006C0D0000}"/>
    <cellStyle name="20% - Accent6 6 6 2 2" xfId="5255" xr:uid="{00000000-0005-0000-0000-00006D0D0000}"/>
    <cellStyle name="20% - Accent6 6 6 2 2 2" xfId="5256" xr:uid="{00000000-0005-0000-0000-00006E0D0000}"/>
    <cellStyle name="20% - Accent6 6 6 2 2 2 2" xfId="5257" xr:uid="{00000000-0005-0000-0000-00006F0D0000}"/>
    <cellStyle name="20% - Accent6 6 6 2 2 3" xfId="5258" xr:uid="{00000000-0005-0000-0000-0000700D0000}"/>
    <cellStyle name="20% - Accent6 6 6 2 3" xfId="5259" xr:uid="{00000000-0005-0000-0000-0000710D0000}"/>
    <cellStyle name="20% - Accent6 6 6 2 3 2" xfId="5260" xr:uid="{00000000-0005-0000-0000-0000720D0000}"/>
    <cellStyle name="20% - Accent6 6 6 2 4" xfId="5261" xr:uid="{00000000-0005-0000-0000-0000730D0000}"/>
    <cellStyle name="20% - Accent6 6 6 3" xfId="5262" xr:uid="{00000000-0005-0000-0000-0000740D0000}"/>
    <cellStyle name="20% - Accent6 6 6 3 2" xfId="5263" xr:uid="{00000000-0005-0000-0000-0000750D0000}"/>
    <cellStyle name="20% - Accent6 6 6 3 2 2" xfId="5264" xr:uid="{00000000-0005-0000-0000-0000760D0000}"/>
    <cellStyle name="20% - Accent6 6 6 3 3" xfId="5265" xr:uid="{00000000-0005-0000-0000-0000770D0000}"/>
    <cellStyle name="20% - Accent6 6 6 4" xfId="5266" xr:uid="{00000000-0005-0000-0000-0000780D0000}"/>
    <cellStyle name="20% - Accent6 6 6 4 2" xfId="5267" xr:uid="{00000000-0005-0000-0000-0000790D0000}"/>
    <cellStyle name="20% - Accent6 6 6 5" xfId="5268" xr:uid="{00000000-0005-0000-0000-00007A0D0000}"/>
    <cellStyle name="20% - Accent6 6 7" xfId="5269" xr:uid="{00000000-0005-0000-0000-00007B0D0000}"/>
    <cellStyle name="20% - Accent6 6 7 2" xfId="5270" xr:uid="{00000000-0005-0000-0000-00007C0D0000}"/>
    <cellStyle name="20% - Accent6 6 7 2 2" xfId="5271" xr:uid="{00000000-0005-0000-0000-00007D0D0000}"/>
    <cellStyle name="20% - Accent6 6 7 2 2 2" xfId="5272" xr:uid="{00000000-0005-0000-0000-00007E0D0000}"/>
    <cellStyle name="20% - Accent6 6 7 2 2 2 2" xfId="5273" xr:uid="{00000000-0005-0000-0000-00007F0D0000}"/>
    <cellStyle name="20% - Accent6 6 7 2 2 3" xfId="5274" xr:uid="{00000000-0005-0000-0000-0000800D0000}"/>
    <cellStyle name="20% - Accent6 6 7 2 3" xfId="5275" xr:uid="{00000000-0005-0000-0000-0000810D0000}"/>
    <cellStyle name="20% - Accent6 6 7 2 3 2" xfId="5276" xr:uid="{00000000-0005-0000-0000-0000820D0000}"/>
    <cellStyle name="20% - Accent6 6 7 2 4" xfId="5277" xr:uid="{00000000-0005-0000-0000-0000830D0000}"/>
    <cellStyle name="20% - Accent6 6 7 3" xfId="5278" xr:uid="{00000000-0005-0000-0000-0000840D0000}"/>
    <cellStyle name="20% - Accent6 6 7 3 2" xfId="5279" xr:uid="{00000000-0005-0000-0000-0000850D0000}"/>
    <cellStyle name="20% - Accent6 6 7 3 2 2" xfId="5280" xr:uid="{00000000-0005-0000-0000-0000860D0000}"/>
    <cellStyle name="20% - Accent6 6 7 3 3" xfId="5281" xr:uid="{00000000-0005-0000-0000-0000870D0000}"/>
    <cellStyle name="20% - Accent6 6 7 4" xfId="5282" xr:uid="{00000000-0005-0000-0000-0000880D0000}"/>
    <cellStyle name="20% - Accent6 6 7 4 2" xfId="5283" xr:uid="{00000000-0005-0000-0000-0000890D0000}"/>
    <cellStyle name="20% - Accent6 6 7 5" xfId="5284" xr:uid="{00000000-0005-0000-0000-00008A0D0000}"/>
    <cellStyle name="20% - Accent6 6 8" xfId="5285" xr:uid="{00000000-0005-0000-0000-00008B0D0000}"/>
    <cellStyle name="20% - Accent6 6 8 2" xfId="5286" xr:uid="{00000000-0005-0000-0000-00008C0D0000}"/>
    <cellStyle name="20% - Accent6 6 8 2 2" xfId="5287" xr:uid="{00000000-0005-0000-0000-00008D0D0000}"/>
    <cellStyle name="20% - Accent6 6 8 2 2 2" xfId="5288" xr:uid="{00000000-0005-0000-0000-00008E0D0000}"/>
    <cellStyle name="20% - Accent6 6 8 2 3" xfId="5289" xr:uid="{00000000-0005-0000-0000-00008F0D0000}"/>
    <cellStyle name="20% - Accent6 6 8 3" xfId="5290" xr:uid="{00000000-0005-0000-0000-0000900D0000}"/>
    <cellStyle name="20% - Accent6 6 8 3 2" xfId="5291" xr:uid="{00000000-0005-0000-0000-0000910D0000}"/>
    <cellStyle name="20% - Accent6 6 8 4" xfId="5292" xr:uid="{00000000-0005-0000-0000-0000920D0000}"/>
    <cellStyle name="20% - Accent6 6 9" xfId="5293" xr:uid="{00000000-0005-0000-0000-0000930D0000}"/>
    <cellStyle name="20% - Accent6 6 9 2" xfId="5294" xr:uid="{00000000-0005-0000-0000-0000940D0000}"/>
    <cellStyle name="20% - Accent6 6 9 2 2" xfId="5295" xr:uid="{00000000-0005-0000-0000-0000950D0000}"/>
    <cellStyle name="20% - Accent6 6 9 2 2 2" xfId="5296" xr:uid="{00000000-0005-0000-0000-0000960D0000}"/>
    <cellStyle name="20% - Accent6 6 9 2 3" xfId="5297" xr:uid="{00000000-0005-0000-0000-0000970D0000}"/>
    <cellStyle name="20% - Accent6 6 9 3" xfId="5298" xr:uid="{00000000-0005-0000-0000-0000980D0000}"/>
    <cellStyle name="20% - Accent6 6 9 3 2" xfId="5299" xr:uid="{00000000-0005-0000-0000-0000990D0000}"/>
    <cellStyle name="20% - Accent6 6 9 4" xfId="5300" xr:uid="{00000000-0005-0000-0000-00009A0D0000}"/>
    <cellStyle name="20% - Accent6 7" xfId="92" xr:uid="{00000000-0005-0000-0000-00009B0D0000}"/>
    <cellStyle name="20% - Accent6 8" xfId="93" xr:uid="{00000000-0005-0000-0000-00009C0D0000}"/>
    <cellStyle name="20% - Accent6 8 2" xfId="5301" xr:uid="{00000000-0005-0000-0000-00009D0D0000}"/>
    <cellStyle name="20% - Accent6 8 2 2" xfId="5302" xr:uid="{00000000-0005-0000-0000-00009E0D0000}"/>
    <cellStyle name="20% - Accent6 8 3" xfId="5303" xr:uid="{00000000-0005-0000-0000-00009F0D0000}"/>
    <cellStyle name="20% - Accent6 9" xfId="5304" xr:uid="{00000000-0005-0000-0000-0000A00D0000}"/>
    <cellStyle name="20% - Accent6 9 2" xfId="5305" xr:uid="{00000000-0005-0000-0000-0000A10D0000}"/>
    <cellStyle name="20% - Accent6 9 2 2" xfId="5306" xr:uid="{00000000-0005-0000-0000-0000A20D0000}"/>
    <cellStyle name="20% - Accent6 9 3" xfId="5307" xr:uid="{00000000-0005-0000-0000-0000A30D0000}"/>
    <cellStyle name="40% - Accent1 10" xfId="5308" xr:uid="{00000000-0005-0000-0000-0000A40D0000}"/>
    <cellStyle name="40% - Accent1 2" xfId="94" xr:uid="{00000000-0005-0000-0000-0000A50D0000}"/>
    <cellStyle name="40% - Accent1 2 2" xfId="95" xr:uid="{00000000-0005-0000-0000-0000A60D0000}"/>
    <cellStyle name="40% - Accent1 3" xfId="96" xr:uid="{00000000-0005-0000-0000-0000A70D0000}"/>
    <cellStyle name="40% - Accent1 4" xfId="97" xr:uid="{00000000-0005-0000-0000-0000A80D0000}"/>
    <cellStyle name="40% - Accent1 5" xfId="98" xr:uid="{00000000-0005-0000-0000-0000A90D0000}"/>
    <cellStyle name="40% - Accent1 6" xfId="99" xr:uid="{00000000-0005-0000-0000-0000AA0D0000}"/>
    <cellStyle name="40% - Accent1 6 10" xfId="5310" xr:uid="{00000000-0005-0000-0000-0000AB0D0000}"/>
    <cellStyle name="40% - Accent1 6 10 2" xfId="5311" xr:uid="{00000000-0005-0000-0000-0000AC0D0000}"/>
    <cellStyle name="40% - Accent1 6 10 2 2" xfId="5312" xr:uid="{00000000-0005-0000-0000-0000AD0D0000}"/>
    <cellStyle name="40% - Accent1 6 10 2 2 2" xfId="5313" xr:uid="{00000000-0005-0000-0000-0000AE0D0000}"/>
    <cellStyle name="40% - Accent1 6 10 2 3" xfId="5314" xr:uid="{00000000-0005-0000-0000-0000AF0D0000}"/>
    <cellStyle name="40% - Accent1 6 10 3" xfId="5315" xr:uid="{00000000-0005-0000-0000-0000B00D0000}"/>
    <cellStyle name="40% - Accent1 6 10 3 2" xfId="5316" xr:uid="{00000000-0005-0000-0000-0000B10D0000}"/>
    <cellStyle name="40% - Accent1 6 10 4" xfId="5317" xr:uid="{00000000-0005-0000-0000-0000B20D0000}"/>
    <cellStyle name="40% - Accent1 6 11" xfId="5318" xr:uid="{00000000-0005-0000-0000-0000B30D0000}"/>
    <cellStyle name="40% - Accent1 6 11 2" xfId="5319" xr:uid="{00000000-0005-0000-0000-0000B40D0000}"/>
    <cellStyle name="40% - Accent1 6 11 2 2" xfId="5320" xr:uid="{00000000-0005-0000-0000-0000B50D0000}"/>
    <cellStyle name="40% - Accent1 6 11 3" xfId="5321" xr:uid="{00000000-0005-0000-0000-0000B60D0000}"/>
    <cellStyle name="40% - Accent1 6 12" xfId="5322" xr:uid="{00000000-0005-0000-0000-0000B70D0000}"/>
    <cellStyle name="40% - Accent1 6 12 2" xfId="5323" xr:uid="{00000000-0005-0000-0000-0000B80D0000}"/>
    <cellStyle name="40% - Accent1 6 12 2 2" xfId="5324" xr:uid="{00000000-0005-0000-0000-0000B90D0000}"/>
    <cellStyle name="40% - Accent1 6 12 3" xfId="5325" xr:uid="{00000000-0005-0000-0000-0000BA0D0000}"/>
    <cellStyle name="40% - Accent1 6 13" xfId="5326" xr:uid="{00000000-0005-0000-0000-0000BB0D0000}"/>
    <cellStyle name="40% - Accent1 6 13 2" xfId="5327" xr:uid="{00000000-0005-0000-0000-0000BC0D0000}"/>
    <cellStyle name="40% - Accent1 6 13 2 2" xfId="5328" xr:uid="{00000000-0005-0000-0000-0000BD0D0000}"/>
    <cellStyle name="40% - Accent1 6 13 3" xfId="5329" xr:uid="{00000000-0005-0000-0000-0000BE0D0000}"/>
    <cellStyle name="40% - Accent1 6 14" xfId="5330" xr:uid="{00000000-0005-0000-0000-0000BF0D0000}"/>
    <cellStyle name="40% - Accent1 6 14 2" xfId="5331" xr:uid="{00000000-0005-0000-0000-0000C00D0000}"/>
    <cellStyle name="40% - Accent1 6 15" xfId="5332" xr:uid="{00000000-0005-0000-0000-0000C10D0000}"/>
    <cellStyle name="40% - Accent1 6 16" xfId="5333" xr:uid="{00000000-0005-0000-0000-0000C20D0000}"/>
    <cellStyle name="40% - Accent1 6 17" xfId="5309" xr:uid="{00000000-0005-0000-0000-0000C30D0000}"/>
    <cellStyle name="40% - Accent1 6 2" xfId="100" xr:uid="{00000000-0005-0000-0000-0000C40D0000}"/>
    <cellStyle name="40% - Accent1 6 2 10" xfId="5335" xr:uid="{00000000-0005-0000-0000-0000C50D0000}"/>
    <cellStyle name="40% - Accent1 6 2 10 2" xfId="5336" xr:uid="{00000000-0005-0000-0000-0000C60D0000}"/>
    <cellStyle name="40% - Accent1 6 2 10 2 2" xfId="5337" xr:uid="{00000000-0005-0000-0000-0000C70D0000}"/>
    <cellStyle name="40% - Accent1 6 2 10 3" xfId="5338" xr:uid="{00000000-0005-0000-0000-0000C80D0000}"/>
    <cellStyle name="40% - Accent1 6 2 11" xfId="5339" xr:uid="{00000000-0005-0000-0000-0000C90D0000}"/>
    <cellStyle name="40% - Accent1 6 2 11 2" xfId="5340" xr:uid="{00000000-0005-0000-0000-0000CA0D0000}"/>
    <cellStyle name="40% - Accent1 6 2 11 2 2" xfId="5341" xr:uid="{00000000-0005-0000-0000-0000CB0D0000}"/>
    <cellStyle name="40% - Accent1 6 2 11 3" xfId="5342" xr:uid="{00000000-0005-0000-0000-0000CC0D0000}"/>
    <cellStyle name="40% - Accent1 6 2 12" xfId="5343" xr:uid="{00000000-0005-0000-0000-0000CD0D0000}"/>
    <cellStyle name="40% - Accent1 6 2 12 2" xfId="5344" xr:uid="{00000000-0005-0000-0000-0000CE0D0000}"/>
    <cellStyle name="40% - Accent1 6 2 13" xfId="5345" xr:uid="{00000000-0005-0000-0000-0000CF0D0000}"/>
    <cellStyle name="40% - Accent1 6 2 14" xfId="5346" xr:uid="{00000000-0005-0000-0000-0000D00D0000}"/>
    <cellStyle name="40% - Accent1 6 2 15" xfId="5334" xr:uid="{00000000-0005-0000-0000-0000D10D0000}"/>
    <cellStyle name="40% - Accent1 6 2 2" xfId="830" xr:uid="{00000000-0005-0000-0000-0000D20D0000}"/>
    <cellStyle name="40% - Accent1 6 2 2 10" xfId="5348" xr:uid="{00000000-0005-0000-0000-0000D30D0000}"/>
    <cellStyle name="40% - Accent1 6 2 2 11" xfId="5347" xr:uid="{00000000-0005-0000-0000-0000D40D0000}"/>
    <cellStyle name="40% - Accent1 6 2 2 2" xfId="1588" xr:uid="{00000000-0005-0000-0000-0000D50D0000}"/>
    <cellStyle name="40% - Accent1 6 2 2 2 2" xfId="5350" xr:uid="{00000000-0005-0000-0000-0000D60D0000}"/>
    <cellStyle name="40% - Accent1 6 2 2 2 2 2" xfId="5351" xr:uid="{00000000-0005-0000-0000-0000D70D0000}"/>
    <cellStyle name="40% - Accent1 6 2 2 2 2 2 2" xfId="5352" xr:uid="{00000000-0005-0000-0000-0000D80D0000}"/>
    <cellStyle name="40% - Accent1 6 2 2 2 2 2 2 2" xfId="5353" xr:uid="{00000000-0005-0000-0000-0000D90D0000}"/>
    <cellStyle name="40% - Accent1 6 2 2 2 2 2 3" xfId="5354" xr:uid="{00000000-0005-0000-0000-0000DA0D0000}"/>
    <cellStyle name="40% - Accent1 6 2 2 2 2 3" xfId="5355" xr:uid="{00000000-0005-0000-0000-0000DB0D0000}"/>
    <cellStyle name="40% - Accent1 6 2 2 2 2 3 2" xfId="5356" xr:uid="{00000000-0005-0000-0000-0000DC0D0000}"/>
    <cellStyle name="40% - Accent1 6 2 2 2 2 4" xfId="5357" xr:uid="{00000000-0005-0000-0000-0000DD0D0000}"/>
    <cellStyle name="40% - Accent1 6 2 2 2 3" xfId="5358" xr:uid="{00000000-0005-0000-0000-0000DE0D0000}"/>
    <cellStyle name="40% - Accent1 6 2 2 2 3 2" xfId="5359" xr:uid="{00000000-0005-0000-0000-0000DF0D0000}"/>
    <cellStyle name="40% - Accent1 6 2 2 2 3 2 2" xfId="5360" xr:uid="{00000000-0005-0000-0000-0000E00D0000}"/>
    <cellStyle name="40% - Accent1 6 2 2 2 3 2 2 2" xfId="5361" xr:uid="{00000000-0005-0000-0000-0000E10D0000}"/>
    <cellStyle name="40% - Accent1 6 2 2 2 3 2 3" xfId="5362" xr:uid="{00000000-0005-0000-0000-0000E20D0000}"/>
    <cellStyle name="40% - Accent1 6 2 2 2 3 3" xfId="5363" xr:uid="{00000000-0005-0000-0000-0000E30D0000}"/>
    <cellStyle name="40% - Accent1 6 2 2 2 3 3 2" xfId="5364" xr:uid="{00000000-0005-0000-0000-0000E40D0000}"/>
    <cellStyle name="40% - Accent1 6 2 2 2 3 4" xfId="5365" xr:uid="{00000000-0005-0000-0000-0000E50D0000}"/>
    <cellStyle name="40% - Accent1 6 2 2 2 4" xfId="5366" xr:uid="{00000000-0005-0000-0000-0000E60D0000}"/>
    <cellStyle name="40% - Accent1 6 2 2 2 4 2" xfId="5367" xr:uid="{00000000-0005-0000-0000-0000E70D0000}"/>
    <cellStyle name="40% - Accent1 6 2 2 2 4 2 2" xfId="5368" xr:uid="{00000000-0005-0000-0000-0000E80D0000}"/>
    <cellStyle name="40% - Accent1 6 2 2 2 4 3" xfId="5369" xr:uid="{00000000-0005-0000-0000-0000E90D0000}"/>
    <cellStyle name="40% - Accent1 6 2 2 2 5" xfId="5370" xr:uid="{00000000-0005-0000-0000-0000EA0D0000}"/>
    <cellStyle name="40% - Accent1 6 2 2 2 5 2" xfId="5371" xr:uid="{00000000-0005-0000-0000-0000EB0D0000}"/>
    <cellStyle name="40% - Accent1 6 2 2 2 6" xfId="5372" xr:uid="{00000000-0005-0000-0000-0000EC0D0000}"/>
    <cellStyle name="40% - Accent1 6 2 2 2 7" xfId="5349" xr:uid="{00000000-0005-0000-0000-0000ED0D0000}"/>
    <cellStyle name="40% - Accent1 6 2 2 3" xfId="5373" xr:uid="{00000000-0005-0000-0000-0000EE0D0000}"/>
    <cellStyle name="40% - Accent1 6 2 2 3 2" xfId="5374" xr:uid="{00000000-0005-0000-0000-0000EF0D0000}"/>
    <cellStyle name="40% - Accent1 6 2 2 3 2 2" xfId="5375" xr:uid="{00000000-0005-0000-0000-0000F00D0000}"/>
    <cellStyle name="40% - Accent1 6 2 2 3 2 2 2" xfId="5376" xr:uid="{00000000-0005-0000-0000-0000F10D0000}"/>
    <cellStyle name="40% - Accent1 6 2 2 3 2 2 2 2" xfId="5377" xr:uid="{00000000-0005-0000-0000-0000F20D0000}"/>
    <cellStyle name="40% - Accent1 6 2 2 3 2 2 3" xfId="5378" xr:uid="{00000000-0005-0000-0000-0000F30D0000}"/>
    <cellStyle name="40% - Accent1 6 2 2 3 2 3" xfId="5379" xr:uid="{00000000-0005-0000-0000-0000F40D0000}"/>
    <cellStyle name="40% - Accent1 6 2 2 3 2 3 2" xfId="5380" xr:uid="{00000000-0005-0000-0000-0000F50D0000}"/>
    <cellStyle name="40% - Accent1 6 2 2 3 2 4" xfId="5381" xr:uid="{00000000-0005-0000-0000-0000F60D0000}"/>
    <cellStyle name="40% - Accent1 6 2 2 3 3" xfId="5382" xr:uid="{00000000-0005-0000-0000-0000F70D0000}"/>
    <cellStyle name="40% - Accent1 6 2 2 3 3 2" xfId="5383" xr:uid="{00000000-0005-0000-0000-0000F80D0000}"/>
    <cellStyle name="40% - Accent1 6 2 2 3 3 2 2" xfId="5384" xr:uid="{00000000-0005-0000-0000-0000F90D0000}"/>
    <cellStyle name="40% - Accent1 6 2 2 3 3 3" xfId="5385" xr:uid="{00000000-0005-0000-0000-0000FA0D0000}"/>
    <cellStyle name="40% - Accent1 6 2 2 3 4" xfId="5386" xr:uid="{00000000-0005-0000-0000-0000FB0D0000}"/>
    <cellStyle name="40% - Accent1 6 2 2 3 4 2" xfId="5387" xr:uid="{00000000-0005-0000-0000-0000FC0D0000}"/>
    <cellStyle name="40% - Accent1 6 2 2 3 5" xfId="5388" xr:uid="{00000000-0005-0000-0000-0000FD0D0000}"/>
    <cellStyle name="40% - Accent1 6 2 2 4" xfId="5389" xr:uid="{00000000-0005-0000-0000-0000FE0D0000}"/>
    <cellStyle name="40% - Accent1 6 2 2 4 2" xfId="5390" xr:uid="{00000000-0005-0000-0000-0000FF0D0000}"/>
    <cellStyle name="40% - Accent1 6 2 2 4 2 2" xfId="5391" xr:uid="{00000000-0005-0000-0000-0000000E0000}"/>
    <cellStyle name="40% - Accent1 6 2 2 4 2 2 2" xfId="5392" xr:uid="{00000000-0005-0000-0000-0000010E0000}"/>
    <cellStyle name="40% - Accent1 6 2 2 4 2 2 2 2" xfId="5393" xr:uid="{00000000-0005-0000-0000-0000020E0000}"/>
    <cellStyle name="40% - Accent1 6 2 2 4 2 2 3" xfId="5394" xr:uid="{00000000-0005-0000-0000-0000030E0000}"/>
    <cellStyle name="40% - Accent1 6 2 2 4 2 3" xfId="5395" xr:uid="{00000000-0005-0000-0000-0000040E0000}"/>
    <cellStyle name="40% - Accent1 6 2 2 4 2 3 2" xfId="5396" xr:uid="{00000000-0005-0000-0000-0000050E0000}"/>
    <cellStyle name="40% - Accent1 6 2 2 4 2 4" xfId="5397" xr:uid="{00000000-0005-0000-0000-0000060E0000}"/>
    <cellStyle name="40% - Accent1 6 2 2 4 3" xfId="5398" xr:uid="{00000000-0005-0000-0000-0000070E0000}"/>
    <cellStyle name="40% - Accent1 6 2 2 4 3 2" xfId="5399" xr:uid="{00000000-0005-0000-0000-0000080E0000}"/>
    <cellStyle name="40% - Accent1 6 2 2 4 3 2 2" xfId="5400" xr:uid="{00000000-0005-0000-0000-0000090E0000}"/>
    <cellStyle name="40% - Accent1 6 2 2 4 3 3" xfId="5401" xr:uid="{00000000-0005-0000-0000-00000A0E0000}"/>
    <cellStyle name="40% - Accent1 6 2 2 4 4" xfId="5402" xr:uid="{00000000-0005-0000-0000-00000B0E0000}"/>
    <cellStyle name="40% - Accent1 6 2 2 4 4 2" xfId="5403" xr:uid="{00000000-0005-0000-0000-00000C0E0000}"/>
    <cellStyle name="40% - Accent1 6 2 2 4 5" xfId="5404" xr:uid="{00000000-0005-0000-0000-00000D0E0000}"/>
    <cellStyle name="40% - Accent1 6 2 2 5" xfId="5405" xr:uid="{00000000-0005-0000-0000-00000E0E0000}"/>
    <cellStyle name="40% - Accent1 6 2 2 5 2" xfId="5406" xr:uid="{00000000-0005-0000-0000-00000F0E0000}"/>
    <cellStyle name="40% - Accent1 6 2 2 5 2 2" xfId="5407" xr:uid="{00000000-0005-0000-0000-0000100E0000}"/>
    <cellStyle name="40% - Accent1 6 2 2 5 2 2 2" xfId="5408" xr:uid="{00000000-0005-0000-0000-0000110E0000}"/>
    <cellStyle name="40% - Accent1 6 2 2 5 2 3" xfId="5409" xr:uid="{00000000-0005-0000-0000-0000120E0000}"/>
    <cellStyle name="40% - Accent1 6 2 2 5 3" xfId="5410" xr:uid="{00000000-0005-0000-0000-0000130E0000}"/>
    <cellStyle name="40% - Accent1 6 2 2 5 3 2" xfId="5411" xr:uid="{00000000-0005-0000-0000-0000140E0000}"/>
    <cellStyle name="40% - Accent1 6 2 2 5 4" xfId="5412" xr:uid="{00000000-0005-0000-0000-0000150E0000}"/>
    <cellStyle name="40% - Accent1 6 2 2 6" xfId="5413" xr:uid="{00000000-0005-0000-0000-0000160E0000}"/>
    <cellStyle name="40% - Accent1 6 2 2 6 2" xfId="5414" xr:uid="{00000000-0005-0000-0000-0000170E0000}"/>
    <cellStyle name="40% - Accent1 6 2 2 6 2 2" xfId="5415" xr:uid="{00000000-0005-0000-0000-0000180E0000}"/>
    <cellStyle name="40% - Accent1 6 2 2 6 2 2 2" xfId="5416" xr:uid="{00000000-0005-0000-0000-0000190E0000}"/>
    <cellStyle name="40% - Accent1 6 2 2 6 2 3" xfId="5417" xr:uid="{00000000-0005-0000-0000-00001A0E0000}"/>
    <cellStyle name="40% - Accent1 6 2 2 6 3" xfId="5418" xr:uid="{00000000-0005-0000-0000-00001B0E0000}"/>
    <cellStyle name="40% - Accent1 6 2 2 6 3 2" xfId="5419" xr:uid="{00000000-0005-0000-0000-00001C0E0000}"/>
    <cellStyle name="40% - Accent1 6 2 2 6 4" xfId="5420" xr:uid="{00000000-0005-0000-0000-00001D0E0000}"/>
    <cellStyle name="40% - Accent1 6 2 2 7" xfId="5421" xr:uid="{00000000-0005-0000-0000-00001E0E0000}"/>
    <cellStyle name="40% - Accent1 6 2 2 7 2" xfId="5422" xr:uid="{00000000-0005-0000-0000-00001F0E0000}"/>
    <cellStyle name="40% - Accent1 6 2 2 7 2 2" xfId="5423" xr:uid="{00000000-0005-0000-0000-0000200E0000}"/>
    <cellStyle name="40% - Accent1 6 2 2 7 2 2 2" xfId="5424" xr:uid="{00000000-0005-0000-0000-0000210E0000}"/>
    <cellStyle name="40% - Accent1 6 2 2 7 2 3" xfId="5425" xr:uid="{00000000-0005-0000-0000-0000220E0000}"/>
    <cellStyle name="40% - Accent1 6 2 2 7 3" xfId="5426" xr:uid="{00000000-0005-0000-0000-0000230E0000}"/>
    <cellStyle name="40% - Accent1 6 2 2 7 3 2" xfId="5427" xr:uid="{00000000-0005-0000-0000-0000240E0000}"/>
    <cellStyle name="40% - Accent1 6 2 2 7 4" xfId="5428" xr:uid="{00000000-0005-0000-0000-0000250E0000}"/>
    <cellStyle name="40% - Accent1 6 2 2 8" xfId="5429" xr:uid="{00000000-0005-0000-0000-0000260E0000}"/>
    <cellStyle name="40% - Accent1 6 2 2 8 2" xfId="5430" xr:uid="{00000000-0005-0000-0000-0000270E0000}"/>
    <cellStyle name="40% - Accent1 6 2 2 8 2 2" xfId="5431" xr:uid="{00000000-0005-0000-0000-0000280E0000}"/>
    <cellStyle name="40% - Accent1 6 2 2 8 3" xfId="5432" xr:uid="{00000000-0005-0000-0000-0000290E0000}"/>
    <cellStyle name="40% - Accent1 6 2 2 9" xfId="5433" xr:uid="{00000000-0005-0000-0000-00002A0E0000}"/>
    <cellStyle name="40% - Accent1 6 2 2 9 2" xfId="5434" xr:uid="{00000000-0005-0000-0000-00002B0E0000}"/>
    <cellStyle name="40% - Accent1 6 2 3" xfId="1263" xr:uid="{00000000-0005-0000-0000-00002C0E0000}"/>
    <cellStyle name="40% - Accent1 6 2 3 2" xfId="5436" xr:uid="{00000000-0005-0000-0000-00002D0E0000}"/>
    <cellStyle name="40% - Accent1 6 2 3 2 2" xfId="5437" xr:uid="{00000000-0005-0000-0000-00002E0E0000}"/>
    <cellStyle name="40% - Accent1 6 2 3 2 2 2" xfId="5438" xr:uid="{00000000-0005-0000-0000-00002F0E0000}"/>
    <cellStyle name="40% - Accent1 6 2 3 2 2 2 2" xfId="5439" xr:uid="{00000000-0005-0000-0000-0000300E0000}"/>
    <cellStyle name="40% - Accent1 6 2 3 2 2 3" xfId="5440" xr:uid="{00000000-0005-0000-0000-0000310E0000}"/>
    <cellStyle name="40% - Accent1 6 2 3 2 3" xfId="5441" xr:uid="{00000000-0005-0000-0000-0000320E0000}"/>
    <cellStyle name="40% - Accent1 6 2 3 2 3 2" xfId="5442" xr:uid="{00000000-0005-0000-0000-0000330E0000}"/>
    <cellStyle name="40% - Accent1 6 2 3 2 4" xfId="5443" xr:uid="{00000000-0005-0000-0000-0000340E0000}"/>
    <cellStyle name="40% - Accent1 6 2 3 3" xfId="5444" xr:uid="{00000000-0005-0000-0000-0000350E0000}"/>
    <cellStyle name="40% - Accent1 6 2 3 3 2" xfId="5445" xr:uid="{00000000-0005-0000-0000-0000360E0000}"/>
    <cellStyle name="40% - Accent1 6 2 3 3 2 2" xfId="5446" xr:uid="{00000000-0005-0000-0000-0000370E0000}"/>
    <cellStyle name="40% - Accent1 6 2 3 3 2 2 2" xfId="5447" xr:uid="{00000000-0005-0000-0000-0000380E0000}"/>
    <cellStyle name="40% - Accent1 6 2 3 3 2 3" xfId="5448" xr:uid="{00000000-0005-0000-0000-0000390E0000}"/>
    <cellStyle name="40% - Accent1 6 2 3 3 3" xfId="5449" xr:uid="{00000000-0005-0000-0000-00003A0E0000}"/>
    <cellStyle name="40% - Accent1 6 2 3 3 3 2" xfId="5450" xr:uid="{00000000-0005-0000-0000-00003B0E0000}"/>
    <cellStyle name="40% - Accent1 6 2 3 3 4" xfId="5451" xr:uid="{00000000-0005-0000-0000-00003C0E0000}"/>
    <cellStyle name="40% - Accent1 6 2 3 4" xfId="5452" xr:uid="{00000000-0005-0000-0000-00003D0E0000}"/>
    <cellStyle name="40% - Accent1 6 2 3 4 2" xfId="5453" xr:uid="{00000000-0005-0000-0000-00003E0E0000}"/>
    <cellStyle name="40% - Accent1 6 2 3 4 2 2" xfId="5454" xr:uid="{00000000-0005-0000-0000-00003F0E0000}"/>
    <cellStyle name="40% - Accent1 6 2 3 4 3" xfId="5455" xr:uid="{00000000-0005-0000-0000-0000400E0000}"/>
    <cellStyle name="40% - Accent1 6 2 3 5" xfId="5456" xr:uid="{00000000-0005-0000-0000-0000410E0000}"/>
    <cellStyle name="40% - Accent1 6 2 3 5 2" xfId="5457" xr:uid="{00000000-0005-0000-0000-0000420E0000}"/>
    <cellStyle name="40% - Accent1 6 2 3 6" xfId="5458" xr:uid="{00000000-0005-0000-0000-0000430E0000}"/>
    <cellStyle name="40% - Accent1 6 2 3 7" xfId="5435" xr:uid="{00000000-0005-0000-0000-0000440E0000}"/>
    <cellStyle name="40% - Accent1 6 2 4" xfId="5459" xr:uid="{00000000-0005-0000-0000-0000450E0000}"/>
    <cellStyle name="40% - Accent1 6 2 4 2" xfId="5460" xr:uid="{00000000-0005-0000-0000-0000460E0000}"/>
    <cellStyle name="40% - Accent1 6 2 4 2 2" xfId="5461" xr:uid="{00000000-0005-0000-0000-0000470E0000}"/>
    <cellStyle name="40% - Accent1 6 2 4 2 2 2" xfId="5462" xr:uid="{00000000-0005-0000-0000-0000480E0000}"/>
    <cellStyle name="40% - Accent1 6 2 4 2 2 2 2" xfId="5463" xr:uid="{00000000-0005-0000-0000-0000490E0000}"/>
    <cellStyle name="40% - Accent1 6 2 4 2 2 3" xfId="5464" xr:uid="{00000000-0005-0000-0000-00004A0E0000}"/>
    <cellStyle name="40% - Accent1 6 2 4 2 3" xfId="5465" xr:uid="{00000000-0005-0000-0000-00004B0E0000}"/>
    <cellStyle name="40% - Accent1 6 2 4 2 3 2" xfId="5466" xr:uid="{00000000-0005-0000-0000-00004C0E0000}"/>
    <cellStyle name="40% - Accent1 6 2 4 2 4" xfId="5467" xr:uid="{00000000-0005-0000-0000-00004D0E0000}"/>
    <cellStyle name="40% - Accent1 6 2 4 3" xfId="5468" xr:uid="{00000000-0005-0000-0000-00004E0E0000}"/>
    <cellStyle name="40% - Accent1 6 2 4 3 2" xfId="5469" xr:uid="{00000000-0005-0000-0000-00004F0E0000}"/>
    <cellStyle name="40% - Accent1 6 2 4 3 2 2" xfId="5470" xr:uid="{00000000-0005-0000-0000-0000500E0000}"/>
    <cellStyle name="40% - Accent1 6 2 4 3 3" xfId="5471" xr:uid="{00000000-0005-0000-0000-0000510E0000}"/>
    <cellStyle name="40% - Accent1 6 2 4 4" xfId="5472" xr:uid="{00000000-0005-0000-0000-0000520E0000}"/>
    <cellStyle name="40% - Accent1 6 2 4 4 2" xfId="5473" xr:uid="{00000000-0005-0000-0000-0000530E0000}"/>
    <cellStyle name="40% - Accent1 6 2 4 5" xfId="5474" xr:uid="{00000000-0005-0000-0000-0000540E0000}"/>
    <cellStyle name="40% - Accent1 6 2 5" xfId="5475" xr:uid="{00000000-0005-0000-0000-0000550E0000}"/>
    <cellStyle name="40% - Accent1 6 2 5 2" xfId="5476" xr:uid="{00000000-0005-0000-0000-0000560E0000}"/>
    <cellStyle name="40% - Accent1 6 2 5 2 2" xfId="5477" xr:uid="{00000000-0005-0000-0000-0000570E0000}"/>
    <cellStyle name="40% - Accent1 6 2 5 2 2 2" xfId="5478" xr:uid="{00000000-0005-0000-0000-0000580E0000}"/>
    <cellStyle name="40% - Accent1 6 2 5 2 2 2 2" xfId="5479" xr:uid="{00000000-0005-0000-0000-0000590E0000}"/>
    <cellStyle name="40% - Accent1 6 2 5 2 2 3" xfId="5480" xr:uid="{00000000-0005-0000-0000-00005A0E0000}"/>
    <cellStyle name="40% - Accent1 6 2 5 2 3" xfId="5481" xr:uid="{00000000-0005-0000-0000-00005B0E0000}"/>
    <cellStyle name="40% - Accent1 6 2 5 2 3 2" xfId="5482" xr:uid="{00000000-0005-0000-0000-00005C0E0000}"/>
    <cellStyle name="40% - Accent1 6 2 5 2 4" xfId="5483" xr:uid="{00000000-0005-0000-0000-00005D0E0000}"/>
    <cellStyle name="40% - Accent1 6 2 5 3" xfId="5484" xr:uid="{00000000-0005-0000-0000-00005E0E0000}"/>
    <cellStyle name="40% - Accent1 6 2 5 3 2" xfId="5485" xr:uid="{00000000-0005-0000-0000-00005F0E0000}"/>
    <cellStyle name="40% - Accent1 6 2 5 3 2 2" xfId="5486" xr:uid="{00000000-0005-0000-0000-0000600E0000}"/>
    <cellStyle name="40% - Accent1 6 2 5 3 3" xfId="5487" xr:uid="{00000000-0005-0000-0000-0000610E0000}"/>
    <cellStyle name="40% - Accent1 6 2 5 4" xfId="5488" xr:uid="{00000000-0005-0000-0000-0000620E0000}"/>
    <cellStyle name="40% - Accent1 6 2 5 4 2" xfId="5489" xr:uid="{00000000-0005-0000-0000-0000630E0000}"/>
    <cellStyle name="40% - Accent1 6 2 5 5" xfId="5490" xr:uid="{00000000-0005-0000-0000-0000640E0000}"/>
    <cellStyle name="40% - Accent1 6 2 6" xfId="5491" xr:uid="{00000000-0005-0000-0000-0000650E0000}"/>
    <cellStyle name="40% - Accent1 6 2 6 2" xfId="5492" xr:uid="{00000000-0005-0000-0000-0000660E0000}"/>
    <cellStyle name="40% - Accent1 6 2 6 2 2" xfId="5493" xr:uid="{00000000-0005-0000-0000-0000670E0000}"/>
    <cellStyle name="40% - Accent1 6 2 6 2 2 2" xfId="5494" xr:uid="{00000000-0005-0000-0000-0000680E0000}"/>
    <cellStyle name="40% - Accent1 6 2 6 2 3" xfId="5495" xr:uid="{00000000-0005-0000-0000-0000690E0000}"/>
    <cellStyle name="40% - Accent1 6 2 6 3" xfId="5496" xr:uid="{00000000-0005-0000-0000-00006A0E0000}"/>
    <cellStyle name="40% - Accent1 6 2 6 3 2" xfId="5497" xr:uid="{00000000-0005-0000-0000-00006B0E0000}"/>
    <cellStyle name="40% - Accent1 6 2 6 4" xfId="5498" xr:uid="{00000000-0005-0000-0000-00006C0E0000}"/>
    <cellStyle name="40% - Accent1 6 2 7" xfId="5499" xr:uid="{00000000-0005-0000-0000-00006D0E0000}"/>
    <cellStyle name="40% - Accent1 6 2 7 2" xfId="5500" xr:uid="{00000000-0005-0000-0000-00006E0E0000}"/>
    <cellStyle name="40% - Accent1 6 2 7 2 2" xfId="5501" xr:uid="{00000000-0005-0000-0000-00006F0E0000}"/>
    <cellStyle name="40% - Accent1 6 2 7 2 2 2" xfId="5502" xr:uid="{00000000-0005-0000-0000-0000700E0000}"/>
    <cellStyle name="40% - Accent1 6 2 7 2 3" xfId="5503" xr:uid="{00000000-0005-0000-0000-0000710E0000}"/>
    <cellStyle name="40% - Accent1 6 2 7 3" xfId="5504" xr:uid="{00000000-0005-0000-0000-0000720E0000}"/>
    <cellStyle name="40% - Accent1 6 2 7 3 2" xfId="5505" xr:uid="{00000000-0005-0000-0000-0000730E0000}"/>
    <cellStyle name="40% - Accent1 6 2 7 4" xfId="5506" xr:uid="{00000000-0005-0000-0000-0000740E0000}"/>
    <cellStyle name="40% - Accent1 6 2 8" xfId="5507" xr:uid="{00000000-0005-0000-0000-0000750E0000}"/>
    <cellStyle name="40% - Accent1 6 2 8 2" xfId="5508" xr:uid="{00000000-0005-0000-0000-0000760E0000}"/>
    <cellStyle name="40% - Accent1 6 2 8 2 2" xfId="5509" xr:uid="{00000000-0005-0000-0000-0000770E0000}"/>
    <cellStyle name="40% - Accent1 6 2 8 2 2 2" xfId="5510" xr:uid="{00000000-0005-0000-0000-0000780E0000}"/>
    <cellStyle name="40% - Accent1 6 2 8 2 3" xfId="5511" xr:uid="{00000000-0005-0000-0000-0000790E0000}"/>
    <cellStyle name="40% - Accent1 6 2 8 3" xfId="5512" xr:uid="{00000000-0005-0000-0000-00007A0E0000}"/>
    <cellStyle name="40% - Accent1 6 2 8 3 2" xfId="5513" xr:uid="{00000000-0005-0000-0000-00007B0E0000}"/>
    <cellStyle name="40% - Accent1 6 2 8 4" xfId="5514" xr:uid="{00000000-0005-0000-0000-00007C0E0000}"/>
    <cellStyle name="40% - Accent1 6 2 9" xfId="5515" xr:uid="{00000000-0005-0000-0000-00007D0E0000}"/>
    <cellStyle name="40% - Accent1 6 2 9 2" xfId="5516" xr:uid="{00000000-0005-0000-0000-00007E0E0000}"/>
    <cellStyle name="40% - Accent1 6 2 9 2 2" xfId="5517" xr:uid="{00000000-0005-0000-0000-00007F0E0000}"/>
    <cellStyle name="40% - Accent1 6 2 9 3" xfId="5518" xr:uid="{00000000-0005-0000-0000-0000800E0000}"/>
    <cellStyle name="40% - Accent1 6 3" xfId="101" xr:uid="{00000000-0005-0000-0000-0000810E0000}"/>
    <cellStyle name="40% - Accent1 6 3 10" xfId="5520" xr:uid="{00000000-0005-0000-0000-0000820E0000}"/>
    <cellStyle name="40% - Accent1 6 3 10 2" xfId="5521" xr:uid="{00000000-0005-0000-0000-0000830E0000}"/>
    <cellStyle name="40% - Accent1 6 3 10 2 2" xfId="5522" xr:uid="{00000000-0005-0000-0000-0000840E0000}"/>
    <cellStyle name="40% - Accent1 6 3 10 3" xfId="5523" xr:uid="{00000000-0005-0000-0000-0000850E0000}"/>
    <cellStyle name="40% - Accent1 6 3 11" xfId="5524" xr:uid="{00000000-0005-0000-0000-0000860E0000}"/>
    <cellStyle name="40% - Accent1 6 3 11 2" xfId="5525" xr:uid="{00000000-0005-0000-0000-0000870E0000}"/>
    <cellStyle name="40% - Accent1 6 3 11 2 2" xfId="5526" xr:uid="{00000000-0005-0000-0000-0000880E0000}"/>
    <cellStyle name="40% - Accent1 6 3 11 3" xfId="5527" xr:uid="{00000000-0005-0000-0000-0000890E0000}"/>
    <cellStyle name="40% - Accent1 6 3 12" xfId="5528" xr:uid="{00000000-0005-0000-0000-00008A0E0000}"/>
    <cellStyle name="40% - Accent1 6 3 12 2" xfId="5529" xr:uid="{00000000-0005-0000-0000-00008B0E0000}"/>
    <cellStyle name="40% - Accent1 6 3 13" xfId="5530" xr:uid="{00000000-0005-0000-0000-00008C0E0000}"/>
    <cellStyle name="40% - Accent1 6 3 14" xfId="5531" xr:uid="{00000000-0005-0000-0000-00008D0E0000}"/>
    <cellStyle name="40% - Accent1 6 3 15" xfId="5519" xr:uid="{00000000-0005-0000-0000-00008E0E0000}"/>
    <cellStyle name="40% - Accent1 6 3 2" xfId="831" xr:uid="{00000000-0005-0000-0000-00008F0E0000}"/>
    <cellStyle name="40% - Accent1 6 3 2 10" xfId="5533" xr:uid="{00000000-0005-0000-0000-0000900E0000}"/>
    <cellStyle name="40% - Accent1 6 3 2 11" xfId="5532" xr:uid="{00000000-0005-0000-0000-0000910E0000}"/>
    <cellStyle name="40% - Accent1 6 3 2 2" xfId="1589" xr:uid="{00000000-0005-0000-0000-0000920E0000}"/>
    <cellStyle name="40% - Accent1 6 3 2 2 2" xfId="5535" xr:uid="{00000000-0005-0000-0000-0000930E0000}"/>
    <cellStyle name="40% - Accent1 6 3 2 2 2 2" xfId="5536" xr:uid="{00000000-0005-0000-0000-0000940E0000}"/>
    <cellStyle name="40% - Accent1 6 3 2 2 2 2 2" xfId="5537" xr:uid="{00000000-0005-0000-0000-0000950E0000}"/>
    <cellStyle name="40% - Accent1 6 3 2 2 2 2 2 2" xfId="5538" xr:uid="{00000000-0005-0000-0000-0000960E0000}"/>
    <cellStyle name="40% - Accent1 6 3 2 2 2 2 3" xfId="5539" xr:uid="{00000000-0005-0000-0000-0000970E0000}"/>
    <cellStyle name="40% - Accent1 6 3 2 2 2 3" xfId="5540" xr:uid="{00000000-0005-0000-0000-0000980E0000}"/>
    <cellStyle name="40% - Accent1 6 3 2 2 2 3 2" xfId="5541" xr:uid="{00000000-0005-0000-0000-0000990E0000}"/>
    <cellStyle name="40% - Accent1 6 3 2 2 2 4" xfId="5542" xr:uid="{00000000-0005-0000-0000-00009A0E0000}"/>
    <cellStyle name="40% - Accent1 6 3 2 2 3" xfId="5543" xr:uid="{00000000-0005-0000-0000-00009B0E0000}"/>
    <cellStyle name="40% - Accent1 6 3 2 2 3 2" xfId="5544" xr:uid="{00000000-0005-0000-0000-00009C0E0000}"/>
    <cellStyle name="40% - Accent1 6 3 2 2 3 2 2" xfId="5545" xr:uid="{00000000-0005-0000-0000-00009D0E0000}"/>
    <cellStyle name="40% - Accent1 6 3 2 2 3 2 2 2" xfId="5546" xr:uid="{00000000-0005-0000-0000-00009E0E0000}"/>
    <cellStyle name="40% - Accent1 6 3 2 2 3 2 3" xfId="5547" xr:uid="{00000000-0005-0000-0000-00009F0E0000}"/>
    <cellStyle name="40% - Accent1 6 3 2 2 3 3" xfId="5548" xr:uid="{00000000-0005-0000-0000-0000A00E0000}"/>
    <cellStyle name="40% - Accent1 6 3 2 2 3 3 2" xfId="5549" xr:uid="{00000000-0005-0000-0000-0000A10E0000}"/>
    <cellStyle name="40% - Accent1 6 3 2 2 3 4" xfId="5550" xr:uid="{00000000-0005-0000-0000-0000A20E0000}"/>
    <cellStyle name="40% - Accent1 6 3 2 2 4" xfId="5551" xr:uid="{00000000-0005-0000-0000-0000A30E0000}"/>
    <cellStyle name="40% - Accent1 6 3 2 2 4 2" xfId="5552" xr:uid="{00000000-0005-0000-0000-0000A40E0000}"/>
    <cellStyle name="40% - Accent1 6 3 2 2 4 2 2" xfId="5553" xr:uid="{00000000-0005-0000-0000-0000A50E0000}"/>
    <cellStyle name="40% - Accent1 6 3 2 2 4 3" xfId="5554" xr:uid="{00000000-0005-0000-0000-0000A60E0000}"/>
    <cellStyle name="40% - Accent1 6 3 2 2 5" xfId="5555" xr:uid="{00000000-0005-0000-0000-0000A70E0000}"/>
    <cellStyle name="40% - Accent1 6 3 2 2 5 2" xfId="5556" xr:uid="{00000000-0005-0000-0000-0000A80E0000}"/>
    <cellStyle name="40% - Accent1 6 3 2 2 6" xfId="5557" xr:uid="{00000000-0005-0000-0000-0000A90E0000}"/>
    <cellStyle name="40% - Accent1 6 3 2 2 7" xfId="5534" xr:uid="{00000000-0005-0000-0000-0000AA0E0000}"/>
    <cellStyle name="40% - Accent1 6 3 2 3" xfId="5558" xr:uid="{00000000-0005-0000-0000-0000AB0E0000}"/>
    <cellStyle name="40% - Accent1 6 3 2 3 2" xfId="5559" xr:uid="{00000000-0005-0000-0000-0000AC0E0000}"/>
    <cellStyle name="40% - Accent1 6 3 2 3 2 2" xfId="5560" xr:uid="{00000000-0005-0000-0000-0000AD0E0000}"/>
    <cellStyle name="40% - Accent1 6 3 2 3 2 2 2" xfId="5561" xr:uid="{00000000-0005-0000-0000-0000AE0E0000}"/>
    <cellStyle name="40% - Accent1 6 3 2 3 2 2 2 2" xfId="5562" xr:uid="{00000000-0005-0000-0000-0000AF0E0000}"/>
    <cellStyle name="40% - Accent1 6 3 2 3 2 2 3" xfId="5563" xr:uid="{00000000-0005-0000-0000-0000B00E0000}"/>
    <cellStyle name="40% - Accent1 6 3 2 3 2 3" xfId="5564" xr:uid="{00000000-0005-0000-0000-0000B10E0000}"/>
    <cellStyle name="40% - Accent1 6 3 2 3 2 3 2" xfId="5565" xr:uid="{00000000-0005-0000-0000-0000B20E0000}"/>
    <cellStyle name="40% - Accent1 6 3 2 3 2 4" xfId="5566" xr:uid="{00000000-0005-0000-0000-0000B30E0000}"/>
    <cellStyle name="40% - Accent1 6 3 2 3 3" xfId="5567" xr:uid="{00000000-0005-0000-0000-0000B40E0000}"/>
    <cellStyle name="40% - Accent1 6 3 2 3 3 2" xfId="5568" xr:uid="{00000000-0005-0000-0000-0000B50E0000}"/>
    <cellStyle name="40% - Accent1 6 3 2 3 3 2 2" xfId="5569" xr:uid="{00000000-0005-0000-0000-0000B60E0000}"/>
    <cellStyle name="40% - Accent1 6 3 2 3 3 3" xfId="5570" xr:uid="{00000000-0005-0000-0000-0000B70E0000}"/>
    <cellStyle name="40% - Accent1 6 3 2 3 4" xfId="5571" xr:uid="{00000000-0005-0000-0000-0000B80E0000}"/>
    <cellStyle name="40% - Accent1 6 3 2 3 4 2" xfId="5572" xr:uid="{00000000-0005-0000-0000-0000B90E0000}"/>
    <cellStyle name="40% - Accent1 6 3 2 3 5" xfId="5573" xr:uid="{00000000-0005-0000-0000-0000BA0E0000}"/>
    <cellStyle name="40% - Accent1 6 3 2 4" xfId="5574" xr:uid="{00000000-0005-0000-0000-0000BB0E0000}"/>
    <cellStyle name="40% - Accent1 6 3 2 4 2" xfId="5575" xr:uid="{00000000-0005-0000-0000-0000BC0E0000}"/>
    <cellStyle name="40% - Accent1 6 3 2 4 2 2" xfId="5576" xr:uid="{00000000-0005-0000-0000-0000BD0E0000}"/>
    <cellStyle name="40% - Accent1 6 3 2 4 2 2 2" xfId="5577" xr:uid="{00000000-0005-0000-0000-0000BE0E0000}"/>
    <cellStyle name="40% - Accent1 6 3 2 4 2 2 2 2" xfId="5578" xr:uid="{00000000-0005-0000-0000-0000BF0E0000}"/>
    <cellStyle name="40% - Accent1 6 3 2 4 2 2 3" xfId="5579" xr:uid="{00000000-0005-0000-0000-0000C00E0000}"/>
    <cellStyle name="40% - Accent1 6 3 2 4 2 3" xfId="5580" xr:uid="{00000000-0005-0000-0000-0000C10E0000}"/>
    <cellStyle name="40% - Accent1 6 3 2 4 2 3 2" xfId="5581" xr:uid="{00000000-0005-0000-0000-0000C20E0000}"/>
    <cellStyle name="40% - Accent1 6 3 2 4 2 4" xfId="5582" xr:uid="{00000000-0005-0000-0000-0000C30E0000}"/>
    <cellStyle name="40% - Accent1 6 3 2 4 3" xfId="5583" xr:uid="{00000000-0005-0000-0000-0000C40E0000}"/>
    <cellStyle name="40% - Accent1 6 3 2 4 3 2" xfId="5584" xr:uid="{00000000-0005-0000-0000-0000C50E0000}"/>
    <cellStyle name="40% - Accent1 6 3 2 4 3 2 2" xfId="5585" xr:uid="{00000000-0005-0000-0000-0000C60E0000}"/>
    <cellStyle name="40% - Accent1 6 3 2 4 3 3" xfId="5586" xr:uid="{00000000-0005-0000-0000-0000C70E0000}"/>
    <cellStyle name="40% - Accent1 6 3 2 4 4" xfId="5587" xr:uid="{00000000-0005-0000-0000-0000C80E0000}"/>
    <cellStyle name="40% - Accent1 6 3 2 4 4 2" xfId="5588" xr:uid="{00000000-0005-0000-0000-0000C90E0000}"/>
    <cellStyle name="40% - Accent1 6 3 2 4 5" xfId="5589" xr:uid="{00000000-0005-0000-0000-0000CA0E0000}"/>
    <cellStyle name="40% - Accent1 6 3 2 5" xfId="5590" xr:uid="{00000000-0005-0000-0000-0000CB0E0000}"/>
    <cellStyle name="40% - Accent1 6 3 2 5 2" xfId="5591" xr:uid="{00000000-0005-0000-0000-0000CC0E0000}"/>
    <cellStyle name="40% - Accent1 6 3 2 5 2 2" xfId="5592" xr:uid="{00000000-0005-0000-0000-0000CD0E0000}"/>
    <cellStyle name="40% - Accent1 6 3 2 5 2 2 2" xfId="5593" xr:uid="{00000000-0005-0000-0000-0000CE0E0000}"/>
    <cellStyle name="40% - Accent1 6 3 2 5 2 3" xfId="5594" xr:uid="{00000000-0005-0000-0000-0000CF0E0000}"/>
    <cellStyle name="40% - Accent1 6 3 2 5 3" xfId="5595" xr:uid="{00000000-0005-0000-0000-0000D00E0000}"/>
    <cellStyle name="40% - Accent1 6 3 2 5 3 2" xfId="5596" xr:uid="{00000000-0005-0000-0000-0000D10E0000}"/>
    <cellStyle name="40% - Accent1 6 3 2 5 4" xfId="5597" xr:uid="{00000000-0005-0000-0000-0000D20E0000}"/>
    <cellStyle name="40% - Accent1 6 3 2 6" xfId="5598" xr:uid="{00000000-0005-0000-0000-0000D30E0000}"/>
    <cellStyle name="40% - Accent1 6 3 2 6 2" xfId="5599" xr:uid="{00000000-0005-0000-0000-0000D40E0000}"/>
    <cellStyle name="40% - Accent1 6 3 2 6 2 2" xfId="5600" xr:uid="{00000000-0005-0000-0000-0000D50E0000}"/>
    <cellStyle name="40% - Accent1 6 3 2 6 2 2 2" xfId="5601" xr:uid="{00000000-0005-0000-0000-0000D60E0000}"/>
    <cellStyle name="40% - Accent1 6 3 2 6 2 3" xfId="5602" xr:uid="{00000000-0005-0000-0000-0000D70E0000}"/>
    <cellStyle name="40% - Accent1 6 3 2 6 3" xfId="5603" xr:uid="{00000000-0005-0000-0000-0000D80E0000}"/>
    <cellStyle name="40% - Accent1 6 3 2 6 3 2" xfId="5604" xr:uid="{00000000-0005-0000-0000-0000D90E0000}"/>
    <cellStyle name="40% - Accent1 6 3 2 6 4" xfId="5605" xr:uid="{00000000-0005-0000-0000-0000DA0E0000}"/>
    <cellStyle name="40% - Accent1 6 3 2 7" xfId="5606" xr:uid="{00000000-0005-0000-0000-0000DB0E0000}"/>
    <cellStyle name="40% - Accent1 6 3 2 7 2" xfId="5607" xr:uid="{00000000-0005-0000-0000-0000DC0E0000}"/>
    <cellStyle name="40% - Accent1 6 3 2 7 2 2" xfId="5608" xr:uid="{00000000-0005-0000-0000-0000DD0E0000}"/>
    <cellStyle name="40% - Accent1 6 3 2 7 2 2 2" xfId="5609" xr:uid="{00000000-0005-0000-0000-0000DE0E0000}"/>
    <cellStyle name="40% - Accent1 6 3 2 7 2 3" xfId="5610" xr:uid="{00000000-0005-0000-0000-0000DF0E0000}"/>
    <cellStyle name="40% - Accent1 6 3 2 7 3" xfId="5611" xr:uid="{00000000-0005-0000-0000-0000E00E0000}"/>
    <cellStyle name="40% - Accent1 6 3 2 7 3 2" xfId="5612" xr:uid="{00000000-0005-0000-0000-0000E10E0000}"/>
    <cellStyle name="40% - Accent1 6 3 2 7 4" xfId="5613" xr:uid="{00000000-0005-0000-0000-0000E20E0000}"/>
    <cellStyle name="40% - Accent1 6 3 2 8" xfId="5614" xr:uid="{00000000-0005-0000-0000-0000E30E0000}"/>
    <cellStyle name="40% - Accent1 6 3 2 8 2" xfId="5615" xr:uid="{00000000-0005-0000-0000-0000E40E0000}"/>
    <cellStyle name="40% - Accent1 6 3 2 8 2 2" xfId="5616" xr:uid="{00000000-0005-0000-0000-0000E50E0000}"/>
    <cellStyle name="40% - Accent1 6 3 2 8 3" xfId="5617" xr:uid="{00000000-0005-0000-0000-0000E60E0000}"/>
    <cellStyle name="40% - Accent1 6 3 2 9" xfId="5618" xr:uid="{00000000-0005-0000-0000-0000E70E0000}"/>
    <cellStyle name="40% - Accent1 6 3 2 9 2" xfId="5619" xr:uid="{00000000-0005-0000-0000-0000E80E0000}"/>
    <cellStyle name="40% - Accent1 6 3 3" xfId="1264" xr:uid="{00000000-0005-0000-0000-0000E90E0000}"/>
    <cellStyle name="40% - Accent1 6 3 3 2" xfId="5621" xr:uid="{00000000-0005-0000-0000-0000EA0E0000}"/>
    <cellStyle name="40% - Accent1 6 3 3 2 2" xfId="5622" xr:uid="{00000000-0005-0000-0000-0000EB0E0000}"/>
    <cellStyle name="40% - Accent1 6 3 3 2 2 2" xfId="5623" xr:uid="{00000000-0005-0000-0000-0000EC0E0000}"/>
    <cellStyle name="40% - Accent1 6 3 3 2 2 2 2" xfId="5624" xr:uid="{00000000-0005-0000-0000-0000ED0E0000}"/>
    <cellStyle name="40% - Accent1 6 3 3 2 2 3" xfId="5625" xr:uid="{00000000-0005-0000-0000-0000EE0E0000}"/>
    <cellStyle name="40% - Accent1 6 3 3 2 3" xfId="5626" xr:uid="{00000000-0005-0000-0000-0000EF0E0000}"/>
    <cellStyle name="40% - Accent1 6 3 3 2 3 2" xfId="5627" xr:uid="{00000000-0005-0000-0000-0000F00E0000}"/>
    <cellStyle name="40% - Accent1 6 3 3 2 4" xfId="5628" xr:uid="{00000000-0005-0000-0000-0000F10E0000}"/>
    <cellStyle name="40% - Accent1 6 3 3 3" xfId="5629" xr:uid="{00000000-0005-0000-0000-0000F20E0000}"/>
    <cellStyle name="40% - Accent1 6 3 3 3 2" xfId="5630" xr:uid="{00000000-0005-0000-0000-0000F30E0000}"/>
    <cellStyle name="40% - Accent1 6 3 3 3 2 2" xfId="5631" xr:uid="{00000000-0005-0000-0000-0000F40E0000}"/>
    <cellStyle name="40% - Accent1 6 3 3 3 2 2 2" xfId="5632" xr:uid="{00000000-0005-0000-0000-0000F50E0000}"/>
    <cellStyle name="40% - Accent1 6 3 3 3 2 3" xfId="5633" xr:uid="{00000000-0005-0000-0000-0000F60E0000}"/>
    <cellStyle name="40% - Accent1 6 3 3 3 3" xfId="5634" xr:uid="{00000000-0005-0000-0000-0000F70E0000}"/>
    <cellStyle name="40% - Accent1 6 3 3 3 3 2" xfId="5635" xr:uid="{00000000-0005-0000-0000-0000F80E0000}"/>
    <cellStyle name="40% - Accent1 6 3 3 3 4" xfId="5636" xr:uid="{00000000-0005-0000-0000-0000F90E0000}"/>
    <cellStyle name="40% - Accent1 6 3 3 4" xfId="5637" xr:uid="{00000000-0005-0000-0000-0000FA0E0000}"/>
    <cellStyle name="40% - Accent1 6 3 3 4 2" xfId="5638" xr:uid="{00000000-0005-0000-0000-0000FB0E0000}"/>
    <cellStyle name="40% - Accent1 6 3 3 4 2 2" xfId="5639" xr:uid="{00000000-0005-0000-0000-0000FC0E0000}"/>
    <cellStyle name="40% - Accent1 6 3 3 4 3" xfId="5640" xr:uid="{00000000-0005-0000-0000-0000FD0E0000}"/>
    <cellStyle name="40% - Accent1 6 3 3 5" xfId="5641" xr:uid="{00000000-0005-0000-0000-0000FE0E0000}"/>
    <cellStyle name="40% - Accent1 6 3 3 5 2" xfId="5642" xr:uid="{00000000-0005-0000-0000-0000FF0E0000}"/>
    <cellStyle name="40% - Accent1 6 3 3 6" xfId="5643" xr:uid="{00000000-0005-0000-0000-0000000F0000}"/>
    <cellStyle name="40% - Accent1 6 3 3 7" xfId="5620" xr:uid="{00000000-0005-0000-0000-0000010F0000}"/>
    <cellStyle name="40% - Accent1 6 3 4" xfId="5644" xr:uid="{00000000-0005-0000-0000-0000020F0000}"/>
    <cellStyle name="40% - Accent1 6 3 4 2" xfId="5645" xr:uid="{00000000-0005-0000-0000-0000030F0000}"/>
    <cellStyle name="40% - Accent1 6 3 4 2 2" xfId="5646" xr:uid="{00000000-0005-0000-0000-0000040F0000}"/>
    <cellStyle name="40% - Accent1 6 3 4 2 2 2" xfId="5647" xr:uid="{00000000-0005-0000-0000-0000050F0000}"/>
    <cellStyle name="40% - Accent1 6 3 4 2 2 2 2" xfId="5648" xr:uid="{00000000-0005-0000-0000-0000060F0000}"/>
    <cellStyle name="40% - Accent1 6 3 4 2 2 3" xfId="5649" xr:uid="{00000000-0005-0000-0000-0000070F0000}"/>
    <cellStyle name="40% - Accent1 6 3 4 2 3" xfId="5650" xr:uid="{00000000-0005-0000-0000-0000080F0000}"/>
    <cellStyle name="40% - Accent1 6 3 4 2 3 2" xfId="5651" xr:uid="{00000000-0005-0000-0000-0000090F0000}"/>
    <cellStyle name="40% - Accent1 6 3 4 2 4" xfId="5652" xr:uid="{00000000-0005-0000-0000-00000A0F0000}"/>
    <cellStyle name="40% - Accent1 6 3 4 3" xfId="5653" xr:uid="{00000000-0005-0000-0000-00000B0F0000}"/>
    <cellStyle name="40% - Accent1 6 3 4 3 2" xfId="5654" xr:uid="{00000000-0005-0000-0000-00000C0F0000}"/>
    <cellStyle name="40% - Accent1 6 3 4 3 2 2" xfId="5655" xr:uid="{00000000-0005-0000-0000-00000D0F0000}"/>
    <cellStyle name="40% - Accent1 6 3 4 3 3" xfId="5656" xr:uid="{00000000-0005-0000-0000-00000E0F0000}"/>
    <cellStyle name="40% - Accent1 6 3 4 4" xfId="5657" xr:uid="{00000000-0005-0000-0000-00000F0F0000}"/>
    <cellStyle name="40% - Accent1 6 3 4 4 2" xfId="5658" xr:uid="{00000000-0005-0000-0000-0000100F0000}"/>
    <cellStyle name="40% - Accent1 6 3 4 5" xfId="5659" xr:uid="{00000000-0005-0000-0000-0000110F0000}"/>
    <cellStyle name="40% - Accent1 6 3 5" xfId="5660" xr:uid="{00000000-0005-0000-0000-0000120F0000}"/>
    <cellStyle name="40% - Accent1 6 3 5 2" xfId="5661" xr:uid="{00000000-0005-0000-0000-0000130F0000}"/>
    <cellStyle name="40% - Accent1 6 3 5 2 2" xfId="5662" xr:uid="{00000000-0005-0000-0000-0000140F0000}"/>
    <cellStyle name="40% - Accent1 6 3 5 2 2 2" xfId="5663" xr:uid="{00000000-0005-0000-0000-0000150F0000}"/>
    <cellStyle name="40% - Accent1 6 3 5 2 2 2 2" xfId="5664" xr:uid="{00000000-0005-0000-0000-0000160F0000}"/>
    <cellStyle name="40% - Accent1 6 3 5 2 2 3" xfId="5665" xr:uid="{00000000-0005-0000-0000-0000170F0000}"/>
    <cellStyle name="40% - Accent1 6 3 5 2 3" xfId="5666" xr:uid="{00000000-0005-0000-0000-0000180F0000}"/>
    <cellStyle name="40% - Accent1 6 3 5 2 3 2" xfId="5667" xr:uid="{00000000-0005-0000-0000-0000190F0000}"/>
    <cellStyle name="40% - Accent1 6 3 5 2 4" xfId="5668" xr:uid="{00000000-0005-0000-0000-00001A0F0000}"/>
    <cellStyle name="40% - Accent1 6 3 5 3" xfId="5669" xr:uid="{00000000-0005-0000-0000-00001B0F0000}"/>
    <cellStyle name="40% - Accent1 6 3 5 3 2" xfId="5670" xr:uid="{00000000-0005-0000-0000-00001C0F0000}"/>
    <cellStyle name="40% - Accent1 6 3 5 3 2 2" xfId="5671" xr:uid="{00000000-0005-0000-0000-00001D0F0000}"/>
    <cellStyle name="40% - Accent1 6 3 5 3 3" xfId="5672" xr:uid="{00000000-0005-0000-0000-00001E0F0000}"/>
    <cellStyle name="40% - Accent1 6 3 5 4" xfId="5673" xr:uid="{00000000-0005-0000-0000-00001F0F0000}"/>
    <cellStyle name="40% - Accent1 6 3 5 4 2" xfId="5674" xr:uid="{00000000-0005-0000-0000-0000200F0000}"/>
    <cellStyle name="40% - Accent1 6 3 5 5" xfId="5675" xr:uid="{00000000-0005-0000-0000-0000210F0000}"/>
    <cellStyle name="40% - Accent1 6 3 6" xfId="5676" xr:uid="{00000000-0005-0000-0000-0000220F0000}"/>
    <cellStyle name="40% - Accent1 6 3 6 2" xfId="5677" xr:uid="{00000000-0005-0000-0000-0000230F0000}"/>
    <cellStyle name="40% - Accent1 6 3 6 2 2" xfId="5678" xr:uid="{00000000-0005-0000-0000-0000240F0000}"/>
    <cellStyle name="40% - Accent1 6 3 6 2 2 2" xfId="5679" xr:uid="{00000000-0005-0000-0000-0000250F0000}"/>
    <cellStyle name="40% - Accent1 6 3 6 2 3" xfId="5680" xr:uid="{00000000-0005-0000-0000-0000260F0000}"/>
    <cellStyle name="40% - Accent1 6 3 6 3" xfId="5681" xr:uid="{00000000-0005-0000-0000-0000270F0000}"/>
    <cellStyle name="40% - Accent1 6 3 6 3 2" xfId="5682" xr:uid="{00000000-0005-0000-0000-0000280F0000}"/>
    <cellStyle name="40% - Accent1 6 3 6 4" xfId="5683" xr:uid="{00000000-0005-0000-0000-0000290F0000}"/>
    <cellStyle name="40% - Accent1 6 3 7" xfId="5684" xr:uid="{00000000-0005-0000-0000-00002A0F0000}"/>
    <cellStyle name="40% - Accent1 6 3 7 2" xfId="5685" xr:uid="{00000000-0005-0000-0000-00002B0F0000}"/>
    <cellStyle name="40% - Accent1 6 3 7 2 2" xfId="5686" xr:uid="{00000000-0005-0000-0000-00002C0F0000}"/>
    <cellStyle name="40% - Accent1 6 3 7 2 2 2" xfId="5687" xr:uid="{00000000-0005-0000-0000-00002D0F0000}"/>
    <cellStyle name="40% - Accent1 6 3 7 2 3" xfId="5688" xr:uid="{00000000-0005-0000-0000-00002E0F0000}"/>
    <cellStyle name="40% - Accent1 6 3 7 3" xfId="5689" xr:uid="{00000000-0005-0000-0000-00002F0F0000}"/>
    <cellStyle name="40% - Accent1 6 3 7 3 2" xfId="5690" xr:uid="{00000000-0005-0000-0000-0000300F0000}"/>
    <cellStyle name="40% - Accent1 6 3 7 4" xfId="5691" xr:uid="{00000000-0005-0000-0000-0000310F0000}"/>
    <cellStyle name="40% - Accent1 6 3 8" xfId="5692" xr:uid="{00000000-0005-0000-0000-0000320F0000}"/>
    <cellStyle name="40% - Accent1 6 3 8 2" xfId="5693" xr:uid="{00000000-0005-0000-0000-0000330F0000}"/>
    <cellStyle name="40% - Accent1 6 3 8 2 2" xfId="5694" xr:uid="{00000000-0005-0000-0000-0000340F0000}"/>
    <cellStyle name="40% - Accent1 6 3 8 2 2 2" xfId="5695" xr:uid="{00000000-0005-0000-0000-0000350F0000}"/>
    <cellStyle name="40% - Accent1 6 3 8 2 3" xfId="5696" xr:uid="{00000000-0005-0000-0000-0000360F0000}"/>
    <cellStyle name="40% - Accent1 6 3 8 3" xfId="5697" xr:uid="{00000000-0005-0000-0000-0000370F0000}"/>
    <cellStyle name="40% - Accent1 6 3 8 3 2" xfId="5698" xr:uid="{00000000-0005-0000-0000-0000380F0000}"/>
    <cellStyle name="40% - Accent1 6 3 8 4" xfId="5699" xr:uid="{00000000-0005-0000-0000-0000390F0000}"/>
    <cellStyle name="40% - Accent1 6 3 9" xfId="5700" xr:uid="{00000000-0005-0000-0000-00003A0F0000}"/>
    <cellStyle name="40% - Accent1 6 3 9 2" xfId="5701" xr:uid="{00000000-0005-0000-0000-00003B0F0000}"/>
    <cellStyle name="40% - Accent1 6 3 9 2 2" xfId="5702" xr:uid="{00000000-0005-0000-0000-00003C0F0000}"/>
    <cellStyle name="40% - Accent1 6 3 9 3" xfId="5703" xr:uid="{00000000-0005-0000-0000-00003D0F0000}"/>
    <cellStyle name="40% - Accent1 6 4" xfId="829" xr:uid="{00000000-0005-0000-0000-00003E0F0000}"/>
    <cellStyle name="40% - Accent1 6 4 10" xfId="5705" xr:uid="{00000000-0005-0000-0000-00003F0F0000}"/>
    <cellStyle name="40% - Accent1 6 4 11" xfId="5704" xr:uid="{00000000-0005-0000-0000-0000400F0000}"/>
    <cellStyle name="40% - Accent1 6 4 2" xfId="1587" xr:uid="{00000000-0005-0000-0000-0000410F0000}"/>
    <cellStyle name="40% - Accent1 6 4 2 2" xfId="5707" xr:uid="{00000000-0005-0000-0000-0000420F0000}"/>
    <cellStyle name="40% - Accent1 6 4 2 2 2" xfId="5708" xr:uid="{00000000-0005-0000-0000-0000430F0000}"/>
    <cellStyle name="40% - Accent1 6 4 2 2 2 2" xfId="5709" xr:uid="{00000000-0005-0000-0000-0000440F0000}"/>
    <cellStyle name="40% - Accent1 6 4 2 2 2 2 2" xfId="5710" xr:uid="{00000000-0005-0000-0000-0000450F0000}"/>
    <cellStyle name="40% - Accent1 6 4 2 2 2 3" xfId="5711" xr:uid="{00000000-0005-0000-0000-0000460F0000}"/>
    <cellStyle name="40% - Accent1 6 4 2 2 3" xfId="5712" xr:uid="{00000000-0005-0000-0000-0000470F0000}"/>
    <cellStyle name="40% - Accent1 6 4 2 2 3 2" xfId="5713" xr:uid="{00000000-0005-0000-0000-0000480F0000}"/>
    <cellStyle name="40% - Accent1 6 4 2 2 4" xfId="5714" xr:uid="{00000000-0005-0000-0000-0000490F0000}"/>
    <cellStyle name="40% - Accent1 6 4 2 3" xfId="5715" xr:uid="{00000000-0005-0000-0000-00004A0F0000}"/>
    <cellStyle name="40% - Accent1 6 4 2 3 2" xfId="5716" xr:uid="{00000000-0005-0000-0000-00004B0F0000}"/>
    <cellStyle name="40% - Accent1 6 4 2 3 2 2" xfId="5717" xr:uid="{00000000-0005-0000-0000-00004C0F0000}"/>
    <cellStyle name="40% - Accent1 6 4 2 3 2 2 2" xfId="5718" xr:uid="{00000000-0005-0000-0000-00004D0F0000}"/>
    <cellStyle name="40% - Accent1 6 4 2 3 2 3" xfId="5719" xr:uid="{00000000-0005-0000-0000-00004E0F0000}"/>
    <cellStyle name="40% - Accent1 6 4 2 3 3" xfId="5720" xr:uid="{00000000-0005-0000-0000-00004F0F0000}"/>
    <cellStyle name="40% - Accent1 6 4 2 3 3 2" xfId="5721" xr:uid="{00000000-0005-0000-0000-0000500F0000}"/>
    <cellStyle name="40% - Accent1 6 4 2 3 4" xfId="5722" xr:uid="{00000000-0005-0000-0000-0000510F0000}"/>
    <cellStyle name="40% - Accent1 6 4 2 4" xfId="5723" xr:uid="{00000000-0005-0000-0000-0000520F0000}"/>
    <cellStyle name="40% - Accent1 6 4 2 4 2" xfId="5724" xr:uid="{00000000-0005-0000-0000-0000530F0000}"/>
    <cellStyle name="40% - Accent1 6 4 2 4 2 2" xfId="5725" xr:uid="{00000000-0005-0000-0000-0000540F0000}"/>
    <cellStyle name="40% - Accent1 6 4 2 4 3" xfId="5726" xr:uid="{00000000-0005-0000-0000-0000550F0000}"/>
    <cellStyle name="40% - Accent1 6 4 2 5" xfId="5727" xr:uid="{00000000-0005-0000-0000-0000560F0000}"/>
    <cellStyle name="40% - Accent1 6 4 2 5 2" xfId="5728" xr:uid="{00000000-0005-0000-0000-0000570F0000}"/>
    <cellStyle name="40% - Accent1 6 4 2 6" xfId="5729" xr:uid="{00000000-0005-0000-0000-0000580F0000}"/>
    <cellStyle name="40% - Accent1 6 4 2 7" xfId="5706" xr:uid="{00000000-0005-0000-0000-0000590F0000}"/>
    <cellStyle name="40% - Accent1 6 4 3" xfId="5730" xr:uid="{00000000-0005-0000-0000-00005A0F0000}"/>
    <cellStyle name="40% - Accent1 6 4 3 2" xfId="5731" xr:uid="{00000000-0005-0000-0000-00005B0F0000}"/>
    <cellStyle name="40% - Accent1 6 4 3 2 2" xfId="5732" xr:uid="{00000000-0005-0000-0000-00005C0F0000}"/>
    <cellStyle name="40% - Accent1 6 4 3 2 2 2" xfId="5733" xr:uid="{00000000-0005-0000-0000-00005D0F0000}"/>
    <cellStyle name="40% - Accent1 6 4 3 2 2 2 2" xfId="5734" xr:uid="{00000000-0005-0000-0000-00005E0F0000}"/>
    <cellStyle name="40% - Accent1 6 4 3 2 2 3" xfId="5735" xr:uid="{00000000-0005-0000-0000-00005F0F0000}"/>
    <cellStyle name="40% - Accent1 6 4 3 2 3" xfId="5736" xr:uid="{00000000-0005-0000-0000-0000600F0000}"/>
    <cellStyle name="40% - Accent1 6 4 3 2 3 2" xfId="5737" xr:uid="{00000000-0005-0000-0000-0000610F0000}"/>
    <cellStyle name="40% - Accent1 6 4 3 2 4" xfId="5738" xr:uid="{00000000-0005-0000-0000-0000620F0000}"/>
    <cellStyle name="40% - Accent1 6 4 3 3" xfId="5739" xr:uid="{00000000-0005-0000-0000-0000630F0000}"/>
    <cellStyle name="40% - Accent1 6 4 3 3 2" xfId="5740" xr:uid="{00000000-0005-0000-0000-0000640F0000}"/>
    <cellStyle name="40% - Accent1 6 4 3 3 2 2" xfId="5741" xr:uid="{00000000-0005-0000-0000-0000650F0000}"/>
    <cellStyle name="40% - Accent1 6 4 3 3 3" xfId="5742" xr:uid="{00000000-0005-0000-0000-0000660F0000}"/>
    <cellStyle name="40% - Accent1 6 4 3 4" xfId="5743" xr:uid="{00000000-0005-0000-0000-0000670F0000}"/>
    <cellStyle name="40% - Accent1 6 4 3 4 2" xfId="5744" xr:uid="{00000000-0005-0000-0000-0000680F0000}"/>
    <cellStyle name="40% - Accent1 6 4 3 5" xfId="5745" xr:uid="{00000000-0005-0000-0000-0000690F0000}"/>
    <cellStyle name="40% - Accent1 6 4 4" xfId="5746" xr:uid="{00000000-0005-0000-0000-00006A0F0000}"/>
    <cellStyle name="40% - Accent1 6 4 4 2" xfId="5747" xr:uid="{00000000-0005-0000-0000-00006B0F0000}"/>
    <cellStyle name="40% - Accent1 6 4 4 2 2" xfId="5748" xr:uid="{00000000-0005-0000-0000-00006C0F0000}"/>
    <cellStyle name="40% - Accent1 6 4 4 2 2 2" xfId="5749" xr:uid="{00000000-0005-0000-0000-00006D0F0000}"/>
    <cellStyle name="40% - Accent1 6 4 4 2 2 2 2" xfId="5750" xr:uid="{00000000-0005-0000-0000-00006E0F0000}"/>
    <cellStyle name="40% - Accent1 6 4 4 2 2 3" xfId="5751" xr:uid="{00000000-0005-0000-0000-00006F0F0000}"/>
    <cellStyle name="40% - Accent1 6 4 4 2 3" xfId="5752" xr:uid="{00000000-0005-0000-0000-0000700F0000}"/>
    <cellStyle name="40% - Accent1 6 4 4 2 3 2" xfId="5753" xr:uid="{00000000-0005-0000-0000-0000710F0000}"/>
    <cellStyle name="40% - Accent1 6 4 4 2 4" xfId="5754" xr:uid="{00000000-0005-0000-0000-0000720F0000}"/>
    <cellStyle name="40% - Accent1 6 4 4 3" xfId="5755" xr:uid="{00000000-0005-0000-0000-0000730F0000}"/>
    <cellStyle name="40% - Accent1 6 4 4 3 2" xfId="5756" xr:uid="{00000000-0005-0000-0000-0000740F0000}"/>
    <cellStyle name="40% - Accent1 6 4 4 3 2 2" xfId="5757" xr:uid="{00000000-0005-0000-0000-0000750F0000}"/>
    <cellStyle name="40% - Accent1 6 4 4 3 3" xfId="5758" xr:uid="{00000000-0005-0000-0000-0000760F0000}"/>
    <cellStyle name="40% - Accent1 6 4 4 4" xfId="5759" xr:uid="{00000000-0005-0000-0000-0000770F0000}"/>
    <cellStyle name="40% - Accent1 6 4 4 4 2" xfId="5760" xr:uid="{00000000-0005-0000-0000-0000780F0000}"/>
    <cellStyle name="40% - Accent1 6 4 4 5" xfId="5761" xr:uid="{00000000-0005-0000-0000-0000790F0000}"/>
    <cellStyle name="40% - Accent1 6 4 5" xfId="5762" xr:uid="{00000000-0005-0000-0000-00007A0F0000}"/>
    <cellStyle name="40% - Accent1 6 4 5 2" xfId="5763" xr:uid="{00000000-0005-0000-0000-00007B0F0000}"/>
    <cellStyle name="40% - Accent1 6 4 5 2 2" xfId="5764" xr:uid="{00000000-0005-0000-0000-00007C0F0000}"/>
    <cellStyle name="40% - Accent1 6 4 5 2 2 2" xfId="5765" xr:uid="{00000000-0005-0000-0000-00007D0F0000}"/>
    <cellStyle name="40% - Accent1 6 4 5 2 3" xfId="5766" xr:uid="{00000000-0005-0000-0000-00007E0F0000}"/>
    <cellStyle name="40% - Accent1 6 4 5 3" xfId="5767" xr:uid="{00000000-0005-0000-0000-00007F0F0000}"/>
    <cellStyle name="40% - Accent1 6 4 5 3 2" xfId="5768" xr:uid="{00000000-0005-0000-0000-0000800F0000}"/>
    <cellStyle name="40% - Accent1 6 4 5 4" xfId="5769" xr:uid="{00000000-0005-0000-0000-0000810F0000}"/>
    <cellStyle name="40% - Accent1 6 4 6" xfId="5770" xr:uid="{00000000-0005-0000-0000-0000820F0000}"/>
    <cellStyle name="40% - Accent1 6 4 6 2" xfId="5771" xr:uid="{00000000-0005-0000-0000-0000830F0000}"/>
    <cellStyle name="40% - Accent1 6 4 6 2 2" xfId="5772" xr:uid="{00000000-0005-0000-0000-0000840F0000}"/>
    <cellStyle name="40% - Accent1 6 4 6 2 2 2" xfId="5773" xr:uid="{00000000-0005-0000-0000-0000850F0000}"/>
    <cellStyle name="40% - Accent1 6 4 6 2 3" xfId="5774" xr:uid="{00000000-0005-0000-0000-0000860F0000}"/>
    <cellStyle name="40% - Accent1 6 4 6 3" xfId="5775" xr:uid="{00000000-0005-0000-0000-0000870F0000}"/>
    <cellStyle name="40% - Accent1 6 4 6 3 2" xfId="5776" xr:uid="{00000000-0005-0000-0000-0000880F0000}"/>
    <cellStyle name="40% - Accent1 6 4 6 4" xfId="5777" xr:uid="{00000000-0005-0000-0000-0000890F0000}"/>
    <cellStyle name="40% - Accent1 6 4 7" xfId="5778" xr:uid="{00000000-0005-0000-0000-00008A0F0000}"/>
    <cellStyle name="40% - Accent1 6 4 7 2" xfId="5779" xr:uid="{00000000-0005-0000-0000-00008B0F0000}"/>
    <cellStyle name="40% - Accent1 6 4 7 2 2" xfId="5780" xr:uid="{00000000-0005-0000-0000-00008C0F0000}"/>
    <cellStyle name="40% - Accent1 6 4 7 2 2 2" xfId="5781" xr:uid="{00000000-0005-0000-0000-00008D0F0000}"/>
    <cellStyle name="40% - Accent1 6 4 7 2 3" xfId="5782" xr:uid="{00000000-0005-0000-0000-00008E0F0000}"/>
    <cellStyle name="40% - Accent1 6 4 7 3" xfId="5783" xr:uid="{00000000-0005-0000-0000-00008F0F0000}"/>
    <cellStyle name="40% - Accent1 6 4 7 3 2" xfId="5784" xr:uid="{00000000-0005-0000-0000-0000900F0000}"/>
    <cellStyle name="40% - Accent1 6 4 7 4" xfId="5785" xr:uid="{00000000-0005-0000-0000-0000910F0000}"/>
    <cellStyle name="40% - Accent1 6 4 8" xfId="5786" xr:uid="{00000000-0005-0000-0000-0000920F0000}"/>
    <cellStyle name="40% - Accent1 6 4 8 2" xfId="5787" xr:uid="{00000000-0005-0000-0000-0000930F0000}"/>
    <cellStyle name="40% - Accent1 6 4 8 2 2" xfId="5788" xr:uid="{00000000-0005-0000-0000-0000940F0000}"/>
    <cellStyle name="40% - Accent1 6 4 8 3" xfId="5789" xr:uid="{00000000-0005-0000-0000-0000950F0000}"/>
    <cellStyle name="40% - Accent1 6 4 9" xfId="5790" xr:uid="{00000000-0005-0000-0000-0000960F0000}"/>
    <cellStyle name="40% - Accent1 6 4 9 2" xfId="5791" xr:uid="{00000000-0005-0000-0000-0000970F0000}"/>
    <cellStyle name="40% - Accent1 6 5" xfId="1262" xr:uid="{00000000-0005-0000-0000-0000980F0000}"/>
    <cellStyle name="40% - Accent1 6 5 2" xfId="5793" xr:uid="{00000000-0005-0000-0000-0000990F0000}"/>
    <cellStyle name="40% - Accent1 6 5 2 2" xfId="5794" xr:uid="{00000000-0005-0000-0000-00009A0F0000}"/>
    <cellStyle name="40% - Accent1 6 5 2 2 2" xfId="5795" xr:uid="{00000000-0005-0000-0000-00009B0F0000}"/>
    <cellStyle name="40% - Accent1 6 5 2 2 2 2" xfId="5796" xr:uid="{00000000-0005-0000-0000-00009C0F0000}"/>
    <cellStyle name="40% - Accent1 6 5 2 2 3" xfId="5797" xr:uid="{00000000-0005-0000-0000-00009D0F0000}"/>
    <cellStyle name="40% - Accent1 6 5 2 3" xfId="5798" xr:uid="{00000000-0005-0000-0000-00009E0F0000}"/>
    <cellStyle name="40% - Accent1 6 5 2 3 2" xfId="5799" xr:uid="{00000000-0005-0000-0000-00009F0F0000}"/>
    <cellStyle name="40% - Accent1 6 5 2 4" xfId="5800" xr:uid="{00000000-0005-0000-0000-0000A00F0000}"/>
    <cellStyle name="40% - Accent1 6 5 3" xfId="5801" xr:uid="{00000000-0005-0000-0000-0000A10F0000}"/>
    <cellStyle name="40% - Accent1 6 5 3 2" xfId="5802" xr:uid="{00000000-0005-0000-0000-0000A20F0000}"/>
    <cellStyle name="40% - Accent1 6 5 3 2 2" xfId="5803" xr:uid="{00000000-0005-0000-0000-0000A30F0000}"/>
    <cellStyle name="40% - Accent1 6 5 3 2 2 2" xfId="5804" xr:uid="{00000000-0005-0000-0000-0000A40F0000}"/>
    <cellStyle name="40% - Accent1 6 5 3 2 3" xfId="5805" xr:uid="{00000000-0005-0000-0000-0000A50F0000}"/>
    <cellStyle name="40% - Accent1 6 5 3 3" xfId="5806" xr:uid="{00000000-0005-0000-0000-0000A60F0000}"/>
    <cellStyle name="40% - Accent1 6 5 3 3 2" xfId="5807" xr:uid="{00000000-0005-0000-0000-0000A70F0000}"/>
    <cellStyle name="40% - Accent1 6 5 3 4" xfId="5808" xr:uid="{00000000-0005-0000-0000-0000A80F0000}"/>
    <cellStyle name="40% - Accent1 6 5 4" xfId="5809" xr:uid="{00000000-0005-0000-0000-0000A90F0000}"/>
    <cellStyle name="40% - Accent1 6 5 4 2" xfId="5810" xr:uid="{00000000-0005-0000-0000-0000AA0F0000}"/>
    <cellStyle name="40% - Accent1 6 5 4 2 2" xfId="5811" xr:uid="{00000000-0005-0000-0000-0000AB0F0000}"/>
    <cellStyle name="40% - Accent1 6 5 4 3" xfId="5812" xr:uid="{00000000-0005-0000-0000-0000AC0F0000}"/>
    <cellStyle name="40% - Accent1 6 5 5" xfId="5813" xr:uid="{00000000-0005-0000-0000-0000AD0F0000}"/>
    <cellStyle name="40% - Accent1 6 5 5 2" xfId="5814" xr:uid="{00000000-0005-0000-0000-0000AE0F0000}"/>
    <cellStyle name="40% - Accent1 6 5 6" xfId="5815" xr:uid="{00000000-0005-0000-0000-0000AF0F0000}"/>
    <cellStyle name="40% - Accent1 6 5 7" xfId="5792" xr:uid="{00000000-0005-0000-0000-0000B00F0000}"/>
    <cellStyle name="40% - Accent1 6 6" xfId="5816" xr:uid="{00000000-0005-0000-0000-0000B10F0000}"/>
    <cellStyle name="40% - Accent1 6 6 2" xfId="5817" xr:uid="{00000000-0005-0000-0000-0000B20F0000}"/>
    <cellStyle name="40% - Accent1 6 6 2 2" xfId="5818" xr:uid="{00000000-0005-0000-0000-0000B30F0000}"/>
    <cellStyle name="40% - Accent1 6 6 2 2 2" xfId="5819" xr:uid="{00000000-0005-0000-0000-0000B40F0000}"/>
    <cellStyle name="40% - Accent1 6 6 2 2 2 2" xfId="5820" xr:uid="{00000000-0005-0000-0000-0000B50F0000}"/>
    <cellStyle name="40% - Accent1 6 6 2 2 3" xfId="5821" xr:uid="{00000000-0005-0000-0000-0000B60F0000}"/>
    <cellStyle name="40% - Accent1 6 6 2 3" xfId="5822" xr:uid="{00000000-0005-0000-0000-0000B70F0000}"/>
    <cellStyle name="40% - Accent1 6 6 2 3 2" xfId="5823" xr:uid="{00000000-0005-0000-0000-0000B80F0000}"/>
    <cellStyle name="40% - Accent1 6 6 2 4" xfId="5824" xr:uid="{00000000-0005-0000-0000-0000B90F0000}"/>
    <cellStyle name="40% - Accent1 6 6 3" xfId="5825" xr:uid="{00000000-0005-0000-0000-0000BA0F0000}"/>
    <cellStyle name="40% - Accent1 6 6 3 2" xfId="5826" xr:uid="{00000000-0005-0000-0000-0000BB0F0000}"/>
    <cellStyle name="40% - Accent1 6 6 3 2 2" xfId="5827" xr:uid="{00000000-0005-0000-0000-0000BC0F0000}"/>
    <cellStyle name="40% - Accent1 6 6 3 3" xfId="5828" xr:uid="{00000000-0005-0000-0000-0000BD0F0000}"/>
    <cellStyle name="40% - Accent1 6 6 4" xfId="5829" xr:uid="{00000000-0005-0000-0000-0000BE0F0000}"/>
    <cellStyle name="40% - Accent1 6 6 4 2" xfId="5830" xr:uid="{00000000-0005-0000-0000-0000BF0F0000}"/>
    <cellStyle name="40% - Accent1 6 6 5" xfId="5831" xr:uid="{00000000-0005-0000-0000-0000C00F0000}"/>
    <cellStyle name="40% - Accent1 6 7" xfId="5832" xr:uid="{00000000-0005-0000-0000-0000C10F0000}"/>
    <cellStyle name="40% - Accent1 6 7 2" xfId="5833" xr:uid="{00000000-0005-0000-0000-0000C20F0000}"/>
    <cellStyle name="40% - Accent1 6 7 2 2" xfId="5834" xr:uid="{00000000-0005-0000-0000-0000C30F0000}"/>
    <cellStyle name="40% - Accent1 6 7 2 2 2" xfId="5835" xr:uid="{00000000-0005-0000-0000-0000C40F0000}"/>
    <cellStyle name="40% - Accent1 6 7 2 2 2 2" xfId="5836" xr:uid="{00000000-0005-0000-0000-0000C50F0000}"/>
    <cellStyle name="40% - Accent1 6 7 2 2 3" xfId="5837" xr:uid="{00000000-0005-0000-0000-0000C60F0000}"/>
    <cellStyle name="40% - Accent1 6 7 2 3" xfId="5838" xr:uid="{00000000-0005-0000-0000-0000C70F0000}"/>
    <cellStyle name="40% - Accent1 6 7 2 3 2" xfId="5839" xr:uid="{00000000-0005-0000-0000-0000C80F0000}"/>
    <cellStyle name="40% - Accent1 6 7 2 4" xfId="5840" xr:uid="{00000000-0005-0000-0000-0000C90F0000}"/>
    <cellStyle name="40% - Accent1 6 7 3" xfId="5841" xr:uid="{00000000-0005-0000-0000-0000CA0F0000}"/>
    <cellStyle name="40% - Accent1 6 7 3 2" xfId="5842" xr:uid="{00000000-0005-0000-0000-0000CB0F0000}"/>
    <cellStyle name="40% - Accent1 6 7 3 2 2" xfId="5843" xr:uid="{00000000-0005-0000-0000-0000CC0F0000}"/>
    <cellStyle name="40% - Accent1 6 7 3 3" xfId="5844" xr:uid="{00000000-0005-0000-0000-0000CD0F0000}"/>
    <cellStyle name="40% - Accent1 6 7 4" xfId="5845" xr:uid="{00000000-0005-0000-0000-0000CE0F0000}"/>
    <cellStyle name="40% - Accent1 6 7 4 2" xfId="5846" xr:uid="{00000000-0005-0000-0000-0000CF0F0000}"/>
    <cellStyle name="40% - Accent1 6 7 5" xfId="5847" xr:uid="{00000000-0005-0000-0000-0000D00F0000}"/>
    <cellStyle name="40% - Accent1 6 8" xfId="5848" xr:uid="{00000000-0005-0000-0000-0000D10F0000}"/>
    <cellStyle name="40% - Accent1 6 8 2" xfId="5849" xr:uid="{00000000-0005-0000-0000-0000D20F0000}"/>
    <cellStyle name="40% - Accent1 6 8 2 2" xfId="5850" xr:uid="{00000000-0005-0000-0000-0000D30F0000}"/>
    <cellStyle name="40% - Accent1 6 8 2 2 2" xfId="5851" xr:uid="{00000000-0005-0000-0000-0000D40F0000}"/>
    <cellStyle name="40% - Accent1 6 8 2 3" xfId="5852" xr:uid="{00000000-0005-0000-0000-0000D50F0000}"/>
    <cellStyle name="40% - Accent1 6 8 3" xfId="5853" xr:uid="{00000000-0005-0000-0000-0000D60F0000}"/>
    <cellStyle name="40% - Accent1 6 8 3 2" xfId="5854" xr:uid="{00000000-0005-0000-0000-0000D70F0000}"/>
    <cellStyle name="40% - Accent1 6 8 4" xfId="5855" xr:uid="{00000000-0005-0000-0000-0000D80F0000}"/>
    <cellStyle name="40% - Accent1 6 9" xfId="5856" xr:uid="{00000000-0005-0000-0000-0000D90F0000}"/>
    <cellStyle name="40% - Accent1 6 9 2" xfId="5857" xr:uid="{00000000-0005-0000-0000-0000DA0F0000}"/>
    <cellStyle name="40% - Accent1 6 9 2 2" xfId="5858" xr:uid="{00000000-0005-0000-0000-0000DB0F0000}"/>
    <cellStyle name="40% - Accent1 6 9 2 2 2" xfId="5859" xr:uid="{00000000-0005-0000-0000-0000DC0F0000}"/>
    <cellStyle name="40% - Accent1 6 9 2 3" xfId="5860" xr:uid="{00000000-0005-0000-0000-0000DD0F0000}"/>
    <cellStyle name="40% - Accent1 6 9 3" xfId="5861" xr:uid="{00000000-0005-0000-0000-0000DE0F0000}"/>
    <cellStyle name="40% - Accent1 6 9 3 2" xfId="5862" xr:uid="{00000000-0005-0000-0000-0000DF0F0000}"/>
    <cellStyle name="40% - Accent1 6 9 4" xfId="5863" xr:uid="{00000000-0005-0000-0000-0000E00F0000}"/>
    <cellStyle name="40% - Accent1 7" xfId="102" xr:uid="{00000000-0005-0000-0000-0000E10F0000}"/>
    <cellStyle name="40% - Accent1 8" xfId="103" xr:uid="{00000000-0005-0000-0000-0000E20F0000}"/>
    <cellStyle name="40% - Accent1 8 2" xfId="5864" xr:uid="{00000000-0005-0000-0000-0000E30F0000}"/>
    <cellStyle name="40% - Accent1 8 2 2" xfId="5865" xr:uid="{00000000-0005-0000-0000-0000E40F0000}"/>
    <cellStyle name="40% - Accent1 8 3" xfId="5866" xr:uid="{00000000-0005-0000-0000-0000E50F0000}"/>
    <cellStyle name="40% - Accent1 9" xfId="5867" xr:uid="{00000000-0005-0000-0000-0000E60F0000}"/>
    <cellStyle name="40% - Accent1 9 2" xfId="5868" xr:uid="{00000000-0005-0000-0000-0000E70F0000}"/>
    <cellStyle name="40% - Accent1 9 2 2" xfId="5869" xr:uid="{00000000-0005-0000-0000-0000E80F0000}"/>
    <cellStyle name="40% - Accent1 9 3" xfId="5870" xr:uid="{00000000-0005-0000-0000-0000E90F0000}"/>
    <cellStyle name="40% - Accent2 10" xfId="5871" xr:uid="{00000000-0005-0000-0000-0000EA0F0000}"/>
    <cellStyle name="40% - Accent2 2" xfId="104" xr:uid="{00000000-0005-0000-0000-0000EB0F0000}"/>
    <cellStyle name="40% - Accent2 2 2" xfId="105" xr:uid="{00000000-0005-0000-0000-0000EC0F0000}"/>
    <cellStyle name="40% - Accent2 3" xfId="106" xr:uid="{00000000-0005-0000-0000-0000ED0F0000}"/>
    <cellStyle name="40% - Accent2 4" xfId="107" xr:uid="{00000000-0005-0000-0000-0000EE0F0000}"/>
    <cellStyle name="40% - Accent2 5" xfId="108" xr:uid="{00000000-0005-0000-0000-0000EF0F0000}"/>
    <cellStyle name="40% - Accent2 6" xfId="109" xr:uid="{00000000-0005-0000-0000-0000F00F0000}"/>
    <cellStyle name="40% - Accent2 6 10" xfId="5873" xr:uid="{00000000-0005-0000-0000-0000F10F0000}"/>
    <cellStyle name="40% - Accent2 6 10 2" xfId="5874" xr:uid="{00000000-0005-0000-0000-0000F20F0000}"/>
    <cellStyle name="40% - Accent2 6 10 2 2" xfId="5875" xr:uid="{00000000-0005-0000-0000-0000F30F0000}"/>
    <cellStyle name="40% - Accent2 6 10 2 2 2" xfId="5876" xr:uid="{00000000-0005-0000-0000-0000F40F0000}"/>
    <cellStyle name="40% - Accent2 6 10 2 3" xfId="5877" xr:uid="{00000000-0005-0000-0000-0000F50F0000}"/>
    <cellStyle name="40% - Accent2 6 10 3" xfId="5878" xr:uid="{00000000-0005-0000-0000-0000F60F0000}"/>
    <cellStyle name="40% - Accent2 6 10 3 2" xfId="5879" xr:uid="{00000000-0005-0000-0000-0000F70F0000}"/>
    <cellStyle name="40% - Accent2 6 10 4" xfId="5880" xr:uid="{00000000-0005-0000-0000-0000F80F0000}"/>
    <cellStyle name="40% - Accent2 6 11" xfId="5881" xr:uid="{00000000-0005-0000-0000-0000F90F0000}"/>
    <cellStyle name="40% - Accent2 6 11 2" xfId="5882" xr:uid="{00000000-0005-0000-0000-0000FA0F0000}"/>
    <cellStyle name="40% - Accent2 6 11 2 2" xfId="5883" xr:uid="{00000000-0005-0000-0000-0000FB0F0000}"/>
    <cellStyle name="40% - Accent2 6 11 3" xfId="5884" xr:uid="{00000000-0005-0000-0000-0000FC0F0000}"/>
    <cellStyle name="40% - Accent2 6 12" xfId="5885" xr:uid="{00000000-0005-0000-0000-0000FD0F0000}"/>
    <cellStyle name="40% - Accent2 6 12 2" xfId="5886" xr:uid="{00000000-0005-0000-0000-0000FE0F0000}"/>
    <cellStyle name="40% - Accent2 6 12 2 2" xfId="5887" xr:uid="{00000000-0005-0000-0000-0000FF0F0000}"/>
    <cellStyle name="40% - Accent2 6 12 3" xfId="5888" xr:uid="{00000000-0005-0000-0000-000000100000}"/>
    <cellStyle name="40% - Accent2 6 13" xfId="5889" xr:uid="{00000000-0005-0000-0000-000001100000}"/>
    <cellStyle name="40% - Accent2 6 13 2" xfId="5890" xr:uid="{00000000-0005-0000-0000-000002100000}"/>
    <cellStyle name="40% - Accent2 6 13 2 2" xfId="5891" xr:uid="{00000000-0005-0000-0000-000003100000}"/>
    <cellStyle name="40% - Accent2 6 13 3" xfId="5892" xr:uid="{00000000-0005-0000-0000-000004100000}"/>
    <cellStyle name="40% - Accent2 6 14" xfId="5893" xr:uid="{00000000-0005-0000-0000-000005100000}"/>
    <cellStyle name="40% - Accent2 6 14 2" xfId="5894" xr:uid="{00000000-0005-0000-0000-000006100000}"/>
    <cellStyle name="40% - Accent2 6 15" xfId="5895" xr:uid="{00000000-0005-0000-0000-000007100000}"/>
    <cellStyle name="40% - Accent2 6 16" xfId="5896" xr:uid="{00000000-0005-0000-0000-000008100000}"/>
    <cellStyle name="40% - Accent2 6 17" xfId="5872" xr:uid="{00000000-0005-0000-0000-000009100000}"/>
    <cellStyle name="40% - Accent2 6 2" xfId="110" xr:uid="{00000000-0005-0000-0000-00000A100000}"/>
    <cellStyle name="40% - Accent2 6 2 10" xfId="5898" xr:uid="{00000000-0005-0000-0000-00000B100000}"/>
    <cellStyle name="40% - Accent2 6 2 10 2" xfId="5899" xr:uid="{00000000-0005-0000-0000-00000C100000}"/>
    <cellStyle name="40% - Accent2 6 2 10 2 2" xfId="5900" xr:uid="{00000000-0005-0000-0000-00000D100000}"/>
    <cellStyle name="40% - Accent2 6 2 10 3" xfId="5901" xr:uid="{00000000-0005-0000-0000-00000E100000}"/>
    <cellStyle name="40% - Accent2 6 2 11" xfId="5902" xr:uid="{00000000-0005-0000-0000-00000F100000}"/>
    <cellStyle name="40% - Accent2 6 2 11 2" xfId="5903" xr:uid="{00000000-0005-0000-0000-000010100000}"/>
    <cellStyle name="40% - Accent2 6 2 11 2 2" xfId="5904" xr:uid="{00000000-0005-0000-0000-000011100000}"/>
    <cellStyle name="40% - Accent2 6 2 11 3" xfId="5905" xr:uid="{00000000-0005-0000-0000-000012100000}"/>
    <cellStyle name="40% - Accent2 6 2 12" xfId="5906" xr:uid="{00000000-0005-0000-0000-000013100000}"/>
    <cellStyle name="40% - Accent2 6 2 12 2" xfId="5907" xr:uid="{00000000-0005-0000-0000-000014100000}"/>
    <cellStyle name="40% - Accent2 6 2 13" xfId="5908" xr:uid="{00000000-0005-0000-0000-000015100000}"/>
    <cellStyle name="40% - Accent2 6 2 14" xfId="5909" xr:uid="{00000000-0005-0000-0000-000016100000}"/>
    <cellStyle name="40% - Accent2 6 2 15" xfId="5897" xr:uid="{00000000-0005-0000-0000-000017100000}"/>
    <cellStyle name="40% - Accent2 6 2 2" xfId="833" xr:uid="{00000000-0005-0000-0000-000018100000}"/>
    <cellStyle name="40% - Accent2 6 2 2 10" xfId="5911" xr:uid="{00000000-0005-0000-0000-000019100000}"/>
    <cellStyle name="40% - Accent2 6 2 2 11" xfId="5910" xr:uid="{00000000-0005-0000-0000-00001A100000}"/>
    <cellStyle name="40% - Accent2 6 2 2 2" xfId="1591" xr:uid="{00000000-0005-0000-0000-00001B100000}"/>
    <cellStyle name="40% - Accent2 6 2 2 2 2" xfId="5913" xr:uid="{00000000-0005-0000-0000-00001C100000}"/>
    <cellStyle name="40% - Accent2 6 2 2 2 2 2" xfId="5914" xr:uid="{00000000-0005-0000-0000-00001D100000}"/>
    <cellStyle name="40% - Accent2 6 2 2 2 2 2 2" xfId="5915" xr:uid="{00000000-0005-0000-0000-00001E100000}"/>
    <cellStyle name="40% - Accent2 6 2 2 2 2 2 2 2" xfId="5916" xr:uid="{00000000-0005-0000-0000-00001F100000}"/>
    <cellStyle name="40% - Accent2 6 2 2 2 2 2 3" xfId="5917" xr:uid="{00000000-0005-0000-0000-000020100000}"/>
    <cellStyle name="40% - Accent2 6 2 2 2 2 3" xfId="5918" xr:uid="{00000000-0005-0000-0000-000021100000}"/>
    <cellStyle name="40% - Accent2 6 2 2 2 2 3 2" xfId="5919" xr:uid="{00000000-0005-0000-0000-000022100000}"/>
    <cellStyle name="40% - Accent2 6 2 2 2 2 4" xfId="5920" xr:uid="{00000000-0005-0000-0000-000023100000}"/>
    <cellStyle name="40% - Accent2 6 2 2 2 3" xfId="5921" xr:uid="{00000000-0005-0000-0000-000024100000}"/>
    <cellStyle name="40% - Accent2 6 2 2 2 3 2" xfId="5922" xr:uid="{00000000-0005-0000-0000-000025100000}"/>
    <cellStyle name="40% - Accent2 6 2 2 2 3 2 2" xfId="5923" xr:uid="{00000000-0005-0000-0000-000026100000}"/>
    <cellStyle name="40% - Accent2 6 2 2 2 3 2 2 2" xfId="5924" xr:uid="{00000000-0005-0000-0000-000027100000}"/>
    <cellStyle name="40% - Accent2 6 2 2 2 3 2 3" xfId="5925" xr:uid="{00000000-0005-0000-0000-000028100000}"/>
    <cellStyle name="40% - Accent2 6 2 2 2 3 3" xfId="5926" xr:uid="{00000000-0005-0000-0000-000029100000}"/>
    <cellStyle name="40% - Accent2 6 2 2 2 3 3 2" xfId="5927" xr:uid="{00000000-0005-0000-0000-00002A100000}"/>
    <cellStyle name="40% - Accent2 6 2 2 2 3 4" xfId="5928" xr:uid="{00000000-0005-0000-0000-00002B100000}"/>
    <cellStyle name="40% - Accent2 6 2 2 2 4" xfId="5929" xr:uid="{00000000-0005-0000-0000-00002C100000}"/>
    <cellStyle name="40% - Accent2 6 2 2 2 4 2" xfId="5930" xr:uid="{00000000-0005-0000-0000-00002D100000}"/>
    <cellStyle name="40% - Accent2 6 2 2 2 4 2 2" xfId="5931" xr:uid="{00000000-0005-0000-0000-00002E100000}"/>
    <cellStyle name="40% - Accent2 6 2 2 2 4 3" xfId="5932" xr:uid="{00000000-0005-0000-0000-00002F100000}"/>
    <cellStyle name="40% - Accent2 6 2 2 2 5" xfId="5933" xr:uid="{00000000-0005-0000-0000-000030100000}"/>
    <cellStyle name="40% - Accent2 6 2 2 2 5 2" xfId="5934" xr:uid="{00000000-0005-0000-0000-000031100000}"/>
    <cellStyle name="40% - Accent2 6 2 2 2 6" xfId="5935" xr:uid="{00000000-0005-0000-0000-000032100000}"/>
    <cellStyle name="40% - Accent2 6 2 2 2 7" xfId="5912" xr:uid="{00000000-0005-0000-0000-000033100000}"/>
    <cellStyle name="40% - Accent2 6 2 2 3" xfId="5936" xr:uid="{00000000-0005-0000-0000-000034100000}"/>
    <cellStyle name="40% - Accent2 6 2 2 3 2" xfId="5937" xr:uid="{00000000-0005-0000-0000-000035100000}"/>
    <cellStyle name="40% - Accent2 6 2 2 3 2 2" xfId="5938" xr:uid="{00000000-0005-0000-0000-000036100000}"/>
    <cellStyle name="40% - Accent2 6 2 2 3 2 2 2" xfId="5939" xr:uid="{00000000-0005-0000-0000-000037100000}"/>
    <cellStyle name="40% - Accent2 6 2 2 3 2 2 2 2" xfId="5940" xr:uid="{00000000-0005-0000-0000-000038100000}"/>
    <cellStyle name="40% - Accent2 6 2 2 3 2 2 3" xfId="5941" xr:uid="{00000000-0005-0000-0000-000039100000}"/>
    <cellStyle name="40% - Accent2 6 2 2 3 2 3" xfId="5942" xr:uid="{00000000-0005-0000-0000-00003A100000}"/>
    <cellStyle name="40% - Accent2 6 2 2 3 2 3 2" xfId="5943" xr:uid="{00000000-0005-0000-0000-00003B100000}"/>
    <cellStyle name="40% - Accent2 6 2 2 3 2 4" xfId="5944" xr:uid="{00000000-0005-0000-0000-00003C100000}"/>
    <cellStyle name="40% - Accent2 6 2 2 3 3" xfId="5945" xr:uid="{00000000-0005-0000-0000-00003D100000}"/>
    <cellStyle name="40% - Accent2 6 2 2 3 3 2" xfId="5946" xr:uid="{00000000-0005-0000-0000-00003E100000}"/>
    <cellStyle name="40% - Accent2 6 2 2 3 3 2 2" xfId="5947" xr:uid="{00000000-0005-0000-0000-00003F100000}"/>
    <cellStyle name="40% - Accent2 6 2 2 3 3 3" xfId="5948" xr:uid="{00000000-0005-0000-0000-000040100000}"/>
    <cellStyle name="40% - Accent2 6 2 2 3 4" xfId="5949" xr:uid="{00000000-0005-0000-0000-000041100000}"/>
    <cellStyle name="40% - Accent2 6 2 2 3 4 2" xfId="5950" xr:uid="{00000000-0005-0000-0000-000042100000}"/>
    <cellStyle name="40% - Accent2 6 2 2 3 5" xfId="5951" xr:uid="{00000000-0005-0000-0000-000043100000}"/>
    <cellStyle name="40% - Accent2 6 2 2 4" xfId="5952" xr:uid="{00000000-0005-0000-0000-000044100000}"/>
    <cellStyle name="40% - Accent2 6 2 2 4 2" xfId="5953" xr:uid="{00000000-0005-0000-0000-000045100000}"/>
    <cellStyle name="40% - Accent2 6 2 2 4 2 2" xfId="5954" xr:uid="{00000000-0005-0000-0000-000046100000}"/>
    <cellStyle name="40% - Accent2 6 2 2 4 2 2 2" xfId="5955" xr:uid="{00000000-0005-0000-0000-000047100000}"/>
    <cellStyle name="40% - Accent2 6 2 2 4 2 2 2 2" xfId="5956" xr:uid="{00000000-0005-0000-0000-000048100000}"/>
    <cellStyle name="40% - Accent2 6 2 2 4 2 2 3" xfId="5957" xr:uid="{00000000-0005-0000-0000-000049100000}"/>
    <cellStyle name="40% - Accent2 6 2 2 4 2 3" xfId="5958" xr:uid="{00000000-0005-0000-0000-00004A100000}"/>
    <cellStyle name="40% - Accent2 6 2 2 4 2 3 2" xfId="5959" xr:uid="{00000000-0005-0000-0000-00004B100000}"/>
    <cellStyle name="40% - Accent2 6 2 2 4 2 4" xfId="5960" xr:uid="{00000000-0005-0000-0000-00004C100000}"/>
    <cellStyle name="40% - Accent2 6 2 2 4 3" xfId="5961" xr:uid="{00000000-0005-0000-0000-00004D100000}"/>
    <cellStyle name="40% - Accent2 6 2 2 4 3 2" xfId="5962" xr:uid="{00000000-0005-0000-0000-00004E100000}"/>
    <cellStyle name="40% - Accent2 6 2 2 4 3 2 2" xfId="5963" xr:uid="{00000000-0005-0000-0000-00004F100000}"/>
    <cellStyle name="40% - Accent2 6 2 2 4 3 3" xfId="5964" xr:uid="{00000000-0005-0000-0000-000050100000}"/>
    <cellStyle name="40% - Accent2 6 2 2 4 4" xfId="5965" xr:uid="{00000000-0005-0000-0000-000051100000}"/>
    <cellStyle name="40% - Accent2 6 2 2 4 4 2" xfId="5966" xr:uid="{00000000-0005-0000-0000-000052100000}"/>
    <cellStyle name="40% - Accent2 6 2 2 4 5" xfId="5967" xr:uid="{00000000-0005-0000-0000-000053100000}"/>
    <cellStyle name="40% - Accent2 6 2 2 5" xfId="5968" xr:uid="{00000000-0005-0000-0000-000054100000}"/>
    <cellStyle name="40% - Accent2 6 2 2 5 2" xfId="5969" xr:uid="{00000000-0005-0000-0000-000055100000}"/>
    <cellStyle name="40% - Accent2 6 2 2 5 2 2" xfId="5970" xr:uid="{00000000-0005-0000-0000-000056100000}"/>
    <cellStyle name="40% - Accent2 6 2 2 5 2 2 2" xfId="5971" xr:uid="{00000000-0005-0000-0000-000057100000}"/>
    <cellStyle name="40% - Accent2 6 2 2 5 2 3" xfId="5972" xr:uid="{00000000-0005-0000-0000-000058100000}"/>
    <cellStyle name="40% - Accent2 6 2 2 5 3" xfId="5973" xr:uid="{00000000-0005-0000-0000-000059100000}"/>
    <cellStyle name="40% - Accent2 6 2 2 5 3 2" xfId="5974" xr:uid="{00000000-0005-0000-0000-00005A100000}"/>
    <cellStyle name="40% - Accent2 6 2 2 5 4" xfId="5975" xr:uid="{00000000-0005-0000-0000-00005B100000}"/>
    <cellStyle name="40% - Accent2 6 2 2 6" xfId="5976" xr:uid="{00000000-0005-0000-0000-00005C100000}"/>
    <cellStyle name="40% - Accent2 6 2 2 6 2" xfId="5977" xr:uid="{00000000-0005-0000-0000-00005D100000}"/>
    <cellStyle name="40% - Accent2 6 2 2 6 2 2" xfId="5978" xr:uid="{00000000-0005-0000-0000-00005E100000}"/>
    <cellStyle name="40% - Accent2 6 2 2 6 2 2 2" xfId="5979" xr:uid="{00000000-0005-0000-0000-00005F100000}"/>
    <cellStyle name="40% - Accent2 6 2 2 6 2 3" xfId="5980" xr:uid="{00000000-0005-0000-0000-000060100000}"/>
    <cellStyle name="40% - Accent2 6 2 2 6 3" xfId="5981" xr:uid="{00000000-0005-0000-0000-000061100000}"/>
    <cellStyle name="40% - Accent2 6 2 2 6 3 2" xfId="5982" xr:uid="{00000000-0005-0000-0000-000062100000}"/>
    <cellStyle name="40% - Accent2 6 2 2 6 4" xfId="5983" xr:uid="{00000000-0005-0000-0000-000063100000}"/>
    <cellStyle name="40% - Accent2 6 2 2 7" xfId="5984" xr:uid="{00000000-0005-0000-0000-000064100000}"/>
    <cellStyle name="40% - Accent2 6 2 2 7 2" xfId="5985" xr:uid="{00000000-0005-0000-0000-000065100000}"/>
    <cellStyle name="40% - Accent2 6 2 2 7 2 2" xfId="5986" xr:uid="{00000000-0005-0000-0000-000066100000}"/>
    <cellStyle name="40% - Accent2 6 2 2 7 2 2 2" xfId="5987" xr:uid="{00000000-0005-0000-0000-000067100000}"/>
    <cellStyle name="40% - Accent2 6 2 2 7 2 3" xfId="5988" xr:uid="{00000000-0005-0000-0000-000068100000}"/>
    <cellStyle name="40% - Accent2 6 2 2 7 3" xfId="5989" xr:uid="{00000000-0005-0000-0000-000069100000}"/>
    <cellStyle name="40% - Accent2 6 2 2 7 3 2" xfId="5990" xr:uid="{00000000-0005-0000-0000-00006A100000}"/>
    <cellStyle name="40% - Accent2 6 2 2 7 4" xfId="5991" xr:uid="{00000000-0005-0000-0000-00006B100000}"/>
    <cellStyle name="40% - Accent2 6 2 2 8" xfId="5992" xr:uid="{00000000-0005-0000-0000-00006C100000}"/>
    <cellStyle name="40% - Accent2 6 2 2 8 2" xfId="5993" xr:uid="{00000000-0005-0000-0000-00006D100000}"/>
    <cellStyle name="40% - Accent2 6 2 2 8 2 2" xfId="5994" xr:uid="{00000000-0005-0000-0000-00006E100000}"/>
    <cellStyle name="40% - Accent2 6 2 2 8 3" xfId="5995" xr:uid="{00000000-0005-0000-0000-00006F100000}"/>
    <cellStyle name="40% - Accent2 6 2 2 9" xfId="5996" xr:uid="{00000000-0005-0000-0000-000070100000}"/>
    <cellStyle name="40% - Accent2 6 2 2 9 2" xfId="5997" xr:uid="{00000000-0005-0000-0000-000071100000}"/>
    <cellStyle name="40% - Accent2 6 2 3" xfId="1266" xr:uid="{00000000-0005-0000-0000-000072100000}"/>
    <cellStyle name="40% - Accent2 6 2 3 2" xfId="5999" xr:uid="{00000000-0005-0000-0000-000073100000}"/>
    <cellStyle name="40% - Accent2 6 2 3 2 2" xfId="6000" xr:uid="{00000000-0005-0000-0000-000074100000}"/>
    <cellStyle name="40% - Accent2 6 2 3 2 2 2" xfId="6001" xr:uid="{00000000-0005-0000-0000-000075100000}"/>
    <cellStyle name="40% - Accent2 6 2 3 2 2 2 2" xfId="6002" xr:uid="{00000000-0005-0000-0000-000076100000}"/>
    <cellStyle name="40% - Accent2 6 2 3 2 2 3" xfId="6003" xr:uid="{00000000-0005-0000-0000-000077100000}"/>
    <cellStyle name="40% - Accent2 6 2 3 2 3" xfId="6004" xr:uid="{00000000-0005-0000-0000-000078100000}"/>
    <cellStyle name="40% - Accent2 6 2 3 2 3 2" xfId="6005" xr:uid="{00000000-0005-0000-0000-000079100000}"/>
    <cellStyle name="40% - Accent2 6 2 3 2 4" xfId="6006" xr:uid="{00000000-0005-0000-0000-00007A100000}"/>
    <cellStyle name="40% - Accent2 6 2 3 3" xfId="6007" xr:uid="{00000000-0005-0000-0000-00007B100000}"/>
    <cellStyle name="40% - Accent2 6 2 3 3 2" xfId="6008" xr:uid="{00000000-0005-0000-0000-00007C100000}"/>
    <cellStyle name="40% - Accent2 6 2 3 3 2 2" xfId="6009" xr:uid="{00000000-0005-0000-0000-00007D100000}"/>
    <cellStyle name="40% - Accent2 6 2 3 3 2 2 2" xfId="6010" xr:uid="{00000000-0005-0000-0000-00007E100000}"/>
    <cellStyle name="40% - Accent2 6 2 3 3 2 3" xfId="6011" xr:uid="{00000000-0005-0000-0000-00007F100000}"/>
    <cellStyle name="40% - Accent2 6 2 3 3 3" xfId="6012" xr:uid="{00000000-0005-0000-0000-000080100000}"/>
    <cellStyle name="40% - Accent2 6 2 3 3 3 2" xfId="6013" xr:uid="{00000000-0005-0000-0000-000081100000}"/>
    <cellStyle name="40% - Accent2 6 2 3 3 4" xfId="6014" xr:uid="{00000000-0005-0000-0000-000082100000}"/>
    <cellStyle name="40% - Accent2 6 2 3 4" xfId="6015" xr:uid="{00000000-0005-0000-0000-000083100000}"/>
    <cellStyle name="40% - Accent2 6 2 3 4 2" xfId="6016" xr:uid="{00000000-0005-0000-0000-000084100000}"/>
    <cellStyle name="40% - Accent2 6 2 3 4 2 2" xfId="6017" xr:uid="{00000000-0005-0000-0000-000085100000}"/>
    <cellStyle name="40% - Accent2 6 2 3 4 3" xfId="6018" xr:uid="{00000000-0005-0000-0000-000086100000}"/>
    <cellStyle name="40% - Accent2 6 2 3 5" xfId="6019" xr:uid="{00000000-0005-0000-0000-000087100000}"/>
    <cellStyle name="40% - Accent2 6 2 3 5 2" xfId="6020" xr:uid="{00000000-0005-0000-0000-000088100000}"/>
    <cellStyle name="40% - Accent2 6 2 3 6" xfId="6021" xr:uid="{00000000-0005-0000-0000-000089100000}"/>
    <cellStyle name="40% - Accent2 6 2 3 7" xfId="5998" xr:uid="{00000000-0005-0000-0000-00008A100000}"/>
    <cellStyle name="40% - Accent2 6 2 4" xfId="6022" xr:uid="{00000000-0005-0000-0000-00008B100000}"/>
    <cellStyle name="40% - Accent2 6 2 4 2" xfId="6023" xr:uid="{00000000-0005-0000-0000-00008C100000}"/>
    <cellStyle name="40% - Accent2 6 2 4 2 2" xfId="6024" xr:uid="{00000000-0005-0000-0000-00008D100000}"/>
    <cellStyle name="40% - Accent2 6 2 4 2 2 2" xfId="6025" xr:uid="{00000000-0005-0000-0000-00008E100000}"/>
    <cellStyle name="40% - Accent2 6 2 4 2 2 2 2" xfId="6026" xr:uid="{00000000-0005-0000-0000-00008F100000}"/>
    <cellStyle name="40% - Accent2 6 2 4 2 2 3" xfId="6027" xr:uid="{00000000-0005-0000-0000-000090100000}"/>
    <cellStyle name="40% - Accent2 6 2 4 2 3" xfId="6028" xr:uid="{00000000-0005-0000-0000-000091100000}"/>
    <cellStyle name="40% - Accent2 6 2 4 2 3 2" xfId="6029" xr:uid="{00000000-0005-0000-0000-000092100000}"/>
    <cellStyle name="40% - Accent2 6 2 4 2 4" xfId="6030" xr:uid="{00000000-0005-0000-0000-000093100000}"/>
    <cellStyle name="40% - Accent2 6 2 4 3" xfId="6031" xr:uid="{00000000-0005-0000-0000-000094100000}"/>
    <cellStyle name="40% - Accent2 6 2 4 3 2" xfId="6032" xr:uid="{00000000-0005-0000-0000-000095100000}"/>
    <cellStyle name="40% - Accent2 6 2 4 3 2 2" xfId="6033" xr:uid="{00000000-0005-0000-0000-000096100000}"/>
    <cellStyle name="40% - Accent2 6 2 4 3 3" xfId="6034" xr:uid="{00000000-0005-0000-0000-000097100000}"/>
    <cellStyle name="40% - Accent2 6 2 4 4" xfId="6035" xr:uid="{00000000-0005-0000-0000-000098100000}"/>
    <cellStyle name="40% - Accent2 6 2 4 4 2" xfId="6036" xr:uid="{00000000-0005-0000-0000-000099100000}"/>
    <cellStyle name="40% - Accent2 6 2 4 5" xfId="6037" xr:uid="{00000000-0005-0000-0000-00009A100000}"/>
    <cellStyle name="40% - Accent2 6 2 5" xfId="6038" xr:uid="{00000000-0005-0000-0000-00009B100000}"/>
    <cellStyle name="40% - Accent2 6 2 5 2" xfId="6039" xr:uid="{00000000-0005-0000-0000-00009C100000}"/>
    <cellStyle name="40% - Accent2 6 2 5 2 2" xfId="6040" xr:uid="{00000000-0005-0000-0000-00009D100000}"/>
    <cellStyle name="40% - Accent2 6 2 5 2 2 2" xfId="6041" xr:uid="{00000000-0005-0000-0000-00009E100000}"/>
    <cellStyle name="40% - Accent2 6 2 5 2 2 2 2" xfId="6042" xr:uid="{00000000-0005-0000-0000-00009F100000}"/>
    <cellStyle name="40% - Accent2 6 2 5 2 2 3" xfId="6043" xr:uid="{00000000-0005-0000-0000-0000A0100000}"/>
    <cellStyle name="40% - Accent2 6 2 5 2 3" xfId="6044" xr:uid="{00000000-0005-0000-0000-0000A1100000}"/>
    <cellStyle name="40% - Accent2 6 2 5 2 3 2" xfId="6045" xr:uid="{00000000-0005-0000-0000-0000A2100000}"/>
    <cellStyle name="40% - Accent2 6 2 5 2 4" xfId="6046" xr:uid="{00000000-0005-0000-0000-0000A3100000}"/>
    <cellStyle name="40% - Accent2 6 2 5 3" xfId="6047" xr:uid="{00000000-0005-0000-0000-0000A4100000}"/>
    <cellStyle name="40% - Accent2 6 2 5 3 2" xfId="6048" xr:uid="{00000000-0005-0000-0000-0000A5100000}"/>
    <cellStyle name="40% - Accent2 6 2 5 3 2 2" xfId="6049" xr:uid="{00000000-0005-0000-0000-0000A6100000}"/>
    <cellStyle name="40% - Accent2 6 2 5 3 3" xfId="6050" xr:uid="{00000000-0005-0000-0000-0000A7100000}"/>
    <cellStyle name="40% - Accent2 6 2 5 4" xfId="6051" xr:uid="{00000000-0005-0000-0000-0000A8100000}"/>
    <cellStyle name="40% - Accent2 6 2 5 4 2" xfId="6052" xr:uid="{00000000-0005-0000-0000-0000A9100000}"/>
    <cellStyle name="40% - Accent2 6 2 5 5" xfId="6053" xr:uid="{00000000-0005-0000-0000-0000AA100000}"/>
    <cellStyle name="40% - Accent2 6 2 6" xfId="6054" xr:uid="{00000000-0005-0000-0000-0000AB100000}"/>
    <cellStyle name="40% - Accent2 6 2 6 2" xfId="6055" xr:uid="{00000000-0005-0000-0000-0000AC100000}"/>
    <cellStyle name="40% - Accent2 6 2 6 2 2" xfId="6056" xr:uid="{00000000-0005-0000-0000-0000AD100000}"/>
    <cellStyle name="40% - Accent2 6 2 6 2 2 2" xfId="6057" xr:uid="{00000000-0005-0000-0000-0000AE100000}"/>
    <cellStyle name="40% - Accent2 6 2 6 2 3" xfId="6058" xr:uid="{00000000-0005-0000-0000-0000AF100000}"/>
    <cellStyle name="40% - Accent2 6 2 6 3" xfId="6059" xr:uid="{00000000-0005-0000-0000-0000B0100000}"/>
    <cellStyle name="40% - Accent2 6 2 6 3 2" xfId="6060" xr:uid="{00000000-0005-0000-0000-0000B1100000}"/>
    <cellStyle name="40% - Accent2 6 2 6 4" xfId="6061" xr:uid="{00000000-0005-0000-0000-0000B2100000}"/>
    <cellStyle name="40% - Accent2 6 2 7" xfId="6062" xr:uid="{00000000-0005-0000-0000-0000B3100000}"/>
    <cellStyle name="40% - Accent2 6 2 7 2" xfId="6063" xr:uid="{00000000-0005-0000-0000-0000B4100000}"/>
    <cellStyle name="40% - Accent2 6 2 7 2 2" xfId="6064" xr:uid="{00000000-0005-0000-0000-0000B5100000}"/>
    <cellStyle name="40% - Accent2 6 2 7 2 2 2" xfId="6065" xr:uid="{00000000-0005-0000-0000-0000B6100000}"/>
    <cellStyle name="40% - Accent2 6 2 7 2 3" xfId="6066" xr:uid="{00000000-0005-0000-0000-0000B7100000}"/>
    <cellStyle name="40% - Accent2 6 2 7 3" xfId="6067" xr:uid="{00000000-0005-0000-0000-0000B8100000}"/>
    <cellStyle name="40% - Accent2 6 2 7 3 2" xfId="6068" xr:uid="{00000000-0005-0000-0000-0000B9100000}"/>
    <cellStyle name="40% - Accent2 6 2 7 4" xfId="6069" xr:uid="{00000000-0005-0000-0000-0000BA100000}"/>
    <cellStyle name="40% - Accent2 6 2 8" xfId="6070" xr:uid="{00000000-0005-0000-0000-0000BB100000}"/>
    <cellStyle name="40% - Accent2 6 2 8 2" xfId="6071" xr:uid="{00000000-0005-0000-0000-0000BC100000}"/>
    <cellStyle name="40% - Accent2 6 2 8 2 2" xfId="6072" xr:uid="{00000000-0005-0000-0000-0000BD100000}"/>
    <cellStyle name="40% - Accent2 6 2 8 2 2 2" xfId="6073" xr:uid="{00000000-0005-0000-0000-0000BE100000}"/>
    <cellStyle name="40% - Accent2 6 2 8 2 3" xfId="6074" xr:uid="{00000000-0005-0000-0000-0000BF100000}"/>
    <cellStyle name="40% - Accent2 6 2 8 3" xfId="6075" xr:uid="{00000000-0005-0000-0000-0000C0100000}"/>
    <cellStyle name="40% - Accent2 6 2 8 3 2" xfId="6076" xr:uid="{00000000-0005-0000-0000-0000C1100000}"/>
    <cellStyle name="40% - Accent2 6 2 8 4" xfId="6077" xr:uid="{00000000-0005-0000-0000-0000C2100000}"/>
    <cellStyle name="40% - Accent2 6 2 9" xfId="6078" xr:uid="{00000000-0005-0000-0000-0000C3100000}"/>
    <cellStyle name="40% - Accent2 6 2 9 2" xfId="6079" xr:uid="{00000000-0005-0000-0000-0000C4100000}"/>
    <cellStyle name="40% - Accent2 6 2 9 2 2" xfId="6080" xr:uid="{00000000-0005-0000-0000-0000C5100000}"/>
    <cellStyle name="40% - Accent2 6 2 9 3" xfId="6081" xr:uid="{00000000-0005-0000-0000-0000C6100000}"/>
    <cellStyle name="40% - Accent2 6 3" xfId="111" xr:uid="{00000000-0005-0000-0000-0000C7100000}"/>
    <cellStyle name="40% - Accent2 6 3 10" xfId="6083" xr:uid="{00000000-0005-0000-0000-0000C8100000}"/>
    <cellStyle name="40% - Accent2 6 3 10 2" xfId="6084" xr:uid="{00000000-0005-0000-0000-0000C9100000}"/>
    <cellStyle name="40% - Accent2 6 3 10 2 2" xfId="6085" xr:uid="{00000000-0005-0000-0000-0000CA100000}"/>
    <cellStyle name="40% - Accent2 6 3 10 3" xfId="6086" xr:uid="{00000000-0005-0000-0000-0000CB100000}"/>
    <cellStyle name="40% - Accent2 6 3 11" xfId="6087" xr:uid="{00000000-0005-0000-0000-0000CC100000}"/>
    <cellStyle name="40% - Accent2 6 3 11 2" xfId="6088" xr:uid="{00000000-0005-0000-0000-0000CD100000}"/>
    <cellStyle name="40% - Accent2 6 3 11 2 2" xfId="6089" xr:uid="{00000000-0005-0000-0000-0000CE100000}"/>
    <cellStyle name="40% - Accent2 6 3 11 3" xfId="6090" xr:uid="{00000000-0005-0000-0000-0000CF100000}"/>
    <cellStyle name="40% - Accent2 6 3 12" xfId="6091" xr:uid="{00000000-0005-0000-0000-0000D0100000}"/>
    <cellStyle name="40% - Accent2 6 3 12 2" xfId="6092" xr:uid="{00000000-0005-0000-0000-0000D1100000}"/>
    <cellStyle name="40% - Accent2 6 3 13" xfId="6093" xr:uid="{00000000-0005-0000-0000-0000D2100000}"/>
    <cellStyle name="40% - Accent2 6 3 14" xfId="6094" xr:uid="{00000000-0005-0000-0000-0000D3100000}"/>
    <cellStyle name="40% - Accent2 6 3 15" xfId="6082" xr:uid="{00000000-0005-0000-0000-0000D4100000}"/>
    <cellStyle name="40% - Accent2 6 3 2" xfId="834" xr:uid="{00000000-0005-0000-0000-0000D5100000}"/>
    <cellStyle name="40% - Accent2 6 3 2 10" xfId="6096" xr:uid="{00000000-0005-0000-0000-0000D6100000}"/>
    <cellStyle name="40% - Accent2 6 3 2 11" xfId="6095" xr:uid="{00000000-0005-0000-0000-0000D7100000}"/>
    <cellStyle name="40% - Accent2 6 3 2 2" xfId="1592" xr:uid="{00000000-0005-0000-0000-0000D8100000}"/>
    <cellStyle name="40% - Accent2 6 3 2 2 2" xfId="6098" xr:uid="{00000000-0005-0000-0000-0000D9100000}"/>
    <cellStyle name="40% - Accent2 6 3 2 2 2 2" xfId="6099" xr:uid="{00000000-0005-0000-0000-0000DA100000}"/>
    <cellStyle name="40% - Accent2 6 3 2 2 2 2 2" xfId="6100" xr:uid="{00000000-0005-0000-0000-0000DB100000}"/>
    <cellStyle name="40% - Accent2 6 3 2 2 2 2 2 2" xfId="6101" xr:uid="{00000000-0005-0000-0000-0000DC100000}"/>
    <cellStyle name="40% - Accent2 6 3 2 2 2 2 3" xfId="6102" xr:uid="{00000000-0005-0000-0000-0000DD100000}"/>
    <cellStyle name="40% - Accent2 6 3 2 2 2 3" xfId="6103" xr:uid="{00000000-0005-0000-0000-0000DE100000}"/>
    <cellStyle name="40% - Accent2 6 3 2 2 2 3 2" xfId="6104" xr:uid="{00000000-0005-0000-0000-0000DF100000}"/>
    <cellStyle name="40% - Accent2 6 3 2 2 2 4" xfId="6105" xr:uid="{00000000-0005-0000-0000-0000E0100000}"/>
    <cellStyle name="40% - Accent2 6 3 2 2 3" xfId="6106" xr:uid="{00000000-0005-0000-0000-0000E1100000}"/>
    <cellStyle name="40% - Accent2 6 3 2 2 3 2" xfId="6107" xr:uid="{00000000-0005-0000-0000-0000E2100000}"/>
    <cellStyle name="40% - Accent2 6 3 2 2 3 2 2" xfId="6108" xr:uid="{00000000-0005-0000-0000-0000E3100000}"/>
    <cellStyle name="40% - Accent2 6 3 2 2 3 2 2 2" xfId="6109" xr:uid="{00000000-0005-0000-0000-0000E4100000}"/>
    <cellStyle name="40% - Accent2 6 3 2 2 3 2 3" xfId="6110" xr:uid="{00000000-0005-0000-0000-0000E5100000}"/>
    <cellStyle name="40% - Accent2 6 3 2 2 3 3" xfId="6111" xr:uid="{00000000-0005-0000-0000-0000E6100000}"/>
    <cellStyle name="40% - Accent2 6 3 2 2 3 3 2" xfId="6112" xr:uid="{00000000-0005-0000-0000-0000E7100000}"/>
    <cellStyle name="40% - Accent2 6 3 2 2 3 4" xfId="6113" xr:uid="{00000000-0005-0000-0000-0000E8100000}"/>
    <cellStyle name="40% - Accent2 6 3 2 2 4" xfId="6114" xr:uid="{00000000-0005-0000-0000-0000E9100000}"/>
    <cellStyle name="40% - Accent2 6 3 2 2 4 2" xfId="6115" xr:uid="{00000000-0005-0000-0000-0000EA100000}"/>
    <cellStyle name="40% - Accent2 6 3 2 2 4 2 2" xfId="6116" xr:uid="{00000000-0005-0000-0000-0000EB100000}"/>
    <cellStyle name="40% - Accent2 6 3 2 2 4 3" xfId="6117" xr:uid="{00000000-0005-0000-0000-0000EC100000}"/>
    <cellStyle name="40% - Accent2 6 3 2 2 5" xfId="6118" xr:uid="{00000000-0005-0000-0000-0000ED100000}"/>
    <cellStyle name="40% - Accent2 6 3 2 2 5 2" xfId="6119" xr:uid="{00000000-0005-0000-0000-0000EE100000}"/>
    <cellStyle name="40% - Accent2 6 3 2 2 6" xfId="6120" xr:uid="{00000000-0005-0000-0000-0000EF100000}"/>
    <cellStyle name="40% - Accent2 6 3 2 2 7" xfId="6097" xr:uid="{00000000-0005-0000-0000-0000F0100000}"/>
    <cellStyle name="40% - Accent2 6 3 2 3" xfId="6121" xr:uid="{00000000-0005-0000-0000-0000F1100000}"/>
    <cellStyle name="40% - Accent2 6 3 2 3 2" xfId="6122" xr:uid="{00000000-0005-0000-0000-0000F2100000}"/>
    <cellStyle name="40% - Accent2 6 3 2 3 2 2" xfId="6123" xr:uid="{00000000-0005-0000-0000-0000F3100000}"/>
    <cellStyle name="40% - Accent2 6 3 2 3 2 2 2" xfId="6124" xr:uid="{00000000-0005-0000-0000-0000F4100000}"/>
    <cellStyle name="40% - Accent2 6 3 2 3 2 2 2 2" xfId="6125" xr:uid="{00000000-0005-0000-0000-0000F5100000}"/>
    <cellStyle name="40% - Accent2 6 3 2 3 2 2 3" xfId="6126" xr:uid="{00000000-0005-0000-0000-0000F6100000}"/>
    <cellStyle name="40% - Accent2 6 3 2 3 2 3" xfId="6127" xr:uid="{00000000-0005-0000-0000-0000F7100000}"/>
    <cellStyle name="40% - Accent2 6 3 2 3 2 3 2" xfId="6128" xr:uid="{00000000-0005-0000-0000-0000F8100000}"/>
    <cellStyle name="40% - Accent2 6 3 2 3 2 4" xfId="6129" xr:uid="{00000000-0005-0000-0000-0000F9100000}"/>
    <cellStyle name="40% - Accent2 6 3 2 3 3" xfId="6130" xr:uid="{00000000-0005-0000-0000-0000FA100000}"/>
    <cellStyle name="40% - Accent2 6 3 2 3 3 2" xfId="6131" xr:uid="{00000000-0005-0000-0000-0000FB100000}"/>
    <cellStyle name="40% - Accent2 6 3 2 3 3 2 2" xfId="6132" xr:uid="{00000000-0005-0000-0000-0000FC100000}"/>
    <cellStyle name="40% - Accent2 6 3 2 3 3 3" xfId="6133" xr:uid="{00000000-0005-0000-0000-0000FD100000}"/>
    <cellStyle name="40% - Accent2 6 3 2 3 4" xfId="6134" xr:uid="{00000000-0005-0000-0000-0000FE100000}"/>
    <cellStyle name="40% - Accent2 6 3 2 3 4 2" xfId="6135" xr:uid="{00000000-0005-0000-0000-0000FF100000}"/>
    <cellStyle name="40% - Accent2 6 3 2 3 5" xfId="6136" xr:uid="{00000000-0005-0000-0000-000000110000}"/>
    <cellStyle name="40% - Accent2 6 3 2 4" xfId="6137" xr:uid="{00000000-0005-0000-0000-000001110000}"/>
    <cellStyle name="40% - Accent2 6 3 2 4 2" xfId="6138" xr:uid="{00000000-0005-0000-0000-000002110000}"/>
    <cellStyle name="40% - Accent2 6 3 2 4 2 2" xfId="6139" xr:uid="{00000000-0005-0000-0000-000003110000}"/>
    <cellStyle name="40% - Accent2 6 3 2 4 2 2 2" xfId="6140" xr:uid="{00000000-0005-0000-0000-000004110000}"/>
    <cellStyle name="40% - Accent2 6 3 2 4 2 2 2 2" xfId="6141" xr:uid="{00000000-0005-0000-0000-000005110000}"/>
    <cellStyle name="40% - Accent2 6 3 2 4 2 2 3" xfId="6142" xr:uid="{00000000-0005-0000-0000-000006110000}"/>
    <cellStyle name="40% - Accent2 6 3 2 4 2 3" xfId="6143" xr:uid="{00000000-0005-0000-0000-000007110000}"/>
    <cellStyle name="40% - Accent2 6 3 2 4 2 3 2" xfId="6144" xr:uid="{00000000-0005-0000-0000-000008110000}"/>
    <cellStyle name="40% - Accent2 6 3 2 4 2 4" xfId="6145" xr:uid="{00000000-0005-0000-0000-000009110000}"/>
    <cellStyle name="40% - Accent2 6 3 2 4 3" xfId="6146" xr:uid="{00000000-0005-0000-0000-00000A110000}"/>
    <cellStyle name="40% - Accent2 6 3 2 4 3 2" xfId="6147" xr:uid="{00000000-0005-0000-0000-00000B110000}"/>
    <cellStyle name="40% - Accent2 6 3 2 4 3 2 2" xfId="6148" xr:uid="{00000000-0005-0000-0000-00000C110000}"/>
    <cellStyle name="40% - Accent2 6 3 2 4 3 3" xfId="6149" xr:uid="{00000000-0005-0000-0000-00000D110000}"/>
    <cellStyle name="40% - Accent2 6 3 2 4 4" xfId="6150" xr:uid="{00000000-0005-0000-0000-00000E110000}"/>
    <cellStyle name="40% - Accent2 6 3 2 4 4 2" xfId="6151" xr:uid="{00000000-0005-0000-0000-00000F110000}"/>
    <cellStyle name="40% - Accent2 6 3 2 4 5" xfId="6152" xr:uid="{00000000-0005-0000-0000-000010110000}"/>
    <cellStyle name="40% - Accent2 6 3 2 5" xfId="6153" xr:uid="{00000000-0005-0000-0000-000011110000}"/>
    <cellStyle name="40% - Accent2 6 3 2 5 2" xfId="6154" xr:uid="{00000000-0005-0000-0000-000012110000}"/>
    <cellStyle name="40% - Accent2 6 3 2 5 2 2" xfId="6155" xr:uid="{00000000-0005-0000-0000-000013110000}"/>
    <cellStyle name="40% - Accent2 6 3 2 5 2 2 2" xfId="6156" xr:uid="{00000000-0005-0000-0000-000014110000}"/>
    <cellStyle name="40% - Accent2 6 3 2 5 2 3" xfId="6157" xr:uid="{00000000-0005-0000-0000-000015110000}"/>
    <cellStyle name="40% - Accent2 6 3 2 5 3" xfId="6158" xr:uid="{00000000-0005-0000-0000-000016110000}"/>
    <cellStyle name="40% - Accent2 6 3 2 5 3 2" xfId="6159" xr:uid="{00000000-0005-0000-0000-000017110000}"/>
    <cellStyle name="40% - Accent2 6 3 2 5 4" xfId="6160" xr:uid="{00000000-0005-0000-0000-000018110000}"/>
    <cellStyle name="40% - Accent2 6 3 2 6" xfId="6161" xr:uid="{00000000-0005-0000-0000-000019110000}"/>
    <cellStyle name="40% - Accent2 6 3 2 6 2" xfId="6162" xr:uid="{00000000-0005-0000-0000-00001A110000}"/>
    <cellStyle name="40% - Accent2 6 3 2 6 2 2" xfId="6163" xr:uid="{00000000-0005-0000-0000-00001B110000}"/>
    <cellStyle name="40% - Accent2 6 3 2 6 2 2 2" xfId="6164" xr:uid="{00000000-0005-0000-0000-00001C110000}"/>
    <cellStyle name="40% - Accent2 6 3 2 6 2 3" xfId="6165" xr:uid="{00000000-0005-0000-0000-00001D110000}"/>
    <cellStyle name="40% - Accent2 6 3 2 6 3" xfId="6166" xr:uid="{00000000-0005-0000-0000-00001E110000}"/>
    <cellStyle name="40% - Accent2 6 3 2 6 3 2" xfId="6167" xr:uid="{00000000-0005-0000-0000-00001F110000}"/>
    <cellStyle name="40% - Accent2 6 3 2 6 4" xfId="6168" xr:uid="{00000000-0005-0000-0000-000020110000}"/>
    <cellStyle name="40% - Accent2 6 3 2 7" xfId="6169" xr:uid="{00000000-0005-0000-0000-000021110000}"/>
    <cellStyle name="40% - Accent2 6 3 2 7 2" xfId="6170" xr:uid="{00000000-0005-0000-0000-000022110000}"/>
    <cellStyle name="40% - Accent2 6 3 2 7 2 2" xfId="6171" xr:uid="{00000000-0005-0000-0000-000023110000}"/>
    <cellStyle name="40% - Accent2 6 3 2 7 2 2 2" xfId="6172" xr:uid="{00000000-0005-0000-0000-000024110000}"/>
    <cellStyle name="40% - Accent2 6 3 2 7 2 3" xfId="6173" xr:uid="{00000000-0005-0000-0000-000025110000}"/>
    <cellStyle name="40% - Accent2 6 3 2 7 3" xfId="6174" xr:uid="{00000000-0005-0000-0000-000026110000}"/>
    <cellStyle name="40% - Accent2 6 3 2 7 3 2" xfId="6175" xr:uid="{00000000-0005-0000-0000-000027110000}"/>
    <cellStyle name="40% - Accent2 6 3 2 7 4" xfId="6176" xr:uid="{00000000-0005-0000-0000-000028110000}"/>
    <cellStyle name="40% - Accent2 6 3 2 8" xfId="6177" xr:uid="{00000000-0005-0000-0000-000029110000}"/>
    <cellStyle name="40% - Accent2 6 3 2 8 2" xfId="6178" xr:uid="{00000000-0005-0000-0000-00002A110000}"/>
    <cellStyle name="40% - Accent2 6 3 2 8 2 2" xfId="6179" xr:uid="{00000000-0005-0000-0000-00002B110000}"/>
    <cellStyle name="40% - Accent2 6 3 2 8 3" xfId="6180" xr:uid="{00000000-0005-0000-0000-00002C110000}"/>
    <cellStyle name="40% - Accent2 6 3 2 9" xfId="6181" xr:uid="{00000000-0005-0000-0000-00002D110000}"/>
    <cellStyle name="40% - Accent2 6 3 2 9 2" xfId="6182" xr:uid="{00000000-0005-0000-0000-00002E110000}"/>
    <cellStyle name="40% - Accent2 6 3 3" xfId="1267" xr:uid="{00000000-0005-0000-0000-00002F110000}"/>
    <cellStyle name="40% - Accent2 6 3 3 2" xfId="6184" xr:uid="{00000000-0005-0000-0000-000030110000}"/>
    <cellStyle name="40% - Accent2 6 3 3 2 2" xfId="6185" xr:uid="{00000000-0005-0000-0000-000031110000}"/>
    <cellStyle name="40% - Accent2 6 3 3 2 2 2" xfId="6186" xr:uid="{00000000-0005-0000-0000-000032110000}"/>
    <cellStyle name="40% - Accent2 6 3 3 2 2 2 2" xfId="6187" xr:uid="{00000000-0005-0000-0000-000033110000}"/>
    <cellStyle name="40% - Accent2 6 3 3 2 2 3" xfId="6188" xr:uid="{00000000-0005-0000-0000-000034110000}"/>
    <cellStyle name="40% - Accent2 6 3 3 2 3" xfId="6189" xr:uid="{00000000-0005-0000-0000-000035110000}"/>
    <cellStyle name="40% - Accent2 6 3 3 2 3 2" xfId="6190" xr:uid="{00000000-0005-0000-0000-000036110000}"/>
    <cellStyle name="40% - Accent2 6 3 3 2 4" xfId="6191" xr:uid="{00000000-0005-0000-0000-000037110000}"/>
    <cellStyle name="40% - Accent2 6 3 3 3" xfId="6192" xr:uid="{00000000-0005-0000-0000-000038110000}"/>
    <cellStyle name="40% - Accent2 6 3 3 3 2" xfId="6193" xr:uid="{00000000-0005-0000-0000-000039110000}"/>
    <cellStyle name="40% - Accent2 6 3 3 3 2 2" xfId="6194" xr:uid="{00000000-0005-0000-0000-00003A110000}"/>
    <cellStyle name="40% - Accent2 6 3 3 3 2 2 2" xfId="6195" xr:uid="{00000000-0005-0000-0000-00003B110000}"/>
    <cellStyle name="40% - Accent2 6 3 3 3 2 3" xfId="6196" xr:uid="{00000000-0005-0000-0000-00003C110000}"/>
    <cellStyle name="40% - Accent2 6 3 3 3 3" xfId="6197" xr:uid="{00000000-0005-0000-0000-00003D110000}"/>
    <cellStyle name="40% - Accent2 6 3 3 3 3 2" xfId="6198" xr:uid="{00000000-0005-0000-0000-00003E110000}"/>
    <cellStyle name="40% - Accent2 6 3 3 3 4" xfId="6199" xr:uid="{00000000-0005-0000-0000-00003F110000}"/>
    <cellStyle name="40% - Accent2 6 3 3 4" xfId="6200" xr:uid="{00000000-0005-0000-0000-000040110000}"/>
    <cellStyle name="40% - Accent2 6 3 3 4 2" xfId="6201" xr:uid="{00000000-0005-0000-0000-000041110000}"/>
    <cellStyle name="40% - Accent2 6 3 3 4 2 2" xfId="6202" xr:uid="{00000000-0005-0000-0000-000042110000}"/>
    <cellStyle name="40% - Accent2 6 3 3 4 3" xfId="6203" xr:uid="{00000000-0005-0000-0000-000043110000}"/>
    <cellStyle name="40% - Accent2 6 3 3 5" xfId="6204" xr:uid="{00000000-0005-0000-0000-000044110000}"/>
    <cellStyle name="40% - Accent2 6 3 3 5 2" xfId="6205" xr:uid="{00000000-0005-0000-0000-000045110000}"/>
    <cellStyle name="40% - Accent2 6 3 3 6" xfId="6206" xr:uid="{00000000-0005-0000-0000-000046110000}"/>
    <cellStyle name="40% - Accent2 6 3 3 7" xfId="6183" xr:uid="{00000000-0005-0000-0000-000047110000}"/>
    <cellStyle name="40% - Accent2 6 3 4" xfId="6207" xr:uid="{00000000-0005-0000-0000-000048110000}"/>
    <cellStyle name="40% - Accent2 6 3 4 2" xfId="6208" xr:uid="{00000000-0005-0000-0000-000049110000}"/>
    <cellStyle name="40% - Accent2 6 3 4 2 2" xfId="6209" xr:uid="{00000000-0005-0000-0000-00004A110000}"/>
    <cellStyle name="40% - Accent2 6 3 4 2 2 2" xfId="6210" xr:uid="{00000000-0005-0000-0000-00004B110000}"/>
    <cellStyle name="40% - Accent2 6 3 4 2 2 2 2" xfId="6211" xr:uid="{00000000-0005-0000-0000-00004C110000}"/>
    <cellStyle name="40% - Accent2 6 3 4 2 2 3" xfId="6212" xr:uid="{00000000-0005-0000-0000-00004D110000}"/>
    <cellStyle name="40% - Accent2 6 3 4 2 3" xfId="6213" xr:uid="{00000000-0005-0000-0000-00004E110000}"/>
    <cellStyle name="40% - Accent2 6 3 4 2 3 2" xfId="6214" xr:uid="{00000000-0005-0000-0000-00004F110000}"/>
    <cellStyle name="40% - Accent2 6 3 4 2 4" xfId="6215" xr:uid="{00000000-0005-0000-0000-000050110000}"/>
    <cellStyle name="40% - Accent2 6 3 4 3" xfId="6216" xr:uid="{00000000-0005-0000-0000-000051110000}"/>
    <cellStyle name="40% - Accent2 6 3 4 3 2" xfId="6217" xr:uid="{00000000-0005-0000-0000-000052110000}"/>
    <cellStyle name="40% - Accent2 6 3 4 3 2 2" xfId="6218" xr:uid="{00000000-0005-0000-0000-000053110000}"/>
    <cellStyle name="40% - Accent2 6 3 4 3 3" xfId="6219" xr:uid="{00000000-0005-0000-0000-000054110000}"/>
    <cellStyle name="40% - Accent2 6 3 4 4" xfId="6220" xr:uid="{00000000-0005-0000-0000-000055110000}"/>
    <cellStyle name="40% - Accent2 6 3 4 4 2" xfId="6221" xr:uid="{00000000-0005-0000-0000-000056110000}"/>
    <cellStyle name="40% - Accent2 6 3 4 5" xfId="6222" xr:uid="{00000000-0005-0000-0000-000057110000}"/>
    <cellStyle name="40% - Accent2 6 3 5" xfId="6223" xr:uid="{00000000-0005-0000-0000-000058110000}"/>
    <cellStyle name="40% - Accent2 6 3 5 2" xfId="6224" xr:uid="{00000000-0005-0000-0000-000059110000}"/>
    <cellStyle name="40% - Accent2 6 3 5 2 2" xfId="6225" xr:uid="{00000000-0005-0000-0000-00005A110000}"/>
    <cellStyle name="40% - Accent2 6 3 5 2 2 2" xfId="6226" xr:uid="{00000000-0005-0000-0000-00005B110000}"/>
    <cellStyle name="40% - Accent2 6 3 5 2 2 2 2" xfId="6227" xr:uid="{00000000-0005-0000-0000-00005C110000}"/>
    <cellStyle name="40% - Accent2 6 3 5 2 2 3" xfId="6228" xr:uid="{00000000-0005-0000-0000-00005D110000}"/>
    <cellStyle name="40% - Accent2 6 3 5 2 3" xfId="6229" xr:uid="{00000000-0005-0000-0000-00005E110000}"/>
    <cellStyle name="40% - Accent2 6 3 5 2 3 2" xfId="6230" xr:uid="{00000000-0005-0000-0000-00005F110000}"/>
    <cellStyle name="40% - Accent2 6 3 5 2 4" xfId="6231" xr:uid="{00000000-0005-0000-0000-000060110000}"/>
    <cellStyle name="40% - Accent2 6 3 5 3" xfId="6232" xr:uid="{00000000-0005-0000-0000-000061110000}"/>
    <cellStyle name="40% - Accent2 6 3 5 3 2" xfId="6233" xr:uid="{00000000-0005-0000-0000-000062110000}"/>
    <cellStyle name="40% - Accent2 6 3 5 3 2 2" xfId="6234" xr:uid="{00000000-0005-0000-0000-000063110000}"/>
    <cellStyle name="40% - Accent2 6 3 5 3 3" xfId="6235" xr:uid="{00000000-0005-0000-0000-000064110000}"/>
    <cellStyle name="40% - Accent2 6 3 5 4" xfId="6236" xr:uid="{00000000-0005-0000-0000-000065110000}"/>
    <cellStyle name="40% - Accent2 6 3 5 4 2" xfId="6237" xr:uid="{00000000-0005-0000-0000-000066110000}"/>
    <cellStyle name="40% - Accent2 6 3 5 5" xfId="6238" xr:uid="{00000000-0005-0000-0000-000067110000}"/>
    <cellStyle name="40% - Accent2 6 3 6" xfId="6239" xr:uid="{00000000-0005-0000-0000-000068110000}"/>
    <cellStyle name="40% - Accent2 6 3 6 2" xfId="6240" xr:uid="{00000000-0005-0000-0000-000069110000}"/>
    <cellStyle name="40% - Accent2 6 3 6 2 2" xfId="6241" xr:uid="{00000000-0005-0000-0000-00006A110000}"/>
    <cellStyle name="40% - Accent2 6 3 6 2 2 2" xfId="6242" xr:uid="{00000000-0005-0000-0000-00006B110000}"/>
    <cellStyle name="40% - Accent2 6 3 6 2 3" xfId="6243" xr:uid="{00000000-0005-0000-0000-00006C110000}"/>
    <cellStyle name="40% - Accent2 6 3 6 3" xfId="6244" xr:uid="{00000000-0005-0000-0000-00006D110000}"/>
    <cellStyle name="40% - Accent2 6 3 6 3 2" xfId="6245" xr:uid="{00000000-0005-0000-0000-00006E110000}"/>
    <cellStyle name="40% - Accent2 6 3 6 4" xfId="6246" xr:uid="{00000000-0005-0000-0000-00006F110000}"/>
    <cellStyle name="40% - Accent2 6 3 7" xfId="6247" xr:uid="{00000000-0005-0000-0000-000070110000}"/>
    <cellStyle name="40% - Accent2 6 3 7 2" xfId="6248" xr:uid="{00000000-0005-0000-0000-000071110000}"/>
    <cellStyle name="40% - Accent2 6 3 7 2 2" xfId="6249" xr:uid="{00000000-0005-0000-0000-000072110000}"/>
    <cellStyle name="40% - Accent2 6 3 7 2 2 2" xfId="6250" xr:uid="{00000000-0005-0000-0000-000073110000}"/>
    <cellStyle name="40% - Accent2 6 3 7 2 3" xfId="6251" xr:uid="{00000000-0005-0000-0000-000074110000}"/>
    <cellStyle name="40% - Accent2 6 3 7 3" xfId="6252" xr:uid="{00000000-0005-0000-0000-000075110000}"/>
    <cellStyle name="40% - Accent2 6 3 7 3 2" xfId="6253" xr:uid="{00000000-0005-0000-0000-000076110000}"/>
    <cellStyle name="40% - Accent2 6 3 7 4" xfId="6254" xr:uid="{00000000-0005-0000-0000-000077110000}"/>
    <cellStyle name="40% - Accent2 6 3 8" xfId="6255" xr:uid="{00000000-0005-0000-0000-000078110000}"/>
    <cellStyle name="40% - Accent2 6 3 8 2" xfId="6256" xr:uid="{00000000-0005-0000-0000-000079110000}"/>
    <cellStyle name="40% - Accent2 6 3 8 2 2" xfId="6257" xr:uid="{00000000-0005-0000-0000-00007A110000}"/>
    <cellStyle name="40% - Accent2 6 3 8 2 2 2" xfId="6258" xr:uid="{00000000-0005-0000-0000-00007B110000}"/>
    <cellStyle name="40% - Accent2 6 3 8 2 3" xfId="6259" xr:uid="{00000000-0005-0000-0000-00007C110000}"/>
    <cellStyle name="40% - Accent2 6 3 8 3" xfId="6260" xr:uid="{00000000-0005-0000-0000-00007D110000}"/>
    <cellStyle name="40% - Accent2 6 3 8 3 2" xfId="6261" xr:uid="{00000000-0005-0000-0000-00007E110000}"/>
    <cellStyle name="40% - Accent2 6 3 8 4" xfId="6262" xr:uid="{00000000-0005-0000-0000-00007F110000}"/>
    <cellStyle name="40% - Accent2 6 3 9" xfId="6263" xr:uid="{00000000-0005-0000-0000-000080110000}"/>
    <cellStyle name="40% - Accent2 6 3 9 2" xfId="6264" xr:uid="{00000000-0005-0000-0000-000081110000}"/>
    <cellStyle name="40% - Accent2 6 3 9 2 2" xfId="6265" xr:uid="{00000000-0005-0000-0000-000082110000}"/>
    <cellStyle name="40% - Accent2 6 3 9 3" xfId="6266" xr:uid="{00000000-0005-0000-0000-000083110000}"/>
    <cellStyle name="40% - Accent2 6 4" xfId="832" xr:uid="{00000000-0005-0000-0000-000084110000}"/>
    <cellStyle name="40% - Accent2 6 4 10" xfId="6268" xr:uid="{00000000-0005-0000-0000-000085110000}"/>
    <cellStyle name="40% - Accent2 6 4 11" xfId="6267" xr:uid="{00000000-0005-0000-0000-000086110000}"/>
    <cellStyle name="40% - Accent2 6 4 2" xfId="1590" xr:uid="{00000000-0005-0000-0000-000087110000}"/>
    <cellStyle name="40% - Accent2 6 4 2 2" xfId="6270" xr:uid="{00000000-0005-0000-0000-000088110000}"/>
    <cellStyle name="40% - Accent2 6 4 2 2 2" xfId="6271" xr:uid="{00000000-0005-0000-0000-000089110000}"/>
    <cellStyle name="40% - Accent2 6 4 2 2 2 2" xfId="6272" xr:uid="{00000000-0005-0000-0000-00008A110000}"/>
    <cellStyle name="40% - Accent2 6 4 2 2 2 2 2" xfId="6273" xr:uid="{00000000-0005-0000-0000-00008B110000}"/>
    <cellStyle name="40% - Accent2 6 4 2 2 2 3" xfId="6274" xr:uid="{00000000-0005-0000-0000-00008C110000}"/>
    <cellStyle name="40% - Accent2 6 4 2 2 3" xfId="6275" xr:uid="{00000000-0005-0000-0000-00008D110000}"/>
    <cellStyle name="40% - Accent2 6 4 2 2 3 2" xfId="6276" xr:uid="{00000000-0005-0000-0000-00008E110000}"/>
    <cellStyle name="40% - Accent2 6 4 2 2 4" xfId="6277" xr:uid="{00000000-0005-0000-0000-00008F110000}"/>
    <cellStyle name="40% - Accent2 6 4 2 3" xfId="6278" xr:uid="{00000000-0005-0000-0000-000090110000}"/>
    <cellStyle name="40% - Accent2 6 4 2 3 2" xfId="6279" xr:uid="{00000000-0005-0000-0000-000091110000}"/>
    <cellStyle name="40% - Accent2 6 4 2 3 2 2" xfId="6280" xr:uid="{00000000-0005-0000-0000-000092110000}"/>
    <cellStyle name="40% - Accent2 6 4 2 3 2 2 2" xfId="6281" xr:uid="{00000000-0005-0000-0000-000093110000}"/>
    <cellStyle name="40% - Accent2 6 4 2 3 2 3" xfId="6282" xr:uid="{00000000-0005-0000-0000-000094110000}"/>
    <cellStyle name="40% - Accent2 6 4 2 3 3" xfId="6283" xr:uid="{00000000-0005-0000-0000-000095110000}"/>
    <cellStyle name="40% - Accent2 6 4 2 3 3 2" xfId="6284" xr:uid="{00000000-0005-0000-0000-000096110000}"/>
    <cellStyle name="40% - Accent2 6 4 2 3 4" xfId="6285" xr:uid="{00000000-0005-0000-0000-000097110000}"/>
    <cellStyle name="40% - Accent2 6 4 2 4" xfId="6286" xr:uid="{00000000-0005-0000-0000-000098110000}"/>
    <cellStyle name="40% - Accent2 6 4 2 4 2" xfId="6287" xr:uid="{00000000-0005-0000-0000-000099110000}"/>
    <cellStyle name="40% - Accent2 6 4 2 4 2 2" xfId="6288" xr:uid="{00000000-0005-0000-0000-00009A110000}"/>
    <cellStyle name="40% - Accent2 6 4 2 4 3" xfId="6289" xr:uid="{00000000-0005-0000-0000-00009B110000}"/>
    <cellStyle name="40% - Accent2 6 4 2 5" xfId="6290" xr:uid="{00000000-0005-0000-0000-00009C110000}"/>
    <cellStyle name="40% - Accent2 6 4 2 5 2" xfId="6291" xr:uid="{00000000-0005-0000-0000-00009D110000}"/>
    <cellStyle name="40% - Accent2 6 4 2 6" xfId="6292" xr:uid="{00000000-0005-0000-0000-00009E110000}"/>
    <cellStyle name="40% - Accent2 6 4 2 7" xfId="6269" xr:uid="{00000000-0005-0000-0000-00009F110000}"/>
    <cellStyle name="40% - Accent2 6 4 3" xfId="6293" xr:uid="{00000000-0005-0000-0000-0000A0110000}"/>
    <cellStyle name="40% - Accent2 6 4 3 2" xfId="6294" xr:uid="{00000000-0005-0000-0000-0000A1110000}"/>
    <cellStyle name="40% - Accent2 6 4 3 2 2" xfId="6295" xr:uid="{00000000-0005-0000-0000-0000A2110000}"/>
    <cellStyle name="40% - Accent2 6 4 3 2 2 2" xfId="6296" xr:uid="{00000000-0005-0000-0000-0000A3110000}"/>
    <cellStyle name="40% - Accent2 6 4 3 2 2 2 2" xfId="6297" xr:uid="{00000000-0005-0000-0000-0000A4110000}"/>
    <cellStyle name="40% - Accent2 6 4 3 2 2 3" xfId="6298" xr:uid="{00000000-0005-0000-0000-0000A5110000}"/>
    <cellStyle name="40% - Accent2 6 4 3 2 3" xfId="6299" xr:uid="{00000000-0005-0000-0000-0000A6110000}"/>
    <cellStyle name="40% - Accent2 6 4 3 2 3 2" xfId="6300" xr:uid="{00000000-0005-0000-0000-0000A7110000}"/>
    <cellStyle name="40% - Accent2 6 4 3 2 4" xfId="6301" xr:uid="{00000000-0005-0000-0000-0000A8110000}"/>
    <cellStyle name="40% - Accent2 6 4 3 3" xfId="6302" xr:uid="{00000000-0005-0000-0000-0000A9110000}"/>
    <cellStyle name="40% - Accent2 6 4 3 3 2" xfId="6303" xr:uid="{00000000-0005-0000-0000-0000AA110000}"/>
    <cellStyle name="40% - Accent2 6 4 3 3 2 2" xfId="6304" xr:uid="{00000000-0005-0000-0000-0000AB110000}"/>
    <cellStyle name="40% - Accent2 6 4 3 3 3" xfId="6305" xr:uid="{00000000-0005-0000-0000-0000AC110000}"/>
    <cellStyle name="40% - Accent2 6 4 3 4" xfId="6306" xr:uid="{00000000-0005-0000-0000-0000AD110000}"/>
    <cellStyle name="40% - Accent2 6 4 3 4 2" xfId="6307" xr:uid="{00000000-0005-0000-0000-0000AE110000}"/>
    <cellStyle name="40% - Accent2 6 4 3 5" xfId="6308" xr:uid="{00000000-0005-0000-0000-0000AF110000}"/>
    <cellStyle name="40% - Accent2 6 4 4" xfId="6309" xr:uid="{00000000-0005-0000-0000-0000B0110000}"/>
    <cellStyle name="40% - Accent2 6 4 4 2" xfId="6310" xr:uid="{00000000-0005-0000-0000-0000B1110000}"/>
    <cellStyle name="40% - Accent2 6 4 4 2 2" xfId="6311" xr:uid="{00000000-0005-0000-0000-0000B2110000}"/>
    <cellStyle name="40% - Accent2 6 4 4 2 2 2" xfId="6312" xr:uid="{00000000-0005-0000-0000-0000B3110000}"/>
    <cellStyle name="40% - Accent2 6 4 4 2 2 2 2" xfId="6313" xr:uid="{00000000-0005-0000-0000-0000B4110000}"/>
    <cellStyle name="40% - Accent2 6 4 4 2 2 3" xfId="6314" xr:uid="{00000000-0005-0000-0000-0000B5110000}"/>
    <cellStyle name="40% - Accent2 6 4 4 2 3" xfId="6315" xr:uid="{00000000-0005-0000-0000-0000B6110000}"/>
    <cellStyle name="40% - Accent2 6 4 4 2 3 2" xfId="6316" xr:uid="{00000000-0005-0000-0000-0000B7110000}"/>
    <cellStyle name="40% - Accent2 6 4 4 2 4" xfId="6317" xr:uid="{00000000-0005-0000-0000-0000B8110000}"/>
    <cellStyle name="40% - Accent2 6 4 4 3" xfId="6318" xr:uid="{00000000-0005-0000-0000-0000B9110000}"/>
    <cellStyle name="40% - Accent2 6 4 4 3 2" xfId="6319" xr:uid="{00000000-0005-0000-0000-0000BA110000}"/>
    <cellStyle name="40% - Accent2 6 4 4 3 2 2" xfId="6320" xr:uid="{00000000-0005-0000-0000-0000BB110000}"/>
    <cellStyle name="40% - Accent2 6 4 4 3 3" xfId="6321" xr:uid="{00000000-0005-0000-0000-0000BC110000}"/>
    <cellStyle name="40% - Accent2 6 4 4 4" xfId="6322" xr:uid="{00000000-0005-0000-0000-0000BD110000}"/>
    <cellStyle name="40% - Accent2 6 4 4 4 2" xfId="6323" xr:uid="{00000000-0005-0000-0000-0000BE110000}"/>
    <cellStyle name="40% - Accent2 6 4 4 5" xfId="6324" xr:uid="{00000000-0005-0000-0000-0000BF110000}"/>
    <cellStyle name="40% - Accent2 6 4 5" xfId="6325" xr:uid="{00000000-0005-0000-0000-0000C0110000}"/>
    <cellStyle name="40% - Accent2 6 4 5 2" xfId="6326" xr:uid="{00000000-0005-0000-0000-0000C1110000}"/>
    <cellStyle name="40% - Accent2 6 4 5 2 2" xfId="6327" xr:uid="{00000000-0005-0000-0000-0000C2110000}"/>
    <cellStyle name="40% - Accent2 6 4 5 2 2 2" xfId="6328" xr:uid="{00000000-0005-0000-0000-0000C3110000}"/>
    <cellStyle name="40% - Accent2 6 4 5 2 3" xfId="6329" xr:uid="{00000000-0005-0000-0000-0000C4110000}"/>
    <cellStyle name="40% - Accent2 6 4 5 3" xfId="6330" xr:uid="{00000000-0005-0000-0000-0000C5110000}"/>
    <cellStyle name="40% - Accent2 6 4 5 3 2" xfId="6331" xr:uid="{00000000-0005-0000-0000-0000C6110000}"/>
    <cellStyle name="40% - Accent2 6 4 5 4" xfId="6332" xr:uid="{00000000-0005-0000-0000-0000C7110000}"/>
    <cellStyle name="40% - Accent2 6 4 6" xfId="6333" xr:uid="{00000000-0005-0000-0000-0000C8110000}"/>
    <cellStyle name="40% - Accent2 6 4 6 2" xfId="6334" xr:uid="{00000000-0005-0000-0000-0000C9110000}"/>
    <cellStyle name="40% - Accent2 6 4 6 2 2" xfId="6335" xr:uid="{00000000-0005-0000-0000-0000CA110000}"/>
    <cellStyle name="40% - Accent2 6 4 6 2 2 2" xfId="6336" xr:uid="{00000000-0005-0000-0000-0000CB110000}"/>
    <cellStyle name="40% - Accent2 6 4 6 2 3" xfId="6337" xr:uid="{00000000-0005-0000-0000-0000CC110000}"/>
    <cellStyle name="40% - Accent2 6 4 6 3" xfId="6338" xr:uid="{00000000-0005-0000-0000-0000CD110000}"/>
    <cellStyle name="40% - Accent2 6 4 6 3 2" xfId="6339" xr:uid="{00000000-0005-0000-0000-0000CE110000}"/>
    <cellStyle name="40% - Accent2 6 4 6 4" xfId="6340" xr:uid="{00000000-0005-0000-0000-0000CF110000}"/>
    <cellStyle name="40% - Accent2 6 4 7" xfId="6341" xr:uid="{00000000-0005-0000-0000-0000D0110000}"/>
    <cellStyle name="40% - Accent2 6 4 7 2" xfId="6342" xr:uid="{00000000-0005-0000-0000-0000D1110000}"/>
    <cellStyle name="40% - Accent2 6 4 7 2 2" xfId="6343" xr:uid="{00000000-0005-0000-0000-0000D2110000}"/>
    <cellStyle name="40% - Accent2 6 4 7 2 2 2" xfId="6344" xr:uid="{00000000-0005-0000-0000-0000D3110000}"/>
    <cellStyle name="40% - Accent2 6 4 7 2 3" xfId="6345" xr:uid="{00000000-0005-0000-0000-0000D4110000}"/>
    <cellStyle name="40% - Accent2 6 4 7 3" xfId="6346" xr:uid="{00000000-0005-0000-0000-0000D5110000}"/>
    <cellStyle name="40% - Accent2 6 4 7 3 2" xfId="6347" xr:uid="{00000000-0005-0000-0000-0000D6110000}"/>
    <cellStyle name="40% - Accent2 6 4 7 4" xfId="6348" xr:uid="{00000000-0005-0000-0000-0000D7110000}"/>
    <cellStyle name="40% - Accent2 6 4 8" xfId="6349" xr:uid="{00000000-0005-0000-0000-0000D8110000}"/>
    <cellStyle name="40% - Accent2 6 4 8 2" xfId="6350" xr:uid="{00000000-0005-0000-0000-0000D9110000}"/>
    <cellStyle name="40% - Accent2 6 4 8 2 2" xfId="6351" xr:uid="{00000000-0005-0000-0000-0000DA110000}"/>
    <cellStyle name="40% - Accent2 6 4 8 3" xfId="6352" xr:uid="{00000000-0005-0000-0000-0000DB110000}"/>
    <cellStyle name="40% - Accent2 6 4 9" xfId="6353" xr:uid="{00000000-0005-0000-0000-0000DC110000}"/>
    <cellStyle name="40% - Accent2 6 4 9 2" xfId="6354" xr:uid="{00000000-0005-0000-0000-0000DD110000}"/>
    <cellStyle name="40% - Accent2 6 5" xfId="1265" xr:uid="{00000000-0005-0000-0000-0000DE110000}"/>
    <cellStyle name="40% - Accent2 6 5 2" xfId="6356" xr:uid="{00000000-0005-0000-0000-0000DF110000}"/>
    <cellStyle name="40% - Accent2 6 5 2 2" xfId="6357" xr:uid="{00000000-0005-0000-0000-0000E0110000}"/>
    <cellStyle name="40% - Accent2 6 5 2 2 2" xfId="6358" xr:uid="{00000000-0005-0000-0000-0000E1110000}"/>
    <cellStyle name="40% - Accent2 6 5 2 2 2 2" xfId="6359" xr:uid="{00000000-0005-0000-0000-0000E2110000}"/>
    <cellStyle name="40% - Accent2 6 5 2 2 3" xfId="6360" xr:uid="{00000000-0005-0000-0000-0000E3110000}"/>
    <cellStyle name="40% - Accent2 6 5 2 3" xfId="6361" xr:uid="{00000000-0005-0000-0000-0000E4110000}"/>
    <cellStyle name="40% - Accent2 6 5 2 3 2" xfId="6362" xr:uid="{00000000-0005-0000-0000-0000E5110000}"/>
    <cellStyle name="40% - Accent2 6 5 2 4" xfId="6363" xr:uid="{00000000-0005-0000-0000-0000E6110000}"/>
    <cellStyle name="40% - Accent2 6 5 3" xfId="6364" xr:uid="{00000000-0005-0000-0000-0000E7110000}"/>
    <cellStyle name="40% - Accent2 6 5 3 2" xfId="6365" xr:uid="{00000000-0005-0000-0000-0000E8110000}"/>
    <cellStyle name="40% - Accent2 6 5 3 2 2" xfId="6366" xr:uid="{00000000-0005-0000-0000-0000E9110000}"/>
    <cellStyle name="40% - Accent2 6 5 3 2 2 2" xfId="6367" xr:uid="{00000000-0005-0000-0000-0000EA110000}"/>
    <cellStyle name="40% - Accent2 6 5 3 2 3" xfId="6368" xr:uid="{00000000-0005-0000-0000-0000EB110000}"/>
    <cellStyle name="40% - Accent2 6 5 3 3" xfId="6369" xr:uid="{00000000-0005-0000-0000-0000EC110000}"/>
    <cellStyle name="40% - Accent2 6 5 3 3 2" xfId="6370" xr:uid="{00000000-0005-0000-0000-0000ED110000}"/>
    <cellStyle name="40% - Accent2 6 5 3 4" xfId="6371" xr:uid="{00000000-0005-0000-0000-0000EE110000}"/>
    <cellStyle name="40% - Accent2 6 5 4" xfId="6372" xr:uid="{00000000-0005-0000-0000-0000EF110000}"/>
    <cellStyle name="40% - Accent2 6 5 4 2" xfId="6373" xr:uid="{00000000-0005-0000-0000-0000F0110000}"/>
    <cellStyle name="40% - Accent2 6 5 4 2 2" xfId="6374" xr:uid="{00000000-0005-0000-0000-0000F1110000}"/>
    <cellStyle name="40% - Accent2 6 5 4 3" xfId="6375" xr:uid="{00000000-0005-0000-0000-0000F2110000}"/>
    <cellStyle name="40% - Accent2 6 5 5" xfId="6376" xr:uid="{00000000-0005-0000-0000-0000F3110000}"/>
    <cellStyle name="40% - Accent2 6 5 5 2" xfId="6377" xr:uid="{00000000-0005-0000-0000-0000F4110000}"/>
    <cellStyle name="40% - Accent2 6 5 6" xfId="6378" xr:uid="{00000000-0005-0000-0000-0000F5110000}"/>
    <cellStyle name="40% - Accent2 6 5 7" xfId="6355" xr:uid="{00000000-0005-0000-0000-0000F6110000}"/>
    <cellStyle name="40% - Accent2 6 6" xfId="6379" xr:uid="{00000000-0005-0000-0000-0000F7110000}"/>
    <cellStyle name="40% - Accent2 6 6 2" xfId="6380" xr:uid="{00000000-0005-0000-0000-0000F8110000}"/>
    <cellStyle name="40% - Accent2 6 6 2 2" xfId="6381" xr:uid="{00000000-0005-0000-0000-0000F9110000}"/>
    <cellStyle name="40% - Accent2 6 6 2 2 2" xfId="6382" xr:uid="{00000000-0005-0000-0000-0000FA110000}"/>
    <cellStyle name="40% - Accent2 6 6 2 2 2 2" xfId="6383" xr:uid="{00000000-0005-0000-0000-0000FB110000}"/>
    <cellStyle name="40% - Accent2 6 6 2 2 3" xfId="6384" xr:uid="{00000000-0005-0000-0000-0000FC110000}"/>
    <cellStyle name="40% - Accent2 6 6 2 3" xfId="6385" xr:uid="{00000000-0005-0000-0000-0000FD110000}"/>
    <cellStyle name="40% - Accent2 6 6 2 3 2" xfId="6386" xr:uid="{00000000-0005-0000-0000-0000FE110000}"/>
    <cellStyle name="40% - Accent2 6 6 2 4" xfId="6387" xr:uid="{00000000-0005-0000-0000-0000FF110000}"/>
    <cellStyle name="40% - Accent2 6 6 3" xfId="6388" xr:uid="{00000000-0005-0000-0000-000000120000}"/>
    <cellStyle name="40% - Accent2 6 6 3 2" xfId="6389" xr:uid="{00000000-0005-0000-0000-000001120000}"/>
    <cellStyle name="40% - Accent2 6 6 3 2 2" xfId="6390" xr:uid="{00000000-0005-0000-0000-000002120000}"/>
    <cellStyle name="40% - Accent2 6 6 3 3" xfId="6391" xr:uid="{00000000-0005-0000-0000-000003120000}"/>
    <cellStyle name="40% - Accent2 6 6 4" xfId="6392" xr:uid="{00000000-0005-0000-0000-000004120000}"/>
    <cellStyle name="40% - Accent2 6 6 4 2" xfId="6393" xr:uid="{00000000-0005-0000-0000-000005120000}"/>
    <cellStyle name="40% - Accent2 6 6 5" xfId="6394" xr:uid="{00000000-0005-0000-0000-000006120000}"/>
    <cellStyle name="40% - Accent2 6 7" xfId="6395" xr:uid="{00000000-0005-0000-0000-000007120000}"/>
    <cellStyle name="40% - Accent2 6 7 2" xfId="6396" xr:uid="{00000000-0005-0000-0000-000008120000}"/>
    <cellStyle name="40% - Accent2 6 7 2 2" xfId="6397" xr:uid="{00000000-0005-0000-0000-000009120000}"/>
    <cellStyle name="40% - Accent2 6 7 2 2 2" xfId="6398" xr:uid="{00000000-0005-0000-0000-00000A120000}"/>
    <cellStyle name="40% - Accent2 6 7 2 2 2 2" xfId="6399" xr:uid="{00000000-0005-0000-0000-00000B120000}"/>
    <cellStyle name="40% - Accent2 6 7 2 2 3" xfId="6400" xr:uid="{00000000-0005-0000-0000-00000C120000}"/>
    <cellStyle name="40% - Accent2 6 7 2 3" xfId="6401" xr:uid="{00000000-0005-0000-0000-00000D120000}"/>
    <cellStyle name="40% - Accent2 6 7 2 3 2" xfId="6402" xr:uid="{00000000-0005-0000-0000-00000E120000}"/>
    <cellStyle name="40% - Accent2 6 7 2 4" xfId="6403" xr:uid="{00000000-0005-0000-0000-00000F120000}"/>
    <cellStyle name="40% - Accent2 6 7 3" xfId="6404" xr:uid="{00000000-0005-0000-0000-000010120000}"/>
    <cellStyle name="40% - Accent2 6 7 3 2" xfId="6405" xr:uid="{00000000-0005-0000-0000-000011120000}"/>
    <cellStyle name="40% - Accent2 6 7 3 2 2" xfId="6406" xr:uid="{00000000-0005-0000-0000-000012120000}"/>
    <cellStyle name="40% - Accent2 6 7 3 3" xfId="6407" xr:uid="{00000000-0005-0000-0000-000013120000}"/>
    <cellStyle name="40% - Accent2 6 7 4" xfId="6408" xr:uid="{00000000-0005-0000-0000-000014120000}"/>
    <cellStyle name="40% - Accent2 6 7 4 2" xfId="6409" xr:uid="{00000000-0005-0000-0000-000015120000}"/>
    <cellStyle name="40% - Accent2 6 7 5" xfId="6410" xr:uid="{00000000-0005-0000-0000-000016120000}"/>
    <cellStyle name="40% - Accent2 6 8" xfId="6411" xr:uid="{00000000-0005-0000-0000-000017120000}"/>
    <cellStyle name="40% - Accent2 6 8 2" xfId="6412" xr:uid="{00000000-0005-0000-0000-000018120000}"/>
    <cellStyle name="40% - Accent2 6 8 2 2" xfId="6413" xr:uid="{00000000-0005-0000-0000-000019120000}"/>
    <cellStyle name="40% - Accent2 6 8 2 2 2" xfId="6414" xr:uid="{00000000-0005-0000-0000-00001A120000}"/>
    <cellStyle name="40% - Accent2 6 8 2 3" xfId="6415" xr:uid="{00000000-0005-0000-0000-00001B120000}"/>
    <cellStyle name="40% - Accent2 6 8 3" xfId="6416" xr:uid="{00000000-0005-0000-0000-00001C120000}"/>
    <cellStyle name="40% - Accent2 6 8 3 2" xfId="6417" xr:uid="{00000000-0005-0000-0000-00001D120000}"/>
    <cellStyle name="40% - Accent2 6 8 4" xfId="6418" xr:uid="{00000000-0005-0000-0000-00001E120000}"/>
    <cellStyle name="40% - Accent2 6 9" xfId="6419" xr:uid="{00000000-0005-0000-0000-00001F120000}"/>
    <cellStyle name="40% - Accent2 6 9 2" xfId="6420" xr:uid="{00000000-0005-0000-0000-000020120000}"/>
    <cellStyle name="40% - Accent2 6 9 2 2" xfId="6421" xr:uid="{00000000-0005-0000-0000-000021120000}"/>
    <cellStyle name="40% - Accent2 6 9 2 2 2" xfId="6422" xr:uid="{00000000-0005-0000-0000-000022120000}"/>
    <cellStyle name="40% - Accent2 6 9 2 3" xfId="6423" xr:uid="{00000000-0005-0000-0000-000023120000}"/>
    <cellStyle name="40% - Accent2 6 9 3" xfId="6424" xr:uid="{00000000-0005-0000-0000-000024120000}"/>
    <cellStyle name="40% - Accent2 6 9 3 2" xfId="6425" xr:uid="{00000000-0005-0000-0000-000025120000}"/>
    <cellStyle name="40% - Accent2 6 9 4" xfId="6426" xr:uid="{00000000-0005-0000-0000-000026120000}"/>
    <cellStyle name="40% - Accent2 7" xfId="112" xr:uid="{00000000-0005-0000-0000-000027120000}"/>
    <cellStyle name="40% - Accent2 8" xfId="113" xr:uid="{00000000-0005-0000-0000-000028120000}"/>
    <cellStyle name="40% - Accent2 8 2" xfId="6427" xr:uid="{00000000-0005-0000-0000-000029120000}"/>
    <cellStyle name="40% - Accent2 8 2 2" xfId="6428" xr:uid="{00000000-0005-0000-0000-00002A120000}"/>
    <cellStyle name="40% - Accent2 8 3" xfId="6429" xr:uid="{00000000-0005-0000-0000-00002B120000}"/>
    <cellStyle name="40% - Accent2 9" xfId="6430" xr:uid="{00000000-0005-0000-0000-00002C120000}"/>
    <cellStyle name="40% - Accent2 9 2" xfId="6431" xr:uid="{00000000-0005-0000-0000-00002D120000}"/>
    <cellStyle name="40% - Accent2 9 2 2" xfId="6432" xr:uid="{00000000-0005-0000-0000-00002E120000}"/>
    <cellStyle name="40% - Accent2 9 3" xfId="6433" xr:uid="{00000000-0005-0000-0000-00002F120000}"/>
    <cellStyle name="40% - Accent3 10" xfId="6434" xr:uid="{00000000-0005-0000-0000-000030120000}"/>
    <cellStyle name="40% - Accent3 2" xfId="114" xr:uid="{00000000-0005-0000-0000-000031120000}"/>
    <cellStyle name="40% - Accent3 2 2" xfId="115" xr:uid="{00000000-0005-0000-0000-000032120000}"/>
    <cellStyle name="40% - Accent3 3" xfId="116" xr:uid="{00000000-0005-0000-0000-000033120000}"/>
    <cellStyle name="40% - Accent3 4" xfId="117" xr:uid="{00000000-0005-0000-0000-000034120000}"/>
    <cellStyle name="40% - Accent3 5" xfId="118" xr:uid="{00000000-0005-0000-0000-000035120000}"/>
    <cellStyle name="40% - Accent3 6" xfId="119" xr:uid="{00000000-0005-0000-0000-000036120000}"/>
    <cellStyle name="40% - Accent3 6 10" xfId="6436" xr:uid="{00000000-0005-0000-0000-000037120000}"/>
    <cellStyle name="40% - Accent3 6 10 2" xfId="6437" xr:uid="{00000000-0005-0000-0000-000038120000}"/>
    <cellStyle name="40% - Accent3 6 10 2 2" xfId="6438" xr:uid="{00000000-0005-0000-0000-000039120000}"/>
    <cellStyle name="40% - Accent3 6 10 2 2 2" xfId="6439" xr:uid="{00000000-0005-0000-0000-00003A120000}"/>
    <cellStyle name="40% - Accent3 6 10 2 3" xfId="6440" xr:uid="{00000000-0005-0000-0000-00003B120000}"/>
    <cellStyle name="40% - Accent3 6 10 3" xfId="6441" xr:uid="{00000000-0005-0000-0000-00003C120000}"/>
    <cellStyle name="40% - Accent3 6 10 3 2" xfId="6442" xr:uid="{00000000-0005-0000-0000-00003D120000}"/>
    <cellStyle name="40% - Accent3 6 10 4" xfId="6443" xr:uid="{00000000-0005-0000-0000-00003E120000}"/>
    <cellStyle name="40% - Accent3 6 11" xfId="6444" xr:uid="{00000000-0005-0000-0000-00003F120000}"/>
    <cellStyle name="40% - Accent3 6 11 2" xfId="6445" xr:uid="{00000000-0005-0000-0000-000040120000}"/>
    <cellStyle name="40% - Accent3 6 11 2 2" xfId="6446" xr:uid="{00000000-0005-0000-0000-000041120000}"/>
    <cellStyle name="40% - Accent3 6 11 3" xfId="6447" xr:uid="{00000000-0005-0000-0000-000042120000}"/>
    <cellStyle name="40% - Accent3 6 12" xfId="6448" xr:uid="{00000000-0005-0000-0000-000043120000}"/>
    <cellStyle name="40% - Accent3 6 12 2" xfId="6449" xr:uid="{00000000-0005-0000-0000-000044120000}"/>
    <cellStyle name="40% - Accent3 6 12 2 2" xfId="6450" xr:uid="{00000000-0005-0000-0000-000045120000}"/>
    <cellStyle name="40% - Accent3 6 12 3" xfId="6451" xr:uid="{00000000-0005-0000-0000-000046120000}"/>
    <cellStyle name="40% - Accent3 6 13" xfId="6452" xr:uid="{00000000-0005-0000-0000-000047120000}"/>
    <cellStyle name="40% - Accent3 6 13 2" xfId="6453" xr:uid="{00000000-0005-0000-0000-000048120000}"/>
    <cellStyle name="40% - Accent3 6 13 2 2" xfId="6454" xr:uid="{00000000-0005-0000-0000-000049120000}"/>
    <cellStyle name="40% - Accent3 6 13 3" xfId="6455" xr:uid="{00000000-0005-0000-0000-00004A120000}"/>
    <cellStyle name="40% - Accent3 6 14" xfId="6456" xr:uid="{00000000-0005-0000-0000-00004B120000}"/>
    <cellStyle name="40% - Accent3 6 14 2" xfId="6457" xr:uid="{00000000-0005-0000-0000-00004C120000}"/>
    <cellStyle name="40% - Accent3 6 15" xfId="6458" xr:uid="{00000000-0005-0000-0000-00004D120000}"/>
    <cellStyle name="40% - Accent3 6 16" xfId="6459" xr:uid="{00000000-0005-0000-0000-00004E120000}"/>
    <cellStyle name="40% - Accent3 6 17" xfId="6435" xr:uid="{00000000-0005-0000-0000-00004F120000}"/>
    <cellStyle name="40% - Accent3 6 2" xfId="120" xr:uid="{00000000-0005-0000-0000-000050120000}"/>
    <cellStyle name="40% - Accent3 6 2 10" xfId="6461" xr:uid="{00000000-0005-0000-0000-000051120000}"/>
    <cellStyle name="40% - Accent3 6 2 10 2" xfId="6462" xr:uid="{00000000-0005-0000-0000-000052120000}"/>
    <cellStyle name="40% - Accent3 6 2 10 2 2" xfId="6463" xr:uid="{00000000-0005-0000-0000-000053120000}"/>
    <cellStyle name="40% - Accent3 6 2 10 3" xfId="6464" xr:uid="{00000000-0005-0000-0000-000054120000}"/>
    <cellStyle name="40% - Accent3 6 2 11" xfId="6465" xr:uid="{00000000-0005-0000-0000-000055120000}"/>
    <cellStyle name="40% - Accent3 6 2 11 2" xfId="6466" xr:uid="{00000000-0005-0000-0000-000056120000}"/>
    <cellStyle name="40% - Accent3 6 2 11 2 2" xfId="6467" xr:uid="{00000000-0005-0000-0000-000057120000}"/>
    <cellStyle name="40% - Accent3 6 2 11 3" xfId="6468" xr:uid="{00000000-0005-0000-0000-000058120000}"/>
    <cellStyle name="40% - Accent3 6 2 12" xfId="6469" xr:uid="{00000000-0005-0000-0000-000059120000}"/>
    <cellStyle name="40% - Accent3 6 2 12 2" xfId="6470" xr:uid="{00000000-0005-0000-0000-00005A120000}"/>
    <cellStyle name="40% - Accent3 6 2 13" xfId="6471" xr:uid="{00000000-0005-0000-0000-00005B120000}"/>
    <cellStyle name="40% - Accent3 6 2 14" xfId="6472" xr:uid="{00000000-0005-0000-0000-00005C120000}"/>
    <cellStyle name="40% - Accent3 6 2 15" xfId="6460" xr:uid="{00000000-0005-0000-0000-00005D120000}"/>
    <cellStyle name="40% - Accent3 6 2 2" xfId="836" xr:uid="{00000000-0005-0000-0000-00005E120000}"/>
    <cellStyle name="40% - Accent3 6 2 2 10" xfId="6474" xr:uid="{00000000-0005-0000-0000-00005F120000}"/>
    <cellStyle name="40% - Accent3 6 2 2 11" xfId="6473" xr:uid="{00000000-0005-0000-0000-000060120000}"/>
    <cellStyle name="40% - Accent3 6 2 2 2" xfId="1594" xr:uid="{00000000-0005-0000-0000-000061120000}"/>
    <cellStyle name="40% - Accent3 6 2 2 2 2" xfId="6476" xr:uid="{00000000-0005-0000-0000-000062120000}"/>
    <cellStyle name="40% - Accent3 6 2 2 2 2 2" xfId="6477" xr:uid="{00000000-0005-0000-0000-000063120000}"/>
    <cellStyle name="40% - Accent3 6 2 2 2 2 2 2" xfId="6478" xr:uid="{00000000-0005-0000-0000-000064120000}"/>
    <cellStyle name="40% - Accent3 6 2 2 2 2 2 2 2" xfId="6479" xr:uid="{00000000-0005-0000-0000-000065120000}"/>
    <cellStyle name="40% - Accent3 6 2 2 2 2 2 3" xfId="6480" xr:uid="{00000000-0005-0000-0000-000066120000}"/>
    <cellStyle name="40% - Accent3 6 2 2 2 2 3" xfId="6481" xr:uid="{00000000-0005-0000-0000-000067120000}"/>
    <cellStyle name="40% - Accent3 6 2 2 2 2 3 2" xfId="6482" xr:uid="{00000000-0005-0000-0000-000068120000}"/>
    <cellStyle name="40% - Accent3 6 2 2 2 2 4" xfId="6483" xr:uid="{00000000-0005-0000-0000-000069120000}"/>
    <cellStyle name="40% - Accent3 6 2 2 2 3" xfId="6484" xr:uid="{00000000-0005-0000-0000-00006A120000}"/>
    <cellStyle name="40% - Accent3 6 2 2 2 3 2" xfId="6485" xr:uid="{00000000-0005-0000-0000-00006B120000}"/>
    <cellStyle name="40% - Accent3 6 2 2 2 3 2 2" xfId="6486" xr:uid="{00000000-0005-0000-0000-00006C120000}"/>
    <cellStyle name="40% - Accent3 6 2 2 2 3 2 2 2" xfId="6487" xr:uid="{00000000-0005-0000-0000-00006D120000}"/>
    <cellStyle name="40% - Accent3 6 2 2 2 3 2 3" xfId="6488" xr:uid="{00000000-0005-0000-0000-00006E120000}"/>
    <cellStyle name="40% - Accent3 6 2 2 2 3 3" xfId="6489" xr:uid="{00000000-0005-0000-0000-00006F120000}"/>
    <cellStyle name="40% - Accent3 6 2 2 2 3 3 2" xfId="6490" xr:uid="{00000000-0005-0000-0000-000070120000}"/>
    <cellStyle name="40% - Accent3 6 2 2 2 3 4" xfId="6491" xr:uid="{00000000-0005-0000-0000-000071120000}"/>
    <cellStyle name="40% - Accent3 6 2 2 2 4" xfId="6492" xr:uid="{00000000-0005-0000-0000-000072120000}"/>
    <cellStyle name="40% - Accent3 6 2 2 2 4 2" xfId="6493" xr:uid="{00000000-0005-0000-0000-000073120000}"/>
    <cellStyle name="40% - Accent3 6 2 2 2 4 2 2" xfId="6494" xr:uid="{00000000-0005-0000-0000-000074120000}"/>
    <cellStyle name="40% - Accent3 6 2 2 2 4 3" xfId="6495" xr:uid="{00000000-0005-0000-0000-000075120000}"/>
    <cellStyle name="40% - Accent3 6 2 2 2 5" xfId="6496" xr:uid="{00000000-0005-0000-0000-000076120000}"/>
    <cellStyle name="40% - Accent3 6 2 2 2 5 2" xfId="6497" xr:uid="{00000000-0005-0000-0000-000077120000}"/>
    <cellStyle name="40% - Accent3 6 2 2 2 6" xfId="6498" xr:uid="{00000000-0005-0000-0000-000078120000}"/>
    <cellStyle name="40% - Accent3 6 2 2 2 7" xfId="6475" xr:uid="{00000000-0005-0000-0000-000079120000}"/>
    <cellStyle name="40% - Accent3 6 2 2 3" xfId="6499" xr:uid="{00000000-0005-0000-0000-00007A120000}"/>
    <cellStyle name="40% - Accent3 6 2 2 3 2" xfId="6500" xr:uid="{00000000-0005-0000-0000-00007B120000}"/>
    <cellStyle name="40% - Accent3 6 2 2 3 2 2" xfId="6501" xr:uid="{00000000-0005-0000-0000-00007C120000}"/>
    <cellStyle name="40% - Accent3 6 2 2 3 2 2 2" xfId="6502" xr:uid="{00000000-0005-0000-0000-00007D120000}"/>
    <cellStyle name="40% - Accent3 6 2 2 3 2 2 2 2" xfId="6503" xr:uid="{00000000-0005-0000-0000-00007E120000}"/>
    <cellStyle name="40% - Accent3 6 2 2 3 2 2 3" xfId="6504" xr:uid="{00000000-0005-0000-0000-00007F120000}"/>
    <cellStyle name="40% - Accent3 6 2 2 3 2 3" xfId="6505" xr:uid="{00000000-0005-0000-0000-000080120000}"/>
    <cellStyle name="40% - Accent3 6 2 2 3 2 3 2" xfId="6506" xr:uid="{00000000-0005-0000-0000-000081120000}"/>
    <cellStyle name="40% - Accent3 6 2 2 3 2 4" xfId="6507" xr:uid="{00000000-0005-0000-0000-000082120000}"/>
    <cellStyle name="40% - Accent3 6 2 2 3 3" xfId="6508" xr:uid="{00000000-0005-0000-0000-000083120000}"/>
    <cellStyle name="40% - Accent3 6 2 2 3 3 2" xfId="6509" xr:uid="{00000000-0005-0000-0000-000084120000}"/>
    <cellStyle name="40% - Accent3 6 2 2 3 3 2 2" xfId="6510" xr:uid="{00000000-0005-0000-0000-000085120000}"/>
    <cellStyle name="40% - Accent3 6 2 2 3 3 3" xfId="6511" xr:uid="{00000000-0005-0000-0000-000086120000}"/>
    <cellStyle name="40% - Accent3 6 2 2 3 4" xfId="6512" xr:uid="{00000000-0005-0000-0000-000087120000}"/>
    <cellStyle name="40% - Accent3 6 2 2 3 4 2" xfId="6513" xr:uid="{00000000-0005-0000-0000-000088120000}"/>
    <cellStyle name="40% - Accent3 6 2 2 3 5" xfId="6514" xr:uid="{00000000-0005-0000-0000-000089120000}"/>
    <cellStyle name="40% - Accent3 6 2 2 4" xfId="6515" xr:uid="{00000000-0005-0000-0000-00008A120000}"/>
    <cellStyle name="40% - Accent3 6 2 2 4 2" xfId="6516" xr:uid="{00000000-0005-0000-0000-00008B120000}"/>
    <cellStyle name="40% - Accent3 6 2 2 4 2 2" xfId="6517" xr:uid="{00000000-0005-0000-0000-00008C120000}"/>
    <cellStyle name="40% - Accent3 6 2 2 4 2 2 2" xfId="6518" xr:uid="{00000000-0005-0000-0000-00008D120000}"/>
    <cellStyle name="40% - Accent3 6 2 2 4 2 2 2 2" xfId="6519" xr:uid="{00000000-0005-0000-0000-00008E120000}"/>
    <cellStyle name="40% - Accent3 6 2 2 4 2 2 3" xfId="6520" xr:uid="{00000000-0005-0000-0000-00008F120000}"/>
    <cellStyle name="40% - Accent3 6 2 2 4 2 3" xfId="6521" xr:uid="{00000000-0005-0000-0000-000090120000}"/>
    <cellStyle name="40% - Accent3 6 2 2 4 2 3 2" xfId="6522" xr:uid="{00000000-0005-0000-0000-000091120000}"/>
    <cellStyle name="40% - Accent3 6 2 2 4 2 4" xfId="6523" xr:uid="{00000000-0005-0000-0000-000092120000}"/>
    <cellStyle name="40% - Accent3 6 2 2 4 3" xfId="6524" xr:uid="{00000000-0005-0000-0000-000093120000}"/>
    <cellStyle name="40% - Accent3 6 2 2 4 3 2" xfId="6525" xr:uid="{00000000-0005-0000-0000-000094120000}"/>
    <cellStyle name="40% - Accent3 6 2 2 4 3 2 2" xfId="6526" xr:uid="{00000000-0005-0000-0000-000095120000}"/>
    <cellStyle name="40% - Accent3 6 2 2 4 3 3" xfId="6527" xr:uid="{00000000-0005-0000-0000-000096120000}"/>
    <cellStyle name="40% - Accent3 6 2 2 4 4" xfId="6528" xr:uid="{00000000-0005-0000-0000-000097120000}"/>
    <cellStyle name="40% - Accent3 6 2 2 4 4 2" xfId="6529" xr:uid="{00000000-0005-0000-0000-000098120000}"/>
    <cellStyle name="40% - Accent3 6 2 2 4 5" xfId="6530" xr:uid="{00000000-0005-0000-0000-000099120000}"/>
    <cellStyle name="40% - Accent3 6 2 2 5" xfId="6531" xr:uid="{00000000-0005-0000-0000-00009A120000}"/>
    <cellStyle name="40% - Accent3 6 2 2 5 2" xfId="6532" xr:uid="{00000000-0005-0000-0000-00009B120000}"/>
    <cellStyle name="40% - Accent3 6 2 2 5 2 2" xfId="6533" xr:uid="{00000000-0005-0000-0000-00009C120000}"/>
    <cellStyle name="40% - Accent3 6 2 2 5 2 2 2" xfId="6534" xr:uid="{00000000-0005-0000-0000-00009D120000}"/>
    <cellStyle name="40% - Accent3 6 2 2 5 2 3" xfId="6535" xr:uid="{00000000-0005-0000-0000-00009E120000}"/>
    <cellStyle name="40% - Accent3 6 2 2 5 3" xfId="6536" xr:uid="{00000000-0005-0000-0000-00009F120000}"/>
    <cellStyle name="40% - Accent3 6 2 2 5 3 2" xfId="6537" xr:uid="{00000000-0005-0000-0000-0000A0120000}"/>
    <cellStyle name="40% - Accent3 6 2 2 5 4" xfId="6538" xr:uid="{00000000-0005-0000-0000-0000A1120000}"/>
    <cellStyle name="40% - Accent3 6 2 2 6" xfId="6539" xr:uid="{00000000-0005-0000-0000-0000A2120000}"/>
    <cellStyle name="40% - Accent3 6 2 2 6 2" xfId="6540" xr:uid="{00000000-0005-0000-0000-0000A3120000}"/>
    <cellStyle name="40% - Accent3 6 2 2 6 2 2" xfId="6541" xr:uid="{00000000-0005-0000-0000-0000A4120000}"/>
    <cellStyle name="40% - Accent3 6 2 2 6 2 2 2" xfId="6542" xr:uid="{00000000-0005-0000-0000-0000A5120000}"/>
    <cellStyle name="40% - Accent3 6 2 2 6 2 3" xfId="6543" xr:uid="{00000000-0005-0000-0000-0000A6120000}"/>
    <cellStyle name="40% - Accent3 6 2 2 6 3" xfId="6544" xr:uid="{00000000-0005-0000-0000-0000A7120000}"/>
    <cellStyle name="40% - Accent3 6 2 2 6 3 2" xfId="6545" xr:uid="{00000000-0005-0000-0000-0000A8120000}"/>
    <cellStyle name="40% - Accent3 6 2 2 6 4" xfId="6546" xr:uid="{00000000-0005-0000-0000-0000A9120000}"/>
    <cellStyle name="40% - Accent3 6 2 2 7" xfId="6547" xr:uid="{00000000-0005-0000-0000-0000AA120000}"/>
    <cellStyle name="40% - Accent3 6 2 2 7 2" xfId="6548" xr:uid="{00000000-0005-0000-0000-0000AB120000}"/>
    <cellStyle name="40% - Accent3 6 2 2 7 2 2" xfId="6549" xr:uid="{00000000-0005-0000-0000-0000AC120000}"/>
    <cellStyle name="40% - Accent3 6 2 2 7 2 2 2" xfId="6550" xr:uid="{00000000-0005-0000-0000-0000AD120000}"/>
    <cellStyle name="40% - Accent3 6 2 2 7 2 3" xfId="6551" xr:uid="{00000000-0005-0000-0000-0000AE120000}"/>
    <cellStyle name="40% - Accent3 6 2 2 7 3" xfId="6552" xr:uid="{00000000-0005-0000-0000-0000AF120000}"/>
    <cellStyle name="40% - Accent3 6 2 2 7 3 2" xfId="6553" xr:uid="{00000000-0005-0000-0000-0000B0120000}"/>
    <cellStyle name="40% - Accent3 6 2 2 7 4" xfId="6554" xr:uid="{00000000-0005-0000-0000-0000B1120000}"/>
    <cellStyle name="40% - Accent3 6 2 2 8" xfId="6555" xr:uid="{00000000-0005-0000-0000-0000B2120000}"/>
    <cellStyle name="40% - Accent3 6 2 2 8 2" xfId="6556" xr:uid="{00000000-0005-0000-0000-0000B3120000}"/>
    <cellStyle name="40% - Accent3 6 2 2 8 2 2" xfId="6557" xr:uid="{00000000-0005-0000-0000-0000B4120000}"/>
    <cellStyle name="40% - Accent3 6 2 2 8 3" xfId="6558" xr:uid="{00000000-0005-0000-0000-0000B5120000}"/>
    <cellStyle name="40% - Accent3 6 2 2 9" xfId="6559" xr:uid="{00000000-0005-0000-0000-0000B6120000}"/>
    <cellStyle name="40% - Accent3 6 2 2 9 2" xfId="6560" xr:uid="{00000000-0005-0000-0000-0000B7120000}"/>
    <cellStyle name="40% - Accent3 6 2 3" xfId="1269" xr:uid="{00000000-0005-0000-0000-0000B8120000}"/>
    <cellStyle name="40% - Accent3 6 2 3 2" xfId="6562" xr:uid="{00000000-0005-0000-0000-0000B9120000}"/>
    <cellStyle name="40% - Accent3 6 2 3 2 2" xfId="6563" xr:uid="{00000000-0005-0000-0000-0000BA120000}"/>
    <cellStyle name="40% - Accent3 6 2 3 2 2 2" xfId="6564" xr:uid="{00000000-0005-0000-0000-0000BB120000}"/>
    <cellStyle name="40% - Accent3 6 2 3 2 2 2 2" xfId="6565" xr:uid="{00000000-0005-0000-0000-0000BC120000}"/>
    <cellStyle name="40% - Accent3 6 2 3 2 2 3" xfId="6566" xr:uid="{00000000-0005-0000-0000-0000BD120000}"/>
    <cellStyle name="40% - Accent3 6 2 3 2 3" xfId="6567" xr:uid="{00000000-0005-0000-0000-0000BE120000}"/>
    <cellStyle name="40% - Accent3 6 2 3 2 3 2" xfId="6568" xr:uid="{00000000-0005-0000-0000-0000BF120000}"/>
    <cellStyle name="40% - Accent3 6 2 3 2 4" xfId="6569" xr:uid="{00000000-0005-0000-0000-0000C0120000}"/>
    <cellStyle name="40% - Accent3 6 2 3 3" xfId="6570" xr:uid="{00000000-0005-0000-0000-0000C1120000}"/>
    <cellStyle name="40% - Accent3 6 2 3 3 2" xfId="6571" xr:uid="{00000000-0005-0000-0000-0000C2120000}"/>
    <cellStyle name="40% - Accent3 6 2 3 3 2 2" xfId="6572" xr:uid="{00000000-0005-0000-0000-0000C3120000}"/>
    <cellStyle name="40% - Accent3 6 2 3 3 2 2 2" xfId="6573" xr:uid="{00000000-0005-0000-0000-0000C4120000}"/>
    <cellStyle name="40% - Accent3 6 2 3 3 2 3" xfId="6574" xr:uid="{00000000-0005-0000-0000-0000C5120000}"/>
    <cellStyle name="40% - Accent3 6 2 3 3 3" xfId="6575" xr:uid="{00000000-0005-0000-0000-0000C6120000}"/>
    <cellStyle name="40% - Accent3 6 2 3 3 3 2" xfId="6576" xr:uid="{00000000-0005-0000-0000-0000C7120000}"/>
    <cellStyle name="40% - Accent3 6 2 3 3 4" xfId="6577" xr:uid="{00000000-0005-0000-0000-0000C8120000}"/>
    <cellStyle name="40% - Accent3 6 2 3 4" xfId="6578" xr:uid="{00000000-0005-0000-0000-0000C9120000}"/>
    <cellStyle name="40% - Accent3 6 2 3 4 2" xfId="6579" xr:uid="{00000000-0005-0000-0000-0000CA120000}"/>
    <cellStyle name="40% - Accent3 6 2 3 4 2 2" xfId="6580" xr:uid="{00000000-0005-0000-0000-0000CB120000}"/>
    <cellStyle name="40% - Accent3 6 2 3 4 3" xfId="6581" xr:uid="{00000000-0005-0000-0000-0000CC120000}"/>
    <cellStyle name="40% - Accent3 6 2 3 5" xfId="6582" xr:uid="{00000000-0005-0000-0000-0000CD120000}"/>
    <cellStyle name="40% - Accent3 6 2 3 5 2" xfId="6583" xr:uid="{00000000-0005-0000-0000-0000CE120000}"/>
    <cellStyle name="40% - Accent3 6 2 3 6" xfId="6584" xr:uid="{00000000-0005-0000-0000-0000CF120000}"/>
    <cellStyle name="40% - Accent3 6 2 3 7" xfId="6561" xr:uid="{00000000-0005-0000-0000-0000D0120000}"/>
    <cellStyle name="40% - Accent3 6 2 4" xfId="6585" xr:uid="{00000000-0005-0000-0000-0000D1120000}"/>
    <cellStyle name="40% - Accent3 6 2 4 2" xfId="6586" xr:uid="{00000000-0005-0000-0000-0000D2120000}"/>
    <cellStyle name="40% - Accent3 6 2 4 2 2" xfId="6587" xr:uid="{00000000-0005-0000-0000-0000D3120000}"/>
    <cellStyle name="40% - Accent3 6 2 4 2 2 2" xfId="6588" xr:uid="{00000000-0005-0000-0000-0000D4120000}"/>
    <cellStyle name="40% - Accent3 6 2 4 2 2 2 2" xfId="6589" xr:uid="{00000000-0005-0000-0000-0000D5120000}"/>
    <cellStyle name="40% - Accent3 6 2 4 2 2 3" xfId="6590" xr:uid="{00000000-0005-0000-0000-0000D6120000}"/>
    <cellStyle name="40% - Accent3 6 2 4 2 3" xfId="6591" xr:uid="{00000000-0005-0000-0000-0000D7120000}"/>
    <cellStyle name="40% - Accent3 6 2 4 2 3 2" xfId="6592" xr:uid="{00000000-0005-0000-0000-0000D8120000}"/>
    <cellStyle name="40% - Accent3 6 2 4 2 4" xfId="6593" xr:uid="{00000000-0005-0000-0000-0000D9120000}"/>
    <cellStyle name="40% - Accent3 6 2 4 3" xfId="6594" xr:uid="{00000000-0005-0000-0000-0000DA120000}"/>
    <cellStyle name="40% - Accent3 6 2 4 3 2" xfId="6595" xr:uid="{00000000-0005-0000-0000-0000DB120000}"/>
    <cellStyle name="40% - Accent3 6 2 4 3 2 2" xfId="6596" xr:uid="{00000000-0005-0000-0000-0000DC120000}"/>
    <cellStyle name="40% - Accent3 6 2 4 3 3" xfId="6597" xr:uid="{00000000-0005-0000-0000-0000DD120000}"/>
    <cellStyle name="40% - Accent3 6 2 4 4" xfId="6598" xr:uid="{00000000-0005-0000-0000-0000DE120000}"/>
    <cellStyle name="40% - Accent3 6 2 4 4 2" xfId="6599" xr:uid="{00000000-0005-0000-0000-0000DF120000}"/>
    <cellStyle name="40% - Accent3 6 2 4 5" xfId="6600" xr:uid="{00000000-0005-0000-0000-0000E0120000}"/>
    <cellStyle name="40% - Accent3 6 2 5" xfId="6601" xr:uid="{00000000-0005-0000-0000-0000E1120000}"/>
    <cellStyle name="40% - Accent3 6 2 5 2" xfId="6602" xr:uid="{00000000-0005-0000-0000-0000E2120000}"/>
    <cellStyle name="40% - Accent3 6 2 5 2 2" xfId="6603" xr:uid="{00000000-0005-0000-0000-0000E3120000}"/>
    <cellStyle name="40% - Accent3 6 2 5 2 2 2" xfId="6604" xr:uid="{00000000-0005-0000-0000-0000E4120000}"/>
    <cellStyle name="40% - Accent3 6 2 5 2 2 2 2" xfId="6605" xr:uid="{00000000-0005-0000-0000-0000E5120000}"/>
    <cellStyle name="40% - Accent3 6 2 5 2 2 3" xfId="6606" xr:uid="{00000000-0005-0000-0000-0000E6120000}"/>
    <cellStyle name="40% - Accent3 6 2 5 2 3" xfId="6607" xr:uid="{00000000-0005-0000-0000-0000E7120000}"/>
    <cellStyle name="40% - Accent3 6 2 5 2 3 2" xfId="6608" xr:uid="{00000000-0005-0000-0000-0000E8120000}"/>
    <cellStyle name="40% - Accent3 6 2 5 2 4" xfId="6609" xr:uid="{00000000-0005-0000-0000-0000E9120000}"/>
    <cellStyle name="40% - Accent3 6 2 5 3" xfId="6610" xr:uid="{00000000-0005-0000-0000-0000EA120000}"/>
    <cellStyle name="40% - Accent3 6 2 5 3 2" xfId="6611" xr:uid="{00000000-0005-0000-0000-0000EB120000}"/>
    <cellStyle name="40% - Accent3 6 2 5 3 2 2" xfId="6612" xr:uid="{00000000-0005-0000-0000-0000EC120000}"/>
    <cellStyle name="40% - Accent3 6 2 5 3 3" xfId="6613" xr:uid="{00000000-0005-0000-0000-0000ED120000}"/>
    <cellStyle name="40% - Accent3 6 2 5 4" xfId="6614" xr:uid="{00000000-0005-0000-0000-0000EE120000}"/>
    <cellStyle name="40% - Accent3 6 2 5 4 2" xfId="6615" xr:uid="{00000000-0005-0000-0000-0000EF120000}"/>
    <cellStyle name="40% - Accent3 6 2 5 5" xfId="6616" xr:uid="{00000000-0005-0000-0000-0000F0120000}"/>
    <cellStyle name="40% - Accent3 6 2 6" xfId="6617" xr:uid="{00000000-0005-0000-0000-0000F1120000}"/>
    <cellStyle name="40% - Accent3 6 2 6 2" xfId="6618" xr:uid="{00000000-0005-0000-0000-0000F2120000}"/>
    <cellStyle name="40% - Accent3 6 2 6 2 2" xfId="6619" xr:uid="{00000000-0005-0000-0000-0000F3120000}"/>
    <cellStyle name="40% - Accent3 6 2 6 2 2 2" xfId="6620" xr:uid="{00000000-0005-0000-0000-0000F4120000}"/>
    <cellStyle name="40% - Accent3 6 2 6 2 3" xfId="6621" xr:uid="{00000000-0005-0000-0000-0000F5120000}"/>
    <cellStyle name="40% - Accent3 6 2 6 3" xfId="6622" xr:uid="{00000000-0005-0000-0000-0000F6120000}"/>
    <cellStyle name="40% - Accent3 6 2 6 3 2" xfId="6623" xr:uid="{00000000-0005-0000-0000-0000F7120000}"/>
    <cellStyle name="40% - Accent3 6 2 6 4" xfId="6624" xr:uid="{00000000-0005-0000-0000-0000F8120000}"/>
    <cellStyle name="40% - Accent3 6 2 7" xfId="6625" xr:uid="{00000000-0005-0000-0000-0000F9120000}"/>
    <cellStyle name="40% - Accent3 6 2 7 2" xfId="6626" xr:uid="{00000000-0005-0000-0000-0000FA120000}"/>
    <cellStyle name="40% - Accent3 6 2 7 2 2" xfId="6627" xr:uid="{00000000-0005-0000-0000-0000FB120000}"/>
    <cellStyle name="40% - Accent3 6 2 7 2 2 2" xfId="6628" xr:uid="{00000000-0005-0000-0000-0000FC120000}"/>
    <cellStyle name="40% - Accent3 6 2 7 2 3" xfId="6629" xr:uid="{00000000-0005-0000-0000-0000FD120000}"/>
    <cellStyle name="40% - Accent3 6 2 7 3" xfId="6630" xr:uid="{00000000-0005-0000-0000-0000FE120000}"/>
    <cellStyle name="40% - Accent3 6 2 7 3 2" xfId="6631" xr:uid="{00000000-0005-0000-0000-0000FF120000}"/>
    <cellStyle name="40% - Accent3 6 2 7 4" xfId="6632" xr:uid="{00000000-0005-0000-0000-000000130000}"/>
    <cellStyle name="40% - Accent3 6 2 8" xfId="6633" xr:uid="{00000000-0005-0000-0000-000001130000}"/>
    <cellStyle name="40% - Accent3 6 2 8 2" xfId="6634" xr:uid="{00000000-0005-0000-0000-000002130000}"/>
    <cellStyle name="40% - Accent3 6 2 8 2 2" xfId="6635" xr:uid="{00000000-0005-0000-0000-000003130000}"/>
    <cellStyle name="40% - Accent3 6 2 8 2 2 2" xfId="6636" xr:uid="{00000000-0005-0000-0000-000004130000}"/>
    <cellStyle name="40% - Accent3 6 2 8 2 3" xfId="6637" xr:uid="{00000000-0005-0000-0000-000005130000}"/>
    <cellStyle name="40% - Accent3 6 2 8 3" xfId="6638" xr:uid="{00000000-0005-0000-0000-000006130000}"/>
    <cellStyle name="40% - Accent3 6 2 8 3 2" xfId="6639" xr:uid="{00000000-0005-0000-0000-000007130000}"/>
    <cellStyle name="40% - Accent3 6 2 8 4" xfId="6640" xr:uid="{00000000-0005-0000-0000-000008130000}"/>
    <cellStyle name="40% - Accent3 6 2 9" xfId="6641" xr:uid="{00000000-0005-0000-0000-000009130000}"/>
    <cellStyle name="40% - Accent3 6 2 9 2" xfId="6642" xr:uid="{00000000-0005-0000-0000-00000A130000}"/>
    <cellStyle name="40% - Accent3 6 2 9 2 2" xfId="6643" xr:uid="{00000000-0005-0000-0000-00000B130000}"/>
    <cellStyle name="40% - Accent3 6 2 9 3" xfId="6644" xr:uid="{00000000-0005-0000-0000-00000C130000}"/>
    <cellStyle name="40% - Accent3 6 3" xfId="121" xr:uid="{00000000-0005-0000-0000-00000D130000}"/>
    <cellStyle name="40% - Accent3 6 3 10" xfId="6646" xr:uid="{00000000-0005-0000-0000-00000E130000}"/>
    <cellStyle name="40% - Accent3 6 3 10 2" xfId="6647" xr:uid="{00000000-0005-0000-0000-00000F130000}"/>
    <cellStyle name="40% - Accent3 6 3 10 2 2" xfId="6648" xr:uid="{00000000-0005-0000-0000-000010130000}"/>
    <cellStyle name="40% - Accent3 6 3 10 3" xfId="6649" xr:uid="{00000000-0005-0000-0000-000011130000}"/>
    <cellStyle name="40% - Accent3 6 3 11" xfId="6650" xr:uid="{00000000-0005-0000-0000-000012130000}"/>
    <cellStyle name="40% - Accent3 6 3 11 2" xfId="6651" xr:uid="{00000000-0005-0000-0000-000013130000}"/>
    <cellStyle name="40% - Accent3 6 3 11 2 2" xfId="6652" xr:uid="{00000000-0005-0000-0000-000014130000}"/>
    <cellStyle name="40% - Accent3 6 3 11 3" xfId="6653" xr:uid="{00000000-0005-0000-0000-000015130000}"/>
    <cellStyle name="40% - Accent3 6 3 12" xfId="6654" xr:uid="{00000000-0005-0000-0000-000016130000}"/>
    <cellStyle name="40% - Accent3 6 3 12 2" xfId="6655" xr:uid="{00000000-0005-0000-0000-000017130000}"/>
    <cellStyle name="40% - Accent3 6 3 13" xfId="6656" xr:uid="{00000000-0005-0000-0000-000018130000}"/>
    <cellStyle name="40% - Accent3 6 3 14" xfId="6657" xr:uid="{00000000-0005-0000-0000-000019130000}"/>
    <cellStyle name="40% - Accent3 6 3 15" xfId="6645" xr:uid="{00000000-0005-0000-0000-00001A130000}"/>
    <cellStyle name="40% - Accent3 6 3 2" xfId="837" xr:uid="{00000000-0005-0000-0000-00001B130000}"/>
    <cellStyle name="40% - Accent3 6 3 2 10" xfId="6659" xr:uid="{00000000-0005-0000-0000-00001C130000}"/>
    <cellStyle name="40% - Accent3 6 3 2 11" xfId="6658" xr:uid="{00000000-0005-0000-0000-00001D130000}"/>
    <cellStyle name="40% - Accent3 6 3 2 2" xfId="1595" xr:uid="{00000000-0005-0000-0000-00001E130000}"/>
    <cellStyle name="40% - Accent3 6 3 2 2 2" xfId="6661" xr:uid="{00000000-0005-0000-0000-00001F130000}"/>
    <cellStyle name="40% - Accent3 6 3 2 2 2 2" xfId="6662" xr:uid="{00000000-0005-0000-0000-000020130000}"/>
    <cellStyle name="40% - Accent3 6 3 2 2 2 2 2" xfId="6663" xr:uid="{00000000-0005-0000-0000-000021130000}"/>
    <cellStyle name="40% - Accent3 6 3 2 2 2 2 2 2" xfId="6664" xr:uid="{00000000-0005-0000-0000-000022130000}"/>
    <cellStyle name="40% - Accent3 6 3 2 2 2 2 3" xfId="6665" xr:uid="{00000000-0005-0000-0000-000023130000}"/>
    <cellStyle name="40% - Accent3 6 3 2 2 2 3" xfId="6666" xr:uid="{00000000-0005-0000-0000-000024130000}"/>
    <cellStyle name="40% - Accent3 6 3 2 2 2 3 2" xfId="6667" xr:uid="{00000000-0005-0000-0000-000025130000}"/>
    <cellStyle name="40% - Accent3 6 3 2 2 2 4" xfId="6668" xr:uid="{00000000-0005-0000-0000-000026130000}"/>
    <cellStyle name="40% - Accent3 6 3 2 2 3" xfId="6669" xr:uid="{00000000-0005-0000-0000-000027130000}"/>
    <cellStyle name="40% - Accent3 6 3 2 2 3 2" xfId="6670" xr:uid="{00000000-0005-0000-0000-000028130000}"/>
    <cellStyle name="40% - Accent3 6 3 2 2 3 2 2" xfId="6671" xr:uid="{00000000-0005-0000-0000-000029130000}"/>
    <cellStyle name="40% - Accent3 6 3 2 2 3 2 2 2" xfId="6672" xr:uid="{00000000-0005-0000-0000-00002A130000}"/>
    <cellStyle name="40% - Accent3 6 3 2 2 3 2 3" xfId="6673" xr:uid="{00000000-0005-0000-0000-00002B130000}"/>
    <cellStyle name="40% - Accent3 6 3 2 2 3 3" xfId="6674" xr:uid="{00000000-0005-0000-0000-00002C130000}"/>
    <cellStyle name="40% - Accent3 6 3 2 2 3 3 2" xfId="6675" xr:uid="{00000000-0005-0000-0000-00002D130000}"/>
    <cellStyle name="40% - Accent3 6 3 2 2 3 4" xfId="6676" xr:uid="{00000000-0005-0000-0000-00002E130000}"/>
    <cellStyle name="40% - Accent3 6 3 2 2 4" xfId="6677" xr:uid="{00000000-0005-0000-0000-00002F130000}"/>
    <cellStyle name="40% - Accent3 6 3 2 2 4 2" xfId="6678" xr:uid="{00000000-0005-0000-0000-000030130000}"/>
    <cellStyle name="40% - Accent3 6 3 2 2 4 2 2" xfId="6679" xr:uid="{00000000-0005-0000-0000-000031130000}"/>
    <cellStyle name="40% - Accent3 6 3 2 2 4 3" xfId="6680" xr:uid="{00000000-0005-0000-0000-000032130000}"/>
    <cellStyle name="40% - Accent3 6 3 2 2 5" xfId="6681" xr:uid="{00000000-0005-0000-0000-000033130000}"/>
    <cellStyle name="40% - Accent3 6 3 2 2 5 2" xfId="6682" xr:uid="{00000000-0005-0000-0000-000034130000}"/>
    <cellStyle name="40% - Accent3 6 3 2 2 6" xfId="6683" xr:uid="{00000000-0005-0000-0000-000035130000}"/>
    <cellStyle name="40% - Accent3 6 3 2 2 7" xfId="6660" xr:uid="{00000000-0005-0000-0000-000036130000}"/>
    <cellStyle name="40% - Accent3 6 3 2 3" xfId="6684" xr:uid="{00000000-0005-0000-0000-000037130000}"/>
    <cellStyle name="40% - Accent3 6 3 2 3 2" xfId="6685" xr:uid="{00000000-0005-0000-0000-000038130000}"/>
    <cellStyle name="40% - Accent3 6 3 2 3 2 2" xfId="6686" xr:uid="{00000000-0005-0000-0000-000039130000}"/>
    <cellStyle name="40% - Accent3 6 3 2 3 2 2 2" xfId="6687" xr:uid="{00000000-0005-0000-0000-00003A130000}"/>
    <cellStyle name="40% - Accent3 6 3 2 3 2 2 2 2" xfId="6688" xr:uid="{00000000-0005-0000-0000-00003B130000}"/>
    <cellStyle name="40% - Accent3 6 3 2 3 2 2 3" xfId="6689" xr:uid="{00000000-0005-0000-0000-00003C130000}"/>
    <cellStyle name="40% - Accent3 6 3 2 3 2 3" xfId="6690" xr:uid="{00000000-0005-0000-0000-00003D130000}"/>
    <cellStyle name="40% - Accent3 6 3 2 3 2 3 2" xfId="6691" xr:uid="{00000000-0005-0000-0000-00003E130000}"/>
    <cellStyle name="40% - Accent3 6 3 2 3 2 4" xfId="6692" xr:uid="{00000000-0005-0000-0000-00003F130000}"/>
    <cellStyle name="40% - Accent3 6 3 2 3 3" xfId="6693" xr:uid="{00000000-0005-0000-0000-000040130000}"/>
    <cellStyle name="40% - Accent3 6 3 2 3 3 2" xfId="6694" xr:uid="{00000000-0005-0000-0000-000041130000}"/>
    <cellStyle name="40% - Accent3 6 3 2 3 3 2 2" xfId="6695" xr:uid="{00000000-0005-0000-0000-000042130000}"/>
    <cellStyle name="40% - Accent3 6 3 2 3 3 3" xfId="6696" xr:uid="{00000000-0005-0000-0000-000043130000}"/>
    <cellStyle name="40% - Accent3 6 3 2 3 4" xfId="6697" xr:uid="{00000000-0005-0000-0000-000044130000}"/>
    <cellStyle name="40% - Accent3 6 3 2 3 4 2" xfId="6698" xr:uid="{00000000-0005-0000-0000-000045130000}"/>
    <cellStyle name="40% - Accent3 6 3 2 3 5" xfId="6699" xr:uid="{00000000-0005-0000-0000-000046130000}"/>
    <cellStyle name="40% - Accent3 6 3 2 4" xfId="6700" xr:uid="{00000000-0005-0000-0000-000047130000}"/>
    <cellStyle name="40% - Accent3 6 3 2 4 2" xfId="6701" xr:uid="{00000000-0005-0000-0000-000048130000}"/>
    <cellStyle name="40% - Accent3 6 3 2 4 2 2" xfId="6702" xr:uid="{00000000-0005-0000-0000-000049130000}"/>
    <cellStyle name="40% - Accent3 6 3 2 4 2 2 2" xfId="6703" xr:uid="{00000000-0005-0000-0000-00004A130000}"/>
    <cellStyle name="40% - Accent3 6 3 2 4 2 2 2 2" xfId="6704" xr:uid="{00000000-0005-0000-0000-00004B130000}"/>
    <cellStyle name="40% - Accent3 6 3 2 4 2 2 3" xfId="6705" xr:uid="{00000000-0005-0000-0000-00004C130000}"/>
    <cellStyle name="40% - Accent3 6 3 2 4 2 3" xfId="6706" xr:uid="{00000000-0005-0000-0000-00004D130000}"/>
    <cellStyle name="40% - Accent3 6 3 2 4 2 3 2" xfId="6707" xr:uid="{00000000-0005-0000-0000-00004E130000}"/>
    <cellStyle name="40% - Accent3 6 3 2 4 2 4" xfId="6708" xr:uid="{00000000-0005-0000-0000-00004F130000}"/>
    <cellStyle name="40% - Accent3 6 3 2 4 3" xfId="6709" xr:uid="{00000000-0005-0000-0000-000050130000}"/>
    <cellStyle name="40% - Accent3 6 3 2 4 3 2" xfId="6710" xr:uid="{00000000-0005-0000-0000-000051130000}"/>
    <cellStyle name="40% - Accent3 6 3 2 4 3 2 2" xfId="6711" xr:uid="{00000000-0005-0000-0000-000052130000}"/>
    <cellStyle name="40% - Accent3 6 3 2 4 3 3" xfId="6712" xr:uid="{00000000-0005-0000-0000-000053130000}"/>
    <cellStyle name="40% - Accent3 6 3 2 4 4" xfId="6713" xr:uid="{00000000-0005-0000-0000-000054130000}"/>
    <cellStyle name="40% - Accent3 6 3 2 4 4 2" xfId="6714" xr:uid="{00000000-0005-0000-0000-000055130000}"/>
    <cellStyle name="40% - Accent3 6 3 2 4 5" xfId="6715" xr:uid="{00000000-0005-0000-0000-000056130000}"/>
    <cellStyle name="40% - Accent3 6 3 2 5" xfId="6716" xr:uid="{00000000-0005-0000-0000-000057130000}"/>
    <cellStyle name="40% - Accent3 6 3 2 5 2" xfId="6717" xr:uid="{00000000-0005-0000-0000-000058130000}"/>
    <cellStyle name="40% - Accent3 6 3 2 5 2 2" xfId="6718" xr:uid="{00000000-0005-0000-0000-000059130000}"/>
    <cellStyle name="40% - Accent3 6 3 2 5 2 2 2" xfId="6719" xr:uid="{00000000-0005-0000-0000-00005A130000}"/>
    <cellStyle name="40% - Accent3 6 3 2 5 2 3" xfId="6720" xr:uid="{00000000-0005-0000-0000-00005B130000}"/>
    <cellStyle name="40% - Accent3 6 3 2 5 3" xfId="6721" xr:uid="{00000000-0005-0000-0000-00005C130000}"/>
    <cellStyle name="40% - Accent3 6 3 2 5 3 2" xfId="6722" xr:uid="{00000000-0005-0000-0000-00005D130000}"/>
    <cellStyle name="40% - Accent3 6 3 2 5 4" xfId="6723" xr:uid="{00000000-0005-0000-0000-00005E130000}"/>
    <cellStyle name="40% - Accent3 6 3 2 6" xfId="6724" xr:uid="{00000000-0005-0000-0000-00005F130000}"/>
    <cellStyle name="40% - Accent3 6 3 2 6 2" xfId="6725" xr:uid="{00000000-0005-0000-0000-000060130000}"/>
    <cellStyle name="40% - Accent3 6 3 2 6 2 2" xfId="6726" xr:uid="{00000000-0005-0000-0000-000061130000}"/>
    <cellStyle name="40% - Accent3 6 3 2 6 2 2 2" xfId="6727" xr:uid="{00000000-0005-0000-0000-000062130000}"/>
    <cellStyle name="40% - Accent3 6 3 2 6 2 3" xfId="6728" xr:uid="{00000000-0005-0000-0000-000063130000}"/>
    <cellStyle name="40% - Accent3 6 3 2 6 3" xfId="6729" xr:uid="{00000000-0005-0000-0000-000064130000}"/>
    <cellStyle name="40% - Accent3 6 3 2 6 3 2" xfId="6730" xr:uid="{00000000-0005-0000-0000-000065130000}"/>
    <cellStyle name="40% - Accent3 6 3 2 6 4" xfId="6731" xr:uid="{00000000-0005-0000-0000-000066130000}"/>
    <cellStyle name="40% - Accent3 6 3 2 7" xfId="6732" xr:uid="{00000000-0005-0000-0000-000067130000}"/>
    <cellStyle name="40% - Accent3 6 3 2 7 2" xfId="6733" xr:uid="{00000000-0005-0000-0000-000068130000}"/>
    <cellStyle name="40% - Accent3 6 3 2 7 2 2" xfId="6734" xr:uid="{00000000-0005-0000-0000-000069130000}"/>
    <cellStyle name="40% - Accent3 6 3 2 7 2 2 2" xfId="6735" xr:uid="{00000000-0005-0000-0000-00006A130000}"/>
    <cellStyle name="40% - Accent3 6 3 2 7 2 3" xfId="6736" xr:uid="{00000000-0005-0000-0000-00006B130000}"/>
    <cellStyle name="40% - Accent3 6 3 2 7 3" xfId="6737" xr:uid="{00000000-0005-0000-0000-00006C130000}"/>
    <cellStyle name="40% - Accent3 6 3 2 7 3 2" xfId="6738" xr:uid="{00000000-0005-0000-0000-00006D130000}"/>
    <cellStyle name="40% - Accent3 6 3 2 7 4" xfId="6739" xr:uid="{00000000-0005-0000-0000-00006E130000}"/>
    <cellStyle name="40% - Accent3 6 3 2 8" xfId="6740" xr:uid="{00000000-0005-0000-0000-00006F130000}"/>
    <cellStyle name="40% - Accent3 6 3 2 8 2" xfId="6741" xr:uid="{00000000-0005-0000-0000-000070130000}"/>
    <cellStyle name="40% - Accent3 6 3 2 8 2 2" xfId="6742" xr:uid="{00000000-0005-0000-0000-000071130000}"/>
    <cellStyle name="40% - Accent3 6 3 2 8 3" xfId="6743" xr:uid="{00000000-0005-0000-0000-000072130000}"/>
    <cellStyle name="40% - Accent3 6 3 2 9" xfId="6744" xr:uid="{00000000-0005-0000-0000-000073130000}"/>
    <cellStyle name="40% - Accent3 6 3 2 9 2" xfId="6745" xr:uid="{00000000-0005-0000-0000-000074130000}"/>
    <cellStyle name="40% - Accent3 6 3 3" xfId="1270" xr:uid="{00000000-0005-0000-0000-000075130000}"/>
    <cellStyle name="40% - Accent3 6 3 3 2" xfId="6747" xr:uid="{00000000-0005-0000-0000-000076130000}"/>
    <cellStyle name="40% - Accent3 6 3 3 2 2" xfId="6748" xr:uid="{00000000-0005-0000-0000-000077130000}"/>
    <cellStyle name="40% - Accent3 6 3 3 2 2 2" xfId="6749" xr:uid="{00000000-0005-0000-0000-000078130000}"/>
    <cellStyle name="40% - Accent3 6 3 3 2 2 2 2" xfId="6750" xr:uid="{00000000-0005-0000-0000-000079130000}"/>
    <cellStyle name="40% - Accent3 6 3 3 2 2 3" xfId="6751" xr:uid="{00000000-0005-0000-0000-00007A130000}"/>
    <cellStyle name="40% - Accent3 6 3 3 2 3" xfId="6752" xr:uid="{00000000-0005-0000-0000-00007B130000}"/>
    <cellStyle name="40% - Accent3 6 3 3 2 3 2" xfId="6753" xr:uid="{00000000-0005-0000-0000-00007C130000}"/>
    <cellStyle name="40% - Accent3 6 3 3 2 4" xfId="6754" xr:uid="{00000000-0005-0000-0000-00007D130000}"/>
    <cellStyle name="40% - Accent3 6 3 3 3" xfId="6755" xr:uid="{00000000-0005-0000-0000-00007E130000}"/>
    <cellStyle name="40% - Accent3 6 3 3 3 2" xfId="6756" xr:uid="{00000000-0005-0000-0000-00007F130000}"/>
    <cellStyle name="40% - Accent3 6 3 3 3 2 2" xfId="6757" xr:uid="{00000000-0005-0000-0000-000080130000}"/>
    <cellStyle name="40% - Accent3 6 3 3 3 2 2 2" xfId="6758" xr:uid="{00000000-0005-0000-0000-000081130000}"/>
    <cellStyle name="40% - Accent3 6 3 3 3 2 3" xfId="6759" xr:uid="{00000000-0005-0000-0000-000082130000}"/>
    <cellStyle name="40% - Accent3 6 3 3 3 3" xfId="6760" xr:uid="{00000000-0005-0000-0000-000083130000}"/>
    <cellStyle name="40% - Accent3 6 3 3 3 3 2" xfId="6761" xr:uid="{00000000-0005-0000-0000-000084130000}"/>
    <cellStyle name="40% - Accent3 6 3 3 3 4" xfId="6762" xr:uid="{00000000-0005-0000-0000-000085130000}"/>
    <cellStyle name="40% - Accent3 6 3 3 4" xfId="6763" xr:uid="{00000000-0005-0000-0000-000086130000}"/>
    <cellStyle name="40% - Accent3 6 3 3 4 2" xfId="6764" xr:uid="{00000000-0005-0000-0000-000087130000}"/>
    <cellStyle name="40% - Accent3 6 3 3 4 2 2" xfId="6765" xr:uid="{00000000-0005-0000-0000-000088130000}"/>
    <cellStyle name="40% - Accent3 6 3 3 4 3" xfId="6766" xr:uid="{00000000-0005-0000-0000-000089130000}"/>
    <cellStyle name="40% - Accent3 6 3 3 5" xfId="6767" xr:uid="{00000000-0005-0000-0000-00008A130000}"/>
    <cellStyle name="40% - Accent3 6 3 3 5 2" xfId="6768" xr:uid="{00000000-0005-0000-0000-00008B130000}"/>
    <cellStyle name="40% - Accent3 6 3 3 6" xfId="6769" xr:uid="{00000000-0005-0000-0000-00008C130000}"/>
    <cellStyle name="40% - Accent3 6 3 3 7" xfId="6746" xr:uid="{00000000-0005-0000-0000-00008D130000}"/>
    <cellStyle name="40% - Accent3 6 3 4" xfId="6770" xr:uid="{00000000-0005-0000-0000-00008E130000}"/>
    <cellStyle name="40% - Accent3 6 3 4 2" xfId="6771" xr:uid="{00000000-0005-0000-0000-00008F130000}"/>
    <cellStyle name="40% - Accent3 6 3 4 2 2" xfId="6772" xr:uid="{00000000-0005-0000-0000-000090130000}"/>
    <cellStyle name="40% - Accent3 6 3 4 2 2 2" xfId="6773" xr:uid="{00000000-0005-0000-0000-000091130000}"/>
    <cellStyle name="40% - Accent3 6 3 4 2 2 2 2" xfId="6774" xr:uid="{00000000-0005-0000-0000-000092130000}"/>
    <cellStyle name="40% - Accent3 6 3 4 2 2 3" xfId="6775" xr:uid="{00000000-0005-0000-0000-000093130000}"/>
    <cellStyle name="40% - Accent3 6 3 4 2 3" xfId="6776" xr:uid="{00000000-0005-0000-0000-000094130000}"/>
    <cellStyle name="40% - Accent3 6 3 4 2 3 2" xfId="6777" xr:uid="{00000000-0005-0000-0000-000095130000}"/>
    <cellStyle name="40% - Accent3 6 3 4 2 4" xfId="6778" xr:uid="{00000000-0005-0000-0000-000096130000}"/>
    <cellStyle name="40% - Accent3 6 3 4 3" xfId="6779" xr:uid="{00000000-0005-0000-0000-000097130000}"/>
    <cellStyle name="40% - Accent3 6 3 4 3 2" xfId="6780" xr:uid="{00000000-0005-0000-0000-000098130000}"/>
    <cellStyle name="40% - Accent3 6 3 4 3 2 2" xfId="6781" xr:uid="{00000000-0005-0000-0000-000099130000}"/>
    <cellStyle name="40% - Accent3 6 3 4 3 3" xfId="6782" xr:uid="{00000000-0005-0000-0000-00009A130000}"/>
    <cellStyle name="40% - Accent3 6 3 4 4" xfId="6783" xr:uid="{00000000-0005-0000-0000-00009B130000}"/>
    <cellStyle name="40% - Accent3 6 3 4 4 2" xfId="6784" xr:uid="{00000000-0005-0000-0000-00009C130000}"/>
    <cellStyle name="40% - Accent3 6 3 4 5" xfId="6785" xr:uid="{00000000-0005-0000-0000-00009D130000}"/>
    <cellStyle name="40% - Accent3 6 3 5" xfId="6786" xr:uid="{00000000-0005-0000-0000-00009E130000}"/>
    <cellStyle name="40% - Accent3 6 3 5 2" xfId="6787" xr:uid="{00000000-0005-0000-0000-00009F130000}"/>
    <cellStyle name="40% - Accent3 6 3 5 2 2" xfId="6788" xr:uid="{00000000-0005-0000-0000-0000A0130000}"/>
    <cellStyle name="40% - Accent3 6 3 5 2 2 2" xfId="6789" xr:uid="{00000000-0005-0000-0000-0000A1130000}"/>
    <cellStyle name="40% - Accent3 6 3 5 2 2 2 2" xfId="6790" xr:uid="{00000000-0005-0000-0000-0000A2130000}"/>
    <cellStyle name="40% - Accent3 6 3 5 2 2 3" xfId="6791" xr:uid="{00000000-0005-0000-0000-0000A3130000}"/>
    <cellStyle name="40% - Accent3 6 3 5 2 3" xfId="6792" xr:uid="{00000000-0005-0000-0000-0000A4130000}"/>
    <cellStyle name="40% - Accent3 6 3 5 2 3 2" xfId="6793" xr:uid="{00000000-0005-0000-0000-0000A5130000}"/>
    <cellStyle name="40% - Accent3 6 3 5 2 4" xfId="6794" xr:uid="{00000000-0005-0000-0000-0000A6130000}"/>
    <cellStyle name="40% - Accent3 6 3 5 3" xfId="6795" xr:uid="{00000000-0005-0000-0000-0000A7130000}"/>
    <cellStyle name="40% - Accent3 6 3 5 3 2" xfId="6796" xr:uid="{00000000-0005-0000-0000-0000A8130000}"/>
    <cellStyle name="40% - Accent3 6 3 5 3 2 2" xfId="6797" xr:uid="{00000000-0005-0000-0000-0000A9130000}"/>
    <cellStyle name="40% - Accent3 6 3 5 3 3" xfId="6798" xr:uid="{00000000-0005-0000-0000-0000AA130000}"/>
    <cellStyle name="40% - Accent3 6 3 5 4" xfId="6799" xr:uid="{00000000-0005-0000-0000-0000AB130000}"/>
    <cellStyle name="40% - Accent3 6 3 5 4 2" xfId="6800" xr:uid="{00000000-0005-0000-0000-0000AC130000}"/>
    <cellStyle name="40% - Accent3 6 3 5 5" xfId="6801" xr:uid="{00000000-0005-0000-0000-0000AD130000}"/>
    <cellStyle name="40% - Accent3 6 3 6" xfId="6802" xr:uid="{00000000-0005-0000-0000-0000AE130000}"/>
    <cellStyle name="40% - Accent3 6 3 6 2" xfId="6803" xr:uid="{00000000-0005-0000-0000-0000AF130000}"/>
    <cellStyle name="40% - Accent3 6 3 6 2 2" xfId="6804" xr:uid="{00000000-0005-0000-0000-0000B0130000}"/>
    <cellStyle name="40% - Accent3 6 3 6 2 2 2" xfId="6805" xr:uid="{00000000-0005-0000-0000-0000B1130000}"/>
    <cellStyle name="40% - Accent3 6 3 6 2 3" xfId="6806" xr:uid="{00000000-0005-0000-0000-0000B2130000}"/>
    <cellStyle name="40% - Accent3 6 3 6 3" xfId="6807" xr:uid="{00000000-0005-0000-0000-0000B3130000}"/>
    <cellStyle name="40% - Accent3 6 3 6 3 2" xfId="6808" xr:uid="{00000000-0005-0000-0000-0000B4130000}"/>
    <cellStyle name="40% - Accent3 6 3 6 4" xfId="6809" xr:uid="{00000000-0005-0000-0000-0000B5130000}"/>
    <cellStyle name="40% - Accent3 6 3 7" xfId="6810" xr:uid="{00000000-0005-0000-0000-0000B6130000}"/>
    <cellStyle name="40% - Accent3 6 3 7 2" xfId="6811" xr:uid="{00000000-0005-0000-0000-0000B7130000}"/>
    <cellStyle name="40% - Accent3 6 3 7 2 2" xfId="6812" xr:uid="{00000000-0005-0000-0000-0000B8130000}"/>
    <cellStyle name="40% - Accent3 6 3 7 2 2 2" xfId="6813" xr:uid="{00000000-0005-0000-0000-0000B9130000}"/>
    <cellStyle name="40% - Accent3 6 3 7 2 3" xfId="6814" xr:uid="{00000000-0005-0000-0000-0000BA130000}"/>
    <cellStyle name="40% - Accent3 6 3 7 3" xfId="6815" xr:uid="{00000000-0005-0000-0000-0000BB130000}"/>
    <cellStyle name="40% - Accent3 6 3 7 3 2" xfId="6816" xr:uid="{00000000-0005-0000-0000-0000BC130000}"/>
    <cellStyle name="40% - Accent3 6 3 7 4" xfId="6817" xr:uid="{00000000-0005-0000-0000-0000BD130000}"/>
    <cellStyle name="40% - Accent3 6 3 8" xfId="6818" xr:uid="{00000000-0005-0000-0000-0000BE130000}"/>
    <cellStyle name="40% - Accent3 6 3 8 2" xfId="6819" xr:uid="{00000000-0005-0000-0000-0000BF130000}"/>
    <cellStyle name="40% - Accent3 6 3 8 2 2" xfId="6820" xr:uid="{00000000-0005-0000-0000-0000C0130000}"/>
    <cellStyle name="40% - Accent3 6 3 8 2 2 2" xfId="6821" xr:uid="{00000000-0005-0000-0000-0000C1130000}"/>
    <cellStyle name="40% - Accent3 6 3 8 2 3" xfId="6822" xr:uid="{00000000-0005-0000-0000-0000C2130000}"/>
    <cellStyle name="40% - Accent3 6 3 8 3" xfId="6823" xr:uid="{00000000-0005-0000-0000-0000C3130000}"/>
    <cellStyle name="40% - Accent3 6 3 8 3 2" xfId="6824" xr:uid="{00000000-0005-0000-0000-0000C4130000}"/>
    <cellStyle name="40% - Accent3 6 3 8 4" xfId="6825" xr:uid="{00000000-0005-0000-0000-0000C5130000}"/>
    <cellStyle name="40% - Accent3 6 3 9" xfId="6826" xr:uid="{00000000-0005-0000-0000-0000C6130000}"/>
    <cellStyle name="40% - Accent3 6 3 9 2" xfId="6827" xr:uid="{00000000-0005-0000-0000-0000C7130000}"/>
    <cellStyle name="40% - Accent3 6 3 9 2 2" xfId="6828" xr:uid="{00000000-0005-0000-0000-0000C8130000}"/>
    <cellStyle name="40% - Accent3 6 3 9 3" xfId="6829" xr:uid="{00000000-0005-0000-0000-0000C9130000}"/>
    <cellStyle name="40% - Accent3 6 4" xfId="835" xr:uid="{00000000-0005-0000-0000-0000CA130000}"/>
    <cellStyle name="40% - Accent3 6 4 10" xfId="6831" xr:uid="{00000000-0005-0000-0000-0000CB130000}"/>
    <cellStyle name="40% - Accent3 6 4 11" xfId="6830" xr:uid="{00000000-0005-0000-0000-0000CC130000}"/>
    <cellStyle name="40% - Accent3 6 4 2" xfId="1593" xr:uid="{00000000-0005-0000-0000-0000CD130000}"/>
    <cellStyle name="40% - Accent3 6 4 2 2" xfId="6833" xr:uid="{00000000-0005-0000-0000-0000CE130000}"/>
    <cellStyle name="40% - Accent3 6 4 2 2 2" xfId="6834" xr:uid="{00000000-0005-0000-0000-0000CF130000}"/>
    <cellStyle name="40% - Accent3 6 4 2 2 2 2" xfId="6835" xr:uid="{00000000-0005-0000-0000-0000D0130000}"/>
    <cellStyle name="40% - Accent3 6 4 2 2 2 2 2" xfId="6836" xr:uid="{00000000-0005-0000-0000-0000D1130000}"/>
    <cellStyle name="40% - Accent3 6 4 2 2 2 3" xfId="6837" xr:uid="{00000000-0005-0000-0000-0000D2130000}"/>
    <cellStyle name="40% - Accent3 6 4 2 2 3" xfId="6838" xr:uid="{00000000-0005-0000-0000-0000D3130000}"/>
    <cellStyle name="40% - Accent3 6 4 2 2 3 2" xfId="6839" xr:uid="{00000000-0005-0000-0000-0000D4130000}"/>
    <cellStyle name="40% - Accent3 6 4 2 2 4" xfId="6840" xr:uid="{00000000-0005-0000-0000-0000D5130000}"/>
    <cellStyle name="40% - Accent3 6 4 2 3" xfId="6841" xr:uid="{00000000-0005-0000-0000-0000D6130000}"/>
    <cellStyle name="40% - Accent3 6 4 2 3 2" xfId="6842" xr:uid="{00000000-0005-0000-0000-0000D7130000}"/>
    <cellStyle name="40% - Accent3 6 4 2 3 2 2" xfId="6843" xr:uid="{00000000-0005-0000-0000-0000D8130000}"/>
    <cellStyle name="40% - Accent3 6 4 2 3 2 2 2" xfId="6844" xr:uid="{00000000-0005-0000-0000-0000D9130000}"/>
    <cellStyle name="40% - Accent3 6 4 2 3 2 3" xfId="6845" xr:uid="{00000000-0005-0000-0000-0000DA130000}"/>
    <cellStyle name="40% - Accent3 6 4 2 3 3" xfId="6846" xr:uid="{00000000-0005-0000-0000-0000DB130000}"/>
    <cellStyle name="40% - Accent3 6 4 2 3 3 2" xfId="6847" xr:uid="{00000000-0005-0000-0000-0000DC130000}"/>
    <cellStyle name="40% - Accent3 6 4 2 3 4" xfId="6848" xr:uid="{00000000-0005-0000-0000-0000DD130000}"/>
    <cellStyle name="40% - Accent3 6 4 2 4" xfId="6849" xr:uid="{00000000-0005-0000-0000-0000DE130000}"/>
    <cellStyle name="40% - Accent3 6 4 2 4 2" xfId="6850" xr:uid="{00000000-0005-0000-0000-0000DF130000}"/>
    <cellStyle name="40% - Accent3 6 4 2 4 2 2" xfId="6851" xr:uid="{00000000-0005-0000-0000-0000E0130000}"/>
    <cellStyle name="40% - Accent3 6 4 2 4 3" xfId="6852" xr:uid="{00000000-0005-0000-0000-0000E1130000}"/>
    <cellStyle name="40% - Accent3 6 4 2 5" xfId="6853" xr:uid="{00000000-0005-0000-0000-0000E2130000}"/>
    <cellStyle name="40% - Accent3 6 4 2 5 2" xfId="6854" xr:uid="{00000000-0005-0000-0000-0000E3130000}"/>
    <cellStyle name="40% - Accent3 6 4 2 6" xfId="6855" xr:uid="{00000000-0005-0000-0000-0000E4130000}"/>
    <cellStyle name="40% - Accent3 6 4 2 7" xfId="6832" xr:uid="{00000000-0005-0000-0000-0000E5130000}"/>
    <cellStyle name="40% - Accent3 6 4 3" xfId="6856" xr:uid="{00000000-0005-0000-0000-0000E6130000}"/>
    <cellStyle name="40% - Accent3 6 4 3 2" xfId="6857" xr:uid="{00000000-0005-0000-0000-0000E7130000}"/>
    <cellStyle name="40% - Accent3 6 4 3 2 2" xfId="6858" xr:uid="{00000000-0005-0000-0000-0000E8130000}"/>
    <cellStyle name="40% - Accent3 6 4 3 2 2 2" xfId="6859" xr:uid="{00000000-0005-0000-0000-0000E9130000}"/>
    <cellStyle name="40% - Accent3 6 4 3 2 2 2 2" xfId="6860" xr:uid="{00000000-0005-0000-0000-0000EA130000}"/>
    <cellStyle name="40% - Accent3 6 4 3 2 2 3" xfId="6861" xr:uid="{00000000-0005-0000-0000-0000EB130000}"/>
    <cellStyle name="40% - Accent3 6 4 3 2 3" xfId="6862" xr:uid="{00000000-0005-0000-0000-0000EC130000}"/>
    <cellStyle name="40% - Accent3 6 4 3 2 3 2" xfId="6863" xr:uid="{00000000-0005-0000-0000-0000ED130000}"/>
    <cellStyle name="40% - Accent3 6 4 3 2 4" xfId="6864" xr:uid="{00000000-0005-0000-0000-0000EE130000}"/>
    <cellStyle name="40% - Accent3 6 4 3 3" xfId="6865" xr:uid="{00000000-0005-0000-0000-0000EF130000}"/>
    <cellStyle name="40% - Accent3 6 4 3 3 2" xfId="6866" xr:uid="{00000000-0005-0000-0000-0000F0130000}"/>
    <cellStyle name="40% - Accent3 6 4 3 3 2 2" xfId="6867" xr:uid="{00000000-0005-0000-0000-0000F1130000}"/>
    <cellStyle name="40% - Accent3 6 4 3 3 3" xfId="6868" xr:uid="{00000000-0005-0000-0000-0000F2130000}"/>
    <cellStyle name="40% - Accent3 6 4 3 4" xfId="6869" xr:uid="{00000000-0005-0000-0000-0000F3130000}"/>
    <cellStyle name="40% - Accent3 6 4 3 4 2" xfId="6870" xr:uid="{00000000-0005-0000-0000-0000F4130000}"/>
    <cellStyle name="40% - Accent3 6 4 3 5" xfId="6871" xr:uid="{00000000-0005-0000-0000-0000F5130000}"/>
    <cellStyle name="40% - Accent3 6 4 4" xfId="6872" xr:uid="{00000000-0005-0000-0000-0000F6130000}"/>
    <cellStyle name="40% - Accent3 6 4 4 2" xfId="6873" xr:uid="{00000000-0005-0000-0000-0000F7130000}"/>
    <cellStyle name="40% - Accent3 6 4 4 2 2" xfId="6874" xr:uid="{00000000-0005-0000-0000-0000F8130000}"/>
    <cellStyle name="40% - Accent3 6 4 4 2 2 2" xfId="6875" xr:uid="{00000000-0005-0000-0000-0000F9130000}"/>
    <cellStyle name="40% - Accent3 6 4 4 2 2 2 2" xfId="6876" xr:uid="{00000000-0005-0000-0000-0000FA130000}"/>
    <cellStyle name="40% - Accent3 6 4 4 2 2 3" xfId="6877" xr:uid="{00000000-0005-0000-0000-0000FB130000}"/>
    <cellStyle name="40% - Accent3 6 4 4 2 3" xfId="6878" xr:uid="{00000000-0005-0000-0000-0000FC130000}"/>
    <cellStyle name="40% - Accent3 6 4 4 2 3 2" xfId="6879" xr:uid="{00000000-0005-0000-0000-0000FD130000}"/>
    <cellStyle name="40% - Accent3 6 4 4 2 4" xfId="6880" xr:uid="{00000000-0005-0000-0000-0000FE130000}"/>
    <cellStyle name="40% - Accent3 6 4 4 3" xfId="6881" xr:uid="{00000000-0005-0000-0000-0000FF130000}"/>
    <cellStyle name="40% - Accent3 6 4 4 3 2" xfId="6882" xr:uid="{00000000-0005-0000-0000-000000140000}"/>
    <cellStyle name="40% - Accent3 6 4 4 3 2 2" xfId="6883" xr:uid="{00000000-0005-0000-0000-000001140000}"/>
    <cellStyle name="40% - Accent3 6 4 4 3 3" xfId="6884" xr:uid="{00000000-0005-0000-0000-000002140000}"/>
    <cellStyle name="40% - Accent3 6 4 4 4" xfId="6885" xr:uid="{00000000-0005-0000-0000-000003140000}"/>
    <cellStyle name="40% - Accent3 6 4 4 4 2" xfId="6886" xr:uid="{00000000-0005-0000-0000-000004140000}"/>
    <cellStyle name="40% - Accent3 6 4 4 5" xfId="6887" xr:uid="{00000000-0005-0000-0000-000005140000}"/>
    <cellStyle name="40% - Accent3 6 4 5" xfId="6888" xr:uid="{00000000-0005-0000-0000-000006140000}"/>
    <cellStyle name="40% - Accent3 6 4 5 2" xfId="6889" xr:uid="{00000000-0005-0000-0000-000007140000}"/>
    <cellStyle name="40% - Accent3 6 4 5 2 2" xfId="6890" xr:uid="{00000000-0005-0000-0000-000008140000}"/>
    <cellStyle name="40% - Accent3 6 4 5 2 2 2" xfId="6891" xr:uid="{00000000-0005-0000-0000-000009140000}"/>
    <cellStyle name="40% - Accent3 6 4 5 2 3" xfId="6892" xr:uid="{00000000-0005-0000-0000-00000A140000}"/>
    <cellStyle name="40% - Accent3 6 4 5 3" xfId="6893" xr:uid="{00000000-0005-0000-0000-00000B140000}"/>
    <cellStyle name="40% - Accent3 6 4 5 3 2" xfId="6894" xr:uid="{00000000-0005-0000-0000-00000C140000}"/>
    <cellStyle name="40% - Accent3 6 4 5 4" xfId="6895" xr:uid="{00000000-0005-0000-0000-00000D140000}"/>
    <cellStyle name="40% - Accent3 6 4 6" xfId="6896" xr:uid="{00000000-0005-0000-0000-00000E140000}"/>
    <cellStyle name="40% - Accent3 6 4 6 2" xfId="6897" xr:uid="{00000000-0005-0000-0000-00000F140000}"/>
    <cellStyle name="40% - Accent3 6 4 6 2 2" xfId="6898" xr:uid="{00000000-0005-0000-0000-000010140000}"/>
    <cellStyle name="40% - Accent3 6 4 6 2 2 2" xfId="6899" xr:uid="{00000000-0005-0000-0000-000011140000}"/>
    <cellStyle name="40% - Accent3 6 4 6 2 3" xfId="6900" xr:uid="{00000000-0005-0000-0000-000012140000}"/>
    <cellStyle name="40% - Accent3 6 4 6 3" xfId="6901" xr:uid="{00000000-0005-0000-0000-000013140000}"/>
    <cellStyle name="40% - Accent3 6 4 6 3 2" xfId="6902" xr:uid="{00000000-0005-0000-0000-000014140000}"/>
    <cellStyle name="40% - Accent3 6 4 6 4" xfId="6903" xr:uid="{00000000-0005-0000-0000-000015140000}"/>
    <cellStyle name="40% - Accent3 6 4 7" xfId="6904" xr:uid="{00000000-0005-0000-0000-000016140000}"/>
    <cellStyle name="40% - Accent3 6 4 7 2" xfId="6905" xr:uid="{00000000-0005-0000-0000-000017140000}"/>
    <cellStyle name="40% - Accent3 6 4 7 2 2" xfId="6906" xr:uid="{00000000-0005-0000-0000-000018140000}"/>
    <cellStyle name="40% - Accent3 6 4 7 2 2 2" xfId="6907" xr:uid="{00000000-0005-0000-0000-000019140000}"/>
    <cellStyle name="40% - Accent3 6 4 7 2 3" xfId="6908" xr:uid="{00000000-0005-0000-0000-00001A140000}"/>
    <cellStyle name="40% - Accent3 6 4 7 3" xfId="6909" xr:uid="{00000000-0005-0000-0000-00001B140000}"/>
    <cellStyle name="40% - Accent3 6 4 7 3 2" xfId="6910" xr:uid="{00000000-0005-0000-0000-00001C140000}"/>
    <cellStyle name="40% - Accent3 6 4 7 4" xfId="6911" xr:uid="{00000000-0005-0000-0000-00001D140000}"/>
    <cellStyle name="40% - Accent3 6 4 8" xfId="6912" xr:uid="{00000000-0005-0000-0000-00001E140000}"/>
    <cellStyle name="40% - Accent3 6 4 8 2" xfId="6913" xr:uid="{00000000-0005-0000-0000-00001F140000}"/>
    <cellStyle name="40% - Accent3 6 4 8 2 2" xfId="6914" xr:uid="{00000000-0005-0000-0000-000020140000}"/>
    <cellStyle name="40% - Accent3 6 4 8 3" xfId="6915" xr:uid="{00000000-0005-0000-0000-000021140000}"/>
    <cellStyle name="40% - Accent3 6 4 9" xfId="6916" xr:uid="{00000000-0005-0000-0000-000022140000}"/>
    <cellStyle name="40% - Accent3 6 4 9 2" xfId="6917" xr:uid="{00000000-0005-0000-0000-000023140000}"/>
    <cellStyle name="40% - Accent3 6 5" xfId="1268" xr:uid="{00000000-0005-0000-0000-000024140000}"/>
    <cellStyle name="40% - Accent3 6 5 2" xfId="6919" xr:uid="{00000000-0005-0000-0000-000025140000}"/>
    <cellStyle name="40% - Accent3 6 5 2 2" xfId="6920" xr:uid="{00000000-0005-0000-0000-000026140000}"/>
    <cellStyle name="40% - Accent3 6 5 2 2 2" xfId="6921" xr:uid="{00000000-0005-0000-0000-000027140000}"/>
    <cellStyle name="40% - Accent3 6 5 2 2 2 2" xfId="6922" xr:uid="{00000000-0005-0000-0000-000028140000}"/>
    <cellStyle name="40% - Accent3 6 5 2 2 3" xfId="6923" xr:uid="{00000000-0005-0000-0000-000029140000}"/>
    <cellStyle name="40% - Accent3 6 5 2 3" xfId="6924" xr:uid="{00000000-0005-0000-0000-00002A140000}"/>
    <cellStyle name="40% - Accent3 6 5 2 3 2" xfId="6925" xr:uid="{00000000-0005-0000-0000-00002B140000}"/>
    <cellStyle name="40% - Accent3 6 5 2 4" xfId="6926" xr:uid="{00000000-0005-0000-0000-00002C140000}"/>
    <cellStyle name="40% - Accent3 6 5 3" xfId="6927" xr:uid="{00000000-0005-0000-0000-00002D140000}"/>
    <cellStyle name="40% - Accent3 6 5 3 2" xfId="6928" xr:uid="{00000000-0005-0000-0000-00002E140000}"/>
    <cellStyle name="40% - Accent3 6 5 3 2 2" xfId="6929" xr:uid="{00000000-0005-0000-0000-00002F140000}"/>
    <cellStyle name="40% - Accent3 6 5 3 2 2 2" xfId="6930" xr:uid="{00000000-0005-0000-0000-000030140000}"/>
    <cellStyle name="40% - Accent3 6 5 3 2 3" xfId="6931" xr:uid="{00000000-0005-0000-0000-000031140000}"/>
    <cellStyle name="40% - Accent3 6 5 3 3" xfId="6932" xr:uid="{00000000-0005-0000-0000-000032140000}"/>
    <cellStyle name="40% - Accent3 6 5 3 3 2" xfId="6933" xr:uid="{00000000-0005-0000-0000-000033140000}"/>
    <cellStyle name="40% - Accent3 6 5 3 4" xfId="6934" xr:uid="{00000000-0005-0000-0000-000034140000}"/>
    <cellStyle name="40% - Accent3 6 5 4" xfId="6935" xr:uid="{00000000-0005-0000-0000-000035140000}"/>
    <cellStyle name="40% - Accent3 6 5 4 2" xfId="6936" xr:uid="{00000000-0005-0000-0000-000036140000}"/>
    <cellStyle name="40% - Accent3 6 5 4 2 2" xfId="6937" xr:uid="{00000000-0005-0000-0000-000037140000}"/>
    <cellStyle name="40% - Accent3 6 5 4 3" xfId="6938" xr:uid="{00000000-0005-0000-0000-000038140000}"/>
    <cellStyle name="40% - Accent3 6 5 5" xfId="6939" xr:uid="{00000000-0005-0000-0000-000039140000}"/>
    <cellStyle name="40% - Accent3 6 5 5 2" xfId="6940" xr:uid="{00000000-0005-0000-0000-00003A140000}"/>
    <cellStyle name="40% - Accent3 6 5 6" xfId="6941" xr:uid="{00000000-0005-0000-0000-00003B140000}"/>
    <cellStyle name="40% - Accent3 6 5 7" xfId="6918" xr:uid="{00000000-0005-0000-0000-00003C140000}"/>
    <cellStyle name="40% - Accent3 6 6" xfId="6942" xr:uid="{00000000-0005-0000-0000-00003D140000}"/>
    <cellStyle name="40% - Accent3 6 6 2" xfId="6943" xr:uid="{00000000-0005-0000-0000-00003E140000}"/>
    <cellStyle name="40% - Accent3 6 6 2 2" xfId="6944" xr:uid="{00000000-0005-0000-0000-00003F140000}"/>
    <cellStyle name="40% - Accent3 6 6 2 2 2" xfId="6945" xr:uid="{00000000-0005-0000-0000-000040140000}"/>
    <cellStyle name="40% - Accent3 6 6 2 2 2 2" xfId="6946" xr:uid="{00000000-0005-0000-0000-000041140000}"/>
    <cellStyle name="40% - Accent3 6 6 2 2 3" xfId="6947" xr:uid="{00000000-0005-0000-0000-000042140000}"/>
    <cellStyle name="40% - Accent3 6 6 2 3" xfId="6948" xr:uid="{00000000-0005-0000-0000-000043140000}"/>
    <cellStyle name="40% - Accent3 6 6 2 3 2" xfId="6949" xr:uid="{00000000-0005-0000-0000-000044140000}"/>
    <cellStyle name="40% - Accent3 6 6 2 4" xfId="6950" xr:uid="{00000000-0005-0000-0000-000045140000}"/>
    <cellStyle name="40% - Accent3 6 6 3" xfId="6951" xr:uid="{00000000-0005-0000-0000-000046140000}"/>
    <cellStyle name="40% - Accent3 6 6 3 2" xfId="6952" xr:uid="{00000000-0005-0000-0000-000047140000}"/>
    <cellStyle name="40% - Accent3 6 6 3 2 2" xfId="6953" xr:uid="{00000000-0005-0000-0000-000048140000}"/>
    <cellStyle name="40% - Accent3 6 6 3 3" xfId="6954" xr:uid="{00000000-0005-0000-0000-000049140000}"/>
    <cellStyle name="40% - Accent3 6 6 4" xfId="6955" xr:uid="{00000000-0005-0000-0000-00004A140000}"/>
    <cellStyle name="40% - Accent3 6 6 4 2" xfId="6956" xr:uid="{00000000-0005-0000-0000-00004B140000}"/>
    <cellStyle name="40% - Accent3 6 6 5" xfId="6957" xr:uid="{00000000-0005-0000-0000-00004C140000}"/>
    <cellStyle name="40% - Accent3 6 7" xfId="6958" xr:uid="{00000000-0005-0000-0000-00004D140000}"/>
    <cellStyle name="40% - Accent3 6 7 2" xfId="6959" xr:uid="{00000000-0005-0000-0000-00004E140000}"/>
    <cellStyle name="40% - Accent3 6 7 2 2" xfId="6960" xr:uid="{00000000-0005-0000-0000-00004F140000}"/>
    <cellStyle name="40% - Accent3 6 7 2 2 2" xfId="6961" xr:uid="{00000000-0005-0000-0000-000050140000}"/>
    <cellStyle name="40% - Accent3 6 7 2 2 2 2" xfId="6962" xr:uid="{00000000-0005-0000-0000-000051140000}"/>
    <cellStyle name="40% - Accent3 6 7 2 2 3" xfId="6963" xr:uid="{00000000-0005-0000-0000-000052140000}"/>
    <cellStyle name="40% - Accent3 6 7 2 3" xfId="6964" xr:uid="{00000000-0005-0000-0000-000053140000}"/>
    <cellStyle name="40% - Accent3 6 7 2 3 2" xfId="6965" xr:uid="{00000000-0005-0000-0000-000054140000}"/>
    <cellStyle name="40% - Accent3 6 7 2 4" xfId="6966" xr:uid="{00000000-0005-0000-0000-000055140000}"/>
    <cellStyle name="40% - Accent3 6 7 3" xfId="6967" xr:uid="{00000000-0005-0000-0000-000056140000}"/>
    <cellStyle name="40% - Accent3 6 7 3 2" xfId="6968" xr:uid="{00000000-0005-0000-0000-000057140000}"/>
    <cellStyle name="40% - Accent3 6 7 3 2 2" xfId="6969" xr:uid="{00000000-0005-0000-0000-000058140000}"/>
    <cellStyle name="40% - Accent3 6 7 3 3" xfId="6970" xr:uid="{00000000-0005-0000-0000-000059140000}"/>
    <cellStyle name="40% - Accent3 6 7 4" xfId="6971" xr:uid="{00000000-0005-0000-0000-00005A140000}"/>
    <cellStyle name="40% - Accent3 6 7 4 2" xfId="6972" xr:uid="{00000000-0005-0000-0000-00005B140000}"/>
    <cellStyle name="40% - Accent3 6 7 5" xfId="6973" xr:uid="{00000000-0005-0000-0000-00005C140000}"/>
    <cellStyle name="40% - Accent3 6 8" xfId="6974" xr:uid="{00000000-0005-0000-0000-00005D140000}"/>
    <cellStyle name="40% - Accent3 6 8 2" xfId="6975" xr:uid="{00000000-0005-0000-0000-00005E140000}"/>
    <cellStyle name="40% - Accent3 6 8 2 2" xfId="6976" xr:uid="{00000000-0005-0000-0000-00005F140000}"/>
    <cellStyle name="40% - Accent3 6 8 2 2 2" xfId="6977" xr:uid="{00000000-0005-0000-0000-000060140000}"/>
    <cellStyle name="40% - Accent3 6 8 2 3" xfId="6978" xr:uid="{00000000-0005-0000-0000-000061140000}"/>
    <cellStyle name="40% - Accent3 6 8 3" xfId="6979" xr:uid="{00000000-0005-0000-0000-000062140000}"/>
    <cellStyle name="40% - Accent3 6 8 3 2" xfId="6980" xr:uid="{00000000-0005-0000-0000-000063140000}"/>
    <cellStyle name="40% - Accent3 6 8 4" xfId="6981" xr:uid="{00000000-0005-0000-0000-000064140000}"/>
    <cellStyle name="40% - Accent3 6 9" xfId="6982" xr:uid="{00000000-0005-0000-0000-000065140000}"/>
    <cellStyle name="40% - Accent3 6 9 2" xfId="6983" xr:uid="{00000000-0005-0000-0000-000066140000}"/>
    <cellStyle name="40% - Accent3 6 9 2 2" xfId="6984" xr:uid="{00000000-0005-0000-0000-000067140000}"/>
    <cellStyle name="40% - Accent3 6 9 2 2 2" xfId="6985" xr:uid="{00000000-0005-0000-0000-000068140000}"/>
    <cellStyle name="40% - Accent3 6 9 2 3" xfId="6986" xr:uid="{00000000-0005-0000-0000-000069140000}"/>
    <cellStyle name="40% - Accent3 6 9 3" xfId="6987" xr:uid="{00000000-0005-0000-0000-00006A140000}"/>
    <cellStyle name="40% - Accent3 6 9 3 2" xfId="6988" xr:uid="{00000000-0005-0000-0000-00006B140000}"/>
    <cellStyle name="40% - Accent3 6 9 4" xfId="6989" xr:uid="{00000000-0005-0000-0000-00006C140000}"/>
    <cellStyle name="40% - Accent3 7" xfId="122" xr:uid="{00000000-0005-0000-0000-00006D140000}"/>
    <cellStyle name="40% - Accent3 8" xfId="123" xr:uid="{00000000-0005-0000-0000-00006E140000}"/>
    <cellStyle name="40% - Accent3 8 2" xfId="6990" xr:uid="{00000000-0005-0000-0000-00006F140000}"/>
    <cellStyle name="40% - Accent3 8 2 2" xfId="6991" xr:uid="{00000000-0005-0000-0000-000070140000}"/>
    <cellStyle name="40% - Accent3 8 3" xfId="6992" xr:uid="{00000000-0005-0000-0000-000071140000}"/>
    <cellStyle name="40% - Accent3 9" xfId="6993" xr:uid="{00000000-0005-0000-0000-000072140000}"/>
    <cellStyle name="40% - Accent3 9 2" xfId="6994" xr:uid="{00000000-0005-0000-0000-000073140000}"/>
    <cellStyle name="40% - Accent3 9 2 2" xfId="6995" xr:uid="{00000000-0005-0000-0000-000074140000}"/>
    <cellStyle name="40% - Accent3 9 3" xfId="6996" xr:uid="{00000000-0005-0000-0000-000075140000}"/>
    <cellStyle name="40% - Accent4 10" xfId="6997" xr:uid="{00000000-0005-0000-0000-000076140000}"/>
    <cellStyle name="40% - Accent4 2" xfId="124" xr:uid="{00000000-0005-0000-0000-000077140000}"/>
    <cellStyle name="40% - Accent4 2 2" xfId="125" xr:uid="{00000000-0005-0000-0000-000078140000}"/>
    <cellStyle name="40% - Accent4 3" xfId="126" xr:uid="{00000000-0005-0000-0000-000079140000}"/>
    <cellStyle name="40% - Accent4 4" xfId="127" xr:uid="{00000000-0005-0000-0000-00007A140000}"/>
    <cellStyle name="40% - Accent4 5" xfId="128" xr:uid="{00000000-0005-0000-0000-00007B140000}"/>
    <cellStyle name="40% - Accent4 6" xfId="129" xr:uid="{00000000-0005-0000-0000-00007C140000}"/>
    <cellStyle name="40% - Accent4 6 10" xfId="6999" xr:uid="{00000000-0005-0000-0000-00007D140000}"/>
    <cellStyle name="40% - Accent4 6 10 2" xfId="7000" xr:uid="{00000000-0005-0000-0000-00007E140000}"/>
    <cellStyle name="40% - Accent4 6 10 2 2" xfId="7001" xr:uid="{00000000-0005-0000-0000-00007F140000}"/>
    <cellStyle name="40% - Accent4 6 10 2 2 2" xfId="7002" xr:uid="{00000000-0005-0000-0000-000080140000}"/>
    <cellStyle name="40% - Accent4 6 10 2 3" xfId="7003" xr:uid="{00000000-0005-0000-0000-000081140000}"/>
    <cellStyle name="40% - Accent4 6 10 3" xfId="7004" xr:uid="{00000000-0005-0000-0000-000082140000}"/>
    <cellStyle name="40% - Accent4 6 10 3 2" xfId="7005" xr:uid="{00000000-0005-0000-0000-000083140000}"/>
    <cellStyle name="40% - Accent4 6 10 4" xfId="7006" xr:uid="{00000000-0005-0000-0000-000084140000}"/>
    <cellStyle name="40% - Accent4 6 11" xfId="7007" xr:uid="{00000000-0005-0000-0000-000085140000}"/>
    <cellStyle name="40% - Accent4 6 11 2" xfId="7008" xr:uid="{00000000-0005-0000-0000-000086140000}"/>
    <cellStyle name="40% - Accent4 6 11 2 2" xfId="7009" xr:uid="{00000000-0005-0000-0000-000087140000}"/>
    <cellStyle name="40% - Accent4 6 11 3" xfId="7010" xr:uid="{00000000-0005-0000-0000-000088140000}"/>
    <cellStyle name="40% - Accent4 6 12" xfId="7011" xr:uid="{00000000-0005-0000-0000-000089140000}"/>
    <cellStyle name="40% - Accent4 6 12 2" xfId="7012" xr:uid="{00000000-0005-0000-0000-00008A140000}"/>
    <cellStyle name="40% - Accent4 6 12 2 2" xfId="7013" xr:uid="{00000000-0005-0000-0000-00008B140000}"/>
    <cellStyle name="40% - Accent4 6 12 3" xfId="7014" xr:uid="{00000000-0005-0000-0000-00008C140000}"/>
    <cellStyle name="40% - Accent4 6 13" xfId="7015" xr:uid="{00000000-0005-0000-0000-00008D140000}"/>
    <cellStyle name="40% - Accent4 6 13 2" xfId="7016" xr:uid="{00000000-0005-0000-0000-00008E140000}"/>
    <cellStyle name="40% - Accent4 6 13 2 2" xfId="7017" xr:uid="{00000000-0005-0000-0000-00008F140000}"/>
    <cellStyle name="40% - Accent4 6 13 3" xfId="7018" xr:uid="{00000000-0005-0000-0000-000090140000}"/>
    <cellStyle name="40% - Accent4 6 14" xfId="7019" xr:uid="{00000000-0005-0000-0000-000091140000}"/>
    <cellStyle name="40% - Accent4 6 14 2" xfId="7020" xr:uid="{00000000-0005-0000-0000-000092140000}"/>
    <cellStyle name="40% - Accent4 6 15" xfId="7021" xr:uid="{00000000-0005-0000-0000-000093140000}"/>
    <cellStyle name="40% - Accent4 6 16" xfId="7022" xr:uid="{00000000-0005-0000-0000-000094140000}"/>
    <cellStyle name="40% - Accent4 6 17" xfId="6998" xr:uid="{00000000-0005-0000-0000-000095140000}"/>
    <cellStyle name="40% - Accent4 6 2" xfId="130" xr:uid="{00000000-0005-0000-0000-000096140000}"/>
    <cellStyle name="40% - Accent4 6 2 10" xfId="7024" xr:uid="{00000000-0005-0000-0000-000097140000}"/>
    <cellStyle name="40% - Accent4 6 2 10 2" xfId="7025" xr:uid="{00000000-0005-0000-0000-000098140000}"/>
    <cellStyle name="40% - Accent4 6 2 10 2 2" xfId="7026" xr:uid="{00000000-0005-0000-0000-000099140000}"/>
    <cellStyle name="40% - Accent4 6 2 10 3" xfId="7027" xr:uid="{00000000-0005-0000-0000-00009A140000}"/>
    <cellStyle name="40% - Accent4 6 2 11" xfId="7028" xr:uid="{00000000-0005-0000-0000-00009B140000}"/>
    <cellStyle name="40% - Accent4 6 2 11 2" xfId="7029" xr:uid="{00000000-0005-0000-0000-00009C140000}"/>
    <cellStyle name="40% - Accent4 6 2 11 2 2" xfId="7030" xr:uid="{00000000-0005-0000-0000-00009D140000}"/>
    <cellStyle name="40% - Accent4 6 2 11 3" xfId="7031" xr:uid="{00000000-0005-0000-0000-00009E140000}"/>
    <cellStyle name="40% - Accent4 6 2 12" xfId="7032" xr:uid="{00000000-0005-0000-0000-00009F140000}"/>
    <cellStyle name="40% - Accent4 6 2 12 2" xfId="7033" xr:uid="{00000000-0005-0000-0000-0000A0140000}"/>
    <cellStyle name="40% - Accent4 6 2 13" xfId="7034" xr:uid="{00000000-0005-0000-0000-0000A1140000}"/>
    <cellStyle name="40% - Accent4 6 2 14" xfId="7035" xr:uid="{00000000-0005-0000-0000-0000A2140000}"/>
    <cellStyle name="40% - Accent4 6 2 15" xfId="7023" xr:uid="{00000000-0005-0000-0000-0000A3140000}"/>
    <cellStyle name="40% - Accent4 6 2 2" xfId="839" xr:uid="{00000000-0005-0000-0000-0000A4140000}"/>
    <cellStyle name="40% - Accent4 6 2 2 10" xfId="7037" xr:uid="{00000000-0005-0000-0000-0000A5140000}"/>
    <cellStyle name="40% - Accent4 6 2 2 11" xfId="7036" xr:uid="{00000000-0005-0000-0000-0000A6140000}"/>
    <cellStyle name="40% - Accent4 6 2 2 2" xfId="1597" xr:uid="{00000000-0005-0000-0000-0000A7140000}"/>
    <cellStyle name="40% - Accent4 6 2 2 2 2" xfId="7039" xr:uid="{00000000-0005-0000-0000-0000A8140000}"/>
    <cellStyle name="40% - Accent4 6 2 2 2 2 2" xfId="7040" xr:uid="{00000000-0005-0000-0000-0000A9140000}"/>
    <cellStyle name="40% - Accent4 6 2 2 2 2 2 2" xfId="7041" xr:uid="{00000000-0005-0000-0000-0000AA140000}"/>
    <cellStyle name="40% - Accent4 6 2 2 2 2 2 2 2" xfId="7042" xr:uid="{00000000-0005-0000-0000-0000AB140000}"/>
    <cellStyle name="40% - Accent4 6 2 2 2 2 2 3" xfId="7043" xr:uid="{00000000-0005-0000-0000-0000AC140000}"/>
    <cellStyle name="40% - Accent4 6 2 2 2 2 3" xfId="7044" xr:uid="{00000000-0005-0000-0000-0000AD140000}"/>
    <cellStyle name="40% - Accent4 6 2 2 2 2 3 2" xfId="7045" xr:uid="{00000000-0005-0000-0000-0000AE140000}"/>
    <cellStyle name="40% - Accent4 6 2 2 2 2 4" xfId="7046" xr:uid="{00000000-0005-0000-0000-0000AF140000}"/>
    <cellStyle name="40% - Accent4 6 2 2 2 3" xfId="7047" xr:uid="{00000000-0005-0000-0000-0000B0140000}"/>
    <cellStyle name="40% - Accent4 6 2 2 2 3 2" xfId="7048" xr:uid="{00000000-0005-0000-0000-0000B1140000}"/>
    <cellStyle name="40% - Accent4 6 2 2 2 3 2 2" xfId="7049" xr:uid="{00000000-0005-0000-0000-0000B2140000}"/>
    <cellStyle name="40% - Accent4 6 2 2 2 3 2 2 2" xfId="7050" xr:uid="{00000000-0005-0000-0000-0000B3140000}"/>
    <cellStyle name="40% - Accent4 6 2 2 2 3 2 3" xfId="7051" xr:uid="{00000000-0005-0000-0000-0000B4140000}"/>
    <cellStyle name="40% - Accent4 6 2 2 2 3 3" xfId="7052" xr:uid="{00000000-0005-0000-0000-0000B5140000}"/>
    <cellStyle name="40% - Accent4 6 2 2 2 3 3 2" xfId="7053" xr:uid="{00000000-0005-0000-0000-0000B6140000}"/>
    <cellStyle name="40% - Accent4 6 2 2 2 3 4" xfId="7054" xr:uid="{00000000-0005-0000-0000-0000B7140000}"/>
    <cellStyle name="40% - Accent4 6 2 2 2 4" xfId="7055" xr:uid="{00000000-0005-0000-0000-0000B8140000}"/>
    <cellStyle name="40% - Accent4 6 2 2 2 4 2" xfId="7056" xr:uid="{00000000-0005-0000-0000-0000B9140000}"/>
    <cellStyle name="40% - Accent4 6 2 2 2 4 2 2" xfId="7057" xr:uid="{00000000-0005-0000-0000-0000BA140000}"/>
    <cellStyle name="40% - Accent4 6 2 2 2 4 3" xfId="7058" xr:uid="{00000000-0005-0000-0000-0000BB140000}"/>
    <cellStyle name="40% - Accent4 6 2 2 2 5" xfId="7059" xr:uid="{00000000-0005-0000-0000-0000BC140000}"/>
    <cellStyle name="40% - Accent4 6 2 2 2 5 2" xfId="7060" xr:uid="{00000000-0005-0000-0000-0000BD140000}"/>
    <cellStyle name="40% - Accent4 6 2 2 2 6" xfId="7061" xr:uid="{00000000-0005-0000-0000-0000BE140000}"/>
    <cellStyle name="40% - Accent4 6 2 2 2 7" xfId="7038" xr:uid="{00000000-0005-0000-0000-0000BF140000}"/>
    <cellStyle name="40% - Accent4 6 2 2 3" xfId="7062" xr:uid="{00000000-0005-0000-0000-0000C0140000}"/>
    <cellStyle name="40% - Accent4 6 2 2 3 2" xfId="7063" xr:uid="{00000000-0005-0000-0000-0000C1140000}"/>
    <cellStyle name="40% - Accent4 6 2 2 3 2 2" xfId="7064" xr:uid="{00000000-0005-0000-0000-0000C2140000}"/>
    <cellStyle name="40% - Accent4 6 2 2 3 2 2 2" xfId="7065" xr:uid="{00000000-0005-0000-0000-0000C3140000}"/>
    <cellStyle name="40% - Accent4 6 2 2 3 2 2 2 2" xfId="7066" xr:uid="{00000000-0005-0000-0000-0000C4140000}"/>
    <cellStyle name="40% - Accent4 6 2 2 3 2 2 3" xfId="7067" xr:uid="{00000000-0005-0000-0000-0000C5140000}"/>
    <cellStyle name="40% - Accent4 6 2 2 3 2 3" xfId="7068" xr:uid="{00000000-0005-0000-0000-0000C6140000}"/>
    <cellStyle name="40% - Accent4 6 2 2 3 2 3 2" xfId="7069" xr:uid="{00000000-0005-0000-0000-0000C7140000}"/>
    <cellStyle name="40% - Accent4 6 2 2 3 2 4" xfId="7070" xr:uid="{00000000-0005-0000-0000-0000C8140000}"/>
    <cellStyle name="40% - Accent4 6 2 2 3 3" xfId="7071" xr:uid="{00000000-0005-0000-0000-0000C9140000}"/>
    <cellStyle name="40% - Accent4 6 2 2 3 3 2" xfId="7072" xr:uid="{00000000-0005-0000-0000-0000CA140000}"/>
    <cellStyle name="40% - Accent4 6 2 2 3 3 2 2" xfId="7073" xr:uid="{00000000-0005-0000-0000-0000CB140000}"/>
    <cellStyle name="40% - Accent4 6 2 2 3 3 3" xfId="7074" xr:uid="{00000000-0005-0000-0000-0000CC140000}"/>
    <cellStyle name="40% - Accent4 6 2 2 3 4" xfId="7075" xr:uid="{00000000-0005-0000-0000-0000CD140000}"/>
    <cellStyle name="40% - Accent4 6 2 2 3 4 2" xfId="7076" xr:uid="{00000000-0005-0000-0000-0000CE140000}"/>
    <cellStyle name="40% - Accent4 6 2 2 3 5" xfId="7077" xr:uid="{00000000-0005-0000-0000-0000CF140000}"/>
    <cellStyle name="40% - Accent4 6 2 2 4" xfId="7078" xr:uid="{00000000-0005-0000-0000-0000D0140000}"/>
    <cellStyle name="40% - Accent4 6 2 2 4 2" xfId="7079" xr:uid="{00000000-0005-0000-0000-0000D1140000}"/>
    <cellStyle name="40% - Accent4 6 2 2 4 2 2" xfId="7080" xr:uid="{00000000-0005-0000-0000-0000D2140000}"/>
    <cellStyle name="40% - Accent4 6 2 2 4 2 2 2" xfId="7081" xr:uid="{00000000-0005-0000-0000-0000D3140000}"/>
    <cellStyle name="40% - Accent4 6 2 2 4 2 2 2 2" xfId="7082" xr:uid="{00000000-0005-0000-0000-0000D4140000}"/>
    <cellStyle name="40% - Accent4 6 2 2 4 2 2 3" xfId="7083" xr:uid="{00000000-0005-0000-0000-0000D5140000}"/>
    <cellStyle name="40% - Accent4 6 2 2 4 2 3" xfId="7084" xr:uid="{00000000-0005-0000-0000-0000D6140000}"/>
    <cellStyle name="40% - Accent4 6 2 2 4 2 3 2" xfId="7085" xr:uid="{00000000-0005-0000-0000-0000D7140000}"/>
    <cellStyle name="40% - Accent4 6 2 2 4 2 4" xfId="7086" xr:uid="{00000000-0005-0000-0000-0000D8140000}"/>
    <cellStyle name="40% - Accent4 6 2 2 4 3" xfId="7087" xr:uid="{00000000-0005-0000-0000-0000D9140000}"/>
    <cellStyle name="40% - Accent4 6 2 2 4 3 2" xfId="7088" xr:uid="{00000000-0005-0000-0000-0000DA140000}"/>
    <cellStyle name="40% - Accent4 6 2 2 4 3 2 2" xfId="7089" xr:uid="{00000000-0005-0000-0000-0000DB140000}"/>
    <cellStyle name="40% - Accent4 6 2 2 4 3 3" xfId="7090" xr:uid="{00000000-0005-0000-0000-0000DC140000}"/>
    <cellStyle name="40% - Accent4 6 2 2 4 4" xfId="7091" xr:uid="{00000000-0005-0000-0000-0000DD140000}"/>
    <cellStyle name="40% - Accent4 6 2 2 4 4 2" xfId="7092" xr:uid="{00000000-0005-0000-0000-0000DE140000}"/>
    <cellStyle name="40% - Accent4 6 2 2 4 5" xfId="7093" xr:uid="{00000000-0005-0000-0000-0000DF140000}"/>
    <cellStyle name="40% - Accent4 6 2 2 5" xfId="7094" xr:uid="{00000000-0005-0000-0000-0000E0140000}"/>
    <cellStyle name="40% - Accent4 6 2 2 5 2" xfId="7095" xr:uid="{00000000-0005-0000-0000-0000E1140000}"/>
    <cellStyle name="40% - Accent4 6 2 2 5 2 2" xfId="7096" xr:uid="{00000000-0005-0000-0000-0000E2140000}"/>
    <cellStyle name="40% - Accent4 6 2 2 5 2 2 2" xfId="7097" xr:uid="{00000000-0005-0000-0000-0000E3140000}"/>
    <cellStyle name="40% - Accent4 6 2 2 5 2 3" xfId="7098" xr:uid="{00000000-0005-0000-0000-0000E4140000}"/>
    <cellStyle name="40% - Accent4 6 2 2 5 3" xfId="7099" xr:uid="{00000000-0005-0000-0000-0000E5140000}"/>
    <cellStyle name="40% - Accent4 6 2 2 5 3 2" xfId="7100" xr:uid="{00000000-0005-0000-0000-0000E6140000}"/>
    <cellStyle name="40% - Accent4 6 2 2 5 4" xfId="7101" xr:uid="{00000000-0005-0000-0000-0000E7140000}"/>
    <cellStyle name="40% - Accent4 6 2 2 6" xfId="7102" xr:uid="{00000000-0005-0000-0000-0000E8140000}"/>
    <cellStyle name="40% - Accent4 6 2 2 6 2" xfId="7103" xr:uid="{00000000-0005-0000-0000-0000E9140000}"/>
    <cellStyle name="40% - Accent4 6 2 2 6 2 2" xfId="7104" xr:uid="{00000000-0005-0000-0000-0000EA140000}"/>
    <cellStyle name="40% - Accent4 6 2 2 6 2 2 2" xfId="7105" xr:uid="{00000000-0005-0000-0000-0000EB140000}"/>
    <cellStyle name="40% - Accent4 6 2 2 6 2 3" xfId="7106" xr:uid="{00000000-0005-0000-0000-0000EC140000}"/>
    <cellStyle name="40% - Accent4 6 2 2 6 3" xfId="7107" xr:uid="{00000000-0005-0000-0000-0000ED140000}"/>
    <cellStyle name="40% - Accent4 6 2 2 6 3 2" xfId="7108" xr:uid="{00000000-0005-0000-0000-0000EE140000}"/>
    <cellStyle name="40% - Accent4 6 2 2 6 4" xfId="7109" xr:uid="{00000000-0005-0000-0000-0000EF140000}"/>
    <cellStyle name="40% - Accent4 6 2 2 7" xfId="7110" xr:uid="{00000000-0005-0000-0000-0000F0140000}"/>
    <cellStyle name="40% - Accent4 6 2 2 7 2" xfId="7111" xr:uid="{00000000-0005-0000-0000-0000F1140000}"/>
    <cellStyle name="40% - Accent4 6 2 2 7 2 2" xfId="7112" xr:uid="{00000000-0005-0000-0000-0000F2140000}"/>
    <cellStyle name="40% - Accent4 6 2 2 7 2 2 2" xfId="7113" xr:uid="{00000000-0005-0000-0000-0000F3140000}"/>
    <cellStyle name="40% - Accent4 6 2 2 7 2 3" xfId="7114" xr:uid="{00000000-0005-0000-0000-0000F4140000}"/>
    <cellStyle name="40% - Accent4 6 2 2 7 3" xfId="7115" xr:uid="{00000000-0005-0000-0000-0000F5140000}"/>
    <cellStyle name="40% - Accent4 6 2 2 7 3 2" xfId="7116" xr:uid="{00000000-0005-0000-0000-0000F6140000}"/>
    <cellStyle name="40% - Accent4 6 2 2 7 4" xfId="7117" xr:uid="{00000000-0005-0000-0000-0000F7140000}"/>
    <cellStyle name="40% - Accent4 6 2 2 8" xfId="7118" xr:uid="{00000000-0005-0000-0000-0000F8140000}"/>
    <cellStyle name="40% - Accent4 6 2 2 8 2" xfId="7119" xr:uid="{00000000-0005-0000-0000-0000F9140000}"/>
    <cellStyle name="40% - Accent4 6 2 2 8 2 2" xfId="7120" xr:uid="{00000000-0005-0000-0000-0000FA140000}"/>
    <cellStyle name="40% - Accent4 6 2 2 8 3" xfId="7121" xr:uid="{00000000-0005-0000-0000-0000FB140000}"/>
    <cellStyle name="40% - Accent4 6 2 2 9" xfId="7122" xr:uid="{00000000-0005-0000-0000-0000FC140000}"/>
    <cellStyle name="40% - Accent4 6 2 2 9 2" xfId="7123" xr:uid="{00000000-0005-0000-0000-0000FD140000}"/>
    <cellStyle name="40% - Accent4 6 2 3" xfId="1272" xr:uid="{00000000-0005-0000-0000-0000FE140000}"/>
    <cellStyle name="40% - Accent4 6 2 3 2" xfId="7125" xr:uid="{00000000-0005-0000-0000-0000FF140000}"/>
    <cellStyle name="40% - Accent4 6 2 3 2 2" xfId="7126" xr:uid="{00000000-0005-0000-0000-000000150000}"/>
    <cellStyle name="40% - Accent4 6 2 3 2 2 2" xfId="7127" xr:uid="{00000000-0005-0000-0000-000001150000}"/>
    <cellStyle name="40% - Accent4 6 2 3 2 2 2 2" xfId="7128" xr:uid="{00000000-0005-0000-0000-000002150000}"/>
    <cellStyle name="40% - Accent4 6 2 3 2 2 3" xfId="7129" xr:uid="{00000000-0005-0000-0000-000003150000}"/>
    <cellStyle name="40% - Accent4 6 2 3 2 3" xfId="7130" xr:uid="{00000000-0005-0000-0000-000004150000}"/>
    <cellStyle name="40% - Accent4 6 2 3 2 3 2" xfId="7131" xr:uid="{00000000-0005-0000-0000-000005150000}"/>
    <cellStyle name="40% - Accent4 6 2 3 2 4" xfId="7132" xr:uid="{00000000-0005-0000-0000-000006150000}"/>
    <cellStyle name="40% - Accent4 6 2 3 3" xfId="7133" xr:uid="{00000000-0005-0000-0000-000007150000}"/>
    <cellStyle name="40% - Accent4 6 2 3 3 2" xfId="7134" xr:uid="{00000000-0005-0000-0000-000008150000}"/>
    <cellStyle name="40% - Accent4 6 2 3 3 2 2" xfId="7135" xr:uid="{00000000-0005-0000-0000-000009150000}"/>
    <cellStyle name="40% - Accent4 6 2 3 3 2 2 2" xfId="7136" xr:uid="{00000000-0005-0000-0000-00000A150000}"/>
    <cellStyle name="40% - Accent4 6 2 3 3 2 3" xfId="7137" xr:uid="{00000000-0005-0000-0000-00000B150000}"/>
    <cellStyle name="40% - Accent4 6 2 3 3 3" xfId="7138" xr:uid="{00000000-0005-0000-0000-00000C150000}"/>
    <cellStyle name="40% - Accent4 6 2 3 3 3 2" xfId="7139" xr:uid="{00000000-0005-0000-0000-00000D150000}"/>
    <cellStyle name="40% - Accent4 6 2 3 3 4" xfId="7140" xr:uid="{00000000-0005-0000-0000-00000E150000}"/>
    <cellStyle name="40% - Accent4 6 2 3 4" xfId="7141" xr:uid="{00000000-0005-0000-0000-00000F150000}"/>
    <cellStyle name="40% - Accent4 6 2 3 4 2" xfId="7142" xr:uid="{00000000-0005-0000-0000-000010150000}"/>
    <cellStyle name="40% - Accent4 6 2 3 4 2 2" xfId="7143" xr:uid="{00000000-0005-0000-0000-000011150000}"/>
    <cellStyle name="40% - Accent4 6 2 3 4 3" xfId="7144" xr:uid="{00000000-0005-0000-0000-000012150000}"/>
    <cellStyle name="40% - Accent4 6 2 3 5" xfId="7145" xr:uid="{00000000-0005-0000-0000-000013150000}"/>
    <cellStyle name="40% - Accent4 6 2 3 5 2" xfId="7146" xr:uid="{00000000-0005-0000-0000-000014150000}"/>
    <cellStyle name="40% - Accent4 6 2 3 6" xfId="7147" xr:uid="{00000000-0005-0000-0000-000015150000}"/>
    <cellStyle name="40% - Accent4 6 2 3 7" xfId="7124" xr:uid="{00000000-0005-0000-0000-000016150000}"/>
    <cellStyle name="40% - Accent4 6 2 4" xfId="7148" xr:uid="{00000000-0005-0000-0000-000017150000}"/>
    <cellStyle name="40% - Accent4 6 2 4 2" xfId="7149" xr:uid="{00000000-0005-0000-0000-000018150000}"/>
    <cellStyle name="40% - Accent4 6 2 4 2 2" xfId="7150" xr:uid="{00000000-0005-0000-0000-000019150000}"/>
    <cellStyle name="40% - Accent4 6 2 4 2 2 2" xfId="7151" xr:uid="{00000000-0005-0000-0000-00001A150000}"/>
    <cellStyle name="40% - Accent4 6 2 4 2 2 2 2" xfId="7152" xr:uid="{00000000-0005-0000-0000-00001B150000}"/>
    <cellStyle name="40% - Accent4 6 2 4 2 2 3" xfId="7153" xr:uid="{00000000-0005-0000-0000-00001C150000}"/>
    <cellStyle name="40% - Accent4 6 2 4 2 3" xfId="7154" xr:uid="{00000000-0005-0000-0000-00001D150000}"/>
    <cellStyle name="40% - Accent4 6 2 4 2 3 2" xfId="7155" xr:uid="{00000000-0005-0000-0000-00001E150000}"/>
    <cellStyle name="40% - Accent4 6 2 4 2 4" xfId="7156" xr:uid="{00000000-0005-0000-0000-00001F150000}"/>
    <cellStyle name="40% - Accent4 6 2 4 3" xfId="7157" xr:uid="{00000000-0005-0000-0000-000020150000}"/>
    <cellStyle name="40% - Accent4 6 2 4 3 2" xfId="7158" xr:uid="{00000000-0005-0000-0000-000021150000}"/>
    <cellStyle name="40% - Accent4 6 2 4 3 2 2" xfId="7159" xr:uid="{00000000-0005-0000-0000-000022150000}"/>
    <cellStyle name="40% - Accent4 6 2 4 3 3" xfId="7160" xr:uid="{00000000-0005-0000-0000-000023150000}"/>
    <cellStyle name="40% - Accent4 6 2 4 4" xfId="7161" xr:uid="{00000000-0005-0000-0000-000024150000}"/>
    <cellStyle name="40% - Accent4 6 2 4 4 2" xfId="7162" xr:uid="{00000000-0005-0000-0000-000025150000}"/>
    <cellStyle name="40% - Accent4 6 2 4 5" xfId="7163" xr:uid="{00000000-0005-0000-0000-000026150000}"/>
    <cellStyle name="40% - Accent4 6 2 5" xfId="7164" xr:uid="{00000000-0005-0000-0000-000027150000}"/>
    <cellStyle name="40% - Accent4 6 2 5 2" xfId="7165" xr:uid="{00000000-0005-0000-0000-000028150000}"/>
    <cellStyle name="40% - Accent4 6 2 5 2 2" xfId="7166" xr:uid="{00000000-0005-0000-0000-000029150000}"/>
    <cellStyle name="40% - Accent4 6 2 5 2 2 2" xfId="7167" xr:uid="{00000000-0005-0000-0000-00002A150000}"/>
    <cellStyle name="40% - Accent4 6 2 5 2 2 2 2" xfId="7168" xr:uid="{00000000-0005-0000-0000-00002B150000}"/>
    <cellStyle name="40% - Accent4 6 2 5 2 2 3" xfId="7169" xr:uid="{00000000-0005-0000-0000-00002C150000}"/>
    <cellStyle name="40% - Accent4 6 2 5 2 3" xfId="7170" xr:uid="{00000000-0005-0000-0000-00002D150000}"/>
    <cellStyle name="40% - Accent4 6 2 5 2 3 2" xfId="7171" xr:uid="{00000000-0005-0000-0000-00002E150000}"/>
    <cellStyle name="40% - Accent4 6 2 5 2 4" xfId="7172" xr:uid="{00000000-0005-0000-0000-00002F150000}"/>
    <cellStyle name="40% - Accent4 6 2 5 3" xfId="7173" xr:uid="{00000000-0005-0000-0000-000030150000}"/>
    <cellStyle name="40% - Accent4 6 2 5 3 2" xfId="7174" xr:uid="{00000000-0005-0000-0000-000031150000}"/>
    <cellStyle name="40% - Accent4 6 2 5 3 2 2" xfId="7175" xr:uid="{00000000-0005-0000-0000-000032150000}"/>
    <cellStyle name="40% - Accent4 6 2 5 3 3" xfId="7176" xr:uid="{00000000-0005-0000-0000-000033150000}"/>
    <cellStyle name="40% - Accent4 6 2 5 4" xfId="7177" xr:uid="{00000000-0005-0000-0000-000034150000}"/>
    <cellStyle name="40% - Accent4 6 2 5 4 2" xfId="7178" xr:uid="{00000000-0005-0000-0000-000035150000}"/>
    <cellStyle name="40% - Accent4 6 2 5 5" xfId="7179" xr:uid="{00000000-0005-0000-0000-000036150000}"/>
    <cellStyle name="40% - Accent4 6 2 6" xfId="7180" xr:uid="{00000000-0005-0000-0000-000037150000}"/>
    <cellStyle name="40% - Accent4 6 2 6 2" xfId="7181" xr:uid="{00000000-0005-0000-0000-000038150000}"/>
    <cellStyle name="40% - Accent4 6 2 6 2 2" xfId="7182" xr:uid="{00000000-0005-0000-0000-000039150000}"/>
    <cellStyle name="40% - Accent4 6 2 6 2 2 2" xfId="7183" xr:uid="{00000000-0005-0000-0000-00003A150000}"/>
    <cellStyle name="40% - Accent4 6 2 6 2 3" xfId="7184" xr:uid="{00000000-0005-0000-0000-00003B150000}"/>
    <cellStyle name="40% - Accent4 6 2 6 3" xfId="7185" xr:uid="{00000000-0005-0000-0000-00003C150000}"/>
    <cellStyle name="40% - Accent4 6 2 6 3 2" xfId="7186" xr:uid="{00000000-0005-0000-0000-00003D150000}"/>
    <cellStyle name="40% - Accent4 6 2 6 4" xfId="7187" xr:uid="{00000000-0005-0000-0000-00003E150000}"/>
    <cellStyle name="40% - Accent4 6 2 7" xfId="7188" xr:uid="{00000000-0005-0000-0000-00003F150000}"/>
    <cellStyle name="40% - Accent4 6 2 7 2" xfId="7189" xr:uid="{00000000-0005-0000-0000-000040150000}"/>
    <cellStyle name="40% - Accent4 6 2 7 2 2" xfId="7190" xr:uid="{00000000-0005-0000-0000-000041150000}"/>
    <cellStyle name="40% - Accent4 6 2 7 2 2 2" xfId="7191" xr:uid="{00000000-0005-0000-0000-000042150000}"/>
    <cellStyle name="40% - Accent4 6 2 7 2 3" xfId="7192" xr:uid="{00000000-0005-0000-0000-000043150000}"/>
    <cellStyle name="40% - Accent4 6 2 7 3" xfId="7193" xr:uid="{00000000-0005-0000-0000-000044150000}"/>
    <cellStyle name="40% - Accent4 6 2 7 3 2" xfId="7194" xr:uid="{00000000-0005-0000-0000-000045150000}"/>
    <cellStyle name="40% - Accent4 6 2 7 4" xfId="7195" xr:uid="{00000000-0005-0000-0000-000046150000}"/>
    <cellStyle name="40% - Accent4 6 2 8" xfId="7196" xr:uid="{00000000-0005-0000-0000-000047150000}"/>
    <cellStyle name="40% - Accent4 6 2 8 2" xfId="7197" xr:uid="{00000000-0005-0000-0000-000048150000}"/>
    <cellStyle name="40% - Accent4 6 2 8 2 2" xfId="7198" xr:uid="{00000000-0005-0000-0000-000049150000}"/>
    <cellStyle name="40% - Accent4 6 2 8 2 2 2" xfId="7199" xr:uid="{00000000-0005-0000-0000-00004A150000}"/>
    <cellStyle name="40% - Accent4 6 2 8 2 3" xfId="7200" xr:uid="{00000000-0005-0000-0000-00004B150000}"/>
    <cellStyle name="40% - Accent4 6 2 8 3" xfId="7201" xr:uid="{00000000-0005-0000-0000-00004C150000}"/>
    <cellStyle name="40% - Accent4 6 2 8 3 2" xfId="7202" xr:uid="{00000000-0005-0000-0000-00004D150000}"/>
    <cellStyle name="40% - Accent4 6 2 8 4" xfId="7203" xr:uid="{00000000-0005-0000-0000-00004E150000}"/>
    <cellStyle name="40% - Accent4 6 2 9" xfId="7204" xr:uid="{00000000-0005-0000-0000-00004F150000}"/>
    <cellStyle name="40% - Accent4 6 2 9 2" xfId="7205" xr:uid="{00000000-0005-0000-0000-000050150000}"/>
    <cellStyle name="40% - Accent4 6 2 9 2 2" xfId="7206" xr:uid="{00000000-0005-0000-0000-000051150000}"/>
    <cellStyle name="40% - Accent4 6 2 9 3" xfId="7207" xr:uid="{00000000-0005-0000-0000-000052150000}"/>
    <cellStyle name="40% - Accent4 6 3" xfId="131" xr:uid="{00000000-0005-0000-0000-000053150000}"/>
    <cellStyle name="40% - Accent4 6 3 10" xfId="7209" xr:uid="{00000000-0005-0000-0000-000054150000}"/>
    <cellStyle name="40% - Accent4 6 3 10 2" xfId="7210" xr:uid="{00000000-0005-0000-0000-000055150000}"/>
    <cellStyle name="40% - Accent4 6 3 10 2 2" xfId="7211" xr:uid="{00000000-0005-0000-0000-000056150000}"/>
    <cellStyle name="40% - Accent4 6 3 10 3" xfId="7212" xr:uid="{00000000-0005-0000-0000-000057150000}"/>
    <cellStyle name="40% - Accent4 6 3 11" xfId="7213" xr:uid="{00000000-0005-0000-0000-000058150000}"/>
    <cellStyle name="40% - Accent4 6 3 11 2" xfId="7214" xr:uid="{00000000-0005-0000-0000-000059150000}"/>
    <cellStyle name="40% - Accent4 6 3 11 2 2" xfId="7215" xr:uid="{00000000-0005-0000-0000-00005A150000}"/>
    <cellStyle name="40% - Accent4 6 3 11 3" xfId="7216" xr:uid="{00000000-0005-0000-0000-00005B150000}"/>
    <cellStyle name="40% - Accent4 6 3 12" xfId="7217" xr:uid="{00000000-0005-0000-0000-00005C150000}"/>
    <cellStyle name="40% - Accent4 6 3 12 2" xfId="7218" xr:uid="{00000000-0005-0000-0000-00005D150000}"/>
    <cellStyle name="40% - Accent4 6 3 13" xfId="7219" xr:uid="{00000000-0005-0000-0000-00005E150000}"/>
    <cellStyle name="40% - Accent4 6 3 14" xfId="7220" xr:uid="{00000000-0005-0000-0000-00005F150000}"/>
    <cellStyle name="40% - Accent4 6 3 15" xfId="7208" xr:uid="{00000000-0005-0000-0000-000060150000}"/>
    <cellStyle name="40% - Accent4 6 3 2" xfId="840" xr:uid="{00000000-0005-0000-0000-000061150000}"/>
    <cellStyle name="40% - Accent4 6 3 2 10" xfId="7222" xr:uid="{00000000-0005-0000-0000-000062150000}"/>
    <cellStyle name="40% - Accent4 6 3 2 11" xfId="7221" xr:uid="{00000000-0005-0000-0000-000063150000}"/>
    <cellStyle name="40% - Accent4 6 3 2 2" xfId="1598" xr:uid="{00000000-0005-0000-0000-000064150000}"/>
    <cellStyle name="40% - Accent4 6 3 2 2 2" xfId="7224" xr:uid="{00000000-0005-0000-0000-000065150000}"/>
    <cellStyle name="40% - Accent4 6 3 2 2 2 2" xfId="7225" xr:uid="{00000000-0005-0000-0000-000066150000}"/>
    <cellStyle name="40% - Accent4 6 3 2 2 2 2 2" xfId="7226" xr:uid="{00000000-0005-0000-0000-000067150000}"/>
    <cellStyle name="40% - Accent4 6 3 2 2 2 2 2 2" xfId="7227" xr:uid="{00000000-0005-0000-0000-000068150000}"/>
    <cellStyle name="40% - Accent4 6 3 2 2 2 2 3" xfId="7228" xr:uid="{00000000-0005-0000-0000-000069150000}"/>
    <cellStyle name="40% - Accent4 6 3 2 2 2 3" xfId="7229" xr:uid="{00000000-0005-0000-0000-00006A150000}"/>
    <cellStyle name="40% - Accent4 6 3 2 2 2 3 2" xfId="7230" xr:uid="{00000000-0005-0000-0000-00006B150000}"/>
    <cellStyle name="40% - Accent4 6 3 2 2 2 4" xfId="7231" xr:uid="{00000000-0005-0000-0000-00006C150000}"/>
    <cellStyle name="40% - Accent4 6 3 2 2 3" xfId="7232" xr:uid="{00000000-0005-0000-0000-00006D150000}"/>
    <cellStyle name="40% - Accent4 6 3 2 2 3 2" xfId="7233" xr:uid="{00000000-0005-0000-0000-00006E150000}"/>
    <cellStyle name="40% - Accent4 6 3 2 2 3 2 2" xfId="7234" xr:uid="{00000000-0005-0000-0000-00006F150000}"/>
    <cellStyle name="40% - Accent4 6 3 2 2 3 2 2 2" xfId="7235" xr:uid="{00000000-0005-0000-0000-000070150000}"/>
    <cellStyle name="40% - Accent4 6 3 2 2 3 2 3" xfId="7236" xr:uid="{00000000-0005-0000-0000-000071150000}"/>
    <cellStyle name="40% - Accent4 6 3 2 2 3 3" xfId="7237" xr:uid="{00000000-0005-0000-0000-000072150000}"/>
    <cellStyle name="40% - Accent4 6 3 2 2 3 3 2" xfId="7238" xr:uid="{00000000-0005-0000-0000-000073150000}"/>
    <cellStyle name="40% - Accent4 6 3 2 2 3 4" xfId="7239" xr:uid="{00000000-0005-0000-0000-000074150000}"/>
    <cellStyle name="40% - Accent4 6 3 2 2 4" xfId="7240" xr:uid="{00000000-0005-0000-0000-000075150000}"/>
    <cellStyle name="40% - Accent4 6 3 2 2 4 2" xfId="7241" xr:uid="{00000000-0005-0000-0000-000076150000}"/>
    <cellStyle name="40% - Accent4 6 3 2 2 4 2 2" xfId="7242" xr:uid="{00000000-0005-0000-0000-000077150000}"/>
    <cellStyle name="40% - Accent4 6 3 2 2 4 3" xfId="7243" xr:uid="{00000000-0005-0000-0000-000078150000}"/>
    <cellStyle name="40% - Accent4 6 3 2 2 5" xfId="7244" xr:uid="{00000000-0005-0000-0000-000079150000}"/>
    <cellStyle name="40% - Accent4 6 3 2 2 5 2" xfId="7245" xr:uid="{00000000-0005-0000-0000-00007A150000}"/>
    <cellStyle name="40% - Accent4 6 3 2 2 6" xfId="7246" xr:uid="{00000000-0005-0000-0000-00007B150000}"/>
    <cellStyle name="40% - Accent4 6 3 2 2 7" xfId="7223" xr:uid="{00000000-0005-0000-0000-00007C150000}"/>
    <cellStyle name="40% - Accent4 6 3 2 3" xfId="7247" xr:uid="{00000000-0005-0000-0000-00007D150000}"/>
    <cellStyle name="40% - Accent4 6 3 2 3 2" xfId="7248" xr:uid="{00000000-0005-0000-0000-00007E150000}"/>
    <cellStyle name="40% - Accent4 6 3 2 3 2 2" xfId="7249" xr:uid="{00000000-0005-0000-0000-00007F150000}"/>
    <cellStyle name="40% - Accent4 6 3 2 3 2 2 2" xfId="7250" xr:uid="{00000000-0005-0000-0000-000080150000}"/>
    <cellStyle name="40% - Accent4 6 3 2 3 2 2 2 2" xfId="7251" xr:uid="{00000000-0005-0000-0000-000081150000}"/>
    <cellStyle name="40% - Accent4 6 3 2 3 2 2 3" xfId="7252" xr:uid="{00000000-0005-0000-0000-000082150000}"/>
    <cellStyle name="40% - Accent4 6 3 2 3 2 3" xfId="7253" xr:uid="{00000000-0005-0000-0000-000083150000}"/>
    <cellStyle name="40% - Accent4 6 3 2 3 2 3 2" xfId="7254" xr:uid="{00000000-0005-0000-0000-000084150000}"/>
    <cellStyle name="40% - Accent4 6 3 2 3 2 4" xfId="7255" xr:uid="{00000000-0005-0000-0000-000085150000}"/>
    <cellStyle name="40% - Accent4 6 3 2 3 3" xfId="7256" xr:uid="{00000000-0005-0000-0000-000086150000}"/>
    <cellStyle name="40% - Accent4 6 3 2 3 3 2" xfId="7257" xr:uid="{00000000-0005-0000-0000-000087150000}"/>
    <cellStyle name="40% - Accent4 6 3 2 3 3 2 2" xfId="7258" xr:uid="{00000000-0005-0000-0000-000088150000}"/>
    <cellStyle name="40% - Accent4 6 3 2 3 3 3" xfId="7259" xr:uid="{00000000-0005-0000-0000-000089150000}"/>
    <cellStyle name="40% - Accent4 6 3 2 3 4" xfId="7260" xr:uid="{00000000-0005-0000-0000-00008A150000}"/>
    <cellStyle name="40% - Accent4 6 3 2 3 4 2" xfId="7261" xr:uid="{00000000-0005-0000-0000-00008B150000}"/>
    <cellStyle name="40% - Accent4 6 3 2 3 5" xfId="7262" xr:uid="{00000000-0005-0000-0000-00008C150000}"/>
    <cellStyle name="40% - Accent4 6 3 2 4" xfId="7263" xr:uid="{00000000-0005-0000-0000-00008D150000}"/>
    <cellStyle name="40% - Accent4 6 3 2 4 2" xfId="7264" xr:uid="{00000000-0005-0000-0000-00008E150000}"/>
    <cellStyle name="40% - Accent4 6 3 2 4 2 2" xfId="7265" xr:uid="{00000000-0005-0000-0000-00008F150000}"/>
    <cellStyle name="40% - Accent4 6 3 2 4 2 2 2" xfId="7266" xr:uid="{00000000-0005-0000-0000-000090150000}"/>
    <cellStyle name="40% - Accent4 6 3 2 4 2 2 2 2" xfId="7267" xr:uid="{00000000-0005-0000-0000-000091150000}"/>
    <cellStyle name="40% - Accent4 6 3 2 4 2 2 3" xfId="7268" xr:uid="{00000000-0005-0000-0000-000092150000}"/>
    <cellStyle name="40% - Accent4 6 3 2 4 2 3" xfId="7269" xr:uid="{00000000-0005-0000-0000-000093150000}"/>
    <cellStyle name="40% - Accent4 6 3 2 4 2 3 2" xfId="7270" xr:uid="{00000000-0005-0000-0000-000094150000}"/>
    <cellStyle name="40% - Accent4 6 3 2 4 2 4" xfId="7271" xr:uid="{00000000-0005-0000-0000-000095150000}"/>
    <cellStyle name="40% - Accent4 6 3 2 4 3" xfId="7272" xr:uid="{00000000-0005-0000-0000-000096150000}"/>
    <cellStyle name="40% - Accent4 6 3 2 4 3 2" xfId="7273" xr:uid="{00000000-0005-0000-0000-000097150000}"/>
    <cellStyle name="40% - Accent4 6 3 2 4 3 2 2" xfId="7274" xr:uid="{00000000-0005-0000-0000-000098150000}"/>
    <cellStyle name="40% - Accent4 6 3 2 4 3 3" xfId="7275" xr:uid="{00000000-0005-0000-0000-000099150000}"/>
    <cellStyle name="40% - Accent4 6 3 2 4 4" xfId="7276" xr:uid="{00000000-0005-0000-0000-00009A150000}"/>
    <cellStyle name="40% - Accent4 6 3 2 4 4 2" xfId="7277" xr:uid="{00000000-0005-0000-0000-00009B150000}"/>
    <cellStyle name="40% - Accent4 6 3 2 4 5" xfId="7278" xr:uid="{00000000-0005-0000-0000-00009C150000}"/>
    <cellStyle name="40% - Accent4 6 3 2 5" xfId="7279" xr:uid="{00000000-0005-0000-0000-00009D150000}"/>
    <cellStyle name="40% - Accent4 6 3 2 5 2" xfId="7280" xr:uid="{00000000-0005-0000-0000-00009E150000}"/>
    <cellStyle name="40% - Accent4 6 3 2 5 2 2" xfId="7281" xr:uid="{00000000-0005-0000-0000-00009F150000}"/>
    <cellStyle name="40% - Accent4 6 3 2 5 2 2 2" xfId="7282" xr:uid="{00000000-0005-0000-0000-0000A0150000}"/>
    <cellStyle name="40% - Accent4 6 3 2 5 2 3" xfId="7283" xr:uid="{00000000-0005-0000-0000-0000A1150000}"/>
    <cellStyle name="40% - Accent4 6 3 2 5 3" xfId="7284" xr:uid="{00000000-0005-0000-0000-0000A2150000}"/>
    <cellStyle name="40% - Accent4 6 3 2 5 3 2" xfId="7285" xr:uid="{00000000-0005-0000-0000-0000A3150000}"/>
    <cellStyle name="40% - Accent4 6 3 2 5 4" xfId="7286" xr:uid="{00000000-0005-0000-0000-0000A4150000}"/>
    <cellStyle name="40% - Accent4 6 3 2 6" xfId="7287" xr:uid="{00000000-0005-0000-0000-0000A5150000}"/>
    <cellStyle name="40% - Accent4 6 3 2 6 2" xfId="7288" xr:uid="{00000000-0005-0000-0000-0000A6150000}"/>
    <cellStyle name="40% - Accent4 6 3 2 6 2 2" xfId="7289" xr:uid="{00000000-0005-0000-0000-0000A7150000}"/>
    <cellStyle name="40% - Accent4 6 3 2 6 2 2 2" xfId="7290" xr:uid="{00000000-0005-0000-0000-0000A8150000}"/>
    <cellStyle name="40% - Accent4 6 3 2 6 2 3" xfId="7291" xr:uid="{00000000-0005-0000-0000-0000A9150000}"/>
    <cellStyle name="40% - Accent4 6 3 2 6 3" xfId="7292" xr:uid="{00000000-0005-0000-0000-0000AA150000}"/>
    <cellStyle name="40% - Accent4 6 3 2 6 3 2" xfId="7293" xr:uid="{00000000-0005-0000-0000-0000AB150000}"/>
    <cellStyle name="40% - Accent4 6 3 2 6 4" xfId="7294" xr:uid="{00000000-0005-0000-0000-0000AC150000}"/>
    <cellStyle name="40% - Accent4 6 3 2 7" xfId="7295" xr:uid="{00000000-0005-0000-0000-0000AD150000}"/>
    <cellStyle name="40% - Accent4 6 3 2 7 2" xfId="7296" xr:uid="{00000000-0005-0000-0000-0000AE150000}"/>
    <cellStyle name="40% - Accent4 6 3 2 7 2 2" xfId="7297" xr:uid="{00000000-0005-0000-0000-0000AF150000}"/>
    <cellStyle name="40% - Accent4 6 3 2 7 2 2 2" xfId="7298" xr:uid="{00000000-0005-0000-0000-0000B0150000}"/>
    <cellStyle name="40% - Accent4 6 3 2 7 2 3" xfId="7299" xr:uid="{00000000-0005-0000-0000-0000B1150000}"/>
    <cellStyle name="40% - Accent4 6 3 2 7 3" xfId="7300" xr:uid="{00000000-0005-0000-0000-0000B2150000}"/>
    <cellStyle name="40% - Accent4 6 3 2 7 3 2" xfId="7301" xr:uid="{00000000-0005-0000-0000-0000B3150000}"/>
    <cellStyle name="40% - Accent4 6 3 2 7 4" xfId="7302" xr:uid="{00000000-0005-0000-0000-0000B4150000}"/>
    <cellStyle name="40% - Accent4 6 3 2 8" xfId="7303" xr:uid="{00000000-0005-0000-0000-0000B5150000}"/>
    <cellStyle name="40% - Accent4 6 3 2 8 2" xfId="7304" xr:uid="{00000000-0005-0000-0000-0000B6150000}"/>
    <cellStyle name="40% - Accent4 6 3 2 8 2 2" xfId="7305" xr:uid="{00000000-0005-0000-0000-0000B7150000}"/>
    <cellStyle name="40% - Accent4 6 3 2 8 3" xfId="7306" xr:uid="{00000000-0005-0000-0000-0000B8150000}"/>
    <cellStyle name="40% - Accent4 6 3 2 9" xfId="7307" xr:uid="{00000000-0005-0000-0000-0000B9150000}"/>
    <cellStyle name="40% - Accent4 6 3 2 9 2" xfId="7308" xr:uid="{00000000-0005-0000-0000-0000BA150000}"/>
    <cellStyle name="40% - Accent4 6 3 3" xfId="1273" xr:uid="{00000000-0005-0000-0000-0000BB150000}"/>
    <cellStyle name="40% - Accent4 6 3 3 2" xfId="7310" xr:uid="{00000000-0005-0000-0000-0000BC150000}"/>
    <cellStyle name="40% - Accent4 6 3 3 2 2" xfId="7311" xr:uid="{00000000-0005-0000-0000-0000BD150000}"/>
    <cellStyle name="40% - Accent4 6 3 3 2 2 2" xfId="7312" xr:uid="{00000000-0005-0000-0000-0000BE150000}"/>
    <cellStyle name="40% - Accent4 6 3 3 2 2 2 2" xfId="7313" xr:uid="{00000000-0005-0000-0000-0000BF150000}"/>
    <cellStyle name="40% - Accent4 6 3 3 2 2 3" xfId="7314" xr:uid="{00000000-0005-0000-0000-0000C0150000}"/>
    <cellStyle name="40% - Accent4 6 3 3 2 3" xfId="7315" xr:uid="{00000000-0005-0000-0000-0000C1150000}"/>
    <cellStyle name="40% - Accent4 6 3 3 2 3 2" xfId="7316" xr:uid="{00000000-0005-0000-0000-0000C2150000}"/>
    <cellStyle name="40% - Accent4 6 3 3 2 4" xfId="7317" xr:uid="{00000000-0005-0000-0000-0000C3150000}"/>
    <cellStyle name="40% - Accent4 6 3 3 3" xfId="7318" xr:uid="{00000000-0005-0000-0000-0000C4150000}"/>
    <cellStyle name="40% - Accent4 6 3 3 3 2" xfId="7319" xr:uid="{00000000-0005-0000-0000-0000C5150000}"/>
    <cellStyle name="40% - Accent4 6 3 3 3 2 2" xfId="7320" xr:uid="{00000000-0005-0000-0000-0000C6150000}"/>
    <cellStyle name="40% - Accent4 6 3 3 3 2 2 2" xfId="7321" xr:uid="{00000000-0005-0000-0000-0000C7150000}"/>
    <cellStyle name="40% - Accent4 6 3 3 3 2 3" xfId="7322" xr:uid="{00000000-0005-0000-0000-0000C8150000}"/>
    <cellStyle name="40% - Accent4 6 3 3 3 3" xfId="7323" xr:uid="{00000000-0005-0000-0000-0000C9150000}"/>
    <cellStyle name="40% - Accent4 6 3 3 3 3 2" xfId="7324" xr:uid="{00000000-0005-0000-0000-0000CA150000}"/>
    <cellStyle name="40% - Accent4 6 3 3 3 4" xfId="7325" xr:uid="{00000000-0005-0000-0000-0000CB150000}"/>
    <cellStyle name="40% - Accent4 6 3 3 4" xfId="7326" xr:uid="{00000000-0005-0000-0000-0000CC150000}"/>
    <cellStyle name="40% - Accent4 6 3 3 4 2" xfId="7327" xr:uid="{00000000-0005-0000-0000-0000CD150000}"/>
    <cellStyle name="40% - Accent4 6 3 3 4 2 2" xfId="7328" xr:uid="{00000000-0005-0000-0000-0000CE150000}"/>
    <cellStyle name="40% - Accent4 6 3 3 4 3" xfId="7329" xr:uid="{00000000-0005-0000-0000-0000CF150000}"/>
    <cellStyle name="40% - Accent4 6 3 3 5" xfId="7330" xr:uid="{00000000-0005-0000-0000-0000D0150000}"/>
    <cellStyle name="40% - Accent4 6 3 3 5 2" xfId="7331" xr:uid="{00000000-0005-0000-0000-0000D1150000}"/>
    <cellStyle name="40% - Accent4 6 3 3 6" xfId="7332" xr:uid="{00000000-0005-0000-0000-0000D2150000}"/>
    <cellStyle name="40% - Accent4 6 3 3 7" xfId="7309" xr:uid="{00000000-0005-0000-0000-0000D3150000}"/>
    <cellStyle name="40% - Accent4 6 3 4" xfId="7333" xr:uid="{00000000-0005-0000-0000-0000D4150000}"/>
    <cellStyle name="40% - Accent4 6 3 4 2" xfId="7334" xr:uid="{00000000-0005-0000-0000-0000D5150000}"/>
    <cellStyle name="40% - Accent4 6 3 4 2 2" xfId="7335" xr:uid="{00000000-0005-0000-0000-0000D6150000}"/>
    <cellStyle name="40% - Accent4 6 3 4 2 2 2" xfId="7336" xr:uid="{00000000-0005-0000-0000-0000D7150000}"/>
    <cellStyle name="40% - Accent4 6 3 4 2 2 2 2" xfId="7337" xr:uid="{00000000-0005-0000-0000-0000D8150000}"/>
    <cellStyle name="40% - Accent4 6 3 4 2 2 3" xfId="7338" xr:uid="{00000000-0005-0000-0000-0000D9150000}"/>
    <cellStyle name="40% - Accent4 6 3 4 2 3" xfId="7339" xr:uid="{00000000-0005-0000-0000-0000DA150000}"/>
    <cellStyle name="40% - Accent4 6 3 4 2 3 2" xfId="7340" xr:uid="{00000000-0005-0000-0000-0000DB150000}"/>
    <cellStyle name="40% - Accent4 6 3 4 2 4" xfId="7341" xr:uid="{00000000-0005-0000-0000-0000DC150000}"/>
    <cellStyle name="40% - Accent4 6 3 4 3" xfId="7342" xr:uid="{00000000-0005-0000-0000-0000DD150000}"/>
    <cellStyle name="40% - Accent4 6 3 4 3 2" xfId="7343" xr:uid="{00000000-0005-0000-0000-0000DE150000}"/>
    <cellStyle name="40% - Accent4 6 3 4 3 2 2" xfId="7344" xr:uid="{00000000-0005-0000-0000-0000DF150000}"/>
    <cellStyle name="40% - Accent4 6 3 4 3 3" xfId="7345" xr:uid="{00000000-0005-0000-0000-0000E0150000}"/>
    <cellStyle name="40% - Accent4 6 3 4 4" xfId="7346" xr:uid="{00000000-0005-0000-0000-0000E1150000}"/>
    <cellStyle name="40% - Accent4 6 3 4 4 2" xfId="7347" xr:uid="{00000000-0005-0000-0000-0000E2150000}"/>
    <cellStyle name="40% - Accent4 6 3 4 5" xfId="7348" xr:uid="{00000000-0005-0000-0000-0000E3150000}"/>
    <cellStyle name="40% - Accent4 6 3 5" xfId="7349" xr:uid="{00000000-0005-0000-0000-0000E4150000}"/>
    <cellStyle name="40% - Accent4 6 3 5 2" xfId="7350" xr:uid="{00000000-0005-0000-0000-0000E5150000}"/>
    <cellStyle name="40% - Accent4 6 3 5 2 2" xfId="7351" xr:uid="{00000000-0005-0000-0000-0000E6150000}"/>
    <cellStyle name="40% - Accent4 6 3 5 2 2 2" xfId="7352" xr:uid="{00000000-0005-0000-0000-0000E7150000}"/>
    <cellStyle name="40% - Accent4 6 3 5 2 2 2 2" xfId="7353" xr:uid="{00000000-0005-0000-0000-0000E8150000}"/>
    <cellStyle name="40% - Accent4 6 3 5 2 2 3" xfId="7354" xr:uid="{00000000-0005-0000-0000-0000E9150000}"/>
    <cellStyle name="40% - Accent4 6 3 5 2 3" xfId="7355" xr:uid="{00000000-0005-0000-0000-0000EA150000}"/>
    <cellStyle name="40% - Accent4 6 3 5 2 3 2" xfId="7356" xr:uid="{00000000-0005-0000-0000-0000EB150000}"/>
    <cellStyle name="40% - Accent4 6 3 5 2 4" xfId="7357" xr:uid="{00000000-0005-0000-0000-0000EC150000}"/>
    <cellStyle name="40% - Accent4 6 3 5 3" xfId="7358" xr:uid="{00000000-0005-0000-0000-0000ED150000}"/>
    <cellStyle name="40% - Accent4 6 3 5 3 2" xfId="7359" xr:uid="{00000000-0005-0000-0000-0000EE150000}"/>
    <cellStyle name="40% - Accent4 6 3 5 3 2 2" xfId="7360" xr:uid="{00000000-0005-0000-0000-0000EF150000}"/>
    <cellStyle name="40% - Accent4 6 3 5 3 3" xfId="7361" xr:uid="{00000000-0005-0000-0000-0000F0150000}"/>
    <cellStyle name="40% - Accent4 6 3 5 4" xfId="7362" xr:uid="{00000000-0005-0000-0000-0000F1150000}"/>
    <cellStyle name="40% - Accent4 6 3 5 4 2" xfId="7363" xr:uid="{00000000-0005-0000-0000-0000F2150000}"/>
    <cellStyle name="40% - Accent4 6 3 5 5" xfId="7364" xr:uid="{00000000-0005-0000-0000-0000F3150000}"/>
    <cellStyle name="40% - Accent4 6 3 6" xfId="7365" xr:uid="{00000000-0005-0000-0000-0000F4150000}"/>
    <cellStyle name="40% - Accent4 6 3 6 2" xfId="7366" xr:uid="{00000000-0005-0000-0000-0000F5150000}"/>
    <cellStyle name="40% - Accent4 6 3 6 2 2" xfId="7367" xr:uid="{00000000-0005-0000-0000-0000F6150000}"/>
    <cellStyle name="40% - Accent4 6 3 6 2 2 2" xfId="7368" xr:uid="{00000000-0005-0000-0000-0000F7150000}"/>
    <cellStyle name="40% - Accent4 6 3 6 2 3" xfId="7369" xr:uid="{00000000-0005-0000-0000-0000F8150000}"/>
    <cellStyle name="40% - Accent4 6 3 6 3" xfId="7370" xr:uid="{00000000-0005-0000-0000-0000F9150000}"/>
    <cellStyle name="40% - Accent4 6 3 6 3 2" xfId="7371" xr:uid="{00000000-0005-0000-0000-0000FA150000}"/>
    <cellStyle name="40% - Accent4 6 3 6 4" xfId="7372" xr:uid="{00000000-0005-0000-0000-0000FB150000}"/>
    <cellStyle name="40% - Accent4 6 3 7" xfId="7373" xr:uid="{00000000-0005-0000-0000-0000FC150000}"/>
    <cellStyle name="40% - Accent4 6 3 7 2" xfId="7374" xr:uid="{00000000-0005-0000-0000-0000FD150000}"/>
    <cellStyle name="40% - Accent4 6 3 7 2 2" xfId="7375" xr:uid="{00000000-0005-0000-0000-0000FE150000}"/>
    <cellStyle name="40% - Accent4 6 3 7 2 2 2" xfId="7376" xr:uid="{00000000-0005-0000-0000-0000FF150000}"/>
    <cellStyle name="40% - Accent4 6 3 7 2 3" xfId="7377" xr:uid="{00000000-0005-0000-0000-000000160000}"/>
    <cellStyle name="40% - Accent4 6 3 7 3" xfId="7378" xr:uid="{00000000-0005-0000-0000-000001160000}"/>
    <cellStyle name="40% - Accent4 6 3 7 3 2" xfId="7379" xr:uid="{00000000-0005-0000-0000-000002160000}"/>
    <cellStyle name="40% - Accent4 6 3 7 4" xfId="7380" xr:uid="{00000000-0005-0000-0000-000003160000}"/>
    <cellStyle name="40% - Accent4 6 3 8" xfId="7381" xr:uid="{00000000-0005-0000-0000-000004160000}"/>
    <cellStyle name="40% - Accent4 6 3 8 2" xfId="7382" xr:uid="{00000000-0005-0000-0000-000005160000}"/>
    <cellStyle name="40% - Accent4 6 3 8 2 2" xfId="7383" xr:uid="{00000000-0005-0000-0000-000006160000}"/>
    <cellStyle name="40% - Accent4 6 3 8 2 2 2" xfId="7384" xr:uid="{00000000-0005-0000-0000-000007160000}"/>
    <cellStyle name="40% - Accent4 6 3 8 2 3" xfId="7385" xr:uid="{00000000-0005-0000-0000-000008160000}"/>
    <cellStyle name="40% - Accent4 6 3 8 3" xfId="7386" xr:uid="{00000000-0005-0000-0000-000009160000}"/>
    <cellStyle name="40% - Accent4 6 3 8 3 2" xfId="7387" xr:uid="{00000000-0005-0000-0000-00000A160000}"/>
    <cellStyle name="40% - Accent4 6 3 8 4" xfId="7388" xr:uid="{00000000-0005-0000-0000-00000B160000}"/>
    <cellStyle name="40% - Accent4 6 3 9" xfId="7389" xr:uid="{00000000-0005-0000-0000-00000C160000}"/>
    <cellStyle name="40% - Accent4 6 3 9 2" xfId="7390" xr:uid="{00000000-0005-0000-0000-00000D160000}"/>
    <cellStyle name="40% - Accent4 6 3 9 2 2" xfId="7391" xr:uid="{00000000-0005-0000-0000-00000E160000}"/>
    <cellStyle name="40% - Accent4 6 3 9 3" xfId="7392" xr:uid="{00000000-0005-0000-0000-00000F160000}"/>
    <cellStyle name="40% - Accent4 6 4" xfId="838" xr:uid="{00000000-0005-0000-0000-000010160000}"/>
    <cellStyle name="40% - Accent4 6 4 10" xfId="7394" xr:uid="{00000000-0005-0000-0000-000011160000}"/>
    <cellStyle name="40% - Accent4 6 4 11" xfId="7393" xr:uid="{00000000-0005-0000-0000-000012160000}"/>
    <cellStyle name="40% - Accent4 6 4 2" xfId="1596" xr:uid="{00000000-0005-0000-0000-000013160000}"/>
    <cellStyle name="40% - Accent4 6 4 2 2" xfId="7396" xr:uid="{00000000-0005-0000-0000-000014160000}"/>
    <cellStyle name="40% - Accent4 6 4 2 2 2" xfId="7397" xr:uid="{00000000-0005-0000-0000-000015160000}"/>
    <cellStyle name="40% - Accent4 6 4 2 2 2 2" xfId="7398" xr:uid="{00000000-0005-0000-0000-000016160000}"/>
    <cellStyle name="40% - Accent4 6 4 2 2 2 2 2" xfId="7399" xr:uid="{00000000-0005-0000-0000-000017160000}"/>
    <cellStyle name="40% - Accent4 6 4 2 2 2 3" xfId="7400" xr:uid="{00000000-0005-0000-0000-000018160000}"/>
    <cellStyle name="40% - Accent4 6 4 2 2 3" xfId="7401" xr:uid="{00000000-0005-0000-0000-000019160000}"/>
    <cellStyle name="40% - Accent4 6 4 2 2 3 2" xfId="7402" xr:uid="{00000000-0005-0000-0000-00001A160000}"/>
    <cellStyle name="40% - Accent4 6 4 2 2 4" xfId="7403" xr:uid="{00000000-0005-0000-0000-00001B160000}"/>
    <cellStyle name="40% - Accent4 6 4 2 3" xfId="7404" xr:uid="{00000000-0005-0000-0000-00001C160000}"/>
    <cellStyle name="40% - Accent4 6 4 2 3 2" xfId="7405" xr:uid="{00000000-0005-0000-0000-00001D160000}"/>
    <cellStyle name="40% - Accent4 6 4 2 3 2 2" xfId="7406" xr:uid="{00000000-0005-0000-0000-00001E160000}"/>
    <cellStyle name="40% - Accent4 6 4 2 3 2 2 2" xfId="7407" xr:uid="{00000000-0005-0000-0000-00001F160000}"/>
    <cellStyle name="40% - Accent4 6 4 2 3 2 3" xfId="7408" xr:uid="{00000000-0005-0000-0000-000020160000}"/>
    <cellStyle name="40% - Accent4 6 4 2 3 3" xfId="7409" xr:uid="{00000000-0005-0000-0000-000021160000}"/>
    <cellStyle name="40% - Accent4 6 4 2 3 3 2" xfId="7410" xr:uid="{00000000-0005-0000-0000-000022160000}"/>
    <cellStyle name="40% - Accent4 6 4 2 3 4" xfId="7411" xr:uid="{00000000-0005-0000-0000-000023160000}"/>
    <cellStyle name="40% - Accent4 6 4 2 4" xfId="7412" xr:uid="{00000000-0005-0000-0000-000024160000}"/>
    <cellStyle name="40% - Accent4 6 4 2 4 2" xfId="7413" xr:uid="{00000000-0005-0000-0000-000025160000}"/>
    <cellStyle name="40% - Accent4 6 4 2 4 2 2" xfId="7414" xr:uid="{00000000-0005-0000-0000-000026160000}"/>
    <cellStyle name="40% - Accent4 6 4 2 4 3" xfId="7415" xr:uid="{00000000-0005-0000-0000-000027160000}"/>
    <cellStyle name="40% - Accent4 6 4 2 5" xfId="7416" xr:uid="{00000000-0005-0000-0000-000028160000}"/>
    <cellStyle name="40% - Accent4 6 4 2 5 2" xfId="7417" xr:uid="{00000000-0005-0000-0000-000029160000}"/>
    <cellStyle name="40% - Accent4 6 4 2 6" xfId="7418" xr:uid="{00000000-0005-0000-0000-00002A160000}"/>
    <cellStyle name="40% - Accent4 6 4 2 7" xfId="7395" xr:uid="{00000000-0005-0000-0000-00002B160000}"/>
    <cellStyle name="40% - Accent4 6 4 3" xfId="7419" xr:uid="{00000000-0005-0000-0000-00002C160000}"/>
    <cellStyle name="40% - Accent4 6 4 3 2" xfId="7420" xr:uid="{00000000-0005-0000-0000-00002D160000}"/>
    <cellStyle name="40% - Accent4 6 4 3 2 2" xfId="7421" xr:uid="{00000000-0005-0000-0000-00002E160000}"/>
    <cellStyle name="40% - Accent4 6 4 3 2 2 2" xfId="7422" xr:uid="{00000000-0005-0000-0000-00002F160000}"/>
    <cellStyle name="40% - Accent4 6 4 3 2 2 2 2" xfId="7423" xr:uid="{00000000-0005-0000-0000-000030160000}"/>
    <cellStyle name="40% - Accent4 6 4 3 2 2 3" xfId="7424" xr:uid="{00000000-0005-0000-0000-000031160000}"/>
    <cellStyle name="40% - Accent4 6 4 3 2 3" xfId="7425" xr:uid="{00000000-0005-0000-0000-000032160000}"/>
    <cellStyle name="40% - Accent4 6 4 3 2 3 2" xfId="7426" xr:uid="{00000000-0005-0000-0000-000033160000}"/>
    <cellStyle name="40% - Accent4 6 4 3 2 4" xfId="7427" xr:uid="{00000000-0005-0000-0000-000034160000}"/>
    <cellStyle name="40% - Accent4 6 4 3 3" xfId="7428" xr:uid="{00000000-0005-0000-0000-000035160000}"/>
    <cellStyle name="40% - Accent4 6 4 3 3 2" xfId="7429" xr:uid="{00000000-0005-0000-0000-000036160000}"/>
    <cellStyle name="40% - Accent4 6 4 3 3 2 2" xfId="7430" xr:uid="{00000000-0005-0000-0000-000037160000}"/>
    <cellStyle name="40% - Accent4 6 4 3 3 3" xfId="7431" xr:uid="{00000000-0005-0000-0000-000038160000}"/>
    <cellStyle name="40% - Accent4 6 4 3 4" xfId="7432" xr:uid="{00000000-0005-0000-0000-000039160000}"/>
    <cellStyle name="40% - Accent4 6 4 3 4 2" xfId="7433" xr:uid="{00000000-0005-0000-0000-00003A160000}"/>
    <cellStyle name="40% - Accent4 6 4 3 5" xfId="7434" xr:uid="{00000000-0005-0000-0000-00003B160000}"/>
    <cellStyle name="40% - Accent4 6 4 4" xfId="7435" xr:uid="{00000000-0005-0000-0000-00003C160000}"/>
    <cellStyle name="40% - Accent4 6 4 4 2" xfId="7436" xr:uid="{00000000-0005-0000-0000-00003D160000}"/>
    <cellStyle name="40% - Accent4 6 4 4 2 2" xfId="7437" xr:uid="{00000000-0005-0000-0000-00003E160000}"/>
    <cellStyle name="40% - Accent4 6 4 4 2 2 2" xfId="7438" xr:uid="{00000000-0005-0000-0000-00003F160000}"/>
    <cellStyle name="40% - Accent4 6 4 4 2 2 2 2" xfId="7439" xr:uid="{00000000-0005-0000-0000-000040160000}"/>
    <cellStyle name="40% - Accent4 6 4 4 2 2 3" xfId="7440" xr:uid="{00000000-0005-0000-0000-000041160000}"/>
    <cellStyle name="40% - Accent4 6 4 4 2 3" xfId="7441" xr:uid="{00000000-0005-0000-0000-000042160000}"/>
    <cellStyle name="40% - Accent4 6 4 4 2 3 2" xfId="7442" xr:uid="{00000000-0005-0000-0000-000043160000}"/>
    <cellStyle name="40% - Accent4 6 4 4 2 4" xfId="7443" xr:uid="{00000000-0005-0000-0000-000044160000}"/>
    <cellStyle name="40% - Accent4 6 4 4 3" xfId="7444" xr:uid="{00000000-0005-0000-0000-000045160000}"/>
    <cellStyle name="40% - Accent4 6 4 4 3 2" xfId="7445" xr:uid="{00000000-0005-0000-0000-000046160000}"/>
    <cellStyle name="40% - Accent4 6 4 4 3 2 2" xfId="7446" xr:uid="{00000000-0005-0000-0000-000047160000}"/>
    <cellStyle name="40% - Accent4 6 4 4 3 3" xfId="7447" xr:uid="{00000000-0005-0000-0000-000048160000}"/>
    <cellStyle name="40% - Accent4 6 4 4 4" xfId="7448" xr:uid="{00000000-0005-0000-0000-000049160000}"/>
    <cellStyle name="40% - Accent4 6 4 4 4 2" xfId="7449" xr:uid="{00000000-0005-0000-0000-00004A160000}"/>
    <cellStyle name="40% - Accent4 6 4 4 5" xfId="7450" xr:uid="{00000000-0005-0000-0000-00004B160000}"/>
    <cellStyle name="40% - Accent4 6 4 5" xfId="7451" xr:uid="{00000000-0005-0000-0000-00004C160000}"/>
    <cellStyle name="40% - Accent4 6 4 5 2" xfId="7452" xr:uid="{00000000-0005-0000-0000-00004D160000}"/>
    <cellStyle name="40% - Accent4 6 4 5 2 2" xfId="7453" xr:uid="{00000000-0005-0000-0000-00004E160000}"/>
    <cellStyle name="40% - Accent4 6 4 5 2 2 2" xfId="7454" xr:uid="{00000000-0005-0000-0000-00004F160000}"/>
    <cellStyle name="40% - Accent4 6 4 5 2 3" xfId="7455" xr:uid="{00000000-0005-0000-0000-000050160000}"/>
    <cellStyle name="40% - Accent4 6 4 5 3" xfId="7456" xr:uid="{00000000-0005-0000-0000-000051160000}"/>
    <cellStyle name="40% - Accent4 6 4 5 3 2" xfId="7457" xr:uid="{00000000-0005-0000-0000-000052160000}"/>
    <cellStyle name="40% - Accent4 6 4 5 4" xfId="7458" xr:uid="{00000000-0005-0000-0000-000053160000}"/>
    <cellStyle name="40% - Accent4 6 4 6" xfId="7459" xr:uid="{00000000-0005-0000-0000-000054160000}"/>
    <cellStyle name="40% - Accent4 6 4 6 2" xfId="7460" xr:uid="{00000000-0005-0000-0000-000055160000}"/>
    <cellStyle name="40% - Accent4 6 4 6 2 2" xfId="7461" xr:uid="{00000000-0005-0000-0000-000056160000}"/>
    <cellStyle name="40% - Accent4 6 4 6 2 2 2" xfId="7462" xr:uid="{00000000-0005-0000-0000-000057160000}"/>
    <cellStyle name="40% - Accent4 6 4 6 2 3" xfId="7463" xr:uid="{00000000-0005-0000-0000-000058160000}"/>
    <cellStyle name="40% - Accent4 6 4 6 3" xfId="7464" xr:uid="{00000000-0005-0000-0000-000059160000}"/>
    <cellStyle name="40% - Accent4 6 4 6 3 2" xfId="7465" xr:uid="{00000000-0005-0000-0000-00005A160000}"/>
    <cellStyle name="40% - Accent4 6 4 6 4" xfId="7466" xr:uid="{00000000-0005-0000-0000-00005B160000}"/>
    <cellStyle name="40% - Accent4 6 4 7" xfId="7467" xr:uid="{00000000-0005-0000-0000-00005C160000}"/>
    <cellStyle name="40% - Accent4 6 4 7 2" xfId="7468" xr:uid="{00000000-0005-0000-0000-00005D160000}"/>
    <cellStyle name="40% - Accent4 6 4 7 2 2" xfId="7469" xr:uid="{00000000-0005-0000-0000-00005E160000}"/>
    <cellStyle name="40% - Accent4 6 4 7 2 2 2" xfId="7470" xr:uid="{00000000-0005-0000-0000-00005F160000}"/>
    <cellStyle name="40% - Accent4 6 4 7 2 3" xfId="7471" xr:uid="{00000000-0005-0000-0000-000060160000}"/>
    <cellStyle name="40% - Accent4 6 4 7 3" xfId="7472" xr:uid="{00000000-0005-0000-0000-000061160000}"/>
    <cellStyle name="40% - Accent4 6 4 7 3 2" xfId="7473" xr:uid="{00000000-0005-0000-0000-000062160000}"/>
    <cellStyle name="40% - Accent4 6 4 7 4" xfId="7474" xr:uid="{00000000-0005-0000-0000-000063160000}"/>
    <cellStyle name="40% - Accent4 6 4 8" xfId="7475" xr:uid="{00000000-0005-0000-0000-000064160000}"/>
    <cellStyle name="40% - Accent4 6 4 8 2" xfId="7476" xr:uid="{00000000-0005-0000-0000-000065160000}"/>
    <cellStyle name="40% - Accent4 6 4 8 2 2" xfId="7477" xr:uid="{00000000-0005-0000-0000-000066160000}"/>
    <cellStyle name="40% - Accent4 6 4 8 3" xfId="7478" xr:uid="{00000000-0005-0000-0000-000067160000}"/>
    <cellStyle name="40% - Accent4 6 4 9" xfId="7479" xr:uid="{00000000-0005-0000-0000-000068160000}"/>
    <cellStyle name="40% - Accent4 6 4 9 2" xfId="7480" xr:uid="{00000000-0005-0000-0000-000069160000}"/>
    <cellStyle name="40% - Accent4 6 5" xfId="1271" xr:uid="{00000000-0005-0000-0000-00006A160000}"/>
    <cellStyle name="40% - Accent4 6 5 2" xfId="7482" xr:uid="{00000000-0005-0000-0000-00006B160000}"/>
    <cellStyle name="40% - Accent4 6 5 2 2" xfId="7483" xr:uid="{00000000-0005-0000-0000-00006C160000}"/>
    <cellStyle name="40% - Accent4 6 5 2 2 2" xfId="7484" xr:uid="{00000000-0005-0000-0000-00006D160000}"/>
    <cellStyle name="40% - Accent4 6 5 2 2 2 2" xfId="7485" xr:uid="{00000000-0005-0000-0000-00006E160000}"/>
    <cellStyle name="40% - Accent4 6 5 2 2 3" xfId="7486" xr:uid="{00000000-0005-0000-0000-00006F160000}"/>
    <cellStyle name="40% - Accent4 6 5 2 3" xfId="7487" xr:uid="{00000000-0005-0000-0000-000070160000}"/>
    <cellStyle name="40% - Accent4 6 5 2 3 2" xfId="7488" xr:uid="{00000000-0005-0000-0000-000071160000}"/>
    <cellStyle name="40% - Accent4 6 5 2 4" xfId="7489" xr:uid="{00000000-0005-0000-0000-000072160000}"/>
    <cellStyle name="40% - Accent4 6 5 3" xfId="7490" xr:uid="{00000000-0005-0000-0000-000073160000}"/>
    <cellStyle name="40% - Accent4 6 5 3 2" xfId="7491" xr:uid="{00000000-0005-0000-0000-000074160000}"/>
    <cellStyle name="40% - Accent4 6 5 3 2 2" xfId="7492" xr:uid="{00000000-0005-0000-0000-000075160000}"/>
    <cellStyle name="40% - Accent4 6 5 3 2 2 2" xfId="7493" xr:uid="{00000000-0005-0000-0000-000076160000}"/>
    <cellStyle name="40% - Accent4 6 5 3 2 3" xfId="7494" xr:uid="{00000000-0005-0000-0000-000077160000}"/>
    <cellStyle name="40% - Accent4 6 5 3 3" xfId="7495" xr:uid="{00000000-0005-0000-0000-000078160000}"/>
    <cellStyle name="40% - Accent4 6 5 3 3 2" xfId="7496" xr:uid="{00000000-0005-0000-0000-000079160000}"/>
    <cellStyle name="40% - Accent4 6 5 3 4" xfId="7497" xr:uid="{00000000-0005-0000-0000-00007A160000}"/>
    <cellStyle name="40% - Accent4 6 5 4" xfId="7498" xr:uid="{00000000-0005-0000-0000-00007B160000}"/>
    <cellStyle name="40% - Accent4 6 5 4 2" xfId="7499" xr:uid="{00000000-0005-0000-0000-00007C160000}"/>
    <cellStyle name="40% - Accent4 6 5 4 2 2" xfId="7500" xr:uid="{00000000-0005-0000-0000-00007D160000}"/>
    <cellStyle name="40% - Accent4 6 5 4 3" xfId="7501" xr:uid="{00000000-0005-0000-0000-00007E160000}"/>
    <cellStyle name="40% - Accent4 6 5 5" xfId="7502" xr:uid="{00000000-0005-0000-0000-00007F160000}"/>
    <cellStyle name="40% - Accent4 6 5 5 2" xfId="7503" xr:uid="{00000000-0005-0000-0000-000080160000}"/>
    <cellStyle name="40% - Accent4 6 5 6" xfId="7504" xr:uid="{00000000-0005-0000-0000-000081160000}"/>
    <cellStyle name="40% - Accent4 6 5 7" xfId="7481" xr:uid="{00000000-0005-0000-0000-000082160000}"/>
    <cellStyle name="40% - Accent4 6 6" xfId="7505" xr:uid="{00000000-0005-0000-0000-000083160000}"/>
    <cellStyle name="40% - Accent4 6 6 2" xfId="7506" xr:uid="{00000000-0005-0000-0000-000084160000}"/>
    <cellStyle name="40% - Accent4 6 6 2 2" xfId="7507" xr:uid="{00000000-0005-0000-0000-000085160000}"/>
    <cellStyle name="40% - Accent4 6 6 2 2 2" xfId="7508" xr:uid="{00000000-0005-0000-0000-000086160000}"/>
    <cellStyle name="40% - Accent4 6 6 2 2 2 2" xfId="7509" xr:uid="{00000000-0005-0000-0000-000087160000}"/>
    <cellStyle name="40% - Accent4 6 6 2 2 3" xfId="7510" xr:uid="{00000000-0005-0000-0000-000088160000}"/>
    <cellStyle name="40% - Accent4 6 6 2 3" xfId="7511" xr:uid="{00000000-0005-0000-0000-000089160000}"/>
    <cellStyle name="40% - Accent4 6 6 2 3 2" xfId="7512" xr:uid="{00000000-0005-0000-0000-00008A160000}"/>
    <cellStyle name="40% - Accent4 6 6 2 4" xfId="7513" xr:uid="{00000000-0005-0000-0000-00008B160000}"/>
    <cellStyle name="40% - Accent4 6 6 3" xfId="7514" xr:uid="{00000000-0005-0000-0000-00008C160000}"/>
    <cellStyle name="40% - Accent4 6 6 3 2" xfId="7515" xr:uid="{00000000-0005-0000-0000-00008D160000}"/>
    <cellStyle name="40% - Accent4 6 6 3 2 2" xfId="7516" xr:uid="{00000000-0005-0000-0000-00008E160000}"/>
    <cellStyle name="40% - Accent4 6 6 3 3" xfId="7517" xr:uid="{00000000-0005-0000-0000-00008F160000}"/>
    <cellStyle name="40% - Accent4 6 6 4" xfId="7518" xr:uid="{00000000-0005-0000-0000-000090160000}"/>
    <cellStyle name="40% - Accent4 6 6 4 2" xfId="7519" xr:uid="{00000000-0005-0000-0000-000091160000}"/>
    <cellStyle name="40% - Accent4 6 6 5" xfId="7520" xr:uid="{00000000-0005-0000-0000-000092160000}"/>
    <cellStyle name="40% - Accent4 6 7" xfId="7521" xr:uid="{00000000-0005-0000-0000-000093160000}"/>
    <cellStyle name="40% - Accent4 6 7 2" xfId="7522" xr:uid="{00000000-0005-0000-0000-000094160000}"/>
    <cellStyle name="40% - Accent4 6 7 2 2" xfId="7523" xr:uid="{00000000-0005-0000-0000-000095160000}"/>
    <cellStyle name="40% - Accent4 6 7 2 2 2" xfId="7524" xr:uid="{00000000-0005-0000-0000-000096160000}"/>
    <cellStyle name="40% - Accent4 6 7 2 2 2 2" xfId="7525" xr:uid="{00000000-0005-0000-0000-000097160000}"/>
    <cellStyle name="40% - Accent4 6 7 2 2 3" xfId="7526" xr:uid="{00000000-0005-0000-0000-000098160000}"/>
    <cellStyle name="40% - Accent4 6 7 2 3" xfId="7527" xr:uid="{00000000-0005-0000-0000-000099160000}"/>
    <cellStyle name="40% - Accent4 6 7 2 3 2" xfId="7528" xr:uid="{00000000-0005-0000-0000-00009A160000}"/>
    <cellStyle name="40% - Accent4 6 7 2 4" xfId="7529" xr:uid="{00000000-0005-0000-0000-00009B160000}"/>
    <cellStyle name="40% - Accent4 6 7 3" xfId="7530" xr:uid="{00000000-0005-0000-0000-00009C160000}"/>
    <cellStyle name="40% - Accent4 6 7 3 2" xfId="7531" xr:uid="{00000000-0005-0000-0000-00009D160000}"/>
    <cellStyle name="40% - Accent4 6 7 3 2 2" xfId="7532" xr:uid="{00000000-0005-0000-0000-00009E160000}"/>
    <cellStyle name="40% - Accent4 6 7 3 3" xfId="7533" xr:uid="{00000000-0005-0000-0000-00009F160000}"/>
    <cellStyle name="40% - Accent4 6 7 4" xfId="7534" xr:uid="{00000000-0005-0000-0000-0000A0160000}"/>
    <cellStyle name="40% - Accent4 6 7 4 2" xfId="7535" xr:uid="{00000000-0005-0000-0000-0000A1160000}"/>
    <cellStyle name="40% - Accent4 6 7 5" xfId="7536" xr:uid="{00000000-0005-0000-0000-0000A2160000}"/>
    <cellStyle name="40% - Accent4 6 8" xfId="7537" xr:uid="{00000000-0005-0000-0000-0000A3160000}"/>
    <cellStyle name="40% - Accent4 6 8 2" xfId="7538" xr:uid="{00000000-0005-0000-0000-0000A4160000}"/>
    <cellStyle name="40% - Accent4 6 8 2 2" xfId="7539" xr:uid="{00000000-0005-0000-0000-0000A5160000}"/>
    <cellStyle name="40% - Accent4 6 8 2 2 2" xfId="7540" xr:uid="{00000000-0005-0000-0000-0000A6160000}"/>
    <cellStyle name="40% - Accent4 6 8 2 3" xfId="7541" xr:uid="{00000000-0005-0000-0000-0000A7160000}"/>
    <cellStyle name="40% - Accent4 6 8 3" xfId="7542" xr:uid="{00000000-0005-0000-0000-0000A8160000}"/>
    <cellStyle name="40% - Accent4 6 8 3 2" xfId="7543" xr:uid="{00000000-0005-0000-0000-0000A9160000}"/>
    <cellStyle name="40% - Accent4 6 8 4" xfId="7544" xr:uid="{00000000-0005-0000-0000-0000AA160000}"/>
    <cellStyle name="40% - Accent4 6 9" xfId="7545" xr:uid="{00000000-0005-0000-0000-0000AB160000}"/>
    <cellStyle name="40% - Accent4 6 9 2" xfId="7546" xr:uid="{00000000-0005-0000-0000-0000AC160000}"/>
    <cellStyle name="40% - Accent4 6 9 2 2" xfId="7547" xr:uid="{00000000-0005-0000-0000-0000AD160000}"/>
    <cellStyle name="40% - Accent4 6 9 2 2 2" xfId="7548" xr:uid="{00000000-0005-0000-0000-0000AE160000}"/>
    <cellStyle name="40% - Accent4 6 9 2 3" xfId="7549" xr:uid="{00000000-0005-0000-0000-0000AF160000}"/>
    <cellStyle name="40% - Accent4 6 9 3" xfId="7550" xr:uid="{00000000-0005-0000-0000-0000B0160000}"/>
    <cellStyle name="40% - Accent4 6 9 3 2" xfId="7551" xr:uid="{00000000-0005-0000-0000-0000B1160000}"/>
    <cellStyle name="40% - Accent4 6 9 4" xfId="7552" xr:uid="{00000000-0005-0000-0000-0000B2160000}"/>
    <cellStyle name="40% - Accent4 7" xfId="132" xr:uid="{00000000-0005-0000-0000-0000B3160000}"/>
    <cellStyle name="40% - Accent4 8" xfId="133" xr:uid="{00000000-0005-0000-0000-0000B4160000}"/>
    <cellStyle name="40% - Accent4 8 2" xfId="7553" xr:uid="{00000000-0005-0000-0000-0000B5160000}"/>
    <cellStyle name="40% - Accent4 8 2 2" xfId="7554" xr:uid="{00000000-0005-0000-0000-0000B6160000}"/>
    <cellStyle name="40% - Accent4 8 3" xfId="7555" xr:uid="{00000000-0005-0000-0000-0000B7160000}"/>
    <cellStyle name="40% - Accent4 9" xfId="7556" xr:uid="{00000000-0005-0000-0000-0000B8160000}"/>
    <cellStyle name="40% - Accent4 9 2" xfId="7557" xr:uid="{00000000-0005-0000-0000-0000B9160000}"/>
    <cellStyle name="40% - Accent4 9 2 2" xfId="7558" xr:uid="{00000000-0005-0000-0000-0000BA160000}"/>
    <cellStyle name="40% - Accent4 9 3" xfId="7559" xr:uid="{00000000-0005-0000-0000-0000BB160000}"/>
    <cellStyle name="40% - Accent5 10" xfId="7560" xr:uid="{00000000-0005-0000-0000-0000BC160000}"/>
    <cellStyle name="40% - Accent5 2" xfId="134" xr:uid="{00000000-0005-0000-0000-0000BD160000}"/>
    <cellStyle name="40% - Accent5 2 2" xfId="135" xr:uid="{00000000-0005-0000-0000-0000BE160000}"/>
    <cellStyle name="40% - Accent5 3" xfId="136" xr:uid="{00000000-0005-0000-0000-0000BF160000}"/>
    <cellStyle name="40% - Accent5 4" xfId="137" xr:uid="{00000000-0005-0000-0000-0000C0160000}"/>
    <cellStyle name="40% - Accent5 5" xfId="138" xr:uid="{00000000-0005-0000-0000-0000C1160000}"/>
    <cellStyle name="40% - Accent5 6" xfId="139" xr:uid="{00000000-0005-0000-0000-0000C2160000}"/>
    <cellStyle name="40% - Accent5 6 10" xfId="7562" xr:uid="{00000000-0005-0000-0000-0000C3160000}"/>
    <cellStyle name="40% - Accent5 6 10 2" xfId="7563" xr:uid="{00000000-0005-0000-0000-0000C4160000}"/>
    <cellStyle name="40% - Accent5 6 10 2 2" xfId="7564" xr:uid="{00000000-0005-0000-0000-0000C5160000}"/>
    <cellStyle name="40% - Accent5 6 10 2 2 2" xfId="7565" xr:uid="{00000000-0005-0000-0000-0000C6160000}"/>
    <cellStyle name="40% - Accent5 6 10 2 3" xfId="7566" xr:uid="{00000000-0005-0000-0000-0000C7160000}"/>
    <cellStyle name="40% - Accent5 6 10 3" xfId="7567" xr:uid="{00000000-0005-0000-0000-0000C8160000}"/>
    <cellStyle name="40% - Accent5 6 10 3 2" xfId="7568" xr:uid="{00000000-0005-0000-0000-0000C9160000}"/>
    <cellStyle name="40% - Accent5 6 10 4" xfId="7569" xr:uid="{00000000-0005-0000-0000-0000CA160000}"/>
    <cellStyle name="40% - Accent5 6 11" xfId="7570" xr:uid="{00000000-0005-0000-0000-0000CB160000}"/>
    <cellStyle name="40% - Accent5 6 11 2" xfId="7571" xr:uid="{00000000-0005-0000-0000-0000CC160000}"/>
    <cellStyle name="40% - Accent5 6 11 2 2" xfId="7572" xr:uid="{00000000-0005-0000-0000-0000CD160000}"/>
    <cellStyle name="40% - Accent5 6 11 3" xfId="7573" xr:uid="{00000000-0005-0000-0000-0000CE160000}"/>
    <cellStyle name="40% - Accent5 6 12" xfId="7574" xr:uid="{00000000-0005-0000-0000-0000CF160000}"/>
    <cellStyle name="40% - Accent5 6 12 2" xfId="7575" xr:uid="{00000000-0005-0000-0000-0000D0160000}"/>
    <cellStyle name="40% - Accent5 6 12 2 2" xfId="7576" xr:uid="{00000000-0005-0000-0000-0000D1160000}"/>
    <cellStyle name="40% - Accent5 6 12 3" xfId="7577" xr:uid="{00000000-0005-0000-0000-0000D2160000}"/>
    <cellStyle name="40% - Accent5 6 13" xfId="7578" xr:uid="{00000000-0005-0000-0000-0000D3160000}"/>
    <cellStyle name="40% - Accent5 6 13 2" xfId="7579" xr:uid="{00000000-0005-0000-0000-0000D4160000}"/>
    <cellStyle name="40% - Accent5 6 13 2 2" xfId="7580" xr:uid="{00000000-0005-0000-0000-0000D5160000}"/>
    <cellStyle name="40% - Accent5 6 13 3" xfId="7581" xr:uid="{00000000-0005-0000-0000-0000D6160000}"/>
    <cellStyle name="40% - Accent5 6 14" xfId="7582" xr:uid="{00000000-0005-0000-0000-0000D7160000}"/>
    <cellStyle name="40% - Accent5 6 14 2" xfId="7583" xr:uid="{00000000-0005-0000-0000-0000D8160000}"/>
    <cellStyle name="40% - Accent5 6 15" xfId="7584" xr:uid="{00000000-0005-0000-0000-0000D9160000}"/>
    <cellStyle name="40% - Accent5 6 16" xfId="7585" xr:uid="{00000000-0005-0000-0000-0000DA160000}"/>
    <cellStyle name="40% - Accent5 6 17" xfId="7561" xr:uid="{00000000-0005-0000-0000-0000DB160000}"/>
    <cellStyle name="40% - Accent5 6 2" xfId="140" xr:uid="{00000000-0005-0000-0000-0000DC160000}"/>
    <cellStyle name="40% - Accent5 6 2 10" xfId="7587" xr:uid="{00000000-0005-0000-0000-0000DD160000}"/>
    <cellStyle name="40% - Accent5 6 2 10 2" xfId="7588" xr:uid="{00000000-0005-0000-0000-0000DE160000}"/>
    <cellStyle name="40% - Accent5 6 2 10 2 2" xfId="7589" xr:uid="{00000000-0005-0000-0000-0000DF160000}"/>
    <cellStyle name="40% - Accent5 6 2 10 3" xfId="7590" xr:uid="{00000000-0005-0000-0000-0000E0160000}"/>
    <cellStyle name="40% - Accent5 6 2 11" xfId="7591" xr:uid="{00000000-0005-0000-0000-0000E1160000}"/>
    <cellStyle name="40% - Accent5 6 2 11 2" xfId="7592" xr:uid="{00000000-0005-0000-0000-0000E2160000}"/>
    <cellStyle name="40% - Accent5 6 2 11 2 2" xfId="7593" xr:uid="{00000000-0005-0000-0000-0000E3160000}"/>
    <cellStyle name="40% - Accent5 6 2 11 3" xfId="7594" xr:uid="{00000000-0005-0000-0000-0000E4160000}"/>
    <cellStyle name="40% - Accent5 6 2 12" xfId="7595" xr:uid="{00000000-0005-0000-0000-0000E5160000}"/>
    <cellStyle name="40% - Accent5 6 2 12 2" xfId="7596" xr:uid="{00000000-0005-0000-0000-0000E6160000}"/>
    <cellStyle name="40% - Accent5 6 2 13" xfId="7597" xr:uid="{00000000-0005-0000-0000-0000E7160000}"/>
    <cellStyle name="40% - Accent5 6 2 14" xfId="7598" xr:uid="{00000000-0005-0000-0000-0000E8160000}"/>
    <cellStyle name="40% - Accent5 6 2 15" xfId="7586" xr:uid="{00000000-0005-0000-0000-0000E9160000}"/>
    <cellStyle name="40% - Accent5 6 2 2" xfId="842" xr:uid="{00000000-0005-0000-0000-0000EA160000}"/>
    <cellStyle name="40% - Accent5 6 2 2 10" xfId="7600" xr:uid="{00000000-0005-0000-0000-0000EB160000}"/>
    <cellStyle name="40% - Accent5 6 2 2 11" xfId="7599" xr:uid="{00000000-0005-0000-0000-0000EC160000}"/>
    <cellStyle name="40% - Accent5 6 2 2 2" xfId="1600" xr:uid="{00000000-0005-0000-0000-0000ED160000}"/>
    <cellStyle name="40% - Accent5 6 2 2 2 2" xfId="7602" xr:uid="{00000000-0005-0000-0000-0000EE160000}"/>
    <cellStyle name="40% - Accent5 6 2 2 2 2 2" xfId="7603" xr:uid="{00000000-0005-0000-0000-0000EF160000}"/>
    <cellStyle name="40% - Accent5 6 2 2 2 2 2 2" xfId="7604" xr:uid="{00000000-0005-0000-0000-0000F0160000}"/>
    <cellStyle name="40% - Accent5 6 2 2 2 2 2 2 2" xfId="7605" xr:uid="{00000000-0005-0000-0000-0000F1160000}"/>
    <cellStyle name="40% - Accent5 6 2 2 2 2 2 3" xfId="7606" xr:uid="{00000000-0005-0000-0000-0000F2160000}"/>
    <cellStyle name="40% - Accent5 6 2 2 2 2 3" xfId="7607" xr:uid="{00000000-0005-0000-0000-0000F3160000}"/>
    <cellStyle name="40% - Accent5 6 2 2 2 2 3 2" xfId="7608" xr:uid="{00000000-0005-0000-0000-0000F4160000}"/>
    <cellStyle name="40% - Accent5 6 2 2 2 2 4" xfId="7609" xr:uid="{00000000-0005-0000-0000-0000F5160000}"/>
    <cellStyle name="40% - Accent5 6 2 2 2 3" xfId="7610" xr:uid="{00000000-0005-0000-0000-0000F6160000}"/>
    <cellStyle name="40% - Accent5 6 2 2 2 3 2" xfId="7611" xr:uid="{00000000-0005-0000-0000-0000F7160000}"/>
    <cellStyle name="40% - Accent5 6 2 2 2 3 2 2" xfId="7612" xr:uid="{00000000-0005-0000-0000-0000F8160000}"/>
    <cellStyle name="40% - Accent5 6 2 2 2 3 2 2 2" xfId="7613" xr:uid="{00000000-0005-0000-0000-0000F9160000}"/>
    <cellStyle name="40% - Accent5 6 2 2 2 3 2 3" xfId="7614" xr:uid="{00000000-0005-0000-0000-0000FA160000}"/>
    <cellStyle name="40% - Accent5 6 2 2 2 3 3" xfId="7615" xr:uid="{00000000-0005-0000-0000-0000FB160000}"/>
    <cellStyle name="40% - Accent5 6 2 2 2 3 3 2" xfId="7616" xr:uid="{00000000-0005-0000-0000-0000FC160000}"/>
    <cellStyle name="40% - Accent5 6 2 2 2 3 4" xfId="7617" xr:uid="{00000000-0005-0000-0000-0000FD160000}"/>
    <cellStyle name="40% - Accent5 6 2 2 2 4" xfId="7618" xr:uid="{00000000-0005-0000-0000-0000FE160000}"/>
    <cellStyle name="40% - Accent5 6 2 2 2 4 2" xfId="7619" xr:uid="{00000000-0005-0000-0000-0000FF160000}"/>
    <cellStyle name="40% - Accent5 6 2 2 2 4 2 2" xfId="7620" xr:uid="{00000000-0005-0000-0000-000000170000}"/>
    <cellStyle name="40% - Accent5 6 2 2 2 4 3" xfId="7621" xr:uid="{00000000-0005-0000-0000-000001170000}"/>
    <cellStyle name="40% - Accent5 6 2 2 2 5" xfId="7622" xr:uid="{00000000-0005-0000-0000-000002170000}"/>
    <cellStyle name="40% - Accent5 6 2 2 2 5 2" xfId="7623" xr:uid="{00000000-0005-0000-0000-000003170000}"/>
    <cellStyle name="40% - Accent5 6 2 2 2 6" xfId="7624" xr:uid="{00000000-0005-0000-0000-000004170000}"/>
    <cellStyle name="40% - Accent5 6 2 2 2 7" xfId="7601" xr:uid="{00000000-0005-0000-0000-000005170000}"/>
    <cellStyle name="40% - Accent5 6 2 2 3" xfId="7625" xr:uid="{00000000-0005-0000-0000-000006170000}"/>
    <cellStyle name="40% - Accent5 6 2 2 3 2" xfId="7626" xr:uid="{00000000-0005-0000-0000-000007170000}"/>
    <cellStyle name="40% - Accent5 6 2 2 3 2 2" xfId="7627" xr:uid="{00000000-0005-0000-0000-000008170000}"/>
    <cellStyle name="40% - Accent5 6 2 2 3 2 2 2" xfId="7628" xr:uid="{00000000-0005-0000-0000-000009170000}"/>
    <cellStyle name="40% - Accent5 6 2 2 3 2 2 2 2" xfId="7629" xr:uid="{00000000-0005-0000-0000-00000A170000}"/>
    <cellStyle name="40% - Accent5 6 2 2 3 2 2 3" xfId="7630" xr:uid="{00000000-0005-0000-0000-00000B170000}"/>
    <cellStyle name="40% - Accent5 6 2 2 3 2 3" xfId="7631" xr:uid="{00000000-0005-0000-0000-00000C170000}"/>
    <cellStyle name="40% - Accent5 6 2 2 3 2 3 2" xfId="7632" xr:uid="{00000000-0005-0000-0000-00000D170000}"/>
    <cellStyle name="40% - Accent5 6 2 2 3 2 4" xfId="7633" xr:uid="{00000000-0005-0000-0000-00000E170000}"/>
    <cellStyle name="40% - Accent5 6 2 2 3 3" xfId="7634" xr:uid="{00000000-0005-0000-0000-00000F170000}"/>
    <cellStyle name="40% - Accent5 6 2 2 3 3 2" xfId="7635" xr:uid="{00000000-0005-0000-0000-000010170000}"/>
    <cellStyle name="40% - Accent5 6 2 2 3 3 2 2" xfId="7636" xr:uid="{00000000-0005-0000-0000-000011170000}"/>
    <cellStyle name="40% - Accent5 6 2 2 3 3 3" xfId="7637" xr:uid="{00000000-0005-0000-0000-000012170000}"/>
    <cellStyle name="40% - Accent5 6 2 2 3 4" xfId="7638" xr:uid="{00000000-0005-0000-0000-000013170000}"/>
    <cellStyle name="40% - Accent5 6 2 2 3 4 2" xfId="7639" xr:uid="{00000000-0005-0000-0000-000014170000}"/>
    <cellStyle name="40% - Accent5 6 2 2 3 5" xfId="7640" xr:uid="{00000000-0005-0000-0000-000015170000}"/>
    <cellStyle name="40% - Accent5 6 2 2 4" xfId="7641" xr:uid="{00000000-0005-0000-0000-000016170000}"/>
    <cellStyle name="40% - Accent5 6 2 2 4 2" xfId="7642" xr:uid="{00000000-0005-0000-0000-000017170000}"/>
    <cellStyle name="40% - Accent5 6 2 2 4 2 2" xfId="7643" xr:uid="{00000000-0005-0000-0000-000018170000}"/>
    <cellStyle name="40% - Accent5 6 2 2 4 2 2 2" xfId="7644" xr:uid="{00000000-0005-0000-0000-000019170000}"/>
    <cellStyle name="40% - Accent5 6 2 2 4 2 2 2 2" xfId="7645" xr:uid="{00000000-0005-0000-0000-00001A170000}"/>
    <cellStyle name="40% - Accent5 6 2 2 4 2 2 3" xfId="7646" xr:uid="{00000000-0005-0000-0000-00001B170000}"/>
    <cellStyle name="40% - Accent5 6 2 2 4 2 3" xfId="7647" xr:uid="{00000000-0005-0000-0000-00001C170000}"/>
    <cellStyle name="40% - Accent5 6 2 2 4 2 3 2" xfId="7648" xr:uid="{00000000-0005-0000-0000-00001D170000}"/>
    <cellStyle name="40% - Accent5 6 2 2 4 2 4" xfId="7649" xr:uid="{00000000-0005-0000-0000-00001E170000}"/>
    <cellStyle name="40% - Accent5 6 2 2 4 3" xfId="7650" xr:uid="{00000000-0005-0000-0000-00001F170000}"/>
    <cellStyle name="40% - Accent5 6 2 2 4 3 2" xfId="7651" xr:uid="{00000000-0005-0000-0000-000020170000}"/>
    <cellStyle name="40% - Accent5 6 2 2 4 3 2 2" xfId="7652" xr:uid="{00000000-0005-0000-0000-000021170000}"/>
    <cellStyle name="40% - Accent5 6 2 2 4 3 3" xfId="7653" xr:uid="{00000000-0005-0000-0000-000022170000}"/>
    <cellStyle name="40% - Accent5 6 2 2 4 4" xfId="7654" xr:uid="{00000000-0005-0000-0000-000023170000}"/>
    <cellStyle name="40% - Accent5 6 2 2 4 4 2" xfId="7655" xr:uid="{00000000-0005-0000-0000-000024170000}"/>
    <cellStyle name="40% - Accent5 6 2 2 4 5" xfId="7656" xr:uid="{00000000-0005-0000-0000-000025170000}"/>
    <cellStyle name="40% - Accent5 6 2 2 5" xfId="7657" xr:uid="{00000000-0005-0000-0000-000026170000}"/>
    <cellStyle name="40% - Accent5 6 2 2 5 2" xfId="7658" xr:uid="{00000000-0005-0000-0000-000027170000}"/>
    <cellStyle name="40% - Accent5 6 2 2 5 2 2" xfId="7659" xr:uid="{00000000-0005-0000-0000-000028170000}"/>
    <cellStyle name="40% - Accent5 6 2 2 5 2 2 2" xfId="7660" xr:uid="{00000000-0005-0000-0000-000029170000}"/>
    <cellStyle name="40% - Accent5 6 2 2 5 2 3" xfId="7661" xr:uid="{00000000-0005-0000-0000-00002A170000}"/>
    <cellStyle name="40% - Accent5 6 2 2 5 3" xfId="7662" xr:uid="{00000000-0005-0000-0000-00002B170000}"/>
    <cellStyle name="40% - Accent5 6 2 2 5 3 2" xfId="7663" xr:uid="{00000000-0005-0000-0000-00002C170000}"/>
    <cellStyle name="40% - Accent5 6 2 2 5 4" xfId="7664" xr:uid="{00000000-0005-0000-0000-00002D170000}"/>
    <cellStyle name="40% - Accent5 6 2 2 6" xfId="7665" xr:uid="{00000000-0005-0000-0000-00002E170000}"/>
    <cellStyle name="40% - Accent5 6 2 2 6 2" xfId="7666" xr:uid="{00000000-0005-0000-0000-00002F170000}"/>
    <cellStyle name="40% - Accent5 6 2 2 6 2 2" xfId="7667" xr:uid="{00000000-0005-0000-0000-000030170000}"/>
    <cellStyle name="40% - Accent5 6 2 2 6 2 2 2" xfId="7668" xr:uid="{00000000-0005-0000-0000-000031170000}"/>
    <cellStyle name="40% - Accent5 6 2 2 6 2 3" xfId="7669" xr:uid="{00000000-0005-0000-0000-000032170000}"/>
    <cellStyle name="40% - Accent5 6 2 2 6 3" xfId="7670" xr:uid="{00000000-0005-0000-0000-000033170000}"/>
    <cellStyle name="40% - Accent5 6 2 2 6 3 2" xfId="7671" xr:uid="{00000000-0005-0000-0000-000034170000}"/>
    <cellStyle name="40% - Accent5 6 2 2 6 4" xfId="7672" xr:uid="{00000000-0005-0000-0000-000035170000}"/>
    <cellStyle name="40% - Accent5 6 2 2 7" xfId="7673" xr:uid="{00000000-0005-0000-0000-000036170000}"/>
    <cellStyle name="40% - Accent5 6 2 2 7 2" xfId="7674" xr:uid="{00000000-0005-0000-0000-000037170000}"/>
    <cellStyle name="40% - Accent5 6 2 2 7 2 2" xfId="7675" xr:uid="{00000000-0005-0000-0000-000038170000}"/>
    <cellStyle name="40% - Accent5 6 2 2 7 2 2 2" xfId="7676" xr:uid="{00000000-0005-0000-0000-000039170000}"/>
    <cellStyle name="40% - Accent5 6 2 2 7 2 3" xfId="7677" xr:uid="{00000000-0005-0000-0000-00003A170000}"/>
    <cellStyle name="40% - Accent5 6 2 2 7 3" xfId="7678" xr:uid="{00000000-0005-0000-0000-00003B170000}"/>
    <cellStyle name="40% - Accent5 6 2 2 7 3 2" xfId="7679" xr:uid="{00000000-0005-0000-0000-00003C170000}"/>
    <cellStyle name="40% - Accent5 6 2 2 7 4" xfId="7680" xr:uid="{00000000-0005-0000-0000-00003D170000}"/>
    <cellStyle name="40% - Accent5 6 2 2 8" xfId="7681" xr:uid="{00000000-0005-0000-0000-00003E170000}"/>
    <cellStyle name="40% - Accent5 6 2 2 8 2" xfId="7682" xr:uid="{00000000-0005-0000-0000-00003F170000}"/>
    <cellStyle name="40% - Accent5 6 2 2 8 2 2" xfId="7683" xr:uid="{00000000-0005-0000-0000-000040170000}"/>
    <cellStyle name="40% - Accent5 6 2 2 8 3" xfId="7684" xr:uid="{00000000-0005-0000-0000-000041170000}"/>
    <cellStyle name="40% - Accent5 6 2 2 9" xfId="7685" xr:uid="{00000000-0005-0000-0000-000042170000}"/>
    <cellStyle name="40% - Accent5 6 2 2 9 2" xfId="7686" xr:uid="{00000000-0005-0000-0000-000043170000}"/>
    <cellStyle name="40% - Accent5 6 2 3" xfId="1275" xr:uid="{00000000-0005-0000-0000-000044170000}"/>
    <cellStyle name="40% - Accent5 6 2 3 2" xfId="7688" xr:uid="{00000000-0005-0000-0000-000045170000}"/>
    <cellStyle name="40% - Accent5 6 2 3 2 2" xfId="7689" xr:uid="{00000000-0005-0000-0000-000046170000}"/>
    <cellStyle name="40% - Accent5 6 2 3 2 2 2" xfId="7690" xr:uid="{00000000-0005-0000-0000-000047170000}"/>
    <cellStyle name="40% - Accent5 6 2 3 2 2 2 2" xfId="7691" xr:uid="{00000000-0005-0000-0000-000048170000}"/>
    <cellStyle name="40% - Accent5 6 2 3 2 2 3" xfId="7692" xr:uid="{00000000-0005-0000-0000-000049170000}"/>
    <cellStyle name="40% - Accent5 6 2 3 2 3" xfId="7693" xr:uid="{00000000-0005-0000-0000-00004A170000}"/>
    <cellStyle name="40% - Accent5 6 2 3 2 3 2" xfId="7694" xr:uid="{00000000-0005-0000-0000-00004B170000}"/>
    <cellStyle name="40% - Accent5 6 2 3 2 4" xfId="7695" xr:uid="{00000000-0005-0000-0000-00004C170000}"/>
    <cellStyle name="40% - Accent5 6 2 3 3" xfId="7696" xr:uid="{00000000-0005-0000-0000-00004D170000}"/>
    <cellStyle name="40% - Accent5 6 2 3 3 2" xfId="7697" xr:uid="{00000000-0005-0000-0000-00004E170000}"/>
    <cellStyle name="40% - Accent5 6 2 3 3 2 2" xfId="7698" xr:uid="{00000000-0005-0000-0000-00004F170000}"/>
    <cellStyle name="40% - Accent5 6 2 3 3 2 2 2" xfId="7699" xr:uid="{00000000-0005-0000-0000-000050170000}"/>
    <cellStyle name="40% - Accent5 6 2 3 3 2 3" xfId="7700" xr:uid="{00000000-0005-0000-0000-000051170000}"/>
    <cellStyle name="40% - Accent5 6 2 3 3 3" xfId="7701" xr:uid="{00000000-0005-0000-0000-000052170000}"/>
    <cellStyle name="40% - Accent5 6 2 3 3 3 2" xfId="7702" xr:uid="{00000000-0005-0000-0000-000053170000}"/>
    <cellStyle name="40% - Accent5 6 2 3 3 4" xfId="7703" xr:uid="{00000000-0005-0000-0000-000054170000}"/>
    <cellStyle name="40% - Accent5 6 2 3 4" xfId="7704" xr:uid="{00000000-0005-0000-0000-000055170000}"/>
    <cellStyle name="40% - Accent5 6 2 3 4 2" xfId="7705" xr:uid="{00000000-0005-0000-0000-000056170000}"/>
    <cellStyle name="40% - Accent5 6 2 3 4 2 2" xfId="7706" xr:uid="{00000000-0005-0000-0000-000057170000}"/>
    <cellStyle name="40% - Accent5 6 2 3 4 3" xfId="7707" xr:uid="{00000000-0005-0000-0000-000058170000}"/>
    <cellStyle name="40% - Accent5 6 2 3 5" xfId="7708" xr:uid="{00000000-0005-0000-0000-000059170000}"/>
    <cellStyle name="40% - Accent5 6 2 3 5 2" xfId="7709" xr:uid="{00000000-0005-0000-0000-00005A170000}"/>
    <cellStyle name="40% - Accent5 6 2 3 6" xfId="7710" xr:uid="{00000000-0005-0000-0000-00005B170000}"/>
    <cellStyle name="40% - Accent5 6 2 3 7" xfId="7687" xr:uid="{00000000-0005-0000-0000-00005C170000}"/>
    <cellStyle name="40% - Accent5 6 2 4" xfId="7711" xr:uid="{00000000-0005-0000-0000-00005D170000}"/>
    <cellStyle name="40% - Accent5 6 2 4 2" xfId="7712" xr:uid="{00000000-0005-0000-0000-00005E170000}"/>
    <cellStyle name="40% - Accent5 6 2 4 2 2" xfId="7713" xr:uid="{00000000-0005-0000-0000-00005F170000}"/>
    <cellStyle name="40% - Accent5 6 2 4 2 2 2" xfId="7714" xr:uid="{00000000-0005-0000-0000-000060170000}"/>
    <cellStyle name="40% - Accent5 6 2 4 2 2 2 2" xfId="7715" xr:uid="{00000000-0005-0000-0000-000061170000}"/>
    <cellStyle name="40% - Accent5 6 2 4 2 2 3" xfId="7716" xr:uid="{00000000-0005-0000-0000-000062170000}"/>
    <cellStyle name="40% - Accent5 6 2 4 2 3" xfId="7717" xr:uid="{00000000-0005-0000-0000-000063170000}"/>
    <cellStyle name="40% - Accent5 6 2 4 2 3 2" xfId="7718" xr:uid="{00000000-0005-0000-0000-000064170000}"/>
    <cellStyle name="40% - Accent5 6 2 4 2 4" xfId="7719" xr:uid="{00000000-0005-0000-0000-000065170000}"/>
    <cellStyle name="40% - Accent5 6 2 4 3" xfId="7720" xr:uid="{00000000-0005-0000-0000-000066170000}"/>
    <cellStyle name="40% - Accent5 6 2 4 3 2" xfId="7721" xr:uid="{00000000-0005-0000-0000-000067170000}"/>
    <cellStyle name="40% - Accent5 6 2 4 3 2 2" xfId="7722" xr:uid="{00000000-0005-0000-0000-000068170000}"/>
    <cellStyle name="40% - Accent5 6 2 4 3 3" xfId="7723" xr:uid="{00000000-0005-0000-0000-000069170000}"/>
    <cellStyle name="40% - Accent5 6 2 4 4" xfId="7724" xr:uid="{00000000-0005-0000-0000-00006A170000}"/>
    <cellStyle name="40% - Accent5 6 2 4 4 2" xfId="7725" xr:uid="{00000000-0005-0000-0000-00006B170000}"/>
    <cellStyle name="40% - Accent5 6 2 4 5" xfId="7726" xr:uid="{00000000-0005-0000-0000-00006C170000}"/>
    <cellStyle name="40% - Accent5 6 2 5" xfId="7727" xr:uid="{00000000-0005-0000-0000-00006D170000}"/>
    <cellStyle name="40% - Accent5 6 2 5 2" xfId="7728" xr:uid="{00000000-0005-0000-0000-00006E170000}"/>
    <cellStyle name="40% - Accent5 6 2 5 2 2" xfId="7729" xr:uid="{00000000-0005-0000-0000-00006F170000}"/>
    <cellStyle name="40% - Accent5 6 2 5 2 2 2" xfId="7730" xr:uid="{00000000-0005-0000-0000-000070170000}"/>
    <cellStyle name="40% - Accent5 6 2 5 2 2 2 2" xfId="7731" xr:uid="{00000000-0005-0000-0000-000071170000}"/>
    <cellStyle name="40% - Accent5 6 2 5 2 2 3" xfId="7732" xr:uid="{00000000-0005-0000-0000-000072170000}"/>
    <cellStyle name="40% - Accent5 6 2 5 2 3" xfId="7733" xr:uid="{00000000-0005-0000-0000-000073170000}"/>
    <cellStyle name="40% - Accent5 6 2 5 2 3 2" xfId="7734" xr:uid="{00000000-0005-0000-0000-000074170000}"/>
    <cellStyle name="40% - Accent5 6 2 5 2 4" xfId="7735" xr:uid="{00000000-0005-0000-0000-000075170000}"/>
    <cellStyle name="40% - Accent5 6 2 5 3" xfId="7736" xr:uid="{00000000-0005-0000-0000-000076170000}"/>
    <cellStyle name="40% - Accent5 6 2 5 3 2" xfId="7737" xr:uid="{00000000-0005-0000-0000-000077170000}"/>
    <cellStyle name="40% - Accent5 6 2 5 3 2 2" xfId="7738" xr:uid="{00000000-0005-0000-0000-000078170000}"/>
    <cellStyle name="40% - Accent5 6 2 5 3 3" xfId="7739" xr:uid="{00000000-0005-0000-0000-000079170000}"/>
    <cellStyle name="40% - Accent5 6 2 5 4" xfId="7740" xr:uid="{00000000-0005-0000-0000-00007A170000}"/>
    <cellStyle name="40% - Accent5 6 2 5 4 2" xfId="7741" xr:uid="{00000000-0005-0000-0000-00007B170000}"/>
    <cellStyle name="40% - Accent5 6 2 5 5" xfId="7742" xr:uid="{00000000-0005-0000-0000-00007C170000}"/>
    <cellStyle name="40% - Accent5 6 2 6" xfId="7743" xr:uid="{00000000-0005-0000-0000-00007D170000}"/>
    <cellStyle name="40% - Accent5 6 2 6 2" xfId="7744" xr:uid="{00000000-0005-0000-0000-00007E170000}"/>
    <cellStyle name="40% - Accent5 6 2 6 2 2" xfId="7745" xr:uid="{00000000-0005-0000-0000-00007F170000}"/>
    <cellStyle name="40% - Accent5 6 2 6 2 2 2" xfId="7746" xr:uid="{00000000-0005-0000-0000-000080170000}"/>
    <cellStyle name="40% - Accent5 6 2 6 2 3" xfId="7747" xr:uid="{00000000-0005-0000-0000-000081170000}"/>
    <cellStyle name="40% - Accent5 6 2 6 3" xfId="7748" xr:uid="{00000000-0005-0000-0000-000082170000}"/>
    <cellStyle name="40% - Accent5 6 2 6 3 2" xfId="7749" xr:uid="{00000000-0005-0000-0000-000083170000}"/>
    <cellStyle name="40% - Accent5 6 2 6 4" xfId="7750" xr:uid="{00000000-0005-0000-0000-000084170000}"/>
    <cellStyle name="40% - Accent5 6 2 7" xfId="7751" xr:uid="{00000000-0005-0000-0000-000085170000}"/>
    <cellStyle name="40% - Accent5 6 2 7 2" xfId="7752" xr:uid="{00000000-0005-0000-0000-000086170000}"/>
    <cellStyle name="40% - Accent5 6 2 7 2 2" xfId="7753" xr:uid="{00000000-0005-0000-0000-000087170000}"/>
    <cellStyle name="40% - Accent5 6 2 7 2 2 2" xfId="7754" xr:uid="{00000000-0005-0000-0000-000088170000}"/>
    <cellStyle name="40% - Accent5 6 2 7 2 3" xfId="7755" xr:uid="{00000000-0005-0000-0000-000089170000}"/>
    <cellStyle name="40% - Accent5 6 2 7 3" xfId="7756" xr:uid="{00000000-0005-0000-0000-00008A170000}"/>
    <cellStyle name="40% - Accent5 6 2 7 3 2" xfId="7757" xr:uid="{00000000-0005-0000-0000-00008B170000}"/>
    <cellStyle name="40% - Accent5 6 2 7 4" xfId="7758" xr:uid="{00000000-0005-0000-0000-00008C170000}"/>
    <cellStyle name="40% - Accent5 6 2 8" xfId="7759" xr:uid="{00000000-0005-0000-0000-00008D170000}"/>
    <cellStyle name="40% - Accent5 6 2 8 2" xfId="7760" xr:uid="{00000000-0005-0000-0000-00008E170000}"/>
    <cellStyle name="40% - Accent5 6 2 8 2 2" xfId="7761" xr:uid="{00000000-0005-0000-0000-00008F170000}"/>
    <cellStyle name="40% - Accent5 6 2 8 2 2 2" xfId="7762" xr:uid="{00000000-0005-0000-0000-000090170000}"/>
    <cellStyle name="40% - Accent5 6 2 8 2 3" xfId="7763" xr:uid="{00000000-0005-0000-0000-000091170000}"/>
    <cellStyle name="40% - Accent5 6 2 8 3" xfId="7764" xr:uid="{00000000-0005-0000-0000-000092170000}"/>
    <cellStyle name="40% - Accent5 6 2 8 3 2" xfId="7765" xr:uid="{00000000-0005-0000-0000-000093170000}"/>
    <cellStyle name="40% - Accent5 6 2 8 4" xfId="7766" xr:uid="{00000000-0005-0000-0000-000094170000}"/>
    <cellStyle name="40% - Accent5 6 2 9" xfId="7767" xr:uid="{00000000-0005-0000-0000-000095170000}"/>
    <cellStyle name="40% - Accent5 6 2 9 2" xfId="7768" xr:uid="{00000000-0005-0000-0000-000096170000}"/>
    <cellStyle name="40% - Accent5 6 2 9 2 2" xfId="7769" xr:uid="{00000000-0005-0000-0000-000097170000}"/>
    <cellStyle name="40% - Accent5 6 2 9 3" xfId="7770" xr:uid="{00000000-0005-0000-0000-000098170000}"/>
    <cellStyle name="40% - Accent5 6 3" xfId="141" xr:uid="{00000000-0005-0000-0000-000099170000}"/>
    <cellStyle name="40% - Accent5 6 3 10" xfId="7772" xr:uid="{00000000-0005-0000-0000-00009A170000}"/>
    <cellStyle name="40% - Accent5 6 3 10 2" xfId="7773" xr:uid="{00000000-0005-0000-0000-00009B170000}"/>
    <cellStyle name="40% - Accent5 6 3 10 2 2" xfId="7774" xr:uid="{00000000-0005-0000-0000-00009C170000}"/>
    <cellStyle name="40% - Accent5 6 3 10 3" xfId="7775" xr:uid="{00000000-0005-0000-0000-00009D170000}"/>
    <cellStyle name="40% - Accent5 6 3 11" xfId="7776" xr:uid="{00000000-0005-0000-0000-00009E170000}"/>
    <cellStyle name="40% - Accent5 6 3 11 2" xfId="7777" xr:uid="{00000000-0005-0000-0000-00009F170000}"/>
    <cellStyle name="40% - Accent5 6 3 11 2 2" xfId="7778" xr:uid="{00000000-0005-0000-0000-0000A0170000}"/>
    <cellStyle name="40% - Accent5 6 3 11 3" xfId="7779" xr:uid="{00000000-0005-0000-0000-0000A1170000}"/>
    <cellStyle name="40% - Accent5 6 3 12" xfId="7780" xr:uid="{00000000-0005-0000-0000-0000A2170000}"/>
    <cellStyle name="40% - Accent5 6 3 12 2" xfId="7781" xr:uid="{00000000-0005-0000-0000-0000A3170000}"/>
    <cellStyle name="40% - Accent5 6 3 13" xfId="7782" xr:uid="{00000000-0005-0000-0000-0000A4170000}"/>
    <cellStyle name="40% - Accent5 6 3 14" xfId="7783" xr:uid="{00000000-0005-0000-0000-0000A5170000}"/>
    <cellStyle name="40% - Accent5 6 3 15" xfId="7771" xr:uid="{00000000-0005-0000-0000-0000A6170000}"/>
    <cellStyle name="40% - Accent5 6 3 2" xfId="843" xr:uid="{00000000-0005-0000-0000-0000A7170000}"/>
    <cellStyle name="40% - Accent5 6 3 2 10" xfId="7785" xr:uid="{00000000-0005-0000-0000-0000A8170000}"/>
    <cellStyle name="40% - Accent5 6 3 2 11" xfId="7784" xr:uid="{00000000-0005-0000-0000-0000A9170000}"/>
    <cellStyle name="40% - Accent5 6 3 2 2" xfId="1601" xr:uid="{00000000-0005-0000-0000-0000AA170000}"/>
    <cellStyle name="40% - Accent5 6 3 2 2 2" xfId="7787" xr:uid="{00000000-0005-0000-0000-0000AB170000}"/>
    <cellStyle name="40% - Accent5 6 3 2 2 2 2" xfId="7788" xr:uid="{00000000-0005-0000-0000-0000AC170000}"/>
    <cellStyle name="40% - Accent5 6 3 2 2 2 2 2" xfId="7789" xr:uid="{00000000-0005-0000-0000-0000AD170000}"/>
    <cellStyle name="40% - Accent5 6 3 2 2 2 2 2 2" xfId="7790" xr:uid="{00000000-0005-0000-0000-0000AE170000}"/>
    <cellStyle name="40% - Accent5 6 3 2 2 2 2 3" xfId="7791" xr:uid="{00000000-0005-0000-0000-0000AF170000}"/>
    <cellStyle name="40% - Accent5 6 3 2 2 2 3" xfId="7792" xr:uid="{00000000-0005-0000-0000-0000B0170000}"/>
    <cellStyle name="40% - Accent5 6 3 2 2 2 3 2" xfId="7793" xr:uid="{00000000-0005-0000-0000-0000B1170000}"/>
    <cellStyle name="40% - Accent5 6 3 2 2 2 4" xfId="7794" xr:uid="{00000000-0005-0000-0000-0000B2170000}"/>
    <cellStyle name="40% - Accent5 6 3 2 2 3" xfId="7795" xr:uid="{00000000-0005-0000-0000-0000B3170000}"/>
    <cellStyle name="40% - Accent5 6 3 2 2 3 2" xfId="7796" xr:uid="{00000000-0005-0000-0000-0000B4170000}"/>
    <cellStyle name="40% - Accent5 6 3 2 2 3 2 2" xfId="7797" xr:uid="{00000000-0005-0000-0000-0000B5170000}"/>
    <cellStyle name="40% - Accent5 6 3 2 2 3 2 2 2" xfId="7798" xr:uid="{00000000-0005-0000-0000-0000B6170000}"/>
    <cellStyle name="40% - Accent5 6 3 2 2 3 2 3" xfId="7799" xr:uid="{00000000-0005-0000-0000-0000B7170000}"/>
    <cellStyle name="40% - Accent5 6 3 2 2 3 3" xfId="7800" xr:uid="{00000000-0005-0000-0000-0000B8170000}"/>
    <cellStyle name="40% - Accent5 6 3 2 2 3 3 2" xfId="7801" xr:uid="{00000000-0005-0000-0000-0000B9170000}"/>
    <cellStyle name="40% - Accent5 6 3 2 2 3 4" xfId="7802" xr:uid="{00000000-0005-0000-0000-0000BA170000}"/>
    <cellStyle name="40% - Accent5 6 3 2 2 4" xfId="7803" xr:uid="{00000000-0005-0000-0000-0000BB170000}"/>
    <cellStyle name="40% - Accent5 6 3 2 2 4 2" xfId="7804" xr:uid="{00000000-0005-0000-0000-0000BC170000}"/>
    <cellStyle name="40% - Accent5 6 3 2 2 4 2 2" xfId="7805" xr:uid="{00000000-0005-0000-0000-0000BD170000}"/>
    <cellStyle name="40% - Accent5 6 3 2 2 4 3" xfId="7806" xr:uid="{00000000-0005-0000-0000-0000BE170000}"/>
    <cellStyle name="40% - Accent5 6 3 2 2 5" xfId="7807" xr:uid="{00000000-0005-0000-0000-0000BF170000}"/>
    <cellStyle name="40% - Accent5 6 3 2 2 5 2" xfId="7808" xr:uid="{00000000-0005-0000-0000-0000C0170000}"/>
    <cellStyle name="40% - Accent5 6 3 2 2 6" xfId="7809" xr:uid="{00000000-0005-0000-0000-0000C1170000}"/>
    <cellStyle name="40% - Accent5 6 3 2 2 7" xfId="7786" xr:uid="{00000000-0005-0000-0000-0000C2170000}"/>
    <cellStyle name="40% - Accent5 6 3 2 3" xfId="7810" xr:uid="{00000000-0005-0000-0000-0000C3170000}"/>
    <cellStyle name="40% - Accent5 6 3 2 3 2" xfId="7811" xr:uid="{00000000-0005-0000-0000-0000C4170000}"/>
    <cellStyle name="40% - Accent5 6 3 2 3 2 2" xfId="7812" xr:uid="{00000000-0005-0000-0000-0000C5170000}"/>
    <cellStyle name="40% - Accent5 6 3 2 3 2 2 2" xfId="7813" xr:uid="{00000000-0005-0000-0000-0000C6170000}"/>
    <cellStyle name="40% - Accent5 6 3 2 3 2 2 2 2" xfId="7814" xr:uid="{00000000-0005-0000-0000-0000C7170000}"/>
    <cellStyle name="40% - Accent5 6 3 2 3 2 2 3" xfId="7815" xr:uid="{00000000-0005-0000-0000-0000C8170000}"/>
    <cellStyle name="40% - Accent5 6 3 2 3 2 3" xfId="7816" xr:uid="{00000000-0005-0000-0000-0000C9170000}"/>
    <cellStyle name="40% - Accent5 6 3 2 3 2 3 2" xfId="7817" xr:uid="{00000000-0005-0000-0000-0000CA170000}"/>
    <cellStyle name="40% - Accent5 6 3 2 3 2 4" xfId="7818" xr:uid="{00000000-0005-0000-0000-0000CB170000}"/>
    <cellStyle name="40% - Accent5 6 3 2 3 3" xfId="7819" xr:uid="{00000000-0005-0000-0000-0000CC170000}"/>
    <cellStyle name="40% - Accent5 6 3 2 3 3 2" xfId="7820" xr:uid="{00000000-0005-0000-0000-0000CD170000}"/>
    <cellStyle name="40% - Accent5 6 3 2 3 3 2 2" xfId="7821" xr:uid="{00000000-0005-0000-0000-0000CE170000}"/>
    <cellStyle name="40% - Accent5 6 3 2 3 3 3" xfId="7822" xr:uid="{00000000-0005-0000-0000-0000CF170000}"/>
    <cellStyle name="40% - Accent5 6 3 2 3 4" xfId="7823" xr:uid="{00000000-0005-0000-0000-0000D0170000}"/>
    <cellStyle name="40% - Accent5 6 3 2 3 4 2" xfId="7824" xr:uid="{00000000-0005-0000-0000-0000D1170000}"/>
    <cellStyle name="40% - Accent5 6 3 2 3 5" xfId="7825" xr:uid="{00000000-0005-0000-0000-0000D2170000}"/>
    <cellStyle name="40% - Accent5 6 3 2 4" xfId="7826" xr:uid="{00000000-0005-0000-0000-0000D3170000}"/>
    <cellStyle name="40% - Accent5 6 3 2 4 2" xfId="7827" xr:uid="{00000000-0005-0000-0000-0000D4170000}"/>
    <cellStyle name="40% - Accent5 6 3 2 4 2 2" xfId="7828" xr:uid="{00000000-0005-0000-0000-0000D5170000}"/>
    <cellStyle name="40% - Accent5 6 3 2 4 2 2 2" xfId="7829" xr:uid="{00000000-0005-0000-0000-0000D6170000}"/>
    <cellStyle name="40% - Accent5 6 3 2 4 2 2 2 2" xfId="7830" xr:uid="{00000000-0005-0000-0000-0000D7170000}"/>
    <cellStyle name="40% - Accent5 6 3 2 4 2 2 3" xfId="7831" xr:uid="{00000000-0005-0000-0000-0000D8170000}"/>
    <cellStyle name="40% - Accent5 6 3 2 4 2 3" xfId="7832" xr:uid="{00000000-0005-0000-0000-0000D9170000}"/>
    <cellStyle name="40% - Accent5 6 3 2 4 2 3 2" xfId="7833" xr:uid="{00000000-0005-0000-0000-0000DA170000}"/>
    <cellStyle name="40% - Accent5 6 3 2 4 2 4" xfId="7834" xr:uid="{00000000-0005-0000-0000-0000DB170000}"/>
    <cellStyle name="40% - Accent5 6 3 2 4 3" xfId="7835" xr:uid="{00000000-0005-0000-0000-0000DC170000}"/>
    <cellStyle name="40% - Accent5 6 3 2 4 3 2" xfId="7836" xr:uid="{00000000-0005-0000-0000-0000DD170000}"/>
    <cellStyle name="40% - Accent5 6 3 2 4 3 2 2" xfId="7837" xr:uid="{00000000-0005-0000-0000-0000DE170000}"/>
    <cellStyle name="40% - Accent5 6 3 2 4 3 3" xfId="7838" xr:uid="{00000000-0005-0000-0000-0000DF170000}"/>
    <cellStyle name="40% - Accent5 6 3 2 4 4" xfId="7839" xr:uid="{00000000-0005-0000-0000-0000E0170000}"/>
    <cellStyle name="40% - Accent5 6 3 2 4 4 2" xfId="7840" xr:uid="{00000000-0005-0000-0000-0000E1170000}"/>
    <cellStyle name="40% - Accent5 6 3 2 4 5" xfId="7841" xr:uid="{00000000-0005-0000-0000-0000E2170000}"/>
    <cellStyle name="40% - Accent5 6 3 2 5" xfId="7842" xr:uid="{00000000-0005-0000-0000-0000E3170000}"/>
    <cellStyle name="40% - Accent5 6 3 2 5 2" xfId="7843" xr:uid="{00000000-0005-0000-0000-0000E4170000}"/>
    <cellStyle name="40% - Accent5 6 3 2 5 2 2" xfId="7844" xr:uid="{00000000-0005-0000-0000-0000E5170000}"/>
    <cellStyle name="40% - Accent5 6 3 2 5 2 2 2" xfId="7845" xr:uid="{00000000-0005-0000-0000-0000E6170000}"/>
    <cellStyle name="40% - Accent5 6 3 2 5 2 3" xfId="7846" xr:uid="{00000000-0005-0000-0000-0000E7170000}"/>
    <cellStyle name="40% - Accent5 6 3 2 5 3" xfId="7847" xr:uid="{00000000-0005-0000-0000-0000E8170000}"/>
    <cellStyle name="40% - Accent5 6 3 2 5 3 2" xfId="7848" xr:uid="{00000000-0005-0000-0000-0000E9170000}"/>
    <cellStyle name="40% - Accent5 6 3 2 5 4" xfId="7849" xr:uid="{00000000-0005-0000-0000-0000EA170000}"/>
    <cellStyle name="40% - Accent5 6 3 2 6" xfId="7850" xr:uid="{00000000-0005-0000-0000-0000EB170000}"/>
    <cellStyle name="40% - Accent5 6 3 2 6 2" xfId="7851" xr:uid="{00000000-0005-0000-0000-0000EC170000}"/>
    <cellStyle name="40% - Accent5 6 3 2 6 2 2" xfId="7852" xr:uid="{00000000-0005-0000-0000-0000ED170000}"/>
    <cellStyle name="40% - Accent5 6 3 2 6 2 2 2" xfId="7853" xr:uid="{00000000-0005-0000-0000-0000EE170000}"/>
    <cellStyle name="40% - Accent5 6 3 2 6 2 3" xfId="7854" xr:uid="{00000000-0005-0000-0000-0000EF170000}"/>
    <cellStyle name="40% - Accent5 6 3 2 6 3" xfId="7855" xr:uid="{00000000-0005-0000-0000-0000F0170000}"/>
    <cellStyle name="40% - Accent5 6 3 2 6 3 2" xfId="7856" xr:uid="{00000000-0005-0000-0000-0000F1170000}"/>
    <cellStyle name="40% - Accent5 6 3 2 6 4" xfId="7857" xr:uid="{00000000-0005-0000-0000-0000F2170000}"/>
    <cellStyle name="40% - Accent5 6 3 2 7" xfId="7858" xr:uid="{00000000-0005-0000-0000-0000F3170000}"/>
    <cellStyle name="40% - Accent5 6 3 2 7 2" xfId="7859" xr:uid="{00000000-0005-0000-0000-0000F4170000}"/>
    <cellStyle name="40% - Accent5 6 3 2 7 2 2" xfId="7860" xr:uid="{00000000-0005-0000-0000-0000F5170000}"/>
    <cellStyle name="40% - Accent5 6 3 2 7 2 2 2" xfId="7861" xr:uid="{00000000-0005-0000-0000-0000F6170000}"/>
    <cellStyle name="40% - Accent5 6 3 2 7 2 3" xfId="7862" xr:uid="{00000000-0005-0000-0000-0000F7170000}"/>
    <cellStyle name="40% - Accent5 6 3 2 7 3" xfId="7863" xr:uid="{00000000-0005-0000-0000-0000F8170000}"/>
    <cellStyle name="40% - Accent5 6 3 2 7 3 2" xfId="7864" xr:uid="{00000000-0005-0000-0000-0000F9170000}"/>
    <cellStyle name="40% - Accent5 6 3 2 7 4" xfId="7865" xr:uid="{00000000-0005-0000-0000-0000FA170000}"/>
    <cellStyle name="40% - Accent5 6 3 2 8" xfId="7866" xr:uid="{00000000-0005-0000-0000-0000FB170000}"/>
    <cellStyle name="40% - Accent5 6 3 2 8 2" xfId="7867" xr:uid="{00000000-0005-0000-0000-0000FC170000}"/>
    <cellStyle name="40% - Accent5 6 3 2 8 2 2" xfId="7868" xr:uid="{00000000-0005-0000-0000-0000FD170000}"/>
    <cellStyle name="40% - Accent5 6 3 2 8 3" xfId="7869" xr:uid="{00000000-0005-0000-0000-0000FE170000}"/>
    <cellStyle name="40% - Accent5 6 3 2 9" xfId="7870" xr:uid="{00000000-0005-0000-0000-0000FF170000}"/>
    <cellStyle name="40% - Accent5 6 3 2 9 2" xfId="7871" xr:uid="{00000000-0005-0000-0000-000000180000}"/>
    <cellStyle name="40% - Accent5 6 3 3" xfId="1276" xr:uid="{00000000-0005-0000-0000-000001180000}"/>
    <cellStyle name="40% - Accent5 6 3 3 2" xfId="7873" xr:uid="{00000000-0005-0000-0000-000002180000}"/>
    <cellStyle name="40% - Accent5 6 3 3 2 2" xfId="7874" xr:uid="{00000000-0005-0000-0000-000003180000}"/>
    <cellStyle name="40% - Accent5 6 3 3 2 2 2" xfId="7875" xr:uid="{00000000-0005-0000-0000-000004180000}"/>
    <cellStyle name="40% - Accent5 6 3 3 2 2 2 2" xfId="7876" xr:uid="{00000000-0005-0000-0000-000005180000}"/>
    <cellStyle name="40% - Accent5 6 3 3 2 2 3" xfId="7877" xr:uid="{00000000-0005-0000-0000-000006180000}"/>
    <cellStyle name="40% - Accent5 6 3 3 2 3" xfId="7878" xr:uid="{00000000-0005-0000-0000-000007180000}"/>
    <cellStyle name="40% - Accent5 6 3 3 2 3 2" xfId="7879" xr:uid="{00000000-0005-0000-0000-000008180000}"/>
    <cellStyle name="40% - Accent5 6 3 3 2 4" xfId="7880" xr:uid="{00000000-0005-0000-0000-000009180000}"/>
    <cellStyle name="40% - Accent5 6 3 3 3" xfId="7881" xr:uid="{00000000-0005-0000-0000-00000A180000}"/>
    <cellStyle name="40% - Accent5 6 3 3 3 2" xfId="7882" xr:uid="{00000000-0005-0000-0000-00000B180000}"/>
    <cellStyle name="40% - Accent5 6 3 3 3 2 2" xfId="7883" xr:uid="{00000000-0005-0000-0000-00000C180000}"/>
    <cellStyle name="40% - Accent5 6 3 3 3 2 2 2" xfId="7884" xr:uid="{00000000-0005-0000-0000-00000D180000}"/>
    <cellStyle name="40% - Accent5 6 3 3 3 2 3" xfId="7885" xr:uid="{00000000-0005-0000-0000-00000E180000}"/>
    <cellStyle name="40% - Accent5 6 3 3 3 3" xfId="7886" xr:uid="{00000000-0005-0000-0000-00000F180000}"/>
    <cellStyle name="40% - Accent5 6 3 3 3 3 2" xfId="7887" xr:uid="{00000000-0005-0000-0000-000010180000}"/>
    <cellStyle name="40% - Accent5 6 3 3 3 4" xfId="7888" xr:uid="{00000000-0005-0000-0000-000011180000}"/>
    <cellStyle name="40% - Accent5 6 3 3 4" xfId="7889" xr:uid="{00000000-0005-0000-0000-000012180000}"/>
    <cellStyle name="40% - Accent5 6 3 3 4 2" xfId="7890" xr:uid="{00000000-0005-0000-0000-000013180000}"/>
    <cellStyle name="40% - Accent5 6 3 3 4 2 2" xfId="7891" xr:uid="{00000000-0005-0000-0000-000014180000}"/>
    <cellStyle name="40% - Accent5 6 3 3 4 3" xfId="7892" xr:uid="{00000000-0005-0000-0000-000015180000}"/>
    <cellStyle name="40% - Accent5 6 3 3 5" xfId="7893" xr:uid="{00000000-0005-0000-0000-000016180000}"/>
    <cellStyle name="40% - Accent5 6 3 3 5 2" xfId="7894" xr:uid="{00000000-0005-0000-0000-000017180000}"/>
    <cellStyle name="40% - Accent5 6 3 3 6" xfId="7895" xr:uid="{00000000-0005-0000-0000-000018180000}"/>
    <cellStyle name="40% - Accent5 6 3 3 7" xfId="7872" xr:uid="{00000000-0005-0000-0000-000019180000}"/>
    <cellStyle name="40% - Accent5 6 3 4" xfId="7896" xr:uid="{00000000-0005-0000-0000-00001A180000}"/>
    <cellStyle name="40% - Accent5 6 3 4 2" xfId="7897" xr:uid="{00000000-0005-0000-0000-00001B180000}"/>
    <cellStyle name="40% - Accent5 6 3 4 2 2" xfId="7898" xr:uid="{00000000-0005-0000-0000-00001C180000}"/>
    <cellStyle name="40% - Accent5 6 3 4 2 2 2" xfId="7899" xr:uid="{00000000-0005-0000-0000-00001D180000}"/>
    <cellStyle name="40% - Accent5 6 3 4 2 2 2 2" xfId="7900" xr:uid="{00000000-0005-0000-0000-00001E180000}"/>
    <cellStyle name="40% - Accent5 6 3 4 2 2 3" xfId="7901" xr:uid="{00000000-0005-0000-0000-00001F180000}"/>
    <cellStyle name="40% - Accent5 6 3 4 2 3" xfId="7902" xr:uid="{00000000-0005-0000-0000-000020180000}"/>
    <cellStyle name="40% - Accent5 6 3 4 2 3 2" xfId="7903" xr:uid="{00000000-0005-0000-0000-000021180000}"/>
    <cellStyle name="40% - Accent5 6 3 4 2 4" xfId="7904" xr:uid="{00000000-0005-0000-0000-000022180000}"/>
    <cellStyle name="40% - Accent5 6 3 4 3" xfId="7905" xr:uid="{00000000-0005-0000-0000-000023180000}"/>
    <cellStyle name="40% - Accent5 6 3 4 3 2" xfId="7906" xr:uid="{00000000-0005-0000-0000-000024180000}"/>
    <cellStyle name="40% - Accent5 6 3 4 3 2 2" xfId="7907" xr:uid="{00000000-0005-0000-0000-000025180000}"/>
    <cellStyle name="40% - Accent5 6 3 4 3 3" xfId="7908" xr:uid="{00000000-0005-0000-0000-000026180000}"/>
    <cellStyle name="40% - Accent5 6 3 4 4" xfId="7909" xr:uid="{00000000-0005-0000-0000-000027180000}"/>
    <cellStyle name="40% - Accent5 6 3 4 4 2" xfId="7910" xr:uid="{00000000-0005-0000-0000-000028180000}"/>
    <cellStyle name="40% - Accent5 6 3 4 5" xfId="7911" xr:uid="{00000000-0005-0000-0000-000029180000}"/>
    <cellStyle name="40% - Accent5 6 3 5" xfId="7912" xr:uid="{00000000-0005-0000-0000-00002A180000}"/>
    <cellStyle name="40% - Accent5 6 3 5 2" xfId="7913" xr:uid="{00000000-0005-0000-0000-00002B180000}"/>
    <cellStyle name="40% - Accent5 6 3 5 2 2" xfId="7914" xr:uid="{00000000-0005-0000-0000-00002C180000}"/>
    <cellStyle name="40% - Accent5 6 3 5 2 2 2" xfId="7915" xr:uid="{00000000-0005-0000-0000-00002D180000}"/>
    <cellStyle name="40% - Accent5 6 3 5 2 2 2 2" xfId="7916" xr:uid="{00000000-0005-0000-0000-00002E180000}"/>
    <cellStyle name="40% - Accent5 6 3 5 2 2 3" xfId="7917" xr:uid="{00000000-0005-0000-0000-00002F180000}"/>
    <cellStyle name="40% - Accent5 6 3 5 2 3" xfId="7918" xr:uid="{00000000-0005-0000-0000-000030180000}"/>
    <cellStyle name="40% - Accent5 6 3 5 2 3 2" xfId="7919" xr:uid="{00000000-0005-0000-0000-000031180000}"/>
    <cellStyle name="40% - Accent5 6 3 5 2 4" xfId="7920" xr:uid="{00000000-0005-0000-0000-000032180000}"/>
    <cellStyle name="40% - Accent5 6 3 5 3" xfId="7921" xr:uid="{00000000-0005-0000-0000-000033180000}"/>
    <cellStyle name="40% - Accent5 6 3 5 3 2" xfId="7922" xr:uid="{00000000-0005-0000-0000-000034180000}"/>
    <cellStyle name="40% - Accent5 6 3 5 3 2 2" xfId="7923" xr:uid="{00000000-0005-0000-0000-000035180000}"/>
    <cellStyle name="40% - Accent5 6 3 5 3 3" xfId="7924" xr:uid="{00000000-0005-0000-0000-000036180000}"/>
    <cellStyle name="40% - Accent5 6 3 5 4" xfId="7925" xr:uid="{00000000-0005-0000-0000-000037180000}"/>
    <cellStyle name="40% - Accent5 6 3 5 4 2" xfId="7926" xr:uid="{00000000-0005-0000-0000-000038180000}"/>
    <cellStyle name="40% - Accent5 6 3 5 5" xfId="7927" xr:uid="{00000000-0005-0000-0000-000039180000}"/>
    <cellStyle name="40% - Accent5 6 3 6" xfId="7928" xr:uid="{00000000-0005-0000-0000-00003A180000}"/>
    <cellStyle name="40% - Accent5 6 3 6 2" xfId="7929" xr:uid="{00000000-0005-0000-0000-00003B180000}"/>
    <cellStyle name="40% - Accent5 6 3 6 2 2" xfId="7930" xr:uid="{00000000-0005-0000-0000-00003C180000}"/>
    <cellStyle name="40% - Accent5 6 3 6 2 2 2" xfId="7931" xr:uid="{00000000-0005-0000-0000-00003D180000}"/>
    <cellStyle name="40% - Accent5 6 3 6 2 3" xfId="7932" xr:uid="{00000000-0005-0000-0000-00003E180000}"/>
    <cellStyle name="40% - Accent5 6 3 6 3" xfId="7933" xr:uid="{00000000-0005-0000-0000-00003F180000}"/>
    <cellStyle name="40% - Accent5 6 3 6 3 2" xfId="7934" xr:uid="{00000000-0005-0000-0000-000040180000}"/>
    <cellStyle name="40% - Accent5 6 3 6 4" xfId="7935" xr:uid="{00000000-0005-0000-0000-000041180000}"/>
    <cellStyle name="40% - Accent5 6 3 7" xfId="7936" xr:uid="{00000000-0005-0000-0000-000042180000}"/>
    <cellStyle name="40% - Accent5 6 3 7 2" xfId="7937" xr:uid="{00000000-0005-0000-0000-000043180000}"/>
    <cellStyle name="40% - Accent5 6 3 7 2 2" xfId="7938" xr:uid="{00000000-0005-0000-0000-000044180000}"/>
    <cellStyle name="40% - Accent5 6 3 7 2 2 2" xfId="7939" xr:uid="{00000000-0005-0000-0000-000045180000}"/>
    <cellStyle name="40% - Accent5 6 3 7 2 3" xfId="7940" xr:uid="{00000000-0005-0000-0000-000046180000}"/>
    <cellStyle name="40% - Accent5 6 3 7 3" xfId="7941" xr:uid="{00000000-0005-0000-0000-000047180000}"/>
    <cellStyle name="40% - Accent5 6 3 7 3 2" xfId="7942" xr:uid="{00000000-0005-0000-0000-000048180000}"/>
    <cellStyle name="40% - Accent5 6 3 7 4" xfId="7943" xr:uid="{00000000-0005-0000-0000-000049180000}"/>
    <cellStyle name="40% - Accent5 6 3 8" xfId="7944" xr:uid="{00000000-0005-0000-0000-00004A180000}"/>
    <cellStyle name="40% - Accent5 6 3 8 2" xfId="7945" xr:uid="{00000000-0005-0000-0000-00004B180000}"/>
    <cellStyle name="40% - Accent5 6 3 8 2 2" xfId="7946" xr:uid="{00000000-0005-0000-0000-00004C180000}"/>
    <cellStyle name="40% - Accent5 6 3 8 2 2 2" xfId="7947" xr:uid="{00000000-0005-0000-0000-00004D180000}"/>
    <cellStyle name="40% - Accent5 6 3 8 2 3" xfId="7948" xr:uid="{00000000-0005-0000-0000-00004E180000}"/>
    <cellStyle name="40% - Accent5 6 3 8 3" xfId="7949" xr:uid="{00000000-0005-0000-0000-00004F180000}"/>
    <cellStyle name="40% - Accent5 6 3 8 3 2" xfId="7950" xr:uid="{00000000-0005-0000-0000-000050180000}"/>
    <cellStyle name="40% - Accent5 6 3 8 4" xfId="7951" xr:uid="{00000000-0005-0000-0000-000051180000}"/>
    <cellStyle name="40% - Accent5 6 3 9" xfId="7952" xr:uid="{00000000-0005-0000-0000-000052180000}"/>
    <cellStyle name="40% - Accent5 6 3 9 2" xfId="7953" xr:uid="{00000000-0005-0000-0000-000053180000}"/>
    <cellStyle name="40% - Accent5 6 3 9 2 2" xfId="7954" xr:uid="{00000000-0005-0000-0000-000054180000}"/>
    <cellStyle name="40% - Accent5 6 3 9 3" xfId="7955" xr:uid="{00000000-0005-0000-0000-000055180000}"/>
    <cellStyle name="40% - Accent5 6 4" xfId="841" xr:uid="{00000000-0005-0000-0000-000056180000}"/>
    <cellStyle name="40% - Accent5 6 4 10" xfId="7957" xr:uid="{00000000-0005-0000-0000-000057180000}"/>
    <cellStyle name="40% - Accent5 6 4 11" xfId="7956" xr:uid="{00000000-0005-0000-0000-000058180000}"/>
    <cellStyle name="40% - Accent5 6 4 2" xfId="1599" xr:uid="{00000000-0005-0000-0000-000059180000}"/>
    <cellStyle name="40% - Accent5 6 4 2 2" xfId="7959" xr:uid="{00000000-0005-0000-0000-00005A180000}"/>
    <cellStyle name="40% - Accent5 6 4 2 2 2" xfId="7960" xr:uid="{00000000-0005-0000-0000-00005B180000}"/>
    <cellStyle name="40% - Accent5 6 4 2 2 2 2" xfId="7961" xr:uid="{00000000-0005-0000-0000-00005C180000}"/>
    <cellStyle name="40% - Accent5 6 4 2 2 2 2 2" xfId="7962" xr:uid="{00000000-0005-0000-0000-00005D180000}"/>
    <cellStyle name="40% - Accent5 6 4 2 2 2 3" xfId="7963" xr:uid="{00000000-0005-0000-0000-00005E180000}"/>
    <cellStyle name="40% - Accent5 6 4 2 2 3" xfId="7964" xr:uid="{00000000-0005-0000-0000-00005F180000}"/>
    <cellStyle name="40% - Accent5 6 4 2 2 3 2" xfId="7965" xr:uid="{00000000-0005-0000-0000-000060180000}"/>
    <cellStyle name="40% - Accent5 6 4 2 2 4" xfId="7966" xr:uid="{00000000-0005-0000-0000-000061180000}"/>
    <cellStyle name="40% - Accent5 6 4 2 3" xfId="7967" xr:uid="{00000000-0005-0000-0000-000062180000}"/>
    <cellStyle name="40% - Accent5 6 4 2 3 2" xfId="7968" xr:uid="{00000000-0005-0000-0000-000063180000}"/>
    <cellStyle name="40% - Accent5 6 4 2 3 2 2" xfId="7969" xr:uid="{00000000-0005-0000-0000-000064180000}"/>
    <cellStyle name="40% - Accent5 6 4 2 3 2 2 2" xfId="7970" xr:uid="{00000000-0005-0000-0000-000065180000}"/>
    <cellStyle name="40% - Accent5 6 4 2 3 2 3" xfId="7971" xr:uid="{00000000-0005-0000-0000-000066180000}"/>
    <cellStyle name="40% - Accent5 6 4 2 3 3" xfId="7972" xr:uid="{00000000-0005-0000-0000-000067180000}"/>
    <cellStyle name="40% - Accent5 6 4 2 3 3 2" xfId="7973" xr:uid="{00000000-0005-0000-0000-000068180000}"/>
    <cellStyle name="40% - Accent5 6 4 2 3 4" xfId="7974" xr:uid="{00000000-0005-0000-0000-000069180000}"/>
    <cellStyle name="40% - Accent5 6 4 2 4" xfId="7975" xr:uid="{00000000-0005-0000-0000-00006A180000}"/>
    <cellStyle name="40% - Accent5 6 4 2 4 2" xfId="7976" xr:uid="{00000000-0005-0000-0000-00006B180000}"/>
    <cellStyle name="40% - Accent5 6 4 2 4 2 2" xfId="7977" xr:uid="{00000000-0005-0000-0000-00006C180000}"/>
    <cellStyle name="40% - Accent5 6 4 2 4 3" xfId="7978" xr:uid="{00000000-0005-0000-0000-00006D180000}"/>
    <cellStyle name="40% - Accent5 6 4 2 5" xfId="7979" xr:uid="{00000000-0005-0000-0000-00006E180000}"/>
    <cellStyle name="40% - Accent5 6 4 2 5 2" xfId="7980" xr:uid="{00000000-0005-0000-0000-00006F180000}"/>
    <cellStyle name="40% - Accent5 6 4 2 6" xfId="7981" xr:uid="{00000000-0005-0000-0000-000070180000}"/>
    <cellStyle name="40% - Accent5 6 4 2 7" xfId="7958" xr:uid="{00000000-0005-0000-0000-000071180000}"/>
    <cellStyle name="40% - Accent5 6 4 3" xfId="7982" xr:uid="{00000000-0005-0000-0000-000072180000}"/>
    <cellStyle name="40% - Accent5 6 4 3 2" xfId="7983" xr:uid="{00000000-0005-0000-0000-000073180000}"/>
    <cellStyle name="40% - Accent5 6 4 3 2 2" xfId="7984" xr:uid="{00000000-0005-0000-0000-000074180000}"/>
    <cellStyle name="40% - Accent5 6 4 3 2 2 2" xfId="7985" xr:uid="{00000000-0005-0000-0000-000075180000}"/>
    <cellStyle name="40% - Accent5 6 4 3 2 2 2 2" xfId="7986" xr:uid="{00000000-0005-0000-0000-000076180000}"/>
    <cellStyle name="40% - Accent5 6 4 3 2 2 3" xfId="7987" xr:uid="{00000000-0005-0000-0000-000077180000}"/>
    <cellStyle name="40% - Accent5 6 4 3 2 3" xfId="7988" xr:uid="{00000000-0005-0000-0000-000078180000}"/>
    <cellStyle name="40% - Accent5 6 4 3 2 3 2" xfId="7989" xr:uid="{00000000-0005-0000-0000-000079180000}"/>
    <cellStyle name="40% - Accent5 6 4 3 2 4" xfId="7990" xr:uid="{00000000-0005-0000-0000-00007A180000}"/>
    <cellStyle name="40% - Accent5 6 4 3 3" xfId="7991" xr:uid="{00000000-0005-0000-0000-00007B180000}"/>
    <cellStyle name="40% - Accent5 6 4 3 3 2" xfId="7992" xr:uid="{00000000-0005-0000-0000-00007C180000}"/>
    <cellStyle name="40% - Accent5 6 4 3 3 2 2" xfId="7993" xr:uid="{00000000-0005-0000-0000-00007D180000}"/>
    <cellStyle name="40% - Accent5 6 4 3 3 3" xfId="7994" xr:uid="{00000000-0005-0000-0000-00007E180000}"/>
    <cellStyle name="40% - Accent5 6 4 3 4" xfId="7995" xr:uid="{00000000-0005-0000-0000-00007F180000}"/>
    <cellStyle name="40% - Accent5 6 4 3 4 2" xfId="7996" xr:uid="{00000000-0005-0000-0000-000080180000}"/>
    <cellStyle name="40% - Accent5 6 4 3 5" xfId="7997" xr:uid="{00000000-0005-0000-0000-000081180000}"/>
    <cellStyle name="40% - Accent5 6 4 4" xfId="7998" xr:uid="{00000000-0005-0000-0000-000082180000}"/>
    <cellStyle name="40% - Accent5 6 4 4 2" xfId="7999" xr:uid="{00000000-0005-0000-0000-000083180000}"/>
    <cellStyle name="40% - Accent5 6 4 4 2 2" xfId="8000" xr:uid="{00000000-0005-0000-0000-000084180000}"/>
    <cellStyle name="40% - Accent5 6 4 4 2 2 2" xfId="8001" xr:uid="{00000000-0005-0000-0000-000085180000}"/>
    <cellStyle name="40% - Accent5 6 4 4 2 2 2 2" xfId="8002" xr:uid="{00000000-0005-0000-0000-000086180000}"/>
    <cellStyle name="40% - Accent5 6 4 4 2 2 3" xfId="8003" xr:uid="{00000000-0005-0000-0000-000087180000}"/>
    <cellStyle name="40% - Accent5 6 4 4 2 3" xfId="8004" xr:uid="{00000000-0005-0000-0000-000088180000}"/>
    <cellStyle name="40% - Accent5 6 4 4 2 3 2" xfId="8005" xr:uid="{00000000-0005-0000-0000-000089180000}"/>
    <cellStyle name="40% - Accent5 6 4 4 2 4" xfId="8006" xr:uid="{00000000-0005-0000-0000-00008A180000}"/>
    <cellStyle name="40% - Accent5 6 4 4 3" xfId="8007" xr:uid="{00000000-0005-0000-0000-00008B180000}"/>
    <cellStyle name="40% - Accent5 6 4 4 3 2" xfId="8008" xr:uid="{00000000-0005-0000-0000-00008C180000}"/>
    <cellStyle name="40% - Accent5 6 4 4 3 2 2" xfId="8009" xr:uid="{00000000-0005-0000-0000-00008D180000}"/>
    <cellStyle name="40% - Accent5 6 4 4 3 3" xfId="8010" xr:uid="{00000000-0005-0000-0000-00008E180000}"/>
    <cellStyle name="40% - Accent5 6 4 4 4" xfId="8011" xr:uid="{00000000-0005-0000-0000-00008F180000}"/>
    <cellStyle name="40% - Accent5 6 4 4 4 2" xfId="8012" xr:uid="{00000000-0005-0000-0000-000090180000}"/>
    <cellStyle name="40% - Accent5 6 4 4 5" xfId="8013" xr:uid="{00000000-0005-0000-0000-000091180000}"/>
    <cellStyle name="40% - Accent5 6 4 5" xfId="8014" xr:uid="{00000000-0005-0000-0000-000092180000}"/>
    <cellStyle name="40% - Accent5 6 4 5 2" xfId="8015" xr:uid="{00000000-0005-0000-0000-000093180000}"/>
    <cellStyle name="40% - Accent5 6 4 5 2 2" xfId="8016" xr:uid="{00000000-0005-0000-0000-000094180000}"/>
    <cellStyle name="40% - Accent5 6 4 5 2 2 2" xfId="8017" xr:uid="{00000000-0005-0000-0000-000095180000}"/>
    <cellStyle name="40% - Accent5 6 4 5 2 3" xfId="8018" xr:uid="{00000000-0005-0000-0000-000096180000}"/>
    <cellStyle name="40% - Accent5 6 4 5 3" xfId="8019" xr:uid="{00000000-0005-0000-0000-000097180000}"/>
    <cellStyle name="40% - Accent5 6 4 5 3 2" xfId="8020" xr:uid="{00000000-0005-0000-0000-000098180000}"/>
    <cellStyle name="40% - Accent5 6 4 5 4" xfId="8021" xr:uid="{00000000-0005-0000-0000-000099180000}"/>
    <cellStyle name="40% - Accent5 6 4 6" xfId="8022" xr:uid="{00000000-0005-0000-0000-00009A180000}"/>
    <cellStyle name="40% - Accent5 6 4 6 2" xfId="8023" xr:uid="{00000000-0005-0000-0000-00009B180000}"/>
    <cellStyle name="40% - Accent5 6 4 6 2 2" xfId="8024" xr:uid="{00000000-0005-0000-0000-00009C180000}"/>
    <cellStyle name="40% - Accent5 6 4 6 2 2 2" xfId="8025" xr:uid="{00000000-0005-0000-0000-00009D180000}"/>
    <cellStyle name="40% - Accent5 6 4 6 2 3" xfId="8026" xr:uid="{00000000-0005-0000-0000-00009E180000}"/>
    <cellStyle name="40% - Accent5 6 4 6 3" xfId="8027" xr:uid="{00000000-0005-0000-0000-00009F180000}"/>
    <cellStyle name="40% - Accent5 6 4 6 3 2" xfId="8028" xr:uid="{00000000-0005-0000-0000-0000A0180000}"/>
    <cellStyle name="40% - Accent5 6 4 6 4" xfId="8029" xr:uid="{00000000-0005-0000-0000-0000A1180000}"/>
    <cellStyle name="40% - Accent5 6 4 7" xfId="8030" xr:uid="{00000000-0005-0000-0000-0000A2180000}"/>
    <cellStyle name="40% - Accent5 6 4 7 2" xfId="8031" xr:uid="{00000000-0005-0000-0000-0000A3180000}"/>
    <cellStyle name="40% - Accent5 6 4 7 2 2" xfId="8032" xr:uid="{00000000-0005-0000-0000-0000A4180000}"/>
    <cellStyle name="40% - Accent5 6 4 7 2 2 2" xfId="8033" xr:uid="{00000000-0005-0000-0000-0000A5180000}"/>
    <cellStyle name="40% - Accent5 6 4 7 2 3" xfId="8034" xr:uid="{00000000-0005-0000-0000-0000A6180000}"/>
    <cellStyle name="40% - Accent5 6 4 7 3" xfId="8035" xr:uid="{00000000-0005-0000-0000-0000A7180000}"/>
    <cellStyle name="40% - Accent5 6 4 7 3 2" xfId="8036" xr:uid="{00000000-0005-0000-0000-0000A8180000}"/>
    <cellStyle name="40% - Accent5 6 4 7 4" xfId="8037" xr:uid="{00000000-0005-0000-0000-0000A9180000}"/>
    <cellStyle name="40% - Accent5 6 4 8" xfId="8038" xr:uid="{00000000-0005-0000-0000-0000AA180000}"/>
    <cellStyle name="40% - Accent5 6 4 8 2" xfId="8039" xr:uid="{00000000-0005-0000-0000-0000AB180000}"/>
    <cellStyle name="40% - Accent5 6 4 8 2 2" xfId="8040" xr:uid="{00000000-0005-0000-0000-0000AC180000}"/>
    <cellStyle name="40% - Accent5 6 4 8 3" xfId="8041" xr:uid="{00000000-0005-0000-0000-0000AD180000}"/>
    <cellStyle name="40% - Accent5 6 4 9" xfId="8042" xr:uid="{00000000-0005-0000-0000-0000AE180000}"/>
    <cellStyle name="40% - Accent5 6 4 9 2" xfId="8043" xr:uid="{00000000-0005-0000-0000-0000AF180000}"/>
    <cellStyle name="40% - Accent5 6 5" xfId="1274" xr:uid="{00000000-0005-0000-0000-0000B0180000}"/>
    <cellStyle name="40% - Accent5 6 5 2" xfId="8045" xr:uid="{00000000-0005-0000-0000-0000B1180000}"/>
    <cellStyle name="40% - Accent5 6 5 2 2" xfId="8046" xr:uid="{00000000-0005-0000-0000-0000B2180000}"/>
    <cellStyle name="40% - Accent5 6 5 2 2 2" xfId="8047" xr:uid="{00000000-0005-0000-0000-0000B3180000}"/>
    <cellStyle name="40% - Accent5 6 5 2 2 2 2" xfId="8048" xr:uid="{00000000-0005-0000-0000-0000B4180000}"/>
    <cellStyle name="40% - Accent5 6 5 2 2 3" xfId="8049" xr:uid="{00000000-0005-0000-0000-0000B5180000}"/>
    <cellStyle name="40% - Accent5 6 5 2 3" xfId="8050" xr:uid="{00000000-0005-0000-0000-0000B6180000}"/>
    <cellStyle name="40% - Accent5 6 5 2 3 2" xfId="8051" xr:uid="{00000000-0005-0000-0000-0000B7180000}"/>
    <cellStyle name="40% - Accent5 6 5 2 4" xfId="8052" xr:uid="{00000000-0005-0000-0000-0000B8180000}"/>
    <cellStyle name="40% - Accent5 6 5 3" xfId="8053" xr:uid="{00000000-0005-0000-0000-0000B9180000}"/>
    <cellStyle name="40% - Accent5 6 5 3 2" xfId="8054" xr:uid="{00000000-0005-0000-0000-0000BA180000}"/>
    <cellStyle name="40% - Accent5 6 5 3 2 2" xfId="8055" xr:uid="{00000000-0005-0000-0000-0000BB180000}"/>
    <cellStyle name="40% - Accent5 6 5 3 2 2 2" xfId="8056" xr:uid="{00000000-0005-0000-0000-0000BC180000}"/>
    <cellStyle name="40% - Accent5 6 5 3 2 3" xfId="8057" xr:uid="{00000000-0005-0000-0000-0000BD180000}"/>
    <cellStyle name="40% - Accent5 6 5 3 3" xfId="8058" xr:uid="{00000000-0005-0000-0000-0000BE180000}"/>
    <cellStyle name="40% - Accent5 6 5 3 3 2" xfId="8059" xr:uid="{00000000-0005-0000-0000-0000BF180000}"/>
    <cellStyle name="40% - Accent5 6 5 3 4" xfId="8060" xr:uid="{00000000-0005-0000-0000-0000C0180000}"/>
    <cellStyle name="40% - Accent5 6 5 4" xfId="8061" xr:uid="{00000000-0005-0000-0000-0000C1180000}"/>
    <cellStyle name="40% - Accent5 6 5 4 2" xfId="8062" xr:uid="{00000000-0005-0000-0000-0000C2180000}"/>
    <cellStyle name="40% - Accent5 6 5 4 2 2" xfId="8063" xr:uid="{00000000-0005-0000-0000-0000C3180000}"/>
    <cellStyle name="40% - Accent5 6 5 4 3" xfId="8064" xr:uid="{00000000-0005-0000-0000-0000C4180000}"/>
    <cellStyle name="40% - Accent5 6 5 5" xfId="8065" xr:uid="{00000000-0005-0000-0000-0000C5180000}"/>
    <cellStyle name="40% - Accent5 6 5 5 2" xfId="8066" xr:uid="{00000000-0005-0000-0000-0000C6180000}"/>
    <cellStyle name="40% - Accent5 6 5 6" xfId="8067" xr:uid="{00000000-0005-0000-0000-0000C7180000}"/>
    <cellStyle name="40% - Accent5 6 5 7" xfId="8044" xr:uid="{00000000-0005-0000-0000-0000C8180000}"/>
    <cellStyle name="40% - Accent5 6 6" xfId="8068" xr:uid="{00000000-0005-0000-0000-0000C9180000}"/>
    <cellStyle name="40% - Accent5 6 6 2" xfId="8069" xr:uid="{00000000-0005-0000-0000-0000CA180000}"/>
    <cellStyle name="40% - Accent5 6 6 2 2" xfId="8070" xr:uid="{00000000-0005-0000-0000-0000CB180000}"/>
    <cellStyle name="40% - Accent5 6 6 2 2 2" xfId="8071" xr:uid="{00000000-0005-0000-0000-0000CC180000}"/>
    <cellStyle name="40% - Accent5 6 6 2 2 2 2" xfId="8072" xr:uid="{00000000-0005-0000-0000-0000CD180000}"/>
    <cellStyle name="40% - Accent5 6 6 2 2 3" xfId="8073" xr:uid="{00000000-0005-0000-0000-0000CE180000}"/>
    <cellStyle name="40% - Accent5 6 6 2 3" xfId="8074" xr:uid="{00000000-0005-0000-0000-0000CF180000}"/>
    <cellStyle name="40% - Accent5 6 6 2 3 2" xfId="8075" xr:uid="{00000000-0005-0000-0000-0000D0180000}"/>
    <cellStyle name="40% - Accent5 6 6 2 4" xfId="8076" xr:uid="{00000000-0005-0000-0000-0000D1180000}"/>
    <cellStyle name="40% - Accent5 6 6 3" xfId="8077" xr:uid="{00000000-0005-0000-0000-0000D2180000}"/>
    <cellStyle name="40% - Accent5 6 6 3 2" xfId="8078" xr:uid="{00000000-0005-0000-0000-0000D3180000}"/>
    <cellStyle name="40% - Accent5 6 6 3 2 2" xfId="8079" xr:uid="{00000000-0005-0000-0000-0000D4180000}"/>
    <cellStyle name="40% - Accent5 6 6 3 3" xfId="8080" xr:uid="{00000000-0005-0000-0000-0000D5180000}"/>
    <cellStyle name="40% - Accent5 6 6 4" xfId="8081" xr:uid="{00000000-0005-0000-0000-0000D6180000}"/>
    <cellStyle name="40% - Accent5 6 6 4 2" xfId="8082" xr:uid="{00000000-0005-0000-0000-0000D7180000}"/>
    <cellStyle name="40% - Accent5 6 6 5" xfId="8083" xr:uid="{00000000-0005-0000-0000-0000D8180000}"/>
    <cellStyle name="40% - Accent5 6 7" xfId="8084" xr:uid="{00000000-0005-0000-0000-0000D9180000}"/>
    <cellStyle name="40% - Accent5 6 7 2" xfId="8085" xr:uid="{00000000-0005-0000-0000-0000DA180000}"/>
    <cellStyle name="40% - Accent5 6 7 2 2" xfId="8086" xr:uid="{00000000-0005-0000-0000-0000DB180000}"/>
    <cellStyle name="40% - Accent5 6 7 2 2 2" xfId="8087" xr:uid="{00000000-0005-0000-0000-0000DC180000}"/>
    <cellStyle name="40% - Accent5 6 7 2 2 2 2" xfId="8088" xr:uid="{00000000-0005-0000-0000-0000DD180000}"/>
    <cellStyle name="40% - Accent5 6 7 2 2 3" xfId="8089" xr:uid="{00000000-0005-0000-0000-0000DE180000}"/>
    <cellStyle name="40% - Accent5 6 7 2 3" xfId="8090" xr:uid="{00000000-0005-0000-0000-0000DF180000}"/>
    <cellStyle name="40% - Accent5 6 7 2 3 2" xfId="8091" xr:uid="{00000000-0005-0000-0000-0000E0180000}"/>
    <cellStyle name="40% - Accent5 6 7 2 4" xfId="8092" xr:uid="{00000000-0005-0000-0000-0000E1180000}"/>
    <cellStyle name="40% - Accent5 6 7 3" xfId="8093" xr:uid="{00000000-0005-0000-0000-0000E2180000}"/>
    <cellStyle name="40% - Accent5 6 7 3 2" xfId="8094" xr:uid="{00000000-0005-0000-0000-0000E3180000}"/>
    <cellStyle name="40% - Accent5 6 7 3 2 2" xfId="8095" xr:uid="{00000000-0005-0000-0000-0000E4180000}"/>
    <cellStyle name="40% - Accent5 6 7 3 3" xfId="8096" xr:uid="{00000000-0005-0000-0000-0000E5180000}"/>
    <cellStyle name="40% - Accent5 6 7 4" xfId="8097" xr:uid="{00000000-0005-0000-0000-0000E6180000}"/>
    <cellStyle name="40% - Accent5 6 7 4 2" xfId="8098" xr:uid="{00000000-0005-0000-0000-0000E7180000}"/>
    <cellStyle name="40% - Accent5 6 7 5" xfId="8099" xr:uid="{00000000-0005-0000-0000-0000E8180000}"/>
    <cellStyle name="40% - Accent5 6 8" xfId="8100" xr:uid="{00000000-0005-0000-0000-0000E9180000}"/>
    <cellStyle name="40% - Accent5 6 8 2" xfId="8101" xr:uid="{00000000-0005-0000-0000-0000EA180000}"/>
    <cellStyle name="40% - Accent5 6 8 2 2" xfId="8102" xr:uid="{00000000-0005-0000-0000-0000EB180000}"/>
    <cellStyle name="40% - Accent5 6 8 2 2 2" xfId="8103" xr:uid="{00000000-0005-0000-0000-0000EC180000}"/>
    <cellStyle name="40% - Accent5 6 8 2 3" xfId="8104" xr:uid="{00000000-0005-0000-0000-0000ED180000}"/>
    <cellStyle name="40% - Accent5 6 8 3" xfId="8105" xr:uid="{00000000-0005-0000-0000-0000EE180000}"/>
    <cellStyle name="40% - Accent5 6 8 3 2" xfId="8106" xr:uid="{00000000-0005-0000-0000-0000EF180000}"/>
    <cellStyle name="40% - Accent5 6 8 4" xfId="8107" xr:uid="{00000000-0005-0000-0000-0000F0180000}"/>
    <cellStyle name="40% - Accent5 6 9" xfId="8108" xr:uid="{00000000-0005-0000-0000-0000F1180000}"/>
    <cellStyle name="40% - Accent5 6 9 2" xfId="8109" xr:uid="{00000000-0005-0000-0000-0000F2180000}"/>
    <cellStyle name="40% - Accent5 6 9 2 2" xfId="8110" xr:uid="{00000000-0005-0000-0000-0000F3180000}"/>
    <cellStyle name="40% - Accent5 6 9 2 2 2" xfId="8111" xr:uid="{00000000-0005-0000-0000-0000F4180000}"/>
    <cellStyle name="40% - Accent5 6 9 2 3" xfId="8112" xr:uid="{00000000-0005-0000-0000-0000F5180000}"/>
    <cellStyle name="40% - Accent5 6 9 3" xfId="8113" xr:uid="{00000000-0005-0000-0000-0000F6180000}"/>
    <cellStyle name="40% - Accent5 6 9 3 2" xfId="8114" xr:uid="{00000000-0005-0000-0000-0000F7180000}"/>
    <cellStyle name="40% - Accent5 6 9 4" xfId="8115" xr:uid="{00000000-0005-0000-0000-0000F8180000}"/>
    <cellStyle name="40% - Accent5 7" xfId="142" xr:uid="{00000000-0005-0000-0000-0000F9180000}"/>
    <cellStyle name="40% - Accent5 8" xfId="143" xr:uid="{00000000-0005-0000-0000-0000FA180000}"/>
    <cellStyle name="40% - Accent5 8 2" xfId="8116" xr:uid="{00000000-0005-0000-0000-0000FB180000}"/>
    <cellStyle name="40% - Accent5 8 2 2" xfId="8117" xr:uid="{00000000-0005-0000-0000-0000FC180000}"/>
    <cellStyle name="40% - Accent5 8 3" xfId="8118" xr:uid="{00000000-0005-0000-0000-0000FD180000}"/>
    <cellStyle name="40% - Accent5 9" xfId="8119" xr:uid="{00000000-0005-0000-0000-0000FE180000}"/>
    <cellStyle name="40% - Accent5 9 2" xfId="8120" xr:uid="{00000000-0005-0000-0000-0000FF180000}"/>
    <cellStyle name="40% - Accent5 9 2 2" xfId="8121" xr:uid="{00000000-0005-0000-0000-000000190000}"/>
    <cellStyle name="40% - Accent5 9 3" xfId="8122" xr:uid="{00000000-0005-0000-0000-000001190000}"/>
    <cellStyle name="40% - Accent6 10" xfId="8123" xr:uid="{00000000-0005-0000-0000-000002190000}"/>
    <cellStyle name="40% - Accent6 2" xfId="144" xr:uid="{00000000-0005-0000-0000-000003190000}"/>
    <cellStyle name="40% - Accent6 2 2" xfId="145" xr:uid="{00000000-0005-0000-0000-000004190000}"/>
    <cellStyle name="40% - Accent6 3" xfId="146" xr:uid="{00000000-0005-0000-0000-000005190000}"/>
    <cellStyle name="40% - Accent6 4" xfId="147" xr:uid="{00000000-0005-0000-0000-000006190000}"/>
    <cellStyle name="40% - Accent6 5" xfId="148" xr:uid="{00000000-0005-0000-0000-000007190000}"/>
    <cellStyle name="40% - Accent6 6" xfId="149" xr:uid="{00000000-0005-0000-0000-000008190000}"/>
    <cellStyle name="40% - Accent6 6 10" xfId="8125" xr:uid="{00000000-0005-0000-0000-000009190000}"/>
    <cellStyle name="40% - Accent6 6 10 2" xfId="8126" xr:uid="{00000000-0005-0000-0000-00000A190000}"/>
    <cellStyle name="40% - Accent6 6 10 2 2" xfId="8127" xr:uid="{00000000-0005-0000-0000-00000B190000}"/>
    <cellStyle name="40% - Accent6 6 10 2 2 2" xfId="8128" xr:uid="{00000000-0005-0000-0000-00000C190000}"/>
    <cellStyle name="40% - Accent6 6 10 2 3" xfId="8129" xr:uid="{00000000-0005-0000-0000-00000D190000}"/>
    <cellStyle name="40% - Accent6 6 10 3" xfId="8130" xr:uid="{00000000-0005-0000-0000-00000E190000}"/>
    <cellStyle name="40% - Accent6 6 10 3 2" xfId="8131" xr:uid="{00000000-0005-0000-0000-00000F190000}"/>
    <cellStyle name="40% - Accent6 6 10 4" xfId="8132" xr:uid="{00000000-0005-0000-0000-000010190000}"/>
    <cellStyle name="40% - Accent6 6 11" xfId="8133" xr:uid="{00000000-0005-0000-0000-000011190000}"/>
    <cellStyle name="40% - Accent6 6 11 2" xfId="8134" xr:uid="{00000000-0005-0000-0000-000012190000}"/>
    <cellStyle name="40% - Accent6 6 11 2 2" xfId="8135" xr:uid="{00000000-0005-0000-0000-000013190000}"/>
    <cellStyle name="40% - Accent6 6 11 3" xfId="8136" xr:uid="{00000000-0005-0000-0000-000014190000}"/>
    <cellStyle name="40% - Accent6 6 12" xfId="8137" xr:uid="{00000000-0005-0000-0000-000015190000}"/>
    <cellStyle name="40% - Accent6 6 12 2" xfId="8138" xr:uid="{00000000-0005-0000-0000-000016190000}"/>
    <cellStyle name="40% - Accent6 6 12 2 2" xfId="8139" xr:uid="{00000000-0005-0000-0000-000017190000}"/>
    <cellStyle name="40% - Accent6 6 12 3" xfId="8140" xr:uid="{00000000-0005-0000-0000-000018190000}"/>
    <cellStyle name="40% - Accent6 6 13" xfId="8141" xr:uid="{00000000-0005-0000-0000-000019190000}"/>
    <cellStyle name="40% - Accent6 6 13 2" xfId="8142" xr:uid="{00000000-0005-0000-0000-00001A190000}"/>
    <cellStyle name="40% - Accent6 6 13 2 2" xfId="8143" xr:uid="{00000000-0005-0000-0000-00001B190000}"/>
    <cellStyle name="40% - Accent6 6 13 3" xfId="8144" xr:uid="{00000000-0005-0000-0000-00001C190000}"/>
    <cellStyle name="40% - Accent6 6 14" xfId="8145" xr:uid="{00000000-0005-0000-0000-00001D190000}"/>
    <cellStyle name="40% - Accent6 6 14 2" xfId="8146" xr:uid="{00000000-0005-0000-0000-00001E190000}"/>
    <cellStyle name="40% - Accent6 6 15" xfId="8147" xr:uid="{00000000-0005-0000-0000-00001F190000}"/>
    <cellStyle name="40% - Accent6 6 16" xfId="8148" xr:uid="{00000000-0005-0000-0000-000020190000}"/>
    <cellStyle name="40% - Accent6 6 17" xfId="8124" xr:uid="{00000000-0005-0000-0000-000021190000}"/>
    <cellStyle name="40% - Accent6 6 2" xfId="150" xr:uid="{00000000-0005-0000-0000-000022190000}"/>
    <cellStyle name="40% - Accent6 6 2 10" xfId="8150" xr:uid="{00000000-0005-0000-0000-000023190000}"/>
    <cellStyle name="40% - Accent6 6 2 10 2" xfId="8151" xr:uid="{00000000-0005-0000-0000-000024190000}"/>
    <cellStyle name="40% - Accent6 6 2 10 2 2" xfId="8152" xr:uid="{00000000-0005-0000-0000-000025190000}"/>
    <cellStyle name="40% - Accent6 6 2 10 3" xfId="8153" xr:uid="{00000000-0005-0000-0000-000026190000}"/>
    <cellStyle name="40% - Accent6 6 2 11" xfId="8154" xr:uid="{00000000-0005-0000-0000-000027190000}"/>
    <cellStyle name="40% - Accent6 6 2 11 2" xfId="8155" xr:uid="{00000000-0005-0000-0000-000028190000}"/>
    <cellStyle name="40% - Accent6 6 2 11 2 2" xfId="8156" xr:uid="{00000000-0005-0000-0000-000029190000}"/>
    <cellStyle name="40% - Accent6 6 2 11 3" xfId="8157" xr:uid="{00000000-0005-0000-0000-00002A190000}"/>
    <cellStyle name="40% - Accent6 6 2 12" xfId="8158" xr:uid="{00000000-0005-0000-0000-00002B190000}"/>
    <cellStyle name="40% - Accent6 6 2 12 2" xfId="8159" xr:uid="{00000000-0005-0000-0000-00002C190000}"/>
    <cellStyle name="40% - Accent6 6 2 13" xfId="8160" xr:uid="{00000000-0005-0000-0000-00002D190000}"/>
    <cellStyle name="40% - Accent6 6 2 14" xfId="8161" xr:uid="{00000000-0005-0000-0000-00002E190000}"/>
    <cellStyle name="40% - Accent6 6 2 15" xfId="8149" xr:uid="{00000000-0005-0000-0000-00002F190000}"/>
    <cellStyle name="40% - Accent6 6 2 2" xfId="845" xr:uid="{00000000-0005-0000-0000-000030190000}"/>
    <cellStyle name="40% - Accent6 6 2 2 10" xfId="8163" xr:uid="{00000000-0005-0000-0000-000031190000}"/>
    <cellStyle name="40% - Accent6 6 2 2 11" xfId="8162" xr:uid="{00000000-0005-0000-0000-000032190000}"/>
    <cellStyle name="40% - Accent6 6 2 2 2" xfId="1603" xr:uid="{00000000-0005-0000-0000-000033190000}"/>
    <cellStyle name="40% - Accent6 6 2 2 2 2" xfId="8165" xr:uid="{00000000-0005-0000-0000-000034190000}"/>
    <cellStyle name="40% - Accent6 6 2 2 2 2 2" xfId="8166" xr:uid="{00000000-0005-0000-0000-000035190000}"/>
    <cellStyle name="40% - Accent6 6 2 2 2 2 2 2" xfId="8167" xr:uid="{00000000-0005-0000-0000-000036190000}"/>
    <cellStyle name="40% - Accent6 6 2 2 2 2 2 2 2" xfId="8168" xr:uid="{00000000-0005-0000-0000-000037190000}"/>
    <cellStyle name="40% - Accent6 6 2 2 2 2 2 3" xfId="8169" xr:uid="{00000000-0005-0000-0000-000038190000}"/>
    <cellStyle name="40% - Accent6 6 2 2 2 2 3" xfId="8170" xr:uid="{00000000-0005-0000-0000-000039190000}"/>
    <cellStyle name="40% - Accent6 6 2 2 2 2 3 2" xfId="8171" xr:uid="{00000000-0005-0000-0000-00003A190000}"/>
    <cellStyle name="40% - Accent6 6 2 2 2 2 4" xfId="8172" xr:uid="{00000000-0005-0000-0000-00003B190000}"/>
    <cellStyle name="40% - Accent6 6 2 2 2 3" xfId="8173" xr:uid="{00000000-0005-0000-0000-00003C190000}"/>
    <cellStyle name="40% - Accent6 6 2 2 2 3 2" xfId="8174" xr:uid="{00000000-0005-0000-0000-00003D190000}"/>
    <cellStyle name="40% - Accent6 6 2 2 2 3 2 2" xfId="8175" xr:uid="{00000000-0005-0000-0000-00003E190000}"/>
    <cellStyle name="40% - Accent6 6 2 2 2 3 2 2 2" xfId="8176" xr:uid="{00000000-0005-0000-0000-00003F190000}"/>
    <cellStyle name="40% - Accent6 6 2 2 2 3 2 3" xfId="8177" xr:uid="{00000000-0005-0000-0000-000040190000}"/>
    <cellStyle name="40% - Accent6 6 2 2 2 3 3" xfId="8178" xr:uid="{00000000-0005-0000-0000-000041190000}"/>
    <cellStyle name="40% - Accent6 6 2 2 2 3 3 2" xfId="8179" xr:uid="{00000000-0005-0000-0000-000042190000}"/>
    <cellStyle name="40% - Accent6 6 2 2 2 3 4" xfId="8180" xr:uid="{00000000-0005-0000-0000-000043190000}"/>
    <cellStyle name="40% - Accent6 6 2 2 2 4" xfId="8181" xr:uid="{00000000-0005-0000-0000-000044190000}"/>
    <cellStyle name="40% - Accent6 6 2 2 2 4 2" xfId="8182" xr:uid="{00000000-0005-0000-0000-000045190000}"/>
    <cellStyle name="40% - Accent6 6 2 2 2 4 2 2" xfId="8183" xr:uid="{00000000-0005-0000-0000-000046190000}"/>
    <cellStyle name="40% - Accent6 6 2 2 2 4 3" xfId="8184" xr:uid="{00000000-0005-0000-0000-000047190000}"/>
    <cellStyle name="40% - Accent6 6 2 2 2 5" xfId="8185" xr:uid="{00000000-0005-0000-0000-000048190000}"/>
    <cellStyle name="40% - Accent6 6 2 2 2 5 2" xfId="8186" xr:uid="{00000000-0005-0000-0000-000049190000}"/>
    <cellStyle name="40% - Accent6 6 2 2 2 6" xfId="8187" xr:uid="{00000000-0005-0000-0000-00004A190000}"/>
    <cellStyle name="40% - Accent6 6 2 2 2 7" xfId="8164" xr:uid="{00000000-0005-0000-0000-00004B190000}"/>
    <cellStyle name="40% - Accent6 6 2 2 3" xfId="8188" xr:uid="{00000000-0005-0000-0000-00004C190000}"/>
    <cellStyle name="40% - Accent6 6 2 2 3 2" xfId="8189" xr:uid="{00000000-0005-0000-0000-00004D190000}"/>
    <cellStyle name="40% - Accent6 6 2 2 3 2 2" xfId="8190" xr:uid="{00000000-0005-0000-0000-00004E190000}"/>
    <cellStyle name="40% - Accent6 6 2 2 3 2 2 2" xfId="8191" xr:uid="{00000000-0005-0000-0000-00004F190000}"/>
    <cellStyle name="40% - Accent6 6 2 2 3 2 2 2 2" xfId="8192" xr:uid="{00000000-0005-0000-0000-000050190000}"/>
    <cellStyle name="40% - Accent6 6 2 2 3 2 2 3" xfId="8193" xr:uid="{00000000-0005-0000-0000-000051190000}"/>
    <cellStyle name="40% - Accent6 6 2 2 3 2 3" xfId="8194" xr:uid="{00000000-0005-0000-0000-000052190000}"/>
    <cellStyle name="40% - Accent6 6 2 2 3 2 3 2" xfId="8195" xr:uid="{00000000-0005-0000-0000-000053190000}"/>
    <cellStyle name="40% - Accent6 6 2 2 3 2 4" xfId="8196" xr:uid="{00000000-0005-0000-0000-000054190000}"/>
    <cellStyle name="40% - Accent6 6 2 2 3 3" xfId="8197" xr:uid="{00000000-0005-0000-0000-000055190000}"/>
    <cellStyle name="40% - Accent6 6 2 2 3 3 2" xfId="8198" xr:uid="{00000000-0005-0000-0000-000056190000}"/>
    <cellStyle name="40% - Accent6 6 2 2 3 3 2 2" xfId="8199" xr:uid="{00000000-0005-0000-0000-000057190000}"/>
    <cellStyle name="40% - Accent6 6 2 2 3 3 3" xfId="8200" xr:uid="{00000000-0005-0000-0000-000058190000}"/>
    <cellStyle name="40% - Accent6 6 2 2 3 4" xfId="8201" xr:uid="{00000000-0005-0000-0000-000059190000}"/>
    <cellStyle name="40% - Accent6 6 2 2 3 4 2" xfId="8202" xr:uid="{00000000-0005-0000-0000-00005A190000}"/>
    <cellStyle name="40% - Accent6 6 2 2 3 5" xfId="8203" xr:uid="{00000000-0005-0000-0000-00005B190000}"/>
    <cellStyle name="40% - Accent6 6 2 2 4" xfId="8204" xr:uid="{00000000-0005-0000-0000-00005C190000}"/>
    <cellStyle name="40% - Accent6 6 2 2 4 2" xfId="8205" xr:uid="{00000000-0005-0000-0000-00005D190000}"/>
    <cellStyle name="40% - Accent6 6 2 2 4 2 2" xfId="8206" xr:uid="{00000000-0005-0000-0000-00005E190000}"/>
    <cellStyle name="40% - Accent6 6 2 2 4 2 2 2" xfId="8207" xr:uid="{00000000-0005-0000-0000-00005F190000}"/>
    <cellStyle name="40% - Accent6 6 2 2 4 2 2 2 2" xfId="8208" xr:uid="{00000000-0005-0000-0000-000060190000}"/>
    <cellStyle name="40% - Accent6 6 2 2 4 2 2 3" xfId="8209" xr:uid="{00000000-0005-0000-0000-000061190000}"/>
    <cellStyle name="40% - Accent6 6 2 2 4 2 3" xfId="8210" xr:uid="{00000000-0005-0000-0000-000062190000}"/>
    <cellStyle name="40% - Accent6 6 2 2 4 2 3 2" xfId="8211" xr:uid="{00000000-0005-0000-0000-000063190000}"/>
    <cellStyle name="40% - Accent6 6 2 2 4 2 4" xfId="8212" xr:uid="{00000000-0005-0000-0000-000064190000}"/>
    <cellStyle name="40% - Accent6 6 2 2 4 3" xfId="8213" xr:uid="{00000000-0005-0000-0000-000065190000}"/>
    <cellStyle name="40% - Accent6 6 2 2 4 3 2" xfId="8214" xr:uid="{00000000-0005-0000-0000-000066190000}"/>
    <cellStyle name="40% - Accent6 6 2 2 4 3 2 2" xfId="8215" xr:uid="{00000000-0005-0000-0000-000067190000}"/>
    <cellStyle name="40% - Accent6 6 2 2 4 3 3" xfId="8216" xr:uid="{00000000-0005-0000-0000-000068190000}"/>
    <cellStyle name="40% - Accent6 6 2 2 4 4" xfId="8217" xr:uid="{00000000-0005-0000-0000-000069190000}"/>
    <cellStyle name="40% - Accent6 6 2 2 4 4 2" xfId="8218" xr:uid="{00000000-0005-0000-0000-00006A190000}"/>
    <cellStyle name="40% - Accent6 6 2 2 4 5" xfId="8219" xr:uid="{00000000-0005-0000-0000-00006B190000}"/>
    <cellStyle name="40% - Accent6 6 2 2 5" xfId="8220" xr:uid="{00000000-0005-0000-0000-00006C190000}"/>
    <cellStyle name="40% - Accent6 6 2 2 5 2" xfId="8221" xr:uid="{00000000-0005-0000-0000-00006D190000}"/>
    <cellStyle name="40% - Accent6 6 2 2 5 2 2" xfId="8222" xr:uid="{00000000-0005-0000-0000-00006E190000}"/>
    <cellStyle name="40% - Accent6 6 2 2 5 2 2 2" xfId="8223" xr:uid="{00000000-0005-0000-0000-00006F190000}"/>
    <cellStyle name="40% - Accent6 6 2 2 5 2 3" xfId="8224" xr:uid="{00000000-0005-0000-0000-000070190000}"/>
    <cellStyle name="40% - Accent6 6 2 2 5 3" xfId="8225" xr:uid="{00000000-0005-0000-0000-000071190000}"/>
    <cellStyle name="40% - Accent6 6 2 2 5 3 2" xfId="8226" xr:uid="{00000000-0005-0000-0000-000072190000}"/>
    <cellStyle name="40% - Accent6 6 2 2 5 4" xfId="8227" xr:uid="{00000000-0005-0000-0000-000073190000}"/>
    <cellStyle name="40% - Accent6 6 2 2 6" xfId="8228" xr:uid="{00000000-0005-0000-0000-000074190000}"/>
    <cellStyle name="40% - Accent6 6 2 2 6 2" xfId="8229" xr:uid="{00000000-0005-0000-0000-000075190000}"/>
    <cellStyle name="40% - Accent6 6 2 2 6 2 2" xfId="8230" xr:uid="{00000000-0005-0000-0000-000076190000}"/>
    <cellStyle name="40% - Accent6 6 2 2 6 2 2 2" xfId="8231" xr:uid="{00000000-0005-0000-0000-000077190000}"/>
    <cellStyle name="40% - Accent6 6 2 2 6 2 3" xfId="8232" xr:uid="{00000000-0005-0000-0000-000078190000}"/>
    <cellStyle name="40% - Accent6 6 2 2 6 3" xfId="8233" xr:uid="{00000000-0005-0000-0000-000079190000}"/>
    <cellStyle name="40% - Accent6 6 2 2 6 3 2" xfId="8234" xr:uid="{00000000-0005-0000-0000-00007A190000}"/>
    <cellStyle name="40% - Accent6 6 2 2 6 4" xfId="8235" xr:uid="{00000000-0005-0000-0000-00007B190000}"/>
    <cellStyle name="40% - Accent6 6 2 2 7" xfId="8236" xr:uid="{00000000-0005-0000-0000-00007C190000}"/>
    <cellStyle name="40% - Accent6 6 2 2 7 2" xfId="8237" xr:uid="{00000000-0005-0000-0000-00007D190000}"/>
    <cellStyle name="40% - Accent6 6 2 2 7 2 2" xfId="8238" xr:uid="{00000000-0005-0000-0000-00007E190000}"/>
    <cellStyle name="40% - Accent6 6 2 2 7 2 2 2" xfId="8239" xr:uid="{00000000-0005-0000-0000-00007F190000}"/>
    <cellStyle name="40% - Accent6 6 2 2 7 2 3" xfId="8240" xr:uid="{00000000-0005-0000-0000-000080190000}"/>
    <cellStyle name="40% - Accent6 6 2 2 7 3" xfId="8241" xr:uid="{00000000-0005-0000-0000-000081190000}"/>
    <cellStyle name="40% - Accent6 6 2 2 7 3 2" xfId="8242" xr:uid="{00000000-0005-0000-0000-000082190000}"/>
    <cellStyle name="40% - Accent6 6 2 2 7 4" xfId="8243" xr:uid="{00000000-0005-0000-0000-000083190000}"/>
    <cellStyle name="40% - Accent6 6 2 2 8" xfId="8244" xr:uid="{00000000-0005-0000-0000-000084190000}"/>
    <cellStyle name="40% - Accent6 6 2 2 8 2" xfId="8245" xr:uid="{00000000-0005-0000-0000-000085190000}"/>
    <cellStyle name="40% - Accent6 6 2 2 8 2 2" xfId="8246" xr:uid="{00000000-0005-0000-0000-000086190000}"/>
    <cellStyle name="40% - Accent6 6 2 2 8 3" xfId="8247" xr:uid="{00000000-0005-0000-0000-000087190000}"/>
    <cellStyle name="40% - Accent6 6 2 2 9" xfId="8248" xr:uid="{00000000-0005-0000-0000-000088190000}"/>
    <cellStyle name="40% - Accent6 6 2 2 9 2" xfId="8249" xr:uid="{00000000-0005-0000-0000-000089190000}"/>
    <cellStyle name="40% - Accent6 6 2 3" xfId="1278" xr:uid="{00000000-0005-0000-0000-00008A190000}"/>
    <cellStyle name="40% - Accent6 6 2 3 2" xfId="8251" xr:uid="{00000000-0005-0000-0000-00008B190000}"/>
    <cellStyle name="40% - Accent6 6 2 3 2 2" xfId="8252" xr:uid="{00000000-0005-0000-0000-00008C190000}"/>
    <cellStyle name="40% - Accent6 6 2 3 2 2 2" xfId="8253" xr:uid="{00000000-0005-0000-0000-00008D190000}"/>
    <cellStyle name="40% - Accent6 6 2 3 2 2 2 2" xfId="8254" xr:uid="{00000000-0005-0000-0000-00008E190000}"/>
    <cellStyle name="40% - Accent6 6 2 3 2 2 3" xfId="8255" xr:uid="{00000000-0005-0000-0000-00008F190000}"/>
    <cellStyle name="40% - Accent6 6 2 3 2 3" xfId="8256" xr:uid="{00000000-0005-0000-0000-000090190000}"/>
    <cellStyle name="40% - Accent6 6 2 3 2 3 2" xfId="8257" xr:uid="{00000000-0005-0000-0000-000091190000}"/>
    <cellStyle name="40% - Accent6 6 2 3 2 4" xfId="8258" xr:uid="{00000000-0005-0000-0000-000092190000}"/>
    <cellStyle name="40% - Accent6 6 2 3 3" xfId="8259" xr:uid="{00000000-0005-0000-0000-000093190000}"/>
    <cellStyle name="40% - Accent6 6 2 3 3 2" xfId="8260" xr:uid="{00000000-0005-0000-0000-000094190000}"/>
    <cellStyle name="40% - Accent6 6 2 3 3 2 2" xfId="8261" xr:uid="{00000000-0005-0000-0000-000095190000}"/>
    <cellStyle name="40% - Accent6 6 2 3 3 2 2 2" xfId="8262" xr:uid="{00000000-0005-0000-0000-000096190000}"/>
    <cellStyle name="40% - Accent6 6 2 3 3 2 3" xfId="8263" xr:uid="{00000000-0005-0000-0000-000097190000}"/>
    <cellStyle name="40% - Accent6 6 2 3 3 3" xfId="8264" xr:uid="{00000000-0005-0000-0000-000098190000}"/>
    <cellStyle name="40% - Accent6 6 2 3 3 3 2" xfId="8265" xr:uid="{00000000-0005-0000-0000-000099190000}"/>
    <cellStyle name="40% - Accent6 6 2 3 3 4" xfId="8266" xr:uid="{00000000-0005-0000-0000-00009A190000}"/>
    <cellStyle name="40% - Accent6 6 2 3 4" xfId="8267" xr:uid="{00000000-0005-0000-0000-00009B190000}"/>
    <cellStyle name="40% - Accent6 6 2 3 4 2" xfId="8268" xr:uid="{00000000-0005-0000-0000-00009C190000}"/>
    <cellStyle name="40% - Accent6 6 2 3 4 2 2" xfId="8269" xr:uid="{00000000-0005-0000-0000-00009D190000}"/>
    <cellStyle name="40% - Accent6 6 2 3 4 3" xfId="8270" xr:uid="{00000000-0005-0000-0000-00009E190000}"/>
    <cellStyle name="40% - Accent6 6 2 3 5" xfId="8271" xr:uid="{00000000-0005-0000-0000-00009F190000}"/>
    <cellStyle name="40% - Accent6 6 2 3 5 2" xfId="8272" xr:uid="{00000000-0005-0000-0000-0000A0190000}"/>
    <cellStyle name="40% - Accent6 6 2 3 6" xfId="8273" xr:uid="{00000000-0005-0000-0000-0000A1190000}"/>
    <cellStyle name="40% - Accent6 6 2 3 7" xfId="8250" xr:uid="{00000000-0005-0000-0000-0000A2190000}"/>
    <cellStyle name="40% - Accent6 6 2 4" xfId="8274" xr:uid="{00000000-0005-0000-0000-0000A3190000}"/>
    <cellStyle name="40% - Accent6 6 2 4 2" xfId="8275" xr:uid="{00000000-0005-0000-0000-0000A4190000}"/>
    <cellStyle name="40% - Accent6 6 2 4 2 2" xfId="8276" xr:uid="{00000000-0005-0000-0000-0000A5190000}"/>
    <cellStyle name="40% - Accent6 6 2 4 2 2 2" xfId="8277" xr:uid="{00000000-0005-0000-0000-0000A6190000}"/>
    <cellStyle name="40% - Accent6 6 2 4 2 2 2 2" xfId="8278" xr:uid="{00000000-0005-0000-0000-0000A7190000}"/>
    <cellStyle name="40% - Accent6 6 2 4 2 2 3" xfId="8279" xr:uid="{00000000-0005-0000-0000-0000A8190000}"/>
    <cellStyle name="40% - Accent6 6 2 4 2 3" xfId="8280" xr:uid="{00000000-0005-0000-0000-0000A9190000}"/>
    <cellStyle name="40% - Accent6 6 2 4 2 3 2" xfId="8281" xr:uid="{00000000-0005-0000-0000-0000AA190000}"/>
    <cellStyle name="40% - Accent6 6 2 4 2 4" xfId="8282" xr:uid="{00000000-0005-0000-0000-0000AB190000}"/>
    <cellStyle name="40% - Accent6 6 2 4 3" xfId="8283" xr:uid="{00000000-0005-0000-0000-0000AC190000}"/>
    <cellStyle name="40% - Accent6 6 2 4 3 2" xfId="8284" xr:uid="{00000000-0005-0000-0000-0000AD190000}"/>
    <cellStyle name="40% - Accent6 6 2 4 3 2 2" xfId="8285" xr:uid="{00000000-0005-0000-0000-0000AE190000}"/>
    <cellStyle name="40% - Accent6 6 2 4 3 3" xfId="8286" xr:uid="{00000000-0005-0000-0000-0000AF190000}"/>
    <cellStyle name="40% - Accent6 6 2 4 4" xfId="8287" xr:uid="{00000000-0005-0000-0000-0000B0190000}"/>
    <cellStyle name="40% - Accent6 6 2 4 4 2" xfId="8288" xr:uid="{00000000-0005-0000-0000-0000B1190000}"/>
    <cellStyle name="40% - Accent6 6 2 4 5" xfId="8289" xr:uid="{00000000-0005-0000-0000-0000B2190000}"/>
    <cellStyle name="40% - Accent6 6 2 5" xfId="8290" xr:uid="{00000000-0005-0000-0000-0000B3190000}"/>
    <cellStyle name="40% - Accent6 6 2 5 2" xfId="8291" xr:uid="{00000000-0005-0000-0000-0000B4190000}"/>
    <cellStyle name="40% - Accent6 6 2 5 2 2" xfId="8292" xr:uid="{00000000-0005-0000-0000-0000B5190000}"/>
    <cellStyle name="40% - Accent6 6 2 5 2 2 2" xfId="8293" xr:uid="{00000000-0005-0000-0000-0000B6190000}"/>
    <cellStyle name="40% - Accent6 6 2 5 2 2 2 2" xfId="8294" xr:uid="{00000000-0005-0000-0000-0000B7190000}"/>
    <cellStyle name="40% - Accent6 6 2 5 2 2 3" xfId="8295" xr:uid="{00000000-0005-0000-0000-0000B8190000}"/>
    <cellStyle name="40% - Accent6 6 2 5 2 3" xfId="8296" xr:uid="{00000000-0005-0000-0000-0000B9190000}"/>
    <cellStyle name="40% - Accent6 6 2 5 2 3 2" xfId="8297" xr:uid="{00000000-0005-0000-0000-0000BA190000}"/>
    <cellStyle name="40% - Accent6 6 2 5 2 4" xfId="8298" xr:uid="{00000000-0005-0000-0000-0000BB190000}"/>
    <cellStyle name="40% - Accent6 6 2 5 3" xfId="8299" xr:uid="{00000000-0005-0000-0000-0000BC190000}"/>
    <cellStyle name="40% - Accent6 6 2 5 3 2" xfId="8300" xr:uid="{00000000-0005-0000-0000-0000BD190000}"/>
    <cellStyle name="40% - Accent6 6 2 5 3 2 2" xfId="8301" xr:uid="{00000000-0005-0000-0000-0000BE190000}"/>
    <cellStyle name="40% - Accent6 6 2 5 3 3" xfId="8302" xr:uid="{00000000-0005-0000-0000-0000BF190000}"/>
    <cellStyle name="40% - Accent6 6 2 5 4" xfId="8303" xr:uid="{00000000-0005-0000-0000-0000C0190000}"/>
    <cellStyle name="40% - Accent6 6 2 5 4 2" xfId="8304" xr:uid="{00000000-0005-0000-0000-0000C1190000}"/>
    <cellStyle name="40% - Accent6 6 2 5 5" xfId="8305" xr:uid="{00000000-0005-0000-0000-0000C2190000}"/>
    <cellStyle name="40% - Accent6 6 2 6" xfId="8306" xr:uid="{00000000-0005-0000-0000-0000C3190000}"/>
    <cellStyle name="40% - Accent6 6 2 6 2" xfId="8307" xr:uid="{00000000-0005-0000-0000-0000C4190000}"/>
    <cellStyle name="40% - Accent6 6 2 6 2 2" xfId="8308" xr:uid="{00000000-0005-0000-0000-0000C5190000}"/>
    <cellStyle name="40% - Accent6 6 2 6 2 2 2" xfId="8309" xr:uid="{00000000-0005-0000-0000-0000C6190000}"/>
    <cellStyle name="40% - Accent6 6 2 6 2 3" xfId="8310" xr:uid="{00000000-0005-0000-0000-0000C7190000}"/>
    <cellStyle name="40% - Accent6 6 2 6 3" xfId="8311" xr:uid="{00000000-0005-0000-0000-0000C8190000}"/>
    <cellStyle name="40% - Accent6 6 2 6 3 2" xfId="8312" xr:uid="{00000000-0005-0000-0000-0000C9190000}"/>
    <cellStyle name="40% - Accent6 6 2 6 4" xfId="8313" xr:uid="{00000000-0005-0000-0000-0000CA190000}"/>
    <cellStyle name="40% - Accent6 6 2 7" xfId="8314" xr:uid="{00000000-0005-0000-0000-0000CB190000}"/>
    <cellStyle name="40% - Accent6 6 2 7 2" xfId="8315" xr:uid="{00000000-0005-0000-0000-0000CC190000}"/>
    <cellStyle name="40% - Accent6 6 2 7 2 2" xfId="8316" xr:uid="{00000000-0005-0000-0000-0000CD190000}"/>
    <cellStyle name="40% - Accent6 6 2 7 2 2 2" xfId="8317" xr:uid="{00000000-0005-0000-0000-0000CE190000}"/>
    <cellStyle name="40% - Accent6 6 2 7 2 3" xfId="8318" xr:uid="{00000000-0005-0000-0000-0000CF190000}"/>
    <cellStyle name="40% - Accent6 6 2 7 3" xfId="8319" xr:uid="{00000000-0005-0000-0000-0000D0190000}"/>
    <cellStyle name="40% - Accent6 6 2 7 3 2" xfId="8320" xr:uid="{00000000-0005-0000-0000-0000D1190000}"/>
    <cellStyle name="40% - Accent6 6 2 7 4" xfId="8321" xr:uid="{00000000-0005-0000-0000-0000D2190000}"/>
    <cellStyle name="40% - Accent6 6 2 8" xfId="8322" xr:uid="{00000000-0005-0000-0000-0000D3190000}"/>
    <cellStyle name="40% - Accent6 6 2 8 2" xfId="8323" xr:uid="{00000000-0005-0000-0000-0000D4190000}"/>
    <cellStyle name="40% - Accent6 6 2 8 2 2" xfId="8324" xr:uid="{00000000-0005-0000-0000-0000D5190000}"/>
    <cellStyle name="40% - Accent6 6 2 8 2 2 2" xfId="8325" xr:uid="{00000000-0005-0000-0000-0000D6190000}"/>
    <cellStyle name="40% - Accent6 6 2 8 2 3" xfId="8326" xr:uid="{00000000-0005-0000-0000-0000D7190000}"/>
    <cellStyle name="40% - Accent6 6 2 8 3" xfId="8327" xr:uid="{00000000-0005-0000-0000-0000D8190000}"/>
    <cellStyle name="40% - Accent6 6 2 8 3 2" xfId="8328" xr:uid="{00000000-0005-0000-0000-0000D9190000}"/>
    <cellStyle name="40% - Accent6 6 2 8 4" xfId="8329" xr:uid="{00000000-0005-0000-0000-0000DA190000}"/>
    <cellStyle name="40% - Accent6 6 2 9" xfId="8330" xr:uid="{00000000-0005-0000-0000-0000DB190000}"/>
    <cellStyle name="40% - Accent6 6 2 9 2" xfId="8331" xr:uid="{00000000-0005-0000-0000-0000DC190000}"/>
    <cellStyle name="40% - Accent6 6 2 9 2 2" xfId="8332" xr:uid="{00000000-0005-0000-0000-0000DD190000}"/>
    <cellStyle name="40% - Accent6 6 2 9 3" xfId="8333" xr:uid="{00000000-0005-0000-0000-0000DE190000}"/>
    <cellStyle name="40% - Accent6 6 3" xfId="151" xr:uid="{00000000-0005-0000-0000-0000DF190000}"/>
    <cellStyle name="40% - Accent6 6 3 10" xfId="8335" xr:uid="{00000000-0005-0000-0000-0000E0190000}"/>
    <cellStyle name="40% - Accent6 6 3 10 2" xfId="8336" xr:uid="{00000000-0005-0000-0000-0000E1190000}"/>
    <cellStyle name="40% - Accent6 6 3 10 2 2" xfId="8337" xr:uid="{00000000-0005-0000-0000-0000E2190000}"/>
    <cellStyle name="40% - Accent6 6 3 10 3" xfId="8338" xr:uid="{00000000-0005-0000-0000-0000E3190000}"/>
    <cellStyle name="40% - Accent6 6 3 11" xfId="8339" xr:uid="{00000000-0005-0000-0000-0000E4190000}"/>
    <cellStyle name="40% - Accent6 6 3 11 2" xfId="8340" xr:uid="{00000000-0005-0000-0000-0000E5190000}"/>
    <cellStyle name="40% - Accent6 6 3 11 2 2" xfId="8341" xr:uid="{00000000-0005-0000-0000-0000E6190000}"/>
    <cellStyle name="40% - Accent6 6 3 11 3" xfId="8342" xr:uid="{00000000-0005-0000-0000-0000E7190000}"/>
    <cellStyle name="40% - Accent6 6 3 12" xfId="8343" xr:uid="{00000000-0005-0000-0000-0000E8190000}"/>
    <cellStyle name="40% - Accent6 6 3 12 2" xfId="8344" xr:uid="{00000000-0005-0000-0000-0000E9190000}"/>
    <cellStyle name="40% - Accent6 6 3 13" xfId="8345" xr:uid="{00000000-0005-0000-0000-0000EA190000}"/>
    <cellStyle name="40% - Accent6 6 3 14" xfId="8346" xr:uid="{00000000-0005-0000-0000-0000EB190000}"/>
    <cellStyle name="40% - Accent6 6 3 15" xfId="8334" xr:uid="{00000000-0005-0000-0000-0000EC190000}"/>
    <cellStyle name="40% - Accent6 6 3 2" xfId="846" xr:uid="{00000000-0005-0000-0000-0000ED190000}"/>
    <cellStyle name="40% - Accent6 6 3 2 10" xfId="8348" xr:uid="{00000000-0005-0000-0000-0000EE190000}"/>
    <cellStyle name="40% - Accent6 6 3 2 11" xfId="8347" xr:uid="{00000000-0005-0000-0000-0000EF190000}"/>
    <cellStyle name="40% - Accent6 6 3 2 2" xfId="1604" xr:uid="{00000000-0005-0000-0000-0000F0190000}"/>
    <cellStyle name="40% - Accent6 6 3 2 2 2" xfId="8350" xr:uid="{00000000-0005-0000-0000-0000F1190000}"/>
    <cellStyle name="40% - Accent6 6 3 2 2 2 2" xfId="8351" xr:uid="{00000000-0005-0000-0000-0000F2190000}"/>
    <cellStyle name="40% - Accent6 6 3 2 2 2 2 2" xfId="8352" xr:uid="{00000000-0005-0000-0000-0000F3190000}"/>
    <cellStyle name="40% - Accent6 6 3 2 2 2 2 2 2" xfId="8353" xr:uid="{00000000-0005-0000-0000-0000F4190000}"/>
    <cellStyle name="40% - Accent6 6 3 2 2 2 2 3" xfId="8354" xr:uid="{00000000-0005-0000-0000-0000F5190000}"/>
    <cellStyle name="40% - Accent6 6 3 2 2 2 3" xfId="8355" xr:uid="{00000000-0005-0000-0000-0000F6190000}"/>
    <cellStyle name="40% - Accent6 6 3 2 2 2 3 2" xfId="8356" xr:uid="{00000000-0005-0000-0000-0000F7190000}"/>
    <cellStyle name="40% - Accent6 6 3 2 2 2 4" xfId="8357" xr:uid="{00000000-0005-0000-0000-0000F8190000}"/>
    <cellStyle name="40% - Accent6 6 3 2 2 3" xfId="8358" xr:uid="{00000000-0005-0000-0000-0000F9190000}"/>
    <cellStyle name="40% - Accent6 6 3 2 2 3 2" xfId="8359" xr:uid="{00000000-0005-0000-0000-0000FA190000}"/>
    <cellStyle name="40% - Accent6 6 3 2 2 3 2 2" xfId="8360" xr:uid="{00000000-0005-0000-0000-0000FB190000}"/>
    <cellStyle name="40% - Accent6 6 3 2 2 3 2 2 2" xfId="8361" xr:uid="{00000000-0005-0000-0000-0000FC190000}"/>
    <cellStyle name="40% - Accent6 6 3 2 2 3 2 3" xfId="8362" xr:uid="{00000000-0005-0000-0000-0000FD190000}"/>
    <cellStyle name="40% - Accent6 6 3 2 2 3 3" xfId="8363" xr:uid="{00000000-0005-0000-0000-0000FE190000}"/>
    <cellStyle name="40% - Accent6 6 3 2 2 3 3 2" xfId="8364" xr:uid="{00000000-0005-0000-0000-0000FF190000}"/>
    <cellStyle name="40% - Accent6 6 3 2 2 3 4" xfId="8365" xr:uid="{00000000-0005-0000-0000-0000001A0000}"/>
    <cellStyle name="40% - Accent6 6 3 2 2 4" xfId="8366" xr:uid="{00000000-0005-0000-0000-0000011A0000}"/>
    <cellStyle name="40% - Accent6 6 3 2 2 4 2" xfId="8367" xr:uid="{00000000-0005-0000-0000-0000021A0000}"/>
    <cellStyle name="40% - Accent6 6 3 2 2 4 2 2" xfId="8368" xr:uid="{00000000-0005-0000-0000-0000031A0000}"/>
    <cellStyle name="40% - Accent6 6 3 2 2 4 3" xfId="8369" xr:uid="{00000000-0005-0000-0000-0000041A0000}"/>
    <cellStyle name="40% - Accent6 6 3 2 2 5" xfId="8370" xr:uid="{00000000-0005-0000-0000-0000051A0000}"/>
    <cellStyle name="40% - Accent6 6 3 2 2 5 2" xfId="8371" xr:uid="{00000000-0005-0000-0000-0000061A0000}"/>
    <cellStyle name="40% - Accent6 6 3 2 2 6" xfId="8372" xr:uid="{00000000-0005-0000-0000-0000071A0000}"/>
    <cellStyle name="40% - Accent6 6 3 2 2 7" xfId="8349" xr:uid="{00000000-0005-0000-0000-0000081A0000}"/>
    <cellStyle name="40% - Accent6 6 3 2 3" xfId="8373" xr:uid="{00000000-0005-0000-0000-0000091A0000}"/>
    <cellStyle name="40% - Accent6 6 3 2 3 2" xfId="8374" xr:uid="{00000000-0005-0000-0000-00000A1A0000}"/>
    <cellStyle name="40% - Accent6 6 3 2 3 2 2" xfId="8375" xr:uid="{00000000-0005-0000-0000-00000B1A0000}"/>
    <cellStyle name="40% - Accent6 6 3 2 3 2 2 2" xfId="8376" xr:uid="{00000000-0005-0000-0000-00000C1A0000}"/>
    <cellStyle name="40% - Accent6 6 3 2 3 2 2 2 2" xfId="8377" xr:uid="{00000000-0005-0000-0000-00000D1A0000}"/>
    <cellStyle name="40% - Accent6 6 3 2 3 2 2 3" xfId="8378" xr:uid="{00000000-0005-0000-0000-00000E1A0000}"/>
    <cellStyle name="40% - Accent6 6 3 2 3 2 3" xfId="8379" xr:uid="{00000000-0005-0000-0000-00000F1A0000}"/>
    <cellStyle name="40% - Accent6 6 3 2 3 2 3 2" xfId="8380" xr:uid="{00000000-0005-0000-0000-0000101A0000}"/>
    <cellStyle name="40% - Accent6 6 3 2 3 2 4" xfId="8381" xr:uid="{00000000-0005-0000-0000-0000111A0000}"/>
    <cellStyle name="40% - Accent6 6 3 2 3 3" xfId="8382" xr:uid="{00000000-0005-0000-0000-0000121A0000}"/>
    <cellStyle name="40% - Accent6 6 3 2 3 3 2" xfId="8383" xr:uid="{00000000-0005-0000-0000-0000131A0000}"/>
    <cellStyle name="40% - Accent6 6 3 2 3 3 2 2" xfId="8384" xr:uid="{00000000-0005-0000-0000-0000141A0000}"/>
    <cellStyle name="40% - Accent6 6 3 2 3 3 3" xfId="8385" xr:uid="{00000000-0005-0000-0000-0000151A0000}"/>
    <cellStyle name="40% - Accent6 6 3 2 3 4" xfId="8386" xr:uid="{00000000-0005-0000-0000-0000161A0000}"/>
    <cellStyle name="40% - Accent6 6 3 2 3 4 2" xfId="8387" xr:uid="{00000000-0005-0000-0000-0000171A0000}"/>
    <cellStyle name="40% - Accent6 6 3 2 3 5" xfId="8388" xr:uid="{00000000-0005-0000-0000-0000181A0000}"/>
    <cellStyle name="40% - Accent6 6 3 2 4" xfId="8389" xr:uid="{00000000-0005-0000-0000-0000191A0000}"/>
    <cellStyle name="40% - Accent6 6 3 2 4 2" xfId="8390" xr:uid="{00000000-0005-0000-0000-00001A1A0000}"/>
    <cellStyle name="40% - Accent6 6 3 2 4 2 2" xfId="8391" xr:uid="{00000000-0005-0000-0000-00001B1A0000}"/>
    <cellStyle name="40% - Accent6 6 3 2 4 2 2 2" xfId="8392" xr:uid="{00000000-0005-0000-0000-00001C1A0000}"/>
    <cellStyle name="40% - Accent6 6 3 2 4 2 2 2 2" xfId="8393" xr:uid="{00000000-0005-0000-0000-00001D1A0000}"/>
    <cellStyle name="40% - Accent6 6 3 2 4 2 2 3" xfId="8394" xr:uid="{00000000-0005-0000-0000-00001E1A0000}"/>
    <cellStyle name="40% - Accent6 6 3 2 4 2 3" xfId="8395" xr:uid="{00000000-0005-0000-0000-00001F1A0000}"/>
    <cellStyle name="40% - Accent6 6 3 2 4 2 3 2" xfId="8396" xr:uid="{00000000-0005-0000-0000-0000201A0000}"/>
    <cellStyle name="40% - Accent6 6 3 2 4 2 4" xfId="8397" xr:uid="{00000000-0005-0000-0000-0000211A0000}"/>
    <cellStyle name="40% - Accent6 6 3 2 4 3" xfId="8398" xr:uid="{00000000-0005-0000-0000-0000221A0000}"/>
    <cellStyle name="40% - Accent6 6 3 2 4 3 2" xfId="8399" xr:uid="{00000000-0005-0000-0000-0000231A0000}"/>
    <cellStyle name="40% - Accent6 6 3 2 4 3 2 2" xfId="8400" xr:uid="{00000000-0005-0000-0000-0000241A0000}"/>
    <cellStyle name="40% - Accent6 6 3 2 4 3 3" xfId="8401" xr:uid="{00000000-0005-0000-0000-0000251A0000}"/>
    <cellStyle name="40% - Accent6 6 3 2 4 4" xfId="8402" xr:uid="{00000000-0005-0000-0000-0000261A0000}"/>
    <cellStyle name="40% - Accent6 6 3 2 4 4 2" xfId="8403" xr:uid="{00000000-0005-0000-0000-0000271A0000}"/>
    <cellStyle name="40% - Accent6 6 3 2 4 5" xfId="8404" xr:uid="{00000000-0005-0000-0000-0000281A0000}"/>
    <cellStyle name="40% - Accent6 6 3 2 5" xfId="8405" xr:uid="{00000000-0005-0000-0000-0000291A0000}"/>
    <cellStyle name="40% - Accent6 6 3 2 5 2" xfId="8406" xr:uid="{00000000-0005-0000-0000-00002A1A0000}"/>
    <cellStyle name="40% - Accent6 6 3 2 5 2 2" xfId="8407" xr:uid="{00000000-0005-0000-0000-00002B1A0000}"/>
    <cellStyle name="40% - Accent6 6 3 2 5 2 2 2" xfId="8408" xr:uid="{00000000-0005-0000-0000-00002C1A0000}"/>
    <cellStyle name="40% - Accent6 6 3 2 5 2 3" xfId="8409" xr:uid="{00000000-0005-0000-0000-00002D1A0000}"/>
    <cellStyle name="40% - Accent6 6 3 2 5 3" xfId="8410" xr:uid="{00000000-0005-0000-0000-00002E1A0000}"/>
    <cellStyle name="40% - Accent6 6 3 2 5 3 2" xfId="8411" xr:uid="{00000000-0005-0000-0000-00002F1A0000}"/>
    <cellStyle name="40% - Accent6 6 3 2 5 4" xfId="8412" xr:uid="{00000000-0005-0000-0000-0000301A0000}"/>
    <cellStyle name="40% - Accent6 6 3 2 6" xfId="8413" xr:uid="{00000000-0005-0000-0000-0000311A0000}"/>
    <cellStyle name="40% - Accent6 6 3 2 6 2" xfId="8414" xr:uid="{00000000-0005-0000-0000-0000321A0000}"/>
    <cellStyle name="40% - Accent6 6 3 2 6 2 2" xfId="8415" xr:uid="{00000000-0005-0000-0000-0000331A0000}"/>
    <cellStyle name="40% - Accent6 6 3 2 6 2 2 2" xfId="8416" xr:uid="{00000000-0005-0000-0000-0000341A0000}"/>
    <cellStyle name="40% - Accent6 6 3 2 6 2 3" xfId="8417" xr:uid="{00000000-0005-0000-0000-0000351A0000}"/>
    <cellStyle name="40% - Accent6 6 3 2 6 3" xfId="8418" xr:uid="{00000000-0005-0000-0000-0000361A0000}"/>
    <cellStyle name="40% - Accent6 6 3 2 6 3 2" xfId="8419" xr:uid="{00000000-0005-0000-0000-0000371A0000}"/>
    <cellStyle name="40% - Accent6 6 3 2 6 4" xfId="8420" xr:uid="{00000000-0005-0000-0000-0000381A0000}"/>
    <cellStyle name="40% - Accent6 6 3 2 7" xfId="8421" xr:uid="{00000000-0005-0000-0000-0000391A0000}"/>
    <cellStyle name="40% - Accent6 6 3 2 7 2" xfId="8422" xr:uid="{00000000-0005-0000-0000-00003A1A0000}"/>
    <cellStyle name="40% - Accent6 6 3 2 7 2 2" xfId="8423" xr:uid="{00000000-0005-0000-0000-00003B1A0000}"/>
    <cellStyle name="40% - Accent6 6 3 2 7 2 2 2" xfId="8424" xr:uid="{00000000-0005-0000-0000-00003C1A0000}"/>
    <cellStyle name="40% - Accent6 6 3 2 7 2 3" xfId="8425" xr:uid="{00000000-0005-0000-0000-00003D1A0000}"/>
    <cellStyle name="40% - Accent6 6 3 2 7 3" xfId="8426" xr:uid="{00000000-0005-0000-0000-00003E1A0000}"/>
    <cellStyle name="40% - Accent6 6 3 2 7 3 2" xfId="8427" xr:uid="{00000000-0005-0000-0000-00003F1A0000}"/>
    <cellStyle name="40% - Accent6 6 3 2 7 4" xfId="8428" xr:uid="{00000000-0005-0000-0000-0000401A0000}"/>
    <cellStyle name="40% - Accent6 6 3 2 8" xfId="8429" xr:uid="{00000000-0005-0000-0000-0000411A0000}"/>
    <cellStyle name="40% - Accent6 6 3 2 8 2" xfId="8430" xr:uid="{00000000-0005-0000-0000-0000421A0000}"/>
    <cellStyle name="40% - Accent6 6 3 2 8 2 2" xfId="8431" xr:uid="{00000000-0005-0000-0000-0000431A0000}"/>
    <cellStyle name="40% - Accent6 6 3 2 8 3" xfId="8432" xr:uid="{00000000-0005-0000-0000-0000441A0000}"/>
    <cellStyle name="40% - Accent6 6 3 2 9" xfId="8433" xr:uid="{00000000-0005-0000-0000-0000451A0000}"/>
    <cellStyle name="40% - Accent6 6 3 2 9 2" xfId="8434" xr:uid="{00000000-0005-0000-0000-0000461A0000}"/>
    <cellStyle name="40% - Accent6 6 3 3" xfId="1279" xr:uid="{00000000-0005-0000-0000-0000471A0000}"/>
    <cellStyle name="40% - Accent6 6 3 3 2" xfId="8436" xr:uid="{00000000-0005-0000-0000-0000481A0000}"/>
    <cellStyle name="40% - Accent6 6 3 3 2 2" xfId="8437" xr:uid="{00000000-0005-0000-0000-0000491A0000}"/>
    <cellStyle name="40% - Accent6 6 3 3 2 2 2" xfId="8438" xr:uid="{00000000-0005-0000-0000-00004A1A0000}"/>
    <cellStyle name="40% - Accent6 6 3 3 2 2 2 2" xfId="8439" xr:uid="{00000000-0005-0000-0000-00004B1A0000}"/>
    <cellStyle name="40% - Accent6 6 3 3 2 2 3" xfId="8440" xr:uid="{00000000-0005-0000-0000-00004C1A0000}"/>
    <cellStyle name="40% - Accent6 6 3 3 2 3" xfId="8441" xr:uid="{00000000-0005-0000-0000-00004D1A0000}"/>
    <cellStyle name="40% - Accent6 6 3 3 2 3 2" xfId="8442" xr:uid="{00000000-0005-0000-0000-00004E1A0000}"/>
    <cellStyle name="40% - Accent6 6 3 3 2 4" xfId="8443" xr:uid="{00000000-0005-0000-0000-00004F1A0000}"/>
    <cellStyle name="40% - Accent6 6 3 3 3" xfId="8444" xr:uid="{00000000-0005-0000-0000-0000501A0000}"/>
    <cellStyle name="40% - Accent6 6 3 3 3 2" xfId="8445" xr:uid="{00000000-0005-0000-0000-0000511A0000}"/>
    <cellStyle name="40% - Accent6 6 3 3 3 2 2" xfId="8446" xr:uid="{00000000-0005-0000-0000-0000521A0000}"/>
    <cellStyle name="40% - Accent6 6 3 3 3 2 2 2" xfId="8447" xr:uid="{00000000-0005-0000-0000-0000531A0000}"/>
    <cellStyle name="40% - Accent6 6 3 3 3 2 3" xfId="8448" xr:uid="{00000000-0005-0000-0000-0000541A0000}"/>
    <cellStyle name="40% - Accent6 6 3 3 3 3" xfId="8449" xr:uid="{00000000-0005-0000-0000-0000551A0000}"/>
    <cellStyle name="40% - Accent6 6 3 3 3 3 2" xfId="8450" xr:uid="{00000000-0005-0000-0000-0000561A0000}"/>
    <cellStyle name="40% - Accent6 6 3 3 3 4" xfId="8451" xr:uid="{00000000-0005-0000-0000-0000571A0000}"/>
    <cellStyle name="40% - Accent6 6 3 3 4" xfId="8452" xr:uid="{00000000-0005-0000-0000-0000581A0000}"/>
    <cellStyle name="40% - Accent6 6 3 3 4 2" xfId="8453" xr:uid="{00000000-0005-0000-0000-0000591A0000}"/>
    <cellStyle name="40% - Accent6 6 3 3 4 2 2" xfId="8454" xr:uid="{00000000-0005-0000-0000-00005A1A0000}"/>
    <cellStyle name="40% - Accent6 6 3 3 4 3" xfId="8455" xr:uid="{00000000-0005-0000-0000-00005B1A0000}"/>
    <cellStyle name="40% - Accent6 6 3 3 5" xfId="8456" xr:uid="{00000000-0005-0000-0000-00005C1A0000}"/>
    <cellStyle name="40% - Accent6 6 3 3 5 2" xfId="8457" xr:uid="{00000000-0005-0000-0000-00005D1A0000}"/>
    <cellStyle name="40% - Accent6 6 3 3 6" xfId="8458" xr:uid="{00000000-0005-0000-0000-00005E1A0000}"/>
    <cellStyle name="40% - Accent6 6 3 3 7" xfId="8435" xr:uid="{00000000-0005-0000-0000-00005F1A0000}"/>
    <cellStyle name="40% - Accent6 6 3 4" xfId="8459" xr:uid="{00000000-0005-0000-0000-0000601A0000}"/>
    <cellStyle name="40% - Accent6 6 3 4 2" xfId="8460" xr:uid="{00000000-0005-0000-0000-0000611A0000}"/>
    <cellStyle name="40% - Accent6 6 3 4 2 2" xfId="8461" xr:uid="{00000000-0005-0000-0000-0000621A0000}"/>
    <cellStyle name="40% - Accent6 6 3 4 2 2 2" xfId="8462" xr:uid="{00000000-0005-0000-0000-0000631A0000}"/>
    <cellStyle name="40% - Accent6 6 3 4 2 2 2 2" xfId="8463" xr:uid="{00000000-0005-0000-0000-0000641A0000}"/>
    <cellStyle name="40% - Accent6 6 3 4 2 2 3" xfId="8464" xr:uid="{00000000-0005-0000-0000-0000651A0000}"/>
    <cellStyle name="40% - Accent6 6 3 4 2 3" xfId="8465" xr:uid="{00000000-0005-0000-0000-0000661A0000}"/>
    <cellStyle name="40% - Accent6 6 3 4 2 3 2" xfId="8466" xr:uid="{00000000-0005-0000-0000-0000671A0000}"/>
    <cellStyle name="40% - Accent6 6 3 4 2 4" xfId="8467" xr:uid="{00000000-0005-0000-0000-0000681A0000}"/>
    <cellStyle name="40% - Accent6 6 3 4 3" xfId="8468" xr:uid="{00000000-0005-0000-0000-0000691A0000}"/>
    <cellStyle name="40% - Accent6 6 3 4 3 2" xfId="8469" xr:uid="{00000000-0005-0000-0000-00006A1A0000}"/>
    <cellStyle name="40% - Accent6 6 3 4 3 2 2" xfId="8470" xr:uid="{00000000-0005-0000-0000-00006B1A0000}"/>
    <cellStyle name="40% - Accent6 6 3 4 3 3" xfId="8471" xr:uid="{00000000-0005-0000-0000-00006C1A0000}"/>
    <cellStyle name="40% - Accent6 6 3 4 4" xfId="8472" xr:uid="{00000000-0005-0000-0000-00006D1A0000}"/>
    <cellStyle name="40% - Accent6 6 3 4 4 2" xfId="8473" xr:uid="{00000000-0005-0000-0000-00006E1A0000}"/>
    <cellStyle name="40% - Accent6 6 3 4 5" xfId="8474" xr:uid="{00000000-0005-0000-0000-00006F1A0000}"/>
    <cellStyle name="40% - Accent6 6 3 5" xfId="8475" xr:uid="{00000000-0005-0000-0000-0000701A0000}"/>
    <cellStyle name="40% - Accent6 6 3 5 2" xfId="8476" xr:uid="{00000000-0005-0000-0000-0000711A0000}"/>
    <cellStyle name="40% - Accent6 6 3 5 2 2" xfId="8477" xr:uid="{00000000-0005-0000-0000-0000721A0000}"/>
    <cellStyle name="40% - Accent6 6 3 5 2 2 2" xfId="8478" xr:uid="{00000000-0005-0000-0000-0000731A0000}"/>
    <cellStyle name="40% - Accent6 6 3 5 2 2 2 2" xfId="8479" xr:uid="{00000000-0005-0000-0000-0000741A0000}"/>
    <cellStyle name="40% - Accent6 6 3 5 2 2 3" xfId="8480" xr:uid="{00000000-0005-0000-0000-0000751A0000}"/>
    <cellStyle name="40% - Accent6 6 3 5 2 3" xfId="8481" xr:uid="{00000000-0005-0000-0000-0000761A0000}"/>
    <cellStyle name="40% - Accent6 6 3 5 2 3 2" xfId="8482" xr:uid="{00000000-0005-0000-0000-0000771A0000}"/>
    <cellStyle name="40% - Accent6 6 3 5 2 4" xfId="8483" xr:uid="{00000000-0005-0000-0000-0000781A0000}"/>
    <cellStyle name="40% - Accent6 6 3 5 3" xfId="8484" xr:uid="{00000000-0005-0000-0000-0000791A0000}"/>
    <cellStyle name="40% - Accent6 6 3 5 3 2" xfId="8485" xr:uid="{00000000-0005-0000-0000-00007A1A0000}"/>
    <cellStyle name="40% - Accent6 6 3 5 3 2 2" xfId="8486" xr:uid="{00000000-0005-0000-0000-00007B1A0000}"/>
    <cellStyle name="40% - Accent6 6 3 5 3 3" xfId="8487" xr:uid="{00000000-0005-0000-0000-00007C1A0000}"/>
    <cellStyle name="40% - Accent6 6 3 5 4" xfId="8488" xr:uid="{00000000-0005-0000-0000-00007D1A0000}"/>
    <cellStyle name="40% - Accent6 6 3 5 4 2" xfId="8489" xr:uid="{00000000-0005-0000-0000-00007E1A0000}"/>
    <cellStyle name="40% - Accent6 6 3 5 5" xfId="8490" xr:uid="{00000000-0005-0000-0000-00007F1A0000}"/>
    <cellStyle name="40% - Accent6 6 3 6" xfId="8491" xr:uid="{00000000-0005-0000-0000-0000801A0000}"/>
    <cellStyle name="40% - Accent6 6 3 6 2" xfId="8492" xr:uid="{00000000-0005-0000-0000-0000811A0000}"/>
    <cellStyle name="40% - Accent6 6 3 6 2 2" xfId="8493" xr:uid="{00000000-0005-0000-0000-0000821A0000}"/>
    <cellStyle name="40% - Accent6 6 3 6 2 2 2" xfId="8494" xr:uid="{00000000-0005-0000-0000-0000831A0000}"/>
    <cellStyle name="40% - Accent6 6 3 6 2 3" xfId="8495" xr:uid="{00000000-0005-0000-0000-0000841A0000}"/>
    <cellStyle name="40% - Accent6 6 3 6 3" xfId="8496" xr:uid="{00000000-0005-0000-0000-0000851A0000}"/>
    <cellStyle name="40% - Accent6 6 3 6 3 2" xfId="8497" xr:uid="{00000000-0005-0000-0000-0000861A0000}"/>
    <cellStyle name="40% - Accent6 6 3 6 4" xfId="8498" xr:uid="{00000000-0005-0000-0000-0000871A0000}"/>
    <cellStyle name="40% - Accent6 6 3 7" xfId="8499" xr:uid="{00000000-0005-0000-0000-0000881A0000}"/>
    <cellStyle name="40% - Accent6 6 3 7 2" xfId="8500" xr:uid="{00000000-0005-0000-0000-0000891A0000}"/>
    <cellStyle name="40% - Accent6 6 3 7 2 2" xfId="8501" xr:uid="{00000000-0005-0000-0000-00008A1A0000}"/>
    <cellStyle name="40% - Accent6 6 3 7 2 2 2" xfId="8502" xr:uid="{00000000-0005-0000-0000-00008B1A0000}"/>
    <cellStyle name="40% - Accent6 6 3 7 2 3" xfId="8503" xr:uid="{00000000-0005-0000-0000-00008C1A0000}"/>
    <cellStyle name="40% - Accent6 6 3 7 3" xfId="8504" xr:uid="{00000000-0005-0000-0000-00008D1A0000}"/>
    <cellStyle name="40% - Accent6 6 3 7 3 2" xfId="8505" xr:uid="{00000000-0005-0000-0000-00008E1A0000}"/>
    <cellStyle name="40% - Accent6 6 3 7 4" xfId="8506" xr:uid="{00000000-0005-0000-0000-00008F1A0000}"/>
    <cellStyle name="40% - Accent6 6 3 8" xfId="8507" xr:uid="{00000000-0005-0000-0000-0000901A0000}"/>
    <cellStyle name="40% - Accent6 6 3 8 2" xfId="8508" xr:uid="{00000000-0005-0000-0000-0000911A0000}"/>
    <cellStyle name="40% - Accent6 6 3 8 2 2" xfId="8509" xr:uid="{00000000-0005-0000-0000-0000921A0000}"/>
    <cellStyle name="40% - Accent6 6 3 8 2 2 2" xfId="8510" xr:uid="{00000000-0005-0000-0000-0000931A0000}"/>
    <cellStyle name="40% - Accent6 6 3 8 2 3" xfId="8511" xr:uid="{00000000-0005-0000-0000-0000941A0000}"/>
    <cellStyle name="40% - Accent6 6 3 8 3" xfId="8512" xr:uid="{00000000-0005-0000-0000-0000951A0000}"/>
    <cellStyle name="40% - Accent6 6 3 8 3 2" xfId="8513" xr:uid="{00000000-0005-0000-0000-0000961A0000}"/>
    <cellStyle name="40% - Accent6 6 3 8 4" xfId="8514" xr:uid="{00000000-0005-0000-0000-0000971A0000}"/>
    <cellStyle name="40% - Accent6 6 3 9" xfId="8515" xr:uid="{00000000-0005-0000-0000-0000981A0000}"/>
    <cellStyle name="40% - Accent6 6 3 9 2" xfId="8516" xr:uid="{00000000-0005-0000-0000-0000991A0000}"/>
    <cellStyle name="40% - Accent6 6 3 9 2 2" xfId="8517" xr:uid="{00000000-0005-0000-0000-00009A1A0000}"/>
    <cellStyle name="40% - Accent6 6 3 9 3" xfId="8518" xr:uid="{00000000-0005-0000-0000-00009B1A0000}"/>
    <cellStyle name="40% - Accent6 6 4" xfId="844" xr:uid="{00000000-0005-0000-0000-00009C1A0000}"/>
    <cellStyle name="40% - Accent6 6 4 10" xfId="8520" xr:uid="{00000000-0005-0000-0000-00009D1A0000}"/>
    <cellStyle name="40% - Accent6 6 4 11" xfId="8519" xr:uid="{00000000-0005-0000-0000-00009E1A0000}"/>
    <cellStyle name="40% - Accent6 6 4 2" xfId="1602" xr:uid="{00000000-0005-0000-0000-00009F1A0000}"/>
    <cellStyle name="40% - Accent6 6 4 2 2" xfId="8522" xr:uid="{00000000-0005-0000-0000-0000A01A0000}"/>
    <cellStyle name="40% - Accent6 6 4 2 2 2" xfId="8523" xr:uid="{00000000-0005-0000-0000-0000A11A0000}"/>
    <cellStyle name="40% - Accent6 6 4 2 2 2 2" xfId="8524" xr:uid="{00000000-0005-0000-0000-0000A21A0000}"/>
    <cellStyle name="40% - Accent6 6 4 2 2 2 2 2" xfId="8525" xr:uid="{00000000-0005-0000-0000-0000A31A0000}"/>
    <cellStyle name="40% - Accent6 6 4 2 2 2 3" xfId="8526" xr:uid="{00000000-0005-0000-0000-0000A41A0000}"/>
    <cellStyle name="40% - Accent6 6 4 2 2 3" xfId="8527" xr:uid="{00000000-0005-0000-0000-0000A51A0000}"/>
    <cellStyle name="40% - Accent6 6 4 2 2 3 2" xfId="8528" xr:uid="{00000000-0005-0000-0000-0000A61A0000}"/>
    <cellStyle name="40% - Accent6 6 4 2 2 4" xfId="8529" xr:uid="{00000000-0005-0000-0000-0000A71A0000}"/>
    <cellStyle name="40% - Accent6 6 4 2 3" xfId="8530" xr:uid="{00000000-0005-0000-0000-0000A81A0000}"/>
    <cellStyle name="40% - Accent6 6 4 2 3 2" xfId="8531" xr:uid="{00000000-0005-0000-0000-0000A91A0000}"/>
    <cellStyle name="40% - Accent6 6 4 2 3 2 2" xfId="8532" xr:uid="{00000000-0005-0000-0000-0000AA1A0000}"/>
    <cellStyle name="40% - Accent6 6 4 2 3 2 2 2" xfId="8533" xr:uid="{00000000-0005-0000-0000-0000AB1A0000}"/>
    <cellStyle name="40% - Accent6 6 4 2 3 2 3" xfId="8534" xr:uid="{00000000-0005-0000-0000-0000AC1A0000}"/>
    <cellStyle name="40% - Accent6 6 4 2 3 3" xfId="8535" xr:uid="{00000000-0005-0000-0000-0000AD1A0000}"/>
    <cellStyle name="40% - Accent6 6 4 2 3 3 2" xfId="8536" xr:uid="{00000000-0005-0000-0000-0000AE1A0000}"/>
    <cellStyle name="40% - Accent6 6 4 2 3 4" xfId="8537" xr:uid="{00000000-0005-0000-0000-0000AF1A0000}"/>
    <cellStyle name="40% - Accent6 6 4 2 4" xfId="8538" xr:uid="{00000000-0005-0000-0000-0000B01A0000}"/>
    <cellStyle name="40% - Accent6 6 4 2 4 2" xfId="8539" xr:uid="{00000000-0005-0000-0000-0000B11A0000}"/>
    <cellStyle name="40% - Accent6 6 4 2 4 2 2" xfId="8540" xr:uid="{00000000-0005-0000-0000-0000B21A0000}"/>
    <cellStyle name="40% - Accent6 6 4 2 4 3" xfId="8541" xr:uid="{00000000-0005-0000-0000-0000B31A0000}"/>
    <cellStyle name="40% - Accent6 6 4 2 5" xfId="8542" xr:uid="{00000000-0005-0000-0000-0000B41A0000}"/>
    <cellStyle name="40% - Accent6 6 4 2 5 2" xfId="8543" xr:uid="{00000000-0005-0000-0000-0000B51A0000}"/>
    <cellStyle name="40% - Accent6 6 4 2 6" xfId="8544" xr:uid="{00000000-0005-0000-0000-0000B61A0000}"/>
    <cellStyle name="40% - Accent6 6 4 2 7" xfId="8521" xr:uid="{00000000-0005-0000-0000-0000B71A0000}"/>
    <cellStyle name="40% - Accent6 6 4 3" xfId="8545" xr:uid="{00000000-0005-0000-0000-0000B81A0000}"/>
    <cellStyle name="40% - Accent6 6 4 3 2" xfId="8546" xr:uid="{00000000-0005-0000-0000-0000B91A0000}"/>
    <cellStyle name="40% - Accent6 6 4 3 2 2" xfId="8547" xr:uid="{00000000-0005-0000-0000-0000BA1A0000}"/>
    <cellStyle name="40% - Accent6 6 4 3 2 2 2" xfId="8548" xr:uid="{00000000-0005-0000-0000-0000BB1A0000}"/>
    <cellStyle name="40% - Accent6 6 4 3 2 2 2 2" xfId="8549" xr:uid="{00000000-0005-0000-0000-0000BC1A0000}"/>
    <cellStyle name="40% - Accent6 6 4 3 2 2 3" xfId="8550" xr:uid="{00000000-0005-0000-0000-0000BD1A0000}"/>
    <cellStyle name="40% - Accent6 6 4 3 2 3" xfId="8551" xr:uid="{00000000-0005-0000-0000-0000BE1A0000}"/>
    <cellStyle name="40% - Accent6 6 4 3 2 3 2" xfId="8552" xr:uid="{00000000-0005-0000-0000-0000BF1A0000}"/>
    <cellStyle name="40% - Accent6 6 4 3 2 4" xfId="8553" xr:uid="{00000000-0005-0000-0000-0000C01A0000}"/>
    <cellStyle name="40% - Accent6 6 4 3 3" xfId="8554" xr:uid="{00000000-0005-0000-0000-0000C11A0000}"/>
    <cellStyle name="40% - Accent6 6 4 3 3 2" xfId="8555" xr:uid="{00000000-0005-0000-0000-0000C21A0000}"/>
    <cellStyle name="40% - Accent6 6 4 3 3 2 2" xfId="8556" xr:uid="{00000000-0005-0000-0000-0000C31A0000}"/>
    <cellStyle name="40% - Accent6 6 4 3 3 3" xfId="8557" xr:uid="{00000000-0005-0000-0000-0000C41A0000}"/>
    <cellStyle name="40% - Accent6 6 4 3 4" xfId="8558" xr:uid="{00000000-0005-0000-0000-0000C51A0000}"/>
    <cellStyle name="40% - Accent6 6 4 3 4 2" xfId="8559" xr:uid="{00000000-0005-0000-0000-0000C61A0000}"/>
    <cellStyle name="40% - Accent6 6 4 3 5" xfId="8560" xr:uid="{00000000-0005-0000-0000-0000C71A0000}"/>
    <cellStyle name="40% - Accent6 6 4 4" xfId="8561" xr:uid="{00000000-0005-0000-0000-0000C81A0000}"/>
    <cellStyle name="40% - Accent6 6 4 4 2" xfId="8562" xr:uid="{00000000-0005-0000-0000-0000C91A0000}"/>
    <cellStyle name="40% - Accent6 6 4 4 2 2" xfId="8563" xr:uid="{00000000-0005-0000-0000-0000CA1A0000}"/>
    <cellStyle name="40% - Accent6 6 4 4 2 2 2" xfId="8564" xr:uid="{00000000-0005-0000-0000-0000CB1A0000}"/>
    <cellStyle name="40% - Accent6 6 4 4 2 2 2 2" xfId="8565" xr:uid="{00000000-0005-0000-0000-0000CC1A0000}"/>
    <cellStyle name="40% - Accent6 6 4 4 2 2 3" xfId="8566" xr:uid="{00000000-0005-0000-0000-0000CD1A0000}"/>
    <cellStyle name="40% - Accent6 6 4 4 2 3" xfId="8567" xr:uid="{00000000-0005-0000-0000-0000CE1A0000}"/>
    <cellStyle name="40% - Accent6 6 4 4 2 3 2" xfId="8568" xr:uid="{00000000-0005-0000-0000-0000CF1A0000}"/>
    <cellStyle name="40% - Accent6 6 4 4 2 4" xfId="8569" xr:uid="{00000000-0005-0000-0000-0000D01A0000}"/>
    <cellStyle name="40% - Accent6 6 4 4 3" xfId="8570" xr:uid="{00000000-0005-0000-0000-0000D11A0000}"/>
    <cellStyle name="40% - Accent6 6 4 4 3 2" xfId="8571" xr:uid="{00000000-0005-0000-0000-0000D21A0000}"/>
    <cellStyle name="40% - Accent6 6 4 4 3 2 2" xfId="8572" xr:uid="{00000000-0005-0000-0000-0000D31A0000}"/>
    <cellStyle name="40% - Accent6 6 4 4 3 3" xfId="8573" xr:uid="{00000000-0005-0000-0000-0000D41A0000}"/>
    <cellStyle name="40% - Accent6 6 4 4 4" xfId="8574" xr:uid="{00000000-0005-0000-0000-0000D51A0000}"/>
    <cellStyle name="40% - Accent6 6 4 4 4 2" xfId="8575" xr:uid="{00000000-0005-0000-0000-0000D61A0000}"/>
    <cellStyle name="40% - Accent6 6 4 4 5" xfId="8576" xr:uid="{00000000-0005-0000-0000-0000D71A0000}"/>
    <cellStyle name="40% - Accent6 6 4 5" xfId="8577" xr:uid="{00000000-0005-0000-0000-0000D81A0000}"/>
    <cellStyle name="40% - Accent6 6 4 5 2" xfId="8578" xr:uid="{00000000-0005-0000-0000-0000D91A0000}"/>
    <cellStyle name="40% - Accent6 6 4 5 2 2" xfId="8579" xr:uid="{00000000-0005-0000-0000-0000DA1A0000}"/>
    <cellStyle name="40% - Accent6 6 4 5 2 2 2" xfId="8580" xr:uid="{00000000-0005-0000-0000-0000DB1A0000}"/>
    <cellStyle name="40% - Accent6 6 4 5 2 3" xfId="8581" xr:uid="{00000000-0005-0000-0000-0000DC1A0000}"/>
    <cellStyle name="40% - Accent6 6 4 5 3" xfId="8582" xr:uid="{00000000-0005-0000-0000-0000DD1A0000}"/>
    <cellStyle name="40% - Accent6 6 4 5 3 2" xfId="8583" xr:uid="{00000000-0005-0000-0000-0000DE1A0000}"/>
    <cellStyle name="40% - Accent6 6 4 5 4" xfId="8584" xr:uid="{00000000-0005-0000-0000-0000DF1A0000}"/>
    <cellStyle name="40% - Accent6 6 4 6" xfId="8585" xr:uid="{00000000-0005-0000-0000-0000E01A0000}"/>
    <cellStyle name="40% - Accent6 6 4 6 2" xfId="8586" xr:uid="{00000000-0005-0000-0000-0000E11A0000}"/>
    <cellStyle name="40% - Accent6 6 4 6 2 2" xfId="8587" xr:uid="{00000000-0005-0000-0000-0000E21A0000}"/>
    <cellStyle name="40% - Accent6 6 4 6 2 2 2" xfId="8588" xr:uid="{00000000-0005-0000-0000-0000E31A0000}"/>
    <cellStyle name="40% - Accent6 6 4 6 2 3" xfId="8589" xr:uid="{00000000-0005-0000-0000-0000E41A0000}"/>
    <cellStyle name="40% - Accent6 6 4 6 3" xfId="8590" xr:uid="{00000000-0005-0000-0000-0000E51A0000}"/>
    <cellStyle name="40% - Accent6 6 4 6 3 2" xfId="8591" xr:uid="{00000000-0005-0000-0000-0000E61A0000}"/>
    <cellStyle name="40% - Accent6 6 4 6 4" xfId="8592" xr:uid="{00000000-0005-0000-0000-0000E71A0000}"/>
    <cellStyle name="40% - Accent6 6 4 7" xfId="8593" xr:uid="{00000000-0005-0000-0000-0000E81A0000}"/>
    <cellStyle name="40% - Accent6 6 4 7 2" xfId="8594" xr:uid="{00000000-0005-0000-0000-0000E91A0000}"/>
    <cellStyle name="40% - Accent6 6 4 7 2 2" xfId="8595" xr:uid="{00000000-0005-0000-0000-0000EA1A0000}"/>
    <cellStyle name="40% - Accent6 6 4 7 2 2 2" xfId="8596" xr:uid="{00000000-0005-0000-0000-0000EB1A0000}"/>
    <cellStyle name="40% - Accent6 6 4 7 2 3" xfId="8597" xr:uid="{00000000-0005-0000-0000-0000EC1A0000}"/>
    <cellStyle name="40% - Accent6 6 4 7 3" xfId="8598" xr:uid="{00000000-0005-0000-0000-0000ED1A0000}"/>
    <cellStyle name="40% - Accent6 6 4 7 3 2" xfId="8599" xr:uid="{00000000-0005-0000-0000-0000EE1A0000}"/>
    <cellStyle name="40% - Accent6 6 4 7 4" xfId="8600" xr:uid="{00000000-0005-0000-0000-0000EF1A0000}"/>
    <cellStyle name="40% - Accent6 6 4 8" xfId="8601" xr:uid="{00000000-0005-0000-0000-0000F01A0000}"/>
    <cellStyle name="40% - Accent6 6 4 8 2" xfId="8602" xr:uid="{00000000-0005-0000-0000-0000F11A0000}"/>
    <cellStyle name="40% - Accent6 6 4 8 2 2" xfId="8603" xr:uid="{00000000-0005-0000-0000-0000F21A0000}"/>
    <cellStyle name="40% - Accent6 6 4 8 3" xfId="8604" xr:uid="{00000000-0005-0000-0000-0000F31A0000}"/>
    <cellStyle name="40% - Accent6 6 4 9" xfId="8605" xr:uid="{00000000-0005-0000-0000-0000F41A0000}"/>
    <cellStyle name="40% - Accent6 6 4 9 2" xfId="8606" xr:uid="{00000000-0005-0000-0000-0000F51A0000}"/>
    <cellStyle name="40% - Accent6 6 5" xfId="1277" xr:uid="{00000000-0005-0000-0000-0000F61A0000}"/>
    <cellStyle name="40% - Accent6 6 5 2" xfId="8608" xr:uid="{00000000-0005-0000-0000-0000F71A0000}"/>
    <cellStyle name="40% - Accent6 6 5 2 2" xfId="8609" xr:uid="{00000000-0005-0000-0000-0000F81A0000}"/>
    <cellStyle name="40% - Accent6 6 5 2 2 2" xfId="8610" xr:uid="{00000000-0005-0000-0000-0000F91A0000}"/>
    <cellStyle name="40% - Accent6 6 5 2 2 2 2" xfId="8611" xr:uid="{00000000-0005-0000-0000-0000FA1A0000}"/>
    <cellStyle name="40% - Accent6 6 5 2 2 3" xfId="8612" xr:uid="{00000000-0005-0000-0000-0000FB1A0000}"/>
    <cellStyle name="40% - Accent6 6 5 2 3" xfId="8613" xr:uid="{00000000-0005-0000-0000-0000FC1A0000}"/>
    <cellStyle name="40% - Accent6 6 5 2 3 2" xfId="8614" xr:uid="{00000000-0005-0000-0000-0000FD1A0000}"/>
    <cellStyle name="40% - Accent6 6 5 2 4" xfId="8615" xr:uid="{00000000-0005-0000-0000-0000FE1A0000}"/>
    <cellStyle name="40% - Accent6 6 5 3" xfId="8616" xr:uid="{00000000-0005-0000-0000-0000FF1A0000}"/>
    <cellStyle name="40% - Accent6 6 5 3 2" xfId="8617" xr:uid="{00000000-0005-0000-0000-0000001B0000}"/>
    <cellStyle name="40% - Accent6 6 5 3 2 2" xfId="8618" xr:uid="{00000000-0005-0000-0000-0000011B0000}"/>
    <cellStyle name="40% - Accent6 6 5 3 2 2 2" xfId="8619" xr:uid="{00000000-0005-0000-0000-0000021B0000}"/>
    <cellStyle name="40% - Accent6 6 5 3 2 3" xfId="8620" xr:uid="{00000000-0005-0000-0000-0000031B0000}"/>
    <cellStyle name="40% - Accent6 6 5 3 3" xfId="8621" xr:uid="{00000000-0005-0000-0000-0000041B0000}"/>
    <cellStyle name="40% - Accent6 6 5 3 3 2" xfId="8622" xr:uid="{00000000-0005-0000-0000-0000051B0000}"/>
    <cellStyle name="40% - Accent6 6 5 3 4" xfId="8623" xr:uid="{00000000-0005-0000-0000-0000061B0000}"/>
    <cellStyle name="40% - Accent6 6 5 4" xfId="8624" xr:uid="{00000000-0005-0000-0000-0000071B0000}"/>
    <cellStyle name="40% - Accent6 6 5 4 2" xfId="8625" xr:uid="{00000000-0005-0000-0000-0000081B0000}"/>
    <cellStyle name="40% - Accent6 6 5 4 2 2" xfId="8626" xr:uid="{00000000-0005-0000-0000-0000091B0000}"/>
    <cellStyle name="40% - Accent6 6 5 4 3" xfId="8627" xr:uid="{00000000-0005-0000-0000-00000A1B0000}"/>
    <cellStyle name="40% - Accent6 6 5 5" xfId="8628" xr:uid="{00000000-0005-0000-0000-00000B1B0000}"/>
    <cellStyle name="40% - Accent6 6 5 5 2" xfId="8629" xr:uid="{00000000-0005-0000-0000-00000C1B0000}"/>
    <cellStyle name="40% - Accent6 6 5 6" xfId="8630" xr:uid="{00000000-0005-0000-0000-00000D1B0000}"/>
    <cellStyle name="40% - Accent6 6 5 7" xfId="8607" xr:uid="{00000000-0005-0000-0000-00000E1B0000}"/>
    <cellStyle name="40% - Accent6 6 6" xfId="8631" xr:uid="{00000000-0005-0000-0000-00000F1B0000}"/>
    <cellStyle name="40% - Accent6 6 6 2" xfId="8632" xr:uid="{00000000-0005-0000-0000-0000101B0000}"/>
    <cellStyle name="40% - Accent6 6 6 2 2" xfId="8633" xr:uid="{00000000-0005-0000-0000-0000111B0000}"/>
    <cellStyle name="40% - Accent6 6 6 2 2 2" xfId="8634" xr:uid="{00000000-0005-0000-0000-0000121B0000}"/>
    <cellStyle name="40% - Accent6 6 6 2 2 2 2" xfId="8635" xr:uid="{00000000-0005-0000-0000-0000131B0000}"/>
    <cellStyle name="40% - Accent6 6 6 2 2 3" xfId="8636" xr:uid="{00000000-0005-0000-0000-0000141B0000}"/>
    <cellStyle name="40% - Accent6 6 6 2 3" xfId="8637" xr:uid="{00000000-0005-0000-0000-0000151B0000}"/>
    <cellStyle name="40% - Accent6 6 6 2 3 2" xfId="8638" xr:uid="{00000000-0005-0000-0000-0000161B0000}"/>
    <cellStyle name="40% - Accent6 6 6 2 4" xfId="8639" xr:uid="{00000000-0005-0000-0000-0000171B0000}"/>
    <cellStyle name="40% - Accent6 6 6 3" xfId="8640" xr:uid="{00000000-0005-0000-0000-0000181B0000}"/>
    <cellStyle name="40% - Accent6 6 6 3 2" xfId="8641" xr:uid="{00000000-0005-0000-0000-0000191B0000}"/>
    <cellStyle name="40% - Accent6 6 6 3 2 2" xfId="8642" xr:uid="{00000000-0005-0000-0000-00001A1B0000}"/>
    <cellStyle name="40% - Accent6 6 6 3 3" xfId="8643" xr:uid="{00000000-0005-0000-0000-00001B1B0000}"/>
    <cellStyle name="40% - Accent6 6 6 4" xfId="8644" xr:uid="{00000000-0005-0000-0000-00001C1B0000}"/>
    <cellStyle name="40% - Accent6 6 6 4 2" xfId="8645" xr:uid="{00000000-0005-0000-0000-00001D1B0000}"/>
    <cellStyle name="40% - Accent6 6 6 5" xfId="8646" xr:uid="{00000000-0005-0000-0000-00001E1B0000}"/>
    <cellStyle name="40% - Accent6 6 7" xfId="8647" xr:uid="{00000000-0005-0000-0000-00001F1B0000}"/>
    <cellStyle name="40% - Accent6 6 7 2" xfId="8648" xr:uid="{00000000-0005-0000-0000-0000201B0000}"/>
    <cellStyle name="40% - Accent6 6 7 2 2" xfId="8649" xr:uid="{00000000-0005-0000-0000-0000211B0000}"/>
    <cellStyle name="40% - Accent6 6 7 2 2 2" xfId="8650" xr:uid="{00000000-0005-0000-0000-0000221B0000}"/>
    <cellStyle name="40% - Accent6 6 7 2 2 2 2" xfId="8651" xr:uid="{00000000-0005-0000-0000-0000231B0000}"/>
    <cellStyle name="40% - Accent6 6 7 2 2 3" xfId="8652" xr:uid="{00000000-0005-0000-0000-0000241B0000}"/>
    <cellStyle name="40% - Accent6 6 7 2 3" xfId="8653" xr:uid="{00000000-0005-0000-0000-0000251B0000}"/>
    <cellStyle name="40% - Accent6 6 7 2 3 2" xfId="8654" xr:uid="{00000000-0005-0000-0000-0000261B0000}"/>
    <cellStyle name="40% - Accent6 6 7 2 4" xfId="8655" xr:uid="{00000000-0005-0000-0000-0000271B0000}"/>
    <cellStyle name="40% - Accent6 6 7 3" xfId="8656" xr:uid="{00000000-0005-0000-0000-0000281B0000}"/>
    <cellStyle name="40% - Accent6 6 7 3 2" xfId="8657" xr:uid="{00000000-0005-0000-0000-0000291B0000}"/>
    <cellStyle name="40% - Accent6 6 7 3 2 2" xfId="8658" xr:uid="{00000000-0005-0000-0000-00002A1B0000}"/>
    <cellStyle name="40% - Accent6 6 7 3 3" xfId="8659" xr:uid="{00000000-0005-0000-0000-00002B1B0000}"/>
    <cellStyle name="40% - Accent6 6 7 4" xfId="8660" xr:uid="{00000000-0005-0000-0000-00002C1B0000}"/>
    <cellStyle name="40% - Accent6 6 7 4 2" xfId="8661" xr:uid="{00000000-0005-0000-0000-00002D1B0000}"/>
    <cellStyle name="40% - Accent6 6 7 5" xfId="8662" xr:uid="{00000000-0005-0000-0000-00002E1B0000}"/>
    <cellStyle name="40% - Accent6 6 8" xfId="8663" xr:uid="{00000000-0005-0000-0000-00002F1B0000}"/>
    <cellStyle name="40% - Accent6 6 8 2" xfId="8664" xr:uid="{00000000-0005-0000-0000-0000301B0000}"/>
    <cellStyle name="40% - Accent6 6 8 2 2" xfId="8665" xr:uid="{00000000-0005-0000-0000-0000311B0000}"/>
    <cellStyle name="40% - Accent6 6 8 2 2 2" xfId="8666" xr:uid="{00000000-0005-0000-0000-0000321B0000}"/>
    <cellStyle name="40% - Accent6 6 8 2 3" xfId="8667" xr:uid="{00000000-0005-0000-0000-0000331B0000}"/>
    <cellStyle name="40% - Accent6 6 8 3" xfId="8668" xr:uid="{00000000-0005-0000-0000-0000341B0000}"/>
    <cellStyle name="40% - Accent6 6 8 3 2" xfId="8669" xr:uid="{00000000-0005-0000-0000-0000351B0000}"/>
    <cellStyle name="40% - Accent6 6 8 4" xfId="8670" xr:uid="{00000000-0005-0000-0000-0000361B0000}"/>
    <cellStyle name="40% - Accent6 6 9" xfId="8671" xr:uid="{00000000-0005-0000-0000-0000371B0000}"/>
    <cellStyle name="40% - Accent6 6 9 2" xfId="8672" xr:uid="{00000000-0005-0000-0000-0000381B0000}"/>
    <cellStyle name="40% - Accent6 6 9 2 2" xfId="8673" xr:uid="{00000000-0005-0000-0000-0000391B0000}"/>
    <cellStyle name="40% - Accent6 6 9 2 2 2" xfId="8674" xr:uid="{00000000-0005-0000-0000-00003A1B0000}"/>
    <cellStyle name="40% - Accent6 6 9 2 3" xfId="8675" xr:uid="{00000000-0005-0000-0000-00003B1B0000}"/>
    <cellStyle name="40% - Accent6 6 9 3" xfId="8676" xr:uid="{00000000-0005-0000-0000-00003C1B0000}"/>
    <cellStyle name="40% - Accent6 6 9 3 2" xfId="8677" xr:uid="{00000000-0005-0000-0000-00003D1B0000}"/>
    <cellStyle name="40% - Accent6 6 9 4" xfId="8678" xr:uid="{00000000-0005-0000-0000-00003E1B0000}"/>
    <cellStyle name="40% - Accent6 7" xfId="152" xr:uid="{00000000-0005-0000-0000-00003F1B0000}"/>
    <cellStyle name="40% - Accent6 8" xfId="153" xr:uid="{00000000-0005-0000-0000-0000401B0000}"/>
    <cellStyle name="40% - Accent6 8 2" xfId="8679" xr:uid="{00000000-0005-0000-0000-0000411B0000}"/>
    <cellStyle name="40% - Accent6 8 2 2" xfId="8680" xr:uid="{00000000-0005-0000-0000-0000421B0000}"/>
    <cellStyle name="40% - Accent6 8 3" xfId="8681" xr:uid="{00000000-0005-0000-0000-0000431B0000}"/>
    <cellStyle name="40% - Accent6 9" xfId="8682" xr:uid="{00000000-0005-0000-0000-0000441B0000}"/>
    <cellStyle name="40% - Accent6 9 2" xfId="8683" xr:uid="{00000000-0005-0000-0000-0000451B0000}"/>
    <cellStyle name="40% - Accent6 9 2 2" xfId="8684" xr:uid="{00000000-0005-0000-0000-0000461B0000}"/>
    <cellStyle name="40% - Accent6 9 3" xfId="8685" xr:uid="{00000000-0005-0000-0000-0000471B0000}"/>
    <cellStyle name="60% - Accent1 2" xfId="154" xr:uid="{00000000-0005-0000-0000-0000481B0000}"/>
    <cellStyle name="60% - Accent1 2 2" xfId="155" xr:uid="{00000000-0005-0000-0000-0000491B0000}"/>
    <cellStyle name="60% - Accent1 3" xfId="156" xr:uid="{00000000-0005-0000-0000-00004A1B0000}"/>
    <cellStyle name="60% - Accent1 4" xfId="157" xr:uid="{00000000-0005-0000-0000-00004B1B0000}"/>
    <cellStyle name="60% - Accent1 5" xfId="158" xr:uid="{00000000-0005-0000-0000-00004C1B0000}"/>
    <cellStyle name="60% - Accent1 6" xfId="159" xr:uid="{00000000-0005-0000-0000-00004D1B0000}"/>
    <cellStyle name="60% - Accent1 6 2" xfId="847" xr:uid="{00000000-0005-0000-0000-00004E1B0000}"/>
    <cellStyle name="60% - Accent1 6 3" xfId="8686" xr:uid="{00000000-0005-0000-0000-00004F1B0000}"/>
    <cellStyle name="60% - Accent1 7" xfId="160" xr:uid="{00000000-0005-0000-0000-0000501B0000}"/>
    <cellStyle name="60% - Accent1 8" xfId="161" xr:uid="{00000000-0005-0000-0000-0000511B0000}"/>
    <cellStyle name="60% - Accent2 2" xfId="162" xr:uid="{00000000-0005-0000-0000-0000521B0000}"/>
    <cellStyle name="60% - Accent2 2 2" xfId="163" xr:uid="{00000000-0005-0000-0000-0000531B0000}"/>
    <cellStyle name="60% - Accent2 3" xfId="164" xr:uid="{00000000-0005-0000-0000-0000541B0000}"/>
    <cellStyle name="60% - Accent2 4" xfId="165" xr:uid="{00000000-0005-0000-0000-0000551B0000}"/>
    <cellStyle name="60% - Accent2 5" xfId="166" xr:uid="{00000000-0005-0000-0000-0000561B0000}"/>
    <cellStyle name="60% - Accent2 6" xfId="167" xr:uid="{00000000-0005-0000-0000-0000571B0000}"/>
    <cellStyle name="60% - Accent2 6 2" xfId="848" xr:uid="{00000000-0005-0000-0000-0000581B0000}"/>
    <cellStyle name="60% - Accent2 6 3" xfId="8687" xr:uid="{00000000-0005-0000-0000-0000591B0000}"/>
    <cellStyle name="60% - Accent2 7" xfId="168" xr:uid="{00000000-0005-0000-0000-00005A1B0000}"/>
    <cellStyle name="60% - Accent2 8" xfId="169" xr:uid="{00000000-0005-0000-0000-00005B1B0000}"/>
    <cellStyle name="60% - Accent3 2" xfId="170" xr:uid="{00000000-0005-0000-0000-00005C1B0000}"/>
    <cellStyle name="60% - Accent3 2 2" xfId="171" xr:uid="{00000000-0005-0000-0000-00005D1B0000}"/>
    <cellStyle name="60% - Accent3 3" xfId="172" xr:uid="{00000000-0005-0000-0000-00005E1B0000}"/>
    <cellStyle name="60% - Accent3 4" xfId="173" xr:uid="{00000000-0005-0000-0000-00005F1B0000}"/>
    <cellStyle name="60% - Accent3 5" xfId="174" xr:uid="{00000000-0005-0000-0000-0000601B0000}"/>
    <cellStyle name="60% - Accent3 6" xfId="175" xr:uid="{00000000-0005-0000-0000-0000611B0000}"/>
    <cellStyle name="60% - Accent3 6 2" xfId="849" xr:uid="{00000000-0005-0000-0000-0000621B0000}"/>
    <cellStyle name="60% - Accent3 6 3" xfId="8688" xr:uid="{00000000-0005-0000-0000-0000631B0000}"/>
    <cellStyle name="60% - Accent3 7" xfId="176" xr:uid="{00000000-0005-0000-0000-0000641B0000}"/>
    <cellStyle name="60% - Accent3 8" xfId="177" xr:uid="{00000000-0005-0000-0000-0000651B0000}"/>
    <cellStyle name="60% - Accent4 2" xfId="178" xr:uid="{00000000-0005-0000-0000-0000661B0000}"/>
    <cellStyle name="60% - Accent4 2 2" xfId="179" xr:uid="{00000000-0005-0000-0000-0000671B0000}"/>
    <cellStyle name="60% - Accent4 3" xfId="180" xr:uid="{00000000-0005-0000-0000-0000681B0000}"/>
    <cellStyle name="60% - Accent4 4" xfId="181" xr:uid="{00000000-0005-0000-0000-0000691B0000}"/>
    <cellStyle name="60% - Accent4 5" xfId="182" xr:uid="{00000000-0005-0000-0000-00006A1B0000}"/>
    <cellStyle name="60% - Accent4 6" xfId="183" xr:uid="{00000000-0005-0000-0000-00006B1B0000}"/>
    <cellStyle name="60% - Accent4 6 2" xfId="850" xr:uid="{00000000-0005-0000-0000-00006C1B0000}"/>
    <cellStyle name="60% - Accent4 6 3" xfId="8689" xr:uid="{00000000-0005-0000-0000-00006D1B0000}"/>
    <cellStyle name="60% - Accent4 7" xfId="184" xr:uid="{00000000-0005-0000-0000-00006E1B0000}"/>
    <cellStyle name="60% - Accent4 8" xfId="185" xr:uid="{00000000-0005-0000-0000-00006F1B0000}"/>
    <cellStyle name="60% - Accent5 2" xfId="186" xr:uid="{00000000-0005-0000-0000-0000701B0000}"/>
    <cellStyle name="60% - Accent5 2 2" xfId="187" xr:uid="{00000000-0005-0000-0000-0000711B0000}"/>
    <cellStyle name="60% - Accent5 3" xfId="188" xr:uid="{00000000-0005-0000-0000-0000721B0000}"/>
    <cellStyle name="60% - Accent5 4" xfId="189" xr:uid="{00000000-0005-0000-0000-0000731B0000}"/>
    <cellStyle name="60% - Accent5 5" xfId="190" xr:uid="{00000000-0005-0000-0000-0000741B0000}"/>
    <cellStyle name="60% - Accent5 6" xfId="191" xr:uid="{00000000-0005-0000-0000-0000751B0000}"/>
    <cellStyle name="60% - Accent5 6 2" xfId="851" xr:uid="{00000000-0005-0000-0000-0000761B0000}"/>
    <cellStyle name="60% - Accent5 6 3" xfId="8690" xr:uid="{00000000-0005-0000-0000-0000771B0000}"/>
    <cellStyle name="60% - Accent5 7" xfId="192" xr:uid="{00000000-0005-0000-0000-0000781B0000}"/>
    <cellStyle name="60% - Accent5 8" xfId="193" xr:uid="{00000000-0005-0000-0000-0000791B0000}"/>
    <cellStyle name="60% - Accent6 2" xfId="194" xr:uid="{00000000-0005-0000-0000-00007A1B0000}"/>
    <cellStyle name="60% - Accent6 2 2" xfId="195" xr:uid="{00000000-0005-0000-0000-00007B1B0000}"/>
    <cellStyle name="60% - Accent6 3" xfId="196" xr:uid="{00000000-0005-0000-0000-00007C1B0000}"/>
    <cellStyle name="60% - Accent6 4" xfId="197" xr:uid="{00000000-0005-0000-0000-00007D1B0000}"/>
    <cellStyle name="60% - Accent6 5" xfId="198" xr:uid="{00000000-0005-0000-0000-00007E1B0000}"/>
    <cellStyle name="60% - Accent6 6" xfId="199" xr:uid="{00000000-0005-0000-0000-00007F1B0000}"/>
    <cellStyle name="60% - Accent6 6 2" xfId="852" xr:uid="{00000000-0005-0000-0000-0000801B0000}"/>
    <cellStyle name="60% - Accent6 6 3" xfId="8691" xr:uid="{00000000-0005-0000-0000-0000811B0000}"/>
    <cellStyle name="60% - Accent6 7" xfId="200" xr:uid="{00000000-0005-0000-0000-0000821B0000}"/>
    <cellStyle name="60% - Accent6 8" xfId="201" xr:uid="{00000000-0005-0000-0000-0000831B0000}"/>
    <cellStyle name="Accent1 2" xfId="202" xr:uid="{00000000-0005-0000-0000-0000841B0000}"/>
    <cellStyle name="Accent1 2 2" xfId="203" xr:uid="{00000000-0005-0000-0000-0000851B0000}"/>
    <cellStyle name="Accent1 3" xfId="204" xr:uid="{00000000-0005-0000-0000-0000861B0000}"/>
    <cellStyle name="Accent1 4" xfId="205" xr:uid="{00000000-0005-0000-0000-0000871B0000}"/>
    <cellStyle name="Accent1 5" xfId="206" xr:uid="{00000000-0005-0000-0000-0000881B0000}"/>
    <cellStyle name="Accent1 6" xfId="207" xr:uid="{00000000-0005-0000-0000-0000891B0000}"/>
    <cellStyle name="Accent1 6 2" xfId="853" xr:uid="{00000000-0005-0000-0000-00008A1B0000}"/>
    <cellStyle name="Accent1 6 3" xfId="8692" xr:uid="{00000000-0005-0000-0000-00008B1B0000}"/>
    <cellStyle name="Accent1 7" xfId="208" xr:uid="{00000000-0005-0000-0000-00008C1B0000}"/>
    <cellStyle name="Accent1 8" xfId="209" xr:uid="{00000000-0005-0000-0000-00008D1B0000}"/>
    <cellStyle name="Accent2 2" xfId="210" xr:uid="{00000000-0005-0000-0000-00008E1B0000}"/>
    <cellStyle name="Accent2 2 2" xfId="211" xr:uid="{00000000-0005-0000-0000-00008F1B0000}"/>
    <cellStyle name="Accent2 3" xfId="212" xr:uid="{00000000-0005-0000-0000-0000901B0000}"/>
    <cellStyle name="Accent2 4" xfId="213" xr:uid="{00000000-0005-0000-0000-0000911B0000}"/>
    <cellStyle name="Accent2 5" xfId="214" xr:uid="{00000000-0005-0000-0000-0000921B0000}"/>
    <cellStyle name="Accent2 6" xfId="215" xr:uid="{00000000-0005-0000-0000-0000931B0000}"/>
    <cellStyle name="Accent2 6 2" xfId="854" xr:uid="{00000000-0005-0000-0000-0000941B0000}"/>
    <cellStyle name="Accent2 6 3" xfId="8693" xr:uid="{00000000-0005-0000-0000-0000951B0000}"/>
    <cellStyle name="Accent2 7" xfId="216" xr:uid="{00000000-0005-0000-0000-0000961B0000}"/>
    <cellStyle name="Accent2 8" xfId="217" xr:uid="{00000000-0005-0000-0000-0000971B0000}"/>
    <cellStyle name="Accent3 2" xfId="218" xr:uid="{00000000-0005-0000-0000-0000981B0000}"/>
    <cellStyle name="Accent3 2 2" xfId="219" xr:uid="{00000000-0005-0000-0000-0000991B0000}"/>
    <cellStyle name="Accent3 3" xfId="220" xr:uid="{00000000-0005-0000-0000-00009A1B0000}"/>
    <cellStyle name="Accent3 4" xfId="221" xr:uid="{00000000-0005-0000-0000-00009B1B0000}"/>
    <cellStyle name="Accent3 5" xfId="222" xr:uid="{00000000-0005-0000-0000-00009C1B0000}"/>
    <cellStyle name="Accent3 6" xfId="223" xr:uid="{00000000-0005-0000-0000-00009D1B0000}"/>
    <cellStyle name="Accent3 6 2" xfId="855" xr:uid="{00000000-0005-0000-0000-00009E1B0000}"/>
    <cellStyle name="Accent3 6 3" xfId="8694" xr:uid="{00000000-0005-0000-0000-00009F1B0000}"/>
    <cellStyle name="Accent3 7" xfId="224" xr:uid="{00000000-0005-0000-0000-0000A01B0000}"/>
    <cellStyle name="Accent3 8" xfId="225" xr:uid="{00000000-0005-0000-0000-0000A11B0000}"/>
    <cellStyle name="Accent4 2" xfId="226" xr:uid="{00000000-0005-0000-0000-0000A21B0000}"/>
    <cellStyle name="Accent4 2 2" xfId="227" xr:uid="{00000000-0005-0000-0000-0000A31B0000}"/>
    <cellStyle name="Accent4 3" xfId="228" xr:uid="{00000000-0005-0000-0000-0000A41B0000}"/>
    <cellStyle name="Accent4 4" xfId="229" xr:uid="{00000000-0005-0000-0000-0000A51B0000}"/>
    <cellStyle name="Accent4 5" xfId="230" xr:uid="{00000000-0005-0000-0000-0000A61B0000}"/>
    <cellStyle name="Accent4 6" xfId="231" xr:uid="{00000000-0005-0000-0000-0000A71B0000}"/>
    <cellStyle name="Accent4 6 2" xfId="856" xr:uid="{00000000-0005-0000-0000-0000A81B0000}"/>
    <cellStyle name="Accent4 6 3" xfId="8695" xr:uid="{00000000-0005-0000-0000-0000A91B0000}"/>
    <cellStyle name="Accent4 7" xfId="232" xr:uid="{00000000-0005-0000-0000-0000AA1B0000}"/>
    <cellStyle name="Accent4 8" xfId="233" xr:uid="{00000000-0005-0000-0000-0000AB1B0000}"/>
    <cellStyle name="Accent5 2" xfId="234" xr:uid="{00000000-0005-0000-0000-0000AC1B0000}"/>
    <cellStyle name="Accent5 2 2" xfId="235" xr:uid="{00000000-0005-0000-0000-0000AD1B0000}"/>
    <cellStyle name="Accent5 3" xfId="236" xr:uid="{00000000-0005-0000-0000-0000AE1B0000}"/>
    <cellStyle name="Accent5 4" xfId="237" xr:uid="{00000000-0005-0000-0000-0000AF1B0000}"/>
    <cellStyle name="Accent5 5" xfId="238" xr:uid="{00000000-0005-0000-0000-0000B01B0000}"/>
    <cellStyle name="Accent5 6" xfId="239" xr:uid="{00000000-0005-0000-0000-0000B11B0000}"/>
    <cellStyle name="Accent5 6 2" xfId="857" xr:uid="{00000000-0005-0000-0000-0000B21B0000}"/>
    <cellStyle name="Accent5 6 3" xfId="8696" xr:uid="{00000000-0005-0000-0000-0000B31B0000}"/>
    <cellStyle name="Accent5 7" xfId="240" xr:uid="{00000000-0005-0000-0000-0000B41B0000}"/>
    <cellStyle name="Accent5 8" xfId="241" xr:uid="{00000000-0005-0000-0000-0000B51B0000}"/>
    <cellStyle name="Accent6 2" xfId="242" xr:uid="{00000000-0005-0000-0000-0000B61B0000}"/>
    <cellStyle name="Accent6 2 2" xfId="243" xr:uid="{00000000-0005-0000-0000-0000B71B0000}"/>
    <cellStyle name="Accent6 3" xfId="244" xr:uid="{00000000-0005-0000-0000-0000B81B0000}"/>
    <cellStyle name="Accent6 4" xfId="245" xr:uid="{00000000-0005-0000-0000-0000B91B0000}"/>
    <cellStyle name="Accent6 5" xfId="246" xr:uid="{00000000-0005-0000-0000-0000BA1B0000}"/>
    <cellStyle name="Accent6 6" xfId="247" xr:uid="{00000000-0005-0000-0000-0000BB1B0000}"/>
    <cellStyle name="Accent6 6 2" xfId="858" xr:uid="{00000000-0005-0000-0000-0000BC1B0000}"/>
    <cellStyle name="Accent6 6 3" xfId="8697" xr:uid="{00000000-0005-0000-0000-0000BD1B0000}"/>
    <cellStyle name="Accent6 7" xfId="248" xr:uid="{00000000-0005-0000-0000-0000BE1B0000}"/>
    <cellStyle name="Accent6 8" xfId="249" xr:uid="{00000000-0005-0000-0000-0000BF1B0000}"/>
    <cellStyle name="Bad 2" xfId="250" xr:uid="{00000000-0005-0000-0000-0000C01B0000}"/>
    <cellStyle name="Bad 2 2" xfId="251" xr:uid="{00000000-0005-0000-0000-0000C11B0000}"/>
    <cellStyle name="Bad 3" xfId="252" xr:uid="{00000000-0005-0000-0000-0000C21B0000}"/>
    <cellStyle name="Bad 4" xfId="253" xr:uid="{00000000-0005-0000-0000-0000C31B0000}"/>
    <cellStyle name="Bad 5" xfId="254" xr:uid="{00000000-0005-0000-0000-0000C41B0000}"/>
    <cellStyle name="Bad 6" xfId="255" xr:uid="{00000000-0005-0000-0000-0000C51B0000}"/>
    <cellStyle name="Bad 6 2" xfId="859" xr:uid="{00000000-0005-0000-0000-0000C61B0000}"/>
    <cellStyle name="Bad 6 3" xfId="8698" xr:uid="{00000000-0005-0000-0000-0000C71B0000}"/>
    <cellStyle name="Bad 7" xfId="256" xr:uid="{00000000-0005-0000-0000-0000C81B0000}"/>
    <cellStyle name="Bad 8" xfId="257" xr:uid="{00000000-0005-0000-0000-0000C91B0000}"/>
    <cellStyle name="Banner" xfId="8699" xr:uid="{00000000-0005-0000-0000-0000CA1B0000}"/>
    <cellStyle name="Calculation 2" xfId="258" xr:uid="{00000000-0005-0000-0000-0000CB1B0000}"/>
    <cellStyle name="Calculation 2 2" xfId="259" xr:uid="{00000000-0005-0000-0000-0000CC1B0000}"/>
    <cellStyle name="Calculation 3" xfId="260" xr:uid="{00000000-0005-0000-0000-0000CD1B0000}"/>
    <cellStyle name="Calculation 4" xfId="261" xr:uid="{00000000-0005-0000-0000-0000CE1B0000}"/>
    <cellStyle name="Calculation 5" xfId="262" xr:uid="{00000000-0005-0000-0000-0000CF1B0000}"/>
    <cellStyle name="Calculation 6" xfId="263" xr:uid="{00000000-0005-0000-0000-0000D01B0000}"/>
    <cellStyle name="Calculation 6 2" xfId="860" xr:uid="{00000000-0005-0000-0000-0000D11B0000}"/>
    <cellStyle name="Calculation 6 3" xfId="8700" xr:uid="{00000000-0005-0000-0000-0000D21B0000}"/>
    <cellStyle name="Calculation 7" xfId="264" xr:uid="{00000000-0005-0000-0000-0000D31B0000}"/>
    <cellStyle name="Calculation 8" xfId="265" xr:uid="{00000000-0005-0000-0000-0000D41B0000}"/>
    <cellStyle name="Check Cell 2" xfId="266" xr:uid="{00000000-0005-0000-0000-0000D51B0000}"/>
    <cellStyle name="Check Cell 2 2" xfId="267" xr:uid="{00000000-0005-0000-0000-0000D61B0000}"/>
    <cellStyle name="Check Cell 3" xfId="268" xr:uid="{00000000-0005-0000-0000-0000D71B0000}"/>
    <cellStyle name="Check Cell 4" xfId="269" xr:uid="{00000000-0005-0000-0000-0000D81B0000}"/>
    <cellStyle name="Check Cell 5" xfId="270" xr:uid="{00000000-0005-0000-0000-0000D91B0000}"/>
    <cellStyle name="Check Cell 6" xfId="271" xr:uid="{00000000-0005-0000-0000-0000DA1B0000}"/>
    <cellStyle name="Check Cell 6 2" xfId="861" xr:uid="{00000000-0005-0000-0000-0000DB1B0000}"/>
    <cellStyle name="Check Cell 6 3" xfId="8701" xr:uid="{00000000-0005-0000-0000-0000DC1B0000}"/>
    <cellStyle name="Check Cell 7" xfId="272" xr:uid="{00000000-0005-0000-0000-0000DD1B0000}"/>
    <cellStyle name="Check Cell 8" xfId="273" xr:uid="{00000000-0005-0000-0000-0000DE1B0000}"/>
    <cellStyle name="Comma 2" xfId="274" xr:uid="{00000000-0005-0000-0000-0000DF1B0000}"/>
    <cellStyle name="Comma 2 2" xfId="275" xr:uid="{00000000-0005-0000-0000-0000E01B0000}"/>
    <cellStyle name="Comma 2 2 2" xfId="8702" xr:uid="{00000000-0005-0000-0000-0000E11B0000}"/>
    <cellStyle name="Comma 2 3" xfId="8703" xr:uid="{00000000-0005-0000-0000-0000E21B0000}"/>
    <cellStyle name="Comma 3" xfId="276" xr:uid="{00000000-0005-0000-0000-0000E31B0000}"/>
    <cellStyle name="Comma 3 2" xfId="277" xr:uid="{00000000-0005-0000-0000-0000E41B0000}"/>
    <cellStyle name="Comma 3 2 2" xfId="8704" xr:uid="{00000000-0005-0000-0000-0000E51B0000}"/>
    <cellStyle name="Comma 3 3" xfId="8705" xr:uid="{00000000-0005-0000-0000-0000E61B0000}"/>
    <cellStyle name="Comma 4" xfId="278" xr:uid="{00000000-0005-0000-0000-0000E71B0000}"/>
    <cellStyle name="Comma 4 2" xfId="279" xr:uid="{00000000-0005-0000-0000-0000E81B0000}"/>
    <cellStyle name="Comma 4 2 2" xfId="862" xr:uid="{00000000-0005-0000-0000-0000E91B0000}"/>
    <cellStyle name="Comma 4 2 2 2" xfId="8706" xr:uid="{00000000-0005-0000-0000-0000EA1B0000}"/>
    <cellStyle name="Comma 4 2 3" xfId="8707" xr:uid="{00000000-0005-0000-0000-0000EB1B0000}"/>
    <cellStyle name="Comma 4 3" xfId="280" xr:uid="{00000000-0005-0000-0000-0000EC1B0000}"/>
    <cellStyle name="Comma 4 3 2" xfId="8708" xr:uid="{00000000-0005-0000-0000-0000ED1B0000}"/>
    <cellStyle name="Comma 4 4" xfId="8709" xr:uid="{00000000-0005-0000-0000-0000EE1B0000}"/>
    <cellStyle name="Comma 5" xfId="281" xr:uid="{00000000-0005-0000-0000-0000EF1B0000}"/>
    <cellStyle name="Comma 5 2" xfId="8710" xr:uid="{00000000-0005-0000-0000-0000F01B0000}"/>
    <cellStyle name="Comma 5 3" xfId="8711" xr:uid="{00000000-0005-0000-0000-0000F11B0000}"/>
    <cellStyle name="Comma 6" xfId="282" xr:uid="{00000000-0005-0000-0000-0000F21B0000}"/>
    <cellStyle name="Comma 6 2" xfId="283" xr:uid="{00000000-0005-0000-0000-0000F31B0000}"/>
    <cellStyle name="Comma 6 2 2" xfId="8712" xr:uid="{00000000-0005-0000-0000-0000F41B0000}"/>
    <cellStyle name="Comma 6 3" xfId="863" xr:uid="{00000000-0005-0000-0000-0000F51B0000}"/>
    <cellStyle name="Comma 6 3 2" xfId="8713" xr:uid="{00000000-0005-0000-0000-0000F61B0000}"/>
    <cellStyle name="Comma 6 4" xfId="8714" xr:uid="{00000000-0005-0000-0000-0000F71B0000}"/>
    <cellStyle name="Comma 7" xfId="1928" xr:uid="{00000000-0005-0000-0000-0000F81B0000}"/>
    <cellStyle name="Comma 7 2" xfId="8715" xr:uid="{00000000-0005-0000-0000-0000F91B0000}"/>
    <cellStyle name="Comma 8" xfId="8716" xr:uid="{00000000-0005-0000-0000-0000FA1B0000}"/>
    <cellStyle name="Comma 8 2" xfId="8717" xr:uid="{00000000-0005-0000-0000-0000FB1B0000}"/>
    <cellStyle name="Comma 9" xfId="56252" xr:uid="{00000000-0005-0000-0000-0000FC1B0000}"/>
    <cellStyle name="Comma 9 2" xfId="56257" xr:uid="{00000000-0005-0000-0000-0000FD1B0000}"/>
    <cellStyle name="Currency 10" xfId="8718" xr:uid="{00000000-0005-0000-0000-0000FE1B0000}"/>
    <cellStyle name="Currency 10 2" xfId="8719" xr:uid="{00000000-0005-0000-0000-0000FF1B0000}"/>
    <cellStyle name="Currency 10 2 2" xfId="8720" xr:uid="{00000000-0005-0000-0000-0000001C0000}"/>
    <cellStyle name="Currency 10 2 2 2" xfId="8721" xr:uid="{00000000-0005-0000-0000-0000011C0000}"/>
    <cellStyle name="Currency 10 2 2 2 2" xfId="8722" xr:uid="{00000000-0005-0000-0000-0000021C0000}"/>
    <cellStyle name="Currency 10 2 2 2 2 2" xfId="8723" xr:uid="{00000000-0005-0000-0000-0000031C0000}"/>
    <cellStyle name="Currency 10 2 2 2 3" xfId="8724" xr:uid="{00000000-0005-0000-0000-0000041C0000}"/>
    <cellStyle name="Currency 10 2 2 3" xfId="8725" xr:uid="{00000000-0005-0000-0000-0000051C0000}"/>
    <cellStyle name="Currency 10 2 2 3 2" xfId="8726" xr:uid="{00000000-0005-0000-0000-0000061C0000}"/>
    <cellStyle name="Currency 10 2 2 4" xfId="8727" xr:uid="{00000000-0005-0000-0000-0000071C0000}"/>
    <cellStyle name="Currency 10 2 3" xfId="8728" xr:uid="{00000000-0005-0000-0000-0000081C0000}"/>
    <cellStyle name="Currency 10 2 3 2" xfId="8729" xr:uid="{00000000-0005-0000-0000-0000091C0000}"/>
    <cellStyle name="Currency 10 2 3 2 2" xfId="8730" xr:uid="{00000000-0005-0000-0000-00000A1C0000}"/>
    <cellStyle name="Currency 10 2 3 2 2 2" xfId="8731" xr:uid="{00000000-0005-0000-0000-00000B1C0000}"/>
    <cellStyle name="Currency 10 2 3 2 3" xfId="8732" xr:uid="{00000000-0005-0000-0000-00000C1C0000}"/>
    <cellStyle name="Currency 10 2 3 3" xfId="8733" xr:uid="{00000000-0005-0000-0000-00000D1C0000}"/>
    <cellStyle name="Currency 10 2 3 3 2" xfId="8734" xr:uid="{00000000-0005-0000-0000-00000E1C0000}"/>
    <cellStyle name="Currency 10 2 3 4" xfId="8735" xr:uid="{00000000-0005-0000-0000-00000F1C0000}"/>
    <cellStyle name="Currency 10 2 4" xfId="8736" xr:uid="{00000000-0005-0000-0000-0000101C0000}"/>
    <cellStyle name="Currency 10 2 4 2" xfId="8737" xr:uid="{00000000-0005-0000-0000-0000111C0000}"/>
    <cellStyle name="Currency 10 2 4 2 2" xfId="8738" xr:uid="{00000000-0005-0000-0000-0000121C0000}"/>
    <cellStyle name="Currency 10 2 4 3" xfId="8739" xr:uid="{00000000-0005-0000-0000-0000131C0000}"/>
    <cellStyle name="Currency 10 2 5" xfId="8740" xr:uid="{00000000-0005-0000-0000-0000141C0000}"/>
    <cellStyle name="Currency 10 2 5 2" xfId="8741" xr:uid="{00000000-0005-0000-0000-0000151C0000}"/>
    <cellStyle name="Currency 10 2 6" xfId="8742" xr:uid="{00000000-0005-0000-0000-0000161C0000}"/>
    <cellStyle name="Currency 10 3" xfId="8743" xr:uid="{00000000-0005-0000-0000-0000171C0000}"/>
    <cellStyle name="Currency 10 3 2" xfId="8744" xr:uid="{00000000-0005-0000-0000-0000181C0000}"/>
    <cellStyle name="Currency 10 3 2 2" xfId="8745" xr:uid="{00000000-0005-0000-0000-0000191C0000}"/>
    <cellStyle name="Currency 10 3 2 2 2" xfId="8746" xr:uid="{00000000-0005-0000-0000-00001A1C0000}"/>
    <cellStyle name="Currency 10 3 2 3" xfId="8747" xr:uid="{00000000-0005-0000-0000-00001B1C0000}"/>
    <cellStyle name="Currency 10 3 3" xfId="8748" xr:uid="{00000000-0005-0000-0000-00001C1C0000}"/>
    <cellStyle name="Currency 10 3 3 2" xfId="8749" xr:uid="{00000000-0005-0000-0000-00001D1C0000}"/>
    <cellStyle name="Currency 10 3 4" xfId="8750" xr:uid="{00000000-0005-0000-0000-00001E1C0000}"/>
    <cellStyle name="Currency 10 4" xfId="8751" xr:uid="{00000000-0005-0000-0000-00001F1C0000}"/>
    <cellStyle name="Currency 10 4 2" xfId="8752" xr:uid="{00000000-0005-0000-0000-0000201C0000}"/>
    <cellStyle name="Currency 10 4 2 2" xfId="8753" xr:uid="{00000000-0005-0000-0000-0000211C0000}"/>
    <cellStyle name="Currency 10 4 2 2 2" xfId="8754" xr:uid="{00000000-0005-0000-0000-0000221C0000}"/>
    <cellStyle name="Currency 10 4 2 3" xfId="8755" xr:uid="{00000000-0005-0000-0000-0000231C0000}"/>
    <cellStyle name="Currency 10 4 3" xfId="8756" xr:uid="{00000000-0005-0000-0000-0000241C0000}"/>
    <cellStyle name="Currency 10 4 3 2" xfId="8757" xr:uid="{00000000-0005-0000-0000-0000251C0000}"/>
    <cellStyle name="Currency 10 4 4" xfId="8758" xr:uid="{00000000-0005-0000-0000-0000261C0000}"/>
    <cellStyle name="Currency 10 5" xfId="8759" xr:uid="{00000000-0005-0000-0000-0000271C0000}"/>
    <cellStyle name="Currency 10 5 2" xfId="8760" xr:uid="{00000000-0005-0000-0000-0000281C0000}"/>
    <cellStyle name="Currency 10 5 2 2" xfId="8761" xr:uid="{00000000-0005-0000-0000-0000291C0000}"/>
    <cellStyle name="Currency 10 5 3" xfId="8762" xr:uid="{00000000-0005-0000-0000-00002A1C0000}"/>
    <cellStyle name="Currency 10 6" xfId="8763" xr:uid="{00000000-0005-0000-0000-00002B1C0000}"/>
    <cellStyle name="Currency 10 6 2" xfId="8764" xr:uid="{00000000-0005-0000-0000-00002C1C0000}"/>
    <cellStyle name="Currency 10 7" xfId="8765" xr:uid="{00000000-0005-0000-0000-00002D1C0000}"/>
    <cellStyle name="Currency 11" xfId="8766" xr:uid="{00000000-0005-0000-0000-00002E1C0000}"/>
    <cellStyle name="Currency 11 2" xfId="8767" xr:uid="{00000000-0005-0000-0000-00002F1C0000}"/>
    <cellStyle name="Currency 14" xfId="56254" xr:uid="{00000000-0005-0000-0000-0000301C0000}"/>
    <cellStyle name="Currency 14 2" xfId="56259" xr:uid="{00000000-0005-0000-0000-0000311C0000}"/>
    <cellStyle name="Currency 2" xfId="284" xr:uid="{00000000-0005-0000-0000-0000321C0000}"/>
    <cellStyle name="Currency 2 2" xfId="285" xr:uid="{00000000-0005-0000-0000-0000331C0000}"/>
    <cellStyle name="Currency 2 2 2" xfId="8768" xr:uid="{00000000-0005-0000-0000-0000341C0000}"/>
    <cellStyle name="Currency 2 3" xfId="8769" xr:uid="{00000000-0005-0000-0000-0000351C0000}"/>
    <cellStyle name="Currency 3" xfId="286" xr:uid="{00000000-0005-0000-0000-0000361C0000}"/>
    <cellStyle name="Currency 3 2" xfId="287" xr:uid="{00000000-0005-0000-0000-0000371C0000}"/>
    <cellStyle name="Currency 3 2 2" xfId="8770" xr:uid="{00000000-0005-0000-0000-0000381C0000}"/>
    <cellStyle name="Currency 3 3" xfId="8771" xr:uid="{00000000-0005-0000-0000-0000391C0000}"/>
    <cellStyle name="Currency 3 4" xfId="56260" xr:uid="{00000000-0005-0000-0000-00003A1C0000}"/>
    <cellStyle name="Currency 4" xfId="288" xr:uid="{00000000-0005-0000-0000-00003B1C0000}"/>
    <cellStyle name="Currency 4 2" xfId="8772" xr:uid="{00000000-0005-0000-0000-00003C1C0000}"/>
    <cellStyle name="Currency 5" xfId="289" xr:uid="{00000000-0005-0000-0000-00003D1C0000}"/>
    <cellStyle name="Currency 5 10" xfId="864" xr:uid="{00000000-0005-0000-0000-00003E1C0000}"/>
    <cellStyle name="Currency 5 10 10" xfId="8774" xr:uid="{00000000-0005-0000-0000-00003F1C0000}"/>
    <cellStyle name="Currency 5 10 11" xfId="8773" xr:uid="{00000000-0005-0000-0000-0000401C0000}"/>
    <cellStyle name="Currency 5 10 2" xfId="1605" xr:uid="{00000000-0005-0000-0000-0000411C0000}"/>
    <cellStyle name="Currency 5 10 2 2" xfId="8776" xr:uid="{00000000-0005-0000-0000-0000421C0000}"/>
    <cellStyle name="Currency 5 10 2 2 2" xfId="8777" xr:uid="{00000000-0005-0000-0000-0000431C0000}"/>
    <cellStyle name="Currency 5 10 2 2 2 2" xfId="8778" xr:uid="{00000000-0005-0000-0000-0000441C0000}"/>
    <cellStyle name="Currency 5 10 2 2 2 2 2" xfId="8779" xr:uid="{00000000-0005-0000-0000-0000451C0000}"/>
    <cellStyle name="Currency 5 10 2 2 2 3" xfId="8780" xr:uid="{00000000-0005-0000-0000-0000461C0000}"/>
    <cellStyle name="Currency 5 10 2 2 3" xfId="8781" xr:uid="{00000000-0005-0000-0000-0000471C0000}"/>
    <cellStyle name="Currency 5 10 2 2 3 2" xfId="8782" xr:uid="{00000000-0005-0000-0000-0000481C0000}"/>
    <cellStyle name="Currency 5 10 2 2 4" xfId="8783" xr:uid="{00000000-0005-0000-0000-0000491C0000}"/>
    <cellStyle name="Currency 5 10 2 3" xfId="8784" xr:uid="{00000000-0005-0000-0000-00004A1C0000}"/>
    <cellStyle name="Currency 5 10 2 3 2" xfId="8785" xr:uid="{00000000-0005-0000-0000-00004B1C0000}"/>
    <cellStyle name="Currency 5 10 2 3 2 2" xfId="8786" xr:uid="{00000000-0005-0000-0000-00004C1C0000}"/>
    <cellStyle name="Currency 5 10 2 3 2 2 2" xfId="8787" xr:uid="{00000000-0005-0000-0000-00004D1C0000}"/>
    <cellStyle name="Currency 5 10 2 3 2 3" xfId="8788" xr:uid="{00000000-0005-0000-0000-00004E1C0000}"/>
    <cellStyle name="Currency 5 10 2 3 3" xfId="8789" xr:uid="{00000000-0005-0000-0000-00004F1C0000}"/>
    <cellStyle name="Currency 5 10 2 3 3 2" xfId="8790" xr:uid="{00000000-0005-0000-0000-0000501C0000}"/>
    <cellStyle name="Currency 5 10 2 3 4" xfId="8791" xr:uid="{00000000-0005-0000-0000-0000511C0000}"/>
    <cellStyle name="Currency 5 10 2 4" xfId="8792" xr:uid="{00000000-0005-0000-0000-0000521C0000}"/>
    <cellStyle name="Currency 5 10 2 4 2" xfId="8793" xr:uid="{00000000-0005-0000-0000-0000531C0000}"/>
    <cellStyle name="Currency 5 10 2 4 2 2" xfId="8794" xr:uid="{00000000-0005-0000-0000-0000541C0000}"/>
    <cellStyle name="Currency 5 10 2 4 3" xfId="8795" xr:uid="{00000000-0005-0000-0000-0000551C0000}"/>
    <cellStyle name="Currency 5 10 2 5" xfId="8796" xr:uid="{00000000-0005-0000-0000-0000561C0000}"/>
    <cellStyle name="Currency 5 10 2 5 2" xfId="8797" xr:uid="{00000000-0005-0000-0000-0000571C0000}"/>
    <cellStyle name="Currency 5 10 2 6" xfId="8798" xr:uid="{00000000-0005-0000-0000-0000581C0000}"/>
    <cellStyle name="Currency 5 10 2 7" xfId="8775" xr:uid="{00000000-0005-0000-0000-0000591C0000}"/>
    <cellStyle name="Currency 5 10 3" xfId="8799" xr:uid="{00000000-0005-0000-0000-00005A1C0000}"/>
    <cellStyle name="Currency 5 10 3 2" xfId="8800" xr:uid="{00000000-0005-0000-0000-00005B1C0000}"/>
    <cellStyle name="Currency 5 10 3 2 2" xfId="8801" xr:uid="{00000000-0005-0000-0000-00005C1C0000}"/>
    <cellStyle name="Currency 5 10 3 2 2 2" xfId="8802" xr:uid="{00000000-0005-0000-0000-00005D1C0000}"/>
    <cellStyle name="Currency 5 10 3 2 2 2 2" xfId="8803" xr:uid="{00000000-0005-0000-0000-00005E1C0000}"/>
    <cellStyle name="Currency 5 10 3 2 2 3" xfId="8804" xr:uid="{00000000-0005-0000-0000-00005F1C0000}"/>
    <cellStyle name="Currency 5 10 3 2 3" xfId="8805" xr:uid="{00000000-0005-0000-0000-0000601C0000}"/>
    <cellStyle name="Currency 5 10 3 2 3 2" xfId="8806" xr:uid="{00000000-0005-0000-0000-0000611C0000}"/>
    <cellStyle name="Currency 5 10 3 2 4" xfId="8807" xr:uid="{00000000-0005-0000-0000-0000621C0000}"/>
    <cellStyle name="Currency 5 10 3 3" xfId="8808" xr:uid="{00000000-0005-0000-0000-0000631C0000}"/>
    <cellStyle name="Currency 5 10 3 3 2" xfId="8809" xr:uid="{00000000-0005-0000-0000-0000641C0000}"/>
    <cellStyle name="Currency 5 10 3 3 2 2" xfId="8810" xr:uid="{00000000-0005-0000-0000-0000651C0000}"/>
    <cellStyle name="Currency 5 10 3 3 3" xfId="8811" xr:uid="{00000000-0005-0000-0000-0000661C0000}"/>
    <cellStyle name="Currency 5 10 3 4" xfId="8812" xr:uid="{00000000-0005-0000-0000-0000671C0000}"/>
    <cellStyle name="Currency 5 10 3 4 2" xfId="8813" xr:uid="{00000000-0005-0000-0000-0000681C0000}"/>
    <cellStyle name="Currency 5 10 3 5" xfId="8814" xr:uid="{00000000-0005-0000-0000-0000691C0000}"/>
    <cellStyle name="Currency 5 10 4" xfId="8815" xr:uid="{00000000-0005-0000-0000-00006A1C0000}"/>
    <cellStyle name="Currency 5 10 4 2" xfId="8816" xr:uid="{00000000-0005-0000-0000-00006B1C0000}"/>
    <cellStyle name="Currency 5 10 4 2 2" xfId="8817" xr:uid="{00000000-0005-0000-0000-00006C1C0000}"/>
    <cellStyle name="Currency 5 10 4 2 2 2" xfId="8818" xr:uid="{00000000-0005-0000-0000-00006D1C0000}"/>
    <cellStyle name="Currency 5 10 4 2 2 2 2" xfId="8819" xr:uid="{00000000-0005-0000-0000-00006E1C0000}"/>
    <cellStyle name="Currency 5 10 4 2 2 3" xfId="8820" xr:uid="{00000000-0005-0000-0000-00006F1C0000}"/>
    <cellStyle name="Currency 5 10 4 2 3" xfId="8821" xr:uid="{00000000-0005-0000-0000-0000701C0000}"/>
    <cellStyle name="Currency 5 10 4 2 3 2" xfId="8822" xr:uid="{00000000-0005-0000-0000-0000711C0000}"/>
    <cellStyle name="Currency 5 10 4 2 4" xfId="8823" xr:uid="{00000000-0005-0000-0000-0000721C0000}"/>
    <cellStyle name="Currency 5 10 4 3" xfId="8824" xr:uid="{00000000-0005-0000-0000-0000731C0000}"/>
    <cellStyle name="Currency 5 10 4 3 2" xfId="8825" xr:uid="{00000000-0005-0000-0000-0000741C0000}"/>
    <cellStyle name="Currency 5 10 4 3 2 2" xfId="8826" xr:uid="{00000000-0005-0000-0000-0000751C0000}"/>
    <cellStyle name="Currency 5 10 4 3 3" xfId="8827" xr:uid="{00000000-0005-0000-0000-0000761C0000}"/>
    <cellStyle name="Currency 5 10 4 4" xfId="8828" xr:uid="{00000000-0005-0000-0000-0000771C0000}"/>
    <cellStyle name="Currency 5 10 4 4 2" xfId="8829" xr:uid="{00000000-0005-0000-0000-0000781C0000}"/>
    <cellStyle name="Currency 5 10 4 5" xfId="8830" xr:uid="{00000000-0005-0000-0000-0000791C0000}"/>
    <cellStyle name="Currency 5 10 5" xfId="8831" xr:uid="{00000000-0005-0000-0000-00007A1C0000}"/>
    <cellStyle name="Currency 5 10 5 2" xfId="8832" xr:uid="{00000000-0005-0000-0000-00007B1C0000}"/>
    <cellStyle name="Currency 5 10 5 2 2" xfId="8833" xr:uid="{00000000-0005-0000-0000-00007C1C0000}"/>
    <cellStyle name="Currency 5 10 5 2 2 2" xfId="8834" xr:uid="{00000000-0005-0000-0000-00007D1C0000}"/>
    <cellStyle name="Currency 5 10 5 2 3" xfId="8835" xr:uid="{00000000-0005-0000-0000-00007E1C0000}"/>
    <cellStyle name="Currency 5 10 5 3" xfId="8836" xr:uid="{00000000-0005-0000-0000-00007F1C0000}"/>
    <cellStyle name="Currency 5 10 5 3 2" xfId="8837" xr:uid="{00000000-0005-0000-0000-0000801C0000}"/>
    <cellStyle name="Currency 5 10 5 4" xfId="8838" xr:uid="{00000000-0005-0000-0000-0000811C0000}"/>
    <cellStyle name="Currency 5 10 6" xfId="8839" xr:uid="{00000000-0005-0000-0000-0000821C0000}"/>
    <cellStyle name="Currency 5 10 6 2" xfId="8840" xr:uid="{00000000-0005-0000-0000-0000831C0000}"/>
    <cellStyle name="Currency 5 10 6 2 2" xfId="8841" xr:uid="{00000000-0005-0000-0000-0000841C0000}"/>
    <cellStyle name="Currency 5 10 6 2 2 2" xfId="8842" xr:uid="{00000000-0005-0000-0000-0000851C0000}"/>
    <cellStyle name="Currency 5 10 6 2 3" xfId="8843" xr:uid="{00000000-0005-0000-0000-0000861C0000}"/>
    <cellStyle name="Currency 5 10 6 3" xfId="8844" xr:uid="{00000000-0005-0000-0000-0000871C0000}"/>
    <cellStyle name="Currency 5 10 6 3 2" xfId="8845" xr:uid="{00000000-0005-0000-0000-0000881C0000}"/>
    <cellStyle name="Currency 5 10 6 4" xfId="8846" xr:uid="{00000000-0005-0000-0000-0000891C0000}"/>
    <cellStyle name="Currency 5 10 7" xfId="8847" xr:uid="{00000000-0005-0000-0000-00008A1C0000}"/>
    <cellStyle name="Currency 5 10 7 2" xfId="8848" xr:uid="{00000000-0005-0000-0000-00008B1C0000}"/>
    <cellStyle name="Currency 5 10 7 2 2" xfId="8849" xr:uid="{00000000-0005-0000-0000-00008C1C0000}"/>
    <cellStyle name="Currency 5 10 7 2 2 2" xfId="8850" xr:uid="{00000000-0005-0000-0000-00008D1C0000}"/>
    <cellStyle name="Currency 5 10 7 2 3" xfId="8851" xr:uid="{00000000-0005-0000-0000-00008E1C0000}"/>
    <cellStyle name="Currency 5 10 7 3" xfId="8852" xr:uid="{00000000-0005-0000-0000-00008F1C0000}"/>
    <cellStyle name="Currency 5 10 7 3 2" xfId="8853" xr:uid="{00000000-0005-0000-0000-0000901C0000}"/>
    <cellStyle name="Currency 5 10 7 4" xfId="8854" xr:uid="{00000000-0005-0000-0000-0000911C0000}"/>
    <cellStyle name="Currency 5 10 8" xfId="8855" xr:uid="{00000000-0005-0000-0000-0000921C0000}"/>
    <cellStyle name="Currency 5 10 8 2" xfId="8856" xr:uid="{00000000-0005-0000-0000-0000931C0000}"/>
    <cellStyle name="Currency 5 10 8 2 2" xfId="8857" xr:uid="{00000000-0005-0000-0000-0000941C0000}"/>
    <cellStyle name="Currency 5 10 8 3" xfId="8858" xr:uid="{00000000-0005-0000-0000-0000951C0000}"/>
    <cellStyle name="Currency 5 10 9" xfId="8859" xr:uid="{00000000-0005-0000-0000-0000961C0000}"/>
    <cellStyle name="Currency 5 10 9 2" xfId="8860" xr:uid="{00000000-0005-0000-0000-0000971C0000}"/>
    <cellStyle name="Currency 5 11" xfId="1280" xr:uid="{00000000-0005-0000-0000-0000981C0000}"/>
    <cellStyle name="Currency 5 11 2" xfId="8862" xr:uid="{00000000-0005-0000-0000-0000991C0000}"/>
    <cellStyle name="Currency 5 11 2 2" xfId="8863" xr:uid="{00000000-0005-0000-0000-00009A1C0000}"/>
    <cellStyle name="Currency 5 11 2 2 2" xfId="8864" xr:uid="{00000000-0005-0000-0000-00009B1C0000}"/>
    <cellStyle name="Currency 5 11 2 2 2 2" xfId="8865" xr:uid="{00000000-0005-0000-0000-00009C1C0000}"/>
    <cellStyle name="Currency 5 11 2 2 3" xfId="8866" xr:uid="{00000000-0005-0000-0000-00009D1C0000}"/>
    <cellStyle name="Currency 5 11 2 3" xfId="8867" xr:uid="{00000000-0005-0000-0000-00009E1C0000}"/>
    <cellStyle name="Currency 5 11 2 3 2" xfId="8868" xr:uid="{00000000-0005-0000-0000-00009F1C0000}"/>
    <cellStyle name="Currency 5 11 2 4" xfId="8869" xr:uid="{00000000-0005-0000-0000-0000A01C0000}"/>
    <cellStyle name="Currency 5 11 3" xfId="8870" xr:uid="{00000000-0005-0000-0000-0000A11C0000}"/>
    <cellStyle name="Currency 5 11 3 2" xfId="8871" xr:uid="{00000000-0005-0000-0000-0000A21C0000}"/>
    <cellStyle name="Currency 5 11 3 2 2" xfId="8872" xr:uid="{00000000-0005-0000-0000-0000A31C0000}"/>
    <cellStyle name="Currency 5 11 3 2 2 2" xfId="8873" xr:uid="{00000000-0005-0000-0000-0000A41C0000}"/>
    <cellStyle name="Currency 5 11 3 2 3" xfId="8874" xr:uid="{00000000-0005-0000-0000-0000A51C0000}"/>
    <cellStyle name="Currency 5 11 3 3" xfId="8875" xr:uid="{00000000-0005-0000-0000-0000A61C0000}"/>
    <cellStyle name="Currency 5 11 3 3 2" xfId="8876" xr:uid="{00000000-0005-0000-0000-0000A71C0000}"/>
    <cellStyle name="Currency 5 11 3 4" xfId="8877" xr:uid="{00000000-0005-0000-0000-0000A81C0000}"/>
    <cellStyle name="Currency 5 11 4" xfId="8878" xr:uid="{00000000-0005-0000-0000-0000A91C0000}"/>
    <cellStyle name="Currency 5 11 4 2" xfId="8879" xr:uid="{00000000-0005-0000-0000-0000AA1C0000}"/>
    <cellStyle name="Currency 5 11 4 2 2" xfId="8880" xr:uid="{00000000-0005-0000-0000-0000AB1C0000}"/>
    <cellStyle name="Currency 5 11 4 3" xfId="8881" xr:uid="{00000000-0005-0000-0000-0000AC1C0000}"/>
    <cellStyle name="Currency 5 11 5" xfId="8882" xr:uid="{00000000-0005-0000-0000-0000AD1C0000}"/>
    <cellStyle name="Currency 5 11 5 2" xfId="8883" xr:uid="{00000000-0005-0000-0000-0000AE1C0000}"/>
    <cellStyle name="Currency 5 11 6" xfId="8884" xr:uid="{00000000-0005-0000-0000-0000AF1C0000}"/>
    <cellStyle name="Currency 5 11 7" xfId="8861" xr:uid="{00000000-0005-0000-0000-0000B01C0000}"/>
    <cellStyle name="Currency 5 12" xfId="8885" xr:uid="{00000000-0005-0000-0000-0000B11C0000}"/>
    <cellStyle name="Currency 5 12 2" xfId="8886" xr:uid="{00000000-0005-0000-0000-0000B21C0000}"/>
    <cellStyle name="Currency 5 12 2 2" xfId="8887" xr:uid="{00000000-0005-0000-0000-0000B31C0000}"/>
    <cellStyle name="Currency 5 12 2 2 2" xfId="8888" xr:uid="{00000000-0005-0000-0000-0000B41C0000}"/>
    <cellStyle name="Currency 5 12 2 2 2 2" xfId="8889" xr:uid="{00000000-0005-0000-0000-0000B51C0000}"/>
    <cellStyle name="Currency 5 12 2 2 3" xfId="8890" xr:uid="{00000000-0005-0000-0000-0000B61C0000}"/>
    <cellStyle name="Currency 5 12 2 3" xfId="8891" xr:uid="{00000000-0005-0000-0000-0000B71C0000}"/>
    <cellStyle name="Currency 5 12 2 3 2" xfId="8892" xr:uid="{00000000-0005-0000-0000-0000B81C0000}"/>
    <cellStyle name="Currency 5 12 2 4" xfId="8893" xr:uid="{00000000-0005-0000-0000-0000B91C0000}"/>
    <cellStyle name="Currency 5 12 3" xfId="8894" xr:uid="{00000000-0005-0000-0000-0000BA1C0000}"/>
    <cellStyle name="Currency 5 12 3 2" xfId="8895" xr:uid="{00000000-0005-0000-0000-0000BB1C0000}"/>
    <cellStyle name="Currency 5 12 3 2 2" xfId="8896" xr:uid="{00000000-0005-0000-0000-0000BC1C0000}"/>
    <cellStyle name="Currency 5 12 3 3" xfId="8897" xr:uid="{00000000-0005-0000-0000-0000BD1C0000}"/>
    <cellStyle name="Currency 5 12 4" xfId="8898" xr:uid="{00000000-0005-0000-0000-0000BE1C0000}"/>
    <cellStyle name="Currency 5 12 4 2" xfId="8899" xr:uid="{00000000-0005-0000-0000-0000BF1C0000}"/>
    <cellStyle name="Currency 5 12 5" xfId="8900" xr:uid="{00000000-0005-0000-0000-0000C01C0000}"/>
    <cellStyle name="Currency 5 13" xfId="8901" xr:uid="{00000000-0005-0000-0000-0000C11C0000}"/>
    <cellStyle name="Currency 5 13 2" xfId="8902" xr:uid="{00000000-0005-0000-0000-0000C21C0000}"/>
    <cellStyle name="Currency 5 13 2 2" xfId="8903" xr:uid="{00000000-0005-0000-0000-0000C31C0000}"/>
    <cellStyle name="Currency 5 13 2 2 2" xfId="8904" xr:uid="{00000000-0005-0000-0000-0000C41C0000}"/>
    <cellStyle name="Currency 5 13 2 2 2 2" xfId="8905" xr:uid="{00000000-0005-0000-0000-0000C51C0000}"/>
    <cellStyle name="Currency 5 13 2 2 3" xfId="8906" xr:uid="{00000000-0005-0000-0000-0000C61C0000}"/>
    <cellStyle name="Currency 5 13 2 3" xfId="8907" xr:uid="{00000000-0005-0000-0000-0000C71C0000}"/>
    <cellStyle name="Currency 5 13 2 3 2" xfId="8908" xr:uid="{00000000-0005-0000-0000-0000C81C0000}"/>
    <cellStyle name="Currency 5 13 2 4" xfId="8909" xr:uid="{00000000-0005-0000-0000-0000C91C0000}"/>
    <cellStyle name="Currency 5 13 3" xfId="8910" xr:uid="{00000000-0005-0000-0000-0000CA1C0000}"/>
    <cellStyle name="Currency 5 13 3 2" xfId="8911" xr:uid="{00000000-0005-0000-0000-0000CB1C0000}"/>
    <cellStyle name="Currency 5 13 3 2 2" xfId="8912" xr:uid="{00000000-0005-0000-0000-0000CC1C0000}"/>
    <cellStyle name="Currency 5 13 3 3" xfId="8913" xr:uid="{00000000-0005-0000-0000-0000CD1C0000}"/>
    <cellStyle name="Currency 5 13 4" xfId="8914" xr:uid="{00000000-0005-0000-0000-0000CE1C0000}"/>
    <cellStyle name="Currency 5 13 4 2" xfId="8915" xr:uid="{00000000-0005-0000-0000-0000CF1C0000}"/>
    <cellStyle name="Currency 5 13 5" xfId="8916" xr:uid="{00000000-0005-0000-0000-0000D01C0000}"/>
    <cellStyle name="Currency 5 14" xfId="8917" xr:uid="{00000000-0005-0000-0000-0000D11C0000}"/>
    <cellStyle name="Currency 5 14 2" xfId="8918" xr:uid="{00000000-0005-0000-0000-0000D21C0000}"/>
    <cellStyle name="Currency 5 14 2 2" xfId="8919" xr:uid="{00000000-0005-0000-0000-0000D31C0000}"/>
    <cellStyle name="Currency 5 14 2 2 2" xfId="8920" xr:uid="{00000000-0005-0000-0000-0000D41C0000}"/>
    <cellStyle name="Currency 5 14 2 3" xfId="8921" xr:uid="{00000000-0005-0000-0000-0000D51C0000}"/>
    <cellStyle name="Currency 5 14 3" xfId="8922" xr:uid="{00000000-0005-0000-0000-0000D61C0000}"/>
    <cellStyle name="Currency 5 14 3 2" xfId="8923" xr:uid="{00000000-0005-0000-0000-0000D71C0000}"/>
    <cellStyle name="Currency 5 14 4" xfId="8924" xr:uid="{00000000-0005-0000-0000-0000D81C0000}"/>
    <cellStyle name="Currency 5 15" xfId="8925" xr:uid="{00000000-0005-0000-0000-0000D91C0000}"/>
    <cellStyle name="Currency 5 15 2" xfId="8926" xr:uid="{00000000-0005-0000-0000-0000DA1C0000}"/>
    <cellStyle name="Currency 5 15 2 2" xfId="8927" xr:uid="{00000000-0005-0000-0000-0000DB1C0000}"/>
    <cellStyle name="Currency 5 15 2 2 2" xfId="8928" xr:uid="{00000000-0005-0000-0000-0000DC1C0000}"/>
    <cellStyle name="Currency 5 15 2 3" xfId="8929" xr:uid="{00000000-0005-0000-0000-0000DD1C0000}"/>
    <cellStyle name="Currency 5 15 3" xfId="8930" xr:uid="{00000000-0005-0000-0000-0000DE1C0000}"/>
    <cellStyle name="Currency 5 15 3 2" xfId="8931" xr:uid="{00000000-0005-0000-0000-0000DF1C0000}"/>
    <cellStyle name="Currency 5 15 4" xfId="8932" xr:uid="{00000000-0005-0000-0000-0000E01C0000}"/>
    <cellStyle name="Currency 5 16" xfId="8933" xr:uid="{00000000-0005-0000-0000-0000E11C0000}"/>
    <cellStyle name="Currency 5 16 2" xfId="8934" xr:uid="{00000000-0005-0000-0000-0000E21C0000}"/>
    <cellStyle name="Currency 5 16 2 2" xfId="8935" xr:uid="{00000000-0005-0000-0000-0000E31C0000}"/>
    <cellStyle name="Currency 5 16 2 2 2" xfId="8936" xr:uid="{00000000-0005-0000-0000-0000E41C0000}"/>
    <cellStyle name="Currency 5 16 2 3" xfId="8937" xr:uid="{00000000-0005-0000-0000-0000E51C0000}"/>
    <cellStyle name="Currency 5 16 3" xfId="8938" xr:uid="{00000000-0005-0000-0000-0000E61C0000}"/>
    <cellStyle name="Currency 5 16 3 2" xfId="8939" xr:uid="{00000000-0005-0000-0000-0000E71C0000}"/>
    <cellStyle name="Currency 5 16 4" xfId="8940" xr:uid="{00000000-0005-0000-0000-0000E81C0000}"/>
    <cellStyle name="Currency 5 17" xfId="8941" xr:uid="{00000000-0005-0000-0000-0000E91C0000}"/>
    <cellStyle name="Currency 5 17 2" xfId="8942" xr:uid="{00000000-0005-0000-0000-0000EA1C0000}"/>
    <cellStyle name="Currency 5 17 2 2" xfId="8943" xr:uid="{00000000-0005-0000-0000-0000EB1C0000}"/>
    <cellStyle name="Currency 5 17 3" xfId="8944" xr:uid="{00000000-0005-0000-0000-0000EC1C0000}"/>
    <cellStyle name="Currency 5 18" xfId="8945" xr:uid="{00000000-0005-0000-0000-0000ED1C0000}"/>
    <cellStyle name="Currency 5 18 2" xfId="8946" xr:uid="{00000000-0005-0000-0000-0000EE1C0000}"/>
    <cellStyle name="Currency 5 18 2 2" xfId="8947" xr:uid="{00000000-0005-0000-0000-0000EF1C0000}"/>
    <cellStyle name="Currency 5 18 3" xfId="8948" xr:uid="{00000000-0005-0000-0000-0000F01C0000}"/>
    <cellStyle name="Currency 5 19" xfId="8949" xr:uid="{00000000-0005-0000-0000-0000F11C0000}"/>
    <cellStyle name="Currency 5 19 2" xfId="8950" xr:uid="{00000000-0005-0000-0000-0000F21C0000}"/>
    <cellStyle name="Currency 5 19 2 2" xfId="8951" xr:uid="{00000000-0005-0000-0000-0000F31C0000}"/>
    <cellStyle name="Currency 5 19 3" xfId="8952" xr:uid="{00000000-0005-0000-0000-0000F41C0000}"/>
    <cellStyle name="Currency 5 2" xfId="290" xr:uid="{00000000-0005-0000-0000-0000F51C0000}"/>
    <cellStyle name="Currency 5 2 10" xfId="1281" xr:uid="{00000000-0005-0000-0000-0000F61C0000}"/>
    <cellStyle name="Currency 5 2 10 2" xfId="8955" xr:uid="{00000000-0005-0000-0000-0000F71C0000}"/>
    <cellStyle name="Currency 5 2 10 2 2" xfId="8956" xr:uid="{00000000-0005-0000-0000-0000F81C0000}"/>
    <cellStyle name="Currency 5 2 10 2 2 2" xfId="8957" xr:uid="{00000000-0005-0000-0000-0000F91C0000}"/>
    <cellStyle name="Currency 5 2 10 2 2 2 2" xfId="8958" xr:uid="{00000000-0005-0000-0000-0000FA1C0000}"/>
    <cellStyle name="Currency 5 2 10 2 2 3" xfId="8959" xr:uid="{00000000-0005-0000-0000-0000FB1C0000}"/>
    <cellStyle name="Currency 5 2 10 2 3" xfId="8960" xr:uid="{00000000-0005-0000-0000-0000FC1C0000}"/>
    <cellStyle name="Currency 5 2 10 2 3 2" xfId="8961" xr:uid="{00000000-0005-0000-0000-0000FD1C0000}"/>
    <cellStyle name="Currency 5 2 10 2 4" xfId="8962" xr:uid="{00000000-0005-0000-0000-0000FE1C0000}"/>
    <cellStyle name="Currency 5 2 10 3" xfId="8963" xr:uid="{00000000-0005-0000-0000-0000FF1C0000}"/>
    <cellStyle name="Currency 5 2 10 3 2" xfId="8964" xr:uid="{00000000-0005-0000-0000-0000001D0000}"/>
    <cellStyle name="Currency 5 2 10 3 2 2" xfId="8965" xr:uid="{00000000-0005-0000-0000-0000011D0000}"/>
    <cellStyle name="Currency 5 2 10 3 2 2 2" xfId="8966" xr:uid="{00000000-0005-0000-0000-0000021D0000}"/>
    <cellStyle name="Currency 5 2 10 3 2 3" xfId="8967" xr:uid="{00000000-0005-0000-0000-0000031D0000}"/>
    <cellStyle name="Currency 5 2 10 3 3" xfId="8968" xr:uid="{00000000-0005-0000-0000-0000041D0000}"/>
    <cellStyle name="Currency 5 2 10 3 3 2" xfId="8969" xr:uid="{00000000-0005-0000-0000-0000051D0000}"/>
    <cellStyle name="Currency 5 2 10 3 4" xfId="8970" xr:uid="{00000000-0005-0000-0000-0000061D0000}"/>
    <cellStyle name="Currency 5 2 10 4" xfId="8971" xr:uid="{00000000-0005-0000-0000-0000071D0000}"/>
    <cellStyle name="Currency 5 2 10 4 2" xfId="8972" xr:uid="{00000000-0005-0000-0000-0000081D0000}"/>
    <cellStyle name="Currency 5 2 10 4 2 2" xfId="8973" xr:uid="{00000000-0005-0000-0000-0000091D0000}"/>
    <cellStyle name="Currency 5 2 10 4 3" xfId="8974" xr:uid="{00000000-0005-0000-0000-00000A1D0000}"/>
    <cellStyle name="Currency 5 2 10 5" xfId="8975" xr:uid="{00000000-0005-0000-0000-00000B1D0000}"/>
    <cellStyle name="Currency 5 2 10 5 2" xfId="8976" xr:uid="{00000000-0005-0000-0000-00000C1D0000}"/>
    <cellStyle name="Currency 5 2 10 6" xfId="8977" xr:uid="{00000000-0005-0000-0000-00000D1D0000}"/>
    <cellStyle name="Currency 5 2 10 7" xfId="8954" xr:uid="{00000000-0005-0000-0000-00000E1D0000}"/>
    <cellStyle name="Currency 5 2 11" xfId="8978" xr:uid="{00000000-0005-0000-0000-00000F1D0000}"/>
    <cellStyle name="Currency 5 2 11 2" xfId="8979" xr:uid="{00000000-0005-0000-0000-0000101D0000}"/>
    <cellStyle name="Currency 5 2 11 2 2" xfId="8980" xr:uid="{00000000-0005-0000-0000-0000111D0000}"/>
    <cellStyle name="Currency 5 2 11 2 2 2" xfId="8981" xr:uid="{00000000-0005-0000-0000-0000121D0000}"/>
    <cellStyle name="Currency 5 2 11 2 2 2 2" xfId="8982" xr:uid="{00000000-0005-0000-0000-0000131D0000}"/>
    <cellStyle name="Currency 5 2 11 2 2 3" xfId="8983" xr:uid="{00000000-0005-0000-0000-0000141D0000}"/>
    <cellStyle name="Currency 5 2 11 2 3" xfId="8984" xr:uid="{00000000-0005-0000-0000-0000151D0000}"/>
    <cellStyle name="Currency 5 2 11 2 3 2" xfId="8985" xr:uid="{00000000-0005-0000-0000-0000161D0000}"/>
    <cellStyle name="Currency 5 2 11 2 4" xfId="8986" xr:uid="{00000000-0005-0000-0000-0000171D0000}"/>
    <cellStyle name="Currency 5 2 11 3" xfId="8987" xr:uid="{00000000-0005-0000-0000-0000181D0000}"/>
    <cellStyle name="Currency 5 2 11 3 2" xfId="8988" xr:uid="{00000000-0005-0000-0000-0000191D0000}"/>
    <cellStyle name="Currency 5 2 11 3 2 2" xfId="8989" xr:uid="{00000000-0005-0000-0000-00001A1D0000}"/>
    <cellStyle name="Currency 5 2 11 3 3" xfId="8990" xr:uid="{00000000-0005-0000-0000-00001B1D0000}"/>
    <cellStyle name="Currency 5 2 11 4" xfId="8991" xr:uid="{00000000-0005-0000-0000-00001C1D0000}"/>
    <cellStyle name="Currency 5 2 11 4 2" xfId="8992" xr:uid="{00000000-0005-0000-0000-00001D1D0000}"/>
    <cellStyle name="Currency 5 2 11 5" xfId="8993" xr:uid="{00000000-0005-0000-0000-00001E1D0000}"/>
    <cellStyle name="Currency 5 2 12" xfId="8994" xr:uid="{00000000-0005-0000-0000-00001F1D0000}"/>
    <cellStyle name="Currency 5 2 12 2" xfId="8995" xr:uid="{00000000-0005-0000-0000-0000201D0000}"/>
    <cellStyle name="Currency 5 2 12 2 2" xfId="8996" xr:uid="{00000000-0005-0000-0000-0000211D0000}"/>
    <cellStyle name="Currency 5 2 12 2 2 2" xfId="8997" xr:uid="{00000000-0005-0000-0000-0000221D0000}"/>
    <cellStyle name="Currency 5 2 12 2 2 2 2" xfId="8998" xr:uid="{00000000-0005-0000-0000-0000231D0000}"/>
    <cellStyle name="Currency 5 2 12 2 2 3" xfId="8999" xr:uid="{00000000-0005-0000-0000-0000241D0000}"/>
    <cellStyle name="Currency 5 2 12 2 3" xfId="9000" xr:uid="{00000000-0005-0000-0000-0000251D0000}"/>
    <cellStyle name="Currency 5 2 12 2 3 2" xfId="9001" xr:uid="{00000000-0005-0000-0000-0000261D0000}"/>
    <cellStyle name="Currency 5 2 12 2 4" xfId="9002" xr:uid="{00000000-0005-0000-0000-0000271D0000}"/>
    <cellStyle name="Currency 5 2 12 3" xfId="9003" xr:uid="{00000000-0005-0000-0000-0000281D0000}"/>
    <cellStyle name="Currency 5 2 12 3 2" xfId="9004" xr:uid="{00000000-0005-0000-0000-0000291D0000}"/>
    <cellStyle name="Currency 5 2 12 3 2 2" xfId="9005" xr:uid="{00000000-0005-0000-0000-00002A1D0000}"/>
    <cellStyle name="Currency 5 2 12 3 3" xfId="9006" xr:uid="{00000000-0005-0000-0000-00002B1D0000}"/>
    <cellStyle name="Currency 5 2 12 4" xfId="9007" xr:uid="{00000000-0005-0000-0000-00002C1D0000}"/>
    <cellStyle name="Currency 5 2 12 4 2" xfId="9008" xr:uid="{00000000-0005-0000-0000-00002D1D0000}"/>
    <cellStyle name="Currency 5 2 12 5" xfId="9009" xr:uid="{00000000-0005-0000-0000-00002E1D0000}"/>
    <cellStyle name="Currency 5 2 13" xfId="9010" xr:uid="{00000000-0005-0000-0000-00002F1D0000}"/>
    <cellStyle name="Currency 5 2 13 2" xfId="9011" xr:uid="{00000000-0005-0000-0000-0000301D0000}"/>
    <cellStyle name="Currency 5 2 13 2 2" xfId="9012" xr:uid="{00000000-0005-0000-0000-0000311D0000}"/>
    <cellStyle name="Currency 5 2 13 2 2 2" xfId="9013" xr:uid="{00000000-0005-0000-0000-0000321D0000}"/>
    <cellStyle name="Currency 5 2 13 2 3" xfId="9014" xr:uid="{00000000-0005-0000-0000-0000331D0000}"/>
    <cellStyle name="Currency 5 2 13 3" xfId="9015" xr:uid="{00000000-0005-0000-0000-0000341D0000}"/>
    <cellStyle name="Currency 5 2 13 3 2" xfId="9016" xr:uid="{00000000-0005-0000-0000-0000351D0000}"/>
    <cellStyle name="Currency 5 2 13 4" xfId="9017" xr:uid="{00000000-0005-0000-0000-0000361D0000}"/>
    <cellStyle name="Currency 5 2 14" xfId="9018" xr:uid="{00000000-0005-0000-0000-0000371D0000}"/>
    <cellStyle name="Currency 5 2 14 2" xfId="9019" xr:uid="{00000000-0005-0000-0000-0000381D0000}"/>
    <cellStyle name="Currency 5 2 14 2 2" xfId="9020" xr:uid="{00000000-0005-0000-0000-0000391D0000}"/>
    <cellStyle name="Currency 5 2 14 2 2 2" xfId="9021" xr:uid="{00000000-0005-0000-0000-00003A1D0000}"/>
    <cellStyle name="Currency 5 2 14 2 3" xfId="9022" xr:uid="{00000000-0005-0000-0000-00003B1D0000}"/>
    <cellStyle name="Currency 5 2 14 3" xfId="9023" xr:uid="{00000000-0005-0000-0000-00003C1D0000}"/>
    <cellStyle name="Currency 5 2 14 3 2" xfId="9024" xr:uid="{00000000-0005-0000-0000-00003D1D0000}"/>
    <cellStyle name="Currency 5 2 14 4" xfId="9025" xr:uid="{00000000-0005-0000-0000-00003E1D0000}"/>
    <cellStyle name="Currency 5 2 15" xfId="9026" xr:uid="{00000000-0005-0000-0000-00003F1D0000}"/>
    <cellStyle name="Currency 5 2 15 2" xfId="9027" xr:uid="{00000000-0005-0000-0000-0000401D0000}"/>
    <cellStyle name="Currency 5 2 15 2 2" xfId="9028" xr:uid="{00000000-0005-0000-0000-0000411D0000}"/>
    <cellStyle name="Currency 5 2 15 2 2 2" xfId="9029" xr:uid="{00000000-0005-0000-0000-0000421D0000}"/>
    <cellStyle name="Currency 5 2 15 2 3" xfId="9030" xr:uid="{00000000-0005-0000-0000-0000431D0000}"/>
    <cellStyle name="Currency 5 2 15 3" xfId="9031" xr:uid="{00000000-0005-0000-0000-0000441D0000}"/>
    <cellStyle name="Currency 5 2 15 3 2" xfId="9032" xr:uid="{00000000-0005-0000-0000-0000451D0000}"/>
    <cellStyle name="Currency 5 2 15 4" xfId="9033" xr:uid="{00000000-0005-0000-0000-0000461D0000}"/>
    <cellStyle name="Currency 5 2 16" xfId="9034" xr:uid="{00000000-0005-0000-0000-0000471D0000}"/>
    <cellStyle name="Currency 5 2 16 2" xfId="9035" xr:uid="{00000000-0005-0000-0000-0000481D0000}"/>
    <cellStyle name="Currency 5 2 16 2 2" xfId="9036" xr:uid="{00000000-0005-0000-0000-0000491D0000}"/>
    <cellStyle name="Currency 5 2 16 3" xfId="9037" xr:uid="{00000000-0005-0000-0000-00004A1D0000}"/>
    <cellStyle name="Currency 5 2 17" xfId="9038" xr:uid="{00000000-0005-0000-0000-00004B1D0000}"/>
    <cellStyle name="Currency 5 2 17 2" xfId="9039" xr:uid="{00000000-0005-0000-0000-00004C1D0000}"/>
    <cellStyle name="Currency 5 2 17 2 2" xfId="9040" xr:uid="{00000000-0005-0000-0000-00004D1D0000}"/>
    <cellStyle name="Currency 5 2 17 3" xfId="9041" xr:uid="{00000000-0005-0000-0000-00004E1D0000}"/>
    <cellStyle name="Currency 5 2 18" xfId="9042" xr:uid="{00000000-0005-0000-0000-00004F1D0000}"/>
    <cellStyle name="Currency 5 2 18 2" xfId="9043" xr:uid="{00000000-0005-0000-0000-0000501D0000}"/>
    <cellStyle name="Currency 5 2 18 2 2" xfId="9044" xr:uid="{00000000-0005-0000-0000-0000511D0000}"/>
    <cellStyle name="Currency 5 2 18 3" xfId="9045" xr:uid="{00000000-0005-0000-0000-0000521D0000}"/>
    <cellStyle name="Currency 5 2 19" xfId="9046" xr:uid="{00000000-0005-0000-0000-0000531D0000}"/>
    <cellStyle name="Currency 5 2 19 2" xfId="9047" xr:uid="{00000000-0005-0000-0000-0000541D0000}"/>
    <cellStyle name="Currency 5 2 2" xfId="291" xr:uid="{00000000-0005-0000-0000-0000551D0000}"/>
    <cellStyle name="Currency 5 2 2 10" xfId="9049" xr:uid="{00000000-0005-0000-0000-0000561D0000}"/>
    <cellStyle name="Currency 5 2 2 10 2" xfId="9050" xr:uid="{00000000-0005-0000-0000-0000571D0000}"/>
    <cellStyle name="Currency 5 2 2 10 2 2" xfId="9051" xr:uid="{00000000-0005-0000-0000-0000581D0000}"/>
    <cellStyle name="Currency 5 2 2 10 2 2 2" xfId="9052" xr:uid="{00000000-0005-0000-0000-0000591D0000}"/>
    <cellStyle name="Currency 5 2 2 10 2 2 2 2" xfId="9053" xr:uid="{00000000-0005-0000-0000-00005A1D0000}"/>
    <cellStyle name="Currency 5 2 2 10 2 2 3" xfId="9054" xr:uid="{00000000-0005-0000-0000-00005B1D0000}"/>
    <cellStyle name="Currency 5 2 2 10 2 3" xfId="9055" xr:uid="{00000000-0005-0000-0000-00005C1D0000}"/>
    <cellStyle name="Currency 5 2 2 10 2 3 2" xfId="9056" xr:uid="{00000000-0005-0000-0000-00005D1D0000}"/>
    <cellStyle name="Currency 5 2 2 10 2 4" xfId="9057" xr:uid="{00000000-0005-0000-0000-00005E1D0000}"/>
    <cellStyle name="Currency 5 2 2 10 3" xfId="9058" xr:uid="{00000000-0005-0000-0000-00005F1D0000}"/>
    <cellStyle name="Currency 5 2 2 10 3 2" xfId="9059" xr:uid="{00000000-0005-0000-0000-0000601D0000}"/>
    <cellStyle name="Currency 5 2 2 10 3 2 2" xfId="9060" xr:uid="{00000000-0005-0000-0000-0000611D0000}"/>
    <cellStyle name="Currency 5 2 2 10 3 3" xfId="9061" xr:uid="{00000000-0005-0000-0000-0000621D0000}"/>
    <cellStyle name="Currency 5 2 2 10 4" xfId="9062" xr:uid="{00000000-0005-0000-0000-0000631D0000}"/>
    <cellStyle name="Currency 5 2 2 10 4 2" xfId="9063" xr:uid="{00000000-0005-0000-0000-0000641D0000}"/>
    <cellStyle name="Currency 5 2 2 10 5" xfId="9064" xr:uid="{00000000-0005-0000-0000-0000651D0000}"/>
    <cellStyle name="Currency 5 2 2 11" xfId="9065" xr:uid="{00000000-0005-0000-0000-0000661D0000}"/>
    <cellStyle name="Currency 5 2 2 11 2" xfId="9066" xr:uid="{00000000-0005-0000-0000-0000671D0000}"/>
    <cellStyle name="Currency 5 2 2 11 2 2" xfId="9067" xr:uid="{00000000-0005-0000-0000-0000681D0000}"/>
    <cellStyle name="Currency 5 2 2 11 2 2 2" xfId="9068" xr:uid="{00000000-0005-0000-0000-0000691D0000}"/>
    <cellStyle name="Currency 5 2 2 11 2 3" xfId="9069" xr:uid="{00000000-0005-0000-0000-00006A1D0000}"/>
    <cellStyle name="Currency 5 2 2 11 3" xfId="9070" xr:uid="{00000000-0005-0000-0000-00006B1D0000}"/>
    <cellStyle name="Currency 5 2 2 11 3 2" xfId="9071" xr:uid="{00000000-0005-0000-0000-00006C1D0000}"/>
    <cellStyle name="Currency 5 2 2 11 4" xfId="9072" xr:uid="{00000000-0005-0000-0000-00006D1D0000}"/>
    <cellStyle name="Currency 5 2 2 12" xfId="9073" xr:uid="{00000000-0005-0000-0000-00006E1D0000}"/>
    <cellStyle name="Currency 5 2 2 12 2" xfId="9074" xr:uid="{00000000-0005-0000-0000-00006F1D0000}"/>
    <cellStyle name="Currency 5 2 2 12 2 2" xfId="9075" xr:uid="{00000000-0005-0000-0000-0000701D0000}"/>
    <cellStyle name="Currency 5 2 2 12 2 2 2" xfId="9076" xr:uid="{00000000-0005-0000-0000-0000711D0000}"/>
    <cellStyle name="Currency 5 2 2 12 2 3" xfId="9077" xr:uid="{00000000-0005-0000-0000-0000721D0000}"/>
    <cellStyle name="Currency 5 2 2 12 3" xfId="9078" xr:uid="{00000000-0005-0000-0000-0000731D0000}"/>
    <cellStyle name="Currency 5 2 2 12 3 2" xfId="9079" xr:uid="{00000000-0005-0000-0000-0000741D0000}"/>
    <cellStyle name="Currency 5 2 2 12 4" xfId="9080" xr:uid="{00000000-0005-0000-0000-0000751D0000}"/>
    <cellStyle name="Currency 5 2 2 13" xfId="9081" xr:uid="{00000000-0005-0000-0000-0000761D0000}"/>
    <cellStyle name="Currency 5 2 2 13 2" xfId="9082" xr:uid="{00000000-0005-0000-0000-0000771D0000}"/>
    <cellStyle name="Currency 5 2 2 13 2 2" xfId="9083" xr:uid="{00000000-0005-0000-0000-0000781D0000}"/>
    <cellStyle name="Currency 5 2 2 13 2 2 2" xfId="9084" xr:uid="{00000000-0005-0000-0000-0000791D0000}"/>
    <cellStyle name="Currency 5 2 2 13 2 3" xfId="9085" xr:uid="{00000000-0005-0000-0000-00007A1D0000}"/>
    <cellStyle name="Currency 5 2 2 13 3" xfId="9086" xr:uid="{00000000-0005-0000-0000-00007B1D0000}"/>
    <cellStyle name="Currency 5 2 2 13 3 2" xfId="9087" xr:uid="{00000000-0005-0000-0000-00007C1D0000}"/>
    <cellStyle name="Currency 5 2 2 13 4" xfId="9088" xr:uid="{00000000-0005-0000-0000-00007D1D0000}"/>
    <cellStyle name="Currency 5 2 2 14" xfId="9089" xr:uid="{00000000-0005-0000-0000-00007E1D0000}"/>
    <cellStyle name="Currency 5 2 2 14 2" xfId="9090" xr:uid="{00000000-0005-0000-0000-00007F1D0000}"/>
    <cellStyle name="Currency 5 2 2 14 2 2" xfId="9091" xr:uid="{00000000-0005-0000-0000-0000801D0000}"/>
    <cellStyle name="Currency 5 2 2 14 3" xfId="9092" xr:uid="{00000000-0005-0000-0000-0000811D0000}"/>
    <cellStyle name="Currency 5 2 2 15" xfId="9093" xr:uid="{00000000-0005-0000-0000-0000821D0000}"/>
    <cellStyle name="Currency 5 2 2 15 2" xfId="9094" xr:uid="{00000000-0005-0000-0000-0000831D0000}"/>
    <cellStyle name="Currency 5 2 2 15 2 2" xfId="9095" xr:uid="{00000000-0005-0000-0000-0000841D0000}"/>
    <cellStyle name="Currency 5 2 2 15 3" xfId="9096" xr:uid="{00000000-0005-0000-0000-0000851D0000}"/>
    <cellStyle name="Currency 5 2 2 16" xfId="9097" xr:uid="{00000000-0005-0000-0000-0000861D0000}"/>
    <cellStyle name="Currency 5 2 2 16 2" xfId="9098" xr:uid="{00000000-0005-0000-0000-0000871D0000}"/>
    <cellStyle name="Currency 5 2 2 16 2 2" xfId="9099" xr:uid="{00000000-0005-0000-0000-0000881D0000}"/>
    <cellStyle name="Currency 5 2 2 16 3" xfId="9100" xr:uid="{00000000-0005-0000-0000-0000891D0000}"/>
    <cellStyle name="Currency 5 2 2 17" xfId="9101" xr:uid="{00000000-0005-0000-0000-00008A1D0000}"/>
    <cellStyle name="Currency 5 2 2 17 2" xfId="9102" xr:uid="{00000000-0005-0000-0000-00008B1D0000}"/>
    <cellStyle name="Currency 5 2 2 18" xfId="9103" xr:uid="{00000000-0005-0000-0000-00008C1D0000}"/>
    <cellStyle name="Currency 5 2 2 19" xfId="9104" xr:uid="{00000000-0005-0000-0000-00008D1D0000}"/>
    <cellStyle name="Currency 5 2 2 2" xfId="292" xr:uid="{00000000-0005-0000-0000-00008E1D0000}"/>
    <cellStyle name="Currency 5 2 2 2 10" xfId="9106" xr:uid="{00000000-0005-0000-0000-00008F1D0000}"/>
    <cellStyle name="Currency 5 2 2 2 10 2" xfId="9107" xr:uid="{00000000-0005-0000-0000-0000901D0000}"/>
    <cellStyle name="Currency 5 2 2 2 10 2 2" xfId="9108" xr:uid="{00000000-0005-0000-0000-0000911D0000}"/>
    <cellStyle name="Currency 5 2 2 2 10 2 2 2" xfId="9109" xr:uid="{00000000-0005-0000-0000-0000921D0000}"/>
    <cellStyle name="Currency 5 2 2 2 10 2 3" xfId="9110" xr:uid="{00000000-0005-0000-0000-0000931D0000}"/>
    <cellStyle name="Currency 5 2 2 2 10 3" xfId="9111" xr:uid="{00000000-0005-0000-0000-0000941D0000}"/>
    <cellStyle name="Currency 5 2 2 2 10 3 2" xfId="9112" xr:uid="{00000000-0005-0000-0000-0000951D0000}"/>
    <cellStyle name="Currency 5 2 2 2 10 4" xfId="9113" xr:uid="{00000000-0005-0000-0000-0000961D0000}"/>
    <cellStyle name="Currency 5 2 2 2 11" xfId="9114" xr:uid="{00000000-0005-0000-0000-0000971D0000}"/>
    <cellStyle name="Currency 5 2 2 2 11 2" xfId="9115" xr:uid="{00000000-0005-0000-0000-0000981D0000}"/>
    <cellStyle name="Currency 5 2 2 2 11 2 2" xfId="9116" xr:uid="{00000000-0005-0000-0000-0000991D0000}"/>
    <cellStyle name="Currency 5 2 2 2 11 2 2 2" xfId="9117" xr:uid="{00000000-0005-0000-0000-00009A1D0000}"/>
    <cellStyle name="Currency 5 2 2 2 11 2 3" xfId="9118" xr:uid="{00000000-0005-0000-0000-00009B1D0000}"/>
    <cellStyle name="Currency 5 2 2 2 11 3" xfId="9119" xr:uid="{00000000-0005-0000-0000-00009C1D0000}"/>
    <cellStyle name="Currency 5 2 2 2 11 3 2" xfId="9120" xr:uid="{00000000-0005-0000-0000-00009D1D0000}"/>
    <cellStyle name="Currency 5 2 2 2 11 4" xfId="9121" xr:uid="{00000000-0005-0000-0000-00009E1D0000}"/>
    <cellStyle name="Currency 5 2 2 2 12" xfId="9122" xr:uid="{00000000-0005-0000-0000-00009F1D0000}"/>
    <cellStyle name="Currency 5 2 2 2 12 2" xfId="9123" xr:uid="{00000000-0005-0000-0000-0000A01D0000}"/>
    <cellStyle name="Currency 5 2 2 2 12 2 2" xfId="9124" xr:uid="{00000000-0005-0000-0000-0000A11D0000}"/>
    <cellStyle name="Currency 5 2 2 2 12 2 2 2" xfId="9125" xr:uid="{00000000-0005-0000-0000-0000A21D0000}"/>
    <cellStyle name="Currency 5 2 2 2 12 2 3" xfId="9126" xr:uid="{00000000-0005-0000-0000-0000A31D0000}"/>
    <cellStyle name="Currency 5 2 2 2 12 3" xfId="9127" xr:uid="{00000000-0005-0000-0000-0000A41D0000}"/>
    <cellStyle name="Currency 5 2 2 2 12 3 2" xfId="9128" xr:uid="{00000000-0005-0000-0000-0000A51D0000}"/>
    <cellStyle name="Currency 5 2 2 2 12 4" xfId="9129" xr:uid="{00000000-0005-0000-0000-0000A61D0000}"/>
    <cellStyle name="Currency 5 2 2 2 13" xfId="9130" xr:uid="{00000000-0005-0000-0000-0000A71D0000}"/>
    <cellStyle name="Currency 5 2 2 2 13 2" xfId="9131" xr:uid="{00000000-0005-0000-0000-0000A81D0000}"/>
    <cellStyle name="Currency 5 2 2 2 13 2 2" xfId="9132" xr:uid="{00000000-0005-0000-0000-0000A91D0000}"/>
    <cellStyle name="Currency 5 2 2 2 13 3" xfId="9133" xr:uid="{00000000-0005-0000-0000-0000AA1D0000}"/>
    <cellStyle name="Currency 5 2 2 2 14" xfId="9134" xr:uid="{00000000-0005-0000-0000-0000AB1D0000}"/>
    <cellStyle name="Currency 5 2 2 2 14 2" xfId="9135" xr:uid="{00000000-0005-0000-0000-0000AC1D0000}"/>
    <cellStyle name="Currency 5 2 2 2 14 2 2" xfId="9136" xr:uid="{00000000-0005-0000-0000-0000AD1D0000}"/>
    <cellStyle name="Currency 5 2 2 2 14 3" xfId="9137" xr:uid="{00000000-0005-0000-0000-0000AE1D0000}"/>
    <cellStyle name="Currency 5 2 2 2 15" xfId="9138" xr:uid="{00000000-0005-0000-0000-0000AF1D0000}"/>
    <cellStyle name="Currency 5 2 2 2 15 2" xfId="9139" xr:uid="{00000000-0005-0000-0000-0000B01D0000}"/>
    <cellStyle name="Currency 5 2 2 2 15 2 2" xfId="9140" xr:uid="{00000000-0005-0000-0000-0000B11D0000}"/>
    <cellStyle name="Currency 5 2 2 2 15 3" xfId="9141" xr:uid="{00000000-0005-0000-0000-0000B21D0000}"/>
    <cellStyle name="Currency 5 2 2 2 16" xfId="9142" xr:uid="{00000000-0005-0000-0000-0000B31D0000}"/>
    <cellStyle name="Currency 5 2 2 2 16 2" xfId="9143" xr:uid="{00000000-0005-0000-0000-0000B41D0000}"/>
    <cellStyle name="Currency 5 2 2 2 17" xfId="9144" xr:uid="{00000000-0005-0000-0000-0000B51D0000}"/>
    <cellStyle name="Currency 5 2 2 2 18" xfId="9145" xr:uid="{00000000-0005-0000-0000-0000B61D0000}"/>
    <cellStyle name="Currency 5 2 2 2 19" xfId="9105" xr:uid="{00000000-0005-0000-0000-0000B71D0000}"/>
    <cellStyle name="Currency 5 2 2 2 2" xfId="293" xr:uid="{00000000-0005-0000-0000-0000B81D0000}"/>
    <cellStyle name="Currency 5 2 2 2 2 10" xfId="9147" xr:uid="{00000000-0005-0000-0000-0000B91D0000}"/>
    <cellStyle name="Currency 5 2 2 2 2 10 2" xfId="9148" xr:uid="{00000000-0005-0000-0000-0000BA1D0000}"/>
    <cellStyle name="Currency 5 2 2 2 2 10 2 2" xfId="9149" xr:uid="{00000000-0005-0000-0000-0000BB1D0000}"/>
    <cellStyle name="Currency 5 2 2 2 2 10 2 2 2" xfId="9150" xr:uid="{00000000-0005-0000-0000-0000BC1D0000}"/>
    <cellStyle name="Currency 5 2 2 2 2 10 2 3" xfId="9151" xr:uid="{00000000-0005-0000-0000-0000BD1D0000}"/>
    <cellStyle name="Currency 5 2 2 2 2 10 3" xfId="9152" xr:uid="{00000000-0005-0000-0000-0000BE1D0000}"/>
    <cellStyle name="Currency 5 2 2 2 2 10 3 2" xfId="9153" xr:uid="{00000000-0005-0000-0000-0000BF1D0000}"/>
    <cellStyle name="Currency 5 2 2 2 2 10 4" xfId="9154" xr:uid="{00000000-0005-0000-0000-0000C01D0000}"/>
    <cellStyle name="Currency 5 2 2 2 2 11" xfId="9155" xr:uid="{00000000-0005-0000-0000-0000C11D0000}"/>
    <cellStyle name="Currency 5 2 2 2 2 11 2" xfId="9156" xr:uid="{00000000-0005-0000-0000-0000C21D0000}"/>
    <cellStyle name="Currency 5 2 2 2 2 11 2 2" xfId="9157" xr:uid="{00000000-0005-0000-0000-0000C31D0000}"/>
    <cellStyle name="Currency 5 2 2 2 2 11 2 2 2" xfId="9158" xr:uid="{00000000-0005-0000-0000-0000C41D0000}"/>
    <cellStyle name="Currency 5 2 2 2 2 11 2 3" xfId="9159" xr:uid="{00000000-0005-0000-0000-0000C51D0000}"/>
    <cellStyle name="Currency 5 2 2 2 2 11 3" xfId="9160" xr:uid="{00000000-0005-0000-0000-0000C61D0000}"/>
    <cellStyle name="Currency 5 2 2 2 2 11 3 2" xfId="9161" xr:uid="{00000000-0005-0000-0000-0000C71D0000}"/>
    <cellStyle name="Currency 5 2 2 2 2 11 4" xfId="9162" xr:uid="{00000000-0005-0000-0000-0000C81D0000}"/>
    <cellStyle name="Currency 5 2 2 2 2 12" xfId="9163" xr:uid="{00000000-0005-0000-0000-0000C91D0000}"/>
    <cellStyle name="Currency 5 2 2 2 2 12 2" xfId="9164" xr:uid="{00000000-0005-0000-0000-0000CA1D0000}"/>
    <cellStyle name="Currency 5 2 2 2 2 12 2 2" xfId="9165" xr:uid="{00000000-0005-0000-0000-0000CB1D0000}"/>
    <cellStyle name="Currency 5 2 2 2 2 12 3" xfId="9166" xr:uid="{00000000-0005-0000-0000-0000CC1D0000}"/>
    <cellStyle name="Currency 5 2 2 2 2 13" xfId="9167" xr:uid="{00000000-0005-0000-0000-0000CD1D0000}"/>
    <cellStyle name="Currency 5 2 2 2 2 13 2" xfId="9168" xr:uid="{00000000-0005-0000-0000-0000CE1D0000}"/>
    <cellStyle name="Currency 5 2 2 2 2 13 2 2" xfId="9169" xr:uid="{00000000-0005-0000-0000-0000CF1D0000}"/>
    <cellStyle name="Currency 5 2 2 2 2 13 3" xfId="9170" xr:uid="{00000000-0005-0000-0000-0000D01D0000}"/>
    <cellStyle name="Currency 5 2 2 2 2 14" xfId="9171" xr:uid="{00000000-0005-0000-0000-0000D11D0000}"/>
    <cellStyle name="Currency 5 2 2 2 2 14 2" xfId="9172" xr:uid="{00000000-0005-0000-0000-0000D21D0000}"/>
    <cellStyle name="Currency 5 2 2 2 2 14 2 2" xfId="9173" xr:uid="{00000000-0005-0000-0000-0000D31D0000}"/>
    <cellStyle name="Currency 5 2 2 2 2 14 3" xfId="9174" xr:uid="{00000000-0005-0000-0000-0000D41D0000}"/>
    <cellStyle name="Currency 5 2 2 2 2 15" xfId="9175" xr:uid="{00000000-0005-0000-0000-0000D51D0000}"/>
    <cellStyle name="Currency 5 2 2 2 2 15 2" xfId="9176" xr:uid="{00000000-0005-0000-0000-0000D61D0000}"/>
    <cellStyle name="Currency 5 2 2 2 2 16" xfId="9177" xr:uid="{00000000-0005-0000-0000-0000D71D0000}"/>
    <cellStyle name="Currency 5 2 2 2 2 17" xfId="9178" xr:uid="{00000000-0005-0000-0000-0000D81D0000}"/>
    <cellStyle name="Currency 5 2 2 2 2 18" xfId="9146" xr:uid="{00000000-0005-0000-0000-0000D91D0000}"/>
    <cellStyle name="Currency 5 2 2 2 2 2" xfId="294" xr:uid="{00000000-0005-0000-0000-0000DA1D0000}"/>
    <cellStyle name="Currency 5 2 2 2 2 2 10" xfId="9180" xr:uid="{00000000-0005-0000-0000-0000DB1D0000}"/>
    <cellStyle name="Currency 5 2 2 2 2 2 10 2" xfId="9181" xr:uid="{00000000-0005-0000-0000-0000DC1D0000}"/>
    <cellStyle name="Currency 5 2 2 2 2 2 10 2 2" xfId="9182" xr:uid="{00000000-0005-0000-0000-0000DD1D0000}"/>
    <cellStyle name="Currency 5 2 2 2 2 2 10 2 2 2" xfId="9183" xr:uid="{00000000-0005-0000-0000-0000DE1D0000}"/>
    <cellStyle name="Currency 5 2 2 2 2 2 10 2 3" xfId="9184" xr:uid="{00000000-0005-0000-0000-0000DF1D0000}"/>
    <cellStyle name="Currency 5 2 2 2 2 2 10 3" xfId="9185" xr:uid="{00000000-0005-0000-0000-0000E01D0000}"/>
    <cellStyle name="Currency 5 2 2 2 2 2 10 3 2" xfId="9186" xr:uid="{00000000-0005-0000-0000-0000E11D0000}"/>
    <cellStyle name="Currency 5 2 2 2 2 2 10 4" xfId="9187" xr:uid="{00000000-0005-0000-0000-0000E21D0000}"/>
    <cellStyle name="Currency 5 2 2 2 2 2 11" xfId="9188" xr:uid="{00000000-0005-0000-0000-0000E31D0000}"/>
    <cellStyle name="Currency 5 2 2 2 2 2 11 2" xfId="9189" xr:uid="{00000000-0005-0000-0000-0000E41D0000}"/>
    <cellStyle name="Currency 5 2 2 2 2 2 11 2 2" xfId="9190" xr:uid="{00000000-0005-0000-0000-0000E51D0000}"/>
    <cellStyle name="Currency 5 2 2 2 2 2 11 3" xfId="9191" xr:uid="{00000000-0005-0000-0000-0000E61D0000}"/>
    <cellStyle name="Currency 5 2 2 2 2 2 12" xfId="9192" xr:uid="{00000000-0005-0000-0000-0000E71D0000}"/>
    <cellStyle name="Currency 5 2 2 2 2 2 12 2" xfId="9193" xr:uid="{00000000-0005-0000-0000-0000E81D0000}"/>
    <cellStyle name="Currency 5 2 2 2 2 2 12 2 2" xfId="9194" xr:uid="{00000000-0005-0000-0000-0000E91D0000}"/>
    <cellStyle name="Currency 5 2 2 2 2 2 12 3" xfId="9195" xr:uid="{00000000-0005-0000-0000-0000EA1D0000}"/>
    <cellStyle name="Currency 5 2 2 2 2 2 13" xfId="9196" xr:uid="{00000000-0005-0000-0000-0000EB1D0000}"/>
    <cellStyle name="Currency 5 2 2 2 2 2 13 2" xfId="9197" xr:uid="{00000000-0005-0000-0000-0000EC1D0000}"/>
    <cellStyle name="Currency 5 2 2 2 2 2 13 2 2" xfId="9198" xr:uid="{00000000-0005-0000-0000-0000ED1D0000}"/>
    <cellStyle name="Currency 5 2 2 2 2 2 13 3" xfId="9199" xr:uid="{00000000-0005-0000-0000-0000EE1D0000}"/>
    <cellStyle name="Currency 5 2 2 2 2 2 14" xfId="9200" xr:uid="{00000000-0005-0000-0000-0000EF1D0000}"/>
    <cellStyle name="Currency 5 2 2 2 2 2 14 2" xfId="9201" xr:uid="{00000000-0005-0000-0000-0000F01D0000}"/>
    <cellStyle name="Currency 5 2 2 2 2 2 15" xfId="9202" xr:uid="{00000000-0005-0000-0000-0000F11D0000}"/>
    <cellStyle name="Currency 5 2 2 2 2 2 16" xfId="9203" xr:uid="{00000000-0005-0000-0000-0000F21D0000}"/>
    <cellStyle name="Currency 5 2 2 2 2 2 17" xfId="9179" xr:uid="{00000000-0005-0000-0000-0000F31D0000}"/>
    <cellStyle name="Currency 5 2 2 2 2 2 2" xfId="295" xr:uid="{00000000-0005-0000-0000-0000F41D0000}"/>
    <cellStyle name="Currency 5 2 2 2 2 2 2 10" xfId="9205" xr:uid="{00000000-0005-0000-0000-0000F51D0000}"/>
    <cellStyle name="Currency 5 2 2 2 2 2 2 10 2" xfId="9206" xr:uid="{00000000-0005-0000-0000-0000F61D0000}"/>
    <cellStyle name="Currency 5 2 2 2 2 2 2 10 2 2" xfId="9207" xr:uid="{00000000-0005-0000-0000-0000F71D0000}"/>
    <cellStyle name="Currency 5 2 2 2 2 2 2 10 3" xfId="9208" xr:uid="{00000000-0005-0000-0000-0000F81D0000}"/>
    <cellStyle name="Currency 5 2 2 2 2 2 2 11" xfId="9209" xr:uid="{00000000-0005-0000-0000-0000F91D0000}"/>
    <cellStyle name="Currency 5 2 2 2 2 2 2 11 2" xfId="9210" xr:uid="{00000000-0005-0000-0000-0000FA1D0000}"/>
    <cellStyle name="Currency 5 2 2 2 2 2 2 11 2 2" xfId="9211" xr:uid="{00000000-0005-0000-0000-0000FB1D0000}"/>
    <cellStyle name="Currency 5 2 2 2 2 2 2 11 3" xfId="9212" xr:uid="{00000000-0005-0000-0000-0000FC1D0000}"/>
    <cellStyle name="Currency 5 2 2 2 2 2 2 12" xfId="9213" xr:uid="{00000000-0005-0000-0000-0000FD1D0000}"/>
    <cellStyle name="Currency 5 2 2 2 2 2 2 12 2" xfId="9214" xr:uid="{00000000-0005-0000-0000-0000FE1D0000}"/>
    <cellStyle name="Currency 5 2 2 2 2 2 2 13" xfId="9215" xr:uid="{00000000-0005-0000-0000-0000FF1D0000}"/>
    <cellStyle name="Currency 5 2 2 2 2 2 2 14" xfId="9216" xr:uid="{00000000-0005-0000-0000-0000001E0000}"/>
    <cellStyle name="Currency 5 2 2 2 2 2 2 15" xfId="9204" xr:uid="{00000000-0005-0000-0000-0000011E0000}"/>
    <cellStyle name="Currency 5 2 2 2 2 2 2 2" xfId="870" xr:uid="{00000000-0005-0000-0000-0000021E0000}"/>
    <cellStyle name="Currency 5 2 2 2 2 2 2 2 10" xfId="9218" xr:uid="{00000000-0005-0000-0000-0000031E0000}"/>
    <cellStyle name="Currency 5 2 2 2 2 2 2 2 11" xfId="9217" xr:uid="{00000000-0005-0000-0000-0000041E0000}"/>
    <cellStyle name="Currency 5 2 2 2 2 2 2 2 2" xfId="1611" xr:uid="{00000000-0005-0000-0000-0000051E0000}"/>
    <cellStyle name="Currency 5 2 2 2 2 2 2 2 2 2" xfId="9220" xr:uid="{00000000-0005-0000-0000-0000061E0000}"/>
    <cellStyle name="Currency 5 2 2 2 2 2 2 2 2 2 2" xfId="9221" xr:uid="{00000000-0005-0000-0000-0000071E0000}"/>
    <cellStyle name="Currency 5 2 2 2 2 2 2 2 2 2 2 2" xfId="9222" xr:uid="{00000000-0005-0000-0000-0000081E0000}"/>
    <cellStyle name="Currency 5 2 2 2 2 2 2 2 2 2 2 2 2" xfId="9223" xr:uid="{00000000-0005-0000-0000-0000091E0000}"/>
    <cellStyle name="Currency 5 2 2 2 2 2 2 2 2 2 2 3" xfId="9224" xr:uid="{00000000-0005-0000-0000-00000A1E0000}"/>
    <cellStyle name="Currency 5 2 2 2 2 2 2 2 2 2 3" xfId="9225" xr:uid="{00000000-0005-0000-0000-00000B1E0000}"/>
    <cellStyle name="Currency 5 2 2 2 2 2 2 2 2 2 3 2" xfId="9226" xr:uid="{00000000-0005-0000-0000-00000C1E0000}"/>
    <cellStyle name="Currency 5 2 2 2 2 2 2 2 2 2 4" xfId="9227" xr:uid="{00000000-0005-0000-0000-00000D1E0000}"/>
    <cellStyle name="Currency 5 2 2 2 2 2 2 2 2 3" xfId="9228" xr:uid="{00000000-0005-0000-0000-00000E1E0000}"/>
    <cellStyle name="Currency 5 2 2 2 2 2 2 2 2 3 2" xfId="9229" xr:uid="{00000000-0005-0000-0000-00000F1E0000}"/>
    <cellStyle name="Currency 5 2 2 2 2 2 2 2 2 3 2 2" xfId="9230" xr:uid="{00000000-0005-0000-0000-0000101E0000}"/>
    <cellStyle name="Currency 5 2 2 2 2 2 2 2 2 3 2 2 2" xfId="9231" xr:uid="{00000000-0005-0000-0000-0000111E0000}"/>
    <cellStyle name="Currency 5 2 2 2 2 2 2 2 2 3 2 3" xfId="9232" xr:uid="{00000000-0005-0000-0000-0000121E0000}"/>
    <cellStyle name="Currency 5 2 2 2 2 2 2 2 2 3 3" xfId="9233" xr:uid="{00000000-0005-0000-0000-0000131E0000}"/>
    <cellStyle name="Currency 5 2 2 2 2 2 2 2 2 3 3 2" xfId="9234" xr:uid="{00000000-0005-0000-0000-0000141E0000}"/>
    <cellStyle name="Currency 5 2 2 2 2 2 2 2 2 3 4" xfId="9235" xr:uid="{00000000-0005-0000-0000-0000151E0000}"/>
    <cellStyle name="Currency 5 2 2 2 2 2 2 2 2 4" xfId="9236" xr:uid="{00000000-0005-0000-0000-0000161E0000}"/>
    <cellStyle name="Currency 5 2 2 2 2 2 2 2 2 4 2" xfId="9237" xr:uid="{00000000-0005-0000-0000-0000171E0000}"/>
    <cellStyle name="Currency 5 2 2 2 2 2 2 2 2 4 2 2" xfId="9238" xr:uid="{00000000-0005-0000-0000-0000181E0000}"/>
    <cellStyle name="Currency 5 2 2 2 2 2 2 2 2 4 3" xfId="9239" xr:uid="{00000000-0005-0000-0000-0000191E0000}"/>
    <cellStyle name="Currency 5 2 2 2 2 2 2 2 2 5" xfId="9240" xr:uid="{00000000-0005-0000-0000-00001A1E0000}"/>
    <cellStyle name="Currency 5 2 2 2 2 2 2 2 2 5 2" xfId="9241" xr:uid="{00000000-0005-0000-0000-00001B1E0000}"/>
    <cellStyle name="Currency 5 2 2 2 2 2 2 2 2 6" xfId="9242" xr:uid="{00000000-0005-0000-0000-00001C1E0000}"/>
    <cellStyle name="Currency 5 2 2 2 2 2 2 2 2 7" xfId="9219" xr:uid="{00000000-0005-0000-0000-00001D1E0000}"/>
    <cellStyle name="Currency 5 2 2 2 2 2 2 2 3" xfId="9243" xr:uid="{00000000-0005-0000-0000-00001E1E0000}"/>
    <cellStyle name="Currency 5 2 2 2 2 2 2 2 3 2" xfId="9244" xr:uid="{00000000-0005-0000-0000-00001F1E0000}"/>
    <cellStyle name="Currency 5 2 2 2 2 2 2 2 3 2 2" xfId="9245" xr:uid="{00000000-0005-0000-0000-0000201E0000}"/>
    <cellStyle name="Currency 5 2 2 2 2 2 2 2 3 2 2 2" xfId="9246" xr:uid="{00000000-0005-0000-0000-0000211E0000}"/>
    <cellStyle name="Currency 5 2 2 2 2 2 2 2 3 2 2 2 2" xfId="9247" xr:uid="{00000000-0005-0000-0000-0000221E0000}"/>
    <cellStyle name="Currency 5 2 2 2 2 2 2 2 3 2 2 3" xfId="9248" xr:uid="{00000000-0005-0000-0000-0000231E0000}"/>
    <cellStyle name="Currency 5 2 2 2 2 2 2 2 3 2 3" xfId="9249" xr:uid="{00000000-0005-0000-0000-0000241E0000}"/>
    <cellStyle name="Currency 5 2 2 2 2 2 2 2 3 2 3 2" xfId="9250" xr:uid="{00000000-0005-0000-0000-0000251E0000}"/>
    <cellStyle name="Currency 5 2 2 2 2 2 2 2 3 2 4" xfId="9251" xr:uid="{00000000-0005-0000-0000-0000261E0000}"/>
    <cellStyle name="Currency 5 2 2 2 2 2 2 2 3 3" xfId="9252" xr:uid="{00000000-0005-0000-0000-0000271E0000}"/>
    <cellStyle name="Currency 5 2 2 2 2 2 2 2 3 3 2" xfId="9253" xr:uid="{00000000-0005-0000-0000-0000281E0000}"/>
    <cellStyle name="Currency 5 2 2 2 2 2 2 2 3 3 2 2" xfId="9254" xr:uid="{00000000-0005-0000-0000-0000291E0000}"/>
    <cellStyle name="Currency 5 2 2 2 2 2 2 2 3 3 3" xfId="9255" xr:uid="{00000000-0005-0000-0000-00002A1E0000}"/>
    <cellStyle name="Currency 5 2 2 2 2 2 2 2 3 4" xfId="9256" xr:uid="{00000000-0005-0000-0000-00002B1E0000}"/>
    <cellStyle name="Currency 5 2 2 2 2 2 2 2 3 4 2" xfId="9257" xr:uid="{00000000-0005-0000-0000-00002C1E0000}"/>
    <cellStyle name="Currency 5 2 2 2 2 2 2 2 3 5" xfId="9258" xr:uid="{00000000-0005-0000-0000-00002D1E0000}"/>
    <cellStyle name="Currency 5 2 2 2 2 2 2 2 4" xfId="9259" xr:uid="{00000000-0005-0000-0000-00002E1E0000}"/>
    <cellStyle name="Currency 5 2 2 2 2 2 2 2 4 2" xfId="9260" xr:uid="{00000000-0005-0000-0000-00002F1E0000}"/>
    <cellStyle name="Currency 5 2 2 2 2 2 2 2 4 2 2" xfId="9261" xr:uid="{00000000-0005-0000-0000-0000301E0000}"/>
    <cellStyle name="Currency 5 2 2 2 2 2 2 2 4 2 2 2" xfId="9262" xr:uid="{00000000-0005-0000-0000-0000311E0000}"/>
    <cellStyle name="Currency 5 2 2 2 2 2 2 2 4 2 2 2 2" xfId="9263" xr:uid="{00000000-0005-0000-0000-0000321E0000}"/>
    <cellStyle name="Currency 5 2 2 2 2 2 2 2 4 2 2 3" xfId="9264" xr:uid="{00000000-0005-0000-0000-0000331E0000}"/>
    <cellStyle name="Currency 5 2 2 2 2 2 2 2 4 2 3" xfId="9265" xr:uid="{00000000-0005-0000-0000-0000341E0000}"/>
    <cellStyle name="Currency 5 2 2 2 2 2 2 2 4 2 3 2" xfId="9266" xr:uid="{00000000-0005-0000-0000-0000351E0000}"/>
    <cellStyle name="Currency 5 2 2 2 2 2 2 2 4 2 4" xfId="9267" xr:uid="{00000000-0005-0000-0000-0000361E0000}"/>
    <cellStyle name="Currency 5 2 2 2 2 2 2 2 4 3" xfId="9268" xr:uid="{00000000-0005-0000-0000-0000371E0000}"/>
    <cellStyle name="Currency 5 2 2 2 2 2 2 2 4 3 2" xfId="9269" xr:uid="{00000000-0005-0000-0000-0000381E0000}"/>
    <cellStyle name="Currency 5 2 2 2 2 2 2 2 4 3 2 2" xfId="9270" xr:uid="{00000000-0005-0000-0000-0000391E0000}"/>
    <cellStyle name="Currency 5 2 2 2 2 2 2 2 4 3 3" xfId="9271" xr:uid="{00000000-0005-0000-0000-00003A1E0000}"/>
    <cellStyle name="Currency 5 2 2 2 2 2 2 2 4 4" xfId="9272" xr:uid="{00000000-0005-0000-0000-00003B1E0000}"/>
    <cellStyle name="Currency 5 2 2 2 2 2 2 2 4 4 2" xfId="9273" xr:uid="{00000000-0005-0000-0000-00003C1E0000}"/>
    <cellStyle name="Currency 5 2 2 2 2 2 2 2 4 5" xfId="9274" xr:uid="{00000000-0005-0000-0000-00003D1E0000}"/>
    <cellStyle name="Currency 5 2 2 2 2 2 2 2 5" xfId="9275" xr:uid="{00000000-0005-0000-0000-00003E1E0000}"/>
    <cellStyle name="Currency 5 2 2 2 2 2 2 2 5 2" xfId="9276" xr:uid="{00000000-0005-0000-0000-00003F1E0000}"/>
    <cellStyle name="Currency 5 2 2 2 2 2 2 2 5 2 2" xfId="9277" xr:uid="{00000000-0005-0000-0000-0000401E0000}"/>
    <cellStyle name="Currency 5 2 2 2 2 2 2 2 5 2 2 2" xfId="9278" xr:uid="{00000000-0005-0000-0000-0000411E0000}"/>
    <cellStyle name="Currency 5 2 2 2 2 2 2 2 5 2 3" xfId="9279" xr:uid="{00000000-0005-0000-0000-0000421E0000}"/>
    <cellStyle name="Currency 5 2 2 2 2 2 2 2 5 3" xfId="9280" xr:uid="{00000000-0005-0000-0000-0000431E0000}"/>
    <cellStyle name="Currency 5 2 2 2 2 2 2 2 5 3 2" xfId="9281" xr:uid="{00000000-0005-0000-0000-0000441E0000}"/>
    <cellStyle name="Currency 5 2 2 2 2 2 2 2 5 4" xfId="9282" xr:uid="{00000000-0005-0000-0000-0000451E0000}"/>
    <cellStyle name="Currency 5 2 2 2 2 2 2 2 6" xfId="9283" xr:uid="{00000000-0005-0000-0000-0000461E0000}"/>
    <cellStyle name="Currency 5 2 2 2 2 2 2 2 6 2" xfId="9284" xr:uid="{00000000-0005-0000-0000-0000471E0000}"/>
    <cellStyle name="Currency 5 2 2 2 2 2 2 2 6 2 2" xfId="9285" xr:uid="{00000000-0005-0000-0000-0000481E0000}"/>
    <cellStyle name="Currency 5 2 2 2 2 2 2 2 6 2 2 2" xfId="9286" xr:uid="{00000000-0005-0000-0000-0000491E0000}"/>
    <cellStyle name="Currency 5 2 2 2 2 2 2 2 6 2 3" xfId="9287" xr:uid="{00000000-0005-0000-0000-00004A1E0000}"/>
    <cellStyle name="Currency 5 2 2 2 2 2 2 2 6 3" xfId="9288" xr:uid="{00000000-0005-0000-0000-00004B1E0000}"/>
    <cellStyle name="Currency 5 2 2 2 2 2 2 2 6 3 2" xfId="9289" xr:uid="{00000000-0005-0000-0000-00004C1E0000}"/>
    <cellStyle name="Currency 5 2 2 2 2 2 2 2 6 4" xfId="9290" xr:uid="{00000000-0005-0000-0000-00004D1E0000}"/>
    <cellStyle name="Currency 5 2 2 2 2 2 2 2 7" xfId="9291" xr:uid="{00000000-0005-0000-0000-00004E1E0000}"/>
    <cellStyle name="Currency 5 2 2 2 2 2 2 2 7 2" xfId="9292" xr:uid="{00000000-0005-0000-0000-00004F1E0000}"/>
    <cellStyle name="Currency 5 2 2 2 2 2 2 2 7 2 2" xfId="9293" xr:uid="{00000000-0005-0000-0000-0000501E0000}"/>
    <cellStyle name="Currency 5 2 2 2 2 2 2 2 7 2 2 2" xfId="9294" xr:uid="{00000000-0005-0000-0000-0000511E0000}"/>
    <cellStyle name="Currency 5 2 2 2 2 2 2 2 7 2 3" xfId="9295" xr:uid="{00000000-0005-0000-0000-0000521E0000}"/>
    <cellStyle name="Currency 5 2 2 2 2 2 2 2 7 3" xfId="9296" xr:uid="{00000000-0005-0000-0000-0000531E0000}"/>
    <cellStyle name="Currency 5 2 2 2 2 2 2 2 7 3 2" xfId="9297" xr:uid="{00000000-0005-0000-0000-0000541E0000}"/>
    <cellStyle name="Currency 5 2 2 2 2 2 2 2 7 4" xfId="9298" xr:uid="{00000000-0005-0000-0000-0000551E0000}"/>
    <cellStyle name="Currency 5 2 2 2 2 2 2 2 8" xfId="9299" xr:uid="{00000000-0005-0000-0000-0000561E0000}"/>
    <cellStyle name="Currency 5 2 2 2 2 2 2 2 8 2" xfId="9300" xr:uid="{00000000-0005-0000-0000-0000571E0000}"/>
    <cellStyle name="Currency 5 2 2 2 2 2 2 2 8 2 2" xfId="9301" xr:uid="{00000000-0005-0000-0000-0000581E0000}"/>
    <cellStyle name="Currency 5 2 2 2 2 2 2 2 8 3" xfId="9302" xr:uid="{00000000-0005-0000-0000-0000591E0000}"/>
    <cellStyle name="Currency 5 2 2 2 2 2 2 2 9" xfId="9303" xr:uid="{00000000-0005-0000-0000-00005A1E0000}"/>
    <cellStyle name="Currency 5 2 2 2 2 2 2 2 9 2" xfId="9304" xr:uid="{00000000-0005-0000-0000-00005B1E0000}"/>
    <cellStyle name="Currency 5 2 2 2 2 2 2 3" xfId="1286" xr:uid="{00000000-0005-0000-0000-00005C1E0000}"/>
    <cellStyle name="Currency 5 2 2 2 2 2 2 3 2" xfId="9306" xr:uid="{00000000-0005-0000-0000-00005D1E0000}"/>
    <cellStyle name="Currency 5 2 2 2 2 2 2 3 2 2" xfId="9307" xr:uid="{00000000-0005-0000-0000-00005E1E0000}"/>
    <cellStyle name="Currency 5 2 2 2 2 2 2 3 2 2 2" xfId="9308" xr:uid="{00000000-0005-0000-0000-00005F1E0000}"/>
    <cellStyle name="Currency 5 2 2 2 2 2 2 3 2 2 2 2" xfId="9309" xr:uid="{00000000-0005-0000-0000-0000601E0000}"/>
    <cellStyle name="Currency 5 2 2 2 2 2 2 3 2 2 3" xfId="9310" xr:uid="{00000000-0005-0000-0000-0000611E0000}"/>
    <cellStyle name="Currency 5 2 2 2 2 2 2 3 2 3" xfId="9311" xr:uid="{00000000-0005-0000-0000-0000621E0000}"/>
    <cellStyle name="Currency 5 2 2 2 2 2 2 3 2 3 2" xfId="9312" xr:uid="{00000000-0005-0000-0000-0000631E0000}"/>
    <cellStyle name="Currency 5 2 2 2 2 2 2 3 2 4" xfId="9313" xr:uid="{00000000-0005-0000-0000-0000641E0000}"/>
    <cellStyle name="Currency 5 2 2 2 2 2 2 3 3" xfId="9314" xr:uid="{00000000-0005-0000-0000-0000651E0000}"/>
    <cellStyle name="Currency 5 2 2 2 2 2 2 3 3 2" xfId="9315" xr:uid="{00000000-0005-0000-0000-0000661E0000}"/>
    <cellStyle name="Currency 5 2 2 2 2 2 2 3 3 2 2" xfId="9316" xr:uid="{00000000-0005-0000-0000-0000671E0000}"/>
    <cellStyle name="Currency 5 2 2 2 2 2 2 3 3 2 2 2" xfId="9317" xr:uid="{00000000-0005-0000-0000-0000681E0000}"/>
    <cellStyle name="Currency 5 2 2 2 2 2 2 3 3 2 3" xfId="9318" xr:uid="{00000000-0005-0000-0000-0000691E0000}"/>
    <cellStyle name="Currency 5 2 2 2 2 2 2 3 3 3" xfId="9319" xr:uid="{00000000-0005-0000-0000-00006A1E0000}"/>
    <cellStyle name="Currency 5 2 2 2 2 2 2 3 3 3 2" xfId="9320" xr:uid="{00000000-0005-0000-0000-00006B1E0000}"/>
    <cellStyle name="Currency 5 2 2 2 2 2 2 3 3 4" xfId="9321" xr:uid="{00000000-0005-0000-0000-00006C1E0000}"/>
    <cellStyle name="Currency 5 2 2 2 2 2 2 3 4" xfId="9322" xr:uid="{00000000-0005-0000-0000-00006D1E0000}"/>
    <cellStyle name="Currency 5 2 2 2 2 2 2 3 4 2" xfId="9323" xr:uid="{00000000-0005-0000-0000-00006E1E0000}"/>
    <cellStyle name="Currency 5 2 2 2 2 2 2 3 4 2 2" xfId="9324" xr:uid="{00000000-0005-0000-0000-00006F1E0000}"/>
    <cellStyle name="Currency 5 2 2 2 2 2 2 3 4 3" xfId="9325" xr:uid="{00000000-0005-0000-0000-0000701E0000}"/>
    <cellStyle name="Currency 5 2 2 2 2 2 2 3 5" xfId="9326" xr:uid="{00000000-0005-0000-0000-0000711E0000}"/>
    <cellStyle name="Currency 5 2 2 2 2 2 2 3 5 2" xfId="9327" xr:uid="{00000000-0005-0000-0000-0000721E0000}"/>
    <cellStyle name="Currency 5 2 2 2 2 2 2 3 6" xfId="9328" xr:uid="{00000000-0005-0000-0000-0000731E0000}"/>
    <cellStyle name="Currency 5 2 2 2 2 2 2 3 7" xfId="9305" xr:uid="{00000000-0005-0000-0000-0000741E0000}"/>
    <cellStyle name="Currency 5 2 2 2 2 2 2 4" xfId="9329" xr:uid="{00000000-0005-0000-0000-0000751E0000}"/>
    <cellStyle name="Currency 5 2 2 2 2 2 2 4 2" xfId="9330" xr:uid="{00000000-0005-0000-0000-0000761E0000}"/>
    <cellStyle name="Currency 5 2 2 2 2 2 2 4 2 2" xfId="9331" xr:uid="{00000000-0005-0000-0000-0000771E0000}"/>
    <cellStyle name="Currency 5 2 2 2 2 2 2 4 2 2 2" xfId="9332" xr:uid="{00000000-0005-0000-0000-0000781E0000}"/>
    <cellStyle name="Currency 5 2 2 2 2 2 2 4 2 2 2 2" xfId="9333" xr:uid="{00000000-0005-0000-0000-0000791E0000}"/>
    <cellStyle name="Currency 5 2 2 2 2 2 2 4 2 2 3" xfId="9334" xr:uid="{00000000-0005-0000-0000-00007A1E0000}"/>
    <cellStyle name="Currency 5 2 2 2 2 2 2 4 2 3" xfId="9335" xr:uid="{00000000-0005-0000-0000-00007B1E0000}"/>
    <cellStyle name="Currency 5 2 2 2 2 2 2 4 2 3 2" xfId="9336" xr:uid="{00000000-0005-0000-0000-00007C1E0000}"/>
    <cellStyle name="Currency 5 2 2 2 2 2 2 4 2 4" xfId="9337" xr:uid="{00000000-0005-0000-0000-00007D1E0000}"/>
    <cellStyle name="Currency 5 2 2 2 2 2 2 4 3" xfId="9338" xr:uid="{00000000-0005-0000-0000-00007E1E0000}"/>
    <cellStyle name="Currency 5 2 2 2 2 2 2 4 3 2" xfId="9339" xr:uid="{00000000-0005-0000-0000-00007F1E0000}"/>
    <cellStyle name="Currency 5 2 2 2 2 2 2 4 3 2 2" xfId="9340" xr:uid="{00000000-0005-0000-0000-0000801E0000}"/>
    <cellStyle name="Currency 5 2 2 2 2 2 2 4 3 3" xfId="9341" xr:uid="{00000000-0005-0000-0000-0000811E0000}"/>
    <cellStyle name="Currency 5 2 2 2 2 2 2 4 4" xfId="9342" xr:uid="{00000000-0005-0000-0000-0000821E0000}"/>
    <cellStyle name="Currency 5 2 2 2 2 2 2 4 4 2" xfId="9343" xr:uid="{00000000-0005-0000-0000-0000831E0000}"/>
    <cellStyle name="Currency 5 2 2 2 2 2 2 4 5" xfId="9344" xr:uid="{00000000-0005-0000-0000-0000841E0000}"/>
    <cellStyle name="Currency 5 2 2 2 2 2 2 5" xfId="9345" xr:uid="{00000000-0005-0000-0000-0000851E0000}"/>
    <cellStyle name="Currency 5 2 2 2 2 2 2 5 2" xfId="9346" xr:uid="{00000000-0005-0000-0000-0000861E0000}"/>
    <cellStyle name="Currency 5 2 2 2 2 2 2 5 2 2" xfId="9347" xr:uid="{00000000-0005-0000-0000-0000871E0000}"/>
    <cellStyle name="Currency 5 2 2 2 2 2 2 5 2 2 2" xfId="9348" xr:uid="{00000000-0005-0000-0000-0000881E0000}"/>
    <cellStyle name="Currency 5 2 2 2 2 2 2 5 2 2 2 2" xfId="9349" xr:uid="{00000000-0005-0000-0000-0000891E0000}"/>
    <cellStyle name="Currency 5 2 2 2 2 2 2 5 2 2 3" xfId="9350" xr:uid="{00000000-0005-0000-0000-00008A1E0000}"/>
    <cellStyle name="Currency 5 2 2 2 2 2 2 5 2 3" xfId="9351" xr:uid="{00000000-0005-0000-0000-00008B1E0000}"/>
    <cellStyle name="Currency 5 2 2 2 2 2 2 5 2 3 2" xfId="9352" xr:uid="{00000000-0005-0000-0000-00008C1E0000}"/>
    <cellStyle name="Currency 5 2 2 2 2 2 2 5 2 4" xfId="9353" xr:uid="{00000000-0005-0000-0000-00008D1E0000}"/>
    <cellStyle name="Currency 5 2 2 2 2 2 2 5 3" xfId="9354" xr:uid="{00000000-0005-0000-0000-00008E1E0000}"/>
    <cellStyle name="Currency 5 2 2 2 2 2 2 5 3 2" xfId="9355" xr:uid="{00000000-0005-0000-0000-00008F1E0000}"/>
    <cellStyle name="Currency 5 2 2 2 2 2 2 5 3 2 2" xfId="9356" xr:uid="{00000000-0005-0000-0000-0000901E0000}"/>
    <cellStyle name="Currency 5 2 2 2 2 2 2 5 3 3" xfId="9357" xr:uid="{00000000-0005-0000-0000-0000911E0000}"/>
    <cellStyle name="Currency 5 2 2 2 2 2 2 5 4" xfId="9358" xr:uid="{00000000-0005-0000-0000-0000921E0000}"/>
    <cellStyle name="Currency 5 2 2 2 2 2 2 5 4 2" xfId="9359" xr:uid="{00000000-0005-0000-0000-0000931E0000}"/>
    <cellStyle name="Currency 5 2 2 2 2 2 2 5 5" xfId="9360" xr:uid="{00000000-0005-0000-0000-0000941E0000}"/>
    <cellStyle name="Currency 5 2 2 2 2 2 2 6" xfId="9361" xr:uid="{00000000-0005-0000-0000-0000951E0000}"/>
    <cellStyle name="Currency 5 2 2 2 2 2 2 6 2" xfId="9362" xr:uid="{00000000-0005-0000-0000-0000961E0000}"/>
    <cellStyle name="Currency 5 2 2 2 2 2 2 6 2 2" xfId="9363" xr:uid="{00000000-0005-0000-0000-0000971E0000}"/>
    <cellStyle name="Currency 5 2 2 2 2 2 2 6 2 2 2" xfId="9364" xr:uid="{00000000-0005-0000-0000-0000981E0000}"/>
    <cellStyle name="Currency 5 2 2 2 2 2 2 6 2 3" xfId="9365" xr:uid="{00000000-0005-0000-0000-0000991E0000}"/>
    <cellStyle name="Currency 5 2 2 2 2 2 2 6 3" xfId="9366" xr:uid="{00000000-0005-0000-0000-00009A1E0000}"/>
    <cellStyle name="Currency 5 2 2 2 2 2 2 6 3 2" xfId="9367" xr:uid="{00000000-0005-0000-0000-00009B1E0000}"/>
    <cellStyle name="Currency 5 2 2 2 2 2 2 6 4" xfId="9368" xr:uid="{00000000-0005-0000-0000-00009C1E0000}"/>
    <cellStyle name="Currency 5 2 2 2 2 2 2 7" xfId="9369" xr:uid="{00000000-0005-0000-0000-00009D1E0000}"/>
    <cellStyle name="Currency 5 2 2 2 2 2 2 7 2" xfId="9370" xr:uid="{00000000-0005-0000-0000-00009E1E0000}"/>
    <cellStyle name="Currency 5 2 2 2 2 2 2 7 2 2" xfId="9371" xr:uid="{00000000-0005-0000-0000-00009F1E0000}"/>
    <cellStyle name="Currency 5 2 2 2 2 2 2 7 2 2 2" xfId="9372" xr:uid="{00000000-0005-0000-0000-0000A01E0000}"/>
    <cellStyle name="Currency 5 2 2 2 2 2 2 7 2 3" xfId="9373" xr:uid="{00000000-0005-0000-0000-0000A11E0000}"/>
    <cellStyle name="Currency 5 2 2 2 2 2 2 7 3" xfId="9374" xr:uid="{00000000-0005-0000-0000-0000A21E0000}"/>
    <cellStyle name="Currency 5 2 2 2 2 2 2 7 3 2" xfId="9375" xr:uid="{00000000-0005-0000-0000-0000A31E0000}"/>
    <cellStyle name="Currency 5 2 2 2 2 2 2 7 4" xfId="9376" xr:uid="{00000000-0005-0000-0000-0000A41E0000}"/>
    <cellStyle name="Currency 5 2 2 2 2 2 2 8" xfId="9377" xr:uid="{00000000-0005-0000-0000-0000A51E0000}"/>
    <cellStyle name="Currency 5 2 2 2 2 2 2 8 2" xfId="9378" xr:uid="{00000000-0005-0000-0000-0000A61E0000}"/>
    <cellStyle name="Currency 5 2 2 2 2 2 2 8 2 2" xfId="9379" xr:uid="{00000000-0005-0000-0000-0000A71E0000}"/>
    <cellStyle name="Currency 5 2 2 2 2 2 2 8 2 2 2" xfId="9380" xr:uid="{00000000-0005-0000-0000-0000A81E0000}"/>
    <cellStyle name="Currency 5 2 2 2 2 2 2 8 2 3" xfId="9381" xr:uid="{00000000-0005-0000-0000-0000A91E0000}"/>
    <cellStyle name="Currency 5 2 2 2 2 2 2 8 3" xfId="9382" xr:uid="{00000000-0005-0000-0000-0000AA1E0000}"/>
    <cellStyle name="Currency 5 2 2 2 2 2 2 8 3 2" xfId="9383" xr:uid="{00000000-0005-0000-0000-0000AB1E0000}"/>
    <cellStyle name="Currency 5 2 2 2 2 2 2 8 4" xfId="9384" xr:uid="{00000000-0005-0000-0000-0000AC1E0000}"/>
    <cellStyle name="Currency 5 2 2 2 2 2 2 9" xfId="9385" xr:uid="{00000000-0005-0000-0000-0000AD1E0000}"/>
    <cellStyle name="Currency 5 2 2 2 2 2 2 9 2" xfId="9386" xr:uid="{00000000-0005-0000-0000-0000AE1E0000}"/>
    <cellStyle name="Currency 5 2 2 2 2 2 2 9 2 2" xfId="9387" xr:uid="{00000000-0005-0000-0000-0000AF1E0000}"/>
    <cellStyle name="Currency 5 2 2 2 2 2 2 9 3" xfId="9388" xr:uid="{00000000-0005-0000-0000-0000B01E0000}"/>
    <cellStyle name="Currency 5 2 2 2 2 2 3" xfId="296" xr:uid="{00000000-0005-0000-0000-0000B11E0000}"/>
    <cellStyle name="Currency 5 2 2 2 2 2 4" xfId="869" xr:uid="{00000000-0005-0000-0000-0000B21E0000}"/>
    <cellStyle name="Currency 5 2 2 2 2 2 4 10" xfId="9390" xr:uid="{00000000-0005-0000-0000-0000B31E0000}"/>
    <cellStyle name="Currency 5 2 2 2 2 2 4 11" xfId="9389" xr:uid="{00000000-0005-0000-0000-0000B41E0000}"/>
    <cellStyle name="Currency 5 2 2 2 2 2 4 2" xfId="1610" xr:uid="{00000000-0005-0000-0000-0000B51E0000}"/>
    <cellStyle name="Currency 5 2 2 2 2 2 4 2 2" xfId="9392" xr:uid="{00000000-0005-0000-0000-0000B61E0000}"/>
    <cellStyle name="Currency 5 2 2 2 2 2 4 2 2 2" xfId="9393" xr:uid="{00000000-0005-0000-0000-0000B71E0000}"/>
    <cellStyle name="Currency 5 2 2 2 2 2 4 2 2 2 2" xfId="9394" xr:uid="{00000000-0005-0000-0000-0000B81E0000}"/>
    <cellStyle name="Currency 5 2 2 2 2 2 4 2 2 2 2 2" xfId="9395" xr:uid="{00000000-0005-0000-0000-0000B91E0000}"/>
    <cellStyle name="Currency 5 2 2 2 2 2 4 2 2 2 3" xfId="9396" xr:uid="{00000000-0005-0000-0000-0000BA1E0000}"/>
    <cellStyle name="Currency 5 2 2 2 2 2 4 2 2 3" xfId="9397" xr:uid="{00000000-0005-0000-0000-0000BB1E0000}"/>
    <cellStyle name="Currency 5 2 2 2 2 2 4 2 2 3 2" xfId="9398" xr:uid="{00000000-0005-0000-0000-0000BC1E0000}"/>
    <cellStyle name="Currency 5 2 2 2 2 2 4 2 2 4" xfId="9399" xr:uid="{00000000-0005-0000-0000-0000BD1E0000}"/>
    <cellStyle name="Currency 5 2 2 2 2 2 4 2 3" xfId="9400" xr:uid="{00000000-0005-0000-0000-0000BE1E0000}"/>
    <cellStyle name="Currency 5 2 2 2 2 2 4 2 3 2" xfId="9401" xr:uid="{00000000-0005-0000-0000-0000BF1E0000}"/>
    <cellStyle name="Currency 5 2 2 2 2 2 4 2 3 2 2" xfId="9402" xr:uid="{00000000-0005-0000-0000-0000C01E0000}"/>
    <cellStyle name="Currency 5 2 2 2 2 2 4 2 3 2 2 2" xfId="9403" xr:uid="{00000000-0005-0000-0000-0000C11E0000}"/>
    <cellStyle name="Currency 5 2 2 2 2 2 4 2 3 2 3" xfId="9404" xr:uid="{00000000-0005-0000-0000-0000C21E0000}"/>
    <cellStyle name="Currency 5 2 2 2 2 2 4 2 3 3" xfId="9405" xr:uid="{00000000-0005-0000-0000-0000C31E0000}"/>
    <cellStyle name="Currency 5 2 2 2 2 2 4 2 3 3 2" xfId="9406" xr:uid="{00000000-0005-0000-0000-0000C41E0000}"/>
    <cellStyle name="Currency 5 2 2 2 2 2 4 2 3 4" xfId="9407" xr:uid="{00000000-0005-0000-0000-0000C51E0000}"/>
    <cellStyle name="Currency 5 2 2 2 2 2 4 2 4" xfId="9408" xr:uid="{00000000-0005-0000-0000-0000C61E0000}"/>
    <cellStyle name="Currency 5 2 2 2 2 2 4 2 4 2" xfId="9409" xr:uid="{00000000-0005-0000-0000-0000C71E0000}"/>
    <cellStyle name="Currency 5 2 2 2 2 2 4 2 4 2 2" xfId="9410" xr:uid="{00000000-0005-0000-0000-0000C81E0000}"/>
    <cellStyle name="Currency 5 2 2 2 2 2 4 2 4 3" xfId="9411" xr:uid="{00000000-0005-0000-0000-0000C91E0000}"/>
    <cellStyle name="Currency 5 2 2 2 2 2 4 2 5" xfId="9412" xr:uid="{00000000-0005-0000-0000-0000CA1E0000}"/>
    <cellStyle name="Currency 5 2 2 2 2 2 4 2 5 2" xfId="9413" xr:uid="{00000000-0005-0000-0000-0000CB1E0000}"/>
    <cellStyle name="Currency 5 2 2 2 2 2 4 2 6" xfId="9414" xr:uid="{00000000-0005-0000-0000-0000CC1E0000}"/>
    <cellStyle name="Currency 5 2 2 2 2 2 4 2 7" xfId="9391" xr:uid="{00000000-0005-0000-0000-0000CD1E0000}"/>
    <cellStyle name="Currency 5 2 2 2 2 2 4 3" xfId="9415" xr:uid="{00000000-0005-0000-0000-0000CE1E0000}"/>
    <cellStyle name="Currency 5 2 2 2 2 2 4 3 2" xfId="9416" xr:uid="{00000000-0005-0000-0000-0000CF1E0000}"/>
    <cellStyle name="Currency 5 2 2 2 2 2 4 3 2 2" xfId="9417" xr:uid="{00000000-0005-0000-0000-0000D01E0000}"/>
    <cellStyle name="Currency 5 2 2 2 2 2 4 3 2 2 2" xfId="9418" xr:uid="{00000000-0005-0000-0000-0000D11E0000}"/>
    <cellStyle name="Currency 5 2 2 2 2 2 4 3 2 2 2 2" xfId="9419" xr:uid="{00000000-0005-0000-0000-0000D21E0000}"/>
    <cellStyle name="Currency 5 2 2 2 2 2 4 3 2 2 3" xfId="9420" xr:uid="{00000000-0005-0000-0000-0000D31E0000}"/>
    <cellStyle name="Currency 5 2 2 2 2 2 4 3 2 3" xfId="9421" xr:uid="{00000000-0005-0000-0000-0000D41E0000}"/>
    <cellStyle name="Currency 5 2 2 2 2 2 4 3 2 3 2" xfId="9422" xr:uid="{00000000-0005-0000-0000-0000D51E0000}"/>
    <cellStyle name="Currency 5 2 2 2 2 2 4 3 2 4" xfId="9423" xr:uid="{00000000-0005-0000-0000-0000D61E0000}"/>
    <cellStyle name="Currency 5 2 2 2 2 2 4 3 3" xfId="9424" xr:uid="{00000000-0005-0000-0000-0000D71E0000}"/>
    <cellStyle name="Currency 5 2 2 2 2 2 4 3 3 2" xfId="9425" xr:uid="{00000000-0005-0000-0000-0000D81E0000}"/>
    <cellStyle name="Currency 5 2 2 2 2 2 4 3 3 2 2" xfId="9426" xr:uid="{00000000-0005-0000-0000-0000D91E0000}"/>
    <cellStyle name="Currency 5 2 2 2 2 2 4 3 3 3" xfId="9427" xr:uid="{00000000-0005-0000-0000-0000DA1E0000}"/>
    <cellStyle name="Currency 5 2 2 2 2 2 4 3 4" xfId="9428" xr:uid="{00000000-0005-0000-0000-0000DB1E0000}"/>
    <cellStyle name="Currency 5 2 2 2 2 2 4 3 4 2" xfId="9429" xr:uid="{00000000-0005-0000-0000-0000DC1E0000}"/>
    <cellStyle name="Currency 5 2 2 2 2 2 4 3 5" xfId="9430" xr:uid="{00000000-0005-0000-0000-0000DD1E0000}"/>
    <cellStyle name="Currency 5 2 2 2 2 2 4 4" xfId="9431" xr:uid="{00000000-0005-0000-0000-0000DE1E0000}"/>
    <cellStyle name="Currency 5 2 2 2 2 2 4 4 2" xfId="9432" xr:uid="{00000000-0005-0000-0000-0000DF1E0000}"/>
    <cellStyle name="Currency 5 2 2 2 2 2 4 4 2 2" xfId="9433" xr:uid="{00000000-0005-0000-0000-0000E01E0000}"/>
    <cellStyle name="Currency 5 2 2 2 2 2 4 4 2 2 2" xfId="9434" xr:uid="{00000000-0005-0000-0000-0000E11E0000}"/>
    <cellStyle name="Currency 5 2 2 2 2 2 4 4 2 2 2 2" xfId="9435" xr:uid="{00000000-0005-0000-0000-0000E21E0000}"/>
    <cellStyle name="Currency 5 2 2 2 2 2 4 4 2 2 3" xfId="9436" xr:uid="{00000000-0005-0000-0000-0000E31E0000}"/>
    <cellStyle name="Currency 5 2 2 2 2 2 4 4 2 3" xfId="9437" xr:uid="{00000000-0005-0000-0000-0000E41E0000}"/>
    <cellStyle name="Currency 5 2 2 2 2 2 4 4 2 3 2" xfId="9438" xr:uid="{00000000-0005-0000-0000-0000E51E0000}"/>
    <cellStyle name="Currency 5 2 2 2 2 2 4 4 2 4" xfId="9439" xr:uid="{00000000-0005-0000-0000-0000E61E0000}"/>
    <cellStyle name="Currency 5 2 2 2 2 2 4 4 3" xfId="9440" xr:uid="{00000000-0005-0000-0000-0000E71E0000}"/>
    <cellStyle name="Currency 5 2 2 2 2 2 4 4 3 2" xfId="9441" xr:uid="{00000000-0005-0000-0000-0000E81E0000}"/>
    <cellStyle name="Currency 5 2 2 2 2 2 4 4 3 2 2" xfId="9442" xr:uid="{00000000-0005-0000-0000-0000E91E0000}"/>
    <cellStyle name="Currency 5 2 2 2 2 2 4 4 3 3" xfId="9443" xr:uid="{00000000-0005-0000-0000-0000EA1E0000}"/>
    <cellStyle name="Currency 5 2 2 2 2 2 4 4 4" xfId="9444" xr:uid="{00000000-0005-0000-0000-0000EB1E0000}"/>
    <cellStyle name="Currency 5 2 2 2 2 2 4 4 4 2" xfId="9445" xr:uid="{00000000-0005-0000-0000-0000EC1E0000}"/>
    <cellStyle name="Currency 5 2 2 2 2 2 4 4 5" xfId="9446" xr:uid="{00000000-0005-0000-0000-0000ED1E0000}"/>
    <cellStyle name="Currency 5 2 2 2 2 2 4 5" xfId="9447" xr:uid="{00000000-0005-0000-0000-0000EE1E0000}"/>
    <cellStyle name="Currency 5 2 2 2 2 2 4 5 2" xfId="9448" xr:uid="{00000000-0005-0000-0000-0000EF1E0000}"/>
    <cellStyle name="Currency 5 2 2 2 2 2 4 5 2 2" xfId="9449" xr:uid="{00000000-0005-0000-0000-0000F01E0000}"/>
    <cellStyle name="Currency 5 2 2 2 2 2 4 5 2 2 2" xfId="9450" xr:uid="{00000000-0005-0000-0000-0000F11E0000}"/>
    <cellStyle name="Currency 5 2 2 2 2 2 4 5 2 3" xfId="9451" xr:uid="{00000000-0005-0000-0000-0000F21E0000}"/>
    <cellStyle name="Currency 5 2 2 2 2 2 4 5 3" xfId="9452" xr:uid="{00000000-0005-0000-0000-0000F31E0000}"/>
    <cellStyle name="Currency 5 2 2 2 2 2 4 5 3 2" xfId="9453" xr:uid="{00000000-0005-0000-0000-0000F41E0000}"/>
    <cellStyle name="Currency 5 2 2 2 2 2 4 5 4" xfId="9454" xr:uid="{00000000-0005-0000-0000-0000F51E0000}"/>
    <cellStyle name="Currency 5 2 2 2 2 2 4 6" xfId="9455" xr:uid="{00000000-0005-0000-0000-0000F61E0000}"/>
    <cellStyle name="Currency 5 2 2 2 2 2 4 6 2" xfId="9456" xr:uid="{00000000-0005-0000-0000-0000F71E0000}"/>
    <cellStyle name="Currency 5 2 2 2 2 2 4 6 2 2" xfId="9457" xr:uid="{00000000-0005-0000-0000-0000F81E0000}"/>
    <cellStyle name="Currency 5 2 2 2 2 2 4 6 2 2 2" xfId="9458" xr:uid="{00000000-0005-0000-0000-0000F91E0000}"/>
    <cellStyle name="Currency 5 2 2 2 2 2 4 6 2 3" xfId="9459" xr:uid="{00000000-0005-0000-0000-0000FA1E0000}"/>
    <cellStyle name="Currency 5 2 2 2 2 2 4 6 3" xfId="9460" xr:uid="{00000000-0005-0000-0000-0000FB1E0000}"/>
    <cellStyle name="Currency 5 2 2 2 2 2 4 6 3 2" xfId="9461" xr:uid="{00000000-0005-0000-0000-0000FC1E0000}"/>
    <cellStyle name="Currency 5 2 2 2 2 2 4 6 4" xfId="9462" xr:uid="{00000000-0005-0000-0000-0000FD1E0000}"/>
    <cellStyle name="Currency 5 2 2 2 2 2 4 7" xfId="9463" xr:uid="{00000000-0005-0000-0000-0000FE1E0000}"/>
    <cellStyle name="Currency 5 2 2 2 2 2 4 7 2" xfId="9464" xr:uid="{00000000-0005-0000-0000-0000FF1E0000}"/>
    <cellStyle name="Currency 5 2 2 2 2 2 4 7 2 2" xfId="9465" xr:uid="{00000000-0005-0000-0000-0000001F0000}"/>
    <cellStyle name="Currency 5 2 2 2 2 2 4 7 2 2 2" xfId="9466" xr:uid="{00000000-0005-0000-0000-0000011F0000}"/>
    <cellStyle name="Currency 5 2 2 2 2 2 4 7 2 3" xfId="9467" xr:uid="{00000000-0005-0000-0000-0000021F0000}"/>
    <cellStyle name="Currency 5 2 2 2 2 2 4 7 3" xfId="9468" xr:uid="{00000000-0005-0000-0000-0000031F0000}"/>
    <cellStyle name="Currency 5 2 2 2 2 2 4 7 3 2" xfId="9469" xr:uid="{00000000-0005-0000-0000-0000041F0000}"/>
    <cellStyle name="Currency 5 2 2 2 2 2 4 7 4" xfId="9470" xr:uid="{00000000-0005-0000-0000-0000051F0000}"/>
    <cellStyle name="Currency 5 2 2 2 2 2 4 8" xfId="9471" xr:uid="{00000000-0005-0000-0000-0000061F0000}"/>
    <cellStyle name="Currency 5 2 2 2 2 2 4 8 2" xfId="9472" xr:uid="{00000000-0005-0000-0000-0000071F0000}"/>
    <cellStyle name="Currency 5 2 2 2 2 2 4 8 2 2" xfId="9473" xr:uid="{00000000-0005-0000-0000-0000081F0000}"/>
    <cellStyle name="Currency 5 2 2 2 2 2 4 8 3" xfId="9474" xr:uid="{00000000-0005-0000-0000-0000091F0000}"/>
    <cellStyle name="Currency 5 2 2 2 2 2 4 9" xfId="9475" xr:uid="{00000000-0005-0000-0000-00000A1F0000}"/>
    <cellStyle name="Currency 5 2 2 2 2 2 4 9 2" xfId="9476" xr:uid="{00000000-0005-0000-0000-00000B1F0000}"/>
    <cellStyle name="Currency 5 2 2 2 2 2 5" xfId="1285" xr:uid="{00000000-0005-0000-0000-00000C1F0000}"/>
    <cellStyle name="Currency 5 2 2 2 2 2 5 2" xfId="9478" xr:uid="{00000000-0005-0000-0000-00000D1F0000}"/>
    <cellStyle name="Currency 5 2 2 2 2 2 5 2 2" xfId="9479" xr:uid="{00000000-0005-0000-0000-00000E1F0000}"/>
    <cellStyle name="Currency 5 2 2 2 2 2 5 2 2 2" xfId="9480" xr:uid="{00000000-0005-0000-0000-00000F1F0000}"/>
    <cellStyle name="Currency 5 2 2 2 2 2 5 2 2 2 2" xfId="9481" xr:uid="{00000000-0005-0000-0000-0000101F0000}"/>
    <cellStyle name="Currency 5 2 2 2 2 2 5 2 2 3" xfId="9482" xr:uid="{00000000-0005-0000-0000-0000111F0000}"/>
    <cellStyle name="Currency 5 2 2 2 2 2 5 2 3" xfId="9483" xr:uid="{00000000-0005-0000-0000-0000121F0000}"/>
    <cellStyle name="Currency 5 2 2 2 2 2 5 2 3 2" xfId="9484" xr:uid="{00000000-0005-0000-0000-0000131F0000}"/>
    <cellStyle name="Currency 5 2 2 2 2 2 5 2 4" xfId="9485" xr:uid="{00000000-0005-0000-0000-0000141F0000}"/>
    <cellStyle name="Currency 5 2 2 2 2 2 5 3" xfId="9486" xr:uid="{00000000-0005-0000-0000-0000151F0000}"/>
    <cellStyle name="Currency 5 2 2 2 2 2 5 3 2" xfId="9487" xr:uid="{00000000-0005-0000-0000-0000161F0000}"/>
    <cellStyle name="Currency 5 2 2 2 2 2 5 3 2 2" xfId="9488" xr:uid="{00000000-0005-0000-0000-0000171F0000}"/>
    <cellStyle name="Currency 5 2 2 2 2 2 5 3 2 2 2" xfId="9489" xr:uid="{00000000-0005-0000-0000-0000181F0000}"/>
    <cellStyle name="Currency 5 2 2 2 2 2 5 3 2 3" xfId="9490" xr:uid="{00000000-0005-0000-0000-0000191F0000}"/>
    <cellStyle name="Currency 5 2 2 2 2 2 5 3 3" xfId="9491" xr:uid="{00000000-0005-0000-0000-00001A1F0000}"/>
    <cellStyle name="Currency 5 2 2 2 2 2 5 3 3 2" xfId="9492" xr:uid="{00000000-0005-0000-0000-00001B1F0000}"/>
    <cellStyle name="Currency 5 2 2 2 2 2 5 3 4" xfId="9493" xr:uid="{00000000-0005-0000-0000-00001C1F0000}"/>
    <cellStyle name="Currency 5 2 2 2 2 2 5 4" xfId="9494" xr:uid="{00000000-0005-0000-0000-00001D1F0000}"/>
    <cellStyle name="Currency 5 2 2 2 2 2 5 4 2" xfId="9495" xr:uid="{00000000-0005-0000-0000-00001E1F0000}"/>
    <cellStyle name="Currency 5 2 2 2 2 2 5 4 2 2" xfId="9496" xr:uid="{00000000-0005-0000-0000-00001F1F0000}"/>
    <cellStyle name="Currency 5 2 2 2 2 2 5 4 3" xfId="9497" xr:uid="{00000000-0005-0000-0000-0000201F0000}"/>
    <cellStyle name="Currency 5 2 2 2 2 2 5 5" xfId="9498" xr:uid="{00000000-0005-0000-0000-0000211F0000}"/>
    <cellStyle name="Currency 5 2 2 2 2 2 5 5 2" xfId="9499" xr:uid="{00000000-0005-0000-0000-0000221F0000}"/>
    <cellStyle name="Currency 5 2 2 2 2 2 5 6" xfId="9500" xr:uid="{00000000-0005-0000-0000-0000231F0000}"/>
    <cellStyle name="Currency 5 2 2 2 2 2 5 7" xfId="9477" xr:uid="{00000000-0005-0000-0000-0000241F0000}"/>
    <cellStyle name="Currency 5 2 2 2 2 2 6" xfId="9501" xr:uid="{00000000-0005-0000-0000-0000251F0000}"/>
    <cellStyle name="Currency 5 2 2 2 2 2 6 2" xfId="9502" xr:uid="{00000000-0005-0000-0000-0000261F0000}"/>
    <cellStyle name="Currency 5 2 2 2 2 2 6 2 2" xfId="9503" xr:uid="{00000000-0005-0000-0000-0000271F0000}"/>
    <cellStyle name="Currency 5 2 2 2 2 2 6 2 2 2" xfId="9504" xr:uid="{00000000-0005-0000-0000-0000281F0000}"/>
    <cellStyle name="Currency 5 2 2 2 2 2 6 2 2 2 2" xfId="9505" xr:uid="{00000000-0005-0000-0000-0000291F0000}"/>
    <cellStyle name="Currency 5 2 2 2 2 2 6 2 2 3" xfId="9506" xr:uid="{00000000-0005-0000-0000-00002A1F0000}"/>
    <cellStyle name="Currency 5 2 2 2 2 2 6 2 3" xfId="9507" xr:uid="{00000000-0005-0000-0000-00002B1F0000}"/>
    <cellStyle name="Currency 5 2 2 2 2 2 6 2 3 2" xfId="9508" xr:uid="{00000000-0005-0000-0000-00002C1F0000}"/>
    <cellStyle name="Currency 5 2 2 2 2 2 6 2 4" xfId="9509" xr:uid="{00000000-0005-0000-0000-00002D1F0000}"/>
    <cellStyle name="Currency 5 2 2 2 2 2 6 3" xfId="9510" xr:uid="{00000000-0005-0000-0000-00002E1F0000}"/>
    <cellStyle name="Currency 5 2 2 2 2 2 6 3 2" xfId="9511" xr:uid="{00000000-0005-0000-0000-00002F1F0000}"/>
    <cellStyle name="Currency 5 2 2 2 2 2 6 3 2 2" xfId="9512" xr:uid="{00000000-0005-0000-0000-0000301F0000}"/>
    <cellStyle name="Currency 5 2 2 2 2 2 6 3 3" xfId="9513" xr:uid="{00000000-0005-0000-0000-0000311F0000}"/>
    <cellStyle name="Currency 5 2 2 2 2 2 6 4" xfId="9514" xr:uid="{00000000-0005-0000-0000-0000321F0000}"/>
    <cellStyle name="Currency 5 2 2 2 2 2 6 4 2" xfId="9515" xr:uid="{00000000-0005-0000-0000-0000331F0000}"/>
    <cellStyle name="Currency 5 2 2 2 2 2 6 5" xfId="9516" xr:uid="{00000000-0005-0000-0000-0000341F0000}"/>
    <cellStyle name="Currency 5 2 2 2 2 2 7" xfId="9517" xr:uid="{00000000-0005-0000-0000-0000351F0000}"/>
    <cellStyle name="Currency 5 2 2 2 2 2 7 2" xfId="9518" xr:uid="{00000000-0005-0000-0000-0000361F0000}"/>
    <cellStyle name="Currency 5 2 2 2 2 2 7 2 2" xfId="9519" xr:uid="{00000000-0005-0000-0000-0000371F0000}"/>
    <cellStyle name="Currency 5 2 2 2 2 2 7 2 2 2" xfId="9520" xr:uid="{00000000-0005-0000-0000-0000381F0000}"/>
    <cellStyle name="Currency 5 2 2 2 2 2 7 2 2 2 2" xfId="9521" xr:uid="{00000000-0005-0000-0000-0000391F0000}"/>
    <cellStyle name="Currency 5 2 2 2 2 2 7 2 2 3" xfId="9522" xr:uid="{00000000-0005-0000-0000-00003A1F0000}"/>
    <cellStyle name="Currency 5 2 2 2 2 2 7 2 3" xfId="9523" xr:uid="{00000000-0005-0000-0000-00003B1F0000}"/>
    <cellStyle name="Currency 5 2 2 2 2 2 7 2 3 2" xfId="9524" xr:uid="{00000000-0005-0000-0000-00003C1F0000}"/>
    <cellStyle name="Currency 5 2 2 2 2 2 7 2 4" xfId="9525" xr:uid="{00000000-0005-0000-0000-00003D1F0000}"/>
    <cellStyle name="Currency 5 2 2 2 2 2 7 3" xfId="9526" xr:uid="{00000000-0005-0000-0000-00003E1F0000}"/>
    <cellStyle name="Currency 5 2 2 2 2 2 7 3 2" xfId="9527" xr:uid="{00000000-0005-0000-0000-00003F1F0000}"/>
    <cellStyle name="Currency 5 2 2 2 2 2 7 3 2 2" xfId="9528" xr:uid="{00000000-0005-0000-0000-0000401F0000}"/>
    <cellStyle name="Currency 5 2 2 2 2 2 7 3 3" xfId="9529" xr:uid="{00000000-0005-0000-0000-0000411F0000}"/>
    <cellStyle name="Currency 5 2 2 2 2 2 7 4" xfId="9530" xr:uid="{00000000-0005-0000-0000-0000421F0000}"/>
    <cellStyle name="Currency 5 2 2 2 2 2 7 4 2" xfId="9531" xr:uid="{00000000-0005-0000-0000-0000431F0000}"/>
    <cellStyle name="Currency 5 2 2 2 2 2 7 5" xfId="9532" xr:uid="{00000000-0005-0000-0000-0000441F0000}"/>
    <cellStyle name="Currency 5 2 2 2 2 2 8" xfId="9533" xr:uid="{00000000-0005-0000-0000-0000451F0000}"/>
    <cellStyle name="Currency 5 2 2 2 2 2 8 2" xfId="9534" xr:uid="{00000000-0005-0000-0000-0000461F0000}"/>
    <cellStyle name="Currency 5 2 2 2 2 2 8 2 2" xfId="9535" xr:uid="{00000000-0005-0000-0000-0000471F0000}"/>
    <cellStyle name="Currency 5 2 2 2 2 2 8 2 2 2" xfId="9536" xr:uid="{00000000-0005-0000-0000-0000481F0000}"/>
    <cellStyle name="Currency 5 2 2 2 2 2 8 2 3" xfId="9537" xr:uid="{00000000-0005-0000-0000-0000491F0000}"/>
    <cellStyle name="Currency 5 2 2 2 2 2 8 3" xfId="9538" xr:uid="{00000000-0005-0000-0000-00004A1F0000}"/>
    <cellStyle name="Currency 5 2 2 2 2 2 8 3 2" xfId="9539" xr:uid="{00000000-0005-0000-0000-00004B1F0000}"/>
    <cellStyle name="Currency 5 2 2 2 2 2 8 4" xfId="9540" xr:uid="{00000000-0005-0000-0000-00004C1F0000}"/>
    <cellStyle name="Currency 5 2 2 2 2 2 9" xfId="9541" xr:uid="{00000000-0005-0000-0000-00004D1F0000}"/>
    <cellStyle name="Currency 5 2 2 2 2 2 9 2" xfId="9542" xr:uid="{00000000-0005-0000-0000-00004E1F0000}"/>
    <cellStyle name="Currency 5 2 2 2 2 2 9 2 2" xfId="9543" xr:uid="{00000000-0005-0000-0000-00004F1F0000}"/>
    <cellStyle name="Currency 5 2 2 2 2 2 9 2 2 2" xfId="9544" xr:uid="{00000000-0005-0000-0000-0000501F0000}"/>
    <cellStyle name="Currency 5 2 2 2 2 2 9 2 3" xfId="9545" xr:uid="{00000000-0005-0000-0000-0000511F0000}"/>
    <cellStyle name="Currency 5 2 2 2 2 2 9 3" xfId="9546" xr:uid="{00000000-0005-0000-0000-0000521F0000}"/>
    <cellStyle name="Currency 5 2 2 2 2 2 9 3 2" xfId="9547" xr:uid="{00000000-0005-0000-0000-0000531F0000}"/>
    <cellStyle name="Currency 5 2 2 2 2 2 9 4" xfId="9548" xr:uid="{00000000-0005-0000-0000-0000541F0000}"/>
    <cellStyle name="Currency 5 2 2 2 2 3" xfId="297" xr:uid="{00000000-0005-0000-0000-0000551F0000}"/>
    <cellStyle name="Currency 5 2 2 2 2 3 10" xfId="9550" xr:uid="{00000000-0005-0000-0000-0000561F0000}"/>
    <cellStyle name="Currency 5 2 2 2 2 3 10 2" xfId="9551" xr:uid="{00000000-0005-0000-0000-0000571F0000}"/>
    <cellStyle name="Currency 5 2 2 2 2 3 10 2 2" xfId="9552" xr:uid="{00000000-0005-0000-0000-0000581F0000}"/>
    <cellStyle name="Currency 5 2 2 2 2 3 10 3" xfId="9553" xr:uid="{00000000-0005-0000-0000-0000591F0000}"/>
    <cellStyle name="Currency 5 2 2 2 2 3 11" xfId="9554" xr:uid="{00000000-0005-0000-0000-00005A1F0000}"/>
    <cellStyle name="Currency 5 2 2 2 2 3 11 2" xfId="9555" xr:uid="{00000000-0005-0000-0000-00005B1F0000}"/>
    <cellStyle name="Currency 5 2 2 2 2 3 11 2 2" xfId="9556" xr:uid="{00000000-0005-0000-0000-00005C1F0000}"/>
    <cellStyle name="Currency 5 2 2 2 2 3 11 3" xfId="9557" xr:uid="{00000000-0005-0000-0000-00005D1F0000}"/>
    <cellStyle name="Currency 5 2 2 2 2 3 12" xfId="9558" xr:uid="{00000000-0005-0000-0000-00005E1F0000}"/>
    <cellStyle name="Currency 5 2 2 2 2 3 12 2" xfId="9559" xr:uid="{00000000-0005-0000-0000-00005F1F0000}"/>
    <cellStyle name="Currency 5 2 2 2 2 3 13" xfId="9560" xr:uid="{00000000-0005-0000-0000-0000601F0000}"/>
    <cellStyle name="Currency 5 2 2 2 2 3 14" xfId="9561" xr:uid="{00000000-0005-0000-0000-0000611F0000}"/>
    <cellStyle name="Currency 5 2 2 2 2 3 15" xfId="9549" xr:uid="{00000000-0005-0000-0000-0000621F0000}"/>
    <cellStyle name="Currency 5 2 2 2 2 3 2" xfId="871" xr:uid="{00000000-0005-0000-0000-0000631F0000}"/>
    <cellStyle name="Currency 5 2 2 2 2 3 2 10" xfId="9563" xr:uid="{00000000-0005-0000-0000-0000641F0000}"/>
    <cellStyle name="Currency 5 2 2 2 2 3 2 11" xfId="9562" xr:uid="{00000000-0005-0000-0000-0000651F0000}"/>
    <cellStyle name="Currency 5 2 2 2 2 3 2 2" xfId="1612" xr:uid="{00000000-0005-0000-0000-0000661F0000}"/>
    <cellStyle name="Currency 5 2 2 2 2 3 2 2 2" xfId="9565" xr:uid="{00000000-0005-0000-0000-0000671F0000}"/>
    <cellStyle name="Currency 5 2 2 2 2 3 2 2 2 2" xfId="9566" xr:uid="{00000000-0005-0000-0000-0000681F0000}"/>
    <cellStyle name="Currency 5 2 2 2 2 3 2 2 2 2 2" xfId="9567" xr:uid="{00000000-0005-0000-0000-0000691F0000}"/>
    <cellStyle name="Currency 5 2 2 2 2 3 2 2 2 2 2 2" xfId="9568" xr:uid="{00000000-0005-0000-0000-00006A1F0000}"/>
    <cellStyle name="Currency 5 2 2 2 2 3 2 2 2 2 3" xfId="9569" xr:uid="{00000000-0005-0000-0000-00006B1F0000}"/>
    <cellStyle name="Currency 5 2 2 2 2 3 2 2 2 3" xfId="9570" xr:uid="{00000000-0005-0000-0000-00006C1F0000}"/>
    <cellStyle name="Currency 5 2 2 2 2 3 2 2 2 3 2" xfId="9571" xr:uid="{00000000-0005-0000-0000-00006D1F0000}"/>
    <cellStyle name="Currency 5 2 2 2 2 3 2 2 2 4" xfId="9572" xr:uid="{00000000-0005-0000-0000-00006E1F0000}"/>
    <cellStyle name="Currency 5 2 2 2 2 3 2 2 3" xfId="9573" xr:uid="{00000000-0005-0000-0000-00006F1F0000}"/>
    <cellStyle name="Currency 5 2 2 2 2 3 2 2 3 2" xfId="9574" xr:uid="{00000000-0005-0000-0000-0000701F0000}"/>
    <cellStyle name="Currency 5 2 2 2 2 3 2 2 3 2 2" xfId="9575" xr:uid="{00000000-0005-0000-0000-0000711F0000}"/>
    <cellStyle name="Currency 5 2 2 2 2 3 2 2 3 2 2 2" xfId="9576" xr:uid="{00000000-0005-0000-0000-0000721F0000}"/>
    <cellStyle name="Currency 5 2 2 2 2 3 2 2 3 2 3" xfId="9577" xr:uid="{00000000-0005-0000-0000-0000731F0000}"/>
    <cellStyle name="Currency 5 2 2 2 2 3 2 2 3 3" xfId="9578" xr:uid="{00000000-0005-0000-0000-0000741F0000}"/>
    <cellStyle name="Currency 5 2 2 2 2 3 2 2 3 3 2" xfId="9579" xr:uid="{00000000-0005-0000-0000-0000751F0000}"/>
    <cellStyle name="Currency 5 2 2 2 2 3 2 2 3 4" xfId="9580" xr:uid="{00000000-0005-0000-0000-0000761F0000}"/>
    <cellStyle name="Currency 5 2 2 2 2 3 2 2 4" xfId="9581" xr:uid="{00000000-0005-0000-0000-0000771F0000}"/>
    <cellStyle name="Currency 5 2 2 2 2 3 2 2 4 2" xfId="9582" xr:uid="{00000000-0005-0000-0000-0000781F0000}"/>
    <cellStyle name="Currency 5 2 2 2 2 3 2 2 4 2 2" xfId="9583" xr:uid="{00000000-0005-0000-0000-0000791F0000}"/>
    <cellStyle name="Currency 5 2 2 2 2 3 2 2 4 3" xfId="9584" xr:uid="{00000000-0005-0000-0000-00007A1F0000}"/>
    <cellStyle name="Currency 5 2 2 2 2 3 2 2 5" xfId="9585" xr:uid="{00000000-0005-0000-0000-00007B1F0000}"/>
    <cellStyle name="Currency 5 2 2 2 2 3 2 2 5 2" xfId="9586" xr:uid="{00000000-0005-0000-0000-00007C1F0000}"/>
    <cellStyle name="Currency 5 2 2 2 2 3 2 2 6" xfId="9587" xr:uid="{00000000-0005-0000-0000-00007D1F0000}"/>
    <cellStyle name="Currency 5 2 2 2 2 3 2 2 7" xfId="9564" xr:uid="{00000000-0005-0000-0000-00007E1F0000}"/>
    <cellStyle name="Currency 5 2 2 2 2 3 2 3" xfId="9588" xr:uid="{00000000-0005-0000-0000-00007F1F0000}"/>
    <cellStyle name="Currency 5 2 2 2 2 3 2 3 2" xfId="9589" xr:uid="{00000000-0005-0000-0000-0000801F0000}"/>
    <cellStyle name="Currency 5 2 2 2 2 3 2 3 2 2" xfId="9590" xr:uid="{00000000-0005-0000-0000-0000811F0000}"/>
    <cellStyle name="Currency 5 2 2 2 2 3 2 3 2 2 2" xfId="9591" xr:uid="{00000000-0005-0000-0000-0000821F0000}"/>
    <cellStyle name="Currency 5 2 2 2 2 3 2 3 2 2 2 2" xfId="9592" xr:uid="{00000000-0005-0000-0000-0000831F0000}"/>
    <cellStyle name="Currency 5 2 2 2 2 3 2 3 2 2 3" xfId="9593" xr:uid="{00000000-0005-0000-0000-0000841F0000}"/>
    <cellStyle name="Currency 5 2 2 2 2 3 2 3 2 3" xfId="9594" xr:uid="{00000000-0005-0000-0000-0000851F0000}"/>
    <cellStyle name="Currency 5 2 2 2 2 3 2 3 2 3 2" xfId="9595" xr:uid="{00000000-0005-0000-0000-0000861F0000}"/>
    <cellStyle name="Currency 5 2 2 2 2 3 2 3 2 4" xfId="9596" xr:uid="{00000000-0005-0000-0000-0000871F0000}"/>
    <cellStyle name="Currency 5 2 2 2 2 3 2 3 3" xfId="9597" xr:uid="{00000000-0005-0000-0000-0000881F0000}"/>
    <cellStyle name="Currency 5 2 2 2 2 3 2 3 3 2" xfId="9598" xr:uid="{00000000-0005-0000-0000-0000891F0000}"/>
    <cellStyle name="Currency 5 2 2 2 2 3 2 3 3 2 2" xfId="9599" xr:uid="{00000000-0005-0000-0000-00008A1F0000}"/>
    <cellStyle name="Currency 5 2 2 2 2 3 2 3 3 3" xfId="9600" xr:uid="{00000000-0005-0000-0000-00008B1F0000}"/>
    <cellStyle name="Currency 5 2 2 2 2 3 2 3 4" xfId="9601" xr:uid="{00000000-0005-0000-0000-00008C1F0000}"/>
    <cellStyle name="Currency 5 2 2 2 2 3 2 3 4 2" xfId="9602" xr:uid="{00000000-0005-0000-0000-00008D1F0000}"/>
    <cellStyle name="Currency 5 2 2 2 2 3 2 3 5" xfId="9603" xr:uid="{00000000-0005-0000-0000-00008E1F0000}"/>
    <cellStyle name="Currency 5 2 2 2 2 3 2 4" xfId="9604" xr:uid="{00000000-0005-0000-0000-00008F1F0000}"/>
    <cellStyle name="Currency 5 2 2 2 2 3 2 4 2" xfId="9605" xr:uid="{00000000-0005-0000-0000-0000901F0000}"/>
    <cellStyle name="Currency 5 2 2 2 2 3 2 4 2 2" xfId="9606" xr:uid="{00000000-0005-0000-0000-0000911F0000}"/>
    <cellStyle name="Currency 5 2 2 2 2 3 2 4 2 2 2" xfId="9607" xr:uid="{00000000-0005-0000-0000-0000921F0000}"/>
    <cellStyle name="Currency 5 2 2 2 2 3 2 4 2 2 2 2" xfId="9608" xr:uid="{00000000-0005-0000-0000-0000931F0000}"/>
    <cellStyle name="Currency 5 2 2 2 2 3 2 4 2 2 3" xfId="9609" xr:uid="{00000000-0005-0000-0000-0000941F0000}"/>
    <cellStyle name="Currency 5 2 2 2 2 3 2 4 2 3" xfId="9610" xr:uid="{00000000-0005-0000-0000-0000951F0000}"/>
    <cellStyle name="Currency 5 2 2 2 2 3 2 4 2 3 2" xfId="9611" xr:uid="{00000000-0005-0000-0000-0000961F0000}"/>
    <cellStyle name="Currency 5 2 2 2 2 3 2 4 2 4" xfId="9612" xr:uid="{00000000-0005-0000-0000-0000971F0000}"/>
    <cellStyle name="Currency 5 2 2 2 2 3 2 4 3" xfId="9613" xr:uid="{00000000-0005-0000-0000-0000981F0000}"/>
    <cellStyle name="Currency 5 2 2 2 2 3 2 4 3 2" xfId="9614" xr:uid="{00000000-0005-0000-0000-0000991F0000}"/>
    <cellStyle name="Currency 5 2 2 2 2 3 2 4 3 2 2" xfId="9615" xr:uid="{00000000-0005-0000-0000-00009A1F0000}"/>
    <cellStyle name="Currency 5 2 2 2 2 3 2 4 3 3" xfId="9616" xr:uid="{00000000-0005-0000-0000-00009B1F0000}"/>
    <cellStyle name="Currency 5 2 2 2 2 3 2 4 4" xfId="9617" xr:uid="{00000000-0005-0000-0000-00009C1F0000}"/>
    <cellStyle name="Currency 5 2 2 2 2 3 2 4 4 2" xfId="9618" xr:uid="{00000000-0005-0000-0000-00009D1F0000}"/>
    <cellStyle name="Currency 5 2 2 2 2 3 2 4 5" xfId="9619" xr:uid="{00000000-0005-0000-0000-00009E1F0000}"/>
    <cellStyle name="Currency 5 2 2 2 2 3 2 5" xfId="9620" xr:uid="{00000000-0005-0000-0000-00009F1F0000}"/>
    <cellStyle name="Currency 5 2 2 2 2 3 2 5 2" xfId="9621" xr:uid="{00000000-0005-0000-0000-0000A01F0000}"/>
    <cellStyle name="Currency 5 2 2 2 2 3 2 5 2 2" xfId="9622" xr:uid="{00000000-0005-0000-0000-0000A11F0000}"/>
    <cellStyle name="Currency 5 2 2 2 2 3 2 5 2 2 2" xfId="9623" xr:uid="{00000000-0005-0000-0000-0000A21F0000}"/>
    <cellStyle name="Currency 5 2 2 2 2 3 2 5 2 3" xfId="9624" xr:uid="{00000000-0005-0000-0000-0000A31F0000}"/>
    <cellStyle name="Currency 5 2 2 2 2 3 2 5 3" xfId="9625" xr:uid="{00000000-0005-0000-0000-0000A41F0000}"/>
    <cellStyle name="Currency 5 2 2 2 2 3 2 5 3 2" xfId="9626" xr:uid="{00000000-0005-0000-0000-0000A51F0000}"/>
    <cellStyle name="Currency 5 2 2 2 2 3 2 5 4" xfId="9627" xr:uid="{00000000-0005-0000-0000-0000A61F0000}"/>
    <cellStyle name="Currency 5 2 2 2 2 3 2 6" xfId="9628" xr:uid="{00000000-0005-0000-0000-0000A71F0000}"/>
    <cellStyle name="Currency 5 2 2 2 2 3 2 6 2" xfId="9629" xr:uid="{00000000-0005-0000-0000-0000A81F0000}"/>
    <cellStyle name="Currency 5 2 2 2 2 3 2 6 2 2" xfId="9630" xr:uid="{00000000-0005-0000-0000-0000A91F0000}"/>
    <cellStyle name="Currency 5 2 2 2 2 3 2 6 2 2 2" xfId="9631" xr:uid="{00000000-0005-0000-0000-0000AA1F0000}"/>
    <cellStyle name="Currency 5 2 2 2 2 3 2 6 2 3" xfId="9632" xr:uid="{00000000-0005-0000-0000-0000AB1F0000}"/>
    <cellStyle name="Currency 5 2 2 2 2 3 2 6 3" xfId="9633" xr:uid="{00000000-0005-0000-0000-0000AC1F0000}"/>
    <cellStyle name="Currency 5 2 2 2 2 3 2 6 3 2" xfId="9634" xr:uid="{00000000-0005-0000-0000-0000AD1F0000}"/>
    <cellStyle name="Currency 5 2 2 2 2 3 2 6 4" xfId="9635" xr:uid="{00000000-0005-0000-0000-0000AE1F0000}"/>
    <cellStyle name="Currency 5 2 2 2 2 3 2 7" xfId="9636" xr:uid="{00000000-0005-0000-0000-0000AF1F0000}"/>
    <cellStyle name="Currency 5 2 2 2 2 3 2 7 2" xfId="9637" xr:uid="{00000000-0005-0000-0000-0000B01F0000}"/>
    <cellStyle name="Currency 5 2 2 2 2 3 2 7 2 2" xfId="9638" xr:uid="{00000000-0005-0000-0000-0000B11F0000}"/>
    <cellStyle name="Currency 5 2 2 2 2 3 2 7 2 2 2" xfId="9639" xr:uid="{00000000-0005-0000-0000-0000B21F0000}"/>
    <cellStyle name="Currency 5 2 2 2 2 3 2 7 2 3" xfId="9640" xr:uid="{00000000-0005-0000-0000-0000B31F0000}"/>
    <cellStyle name="Currency 5 2 2 2 2 3 2 7 3" xfId="9641" xr:uid="{00000000-0005-0000-0000-0000B41F0000}"/>
    <cellStyle name="Currency 5 2 2 2 2 3 2 7 3 2" xfId="9642" xr:uid="{00000000-0005-0000-0000-0000B51F0000}"/>
    <cellStyle name="Currency 5 2 2 2 2 3 2 7 4" xfId="9643" xr:uid="{00000000-0005-0000-0000-0000B61F0000}"/>
    <cellStyle name="Currency 5 2 2 2 2 3 2 8" xfId="9644" xr:uid="{00000000-0005-0000-0000-0000B71F0000}"/>
    <cellStyle name="Currency 5 2 2 2 2 3 2 8 2" xfId="9645" xr:uid="{00000000-0005-0000-0000-0000B81F0000}"/>
    <cellStyle name="Currency 5 2 2 2 2 3 2 8 2 2" xfId="9646" xr:uid="{00000000-0005-0000-0000-0000B91F0000}"/>
    <cellStyle name="Currency 5 2 2 2 2 3 2 8 3" xfId="9647" xr:uid="{00000000-0005-0000-0000-0000BA1F0000}"/>
    <cellStyle name="Currency 5 2 2 2 2 3 2 9" xfId="9648" xr:uid="{00000000-0005-0000-0000-0000BB1F0000}"/>
    <cellStyle name="Currency 5 2 2 2 2 3 2 9 2" xfId="9649" xr:uid="{00000000-0005-0000-0000-0000BC1F0000}"/>
    <cellStyle name="Currency 5 2 2 2 2 3 3" xfId="1287" xr:uid="{00000000-0005-0000-0000-0000BD1F0000}"/>
    <cellStyle name="Currency 5 2 2 2 2 3 3 2" xfId="9651" xr:uid="{00000000-0005-0000-0000-0000BE1F0000}"/>
    <cellStyle name="Currency 5 2 2 2 2 3 3 2 2" xfId="9652" xr:uid="{00000000-0005-0000-0000-0000BF1F0000}"/>
    <cellStyle name="Currency 5 2 2 2 2 3 3 2 2 2" xfId="9653" xr:uid="{00000000-0005-0000-0000-0000C01F0000}"/>
    <cellStyle name="Currency 5 2 2 2 2 3 3 2 2 2 2" xfId="9654" xr:uid="{00000000-0005-0000-0000-0000C11F0000}"/>
    <cellStyle name="Currency 5 2 2 2 2 3 3 2 2 3" xfId="9655" xr:uid="{00000000-0005-0000-0000-0000C21F0000}"/>
    <cellStyle name="Currency 5 2 2 2 2 3 3 2 3" xfId="9656" xr:uid="{00000000-0005-0000-0000-0000C31F0000}"/>
    <cellStyle name="Currency 5 2 2 2 2 3 3 2 3 2" xfId="9657" xr:uid="{00000000-0005-0000-0000-0000C41F0000}"/>
    <cellStyle name="Currency 5 2 2 2 2 3 3 2 4" xfId="9658" xr:uid="{00000000-0005-0000-0000-0000C51F0000}"/>
    <cellStyle name="Currency 5 2 2 2 2 3 3 3" xfId="9659" xr:uid="{00000000-0005-0000-0000-0000C61F0000}"/>
    <cellStyle name="Currency 5 2 2 2 2 3 3 3 2" xfId="9660" xr:uid="{00000000-0005-0000-0000-0000C71F0000}"/>
    <cellStyle name="Currency 5 2 2 2 2 3 3 3 2 2" xfId="9661" xr:uid="{00000000-0005-0000-0000-0000C81F0000}"/>
    <cellStyle name="Currency 5 2 2 2 2 3 3 3 2 2 2" xfId="9662" xr:uid="{00000000-0005-0000-0000-0000C91F0000}"/>
    <cellStyle name="Currency 5 2 2 2 2 3 3 3 2 3" xfId="9663" xr:uid="{00000000-0005-0000-0000-0000CA1F0000}"/>
    <cellStyle name="Currency 5 2 2 2 2 3 3 3 3" xfId="9664" xr:uid="{00000000-0005-0000-0000-0000CB1F0000}"/>
    <cellStyle name="Currency 5 2 2 2 2 3 3 3 3 2" xfId="9665" xr:uid="{00000000-0005-0000-0000-0000CC1F0000}"/>
    <cellStyle name="Currency 5 2 2 2 2 3 3 3 4" xfId="9666" xr:uid="{00000000-0005-0000-0000-0000CD1F0000}"/>
    <cellStyle name="Currency 5 2 2 2 2 3 3 4" xfId="9667" xr:uid="{00000000-0005-0000-0000-0000CE1F0000}"/>
    <cellStyle name="Currency 5 2 2 2 2 3 3 4 2" xfId="9668" xr:uid="{00000000-0005-0000-0000-0000CF1F0000}"/>
    <cellStyle name="Currency 5 2 2 2 2 3 3 4 2 2" xfId="9669" xr:uid="{00000000-0005-0000-0000-0000D01F0000}"/>
    <cellStyle name="Currency 5 2 2 2 2 3 3 4 3" xfId="9670" xr:uid="{00000000-0005-0000-0000-0000D11F0000}"/>
    <cellStyle name="Currency 5 2 2 2 2 3 3 5" xfId="9671" xr:uid="{00000000-0005-0000-0000-0000D21F0000}"/>
    <cellStyle name="Currency 5 2 2 2 2 3 3 5 2" xfId="9672" xr:uid="{00000000-0005-0000-0000-0000D31F0000}"/>
    <cellStyle name="Currency 5 2 2 2 2 3 3 6" xfId="9673" xr:uid="{00000000-0005-0000-0000-0000D41F0000}"/>
    <cellStyle name="Currency 5 2 2 2 2 3 3 7" xfId="9650" xr:uid="{00000000-0005-0000-0000-0000D51F0000}"/>
    <cellStyle name="Currency 5 2 2 2 2 3 4" xfId="9674" xr:uid="{00000000-0005-0000-0000-0000D61F0000}"/>
    <cellStyle name="Currency 5 2 2 2 2 3 4 2" xfId="9675" xr:uid="{00000000-0005-0000-0000-0000D71F0000}"/>
    <cellStyle name="Currency 5 2 2 2 2 3 4 2 2" xfId="9676" xr:uid="{00000000-0005-0000-0000-0000D81F0000}"/>
    <cellStyle name="Currency 5 2 2 2 2 3 4 2 2 2" xfId="9677" xr:uid="{00000000-0005-0000-0000-0000D91F0000}"/>
    <cellStyle name="Currency 5 2 2 2 2 3 4 2 2 2 2" xfId="9678" xr:uid="{00000000-0005-0000-0000-0000DA1F0000}"/>
    <cellStyle name="Currency 5 2 2 2 2 3 4 2 2 3" xfId="9679" xr:uid="{00000000-0005-0000-0000-0000DB1F0000}"/>
    <cellStyle name="Currency 5 2 2 2 2 3 4 2 3" xfId="9680" xr:uid="{00000000-0005-0000-0000-0000DC1F0000}"/>
    <cellStyle name="Currency 5 2 2 2 2 3 4 2 3 2" xfId="9681" xr:uid="{00000000-0005-0000-0000-0000DD1F0000}"/>
    <cellStyle name="Currency 5 2 2 2 2 3 4 2 4" xfId="9682" xr:uid="{00000000-0005-0000-0000-0000DE1F0000}"/>
    <cellStyle name="Currency 5 2 2 2 2 3 4 3" xfId="9683" xr:uid="{00000000-0005-0000-0000-0000DF1F0000}"/>
    <cellStyle name="Currency 5 2 2 2 2 3 4 3 2" xfId="9684" xr:uid="{00000000-0005-0000-0000-0000E01F0000}"/>
    <cellStyle name="Currency 5 2 2 2 2 3 4 3 2 2" xfId="9685" xr:uid="{00000000-0005-0000-0000-0000E11F0000}"/>
    <cellStyle name="Currency 5 2 2 2 2 3 4 3 3" xfId="9686" xr:uid="{00000000-0005-0000-0000-0000E21F0000}"/>
    <cellStyle name="Currency 5 2 2 2 2 3 4 4" xfId="9687" xr:uid="{00000000-0005-0000-0000-0000E31F0000}"/>
    <cellStyle name="Currency 5 2 2 2 2 3 4 4 2" xfId="9688" xr:uid="{00000000-0005-0000-0000-0000E41F0000}"/>
    <cellStyle name="Currency 5 2 2 2 2 3 4 5" xfId="9689" xr:uid="{00000000-0005-0000-0000-0000E51F0000}"/>
    <cellStyle name="Currency 5 2 2 2 2 3 5" xfId="9690" xr:uid="{00000000-0005-0000-0000-0000E61F0000}"/>
    <cellStyle name="Currency 5 2 2 2 2 3 5 2" xfId="9691" xr:uid="{00000000-0005-0000-0000-0000E71F0000}"/>
    <cellStyle name="Currency 5 2 2 2 2 3 5 2 2" xfId="9692" xr:uid="{00000000-0005-0000-0000-0000E81F0000}"/>
    <cellStyle name="Currency 5 2 2 2 2 3 5 2 2 2" xfId="9693" xr:uid="{00000000-0005-0000-0000-0000E91F0000}"/>
    <cellStyle name="Currency 5 2 2 2 2 3 5 2 2 2 2" xfId="9694" xr:uid="{00000000-0005-0000-0000-0000EA1F0000}"/>
    <cellStyle name="Currency 5 2 2 2 2 3 5 2 2 3" xfId="9695" xr:uid="{00000000-0005-0000-0000-0000EB1F0000}"/>
    <cellStyle name="Currency 5 2 2 2 2 3 5 2 3" xfId="9696" xr:uid="{00000000-0005-0000-0000-0000EC1F0000}"/>
    <cellStyle name="Currency 5 2 2 2 2 3 5 2 3 2" xfId="9697" xr:uid="{00000000-0005-0000-0000-0000ED1F0000}"/>
    <cellStyle name="Currency 5 2 2 2 2 3 5 2 4" xfId="9698" xr:uid="{00000000-0005-0000-0000-0000EE1F0000}"/>
    <cellStyle name="Currency 5 2 2 2 2 3 5 3" xfId="9699" xr:uid="{00000000-0005-0000-0000-0000EF1F0000}"/>
    <cellStyle name="Currency 5 2 2 2 2 3 5 3 2" xfId="9700" xr:uid="{00000000-0005-0000-0000-0000F01F0000}"/>
    <cellStyle name="Currency 5 2 2 2 2 3 5 3 2 2" xfId="9701" xr:uid="{00000000-0005-0000-0000-0000F11F0000}"/>
    <cellStyle name="Currency 5 2 2 2 2 3 5 3 3" xfId="9702" xr:uid="{00000000-0005-0000-0000-0000F21F0000}"/>
    <cellStyle name="Currency 5 2 2 2 2 3 5 4" xfId="9703" xr:uid="{00000000-0005-0000-0000-0000F31F0000}"/>
    <cellStyle name="Currency 5 2 2 2 2 3 5 4 2" xfId="9704" xr:uid="{00000000-0005-0000-0000-0000F41F0000}"/>
    <cellStyle name="Currency 5 2 2 2 2 3 5 5" xfId="9705" xr:uid="{00000000-0005-0000-0000-0000F51F0000}"/>
    <cellStyle name="Currency 5 2 2 2 2 3 6" xfId="9706" xr:uid="{00000000-0005-0000-0000-0000F61F0000}"/>
    <cellStyle name="Currency 5 2 2 2 2 3 6 2" xfId="9707" xr:uid="{00000000-0005-0000-0000-0000F71F0000}"/>
    <cellStyle name="Currency 5 2 2 2 2 3 6 2 2" xfId="9708" xr:uid="{00000000-0005-0000-0000-0000F81F0000}"/>
    <cellStyle name="Currency 5 2 2 2 2 3 6 2 2 2" xfId="9709" xr:uid="{00000000-0005-0000-0000-0000F91F0000}"/>
    <cellStyle name="Currency 5 2 2 2 2 3 6 2 3" xfId="9710" xr:uid="{00000000-0005-0000-0000-0000FA1F0000}"/>
    <cellStyle name="Currency 5 2 2 2 2 3 6 3" xfId="9711" xr:uid="{00000000-0005-0000-0000-0000FB1F0000}"/>
    <cellStyle name="Currency 5 2 2 2 2 3 6 3 2" xfId="9712" xr:uid="{00000000-0005-0000-0000-0000FC1F0000}"/>
    <cellStyle name="Currency 5 2 2 2 2 3 6 4" xfId="9713" xr:uid="{00000000-0005-0000-0000-0000FD1F0000}"/>
    <cellStyle name="Currency 5 2 2 2 2 3 7" xfId="9714" xr:uid="{00000000-0005-0000-0000-0000FE1F0000}"/>
    <cellStyle name="Currency 5 2 2 2 2 3 7 2" xfId="9715" xr:uid="{00000000-0005-0000-0000-0000FF1F0000}"/>
    <cellStyle name="Currency 5 2 2 2 2 3 7 2 2" xfId="9716" xr:uid="{00000000-0005-0000-0000-000000200000}"/>
    <cellStyle name="Currency 5 2 2 2 2 3 7 2 2 2" xfId="9717" xr:uid="{00000000-0005-0000-0000-000001200000}"/>
    <cellStyle name="Currency 5 2 2 2 2 3 7 2 3" xfId="9718" xr:uid="{00000000-0005-0000-0000-000002200000}"/>
    <cellStyle name="Currency 5 2 2 2 2 3 7 3" xfId="9719" xr:uid="{00000000-0005-0000-0000-000003200000}"/>
    <cellStyle name="Currency 5 2 2 2 2 3 7 3 2" xfId="9720" xr:uid="{00000000-0005-0000-0000-000004200000}"/>
    <cellStyle name="Currency 5 2 2 2 2 3 7 4" xfId="9721" xr:uid="{00000000-0005-0000-0000-000005200000}"/>
    <cellStyle name="Currency 5 2 2 2 2 3 8" xfId="9722" xr:uid="{00000000-0005-0000-0000-000006200000}"/>
    <cellStyle name="Currency 5 2 2 2 2 3 8 2" xfId="9723" xr:uid="{00000000-0005-0000-0000-000007200000}"/>
    <cellStyle name="Currency 5 2 2 2 2 3 8 2 2" xfId="9724" xr:uid="{00000000-0005-0000-0000-000008200000}"/>
    <cellStyle name="Currency 5 2 2 2 2 3 8 2 2 2" xfId="9725" xr:uid="{00000000-0005-0000-0000-000009200000}"/>
    <cellStyle name="Currency 5 2 2 2 2 3 8 2 3" xfId="9726" xr:uid="{00000000-0005-0000-0000-00000A200000}"/>
    <cellStyle name="Currency 5 2 2 2 2 3 8 3" xfId="9727" xr:uid="{00000000-0005-0000-0000-00000B200000}"/>
    <cellStyle name="Currency 5 2 2 2 2 3 8 3 2" xfId="9728" xr:uid="{00000000-0005-0000-0000-00000C200000}"/>
    <cellStyle name="Currency 5 2 2 2 2 3 8 4" xfId="9729" xr:uid="{00000000-0005-0000-0000-00000D200000}"/>
    <cellStyle name="Currency 5 2 2 2 2 3 9" xfId="9730" xr:uid="{00000000-0005-0000-0000-00000E200000}"/>
    <cellStyle name="Currency 5 2 2 2 2 3 9 2" xfId="9731" xr:uid="{00000000-0005-0000-0000-00000F200000}"/>
    <cellStyle name="Currency 5 2 2 2 2 3 9 2 2" xfId="9732" xr:uid="{00000000-0005-0000-0000-000010200000}"/>
    <cellStyle name="Currency 5 2 2 2 2 3 9 3" xfId="9733" xr:uid="{00000000-0005-0000-0000-000011200000}"/>
    <cellStyle name="Currency 5 2 2 2 2 4" xfId="298" xr:uid="{00000000-0005-0000-0000-000012200000}"/>
    <cellStyle name="Currency 5 2 2 2 2 5" xfId="868" xr:uid="{00000000-0005-0000-0000-000013200000}"/>
    <cellStyle name="Currency 5 2 2 2 2 5 10" xfId="9735" xr:uid="{00000000-0005-0000-0000-000014200000}"/>
    <cellStyle name="Currency 5 2 2 2 2 5 11" xfId="9734" xr:uid="{00000000-0005-0000-0000-000015200000}"/>
    <cellStyle name="Currency 5 2 2 2 2 5 2" xfId="1609" xr:uid="{00000000-0005-0000-0000-000016200000}"/>
    <cellStyle name="Currency 5 2 2 2 2 5 2 2" xfId="9737" xr:uid="{00000000-0005-0000-0000-000017200000}"/>
    <cellStyle name="Currency 5 2 2 2 2 5 2 2 2" xfId="9738" xr:uid="{00000000-0005-0000-0000-000018200000}"/>
    <cellStyle name="Currency 5 2 2 2 2 5 2 2 2 2" xfId="9739" xr:uid="{00000000-0005-0000-0000-000019200000}"/>
    <cellStyle name="Currency 5 2 2 2 2 5 2 2 2 2 2" xfId="9740" xr:uid="{00000000-0005-0000-0000-00001A200000}"/>
    <cellStyle name="Currency 5 2 2 2 2 5 2 2 2 3" xfId="9741" xr:uid="{00000000-0005-0000-0000-00001B200000}"/>
    <cellStyle name="Currency 5 2 2 2 2 5 2 2 3" xfId="9742" xr:uid="{00000000-0005-0000-0000-00001C200000}"/>
    <cellStyle name="Currency 5 2 2 2 2 5 2 2 3 2" xfId="9743" xr:uid="{00000000-0005-0000-0000-00001D200000}"/>
    <cellStyle name="Currency 5 2 2 2 2 5 2 2 4" xfId="9744" xr:uid="{00000000-0005-0000-0000-00001E200000}"/>
    <cellStyle name="Currency 5 2 2 2 2 5 2 3" xfId="9745" xr:uid="{00000000-0005-0000-0000-00001F200000}"/>
    <cellStyle name="Currency 5 2 2 2 2 5 2 3 2" xfId="9746" xr:uid="{00000000-0005-0000-0000-000020200000}"/>
    <cellStyle name="Currency 5 2 2 2 2 5 2 3 2 2" xfId="9747" xr:uid="{00000000-0005-0000-0000-000021200000}"/>
    <cellStyle name="Currency 5 2 2 2 2 5 2 3 2 2 2" xfId="9748" xr:uid="{00000000-0005-0000-0000-000022200000}"/>
    <cellStyle name="Currency 5 2 2 2 2 5 2 3 2 3" xfId="9749" xr:uid="{00000000-0005-0000-0000-000023200000}"/>
    <cellStyle name="Currency 5 2 2 2 2 5 2 3 3" xfId="9750" xr:uid="{00000000-0005-0000-0000-000024200000}"/>
    <cellStyle name="Currency 5 2 2 2 2 5 2 3 3 2" xfId="9751" xr:uid="{00000000-0005-0000-0000-000025200000}"/>
    <cellStyle name="Currency 5 2 2 2 2 5 2 3 4" xfId="9752" xr:uid="{00000000-0005-0000-0000-000026200000}"/>
    <cellStyle name="Currency 5 2 2 2 2 5 2 4" xfId="9753" xr:uid="{00000000-0005-0000-0000-000027200000}"/>
    <cellStyle name="Currency 5 2 2 2 2 5 2 4 2" xfId="9754" xr:uid="{00000000-0005-0000-0000-000028200000}"/>
    <cellStyle name="Currency 5 2 2 2 2 5 2 4 2 2" xfId="9755" xr:uid="{00000000-0005-0000-0000-000029200000}"/>
    <cellStyle name="Currency 5 2 2 2 2 5 2 4 3" xfId="9756" xr:uid="{00000000-0005-0000-0000-00002A200000}"/>
    <cellStyle name="Currency 5 2 2 2 2 5 2 5" xfId="9757" xr:uid="{00000000-0005-0000-0000-00002B200000}"/>
    <cellStyle name="Currency 5 2 2 2 2 5 2 5 2" xfId="9758" xr:uid="{00000000-0005-0000-0000-00002C200000}"/>
    <cellStyle name="Currency 5 2 2 2 2 5 2 6" xfId="9759" xr:uid="{00000000-0005-0000-0000-00002D200000}"/>
    <cellStyle name="Currency 5 2 2 2 2 5 2 7" xfId="9736" xr:uid="{00000000-0005-0000-0000-00002E200000}"/>
    <cellStyle name="Currency 5 2 2 2 2 5 3" xfId="9760" xr:uid="{00000000-0005-0000-0000-00002F200000}"/>
    <cellStyle name="Currency 5 2 2 2 2 5 3 2" xfId="9761" xr:uid="{00000000-0005-0000-0000-000030200000}"/>
    <cellStyle name="Currency 5 2 2 2 2 5 3 2 2" xfId="9762" xr:uid="{00000000-0005-0000-0000-000031200000}"/>
    <cellStyle name="Currency 5 2 2 2 2 5 3 2 2 2" xfId="9763" xr:uid="{00000000-0005-0000-0000-000032200000}"/>
    <cellStyle name="Currency 5 2 2 2 2 5 3 2 2 2 2" xfId="9764" xr:uid="{00000000-0005-0000-0000-000033200000}"/>
    <cellStyle name="Currency 5 2 2 2 2 5 3 2 2 3" xfId="9765" xr:uid="{00000000-0005-0000-0000-000034200000}"/>
    <cellStyle name="Currency 5 2 2 2 2 5 3 2 3" xfId="9766" xr:uid="{00000000-0005-0000-0000-000035200000}"/>
    <cellStyle name="Currency 5 2 2 2 2 5 3 2 3 2" xfId="9767" xr:uid="{00000000-0005-0000-0000-000036200000}"/>
    <cellStyle name="Currency 5 2 2 2 2 5 3 2 4" xfId="9768" xr:uid="{00000000-0005-0000-0000-000037200000}"/>
    <cellStyle name="Currency 5 2 2 2 2 5 3 3" xfId="9769" xr:uid="{00000000-0005-0000-0000-000038200000}"/>
    <cellStyle name="Currency 5 2 2 2 2 5 3 3 2" xfId="9770" xr:uid="{00000000-0005-0000-0000-000039200000}"/>
    <cellStyle name="Currency 5 2 2 2 2 5 3 3 2 2" xfId="9771" xr:uid="{00000000-0005-0000-0000-00003A200000}"/>
    <cellStyle name="Currency 5 2 2 2 2 5 3 3 3" xfId="9772" xr:uid="{00000000-0005-0000-0000-00003B200000}"/>
    <cellStyle name="Currency 5 2 2 2 2 5 3 4" xfId="9773" xr:uid="{00000000-0005-0000-0000-00003C200000}"/>
    <cellStyle name="Currency 5 2 2 2 2 5 3 4 2" xfId="9774" xr:uid="{00000000-0005-0000-0000-00003D200000}"/>
    <cellStyle name="Currency 5 2 2 2 2 5 3 5" xfId="9775" xr:uid="{00000000-0005-0000-0000-00003E200000}"/>
    <cellStyle name="Currency 5 2 2 2 2 5 4" xfId="9776" xr:uid="{00000000-0005-0000-0000-00003F200000}"/>
    <cellStyle name="Currency 5 2 2 2 2 5 4 2" xfId="9777" xr:uid="{00000000-0005-0000-0000-000040200000}"/>
    <cellStyle name="Currency 5 2 2 2 2 5 4 2 2" xfId="9778" xr:uid="{00000000-0005-0000-0000-000041200000}"/>
    <cellStyle name="Currency 5 2 2 2 2 5 4 2 2 2" xfId="9779" xr:uid="{00000000-0005-0000-0000-000042200000}"/>
    <cellStyle name="Currency 5 2 2 2 2 5 4 2 2 2 2" xfId="9780" xr:uid="{00000000-0005-0000-0000-000043200000}"/>
    <cellStyle name="Currency 5 2 2 2 2 5 4 2 2 3" xfId="9781" xr:uid="{00000000-0005-0000-0000-000044200000}"/>
    <cellStyle name="Currency 5 2 2 2 2 5 4 2 3" xfId="9782" xr:uid="{00000000-0005-0000-0000-000045200000}"/>
    <cellStyle name="Currency 5 2 2 2 2 5 4 2 3 2" xfId="9783" xr:uid="{00000000-0005-0000-0000-000046200000}"/>
    <cellStyle name="Currency 5 2 2 2 2 5 4 2 4" xfId="9784" xr:uid="{00000000-0005-0000-0000-000047200000}"/>
    <cellStyle name="Currency 5 2 2 2 2 5 4 3" xfId="9785" xr:uid="{00000000-0005-0000-0000-000048200000}"/>
    <cellStyle name="Currency 5 2 2 2 2 5 4 3 2" xfId="9786" xr:uid="{00000000-0005-0000-0000-000049200000}"/>
    <cellStyle name="Currency 5 2 2 2 2 5 4 3 2 2" xfId="9787" xr:uid="{00000000-0005-0000-0000-00004A200000}"/>
    <cellStyle name="Currency 5 2 2 2 2 5 4 3 3" xfId="9788" xr:uid="{00000000-0005-0000-0000-00004B200000}"/>
    <cellStyle name="Currency 5 2 2 2 2 5 4 4" xfId="9789" xr:uid="{00000000-0005-0000-0000-00004C200000}"/>
    <cellStyle name="Currency 5 2 2 2 2 5 4 4 2" xfId="9790" xr:uid="{00000000-0005-0000-0000-00004D200000}"/>
    <cellStyle name="Currency 5 2 2 2 2 5 4 5" xfId="9791" xr:uid="{00000000-0005-0000-0000-00004E200000}"/>
    <cellStyle name="Currency 5 2 2 2 2 5 5" xfId="9792" xr:uid="{00000000-0005-0000-0000-00004F200000}"/>
    <cellStyle name="Currency 5 2 2 2 2 5 5 2" xfId="9793" xr:uid="{00000000-0005-0000-0000-000050200000}"/>
    <cellStyle name="Currency 5 2 2 2 2 5 5 2 2" xfId="9794" xr:uid="{00000000-0005-0000-0000-000051200000}"/>
    <cellStyle name="Currency 5 2 2 2 2 5 5 2 2 2" xfId="9795" xr:uid="{00000000-0005-0000-0000-000052200000}"/>
    <cellStyle name="Currency 5 2 2 2 2 5 5 2 3" xfId="9796" xr:uid="{00000000-0005-0000-0000-000053200000}"/>
    <cellStyle name="Currency 5 2 2 2 2 5 5 3" xfId="9797" xr:uid="{00000000-0005-0000-0000-000054200000}"/>
    <cellStyle name="Currency 5 2 2 2 2 5 5 3 2" xfId="9798" xr:uid="{00000000-0005-0000-0000-000055200000}"/>
    <cellStyle name="Currency 5 2 2 2 2 5 5 4" xfId="9799" xr:uid="{00000000-0005-0000-0000-000056200000}"/>
    <cellStyle name="Currency 5 2 2 2 2 5 6" xfId="9800" xr:uid="{00000000-0005-0000-0000-000057200000}"/>
    <cellStyle name="Currency 5 2 2 2 2 5 6 2" xfId="9801" xr:uid="{00000000-0005-0000-0000-000058200000}"/>
    <cellStyle name="Currency 5 2 2 2 2 5 6 2 2" xfId="9802" xr:uid="{00000000-0005-0000-0000-000059200000}"/>
    <cellStyle name="Currency 5 2 2 2 2 5 6 2 2 2" xfId="9803" xr:uid="{00000000-0005-0000-0000-00005A200000}"/>
    <cellStyle name="Currency 5 2 2 2 2 5 6 2 3" xfId="9804" xr:uid="{00000000-0005-0000-0000-00005B200000}"/>
    <cellStyle name="Currency 5 2 2 2 2 5 6 3" xfId="9805" xr:uid="{00000000-0005-0000-0000-00005C200000}"/>
    <cellStyle name="Currency 5 2 2 2 2 5 6 3 2" xfId="9806" xr:uid="{00000000-0005-0000-0000-00005D200000}"/>
    <cellStyle name="Currency 5 2 2 2 2 5 6 4" xfId="9807" xr:uid="{00000000-0005-0000-0000-00005E200000}"/>
    <cellStyle name="Currency 5 2 2 2 2 5 7" xfId="9808" xr:uid="{00000000-0005-0000-0000-00005F200000}"/>
    <cellStyle name="Currency 5 2 2 2 2 5 7 2" xfId="9809" xr:uid="{00000000-0005-0000-0000-000060200000}"/>
    <cellStyle name="Currency 5 2 2 2 2 5 7 2 2" xfId="9810" xr:uid="{00000000-0005-0000-0000-000061200000}"/>
    <cellStyle name="Currency 5 2 2 2 2 5 7 2 2 2" xfId="9811" xr:uid="{00000000-0005-0000-0000-000062200000}"/>
    <cellStyle name="Currency 5 2 2 2 2 5 7 2 3" xfId="9812" xr:uid="{00000000-0005-0000-0000-000063200000}"/>
    <cellStyle name="Currency 5 2 2 2 2 5 7 3" xfId="9813" xr:uid="{00000000-0005-0000-0000-000064200000}"/>
    <cellStyle name="Currency 5 2 2 2 2 5 7 3 2" xfId="9814" xr:uid="{00000000-0005-0000-0000-000065200000}"/>
    <cellStyle name="Currency 5 2 2 2 2 5 7 4" xfId="9815" xr:uid="{00000000-0005-0000-0000-000066200000}"/>
    <cellStyle name="Currency 5 2 2 2 2 5 8" xfId="9816" xr:uid="{00000000-0005-0000-0000-000067200000}"/>
    <cellStyle name="Currency 5 2 2 2 2 5 8 2" xfId="9817" xr:uid="{00000000-0005-0000-0000-000068200000}"/>
    <cellStyle name="Currency 5 2 2 2 2 5 8 2 2" xfId="9818" xr:uid="{00000000-0005-0000-0000-000069200000}"/>
    <cellStyle name="Currency 5 2 2 2 2 5 8 3" xfId="9819" xr:uid="{00000000-0005-0000-0000-00006A200000}"/>
    <cellStyle name="Currency 5 2 2 2 2 5 9" xfId="9820" xr:uid="{00000000-0005-0000-0000-00006B200000}"/>
    <cellStyle name="Currency 5 2 2 2 2 5 9 2" xfId="9821" xr:uid="{00000000-0005-0000-0000-00006C200000}"/>
    <cellStyle name="Currency 5 2 2 2 2 6" xfId="1284" xr:uid="{00000000-0005-0000-0000-00006D200000}"/>
    <cellStyle name="Currency 5 2 2 2 2 6 2" xfId="9823" xr:uid="{00000000-0005-0000-0000-00006E200000}"/>
    <cellStyle name="Currency 5 2 2 2 2 6 2 2" xfId="9824" xr:uid="{00000000-0005-0000-0000-00006F200000}"/>
    <cellStyle name="Currency 5 2 2 2 2 6 2 2 2" xfId="9825" xr:uid="{00000000-0005-0000-0000-000070200000}"/>
    <cellStyle name="Currency 5 2 2 2 2 6 2 2 2 2" xfId="9826" xr:uid="{00000000-0005-0000-0000-000071200000}"/>
    <cellStyle name="Currency 5 2 2 2 2 6 2 2 3" xfId="9827" xr:uid="{00000000-0005-0000-0000-000072200000}"/>
    <cellStyle name="Currency 5 2 2 2 2 6 2 3" xfId="9828" xr:uid="{00000000-0005-0000-0000-000073200000}"/>
    <cellStyle name="Currency 5 2 2 2 2 6 2 3 2" xfId="9829" xr:uid="{00000000-0005-0000-0000-000074200000}"/>
    <cellStyle name="Currency 5 2 2 2 2 6 2 4" xfId="9830" xr:uid="{00000000-0005-0000-0000-000075200000}"/>
    <cellStyle name="Currency 5 2 2 2 2 6 3" xfId="9831" xr:uid="{00000000-0005-0000-0000-000076200000}"/>
    <cellStyle name="Currency 5 2 2 2 2 6 3 2" xfId="9832" xr:uid="{00000000-0005-0000-0000-000077200000}"/>
    <cellStyle name="Currency 5 2 2 2 2 6 3 2 2" xfId="9833" xr:uid="{00000000-0005-0000-0000-000078200000}"/>
    <cellStyle name="Currency 5 2 2 2 2 6 3 2 2 2" xfId="9834" xr:uid="{00000000-0005-0000-0000-000079200000}"/>
    <cellStyle name="Currency 5 2 2 2 2 6 3 2 3" xfId="9835" xr:uid="{00000000-0005-0000-0000-00007A200000}"/>
    <cellStyle name="Currency 5 2 2 2 2 6 3 3" xfId="9836" xr:uid="{00000000-0005-0000-0000-00007B200000}"/>
    <cellStyle name="Currency 5 2 2 2 2 6 3 3 2" xfId="9837" xr:uid="{00000000-0005-0000-0000-00007C200000}"/>
    <cellStyle name="Currency 5 2 2 2 2 6 3 4" xfId="9838" xr:uid="{00000000-0005-0000-0000-00007D200000}"/>
    <cellStyle name="Currency 5 2 2 2 2 6 4" xfId="9839" xr:uid="{00000000-0005-0000-0000-00007E200000}"/>
    <cellStyle name="Currency 5 2 2 2 2 6 4 2" xfId="9840" xr:uid="{00000000-0005-0000-0000-00007F200000}"/>
    <cellStyle name="Currency 5 2 2 2 2 6 4 2 2" xfId="9841" xr:uid="{00000000-0005-0000-0000-000080200000}"/>
    <cellStyle name="Currency 5 2 2 2 2 6 4 3" xfId="9842" xr:uid="{00000000-0005-0000-0000-000081200000}"/>
    <cellStyle name="Currency 5 2 2 2 2 6 5" xfId="9843" xr:uid="{00000000-0005-0000-0000-000082200000}"/>
    <cellStyle name="Currency 5 2 2 2 2 6 5 2" xfId="9844" xr:uid="{00000000-0005-0000-0000-000083200000}"/>
    <cellStyle name="Currency 5 2 2 2 2 6 6" xfId="9845" xr:uid="{00000000-0005-0000-0000-000084200000}"/>
    <cellStyle name="Currency 5 2 2 2 2 6 7" xfId="9822" xr:uid="{00000000-0005-0000-0000-000085200000}"/>
    <cellStyle name="Currency 5 2 2 2 2 7" xfId="9846" xr:uid="{00000000-0005-0000-0000-000086200000}"/>
    <cellStyle name="Currency 5 2 2 2 2 7 2" xfId="9847" xr:uid="{00000000-0005-0000-0000-000087200000}"/>
    <cellStyle name="Currency 5 2 2 2 2 7 2 2" xfId="9848" xr:uid="{00000000-0005-0000-0000-000088200000}"/>
    <cellStyle name="Currency 5 2 2 2 2 7 2 2 2" xfId="9849" xr:uid="{00000000-0005-0000-0000-000089200000}"/>
    <cellStyle name="Currency 5 2 2 2 2 7 2 2 2 2" xfId="9850" xr:uid="{00000000-0005-0000-0000-00008A200000}"/>
    <cellStyle name="Currency 5 2 2 2 2 7 2 2 3" xfId="9851" xr:uid="{00000000-0005-0000-0000-00008B200000}"/>
    <cellStyle name="Currency 5 2 2 2 2 7 2 3" xfId="9852" xr:uid="{00000000-0005-0000-0000-00008C200000}"/>
    <cellStyle name="Currency 5 2 2 2 2 7 2 3 2" xfId="9853" xr:uid="{00000000-0005-0000-0000-00008D200000}"/>
    <cellStyle name="Currency 5 2 2 2 2 7 2 4" xfId="9854" xr:uid="{00000000-0005-0000-0000-00008E200000}"/>
    <cellStyle name="Currency 5 2 2 2 2 7 3" xfId="9855" xr:uid="{00000000-0005-0000-0000-00008F200000}"/>
    <cellStyle name="Currency 5 2 2 2 2 7 3 2" xfId="9856" xr:uid="{00000000-0005-0000-0000-000090200000}"/>
    <cellStyle name="Currency 5 2 2 2 2 7 3 2 2" xfId="9857" xr:uid="{00000000-0005-0000-0000-000091200000}"/>
    <cellStyle name="Currency 5 2 2 2 2 7 3 3" xfId="9858" xr:uid="{00000000-0005-0000-0000-000092200000}"/>
    <cellStyle name="Currency 5 2 2 2 2 7 4" xfId="9859" xr:uid="{00000000-0005-0000-0000-000093200000}"/>
    <cellStyle name="Currency 5 2 2 2 2 7 4 2" xfId="9860" xr:uid="{00000000-0005-0000-0000-000094200000}"/>
    <cellStyle name="Currency 5 2 2 2 2 7 5" xfId="9861" xr:uid="{00000000-0005-0000-0000-000095200000}"/>
    <cellStyle name="Currency 5 2 2 2 2 8" xfId="9862" xr:uid="{00000000-0005-0000-0000-000096200000}"/>
    <cellStyle name="Currency 5 2 2 2 2 8 2" xfId="9863" xr:uid="{00000000-0005-0000-0000-000097200000}"/>
    <cellStyle name="Currency 5 2 2 2 2 8 2 2" xfId="9864" xr:uid="{00000000-0005-0000-0000-000098200000}"/>
    <cellStyle name="Currency 5 2 2 2 2 8 2 2 2" xfId="9865" xr:uid="{00000000-0005-0000-0000-000099200000}"/>
    <cellStyle name="Currency 5 2 2 2 2 8 2 2 2 2" xfId="9866" xr:uid="{00000000-0005-0000-0000-00009A200000}"/>
    <cellStyle name="Currency 5 2 2 2 2 8 2 2 3" xfId="9867" xr:uid="{00000000-0005-0000-0000-00009B200000}"/>
    <cellStyle name="Currency 5 2 2 2 2 8 2 3" xfId="9868" xr:uid="{00000000-0005-0000-0000-00009C200000}"/>
    <cellStyle name="Currency 5 2 2 2 2 8 2 3 2" xfId="9869" xr:uid="{00000000-0005-0000-0000-00009D200000}"/>
    <cellStyle name="Currency 5 2 2 2 2 8 2 4" xfId="9870" xr:uid="{00000000-0005-0000-0000-00009E200000}"/>
    <cellStyle name="Currency 5 2 2 2 2 8 3" xfId="9871" xr:uid="{00000000-0005-0000-0000-00009F200000}"/>
    <cellStyle name="Currency 5 2 2 2 2 8 3 2" xfId="9872" xr:uid="{00000000-0005-0000-0000-0000A0200000}"/>
    <cellStyle name="Currency 5 2 2 2 2 8 3 2 2" xfId="9873" xr:uid="{00000000-0005-0000-0000-0000A1200000}"/>
    <cellStyle name="Currency 5 2 2 2 2 8 3 3" xfId="9874" xr:uid="{00000000-0005-0000-0000-0000A2200000}"/>
    <cellStyle name="Currency 5 2 2 2 2 8 4" xfId="9875" xr:uid="{00000000-0005-0000-0000-0000A3200000}"/>
    <cellStyle name="Currency 5 2 2 2 2 8 4 2" xfId="9876" xr:uid="{00000000-0005-0000-0000-0000A4200000}"/>
    <cellStyle name="Currency 5 2 2 2 2 8 5" xfId="9877" xr:uid="{00000000-0005-0000-0000-0000A5200000}"/>
    <cellStyle name="Currency 5 2 2 2 2 9" xfId="9878" xr:uid="{00000000-0005-0000-0000-0000A6200000}"/>
    <cellStyle name="Currency 5 2 2 2 2 9 2" xfId="9879" xr:uid="{00000000-0005-0000-0000-0000A7200000}"/>
    <cellStyle name="Currency 5 2 2 2 2 9 2 2" xfId="9880" xr:uid="{00000000-0005-0000-0000-0000A8200000}"/>
    <cellStyle name="Currency 5 2 2 2 2 9 2 2 2" xfId="9881" xr:uid="{00000000-0005-0000-0000-0000A9200000}"/>
    <cellStyle name="Currency 5 2 2 2 2 9 2 3" xfId="9882" xr:uid="{00000000-0005-0000-0000-0000AA200000}"/>
    <cellStyle name="Currency 5 2 2 2 2 9 3" xfId="9883" xr:uid="{00000000-0005-0000-0000-0000AB200000}"/>
    <cellStyle name="Currency 5 2 2 2 2 9 3 2" xfId="9884" xr:uid="{00000000-0005-0000-0000-0000AC200000}"/>
    <cellStyle name="Currency 5 2 2 2 2 9 4" xfId="9885" xr:uid="{00000000-0005-0000-0000-0000AD200000}"/>
    <cellStyle name="Currency 5 2 2 2 3" xfId="299" xr:uid="{00000000-0005-0000-0000-0000AE200000}"/>
    <cellStyle name="Currency 5 2 2 2 3 10" xfId="9887" xr:uid="{00000000-0005-0000-0000-0000AF200000}"/>
    <cellStyle name="Currency 5 2 2 2 3 10 2" xfId="9888" xr:uid="{00000000-0005-0000-0000-0000B0200000}"/>
    <cellStyle name="Currency 5 2 2 2 3 10 2 2" xfId="9889" xr:uid="{00000000-0005-0000-0000-0000B1200000}"/>
    <cellStyle name="Currency 5 2 2 2 3 10 2 2 2" xfId="9890" xr:uid="{00000000-0005-0000-0000-0000B2200000}"/>
    <cellStyle name="Currency 5 2 2 2 3 10 2 3" xfId="9891" xr:uid="{00000000-0005-0000-0000-0000B3200000}"/>
    <cellStyle name="Currency 5 2 2 2 3 10 3" xfId="9892" xr:uid="{00000000-0005-0000-0000-0000B4200000}"/>
    <cellStyle name="Currency 5 2 2 2 3 10 3 2" xfId="9893" xr:uid="{00000000-0005-0000-0000-0000B5200000}"/>
    <cellStyle name="Currency 5 2 2 2 3 10 4" xfId="9894" xr:uid="{00000000-0005-0000-0000-0000B6200000}"/>
    <cellStyle name="Currency 5 2 2 2 3 11" xfId="9895" xr:uid="{00000000-0005-0000-0000-0000B7200000}"/>
    <cellStyle name="Currency 5 2 2 2 3 11 2" xfId="9896" xr:uid="{00000000-0005-0000-0000-0000B8200000}"/>
    <cellStyle name="Currency 5 2 2 2 3 11 2 2" xfId="9897" xr:uid="{00000000-0005-0000-0000-0000B9200000}"/>
    <cellStyle name="Currency 5 2 2 2 3 11 3" xfId="9898" xr:uid="{00000000-0005-0000-0000-0000BA200000}"/>
    <cellStyle name="Currency 5 2 2 2 3 12" xfId="9899" xr:uid="{00000000-0005-0000-0000-0000BB200000}"/>
    <cellStyle name="Currency 5 2 2 2 3 12 2" xfId="9900" xr:uid="{00000000-0005-0000-0000-0000BC200000}"/>
    <cellStyle name="Currency 5 2 2 2 3 12 2 2" xfId="9901" xr:uid="{00000000-0005-0000-0000-0000BD200000}"/>
    <cellStyle name="Currency 5 2 2 2 3 12 3" xfId="9902" xr:uid="{00000000-0005-0000-0000-0000BE200000}"/>
    <cellStyle name="Currency 5 2 2 2 3 13" xfId="9903" xr:uid="{00000000-0005-0000-0000-0000BF200000}"/>
    <cellStyle name="Currency 5 2 2 2 3 13 2" xfId="9904" xr:uid="{00000000-0005-0000-0000-0000C0200000}"/>
    <cellStyle name="Currency 5 2 2 2 3 13 2 2" xfId="9905" xr:uid="{00000000-0005-0000-0000-0000C1200000}"/>
    <cellStyle name="Currency 5 2 2 2 3 13 3" xfId="9906" xr:uid="{00000000-0005-0000-0000-0000C2200000}"/>
    <cellStyle name="Currency 5 2 2 2 3 14" xfId="9907" xr:uid="{00000000-0005-0000-0000-0000C3200000}"/>
    <cellStyle name="Currency 5 2 2 2 3 14 2" xfId="9908" xr:uid="{00000000-0005-0000-0000-0000C4200000}"/>
    <cellStyle name="Currency 5 2 2 2 3 15" xfId="9909" xr:uid="{00000000-0005-0000-0000-0000C5200000}"/>
    <cellStyle name="Currency 5 2 2 2 3 16" xfId="9910" xr:uid="{00000000-0005-0000-0000-0000C6200000}"/>
    <cellStyle name="Currency 5 2 2 2 3 17" xfId="9886" xr:uid="{00000000-0005-0000-0000-0000C7200000}"/>
    <cellStyle name="Currency 5 2 2 2 3 2" xfId="300" xr:uid="{00000000-0005-0000-0000-0000C8200000}"/>
    <cellStyle name="Currency 5 2 2 2 3 2 10" xfId="9912" xr:uid="{00000000-0005-0000-0000-0000C9200000}"/>
    <cellStyle name="Currency 5 2 2 2 3 2 10 2" xfId="9913" xr:uid="{00000000-0005-0000-0000-0000CA200000}"/>
    <cellStyle name="Currency 5 2 2 2 3 2 10 2 2" xfId="9914" xr:uid="{00000000-0005-0000-0000-0000CB200000}"/>
    <cellStyle name="Currency 5 2 2 2 3 2 10 3" xfId="9915" xr:uid="{00000000-0005-0000-0000-0000CC200000}"/>
    <cellStyle name="Currency 5 2 2 2 3 2 11" xfId="9916" xr:uid="{00000000-0005-0000-0000-0000CD200000}"/>
    <cellStyle name="Currency 5 2 2 2 3 2 11 2" xfId="9917" xr:uid="{00000000-0005-0000-0000-0000CE200000}"/>
    <cellStyle name="Currency 5 2 2 2 3 2 11 2 2" xfId="9918" xr:uid="{00000000-0005-0000-0000-0000CF200000}"/>
    <cellStyle name="Currency 5 2 2 2 3 2 11 3" xfId="9919" xr:uid="{00000000-0005-0000-0000-0000D0200000}"/>
    <cellStyle name="Currency 5 2 2 2 3 2 12" xfId="9920" xr:uid="{00000000-0005-0000-0000-0000D1200000}"/>
    <cellStyle name="Currency 5 2 2 2 3 2 12 2" xfId="9921" xr:uid="{00000000-0005-0000-0000-0000D2200000}"/>
    <cellStyle name="Currency 5 2 2 2 3 2 13" xfId="9922" xr:uid="{00000000-0005-0000-0000-0000D3200000}"/>
    <cellStyle name="Currency 5 2 2 2 3 2 14" xfId="9923" xr:uid="{00000000-0005-0000-0000-0000D4200000}"/>
    <cellStyle name="Currency 5 2 2 2 3 2 15" xfId="9911" xr:uid="{00000000-0005-0000-0000-0000D5200000}"/>
    <cellStyle name="Currency 5 2 2 2 3 2 2" xfId="873" xr:uid="{00000000-0005-0000-0000-0000D6200000}"/>
    <cellStyle name="Currency 5 2 2 2 3 2 2 10" xfId="9925" xr:uid="{00000000-0005-0000-0000-0000D7200000}"/>
    <cellStyle name="Currency 5 2 2 2 3 2 2 11" xfId="9924" xr:uid="{00000000-0005-0000-0000-0000D8200000}"/>
    <cellStyle name="Currency 5 2 2 2 3 2 2 2" xfId="1614" xr:uid="{00000000-0005-0000-0000-0000D9200000}"/>
    <cellStyle name="Currency 5 2 2 2 3 2 2 2 2" xfId="9927" xr:uid="{00000000-0005-0000-0000-0000DA200000}"/>
    <cellStyle name="Currency 5 2 2 2 3 2 2 2 2 2" xfId="9928" xr:uid="{00000000-0005-0000-0000-0000DB200000}"/>
    <cellStyle name="Currency 5 2 2 2 3 2 2 2 2 2 2" xfId="9929" xr:uid="{00000000-0005-0000-0000-0000DC200000}"/>
    <cellStyle name="Currency 5 2 2 2 3 2 2 2 2 2 2 2" xfId="9930" xr:uid="{00000000-0005-0000-0000-0000DD200000}"/>
    <cellStyle name="Currency 5 2 2 2 3 2 2 2 2 2 3" xfId="9931" xr:uid="{00000000-0005-0000-0000-0000DE200000}"/>
    <cellStyle name="Currency 5 2 2 2 3 2 2 2 2 3" xfId="9932" xr:uid="{00000000-0005-0000-0000-0000DF200000}"/>
    <cellStyle name="Currency 5 2 2 2 3 2 2 2 2 3 2" xfId="9933" xr:uid="{00000000-0005-0000-0000-0000E0200000}"/>
    <cellStyle name="Currency 5 2 2 2 3 2 2 2 2 4" xfId="9934" xr:uid="{00000000-0005-0000-0000-0000E1200000}"/>
    <cellStyle name="Currency 5 2 2 2 3 2 2 2 3" xfId="9935" xr:uid="{00000000-0005-0000-0000-0000E2200000}"/>
    <cellStyle name="Currency 5 2 2 2 3 2 2 2 3 2" xfId="9936" xr:uid="{00000000-0005-0000-0000-0000E3200000}"/>
    <cellStyle name="Currency 5 2 2 2 3 2 2 2 3 2 2" xfId="9937" xr:uid="{00000000-0005-0000-0000-0000E4200000}"/>
    <cellStyle name="Currency 5 2 2 2 3 2 2 2 3 2 2 2" xfId="9938" xr:uid="{00000000-0005-0000-0000-0000E5200000}"/>
    <cellStyle name="Currency 5 2 2 2 3 2 2 2 3 2 3" xfId="9939" xr:uid="{00000000-0005-0000-0000-0000E6200000}"/>
    <cellStyle name="Currency 5 2 2 2 3 2 2 2 3 3" xfId="9940" xr:uid="{00000000-0005-0000-0000-0000E7200000}"/>
    <cellStyle name="Currency 5 2 2 2 3 2 2 2 3 3 2" xfId="9941" xr:uid="{00000000-0005-0000-0000-0000E8200000}"/>
    <cellStyle name="Currency 5 2 2 2 3 2 2 2 3 4" xfId="9942" xr:uid="{00000000-0005-0000-0000-0000E9200000}"/>
    <cellStyle name="Currency 5 2 2 2 3 2 2 2 4" xfId="9943" xr:uid="{00000000-0005-0000-0000-0000EA200000}"/>
    <cellStyle name="Currency 5 2 2 2 3 2 2 2 4 2" xfId="9944" xr:uid="{00000000-0005-0000-0000-0000EB200000}"/>
    <cellStyle name="Currency 5 2 2 2 3 2 2 2 4 2 2" xfId="9945" xr:uid="{00000000-0005-0000-0000-0000EC200000}"/>
    <cellStyle name="Currency 5 2 2 2 3 2 2 2 4 3" xfId="9946" xr:uid="{00000000-0005-0000-0000-0000ED200000}"/>
    <cellStyle name="Currency 5 2 2 2 3 2 2 2 5" xfId="9947" xr:uid="{00000000-0005-0000-0000-0000EE200000}"/>
    <cellStyle name="Currency 5 2 2 2 3 2 2 2 5 2" xfId="9948" xr:uid="{00000000-0005-0000-0000-0000EF200000}"/>
    <cellStyle name="Currency 5 2 2 2 3 2 2 2 6" xfId="9949" xr:uid="{00000000-0005-0000-0000-0000F0200000}"/>
    <cellStyle name="Currency 5 2 2 2 3 2 2 2 7" xfId="9926" xr:uid="{00000000-0005-0000-0000-0000F1200000}"/>
    <cellStyle name="Currency 5 2 2 2 3 2 2 3" xfId="9950" xr:uid="{00000000-0005-0000-0000-0000F2200000}"/>
    <cellStyle name="Currency 5 2 2 2 3 2 2 3 2" xfId="9951" xr:uid="{00000000-0005-0000-0000-0000F3200000}"/>
    <cellStyle name="Currency 5 2 2 2 3 2 2 3 2 2" xfId="9952" xr:uid="{00000000-0005-0000-0000-0000F4200000}"/>
    <cellStyle name="Currency 5 2 2 2 3 2 2 3 2 2 2" xfId="9953" xr:uid="{00000000-0005-0000-0000-0000F5200000}"/>
    <cellStyle name="Currency 5 2 2 2 3 2 2 3 2 2 2 2" xfId="9954" xr:uid="{00000000-0005-0000-0000-0000F6200000}"/>
    <cellStyle name="Currency 5 2 2 2 3 2 2 3 2 2 3" xfId="9955" xr:uid="{00000000-0005-0000-0000-0000F7200000}"/>
    <cellStyle name="Currency 5 2 2 2 3 2 2 3 2 3" xfId="9956" xr:uid="{00000000-0005-0000-0000-0000F8200000}"/>
    <cellStyle name="Currency 5 2 2 2 3 2 2 3 2 3 2" xfId="9957" xr:uid="{00000000-0005-0000-0000-0000F9200000}"/>
    <cellStyle name="Currency 5 2 2 2 3 2 2 3 2 4" xfId="9958" xr:uid="{00000000-0005-0000-0000-0000FA200000}"/>
    <cellStyle name="Currency 5 2 2 2 3 2 2 3 3" xfId="9959" xr:uid="{00000000-0005-0000-0000-0000FB200000}"/>
    <cellStyle name="Currency 5 2 2 2 3 2 2 3 3 2" xfId="9960" xr:uid="{00000000-0005-0000-0000-0000FC200000}"/>
    <cellStyle name="Currency 5 2 2 2 3 2 2 3 3 2 2" xfId="9961" xr:uid="{00000000-0005-0000-0000-0000FD200000}"/>
    <cellStyle name="Currency 5 2 2 2 3 2 2 3 3 3" xfId="9962" xr:uid="{00000000-0005-0000-0000-0000FE200000}"/>
    <cellStyle name="Currency 5 2 2 2 3 2 2 3 4" xfId="9963" xr:uid="{00000000-0005-0000-0000-0000FF200000}"/>
    <cellStyle name="Currency 5 2 2 2 3 2 2 3 4 2" xfId="9964" xr:uid="{00000000-0005-0000-0000-000000210000}"/>
    <cellStyle name="Currency 5 2 2 2 3 2 2 3 5" xfId="9965" xr:uid="{00000000-0005-0000-0000-000001210000}"/>
    <cellStyle name="Currency 5 2 2 2 3 2 2 4" xfId="9966" xr:uid="{00000000-0005-0000-0000-000002210000}"/>
    <cellStyle name="Currency 5 2 2 2 3 2 2 4 2" xfId="9967" xr:uid="{00000000-0005-0000-0000-000003210000}"/>
    <cellStyle name="Currency 5 2 2 2 3 2 2 4 2 2" xfId="9968" xr:uid="{00000000-0005-0000-0000-000004210000}"/>
    <cellStyle name="Currency 5 2 2 2 3 2 2 4 2 2 2" xfId="9969" xr:uid="{00000000-0005-0000-0000-000005210000}"/>
    <cellStyle name="Currency 5 2 2 2 3 2 2 4 2 2 2 2" xfId="9970" xr:uid="{00000000-0005-0000-0000-000006210000}"/>
    <cellStyle name="Currency 5 2 2 2 3 2 2 4 2 2 3" xfId="9971" xr:uid="{00000000-0005-0000-0000-000007210000}"/>
    <cellStyle name="Currency 5 2 2 2 3 2 2 4 2 3" xfId="9972" xr:uid="{00000000-0005-0000-0000-000008210000}"/>
    <cellStyle name="Currency 5 2 2 2 3 2 2 4 2 3 2" xfId="9973" xr:uid="{00000000-0005-0000-0000-000009210000}"/>
    <cellStyle name="Currency 5 2 2 2 3 2 2 4 2 4" xfId="9974" xr:uid="{00000000-0005-0000-0000-00000A210000}"/>
    <cellStyle name="Currency 5 2 2 2 3 2 2 4 3" xfId="9975" xr:uid="{00000000-0005-0000-0000-00000B210000}"/>
    <cellStyle name="Currency 5 2 2 2 3 2 2 4 3 2" xfId="9976" xr:uid="{00000000-0005-0000-0000-00000C210000}"/>
    <cellStyle name="Currency 5 2 2 2 3 2 2 4 3 2 2" xfId="9977" xr:uid="{00000000-0005-0000-0000-00000D210000}"/>
    <cellStyle name="Currency 5 2 2 2 3 2 2 4 3 3" xfId="9978" xr:uid="{00000000-0005-0000-0000-00000E210000}"/>
    <cellStyle name="Currency 5 2 2 2 3 2 2 4 4" xfId="9979" xr:uid="{00000000-0005-0000-0000-00000F210000}"/>
    <cellStyle name="Currency 5 2 2 2 3 2 2 4 4 2" xfId="9980" xr:uid="{00000000-0005-0000-0000-000010210000}"/>
    <cellStyle name="Currency 5 2 2 2 3 2 2 4 5" xfId="9981" xr:uid="{00000000-0005-0000-0000-000011210000}"/>
    <cellStyle name="Currency 5 2 2 2 3 2 2 5" xfId="9982" xr:uid="{00000000-0005-0000-0000-000012210000}"/>
    <cellStyle name="Currency 5 2 2 2 3 2 2 5 2" xfId="9983" xr:uid="{00000000-0005-0000-0000-000013210000}"/>
    <cellStyle name="Currency 5 2 2 2 3 2 2 5 2 2" xfId="9984" xr:uid="{00000000-0005-0000-0000-000014210000}"/>
    <cellStyle name="Currency 5 2 2 2 3 2 2 5 2 2 2" xfId="9985" xr:uid="{00000000-0005-0000-0000-000015210000}"/>
    <cellStyle name="Currency 5 2 2 2 3 2 2 5 2 3" xfId="9986" xr:uid="{00000000-0005-0000-0000-000016210000}"/>
    <cellStyle name="Currency 5 2 2 2 3 2 2 5 3" xfId="9987" xr:uid="{00000000-0005-0000-0000-000017210000}"/>
    <cellStyle name="Currency 5 2 2 2 3 2 2 5 3 2" xfId="9988" xr:uid="{00000000-0005-0000-0000-000018210000}"/>
    <cellStyle name="Currency 5 2 2 2 3 2 2 5 4" xfId="9989" xr:uid="{00000000-0005-0000-0000-000019210000}"/>
    <cellStyle name="Currency 5 2 2 2 3 2 2 6" xfId="9990" xr:uid="{00000000-0005-0000-0000-00001A210000}"/>
    <cellStyle name="Currency 5 2 2 2 3 2 2 6 2" xfId="9991" xr:uid="{00000000-0005-0000-0000-00001B210000}"/>
    <cellStyle name="Currency 5 2 2 2 3 2 2 6 2 2" xfId="9992" xr:uid="{00000000-0005-0000-0000-00001C210000}"/>
    <cellStyle name="Currency 5 2 2 2 3 2 2 6 2 2 2" xfId="9993" xr:uid="{00000000-0005-0000-0000-00001D210000}"/>
    <cellStyle name="Currency 5 2 2 2 3 2 2 6 2 3" xfId="9994" xr:uid="{00000000-0005-0000-0000-00001E210000}"/>
    <cellStyle name="Currency 5 2 2 2 3 2 2 6 3" xfId="9995" xr:uid="{00000000-0005-0000-0000-00001F210000}"/>
    <cellStyle name="Currency 5 2 2 2 3 2 2 6 3 2" xfId="9996" xr:uid="{00000000-0005-0000-0000-000020210000}"/>
    <cellStyle name="Currency 5 2 2 2 3 2 2 6 4" xfId="9997" xr:uid="{00000000-0005-0000-0000-000021210000}"/>
    <cellStyle name="Currency 5 2 2 2 3 2 2 7" xfId="9998" xr:uid="{00000000-0005-0000-0000-000022210000}"/>
    <cellStyle name="Currency 5 2 2 2 3 2 2 7 2" xfId="9999" xr:uid="{00000000-0005-0000-0000-000023210000}"/>
    <cellStyle name="Currency 5 2 2 2 3 2 2 7 2 2" xfId="10000" xr:uid="{00000000-0005-0000-0000-000024210000}"/>
    <cellStyle name="Currency 5 2 2 2 3 2 2 7 2 2 2" xfId="10001" xr:uid="{00000000-0005-0000-0000-000025210000}"/>
    <cellStyle name="Currency 5 2 2 2 3 2 2 7 2 3" xfId="10002" xr:uid="{00000000-0005-0000-0000-000026210000}"/>
    <cellStyle name="Currency 5 2 2 2 3 2 2 7 3" xfId="10003" xr:uid="{00000000-0005-0000-0000-000027210000}"/>
    <cellStyle name="Currency 5 2 2 2 3 2 2 7 3 2" xfId="10004" xr:uid="{00000000-0005-0000-0000-000028210000}"/>
    <cellStyle name="Currency 5 2 2 2 3 2 2 7 4" xfId="10005" xr:uid="{00000000-0005-0000-0000-000029210000}"/>
    <cellStyle name="Currency 5 2 2 2 3 2 2 8" xfId="10006" xr:uid="{00000000-0005-0000-0000-00002A210000}"/>
    <cellStyle name="Currency 5 2 2 2 3 2 2 8 2" xfId="10007" xr:uid="{00000000-0005-0000-0000-00002B210000}"/>
    <cellStyle name="Currency 5 2 2 2 3 2 2 8 2 2" xfId="10008" xr:uid="{00000000-0005-0000-0000-00002C210000}"/>
    <cellStyle name="Currency 5 2 2 2 3 2 2 8 3" xfId="10009" xr:uid="{00000000-0005-0000-0000-00002D210000}"/>
    <cellStyle name="Currency 5 2 2 2 3 2 2 9" xfId="10010" xr:uid="{00000000-0005-0000-0000-00002E210000}"/>
    <cellStyle name="Currency 5 2 2 2 3 2 2 9 2" xfId="10011" xr:uid="{00000000-0005-0000-0000-00002F210000}"/>
    <cellStyle name="Currency 5 2 2 2 3 2 3" xfId="1289" xr:uid="{00000000-0005-0000-0000-000030210000}"/>
    <cellStyle name="Currency 5 2 2 2 3 2 3 2" xfId="10013" xr:uid="{00000000-0005-0000-0000-000031210000}"/>
    <cellStyle name="Currency 5 2 2 2 3 2 3 2 2" xfId="10014" xr:uid="{00000000-0005-0000-0000-000032210000}"/>
    <cellStyle name="Currency 5 2 2 2 3 2 3 2 2 2" xfId="10015" xr:uid="{00000000-0005-0000-0000-000033210000}"/>
    <cellStyle name="Currency 5 2 2 2 3 2 3 2 2 2 2" xfId="10016" xr:uid="{00000000-0005-0000-0000-000034210000}"/>
    <cellStyle name="Currency 5 2 2 2 3 2 3 2 2 3" xfId="10017" xr:uid="{00000000-0005-0000-0000-000035210000}"/>
    <cellStyle name="Currency 5 2 2 2 3 2 3 2 3" xfId="10018" xr:uid="{00000000-0005-0000-0000-000036210000}"/>
    <cellStyle name="Currency 5 2 2 2 3 2 3 2 3 2" xfId="10019" xr:uid="{00000000-0005-0000-0000-000037210000}"/>
    <cellStyle name="Currency 5 2 2 2 3 2 3 2 4" xfId="10020" xr:uid="{00000000-0005-0000-0000-000038210000}"/>
    <cellStyle name="Currency 5 2 2 2 3 2 3 3" xfId="10021" xr:uid="{00000000-0005-0000-0000-000039210000}"/>
    <cellStyle name="Currency 5 2 2 2 3 2 3 3 2" xfId="10022" xr:uid="{00000000-0005-0000-0000-00003A210000}"/>
    <cellStyle name="Currency 5 2 2 2 3 2 3 3 2 2" xfId="10023" xr:uid="{00000000-0005-0000-0000-00003B210000}"/>
    <cellStyle name="Currency 5 2 2 2 3 2 3 3 2 2 2" xfId="10024" xr:uid="{00000000-0005-0000-0000-00003C210000}"/>
    <cellStyle name="Currency 5 2 2 2 3 2 3 3 2 3" xfId="10025" xr:uid="{00000000-0005-0000-0000-00003D210000}"/>
    <cellStyle name="Currency 5 2 2 2 3 2 3 3 3" xfId="10026" xr:uid="{00000000-0005-0000-0000-00003E210000}"/>
    <cellStyle name="Currency 5 2 2 2 3 2 3 3 3 2" xfId="10027" xr:uid="{00000000-0005-0000-0000-00003F210000}"/>
    <cellStyle name="Currency 5 2 2 2 3 2 3 3 4" xfId="10028" xr:uid="{00000000-0005-0000-0000-000040210000}"/>
    <cellStyle name="Currency 5 2 2 2 3 2 3 4" xfId="10029" xr:uid="{00000000-0005-0000-0000-000041210000}"/>
    <cellStyle name="Currency 5 2 2 2 3 2 3 4 2" xfId="10030" xr:uid="{00000000-0005-0000-0000-000042210000}"/>
    <cellStyle name="Currency 5 2 2 2 3 2 3 4 2 2" xfId="10031" xr:uid="{00000000-0005-0000-0000-000043210000}"/>
    <cellStyle name="Currency 5 2 2 2 3 2 3 4 3" xfId="10032" xr:uid="{00000000-0005-0000-0000-000044210000}"/>
    <cellStyle name="Currency 5 2 2 2 3 2 3 5" xfId="10033" xr:uid="{00000000-0005-0000-0000-000045210000}"/>
    <cellStyle name="Currency 5 2 2 2 3 2 3 5 2" xfId="10034" xr:uid="{00000000-0005-0000-0000-000046210000}"/>
    <cellStyle name="Currency 5 2 2 2 3 2 3 6" xfId="10035" xr:uid="{00000000-0005-0000-0000-000047210000}"/>
    <cellStyle name="Currency 5 2 2 2 3 2 3 7" xfId="10012" xr:uid="{00000000-0005-0000-0000-000048210000}"/>
    <cellStyle name="Currency 5 2 2 2 3 2 4" xfId="10036" xr:uid="{00000000-0005-0000-0000-000049210000}"/>
    <cellStyle name="Currency 5 2 2 2 3 2 4 2" xfId="10037" xr:uid="{00000000-0005-0000-0000-00004A210000}"/>
    <cellStyle name="Currency 5 2 2 2 3 2 4 2 2" xfId="10038" xr:uid="{00000000-0005-0000-0000-00004B210000}"/>
    <cellStyle name="Currency 5 2 2 2 3 2 4 2 2 2" xfId="10039" xr:uid="{00000000-0005-0000-0000-00004C210000}"/>
    <cellStyle name="Currency 5 2 2 2 3 2 4 2 2 2 2" xfId="10040" xr:uid="{00000000-0005-0000-0000-00004D210000}"/>
    <cellStyle name="Currency 5 2 2 2 3 2 4 2 2 3" xfId="10041" xr:uid="{00000000-0005-0000-0000-00004E210000}"/>
    <cellStyle name="Currency 5 2 2 2 3 2 4 2 3" xfId="10042" xr:uid="{00000000-0005-0000-0000-00004F210000}"/>
    <cellStyle name="Currency 5 2 2 2 3 2 4 2 3 2" xfId="10043" xr:uid="{00000000-0005-0000-0000-000050210000}"/>
    <cellStyle name="Currency 5 2 2 2 3 2 4 2 4" xfId="10044" xr:uid="{00000000-0005-0000-0000-000051210000}"/>
    <cellStyle name="Currency 5 2 2 2 3 2 4 3" xfId="10045" xr:uid="{00000000-0005-0000-0000-000052210000}"/>
    <cellStyle name="Currency 5 2 2 2 3 2 4 3 2" xfId="10046" xr:uid="{00000000-0005-0000-0000-000053210000}"/>
    <cellStyle name="Currency 5 2 2 2 3 2 4 3 2 2" xfId="10047" xr:uid="{00000000-0005-0000-0000-000054210000}"/>
    <cellStyle name="Currency 5 2 2 2 3 2 4 3 3" xfId="10048" xr:uid="{00000000-0005-0000-0000-000055210000}"/>
    <cellStyle name="Currency 5 2 2 2 3 2 4 4" xfId="10049" xr:uid="{00000000-0005-0000-0000-000056210000}"/>
    <cellStyle name="Currency 5 2 2 2 3 2 4 4 2" xfId="10050" xr:uid="{00000000-0005-0000-0000-000057210000}"/>
    <cellStyle name="Currency 5 2 2 2 3 2 4 5" xfId="10051" xr:uid="{00000000-0005-0000-0000-000058210000}"/>
    <cellStyle name="Currency 5 2 2 2 3 2 5" xfId="10052" xr:uid="{00000000-0005-0000-0000-000059210000}"/>
    <cellStyle name="Currency 5 2 2 2 3 2 5 2" xfId="10053" xr:uid="{00000000-0005-0000-0000-00005A210000}"/>
    <cellStyle name="Currency 5 2 2 2 3 2 5 2 2" xfId="10054" xr:uid="{00000000-0005-0000-0000-00005B210000}"/>
    <cellStyle name="Currency 5 2 2 2 3 2 5 2 2 2" xfId="10055" xr:uid="{00000000-0005-0000-0000-00005C210000}"/>
    <cellStyle name="Currency 5 2 2 2 3 2 5 2 2 2 2" xfId="10056" xr:uid="{00000000-0005-0000-0000-00005D210000}"/>
    <cellStyle name="Currency 5 2 2 2 3 2 5 2 2 3" xfId="10057" xr:uid="{00000000-0005-0000-0000-00005E210000}"/>
    <cellStyle name="Currency 5 2 2 2 3 2 5 2 3" xfId="10058" xr:uid="{00000000-0005-0000-0000-00005F210000}"/>
    <cellStyle name="Currency 5 2 2 2 3 2 5 2 3 2" xfId="10059" xr:uid="{00000000-0005-0000-0000-000060210000}"/>
    <cellStyle name="Currency 5 2 2 2 3 2 5 2 4" xfId="10060" xr:uid="{00000000-0005-0000-0000-000061210000}"/>
    <cellStyle name="Currency 5 2 2 2 3 2 5 3" xfId="10061" xr:uid="{00000000-0005-0000-0000-000062210000}"/>
    <cellStyle name="Currency 5 2 2 2 3 2 5 3 2" xfId="10062" xr:uid="{00000000-0005-0000-0000-000063210000}"/>
    <cellStyle name="Currency 5 2 2 2 3 2 5 3 2 2" xfId="10063" xr:uid="{00000000-0005-0000-0000-000064210000}"/>
    <cellStyle name="Currency 5 2 2 2 3 2 5 3 3" xfId="10064" xr:uid="{00000000-0005-0000-0000-000065210000}"/>
    <cellStyle name="Currency 5 2 2 2 3 2 5 4" xfId="10065" xr:uid="{00000000-0005-0000-0000-000066210000}"/>
    <cellStyle name="Currency 5 2 2 2 3 2 5 4 2" xfId="10066" xr:uid="{00000000-0005-0000-0000-000067210000}"/>
    <cellStyle name="Currency 5 2 2 2 3 2 5 5" xfId="10067" xr:uid="{00000000-0005-0000-0000-000068210000}"/>
    <cellStyle name="Currency 5 2 2 2 3 2 6" xfId="10068" xr:uid="{00000000-0005-0000-0000-000069210000}"/>
    <cellStyle name="Currency 5 2 2 2 3 2 6 2" xfId="10069" xr:uid="{00000000-0005-0000-0000-00006A210000}"/>
    <cellStyle name="Currency 5 2 2 2 3 2 6 2 2" xfId="10070" xr:uid="{00000000-0005-0000-0000-00006B210000}"/>
    <cellStyle name="Currency 5 2 2 2 3 2 6 2 2 2" xfId="10071" xr:uid="{00000000-0005-0000-0000-00006C210000}"/>
    <cellStyle name="Currency 5 2 2 2 3 2 6 2 3" xfId="10072" xr:uid="{00000000-0005-0000-0000-00006D210000}"/>
    <cellStyle name="Currency 5 2 2 2 3 2 6 3" xfId="10073" xr:uid="{00000000-0005-0000-0000-00006E210000}"/>
    <cellStyle name="Currency 5 2 2 2 3 2 6 3 2" xfId="10074" xr:uid="{00000000-0005-0000-0000-00006F210000}"/>
    <cellStyle name="Currency 5 2 2 2 3 2 6 4" xfId="10075" xr:uid="{00000000-0005-0000-0000-000070210000}"/>
    <cellStyle name="Currency 5 2 2 2 3 2 7" xfId="10076" xr:uid="{00000000-0005-0000-0000-000071210000}"/>
    <cellStyle name="Currency 5 2 2 2 3 2 7 2" xfId="10077" xr:uid="{00000000-0005-0000-0000-000072210000}"/>
    <cellStyle name="Currency 5 2 2 2 3 2 7 2 2" xfId="10078" xr:uid="{00000000-0005-0000-0000-000073210000}"/>
    <cellStyle name="Currency 5 2 2 2 3 2 7 2 2 2" xfId="10079" xr:uid="{00000000-0005-0000-0000-000074210000}"/>
    <cellStyle name="Currency 5 2 2 2 3 2 7 2 3" xfId="10080" xr:uid="{00000000-0005-0000-0000-000075210000}"/>
    <cellStyle name="Currency 5 2 2 2 3 2 7 3" xfId="10081" xr:uid="{00000000-0005-0000-0000-000076210000}"/>
    <cellStyle name="Currency 5 2 2 2 3 2 7 3 2" xfId="10082" xr:uid="{00000000-0005-0000-0000-000077210000}"/>
    <cellStyle name="Currency 5 2 2 2 3 2 7 4" xfId="10083" xr:uid="{00000000-0005-0000-0000-000078210000}"/>
    <cellStyle name="Currency 5 2 2 2 3 2 8" xfId="10084" xr:uid="{00000000-0005-0000-0000-000079210000}"/>
    <cellStyle name="Currency 5 2 2 2 3 2 8 2" xfId="10085" xr:uid="{00000000-0005-0000-0000-00007A210000}"/>
    <cellStyle name="Currency 5 2 2 2 3 2 8 2 2" xfId="10086" xr:uid="{00000000-0005-0000-0000-00007B210000}"/>
    <cellStyle name="Currency 5 2 2 2 3 2 8 2 2 2" xfId="10087" xr:uid="{00000000-0005-0000-0000-00007C210000}"/>
    <cellStyle name="Currency 5 2 2 2 3 2 8 2 3" xfId="10088" xr:uid="{00000000-0005-0000-0000-00007D210000}"/>
    <cellStyle name="Currency 5 2 2 2 3 2 8 3" xfId="10089" xr:uid="{00000000-0005-0000-0000-00007E210000}"/>
    <cellStyle name="Currency 5 2 2 2 3 2 8 3 2" xfId="10090" xr:uid="{00000000-0005-0000-0000-00007F210000}"/>
    <cellStyle name="Currency 5 2 2 2 3 2 8 4" xfId="10091" xr:uid="{00000000-0005-0000-0000-000080210000}"/>
    <cellStyle name="Currency 5 2 2 2 3 2 9" xfId="10092" xr:uid="{00000000-0005-0000-0000-000081210000}"/>
    <cellStyle name="Currency 5 2 2 2 3 2 9 2" xfId="10093" xr:uid="{00000000-0005-0000-0000-000082210000}"/>
    <cellStyle name="Currency 5 2 2 2 3 2 9 2 2" xfId="10094" xr:uid="{00000000-0005-0000-0000-000083210000}"/>
    <cellStyle name="Currency 5 2 2 2 3 2 9 3" xfId="10095" xr:uid="{00000000-0005-0000-0000-000084210000}"/>
    <cellStyle name="Currency 5 2 2 2 3 3" xfId="301" xr:uid="{00000000-0005-0000-0000-000085210000}"/>
    <cellStyle name="Currency 5 2 2 2 3 4" xfId="872" xr:uid="{00000000-0005-0000-0000-000086210000}"/>
    <cellStyle name="Currency 5 2 2 2 3 4 10" xfId="10097" xr:uid="{00000000-0005-0000-0000-000087210000}"/>
    <cellStyle name="Currency 5 2 2 2 3 4 11" xfId="10096" xr:uid="{00000000-0005-0000-0000-000088210000}"/>
    <cellStyle name="Currency 5 2 2 2 3 4 2" xfId="1613" xr:uid="{00000000-0005-0000-0000-000089210000}"/>
    <cellStyle name="Currency 5 2 2 2 3 4 2 2" xfId="10099" xr:uid="{00000000-0005-0000-0000-00008A210000}"/>
    <cellStyle name="Currency 5 2 2 2 3 4 2 2 2" xfId="10100" xr:uid="{00000000-0005-0000-0000-00008B210000}"/>
    <cellStyle name="Currency 5 2 2 2 3 4 2 2 2 2" xfId="10101" xr:uid="{00000000-0005-0000-0000-00008C210000}"/>
    <cellStyle name="Currency 5 2 2 2 3 4 2 2 2 2 2" xfId="10102" xr:uid="{00000000-0005-0000-0000-00008D210000}"/>
    <cellStyle name="Currency 5 2 2 2 3 4 2 2 2 3" xfId="10103" xr:uid="{00000000-0005-0000-0000-00008E210000}"/>
    <cellStyle name="Currency 5 2 2 2 3 4 2 2 3" xfId="10104" xr:uid="{00000000-0005-0000-0000-00008F210000}"/>
    <cellStyle name="Currency 5 2 2 2 3 4 2 2 3 2" xfId="10105" xr:uid="{00000000-0005-0000-0000-000090210000}"/>
    <cellStyle name="Currency 5 2 2 2 3 4 2 2 4" xfId="10106" xr:uid="{00000000-0005-0000-0000-000091210000}"/>
    <cellStyle name="Currency 5 2 2 2 3 4 2 3" xfId="10107" xr:uid="{00000000-0005-0000-0000-000092210000}"/>
    <cellStyle name="Currency 5 2 2 2 3 4 2 3 2" xfId="10108" xr:uid="{00000000-0005-0000-0000-000093210000}"/>
    <cellStyle name="Currency 5 2 2 2 3 4 2 3 2 2" xfId="10109" xr:uid="{00000000-0005-0000-0000-000094210000}"/>
    <cellStyle name="Currency 5 2 2 2 3 4 2 3 2 2 2" xfId="10110" xr:uid="{00000000-0005-0000-0000-000095210000}"/>
    <cellStyle name="Currency 5 2 2 2 3 4 2 3 2 3" xfId="10111" xr:uid="{00000000-0005-0000-0000-000096210000}"/>
    <cellStyle name="Currency 5 2 2 2 3 4 2 3 3" xfId="10112" xr:uid="{00000000-0005-0000-0000-000097210000}"/>
    <cellStyle name="Currency 5 2 2 2 3 4 2 3 3 2" xfId="10113" xr:uid="{00000000-0005-0000-0000-000098210000}"/>
    <cellStyle name="Currency 5 2 2 2 3 4 2 3 4" xfId="10114" xr:uid="{00000000-0005-0000-0000-000099210000}"/>
    <cellStyle name="Currency 5 2 2 2 3 4 2 4" xfId="10115" xr:uid="{00000000-0005-0000-0000-00009A210000}"/>
    <cellStyle name="Currency 5 2 2 2 3 4 2 4 2" xfId="10116" xr:uid="{00000000-0005-0000-0000-00009B210000}"/>
    <cellStyle name="Currency 5 2 2 2 3 4 2 4 2 2" xfId="10117" xr:uid="{00000000-0005-0000-0000-00009C210000}"/>
    <cellStyle name="Currency 5 2 2 2 3 4 2 4 3" xfId="10118" xr:uid="{00000000-0005-0000-0000-00009D210000}"/>
    <cellStyle name="Currency 5 2 2 2 3 4 2 5" xfId="10119" xr:uid="{00000000-0005-0000-0000-00009E210000}"/>
    <cellStyle name="Currency 5 2 2 2 3 4 2 5 2" xfId="10120" xr:uid="{00000000-0005-0000-0000-00009F210000}"/>
    <cellStyle name="Currency 5 2 2 2 3 4 2 6" xfId="10121" xr:uid="{00000000-0005-0000-0000-0000A0210000}"/>
    <cellStyle name="Currency 5 2 2 2 3 4 2 7" xfId="10098" xr:uid="{00000000-0005-0000-0000-0000A1210000}"/>
    <cellStyle name="Currency 5 2 2 2 3 4 3" xfId="10122" xr:uid="{00000000-0005-0000-0000-0000A2210000}"/>
    <cellStyle name="Currency 5 2 2 2 3 4 3 2" xfId="10123" xr:uid="{00000000-0005-0000-0000-0000A3210000}"/>
    <cellStyle name="Currency 5 2 2 2 3 4 3 2 2" xfId="10124" xr:uid="{00000000-0005-0000-0000-0000A4210000}"/>
    <cellStyle name="Currency 5 2 2 2 3 4 3 2 2 2" xfId="10125" xr:uid="{00000000-0005-0000-0000-0000A5210000}"/>
    <cellStyle name="Currency 5 2 2 2 3 4 3 2 2 2 2" xfId="10126" xr:uid="{00000000-0005-0000-0000-0000A6210000}"/>
    <cellStyle name="Currency 5 2 2 2 3 4 3 2 2 3" xfId="10127" xr:uid="{00000000-0005-0000-0000-0000A7210000}"/>
    <cellStyle name="Currency 5 2 2 2 3 4 3 2 3" xfId="10128" xr:uid="{00000000-0005-0000-0000-0000A8210000}"/>
    <cellStyle name="Currency 5 2 2 2 3 4 3 2 3 2" xfId="10129" xr:uid="{00000000-0005-0000-0000-0000A9210000}"/>
    <cellStyle name="Currency 5 2 2 2 3 4 3 2 4" xfId="10130" xr:uid="{00000000-0005-0000-0000-0000AA210000}"/>
    <cellStyle name="Currency 5 2 2 2 3 4 3 3" xfId="10131" xr:uid="{00000000-0005-0000-0000-0000AB210000}"/>
    <cellStyle name="Currency 5 2 2 2 3 4 3 3 2" xfId="10132" xr:uid="{00000000-0005-0000-0000-0000AC210000}"/>
    <cellStyle name="Currency 5 2 2 2 3 4 3 3 2 2" xfId="10133" xr:uid="{00000000-0005-0000-0000-0000AD210000}"/>
    <cellStyle name="Currency 5 2 2 2 3 4 3 3 3" xfId="10134" xr:uid="{00000000-0005-0000-0000-0000AE210000}"/>
    <cellStyle name="Currency 5 2 2 2 3 4 3 4" xfId="10135" xr:uid="{00000000-0005-0000-0000-0000AF210000}"/>
    <cellStyle name="Currency 5 2 2 2 3 4 3 4 2" xfId="10136" xr:uid="{00000000-0005-0000-0000-0000B0210000}"/>
    <cellStyle name="Currency 5 2 2 2 3 4 3 5" xfId="10137" xr:uid="{00000000-0005-0000-0000-0000B1210000}"/>
    <cellStyle name="Currency 5 2 2 2 3 4 4" xfId="10138" xr:uid="{00000000-0005-0000-0000-0000B2210000}"/>
    <cellStyle name="Currency 5 2 2 2 3 4 4 2" xfId="10139" xr:uid="{00000000-0005-0000-0000-0000B3210000}"/>
    <cellStyle name="Currency 5 2 2 2 3 4 4 2 2" xfId="10140" xr:uid="{00000000-0005-0000-0000-0000B4210000}"/>
    <cellStyle name="Currency 5 2 2 2 3 4 4 2 2 2" xfId="10141" xr:uid="{00000000-0005-0000-0000-0000B5210000}"/>
    <cellStyle name="Currency 5 2 2 2 3 4 4 2 2 2 2" xfId="10142" xr:uid="{00000000-0005-0000-0000-0000B6210000}"/>
    <cellStyle name="Currency 5 2 2 2 3 4 4 2 2 3" xfId="10143" xr:uid="{00000000-0005-0000-0000-0000B7210000}"/>
    <cellStyle name="Currency 5 2 2 2 3 4 4 2 3" xfId="10144" xr:uid="{00000000-0005-0000-0000-0000B8210000}"/>
    <cellStyle name="Currency 5 2 2 2 3 4 4 2 3 2" xfId="10145" xr:uid="{00000000-0005-0000-0000-0000B9210000}"/>
    <cellStyle name="Currency 5 2 2 2 3 4 4 2 4" xfId="10146" xr:uid="{00000000-0005-0000-0000-0000BA210000}"/>
    <cellStyle name="Currency 5 2 2 2 3 4 4 3" xfId="10147" xr:uid="{00000000-0005-0000-0000-0000BB210000}"/>
    <cellStyle name="Currency 5 2 2 2 3 4 4 3 2" xfId="10148" xr:uid="{00000000-0005-0000-0000-0000BC210000}"/>
    <cellStyle name="Currency 5 2 2 2 3 4 4 3 2 2" xfId="10149" xr:uid="{00000000-0005-0000-0000-0000BD210000}"/>
    <cellStyle name="Currency 5 2 2 2 3 4 4 3 3" xfId="10150" xr:uid="{00000000-0005-0000-0000-0000BE210000}"/>
    <cellStyle name="Currency 5 2 2 2 3 4 4 4" xfId="10151" xr:uid="{00000000-0005-0000-0000-0000BF210000}"/>
    <cellStyle name="Currency 5 2 2 2 3 4 4 4 2" xfId="10152" xr:uid="{00000000-0005-0000-0000-0000C0210000}"/>
    <cellStyle name="Currency 5 2 2 2 3 4 4 5" xfId="10153" xr:uid="{00000000-0005-0000-0000-0000C1210000}"/>
    <cellStyle name="Currency 5 2 2 2 3 4 5" xfId="10154" xr:uid="{00000000-0005-0000-0000-0000C2210000}"/>
    <cellStyle name="Currency 5 2 2 2 3 4 5 2" xfId="10155" xr:uid="{00000000-0005-0000-0000-0000C3210000}"/>
    <cellStyle name="Currency 5 2 2 2 3 4 5 2 2" xfId="10156" xr:uid="{00000000-0005-0000-0000-0000C4210000}"/>
    <cellStyle name="Currency 5 2 2 2 3 4 5 2 2 2" xfId="10157" xr:uid="{00000000-0005-0000-0000-0000C5210000}"/>
    <cellStyle name="Currency 5 2 2 2 3 4 5 2 3" xfId="10158" xr:uid="{00000000-0005-0000-0000-0000C6210000}"/>
    <cellStyle name="Currency 5 2 2 2 3 4 5 3" xfId="10159" xr:uid="{00000000-0005-0000-0000-0000C7210000}"/>
    <cellStyle name="Currency 5 2 2 2 3 4 5 3 2" xfId="10160" xr:uid="{00000000-0005-0000-0000-0000C8210000}"/>
    <cellStyle name="Currency 5 2 2 2 3 4 5 4" xfId="10161" xr:uid="{00000000-0005-0000-0000-0000C9210000}"/>
    <cellStyle name="Currency 5 2 2 2 3 4 6" xfId="10162" xr:uid="{00000000-0005-0000-0000-0000CA210000}"/>
    <cellStyle name="Currency 5 2 2 2 3 4 6 2" xfId="10163" xr:uid="{00000000-0005-0000-0000-0000CB210000}"/>
    <cellStyle name="Currency 5 2 2 2 3 4 6 2 2" xfId="10164" xr:uid="{00000000-0005-0000-0000-0000CC210000}"/>
    <cellStyle name="Currency 5 2 2 2 3 4 6 2 2 2" xfId="10165" xr:uid="{00000000-0005-0000-0000-0000CD210000}"/>
    <cellStyle name="Currency 5 2 2 2 3 4 6 2 3" xfId="10166" xr:uid="{00000000-0005-0000-0000-0000CE210000}"/>
    <cellStyle name="Currency 5 2 2 2 3 4 6 3" xfId="10167" xr:uid="{00000000-0005-0000-0000-0000CF210000}"/>
    <cellStyle name="Currency 5 2 2 2 3 4 6 3 2" xfId="10168" xr:uid="{00000000-0005-0000-0000-0000D0210000}"/>
    <cellStyle name="Currency 5 2 2 2 3 4 6 4" xfId="10169" xr:uid="{00000000-0005-0000-0000-0000D1210000}"/>
    <cellStyle name="Currency 5 2 2 2 3 4 7" xfId="10170" xr:uid="{00000000-0005-0000-0000-0000D2210000}"/>
    <cellStyle name="Currency 5 2 2 2 3 4 7 2" xfId="10171" xr:uid="{00000000-0005-0000-0000-0000D3210000}"/>
    <cellStyle name="Currency 5 2 2 2 3 4 7 2 2" xfId="10172" xr:uid="{00000000-0005-0000-0000-0000D4210000}"/>
    <cellStyle name="Currency 5 2 2 2 3 4 7 2 2 2" xfId="10173" xr:uid="{00000000-0005-0000-0000-0000D5210000}"/>
    <cellStyle name="Currency 5 2 2 2 3 4 7 2 3" xfId="10174" xr:uid="{00000000-0005-0000-0000-0000D6210000}"/>
    <cellStyle name="Currency 5 2 2 2 3 4 7 3" xfId="10175" xr:uid="{00000000-0005-0000-0000-0000D7210000}"/>
    <cellStyle name="Currency 5 2 2 2 3 4 7 3 2" xfId="10176" xr:uid="{00000000-0005-0000-0000-0000D8210000}"/>
    <cellStyle name="Currency 5 2 2 2 3 4 7 4" xfId="10177" xr:uid="{00000000-0005-0000-0000-0000D9210000}"/>
    <cellStyle name="Currency 5 2 2 2 3 4 8" xfId="10178" xr:uid="{00000000-0005-0000-0000-0000DA210000}"/>
    <cellStyle name="Currency 5 2 2 2 3 4 8 2" xfId="10179" xr:uid="{00000000-0005-0000-0000-0000DB210000}"/>
    <cellStyle name="Currency 5 2 2 2 3 4 8 2 2" xfId="10180" xr:uid="{00000000-0005-0000-0000-0000DC210000}"/>
    <cellStyle name="Currency 5 2 2 2 3 4 8 3" xfId="10181" xr:uid="{00000000-0005-0000-0000-0000DD210000}"/>
    <cellStyle name="Currency 5 2 2 2 3 4 9" xfId="10182" xr:uid="{00000000-0005-0000-0000-0000DE210000}"/>
    <cellStyle name="Currency 5 2 2 2 3 4 9 2" xfId="10183" xr:uid="{00000000-0005-0000-0000-0000DF210000}"/>
    <cellStyle name="Currency 5 2 2 2 3 5" xfId="1288" xr:uid="{00000000-0005-0000-0000-0000E0210000}"/>
    <cellStyle name="Currency 5 2 2 2 3 5 2" xfId="10185" xr:uid="{00000000-0005-0000-0000-0000E1210000}"/>
    <cellStyle name="Currency 5 2 2 2 3 5 2 2" xfId="10186" xr:uid="{00000000-0005-0000-0000-0000E2210000}"/>
    <cellStyle name="Currency 5 2 2 2 3 5 2 2 2" xfId="10187" xr:uid="{00000000-0005-0000-0000-0000E3210000}"/>
    <cellStyle name="Currency 5 2 2 2 3 5 2 2 2 2" xfId="10188" xr:uid="{00000000-0005-0000-0000-0000E4210000}"/>
    <cellStyle name="Currency 5 2 2 2 3 5 2 2 3" xfId="10189" xr:uid="{00000000-0005-0000-0000-0000E5210000}"/>
    <cellStyle name="Currency 5 2 2 2 3 5 2 3" xfId="10190" xr:uid="{00000000-0005-0000-0000-0000E6210000}"/>
    <cellStyle name="Currency 5 2 2 2 3 5 2 3 2" xfId="10191" xr:uid="{00000000-0005-0000-0000-0000E7210000}"/>
    <cellStyle name="Currency 5 2 2 2 3 5 2 4" xfId="10192" xr:uid="{00000000-0005-0000-0000-0000E8210000}"/>
    <cellStyle name="Currency 5 2 2 2 3 5 3" xfId="10193" xr:uid="{00000000-0005-0000-0000-0000E9210000}"/>
    <cellStyle name="Currency 5 2 2 2 3 5 3 2" xfId="10194" xr:uid="{00000000-0005-0000-0000-0000EA210000}"/>
    <cellStyle name="Currency 5 2 2 2 3 5 3 2 2" xfId="10195" xr:uid="{00000000-0005-0000-0000-0000EB210000}"/>
    <cellStyle name="Currency 5 2 2 2 3 5 3 2 2 2" xfId="10196" xr:uid="{00000000-0005-0000-0000-0000EC210000}"/>
    <cellStyle name="Currency 5 2 2 2 3 5 3 2 3" xfId="10197" xr:uid="{00000000-0005-0000-0000-0000ED210000}"/>
    <cellStyle name="Currency 5 2 2 2 3 5 3 3" xfId="10198" xr:uid="{00000000-0005-0000-0000-0000EE210000}"/>
    <cellStyle name="Currency 5 2 2 2 3 5 3 3 2" xfId="10199" xr:uid="{00000000-0005-0000-0000-0000EF210000}"/>
    <cellStyle name="Currency 5 2 2 2 3 5 3 4" xfId="10200" xr:uid="{00000000-0005-0000-0000-0000F0210000}"/>
    <cellStyle name="Currency 5 2 2 2 3 5 4" xfId="10201" xr:uid="{00000000-0005-0000-0000-0000F1210000}"/>
    <cellStyle name="Currency 5 2 2 2 3 5 4 2" xfId="10202" xr:uid="{00000000-0005-0000-0000-0000F2210000}"/>
    <cellStyle name="Currency 5 2 2 2 3 5 4 2 2" xfId="10203" xr:uid="{00000000-0005-0000-0000-0000F3210000}"/>
    <cellStyle name="Currency 5 2 2 2 3 5 4 3" xfId="10204" xr:uid="{00000000-0005-0000-0000-0000F4210000}"/>
    <cellStyle name="Currency 5 2 2 2 3 5 5" xfId="10205" xr:uid="{00000000-0005-0000-0000-0000F5210000}"/>
    <cellStyle name="Currency 5 2 2 2 3 5 5 2" xfId="10206" xr:uid="{00000000-0005-0000-0000-0000F6210000}"/>
    <cellStyle name="Currency 5 2 2 2 3 5 6" xfId="10207" xr:uid="{00000000-0005-0000-0000-0000F7210000}"/>
    <cellStyle name="Currency 5 2 2 2 3 5 7" xfId="10184" xr:uid="{00000000-0005-0000-0000-0000F8210000}"/>
    <cellStyle name="Currency 5 2 2 2 3 6" xfId="10208" xr:uid="{00000000-0005-0000-0000-0000F9210000}"/>
    <cellStyle name="Currency 5 2 2 2 3 6 2" xfId="10209" xr:uid="{00000000-0005-0000-0000-0000FA210000}"/>
    <cellStyle name="Currency 5 2 2 2 3 6 2 2" xfId="10210" xr:uid="{00000000-0005-0000-0000-0000FB210000}"/>
    <cellStyle name="Currency 5 2 2 2 3 6 2 2 2" xfId="10211" xr:uid="{00000000-0005-0000-0000-0000FC210000}"/>
    <cellStyle name="Currency 5 2 2 2 3 6 2 2 2 2" xfId="10212" xr:uid="{00000000-0005-0000-0000-0000FD210000}"/>
    <cellStyle name="Currency 5 2 2 2 3 6 2 2 3" xfId="10213" xr:uid="{00000000-0005-0000-0000-0000FE210000}"/>
    <cellStyle name="Currency 5 2 2 2 3 6 2 3" xfId="10214" xr:uid="{00000000-0005-0000-0000-0000FF210000}"/>
    <cellStyle name="Currency 5 2 2 2 3 6 2 3 2" xfId="10215" xr:uid="{00000000-0005-0000-0000-000000220000}"/>
    <cellStyle name="Currency 5 2 2 2 3 6 2 4" xfId="10216" xr:uid="{00000000-0005-0000-0000-000001220000}"/>
    <cellStyle name="Currency 5 2 2 2 3 6 3" xfId="10217" xr:uid="{00000000-0005-0000-0000-000002220000}"/>
    <cellStyle name="Currency 5 2 2 2 3 6 3 2" xfId="10218" xr:uid="{00000000-0005-0000-0000-000003220000}"/>
    <cellStyle name="Currency 5 2 2 2 3 6 3 2 2" xfId="10219" xr:uid="{00000000-0005-0000-0000-000004220000}"/>
    <cellStyle name="Currency 5 2 2 2 3 6 3 3" xfId="10220" xr:uid="{00000000-0005-0000-0000-000005220000}"/>
    <cellStyle name="Currency 5 2 2 2 3 6 4" xfId="10221" xr:uid="{00000000-0005-0000-0000-000006220000}"/>
    <cellStyle name="Currency 5 2 2 2 3 6 4 2" xfId="10222" xr:uid="{00000000-0005-0000-0000-000007220000}"/>
    <cellStyle name="Currency 5 2 2 2 3 6 5" xfId="10223" xr:uid="{00000000-0005-0000-0000-000008220000}"/>
    <cellStyle name="Currency 5 2 2 2 3 7" xfId="10224" xr:uid="{00000000-0005-0000-0000-000009220000}"/>
    <cellStyle name="Currency 5 2 2 2 3 7 2" xfId="10225" xr:uid="{00000000-0005-0000-0000-00000A220000}"/>
    <cellStyle name="Currency 5 2 2 2 3 7 2 2" xfId="10226" xr:uid="{00000000-0005-0000-0000-00000B220000}"/>
    <cellStyle name="Currency 5 2 2 2 3 7 2 2 2" xfId="10227" xr:uid="{00000000-0005-0000-0000-00000C220000}"/>
    <cellStyle name="Currency 5 2 2 2 3 7 2 2 2 2" xfId="10228" xr:uid="{00000000-0005-0000-0000-00000D220000}"/>
    <cellStyle name="Currency 5 2 2 2 3 7 2 2 3" xfId="10229" xr:uid="{00000000-0005-0000-0000-00000E220000}"/>
    <cellStyle name="Currency 5 2 2 2 3 7 2 3" xfId="10230" xr:uid="{00000000-0005-0000-0000-00000F220000}"/>
    <cellStyle name="Currency 5 2 2 2 3 7 2 3 2" xfId="10231" xr:uid="{00000000-0005-0000-0000-000010220000}"/>
    <cellStyle name="Currency 5 2 2 2 3 7 2 4" xfId="10232" xr:uid="{00000000-0005-0000-0000-000011220000}"/>
    <cellStyle name="Currency 5 2 2 2 3 7 3" xfId="10233" xr:uid="{00000000-0005-0000-0000-000012220000}"/>
    <cellStyle name="Currency 5 2 2 2 3 7 3 2" xfId="10234" xr:uid="{00000000-0005-0000-0000-000013220000}"/>
    <cellStyle name="Currency 5 2 2 2 3 7 3 2 2" xfId="10235" xr:uid="{00000000-0005-0000-0000-000014220000}"/>
    <cellStyle name="Currency 5 2 2 2 3 7 3 3" xfId="10236" xr:uid="{00000000-0005-0000-0000-000015220000}"/>
    <cellStyle name="Currency 5 2 2 2 3 7 4" xfId="10237" xr:uid="{00000000-0005-0000-0000-000016220000}"/>
    <cellStyle name="Currency 5 2 2 2 3 7 4 2" xfId="10238" xr:uid="{00000000-0005-0000-0000-000017220000}"/>
    <cellStyle name="Currency 5 2 2 2 3 7 5" xfId="10239" xr:uid="{00000000-0005-0000-0000-000018220000}"/>
    <cellStyle name="Currency 5 2 2 2 3 8" xfId="10240" xr:uid="{00000000-0005-0000-0000-000019220000}"/>
    <cellStyle name="Currency 5 2 2 2 3 8 2" xfId="10241" xr:uid="{00000000-0005-0000-0000-00001A220000}"/>
    <cellStyle name="Currency 5 2 2 2 3 8 2 2" xfId="10242" xr:uid="{00000000-0005-0000-0000-00001B220000}"/>
    <cellStyle name="Currency 5 2 2 2 3 8 2 2 2" xfId="10243" xr:uid="{00000000-0005-0000-0000-00001C220000}"/>
    <cellStyle name="Currency 5 2 2 2 3 8 2 3" xfId="10244" xr:uid="{00000000-0005-0000-0000-00001D220000}"/>
    <cellStyle name="Currency 5 2 2 2 3 8 3" xfId="10245" xr:uid="{00000000-0005-0000-0000-00001E220000}"/>
    <cellStyle name="Currency 5 2 2 2 3 8 3 2" xfId="10246" xr:uid="{00000000-0005-0000-0000-00001F220000}"/>
    <cellStyle name="Currency 5 2 2 2 3 8 4" xfId="10247" xr:uid="{00000000-0005-0000-0000-000020220000}"/>
    <cellStyle name="Currency 5 2 2 2 3 9" xfId="10248" xr:uid="{00000000-0005-0000-0000-000021220000}"/>
    <cellStyle name="Currency 5 2 2 2 3 9 2" xfId="10249" xr:uid="{00000000-0005-0000-0000-000022220000}"/>
    <cellStyle name="Currency 5 2 2 2 3 9 2 2" xfId="10250" xr:uid="{00000000-0005-0000-0000-000023220000}"/>
    <cellStyle name="Currency 5 2 2 2 3 9 2 2 2" xfId="10251" xr:uid="{00000000-0005-0000-0000-000024220000}"/>
    <cellStyle name="Currency 5 2 2 2 3 9 2 3" xfId="10252" xr:uid="{00000000-0005-0000-0000-000025220000}"/>
    <cellStyle name="Currency 5 2 2 2 3 9 3" xfId="10253" xr:uid="{00000000-0005-0000-0000-000026220000}"/>
    <cellStyle name="Currency 5 2 2 2 3 9 3 2" xfId="10254" xr:uid="{00000000-0005-0000-0000-000027220000}"/>
    <cellStyle name="Currency 5 2 2 2 3 9 4" xfId="10255" xr:uid="{00000000-0005-0000-0000-000028220000}"/>
    <cellStyle name="Currency 5 2 2 2 4" xfId="302" xr:uid="{00000000-0005-0000-0000-000029220000}"/>
    <cellStyle name="Currency 5 2 2 2 4 10" xfId="10257" xr:uid="{00000000-0005-0000-0000-00002A220000}"/>
    <cellStyle name="Currency 5 2 2 2 4 10 2" xfId="10258" xr:uid="{00000000-0005-0000-0000-00002B220000}"/>
    <cellStyle name="Currency 5 2 2 2 4 10 2 2" xfId="10259" xr:uid="{00000000-0005-0000-0000-00002C220000}"/>
    <cellStyle name="Currency 5 2 2 2 4 10 3" xfId="10260" xr:uid="{00000000-0005-0000-0000-00002D220000}"/>
    <cellStyle name="Currency 5 2 2 2 4 11" xfId="10261" xr:uid="{00000000-0005-0000-0000-00002E220000}"/>
    <cellStyle name="Currency 5 2 2 2 4 11 2" xfId="10262" xr:uid="{00000000-0005-0000-0000-00002F220000}"/>
    <cellStyle name="Currency 5 2 2 2 4 11 2 2" xfId="10263" xr:uid="{00000000-0005-0000-0000-000030220000}"/>
    <cellStyle name="Currency 5 2 2 2 4 11 3" xfId="10264" xr:uid="{00000000-0005-0000-0000-000031220000}"/>
    <cellStyle name="Currency 5 2 2 2 4 12" xfId="10265" xr:uid="{00000000-0005-0000-0000-000032220000}"/>
    <cellStyle name="Currency 5 2 2 2 4 12 2" xfId="10266" xr:uid="{00000000-0005-0000-0000-000033220000}"/>
    <cellStyle name="Currency 5 2 2 2 4 13" xfId="10267" xr:uid="{00000000-0005-0000-0000-000034220000}"/>
    <cellStyle name="Currency 5 2 2 2 4 14" xfId="10268" xr:uid="{00000000-0005-0000-0000-000035220000}"/>
    <cellStyle name="Currency 5 2 2 2 4 15" xfId="10256" xr:uid="{00000000-0005-0000-0000-000036220000}"/>
    <cellStyle name="Currency 5 2 2 2 4 2" xfId="874" xr:uid="{00000000-0005-0000-0000-000037220000}"/>
    <cellStyle name="Currency 5 2 2 2 4 2 10" xfId="10270" xr:uid="{00000000-0005-0000-0000-000038220000}"/>
    <cellStyle name="Currency 5 2 2 2 4 2 11" xfId="10269" xr:uid="{00000000-0005-0000-0000-000039220000}"/>
    <cellStyle name="Currency 5 2 2 2 4 2 2" xfId="1615" xr:uid="{00000000-0005-0000-0000-00003A220000}"/>
    <cellStyle name="Currency 5 2 2 2 4 2 2 2" xfId="10272" xr:uid="{00000000-0005-0000-0000-00003B220000}"/>
    <cellStyle name="Currency 5 2 2 2 4 2 2 2 2" xfId="10273" xr:uid="{00000000-0005-0000-0000-00003C220000}"/>
    <cellStyle name="Currency 5 2 2 2 4 2 2 2 2 2" xfId="10274" xr:uid="{00000000-0005-0000-0000-00003D220000}"/>
    <cellStyle name="Currency 5 2 2 2 4 2 2 2 2 2 2" xfId="10275" xr:uid="{00000000-0005-0000-0000-00003E220000}"/>
    <cellStyle name="Currency 5 2 2 2 4 2 2 2 2 3" xfId="10276" xr:uid="{00000000-0005-0000-0000-00003F220000}"/>
    <cellStyle name="Currency 5 2 2 2 4 2 2 2 3" xfId="10277" xr:uid="{00000000-0005-0000-0000-000040220000}"/>
    <cellStyle name="Currency 5 2 2 2 4 2 2 2 3 2" xfId="10278" xr:uid="{00000000-0005-0000-0000-000041220000}"/>
    <cellStyle name="Currency 5 2 2 2 4 2 2 2 4" xfId="10279" xr:uid="{00000000-0005-0000-0000-000042220000}"/>
    <cellStyle name="Currency 5 2 2 2 4 2 2 3" xfId="10280" xr:uid="{00000000-0005-0000-0000-000043220000}"/>
    <cellStyle name="Currency 5 2 2 2 4 2 2 3 2" xfId="10281" xr:uid="{00000000-0005-0000-0000-000044220000}"/>
    <cellStyle name="Currency 5 2 2 2 4 2 2 3 2 2" xfId="10282" xr:uid="{00000000-0005-0000-0000-000045220000}"/>
    <cellStyle name="Currency 5 2 2 2 4 2 2 3 2 2 2" xfId="10283" xr:uid="{00000000-0005-0000-0000-000046220000}"/>
    <cellStyle name="Currency 5 2 2 2 4 2 2 3 2 3" xfId="10284" xr:uid="{00000000-0005-0000-0000-000047220000}"/>
    <cellStyle name="Currency 5 2 2 2 4 2 2 3 3" xfId="10285" xr:uid="{00000000-0005-0000-0000-000048220000}"/>
    <cellStyle name="Currency 5 2 2 2 4 2 2 3 3 2" xfId="10286" xr:uid="{00000000-0005-0000-0000-000049220000}"/>
    <cellStyle name="Currency 5 2 2 2 4 2 2 3 4" xfId="10287" xr:uid="{00000000-0005-0000-0000-00004A220000}"/>
    <cellStyle name="Currency 5 2 2 2 4 2 2 4" xfId="10288" xr:uid="{00000000-0005-0000-0000-00004B220000}"/>
    <cellStyle name="Currency 5 2 2 2 4 2 2 4 2" xfId="10289" xr:uid="{00000000-0005-0000-0000-00004C220000}"/>
    <cellStyle name="Currency 5 2 2 2 4 2 2 4 2 2" xfId="10290" xr:uid="{00000000-0005-0000-0000-00004D220000}"/>
    <cellStyle name="Currency 5 2 2 2 4 2 2 4 3" xfId="10291" xr:uid="{00000000-0005-0000-0000-00004E220000}"/>
    <cellStyle name="Currency 5 2 2 2 4 2 2 5" xfId="10292" xr:uid="{00000000-0005-0000-0000-00004F220000}"/>
    <cellStyle name="Currency 5 2 2 2 4 2 2 5 2" xfId="10293" xr:uid="{00000000-0005-0000-0000-000050220000}"/>
    <cellStyle name="Currency 5 2 2 2 4 2 2 6" xfId="10294" xr:uid="{00000000-0005-0000-0000-000051220000}"/>
    <cellStyle name="Currency 5 2 2 2 4 2 2 7" xfId="10271" xr:uid="{00000000-0005-0000-0000-000052220000}"/>
    <cellStyle name="Currency 5 2 2 2 4 2 3" xfId="10295" xr:uid="{00000000-0005-0000-0000-000053220000}"/>
    <cellStyle name="Currency 5 2 2 2 4 2 3 2" xfId="10296" xr:uid="{00000000-0005-0000-0000-000054220000}"/>
    <cellStyle name="Currency 5 2 2 2 4 2 3 2 2" xfId="10297" xr:uid="{00000000-0005-0000-0000-000055220000}"/>
    <cellStyle name="Currency 5 2 2 2 4 2 3 2 2 2" xfId="10298" xr:uid="{00000000-0005-0000-0000-000056220000}"/>
    <cellStyle name="Currency 5 2 2 2 4 2 3 2 2 2 2" xfId="10299" xr:uid="{00000000-0005-0000-0000-000057220000}"/>
    <cellStyle name="Currency 5 2 2 2 4 2 3 2 2 3" xfId="10300" xr:uid="{00000000-0005-0000-0000-000058220000}"/>
    <cellStyle name="Currency 5 2 2 2 4 2 3 2 3" xfId="10301" xr:uid="{00000000-0005-0000-0000-000059220000}"/>
    <cellStyle name="Currency 5 2 2 2 4 2 3 2 3 2" xfId="10302" xr:uid="{00000000-0005-0000-0000-00005A220000}"/>
    <cellStyle name="Currency 5 2 2 2 4 2 3 2 4" xfId="10303" xr:uid="{00000000-0005-0000-0000-00005B220000}"/>
    <cellStyle name="Currency 5 2 2 2 4 2 3 3" xfId="10304" xr:uid="{00000000-0005-0000-0000-00005C220000}"/>
    <cellStyle name="Currency 5 2 2 2 4 2 3 3 2" xfId="10305" xr:uid="{00000000-0005-0000-0000-00005D220000}"/>
    <cellStyle name="Currency 5 2 2 2 4 2 3 3 2 2" xfId="10306" xr:uid="{00000000-0005-0000-0000-00005E220000}"/>
    <cellStyle name="Currency 5 2 2 2 4 2 3 3 3" xfId="10307" xr:uid="{00000000-0005-0000-0000-00005F220000}"/>
    <cellStyle name="Currency 5 2 2 2 4 2 3 4" xfId="10308" xr:uid="{00000000-0005-0000-0000-000060220000}"/>
    <cellStyle name="Currency 5 2 2 2 4 2 3 4 2" xfId="10309" xr:uid="{00000000-0005-0000-0000-000061220000}"/>
    <cellStyle name="Currency 5 2 2 2 4 2 3 5" xfId="10310" xr:uid="{00000000-0005-0000-0000-000062220000}"/>
    <cellStyle name="Currency 5 2 2 2 4 2 4" xfId="10311" xr:uid="{00000000-0005-0000-0000-000063220000}"/>
    <cellStyle name="Currency 5 2 2 2 4 2 4 2" xfId="10312" xr:uid="{00000000-0005-0000-0000-000064220000}"/>
    <cellStyle name="Currency 5 2 2 2 4 2 4 2 2" xfId="10313" xr:uid="{00000000-0005-0000-0000-000065220000}"/>
    <cellStyle name="Currency 5 2 2 2 4 2 4 2 2 2" xfId="10314" xr:uid="{00000000-0005-0000-0000-000066220000}"/>
    <cellStyle name="Currency 5 2 2 2 4 2 4 2 2 2 2" xfId="10315" xr:uid="{00000000-0005-0000-0000-000067220000}"/>
    <cellStyle name="Currency 5 2 2 2 4 2 4 2 2 3" xfId="10316" xr:uid="{00000000-0005-0000-0000-000068220000}"/>
    <cellStyle name="Currency 5 2 2 2 4 2 4 2 3" xfId="10317" xr:uid="{00000000-0005-0000-0000-000069220000}"/>
    <cellStyle name="Currency 5 2 2 2 4 2 4 2 3 2" xfId="10318" xr:uid="{00000000-0005-0000-0000-00006A220000}"/>
    <cellStyle name="Currency 5 2 2 2 4 2 4 2 4" xfId="10319" xr:uid="{00000000-0005-0000-0000-00006B220000}"/>
    <cellStyle name="Currency 5 2 2 2 4 2 4 3" xfId="10320" xr:uid="{00000000-0005-0000-0000-00006C220000}"/>
    <cellStyle name="Currency 5 2 2 2 4 2 4 3 2" xfId="10321" xr:uid="{00000000-0005-0000-0000-00006D220000}"/>
    <cellStyle name="Currency 5 2 2 2 4 2 4 3 2 2" xfId="10322" xr:uid="{00000000-0005-0000-0000-00006E220000}"/>
    <cellStyle name="Currency 5 2 2 2 4 2 4 3 3" xfId="10323" xr:uid="{00000000-0005-0000-0000-00006F220000}"/>
    <cellStyle name="Currency 5 2 2 2 4 2 4 4" xfId="10324" xr:uid="{00000000-0005-0000-0000-000070220000}"/>
    <cellStyle name="Currency 5 2 2 2 4 2 4 4 2" xfId="10325" xr:uid="{00000000-0005-0000-0000-000071220000}"/>
    <cellStyle name="Currency 5 2 2 2 4 2 4 5" xfId="10326" xr:uid="{00000000-0005-0000-0000-000072220000}"/>
    <cellStyle name="Currency 5 2 2 2 4 2 5" xfId="10327" xr:uid="{00000000-0005-0000-0000-000073220000}"/>
    <cellStyle name="Currency 5 2 2 2 4 2 5 2" xfId="10328" xr:uid="{00000000-0005-0000-0000-000074220000}"/>
    <cellStyle name="Currency 5 2 2 2 4 2 5 2 2" xfId="10329" xr:uid="{00000000-0005-0000-0000-000075220000}"/>
    <cellStyle name="Currency 5 2 2 2 4 2 5 2 2 2" xfId="10330" xr:uid="{00000000-0005-0000-0000-000076220000}"/>
    <cellStyle name="Currency 5 2 2 2 4 2 5 2 3" xfId="10331" xr:uid="{00000000-0005-0000-0000-000077220000}"/>
    <cellStyle name="Currency 5 2 2 2 4 2 5 3" xfId="10332" xr:uid="{00000000-0005-0000-0000-000078220000}"/>
    <cellStyle name="Currency 5 2 2 2 4 2 5 3 2" xfId="10333" xr:uid="{00000000-0005-0000-0000-000079220000}"/>
    <cellStyle name="Currency 5 2 2 2 4 2 5 4" xfId="10334" xr:uid="{00000000-0005-0000-0000-00007A220000}"/>
    <cellStyle name="Currency 5 2 2 2 4 2 6" xfId="10335" xr:uid="{00000000-0005-0000-0000-00007B220000}"/>
    <cellStyle name="Currency 5 2 2 2 4 2 6 2" xfId="10336" xr:uid="{00000000-0005-0000-0000-00007C220000}"/>
    <cellStyle name="Currency 5 2 2 2 4 2 6 2 2" xfId="10337" xr:uid="{00000000-0005-0000-0000-00007D220000}"/>
    <cellStyle name="Currency 5 2 2 2 4 2 6 2 2 2" xfId="10338" xr:uid="{00000000-0005-0000-0000-00007E220000}"/>
    <cellStyle name="Currency 5 2 2 2 4 2 6 2 3" xfId="10339" xr:uid="{00000000-0005-0000-0000-00007F220000}"/>
    <cellStyle name="Currency 5 2 2 2 4 2 6 3" xfId="10340" xr:uid="{00000000-0005-0000-0000-000080220000}"/>
    <cellStyle name="Currency 5 2 2 2 4 2 6 3 2" xfId="10341" xr:uid="{00000000-0005-0000-0000-000081220000}"/>
    <cellStyle name="Currency 5 2 2 2 4 2 6 4" xfId="10342" xr:uid="{00000000-0005-0000-0000-000082220000}"/>
    <cellStyle name="Currency 5 2 2 2 4 2 7" xfId="10343" xr:uid="{00000000-0005-0000-0000-000083220000}"/>
    <cellStyle name="Currency 5 2 2 2 4 2 7 2" xfId="10344" xr:uid="{00000000-0005-0000-0000-000084220000}"/>
    <cellStyle name="Currency 5 2 2 2 4 2 7 2 2" xfId="10345" xr:uid="{00000000-0005-0000-0000-000085220000}"/>
    <cellStyle name="Currency 5 2 2 2 4 2 7 2 2 2" xfId="10346" xr:uid="{00000000-0005-0000-0000-000086220000}"/>
    <cellStyle name="Currency 5 2 2 2 4 2 7 2 3" xfId="10347" xr:uid="{00000000-0005-0000-0000-000087220000}"/>
    <cellStyle name="Currency 5 2 2 2 4 2 7 3" xfId="10348" xr:uid="{00000000-0005-0000-0000-000088220000}"/>
    <cellStyle name="Currency 5 2 2 2 4 2 7 3 2" xfId="10349" xr:uid="{00000000-0005-0000-0000-000089220000}"/>
    <cellStyle name="Currency 5 2 2 2 4 2 7 4" xfId="10350" xr:uid="{00000000-0005-0000-0000-00008A220000}"/>
    <cellStyle name="Currency 5 2 2 2 4 2 8" xfId="10351" xr:uid="{00000000-0005-0000-0000-00008B220000}"/>
    <cellStyle name="Currency 5 2 2 2 4 2 8 2" xfId="10352" xr:uid="{00000000-0005-0000-0000-00008C220000}"/>
    <cellStyle name="Currency 5 2 2 2 4 2 8 2 2" xfId="10353" xr:uid="{00000000-0005-0000-0000-00008D220000}"/>
    <cellStyle name="Currency 5 2 2 2 4 2 8 3" xfId="10354" xr:uid="{00000000-0005-0000-0000-00008E220000}"/>
    <cellStyle name="Currency 5 2 2 2 4 2 9" xfId="10355" xr:uid="{00000000-0005-0000-0000-00008F220000}"/>
    <cellStyle name="Currency 5 2 2 2 4 2 9 2" xfId="10356" xr:uid="{00000000-0005-0000-0000-000090220000}"/>
    <cellStyle name="Currency 5 2 2 2 4 3" xfId="1290" xr:uid="{00000000-0005-0000-0000-000091220000}"/>
    <cellStyle name="Currency 5 2 2 2 4 3 2" xfId="10358" xr:uid="{00000000-0005-0000-0000-000092220000}"/>
    <cellStyle name="Currency 5 2 2 2 4 3 2 2" xfId="10359" xr:uid="{00000000-0005-0000-0000-000093220000}"/>
    <cellStyle name="Currency 5 2 2 2 4 3 2 2 2" xfId="10360" xr:uid="{00000000-0005-0000-0000-000094220000}"/>
    <cellStyle name="Currency 5 2 2 2 4 3 2 2 2 2" xfId="10361" xr:uid="{00000000-0005-0000-0000-000095220000}"/>
    <cellStyle name="Currency 5 2 2 2 4 3 2 2 3" xfId="10362" xr:uid="{00000000-0005-0000-0000-000096220000}"/>
    <cellStyle name="Currency 5 2 2 2 4 3 2 3" xfId="10363" xr:uid="{00000000-0005-0000-0000-000097220000}"/>
    <cellStyle name="Currency 5 2 2 2 4 3 2 3 2" xfId="10364" xr:uid="{00000000-0005-0000-0000-000098220000}"/>
    <cellStyle name="Currency 5 2 2 2 4 3 2 4" xfId="10365" xr:uid="{00000000-0005-0000-0000-000099220000}"/>
    <cellStyle name="Currency 5 2 2 2 4 3 3" xfId="10366" xr:uid="{00000000-0005-0000-0000-00009A220000}"/>
    <cellStyle name="Currency 5 2 2 2 4 3 3 2" xfId="10367" xr:uid="{00000000-0005-0000-0000-00009B220000}"/>
    <cellStyle name="Currency 5 2 2 2 4 3 3 2 2" xfId="10368" xr:uid="{00000000-0005-0000-0000-00009C220000}"/>
    <cellStyle name="Currency 5 2 2 2 4 3 3 2 2 2" xfId="10369" xr:uid="{00000000-0005-0000-0000-00009D220000}"/>
    <cellStyle name="Currency 5 2 2 2 4 3 3 2 3" xfId="10370" xr:uid="{00000000-0005-0000-0000-00009E220000}"/>
    <cellStyle name="Currency 5 2 2 2 4 3 3 3" xfId="10371" xr:uid="{00000000-0005-0000-0000-00009F220000}"/>
    <cellStyle name="Currency 5 2 2 2 4 3 3 3 2" xfId="10372" xr:uid="{00000000-0005-0000-0000-0000A0220000}"/>
    <cellStyle name="Currency 5 2 2 2 4 3 3 4" xfId="10373" xr:uid="{00000000-0005-0000-0000-0000A1220000}"/>
    <cellStyle name="Currency 5 2 2 2 4 3 4" xfId="10374" xr:uid="{00000000-0005-0000-0000-0000A2220000}"/>
    <cellStyle name="Currency 5 2 2 2 4 3 4 2" xfId="10375" xr:uid="{00000000-0005-0000-0000-0000A3220000}"/>
    <cellStyle name="Currency 5 2 2 2 4 3 4 2 2" xfId="10376" xr:uid="{00000000-0005-0000-0000-0000A4220000}"/>
    <cellStyle name="Currency 5 2 2 2 4 3 4 3" xfId="10377" xr:uid="{00000000-0005-0000-0000-0000A5220000}"/>
    <cellStyle name="Currency 5 2 2 2 4 3 5" xfId="10378" xr:uid="{00000000-0005-0000-0000-0000A6220000}"/>
    <cellStyle name="Currency 5 2 2 2 4 3 5 2" xfId="10379" xr:uid="{00000000-0005-0000-0000-0000A7220000}"/>
    <cellStyle name="Currency 5 2 2 2 4 3 6" xfId="10380" xr:uid="{00000000-0005-0000-0000-0000A8220000}"/>
    <cellStyle name="Currency 5 2 2 2 4 3 7" xfId="10357" xr:uid="{00000000-0005-0000-0000-0000A9220000}"/>
    <cellStyle name="Currency 5 2 2 2 4 4" xfId="10381" xr:uid="{00000000-0005-0000-0000-0000AA220000}"/>
    <cellStyle name="Currency 5 2 2 2 4 4 2" xfId="10382" xr:uid="{00000000-0005-0000-0000-0000AB220000}"/>
    <cellStyle name="Currency 5 2 2 2 4 4 2 2" xfId="10383" xr:uid="{00000000-0005-0000-0000-0000AC220000}"/>
    <cellStyle name="Currency 5 2 2 2 4 4 2 2 2" xfId="10384" xr:uid="{00000000-0005-0000-0000-0000AD220000}"/>
    <cellStyle name="Currency 5 2 2 2 4 4 2 2 2 2" xfId="10385" xr:uid="{00000000-0005-0000-0000-0000AE220000}"/>
    <cellStyle name="Currency 5 2 2 2 4 4 2 2 3" xfId="10386" xr:uid="{00000000-0005-0000-0000-0000AF220000}"/>
    <cellStyle name="Currency 5 2 2 2 4 4 2 3" xfId="10387" xr:uid="{00000000-0005-0000-0000-0000B0220000}"/>
    <cellStyle name="Currency 5 2 2 2 4 4 2 3 2" xfId="10388" xr:uid="{00000000-0005-0000-0000-0000B1220000}"/>
    <cellStyle name="Currency 5 2 2 2 4 4 2 4" xfId="10389" xr:uid="{00000000-0005-0000-0000-0000B2220000}"/>
    <cellStyle name="Currency 5 2 2 2 4 4 3" xfId="10390" xr:uid="{00000000-0005-0000-0000-0000B3220000}"/>
    <cellStyle name="Currency 5 2 2 2 4 4 3 2" xfId="10391" xr:uid="{00000000-0005-0000-0000-0000B4220000}"/>
    <cellStyle name="Currency 5 2 2 2 4 4 3 2 2" xfId="10392" xr:uid="{00000000-0005-0000-0000-0000B5220000}"/>
    <cellStyle name="Currency 5 2 2 2 4 4 3 3" xfId="10393" xr:uid="{00000000-0005-0000-0000-0000B6220000}"/>
    <cellStyle name="Currency 5 2 2 2 4 4 4" xfId="10394" xr:uid="{00000000-0005-0000-0000-0000B7220000}"/>
    <cellStyle name="Currency 5 2 2 2 4 4 4 2" xfId="10395" xr:uid="{00000000-0005-0000-0000-0000B8220000}"/>
    <cellStyle name="Currency 5 2 2 2 4 4 5" xfId="10396" xr:uid="{00000000-0005-0000-0000-0000B9220000}"/>
    <cellStyle name="Currency 5 2 2 2 4 5" xfId="10397" xr:uid="{00000000-0005-0000-0000-0000BA220000}"/>
    <cellStyle name="Currency 5 2 2 2 4 5 2" xfId="10398" xr:uid="{00000000-0005-0000-0000-0000BB220000}"/>
    <cellStyle name="Currency 5 2 2 2 4 5 2 2" xfId="10399" xr:uid="{00000000-0005-0000-0000-0000BC220000}"/>
    <cellStyle name="Currency 5 2 2 2 4 5 2 2 2" xfId="10400" xr:uid="{00000000-0005-0000-0000-0000BD220000}"/>
    <cellStyle name="Currency 5 2 2 2 4 5 2 2 2 2" xfId="10401" xr:uid="{00000000-0005-0000-0000-0000BE220000}"/>
    <cellStyle name="Currency 5 2 2 2 4 5 2 2 3" xfId="10402" xr:uid="{00000000-0005-0000-0000-0000BF220000}"/>
    <cellStyle name="Currency 5 2 2 2 4 5 2 3" xfId="10403" xr:uid="{00000000-0005-0000-0000-0000C0220000}"/>
    <cellStyle name="Currency 5 2 2 2 4 5 2 3 2" xfId="10404" xr:uid="{00000000-0005-0000-0000-0000C1220000}"/>
    <cellStyle name="Currency 5 2 2 2 4 5 2 4" xfId="10405" xr:uid="{00000000-0005-0000-0000-0000C2220000}"/>
    <cellStyle name="Currency 5 2 2 2 4 5 3" xfId="10406" xr:uid="{00000000-0005-0000-0000-0000C3220000}"/>
    <cellStyle name="Currency 5 2 2 2 4 5 3 2" xfId="10407" xr:uid="{00000000-0005-0000-0000-0000C4220000}"/>
    <cellStyle name="Currency 5 2 2 2 4 5 3 2 2" xfId="10408" xr:uid="{00000000-0005-0000-0000-0000C5220000}"/>
    <cellStyle name="Currency 5 2 2 2 4 5 3 3" xfId="10409" xr:uid="{00000000-0005-0000-0000-0000C6220000}"/>
    <cellStyle name="Currency 5 2 2 2 4 5 4" xfId="10410" xr:uid="{00000000-0005-0000-0000-0000C7220000}"/>
    <cellStyle name="Currency 5 2 2 2 4 5 4 2" xfId="10411" xr:uid="{00000000-0005-0000-0000-0000C8220000}"/>
    <cellStyle name="Currency 5 2 2 2 4 5 5" xfId="10412" xr:uid="{00000000-0005-0000-0000-0000C9220000}"/>
    <cellStyle name="Currency 5 2 2 2 4 6" xfId="10413" xr:uid="{00000000-0005-0000-0000-0000CA220000}"/>
    <cellStyle name="Currency 5 2 2 2 4 6 2" xfId="10414" xr:uid="{00000000-0005-0000-0000-0000CB220000}"/>
    <cellStyle name="Currency 5 2 2 2 4 6 2 2" xfId="10415" xr:uid="{00000000-0005-0000-0000-0000CC220000}"/>
    <cellStyle name="Currency 5 2 2 2 4 6 2 2 2" xfId="10416" xr:uid="{00000000-0005-0000-0000-0000CD220000}"/>
    <cellStyle name="Currency 5 2 2 2 4 6 2 3" xfId="10417" xr:uid="{00000000-0005-0000-0000-0000CE220000}"/>
    <cellStyle name="Currency 5 2 2 2 4 6 3" xfId="10418" xr:uid="{00000000-0005-0000-0000-0000CF220000}"/>
    <cellStyle name="Currency 5 2 2 2 4 6 3 2" xfId="10419" xr:uid="{00000000-0005-0000-0000-0000D0220000}"/>
    <cellStyle name="Currency 5 2 2 2 4 6 4" xfId="10420" xr:uid="{00000000-0005-0000-0000-0000D1220000}"/>
    <cellStyle name="Currency 5 2 2 2 4 7" xfId="10421" xr:uid="{00000000-0005-0000-0000-0000D2220000}"/>
    <cellStyle name="Currency 5 2 2 2 4 7 2" xfId="10422" xr:uid="{00000000-0005-0000-0000-0000D3220000}"/>
    <cellStyle name="Currency 5 2 2 2 4 7 2 2" xfId="10423" xr:uid="{00000000-0005-0000-0000-0000D4220000}"/>
    <cellStyle name="Currency 5 2 2 2 4 7 2 2 2" xfId="10424" xr:uid="{00000000-0005-0000-0000-0000D5220000}"/>
    <cellStyle name="Currency 5 2 2 2 4 7 2 3" xfId="10425" xr:uid="{00000000-0005-0000-0000-0000D6220000}"/>
    <cellStyle name="Currency 5 2 2 2 4 7 3" xfId="10426" xr:uid="{00000000-0005-0000-0000-0000D7220000}"/>
    <cellStyle name="Currency 5 2 2 2 4 7 3 2" xfId="10427" xr:uid="{00000000-0005-0000-0000-0000D8220000}"/>
    <cellStyle name="Currency 5 2 2 2 4 7 4" xfId="10428" xr:uid="{00000000-0005-0000-0000-0000D9220000}"/>
    <cellStyle name="Currency 5 2 2 2 4 8" xfId="10429" xr:uid="{00000000-0005-0000-0000-0000DA220000}"/>
    <cellStyle name="Currency 5 2 2 2 4 8 2" xfId="10430" xr:uid="{00000000-0005-0000-0000-0000DB220000}"/>
    <cellStyle name="Currency 5 2 2 2 4 8 2 2" xfId="10431" xr:uid="{00000000-0005-0000-0000-0000DC220000}"/>
    <cellStyle name="Currency 5 2 2 2 4 8 2 2 2" xfId="10432" xr:uid="{00000000-0005-0000-0000-0000DD220000}"/>
    <cellStyle name="Currency 5 2 2 2 4 8 2 3" xfId="10433" xr:uid="{00000000-0005-0000-0000-0000DE220000}"/>
    <cellStyle name="Currency 5 2 2 2 4 8 3" xfId="10434" xr:uid="{00000000-0005-0000-0000-0000DF220000}"/>
    <cellStyle name="Currency 5 2 2 2 4 8 3 2" xfId="10435" xr:uid="{00000000-0005-0000-0000-0000E0220000}"/>
    <cellStyle name="Currency 5 2 2 2 4 8 4" xfId="10436" xr:uid="{00000000-0005-0000-0000-0000E1220000}"/>
    <cellStyle name="Currency 5 2 2 2 4 9" xfId="10437" xr:uid="{00000000-0005-0000-0000-0000E2220000}"/>
    <cellStyle name="Currency 5 2 2 2 4 9 2" xfId="10438" xr:uid="{00000000-0005-0000-0000-0000E3220000}"/>
    <cellStyle name="Currency 5 2 2 2 4 9 2 2" xfId="10439" xr:uid="{00000000-0005-0000-0000-0000E4220000}"/>
    <cellStyle name="Currency 5 2 2 2 4 9 3" xfId="10440" xr:uid="{00000000-0005-0000-0000-0000E5220000}"/>
    <cellStyle name="Currency 5 2 2 2 5" xfId="303" xr:uid="{00000000-0005-0000-0000-0000E6220000}"/>
    <cellStyle name="Currency 5 2 2 2 6" xfId="867" xr:uid="{00000000-0005-0000-0000-0000E7220000}"/>
    <cellStyle name="Currency 5 2 2 2 6 10" xfId="10442" xr:uid="{00000000-0005-0000-0000-0000E8220000}"/>
    <cellStyle name="Currency 5 2 2 2 6 11" xfId="10441" xr:uid="{00000000-0005-0000-0000-0000E9220000}"/>
    <cellStyle name="Currency 5 2 2 2 6 2" xfId="1608" xr:uid="{00000000-0005-0000-0000-0000EA220000}"/>
    <cellStyle name="Currency 5 2 2 2 6 2 2" xfId="10444" xr:uid="{00000000-0005-0000-0000-0000EB220000}"/>
    <cellStyle name="Currency 5 2 2 2 6 2 2 2" xfId="10445" xr:uid="{00000000-0005-0000-0000-0000EC220000}"/>
    <cellStyle name="Currency 5 2 2 2 6 2 2 2 2" xfId="10446" xr:uid="{00000000-0005-0000-0000-0000ED220000}"/>
    <cellStyle name="Currency 5 2 2 2 6 2 2 2 2 2" xfId="10447" xr:uid="{00000000-0005-0000-0000-0000EE220000}"/>
    <cellStyle name="Currency 5 2 2 2 6 2 2 2 3" xfId="10448" xr:uid="{00000000-0005-0000-0000-0000EF220000}"/>
    <cellStyle name="Currency 5 2 2 2 6 2 2 3" xfId="10449" xr:uid="{00000000-0005-0000-0000-0000F0220000}"/>
    <cellStyle name="Currency 5 2 2 2 6 2 2 3 2" xfId="10450" xr:uid="{00000000-0005-0000-0000-0000F1220000}"/>
    <cellStyle name="Currency 5 2 2 2 6 2 2 4" xfId="10451" xr:uid="{00000000-0005-0000-0000-0000F2220000}"/>
    <cellStyle name="Currency 5 2 2 2 6 2 3" xfId="10452" xr:uid="{00000000-0005-0000-0000-0000F3220000}"/>
    <cellStyle name="Currency 5 2 2 2 6 2 3 2" xfId="10453" xr:uid="{00000000-0005-0000-0000-0000F4220000}"/>
    <cellStyle name="Currency 5 2 2 2 6 2 3 2 2" xfId="10454" xr:uid="{00000000-0005-0000-0000-0000F5220000}"/>
    <cellStyle name="Currency 5 2 2 2 6 2 3 2 2 2" xfId="10455" xr:uid="{00000000-0005-0000-0000-0000F6220000}"/>
    <cellStyle name="Currency 5 2 2 2 6 2 3 2 3" xfId="10456" xr:uid="{00000000-0005-0000-0000-0000F7220000}"/>
    <cellStyle name="Currency 5 2 2 2 6 2 3 3" xfId="10457" xr:uid="{00000000-0005-0000-0000-0000F8220000}"/>
    <cellStyle name="Currency 5 2 2 2 6 2 3 3 2" xfId="10458" xr:uid="{00000000-0005-0000-0000-0000F9220000}"/>
    <cellStyle name="Currency 5 2 2 2 6 2 3 4" xfId="10459" xr:uid="{00000000-0005-0000-0000-0000FA220000}"/>
    <cellStyle name="Currency 5 2 2 2 6 2 4" xfId="10460" xr:uid="{00000000-0005-0000-0000-0000FB220000}"/>
    <cellStyle name="Currency 5 2 2 2 6 2 4 2" xfId="10461" xr:uid="{00000000-0005-0000-0000-0000FC220000}"/>
    <cellStyle name="Currency 5 2 2 2 6 2 4 2 2" xfId="10462" xr:uid="{00000000-0005-0000-0000-0000FD220000}"/>
    <cellStyle name="Currency 5 2 2 2 6 2 4 3" xfId="10463" xr:uid="{00000000-0005-0000-0000-0000FE220000}"/>
    <cellStyle name="Currency 5 2 2 2 6 2 5" xfId="10464" xr:uid="{00000000-0005-0000-0000-0000FF220000}"/>
    <cellStyle name="Currency 5 2 2 2 6 2 5 2" xfId="10465" xr:uid="{00000000-0005-0000-0000-000000230000}"/>
    <cellStyle name="Currency 5 2 2 2 6 2 6" xfId="10466" xr:uid="{00000000-0005-0000-0000-000001230000}"/>
    <cellStyle name="Currency 5 2 2 2 6 2 7" xfId="10443" xr:uid="{00000000-0005-0000-0000-000002230000}"/>
    <cellStyle name="Currency 5 2 2 2 6 3" xfId="10467" xr:uid="{00000000-0005-0000-0000-000003230000}"/>
    <cellStyle name="Currency 5 2 2 2 6 3 2" xfId="10468" xr:uid="{00000000-0005-0000-0000-000004230000}"/>
    <cellStyle name="Currency 5 2 2 2 6 3 2 2" xfId="10469" xr:uid="{00000000-0005-0000-0000-000005230000}"/>
    <cellStyle name="Currency 5 2 2 2 6 3 2 2 2" xfId="10470" xr:uid="{00000000-0005-0000-0000-000006230000}"/>
    <cellStyle name="Currency 5 2 2 2 6 3 2 2 2 2" xfId="10471" xr:uid="{00000000-0005-0000-0000-000007230000}"/>
    <cellStyle name="Currency 5 2 2 2 6 3 2 2 3" xfId="10472" xr:uid="{00000000-0005-0000-0000-000008230000}"/>
    <cellStyle name="Currency 5 2 2 2 6 3 2 3" xfId="10473" xr:uid="{00000000-0005-0000-0000-000009230000}"/>
    <cellStyle name="Currency 5 2 2 2 6 3 2 3 2" xfId="10474" xr:uid="{00000000-0005-0000-0000-00000A230000}"/>
    <cellStyle name="Currency 5 2 2 2 6 3 2 4" xfId="10475" xr:uid="{00000000-0005-0000-0000-00000B230000}"/>
    <cellStyle name="Currency 5 2 2 2 6 3 3" xfId="10476" xr:uid="{00000000-0005-0000-0000-00000C230000}"/>
    <cellStyle name="Currency 5 2 2 2 6 3 3 2" xfId="10477" xr:uid="{00000000-0005-0000-0000-00000D230000}"/>
    <cellStyle name="Currency 5 2 2 2 6 3 3 2 2" xfId="10478" xr:uid="{00000000-0005-0000-0000-00000E230000}"/>
    <cellStyle name="Currency 5 2 2 2 6 3 3 3" xfId="10479" xr:uid="{00000000-0005-0000-0000-00000F230000}"/>
    <cellStyle name="Currency 5 2 2 2 6 3 4" xfId="10480" xr:uid="{00000000-0005-0000-0000-000010230000}"/>
    <cellStyle name="Currency 5 2 2 2 6 3 4 2" xfId="10481" xr:uid="{00000000-0005-0000-0000-000011230000}"/>
    <cellStyle name="Currency 5 2 2 2 6 3 5" xfId="10482" xr:uid="{00000000-0005-0000-0000-000012230000}"/>
    <cellStyle name="Currency 5 2 2 2 6 4" xfId="10483" xr:uid="{00000000-0005-0000-0000-000013230000}"/>
    <cellStyle name="Currency 5 2 2 2 6 4 2" xfId="10484" xr:uid="{00000000-0005-0000-0000-000014230000}"/>
    <cellStyle name="Currency 5 2 2 2 6 4 2 2" xfId="10485" xr:uid="{00000000-0005-0000-0000-000015230000}"/>
    <cellStyle name="Currency 5 2 2 2 6 4 2 2 2" xfId="10486" xr:uid="{00000000-0005-0000-0000-000016230000}"/>
    <cellStyle name="Currency 5 2 2 2 6 4 2 2 2 2" xfId="10487" xr:uid="{00000000-0005-0000-0000-000017230000}"/>
    <cellStyle name="Currency 5 2 2 2 6 4 2 2 3" xfId="10488" xr:uid="{00000000-0005-0000-0000-000018230000}"/>
    <cellStyle name="Currency 5 2 2 2 6 4 2 3" xfId="10489" xr:uid="{00000000-0005-0000-0000-000019230000}"/>
    <cellStyle name="Currency 5 2 2 2 6 4 2 3 2" xfId="10490" xr:uid="{00000000-0005-0000-0000-00001A230000}"/>
    <cellStyle name="Currency 5 2 2 2 6 4 2 4" xfId="10491" xr:uid="{00000000-0005-0000-0000-00001B230000}"/>
    <cellStyle name="Currency 5 2 2 2 6 4 3" xfId="10492" xr:uid="{00000000-0005-0000-0000-00001C230000}"/>
    <cellStyle name="Currency 5 2 2 2 6 4 3 2" xfId="10493" xr:uid="{00000000-0005-0000-0000-00001D230000}"/>
    <cellStyle name="Currency 5 2 2 2 6 4 3 2 2" xfId="10494" xr:uid="{00000000-0005-0000-0000-00001E230000}"/>
    <cellStyle name="Currency 5 2 2 2 6 4 3 3" xfId="10495" xr:uid="{00000000-0005-0000-0000-00001F230000}"/>
    <cellStyle name="Currency 5 2 2 2 6 4 4" xfId="10496" xr:uid="{00000000-0005-0000-0000-000020230000}"/>
    <cellStyle name="Currency 5 2 2 2 6 4 4 2" xfId="10497" xr:uid="{00000000-0005-0000-0000-000021230000}"/>
    <cellStyle name="Currency 5 2 2 2 6 4 5" xfId="10498" xr:uid="{00000000-0005-0000-0000-000022230000}"/>
    <cellStyle name="Currency 5 2 2 2 6 5" xfId="10499" xr:uid="{00000000-0005-0000-0000-000023230000}"/>
    <cellStyle name="Currency 5 2 2 2 6 5 2" xfId="10500" xr:uid="{00000000-0005-0000-0000-000024230000}"/>
    <cellStyle name="Currency 5 2 2 2 6 5 2 2" xfId="10501" xr:uid="{00000000-0005-0000-0000-000025230000}"/>
    <cellStyle name="Currency 5 2 2 2 6 5 2 2 2" xfId="10502" xr:uid="{00000000-0005-0000-0000-000026230000}"/>
    <cellStyle name="Currency 5 2 2 2 6 5 2 3" xfId="10503" xr:uid="{00000000-0005-0000-0000-000027230000}"/>
    <cellStyle name="Currency 5 2 2 2 6 5 3" xfId="10504" xr:uid="{00000000-0005-0000-0000-000028230000}"/>
    <cellStyle name="Currency 5 2 2 2 6 5 3 2" xfId="10505" xr:uid="{00000000-0005-0000-0000-000029230000}"/>
    <cellStyle name="Currency 5 2 2 2 6 5 4" xfId="10506" xr:uid="{00000000-0005-0000-0000-00002A230000}"/>
    <cellStyle name="Currency 5 2 2 2 6 6" xfId="10507" xr:uid="{00000000-0005-0000-0000-00002B230000}"/>
    <cellStyle name="Currency 5 2 2 2 6 6 2" xfId="10508" xr:uid="{00000000-0005-0000-0000-00002C230000}"/>
    <cellStyle name="Currency 5 2 2 2 6 6 2 2" xfId="10509" xr:uid="{00000000-0005-0000-0000-00002D230000}"/>
    <cellStyle name="Currency 5 2 2 2 6 6 2 2 2" xfId="10510" xr:uid="{00000000-0005-0000-0000-00002E230000}"/>
    <cellStyle name="Currency 5 2 2 2 6 6 2 3" xfId="10511" xr:uid="{00000000-0005-0000-0000-00002F230000}"/>
    <cellStyle name="Currency 5 2 2 2 6 6 3" xfId="10512" xr:uid="{00000000-0005-0000-0000-000030230000}"/>
    <cellStyle name="Currency 5 2 2 2 6 6 3 2" xfId="10513" xr:uid="{00000000-0005-0000-0000-000031230000}"/>
    <cellStyle name="Currency 5 2 2 2 6 6 4" xfId="10514" xr:uid="{00000000-0005-0000-0000-000032230000}"/>
    <cellStyle name="Currency 5 2 2 2 6 7" xfId="10515" xr:uid="{00000000-0005-0000-0000-000033230000}"/>
    <cellStyle name="Currency 5 2 2 2 6 7 2" xfId="10516" xr:uid="{00000000-0005-0000-0000-000034230000}"/>
    <cellStyle name="Currency 5 2 2 2 6 7 2 2" xfId="10517" xr:uid="{00000000-0005-0000-0000-000035230000}"/>
    <cellStyle name="Currency 5 2 2 2 6 7 2 2 2" xfId="10518" xr:uid="{00000000-0005-0000-0000-000036230000}"/>
    <cellStyle name="Currency 5 2 2 2 6 7 2 3" xfId="10519" xr:uid="{00000000-0005-0000-0000-000037230000}"/>
    <cellStyle name="Currency 5 2 2 2 6 7 3" xfId="10520" xr:uid="{00000000-0005-0000-0000-000038230000}"/>
    <cellStyle name="Currency 5 2 2 2 6 7 3 2" xfId="10521" xr:uid="{00000000-0005-0000-0000-000039230000}"/>
    <cellStyle name="Currency 5 2 2 2 6 7 4" xfId="10522" xr:uid="{00000000-0005-0000-0000-00003A230000}"/>
    <cellStyle name="Currency 5 2 2 2 6 8" xfId="10523" xr:uid="{00000000-0005-0000-0000-00003B230000}"/>
    <cellStyle name="Currency 5 2 2 2 6 8 2" xfId="10524" xr:uid="{00000000-0005-0000-0000-00003C230000}"/>
    <cellStyle name="Currency 5 2 2 2 6 8 2 2" xfId="10525" xr:uid="{00000000-0005-0000-0000-00003D230000}"/>
    <cellStyle name="Currency 5 2 2 2 6 8 3" xfId="10526" xr:uid="{00000000-0005-0000-0000-00003E230000}"/>
    <cellStyle name="Currency 5 2 2 2 6 9" xfId="10527" xr:uid="{00000000-0005-0000-0000-00003F230000}"/>
    <cellStyle name="Currency 5 2 2 2 6 9 2" xfId="10528" xr:uid="{00000000-0005-0000-0000-000040230000}"/>
    <cellStyle name="Currency 5 2 2 2 7" xfId="1283" xr:uid="{00000000-0005-0000-0000-000041230000}"/>
    <cellStyle name="Currency 5 2 2 2 7 2" xfId="10530" xr:uid="{00000000-0005-0000-0000-000042230000}"/>
    <cellStyle name="Currency 5 2 2 2 7 2 2" xfId="10531" xr:uid="{00000000-0005-0000-0000-000043230000}"/>
    <cellStyle name="Currency 5 2 2 2 7 2 2 2" xfId="10532" xr:uid="{00000000-0005-0000-0000-000044230000}"/>
    <cellStyle name="Currency 5 2 2 2 7 2 2 2 2" xfId="10533" xr:uid="{00000000-0005-0000-0000-000045230000}"/>
    <cellStyle name="Currency 5 2 2 2 7 2 2 3" xfId="10534" xr:uid="{00000000-0005-0000-0000-000046230000}"/>
    <cellStyle name="Currency 5 2 2 2 7 2 3" xfId="10535" xr:uid="{00000000-0005-0000-0000-000047230000}"/>
    <cellStyle name="Currency 5 2 2 2 7 2 3 2" xfId="10536" xr:uid="{00000000-0005-0000-0000-000048230000}"/>
    <cellStyle name="Currency 5 2 2 2 7 2 4" xfId="10537" xr:uid="{00000000-0005-0000-0000-000049230000}"/>
    <cellStyle name="Currency 5 2 2 2 7 3" xfId="10538" xr:uid="{00000000-0005-0000-0000-00004A230000}"/>
    <cellStyle name="Currency 5 2 2 2 7 3 2" xfId="10539" xr:uid="{00000000-0005-0000-0000-00004B230000}"/>
    <cellStyle name="Currency 5 2 2 2 7 3 2 2" xfId="10540" xr:uid="{00000000-0005-0000-0000-00004C230000}"/>
    <cellStyle name="Currency 5 2 2 2 7 3 2 2 2" xfId="10541" xr:uid="{00000000-0005-0000-0000-00004D230000}"/>
    <cellStyle name="Currency 5 2 2 2 7 3 2 3" xfId="10542" xr:uid="{00000000-0005-0000-0000-00004E230000}"/>
    <cellStyle name="Currency 5 2 2 2 7 3 3" xfId="10543" xr:uid="{00000000-0005-0000-0000-00004F230000}"/>
    <cellStyle name="Currency 5 2 2 2 7 3 3 2" xfId="10544" xr:uid="{00000000-0005-0000-0000-000050230000}"/>
    <cellStyle name="Currency 5 2 2 2 7 3 4" xfId="10545" xr:uid="{00000000-0005-0000-0000-000051230000}"/>
    <cellStyle name="Currency 5 2 2 2 7 4" xfId="10546" xr:uid="{00000000-0005-0000-0000-000052230000}"/>
    <cellStyle name="Currency 5 2 2 2 7 4 2" xfId="10547" xr:uid="{00000000-0005-0000-0000-000053230000}"/>
    <cellStyle name="Currency 5 2 2 2 7 4 2 2" xfId="10548" xr:uid="{00000000-0005-0000-0000-000054230000}"/>
    <cellStyle name="Currency 5 2 2 2 7 4 3" xfId="10549" xr:uid="{00000000-0005-0000-0000-000055230000}"/>
    <cellStyle name="Currency 5 2 2 2 7 5" xfId="10550" xr:uid="{00000000-0005-0000-0000-000056230000}"/>
    <cellStyle name="Currency 5 2 2 2 7 5 2" xfId="10551" xr:uid="{00000000-0005-0000-0000-000057230000}"/>
    <cellStyle name="Currency 5 2 2 2 7 6" xfId="10552" xr:uid="{00000000-0005-0000-0000-000058230000}"/>
    <cellStyle name="Currency 5 2 2 2 7 7" xfId="10529" xr:uid="{00000000-0005-0000-0000-000059230000}"/>
    <cellStyle name="Currency 5 2 2 2 8" xfId="10553" xr:uid="{00000000-0005-0000-0000-00005A230000}"/>
    <cellStyle name="Currency 5 2 2 2 8 2" xfId="10554" xr:uid="{00000000-0005-0000-0000-00005B230000}"/>
    <cellStyle name="Currency 5 2 2 2 8 2 2" xfId="10555" xr:uid="{00000000-0005-0000-0000-00005C230000}"/>
    <cellStyle name="Currency 5 2 2 2 8 2 2 2" xfId="10556" xr:uid="{00000000-0005-0000-0000-00005D230000}"/>
    <cellStyle name="Currency 5 2 2 2 8 2 2 2 2" xfId="10557" xr:uid="{00000000-0005-0000-0000-00005E230000}"/>
    <cellStyle name="Currency 5 2 2 2 8 2 2 3" xfId="10558" xr:uid="{00000000-0005-0000-0000-00005F230000}"/>
    <cellStyle name="Currency 5 2 2 2 8 2 3" xfId="10559" xr:uid="{00000000-0005-0000-0000-000060230000}"/>
    <cellStyle name="Currency 5 2 2 2 8 2 3 2" xfId="10560" xr:uid="{00000000-0005-0000-0000-000061230000}"/>
    <cellStyle name="Currency 5 2 2 2 8 2 4" xfId="10561" xr:uid="{00000000-0005-0000-0000-000062230000}"/>
    <cellStyle name="Currency 5 2 2 2 8 3" xfId="10562" xr:uid="{00000000-0005-0000-0000-000063230000}"/>
    <cellStyle name="Currency 5 2 2 2 8 3 2" xfId="10563" xr:uid="{00000000-0005-0000-0000-000064230000}"/>
    <cellStyle name="Currency 5 2 2 2 8 3 2 2" xfId="10564" xr:uid="{00000000-0005-0000-0000-000065230000}"/>
    <cellStyle name="Currency 5 2 2 2 8 3 3" xfId="10565" xr:uid="{00000000-0005-0000-0000-000066230000}"/>
    <cellStyle name="Currency 5 2 2 2 8 4" xfId="10566" xr:uid="{00000000-0005-0000-0000-000067230000}"/>
    <cellStyle name="Currency 5 2 2 2 8 4 2" xfId="10567" xr:uid="{00000000-0005-0000-0000-000068230000}"/>
    <cellStyle name="Currency 5 2 2 2 8 5" xfId="10568" xr:uid="{00000000-0005-0000-0000-000069230000}"/>
    <cellStyle name="Currency 5 2 2 2 9" xfId="10569" xr:uid="{00000000-0005-0000-0000-00006A230000}"/>
    <cellStyle name="Currency 5 2 2 2 9 2" xfId="10570" xr:uid="{00000000-0005-0000-0000-00006B230000}"/>
    <cellStyle name="Currency 5 2 2 2 9 2 2" xfId="10571" xr:uid="{00000000-0005-0000-0000-00006C230000}"/>
    <cellStyle name="Currency 5 2 2 2 9 2 2 2" xfId="10572" xr:uid="{00000000-0005-0000-0000-00006D230000}"/>
    <cellStyle name="Currency 5 2 2 2 9 2 2 2 2" xfId="10573" xr:uid="{00000000-0005-0000-0000-00006E230000}"/>
    <cellStyle name="Currency 5 2 2 2 9 2 2 3" xfId="10574" xr:uid="{00000000-0005-0000-0000-00006F230000}"/>
    <cellStyle name="Currency 5 2 2 2 9 2 3" xfId="10575" xr:uid="{00000000-0005-0000-0000-000070230000}"/>
    <cellStyle name="Currency 5 2 2 2 9 2 3 2" xfId="10576" xr:uid="{00000000-0005-0000-0000-000071230000}"/>
    <cellStyle name="Currency 5 2 2 2 9 2 4" xfId="10577" xr:uid="{00000000-0005-0000-0000-000072230000}"/>
    <cellStyle name="Currency 5 2 2 2 9 3" xfId="10578" xr:uid="{00000000-0005-0000-0000-000073230000}"/>
    <cellStyle name="Currency 5 2 2 2 9 3 2" xfId="10579" xr:uid="{00000000-0005-0000-0000-000074230000}"/>
    <cellStyle name="Currency 5 2 2 2 9 3 2 2" xfId="10580" xr:uid="{00000000-0005-0000-0000-000075230000}"/>
    <cellStyle name="Currency 5 2 2 2 9 3 3" xfId="10581" xr:uid="{00000000-0005-0000-0000-000076230000}"/>
    <cellStyle name="Currency 5 2 2 2 9 4" xfId="10582" xr:uid="{00000000-0005-0000-0000-000077230000}"/>
    <cellStyle name="Currency 5 2 2 2 9 4 2" xfId="10583" xr:uid="{00000000-0005-0000-0000-000078230000}"/>
    <cellStyle name="Currency 5 2 2 2 9 5" xfId="10584" xr:uid="{00000000-0005-0000-0000-000079230000}"/>
    <cellStyle name="Currency 5 2 2 20" xfId="9048" xr:uid="{00000000-0005-0000-0000-00007A230000}"/>
    <cellStyle name="Currency 5 2 2 3" xfId="304" xr:uid="{00000000-0005-0000-0000-00007B230000}"/>
    <cellStyle name="Currency 5 2 2 3 10" xfId="10586" xr:uid="{00000000-0005-0000-0000-00007C230000}"/>
    <cellStyle name="Currency 5 2 2 3 10 2" xfId="10587" xr:uid="{00000000-0005-0000-0000-00007D230000}"/>
    <cellStyle name="Currency 5 2 2 3 10 2 2" xfId="10588" xr:uid="{00000000-0005-0000-0000-00007E230000}"/>
    <cellStyle name="Currency 5 2 2 3 10 2 2 2" xfId="10589" xr:uid="{00000000-0005-0000-0000-00007F230000}"/>
    <cellStyle name="Currency 5 2 2 3 10 2 3" xfId="10590" xr:uid="{00000000-0005-0000-0000-000080230000}"/>
    <cellStyle name="Currency 5 2 2 3 10 3" xfId="10591" xr:uid="{00000000-0005-0000-0000-000081230000}"/>
    <cellStyle name="Currency 5 2 2 3 10 3 2" xfId="10592" xr:uid="{00000000-0005-0000-0000-000082230000}"/>
    <cellStyle name="Currency 5 2 2 3 10 4" xfId="10593" xr:uid="{00000000-0005-0000-0000-000083230000}"/>
    <cellStyle name="Currency 5 2 2 3 11" xfId="10594" xr:uid="{00000000-0005-0000-0000-000084230000}"/>
    <cellStyle name="Currency 5 2 2 3 11 2" xfId="10595" xr:uid="{00000000-0005-0000-0000-000085230000}"/>
    <cellStyle name="Currency 5 2 2 3 11 2 2" xfId="10596" xr:uid="{00000000-0005-0000-0000-000086230000}"/>
    <cellStyle name="Currency 5 2 2 3 11 2 2 2" xfId="10597" xr:uid="{00000000-0005-0000-0000-000087230000}"/>
    <cellStyle name="Currency 5 2 2 3 11 2 3" xfId="10598" xr:uid="{00000000-0005-0000-0000-000088230000}"/>
    <cellStyle name="Currency 5 2 2 3 11 3" xfId="10599" xr:uid="{00000000-0005-0000-0000-000089230000}"/>
    <cellStyle name="Currency 5 2 2 3 11 3 2" xfId="10600" xr:uid="{00000000-0005-0000-0000-00008A230000}"/>
    <cellStyle name="Currency 5 2 2 3 11 4" xfId="10601" xr:uid="{00000000-0005-0000-0000-00008B230000}"/>
    <cellStyle name="Currency 5 2 2 3 12" xfId="10602" xr:uid="{00000000-0005-0000-0000-00008C230000}"/>
    <cellStyle name="Currency 5 2 2 3 12 2" xfId="10603" xr:uid="{00000000-0005-0000-0000-00008D230000}"/>
    <cellStyle name="Currency 5 2 2 3 12 2 2" xfId="10604" xr:uid="{00000000-0005-0000-0000-00008E230000}"/>
    <cellStyle name="Currency 5 2 2 3 12 3" xfId="10605" xr:uid="{00000000-0005-0000-0000-00008F230000}"/>
    <cellStyle name="Currency 5 2 2 3 13" xfId="10606" xr:uid="{00000000-0005-0000-0000-000090230000}"/>
    <cellStyle name="Currency 5 2 2 3 13 2" xfId="10607" xr:uid="{00000000-0005-0000-0000-000091230000}"/>
    <cellStyle name="Currency 5 2 2 3 13 2 2" xfId="10608" xr:uid="{00000000-0005-0000-0000-000092230000}"/>
    <cellStyle name="Currency 5 2 2 3 13 3" xfId="10609" xr:uid="{00000000-0005-0000-0000-000093230000}"/>
    <cellStyle name="Currency 5 2 2 3 14" xfId="10610" xr:uid="{00000000-0005-0000-0000-000094230000}"/>
    <cellStyle name="Currency 5 2 2 3 14 2" xfId="10611" xr:uid="{00000000-0005-0000-0000-000095230000}"/>
    <cellStyle name="Currency 5 2 2 3 14 2 2" xfId="10612" xr:uid="{00000000-0005-0000-0000-000096230000}"/>
    <cellStyle name="Currency 5 2 2 3 14 3" xfId="10613" xr:uid="{00000000-0005-0000-0000-000097230000}"/>
    <cellStyle name="Currency 5 2 2 3 15" xfId="10614" xr:uid="{00000000-0005-0000-0000-000098230000}"/>
    <cellStyle name="Currency 5 2 2 3 15 2" xfId="10615" xr:uid="{00000000-0005-0000-0000-000099230000}"/>
    <cellStyle name="Currency 5 2 2 3 16" xfId="10616" xr:uid="{00000000-0005-0000-0000-00009A230000}"/>
    <cellStyle name="Currency 5 2 2 3 17" xfId="10617" xr:uid="{00000000-0005-0000-0000-00009B230000}"/>
    <cellStyle name="Currency 5 2 2 3 18" xfId="10585" xr:uid="{00000000-0005-0000-0000-00009C230000}"/>
    <cellStyle name="Currency 5 2 2 3 2" xfId="305" xr:uid="{00000000-0005-0000-0000-00009D230000}"/>
    <cellStyle name="Currency 5 2 2 3 2 10" xfId="10619" xr:uid="{00000000-0005-0000-0000-00009E230000}"/>
    <cellStyle name="Currency 5 2 2 3 2 10 2" xfId="10620" xr:uid="{00000000-0005-0000-0000-00009F230000}"/>
    <cellStyle name="Currency 5 2 2 3 2 10 2 2" xfId="10621" xr:uid="{00000000-0005-0000-0000-0000A0230000}"/>
    <cellStyle name="Currency 5 2 2 3 2 10 2 2 2" xfId="10622" xr:uid="{00000000-0005-0000-0000-0000A1230000}"/>
    <cellStyle name="Currency 5 2 2 3 2 10 2 3" xfId="10623" xr:uid="{00000000-0005-0000-0000-0000A2230000}"/>
    <cellStyle name="Currency 5 2 2 3 2 10 3" xfId="10624" xr:uid="{00000000-0005-0000-0000-0000A3230000}"/>
    <cellStyle name="Currency 5 2 2 3 2 10 3 2" xfId="10625" xr:uid="{00000000-0005-0000-0000-0000A4230000}"/>
    <cellStyle name="Currency 5 2 2 3 2 10 4" xfId="10626" xr:uid="{00000000-0005-0000-0000-0000A5230000}"/>
    <cellStyle name="Currency 5 2 2 3 2 11" xfId="10627" xr:uid="{00000000-0005-0000-0000-0000A6230000}"/>
    <cellStyle name="Currency 5 2 2 3 2 11 2" xfId="10628" xr:uid="{00000000-0005-0000-0000-0000A7230000}"/>
    <cellStyle name="Currency 5 2 2 3 2 11 2 2" xfId="10629" xr:uid="{00000000-0005-0000-0000-0000A8230000}"/>
    <cellStyle name="Currency 5 2 2 3 2 11 3" xfId="10630" xr:uid="{00000000-0005-0000-0000-0000A9230000}"/>
    <cellStyle name="Currency 5 2 2 3 2 12" xfId="10631" xr:uid="{00000000-0005-0000-0000-0000AA230000}"/>
    <cellStyle name="Currency 5 2 2 3 2 12 2" xfId="10632" xr:uid="{00000000-0005-0000-0000-0000AB230000}"/>
    <cellStyle name="Currency 5 2 2 3 2 12 2 2" xfId="10633" xr:uid="{00000000-0005-0000-0000-0000AC230000}"/>
    <cellStyle name="Currency 5 2 2 3 2 12 3" xfId="10634" xr:uid="{00000000-0005-0000-0000-0000AD230000}"/>
    <cellStyle name="Currency 5 2 2 3 2 13" xfId="10635" xr:uid="{00000000-0005-0000-0000-0000AE230000}"/>
    <cellStyle name="Currency 5 2 2 3 2 13 2" xfId="10636" xr:uid="{00000000-0005-0000-0000-0000AF230000}"/>
    <cellStyle name="Currency 5 2 2 3 2 13 2 2" xfId="10637" xr:uid="{00000000-0005-0000-0000-0000B0230000}"/>
    <cellStyle name="Currency 5 2 2 3 2 13 3" xfId="10638" xr:uid="{00000000-0005-0000-0000-0000B1230000}"/>
    <cellStyle name="Currency 5 2 2 3 2 14" xfId="10639" xr:uid="{00000000-0005-0000-0000-0000B2230000}"/>
    <cellStyle name="Currency 5 2 2 3 2 14 2" xfId="10640" xr:uid="{00000000-0005-0000-0000-0000B3230000}"/>
    <cellStyle name="Currency 5 2 2 3 2 15" xfId="10641" xr:uid="{00000000-0005-0000-0000-0000B4230000}"/>
    <cellStyle name="Currency 5 2 2 3 2 16" xfId="10642" xr:uid="{00000000-0005-0000-0000-0000B5230000}"/>
    <cellStyle name="Currency 5 2 2 3 2 17" xfId="10618" xr:uid="{00000000-0005-0000-0000-0000B6230000}"/>
    <cellStyle name="Currency 5 2 2 3 2 2" xfId="306" xr:uid="{00000000-0005-0000-0000-0000B7230000}"/>
    <cellStyle name="Currency 5 2 2 3 2 2 10" xfId="10644" xr:uid="{00000000-0005-0000-0000-0000B8230000}"/>
    <cellStyle name="Currency 5 2 2 3 2 2 10 2" xfId="10645" xr:uid="{00000000-0005-0000-0000-0000B9230000}"/>
    <cellStyle name="Currency 5 2 2 3 2 2 10 2 2" xfId="10646" xr:uid="{00000000-0005-0000-0000-0000BA230000}"/>
    <cellStyle name="Currency 5 2 2 3 2 2 10 3" xfId="10647" xr:uid="{00000000-0005-0000-0000-0000BB230000}"/>
    <cellStyle name="Currency 5 2 2 3 2 2 11" xfId="10648" xr:uid="{00000000-0005-0000-0000-0000BC230000}"/>
    <cellStyle name="Currency 5 2 2 3 2 2 11 2" xfId="10649" xr:uid="{00000000-0005-0000-0000-0000BD230000}"/>
    <cellStyle name="Currency 5 2 2 3 2 2 11 2 2" xfId="10650" xr:uid="{00000000-0005-0000-0000-0000BE230000}"/>
    <cellStyle name="Currency 5 2 2 3 2 2 11 3" xfId="10651" xr:uid="{00000000-0005-0000-0000-0000BF230000}"/>
    <cellStyle name="Currency 5 2 2 3 2 2 12" xfId="10652" xr:uid="{00000000-0005-0000-0000-0000C0230000}"/>
    <cellStyle name="Currency 5 2 2 3 2 2 12 2" xfId="10653" xr:uid="{00000000-0005-0000-0000-0000C1230000}"/>
    <cellStyle name="Currency 5 2 2 3 2 2 13" xfId="10654" xr:uid="{00000000-0005-0000-0000-0000C2230000}"/>
    <cellStyle name="Currency 5 2 2 3 2 2 14" xfId="10655" xr:uid="{00000000-0005-0000-0000-0000C3230000}"/>
    <cellStyle name="Currency 5 2 2 3 2 2 15" xfId="10643" xr:uid="{00000000-0005-0000-0000-0000C4230000}"/>
    <cellStyle name="Currency 5 2 2 3 2 2 2" xfId="877" xr:uid="{00000000-0005-0000-0000-0000C5230000}"/>
    <cellStyle name="Currency 5 2 2 3 2 2 2 10" xfId="10657" xr:uid="{00000000-0005-0000-0000-0000C6230000}"/>
    <cellStyle name="Currency 5 2 2 3 2 2 2 11" xfId="10656" xr:uid="{00000000-0005-0000-0000-0000C7230000}"/>
    <cellStyle name="Currency 5 2 2 3 2 2 2 2" xfId="1618" xr:uid="{00000000-0005-0000-0000-0000C8230000}"/>
    <cellStyle name="Currency 5 2 2 3 2 2 2 2 2" xfId="10659" xr:uid="{00000000-0005-0000-0000-0000C9230000}"/>
    <cellStyle name="Currency 5 2 2 3 2 2 2 2 2 2" xfId="10660" xr:uid="{00000000-0005-0000-0000-0000CA230000}"/>
    <cellStyle name="Currency 5 2 2 3 2 2 2 2 2 2 2" xfId="10661" xr:uid="{00000000-0005-0000-0000-0000CB230000}"/>
    <cellStyle name="Currency 5 2 2 3 2 2 2 2 2 2 2 2" xfId="10662" xr:uid="{00000000-0005-0000-0000-0000CC230000}"/>
    <cellStyle name="Currency 5 2 2 3 2 2 2 2 2 2 3" xfId="10663" xr:uid="{00000000-0005-0000-0000-0000CD230000}"/>
    <cellStyle name="Currency 5 2 2 3 2 2 2 2 2 3" xfId="10664" xr:uid="{00000000-0005-0000-0000-0000CE230000}"/>
    <cellStyle name="Currency 5 2 2 3 2 2 2 2 2 3 2" xfId="10665" xr:uid="{00000000-0005-0000-0000-0000CF230000}"/>
    <cellStyle name="Currency 5 2 2 3 2 2 2 2 2 4" xfId="10666" xr:uid="{00000000-0005-0000-0000-0000D0230000}"/>
    <cellStyle name="Currency 5 2 2 3 2 2 2 2 3" xfId="10667" xr:uid="{00000000-0005-0000-0000-0000D1230000}"/>
    <cellStyle name="Currency 5 2 2 3 2 2 2 2 3 2" xfId="10668" xr:uid="{00000000-0005-0000-0000-0000D2230000}"/>
    <cellStyle name="Currency 5 2 2 3 2 2 2 2 3 2 2" xfId="10669" xr:uid="{00000000-0005-0000-0000-0000D3230000}"/>
    <cellStyle name="Currency 5 2 2 3 2 2 2 2 3 2 2 2" xfId="10670" xr:uid="{00000000-0005-0000-0000-0000D4230000}"/>
    <cellStyle name="Currency 5 2 2 3 2 2 2 2 3 2 3" xfId="10671" xr:uid="{00000000-0005-0000-0000-0000D5230000}"/>
    <cellStyle name="Currency 5 2 2 3 2 2 2 2 3 3" xfId="10672" xr:uid="{00000000-0005-0000-0000-0000D6230000}"/>
    <cellStyle name="Currency 5 2 2 3 2 2 2 2 3 3 2" xfId="10673" xr:uid="{00000000-0005-0000-0000-0000D7230000}"/>
    <cellStyle name="Currency 5 2 2 3 2 2 2 2 3 4" xfId="10674" xr:uid="{00000000-0005-0000-0000-0000D8230000}"/>
    <cellStyle name="Currency 5 2 2 3 2 2 2 2 4" xfId="10675" xr:uid="{00000000-0005-0000-0000-0000D9230000}"/>
    <cellStyle name="Currency 5 2 2 3 2 2 2 2 4 2" xfId="10676" xr:uid="{00000000-0005-0000-0000-0000DA230000}"/>
    <cellStyle name="Currency 5 2 2 3 2 2 2 2 4 2 2" xfId="10677" xr:uid="{00000000-0005-0000-0000-0000DB230000}"/>
    <cellStyle name="Currency 5 2 2 3 2 2 2 2 4 3" xfId="10678" xr:uid="{00000000-0005-0000-0000-0000DC230000}"/>
    <cellStyle name="Currency 5 2 2 3 2 2 2 2 5" xfId="10679" xr:uid="{00000000-0005-0000-0000-0000DD230000}"/>
    <cellStyle name="Currency 5 2 2 3 2 2 2 2 5 2" xfId="10680" xr:uid="{00000000-0005-0000-0000-0000DE230000}"/>
    <cellStyle name="Currency 5 2 2 3 2 2 2 2 6" xfId="10681" xr:uid="{00000000-0005-0000-0000-0000DF230000}"/>
    <cellStyle name="Currency 5 2 2 3 2 2 2 2 7" xfId="10658" xr:uid="{00000000-0005-0000-0000-0000E0230000}"/>
    <cellStyle name="Currency 5 2 2 3 2 2 2 3" xfId="10682" xr:uid="{00000000-0005-0000-0000-0000E1230000}"/>
    <cellStyle name="Currency 5 2 2 3 2 2 2 3 2" xfId="10683" xr:uid="{00000000-0005-0000-0000-0000E2230000}"/>
    <cellStyle name="Currency 5 2 2 3 2 2 2 3 2 2" xfId="10684" xr:uid="{00000000-0005-0000-0000-0000E3230000}"/>
    <cellStyle name="Currency 5 2 2 3 2 2 2 3 2 2 2" xfId="10685" xr:uid="{00000000-0005-0000-0000-0000E4230000}"/>
    <cellStyle name="Currency 5 2 2 3 2 2 2 3 2 2 2 2" xfId="10686" xr:uid="{00000000-0005-0000-0000-0000E5230000}"/>
    <cellStyle name="Currency 5 2 2 3 2 2 2 3 2 2 3" xfId="10687" xr:uid="{00000000-0005-0000-0000-0000E6230000}"/>
    <cellStyle name="Currency 5 2 2 3 2 2 2 3 2 3" xfId="10688" xr:uid="{00000000-0005-0000-0000-0000E7230000}"/>
    <cellStyle name="Currency 5 2 2 3 2 2 2 3 2 3 2" xfId="10689" xr:uid="{00000000-0005-0000-0000-0000E8230000}"/>
    <cellStyle name="Currency 5 2 2 3 2 2 2 3 2 4" xfId="10690" xr:uid="{00000000-0005-0000-0000-0000E9230000}"/>
    <cellStyle name="Currency 5 2 2 3 2 2 2 3 3" xfId="10691" xr:uid="{00000000-0005-0000-0000-0000EA230000}"/>
    <cellStyle name="Currency 5 2 2 3 2 2 2 3 3 2" xfId="10692" xr:uid="{00000000-0005-0000-0000-0000EB230000}"/>
    <cellStyle name="Currency 5 2 2 3 2 2 2 3 3 2 2" xfId="10693" xr:uid="{00000000-0005-0000-0000-0000EC230000}"/>
    <cellStyle name="Currency 5 2 2 3 2 2 2 3 3 3" xfId="10694" xr:uid="{00000000-0005-0000-0000-0000ED230000}"/>
    <cellStyle name="Currency 5 2 2 3 2 2 2 3 4" xfId="10695" xr:uid="{00000000-0005-0000-0000-0000EE230000}"/>
    <cellStyle name="Currency 5 2 2 3 2 2 2 3 4 2" xfId="10696" xr:uid="{00000000-0005-0000-0000-0000EF230000}"/>
    <cellStyle name="Currency 5 2 2 3 2 2 2 3 5" xfId="10697" xr:uid="{00000000-0005-0000-0000-0000F0230000}"/>
    <cellStyle name="Currency 5 2 2 3 2 2 2 4" xfId="10698" xr:uid="{00000000-0005-0000-0000-0000F1230000}"/>
    <cellStyle name="Currency 5 2 2 3 2 2 2 4 2" xfId="10699" xr:uid="{00000000-0005-0000-0000-0000F2230000}"/>
    <cellStyle name="Currency 5 2 2 3 2 2 2 4 2 2" xfId="10700" xr:uid="{00000000-0005-0000-0000-0000F3230000}"/>
    <cellStyle name="Currency 5 2 2 3 2 2 2 4 2 2 2" xfId="10701" xr:uid="{00000000-0005-0000-0000-0000F4230000}"/>
    <cellStyle name="Currency 5 2 2 3 2 2 2 4 2 2 2 2" xfId="10702" xr:uid="{00000000-0005-0000-0000-0000F5230000}"/>
    <cellStyle name="Currency 5 2 2 3 2 2 2 4 2 2 3" xfId="10703" xr:uid="{00000000-0005-0000-0000-0000F6230000}"/>
    <cellStyle name="Currency 5 2 2 3 2 2 2 4 2 3" xfId="10704" xr:uid="{00000000-0005-0000-0000-0000F7230000}"/>
    <cellStyle name="Currency 5 2 2 3 2 2 2 4 2 3 2" xfId="10705" xr:uid="{00000000-0005-0000-0000-0000F8230000}"/>
    <cellStyle name="Currency 5 2 2 3 2 2 2 4 2 4" xfId="10706" xr:uid="{00000000-0005-0000-0000-0000F9230000}"/>
    <cellStyle name="Currency 5 2 2 3 2 2 2 4 3" xfId="10707" xr:uid="{00000000-0005-0000-0000-0000FA230000}"/>
    <cellStyle name="Currency 5 2 2 3 2 2 2 4 3 2" xfId="10708" xr:uid="{00000000-0005-0000-0000-0000FB230000}"/>
    <cellStyle name="Currency 5 2 2 3 2 2 2 4 3 2 2" xfId="10709" xr:uid="{00000000-0005-0000-0000-0000FC230000}"/>
    <cellStyle name="Currency 5 2 2 3 2 2 2 4 3 3" xfId="10710" xr:uid="{00000000-0005-0000-0000-0000FD230000}"/>
    <cellStyle name="Currency 5 2 2 3 2 2 2 4 4" xfId="10711" xr:uid="{00000000-0005-0000-0000-0000FE230000}"/>
    <cellStyle name="Currency 5 2 2 3 2 2 2 4 4 2" xfId="10712" xr:uid="{00000000-0005-0000-0000-0000FF230000}"/>
    <cellStyle name="Currency 5 2 2 3 2 2 2 4 5" xfId="10713" xr:uid="{00000000-0005-0000-0000-000000240000}"/>
    <cellStyle name="Currency 5 2 2 3 2 2 2 5" xfId="10714" xr:uid="{00000000-0005-0000-0000-000001240000}"/>
    <cellStyle name="Currency 5 2 2 3 2 2 2 5 2" xfId="10715" xr:uid="{00000000-0005-0000-0000-000002240000}"/>
    <cellStyle name="Currency 5 2 2 3 2 2 2 5 2 2" xfId="10716" xr:uid="{00000000-0005-0000-0000-000003240000}"/>
    <cellStyle name="Currency 5 2 2 3 2 2 2 5 2 2 2" xfId="10717" xr:uid="{00000000-0005-0000-0000-000004240000}"/>
    <cellStyle name="Currency 5 2 2 3 2 2 2 5 2 3" xfId="10718" xr:uid="{00000000-0005-0000-0000-000005240000}"/>
    <cellStyle name="Currency 5 2 2 3 2 2 2 5 3" xfId="10719" xr:uid="{00000000-0005-0000-0000-000006240000}"/>
    <cellStyle name="Currency 5 2 2 3 2 2 2 5 3 2" xfId="10720" xr:uid="{00000000-0005-0000-0000-000007240000}"/>
    <cellStyle name="Currency 5 2 2 3 2 2 2 5 4" xfId="10721" xr:uid="{00000000-0005-0000-0000-000008240000}"/>
    <cellStyle name="Currency 5 2 2 3 2 2 2 6" xfId="10722" xr:uid="{00000000-0005-0000-0000-000009240000}"/>
    <cellStyle name="Currency 5 2 2 3 2 2 2 6 2" xfId="10723" xr:uid="{00000000-0005-0000-0000-00000A240000}"/>
    <cellStyle name="Currency 5 2 2 3 2 2 2 6 2 2" xfId="10724" xr:uid="{00000000-0005-0000-0000-00000B240000}"/>
    <cellStyle name="Currency 5 2 2 3 2 2 2 6 2 2 2" xfId="10725" xr:uid="{00000000-0005-0000-0000-00000C240000}"/>
    <cellStyle name="Currency 5 2 2 3 2 2 2 6 2 3" xfId="10726" xr:uid="{00000000-0005-0000-0000-00000D240000}"/>
    <cellStyle name="Currency 5 2 2 3 2 2 2 6 3" xfId="10727" xr:uid="{00000000-0005-0000-0000-00000E240000}"/>
    <cellStyle name="Currency 5 2 2 3 2 2 2 6 3 2" xfId="10728" xr:uid="{00000000-0005-0000-0000-00000F240000}"/>
    <cellStyle name="Currency 5 2 2 3 2 2 2 6 4" xfId="10729" xr:uid="{00000000-0005-0000-0000-000010240000}"/>
    <cellStyle name="Currency 5 2 2 3 2 2 2 7" xfId="10730" xr:uid="{00000000-0005-0000-0000-000011240000}"/>
    <cellStyle name="Currency 5 2 2 3 2 2 2 7 2" xfId="10731" xr:uid="{00000000-0005-0000-0000-000012240000}"/>
    <cellStyle name="Currency 5 2 2 3 2 2 2 7 2 2" xfId="10732" xr:uid="{00000000-0005-0000-0000-000013240000}"/>
    <cellStyle name="Currency 5 2 2 3 2 2 2 7 2 2 2" xfId="10733" xr:uid="{00000000-0005-0000-0000-000014240000}"/>
    <cellStyle name="Currency 5 2 2 3 2 2 2 7 2 3" xfId="10734" xr:uid="{00000000-0005-0000-0000-000015240000}"/>
    <cellStyle name="Currency 5 2 2 3 2 2 2 7 3" xfId="10735" xr:uid="{00000000-0005-0000-0000-000016240000}"/>
    <cellStyle name="Currency 5 2 2 3 2 2 2 7 3 2" xfId="10736" xr:uid="{00000000-0005-0000-0000-000017240000}"/>
    <cellStyle name="Currency 5 2 2 3 2 2 2 7 4" xfId="10737" xr:uid="{00000000-0005-0000-0000-000018240000}"/>
    <cellStyle name="Currency 5 2 2 3 2 2 2 8" xfId="10738" xr:uid="{00000000-0005-0000-0000-000019240000}"/>
    <cellStyle name="Currency 5 2 2 3 2 2 2 8 2" xfId="10739" xr:uid="{00000000-0005-0000-0000-00001A240000}"/>
    <cellStyle name="Currency 5 2 2 3 2 2 2 8 2 2" xfId="10740" xr:uid="{00000000-0005-0000-0000-00001B240000}"/>
    <cellStyle name="Currency 5 2 2 3 2 2 2 8 3" xfId="10741" xr:uid="{00000000-0005-0000-0000-00001C240000}"/>
    <cellStyle name="Currency 5 2 2 3 2 2 2 9" xfId="10742" xr:uid="{00000000-0005-0000-0000-00001D240000}"/>
    <cellStyle name="Currency 5 2 2 3 2 2 2 9 2" xfId="10743" xr:uid="{00000000-0005-0000-0000-00001E240000}"/>
    <cellStyle name="Currency 5 2 2 3 2 2 3" xfId="1293" xr:uid="{00000000-0005-0000-0000-00001F240000}"/>
    <cellStyle name="Currency 5 2 2 3 2 2 3 2" xfId="10745" xr:uid="{00000000-0005-0000-0000-000020240000}"/>
    <cellStyle name="Currency 5 2 2 3 2 2 3 2 2" xfId="10746" xr:uid="{00000000-0005-0000-0000-000021240000}"/>
    <cellStyle name="Currency 5 2 2 3 2 2 3 2 2 2" xfId="10747" xr:uid="{00000000-0005-0000-0000-000022240000}"/>
    <cellStyle name="Currency 5 2 2 3 2 2 3 2 2 2 2" xfId="10748" xr:uid="{00000000-0005-0000-0000-000023240000}"/>
    <cellStyle name="Currency 5 2 2 3 2 2 3 2 2 3" xfId="10749" xr:uid="{00000000-0005-0000-0000-000024240000}"/>
    <cellStyle name="Currency 5 2 2 3 2 2 3 2 3" xfId="10750" xr:uid="{00000000-0005-0000-0000-000025240000}"/>
    <cellStyle name="Currency 5 2 2 3 2 2 3 2 3 2" xfId="10751" xr:uid="{00000000-0005-0000-0000-000026240000}"/>
    <cellStyle name="Currency 5 2 2 3 2 2 3 2 4" xfId="10752" xr:uid="{00000000-0005-0000-0000-000027240000}"/>
    <cellStyle name="Currency 5 2 2 3 2 2 3 3" xfId="10753" xr:uid="{00000000-0005-0000-0000-000028240000}"/>
    <cellStyle name="Currency 5 2 2 3 2 2 3 3 2" xfId="10754" xr:uid="{00000000-0005-0000-0000-000029240000}"/>
    <cellStyle name="Currency 5 2 2 3 2 2 3 3 2 2" xfId="10755" xr:uid="{00000000-0005-0000-0000-00002A240000}"/>
    <cellStyle name="Currency 5 2 2 3 2 2 3 3 2 2 2" xfId="10756" xr:uid="{00000000-0005-0000-0000-00002B240000}"/>
    <cellStyle name="Currency 5 2 2 3 2 2 3 3 2 3" xfId="10757" xr:uid="{00000000-0005-0000-0000-00002C240000}"/>
    <cellStyle name="Currency 5 2 2 3 2 2 3 3 3" xfId="10758" xr:uid="{00000000-0005-0000-0000-00002D240000}"/>
    <cellStyle name="Currency 5 2 2 3 2 2 3 3 3 2" xfId="10759" xr:uid="{00000000-0005-0000-0000-00002E240000}"/>
    <cellStyle name="Currency 5 2 2 3 2 2 3 3 4" xfId="10760" xr:uid="{00000000-0005-0000-0000-00002F240000}"/>
    <cellStyle name="Currency 5 2 2 3 2 2 3 4" xfId="10761" xr:uid="{00000000-0005-0000-0000-000030240000}"/>
    <cellStyle name="Currency 5 2 2 3 2 2 3 4 2" xfId="10762" xr:uid="{00000000-0005-0000-0000-000031240000}"/>
    <cellStyle name="Currency 5 2 2 3 2 2 3 4 2 2" xfId="10763" xr:uid="{00000000-0005-0000-0000-000032240000}"/>
    <cellStyle name="Currency 5 2 2 3 2 2 3 4 3" xfId="10764" xr:uid="{00000000-0005-0000-0000-000033240000}"/>
    <cellStyle name="Currency 5 2 2 3 2 2 3 5" xfId="10765" xr:uid="{00000000-0005-0000-0000-000034240000}"/>
    <cellStyle name="Currency 5 2 2 3 2 2 3 5 2" xfId="10766" xr:uid="{00000000-0005-0000-0000-000035240000}"/>
    <cellStyle name="Currency 5 2 2 3 2 2 3 6" xfId="10767" xr:uid="{00000000-0005-0000-0000-000036240000}"/>
    <cellStyle name="Currency 5 2 2 3 2 2 3 7" xfId="10744" xr:uid="{00000000-0005-0000-0000-000037240000}"/>
    <cellStyle name="Currency 5 2 2 3 2 2 4" xfId="10768" xr:uid="{00000000-0005-0000-0000-000038240000}"/>
    <cellStyle name="Currency 5 2 2 3 2 2 4 2" xfId="10769" xr:uid="{00000000-0005-0000-0000-000039240000}"/>
    <cellStyle name="Currency 5 2 2 3 2 2 4 2 2" xfId="10770" xr:uid="{00000000-0005-0000-0000-00003A240000}"/>
    <cellStyle name="Currency 5 2 2 3 2 2 4 2 2 2" xfId="10771" xr:uid="{00000000-0005-0000-0000-00003B240000}"/>
    <cellStyle name="Currency 5 2 2 3 2 2 4 2 2 2 2" xfId="10772" xr:uid="{00000000-0005-0000-0000-00003C240000}"/>
    <cellStyle name="Currency 5 2 2 3 2 2 4 2 2 3" xfId="10773" xr:uid="{00000000-0005-0000-0000-00003D240000}"/>
    <cellStyle name="Currency 5 2 2 3 2 2 4 2 3" xfId="10774" xr:uid="{00000000-0005-0000-0000-00003E240000}"/>
    <cellStyle name="Currency 5 2 2 3 2 2 4 2 3 2" xfId="10775" xr:uid="{00000000-0005-0000-0000-00003F240000}"/>
    <cellStyle name="Currency 5 2 2 3 2 2 4 2 4" xfId="10776" xr:uid="{00000000-0005-0000-0000-000040240000}"/>
    <cellStyle name="Currency 5 2 2 3 2 2 4 3" xfId="10777" xr:uid="{00000000-0005-0000-0000-000041240000}"/>
    <cellStyle name="Currency 5 2 2 3 2 2 4 3 2" xfId="10778" xr:uid="{00000000-0005-0000-0000-000042240000}"/>
    <cellStyle name="Currency 5 2 2 3 2 2 4 3 2 2" xfId="10779" xr:uid="{00000000-0005-0000-0000-000043240000}"/>
    <cellStyle name="Currency 5 2 2 3 2 2 4 3 3" xfId="10780" xr:uid="{00000000-0005-0000-0000-000044240000}"/>
    <cellStyle name="Currency 5 2 2 3 2 2 4 4" xfId="10781" xr:uid="{00000000-0005-0000-0000-000045240000}"/>
    <cellStyle name="Currency 5 2 2 3 2 2 4 4 2" xfId="10782" xr:uid="{00000000-0005-0000-0000-000046240000}"/>
    <cellStyle name="Currency 5 2 2 3 2 2 4 5" xfId="10783" xr:uid="{00000000-0005-0000-0000-000047240000}"/>
    <cellStyle name="Currency 5 2 2 3 2 2 5" xfId="10784" xr:uid="{00000000-0005-0000-0000-000048240000}"/>
    <cellStyle name="Currency 5 2 2 3 2 2 5 2" xfId="10785" xr:uid="{00000000-0005-0000-0000-000049240000}"/>
    <cellStyle name="Currency 5 2 2 3 2 2 5 2 2" xfId="10786" xr:uid="{00000000-0005-0000-0000-00004A240000}"/>
    <cellStyle name="Currency 5 2 2 3 2 2 5 2 2 2" xfId="10787" xr:uid="{00000000-0005-0000-0000-00004B240000}"/>
    <cellStyle name="Currency 5 2 2 3 2 2 5 2 2 2 2" xfId="10788" xr:uid="{00000000-0005-0000-0000-00004C240000}"/>
    <cellStyle name="Currency 5 2 2 3 2 2 5 2 2 3" xfId="10789" xr:uid="{00000000-0005-0000-0000-00004D240000}"/>
    <cellStyle name="Currency 5 2 2 3 2 2 5 2 3" xfId="10790" xr:uid="{00000000-0005-0000-0000-00004E240000}"/>
    <cellStyle name="Currency 5 2 2 3 2 2 5 2 3 2" xfId="10791" xr:uid="{00000000-0005-0000-0000-00004F240000}"/>
    <cellStyle name="Currency 5 2 2 3 2 2 5 2 4" xfId="10792" xr:uid="{00000000-0005-0000-0000-000050240000}"/>
    <cellStyle name="Currency 5 2 2 3 2 2 5 3" xfId="10793" xr:uid="{00000000-0005-0000-0000-000051240000}"/>
    <cellStyle name="Currency 5 2 2 3 2 2 5 3 2" xfId="10794" xr:uid="{00000000-0005-0000-0000-000052240000}"/>
    <cellStyle name="Currency 5 2 2 3 2 2 5 3 2 2" xfId="10795" xr:uid="{00000000-0005-0000-0000-000053240000}"/>
    <cellStyle name="Currency 5 2 2 3 2 2 5 3 3" xfId="10796" xr:uid="{00000000-0005-0000-0000-000054240000}"/>
    <cellStyle name="Currency 5 2 2 3 2 2 5 4" xfId="10797" xr:uid="{00000000-0005-0000-0000-000055240000}"/>
    <cellStyle name="Currency 5 2 2 3 2 2 5 4 2" xfId="10798" xr:uid="{00000000-0005-0000-0000-000056240000}"/>
    <cellStyle name="Currency 5 2 2 3 2 2 5 5" xfId="10799" xr:uid="{00000000-0005-0000-0000-000057240000}"/>
    <cellStyle name="Currency 5 2 2 3 2 2 6" xfId="10800" xr:uid="{00000000-0005-0000-0000-000058240000}"/>
    <cellStyle name="Currency 5 2 2 3 2 2 6 2" xfId="10801" xr:uid="{00000000-0005-0000-0000-000059240000}"/>
    <cellStyle name="Currency 5 2 2 3 2 2 6 2 2" xfId="10802" xr:uid="{00000000-0005-0000-0000-00005A240000}"/>
    <cellStyle name="Currency 5 2 2 3 2 2 6 2 2 2" xfId="10803" xr:uid="{00000000-0005-0000-0000-00005B240000}"/>
    <cellStyle name="Currency 5 2 2 3 2 2 6 2 3" xfId="10804" xr:uid="{00000000-0005-0000-0000-00005C240000}"/>
    <cellStyle name="Currency 5 2 2 3 2 2 6 3" xfId="10805" xr:uid="{00000000-0005-0000-0000-00005D240000}"/>
    <cellStyle name="Currency 5 2 2 3 2 2 6 3 2" xfId="10806" xr:uid="{00000000-0005-0000-0000-00005E240000}"/>
    <cellStyle name="Currency 5 2 2 3 2 2 6 4" xfId="10807" xr:uid="{00000000-0005-0000-0000-00005F240000}"/>
    <cellStyle name="Currency 5 2 2 3 2 2 7" xfId="10808" xr:uid="{00000000-0005-0000-0000-000060240000}"/>
    <cellStyle name="Currency 5 2 2 3 2 2 7 2" xfId="10809" xr:uid="{00000000-0005-0000-0000-000061240000}"/>
    <cellStyle name="Currency 5 2 2 3 2 2 7 2 2" xfId="10810" xr:uid="{00000000-0005-0000-0000-000062240000}"/>
    <cellStyle name="Currency 5 2 2 3 2 2 7 2 2 2" xfId="10811" xr:uid="{00000000-0005-0000-0000-000063240000}"/>
    <cellStyle name="Currency 5 2 2 3 2 2 7 2 3" xfId="10812" xr:uid="{00000000-0005-0000-0000-000064240000}"/>
    <cellStyle name="Currency 5 2 2 3 2 2 7 3" xfId="10813" xr:uid="{00000000-0005-0000-0000-000065240000}"/>
    <cellStyle name="Currency 5 2 2 3 2 2 7 3 2" xfId="10814" xr:uid="{00000000-0005-0000-0000-000066240000}"/>
    <cellStyle name="Currency 5 2 2 3 2 2 7 4" xfId="10815" xr:uid="{00000000-0005-0000-0000-000067240000}"/>
    <cellStyle name="Currency 5 2 2 3 2 2 8" xfId="10816" xr:uid="{00000000-0005-0000-0000-000068240000}"/>
    <cellStyle name="Currency 5 2 2 3 2 2 8 2" xfId="10817" xr:uid="{00000000-0005-0000-0000-000069240000}"/>
    <cellStyle name="Currency 5 2 2 3 2 2 8 2 2" xfId="10818" xr:uid="{00000000-0005-0000-0000-00006A240000}"/>
    <cellStyle name="Currency 5 2 2 3 2 2 8 2 2 2" xfId="10819" xr:uid="{00000000-0005-0000-0000-00006B240000}"/>
    <cellStyle name="Currency 5 2 2 3 2 2 8 2 3" xfId="10820" xr:uid="{00000000-0005-0000-0000-00006C240000}"/>
    <cellStyle name="Currency 5 2 2 3 2 2 8 3" xfId="10821" xr:uid="{00000000-0005-0000-0000-00006D240000}"/>
    <cellStyle name="Currency 5 2 2 3 2 2 8 3 2" xfId="10822" xr:uid="{00000000-0005-0000-0000-00006E240000}"/>
    <cellStyle name="Currency 5 2 2 3 2 2 8 4" xfId="10823" xr:uid="{00000000-0005-0000-0000-00006F240000}"/>
    <cellStyle name="Currency 5 2 2 3 2 2 9" xfId="10824" xr:uid="{00000000-0005-0000-0000-000070240000}"/>
    <cellStyle name="Currency 5 2 2 3 2 2 9 2" xfId="10825" xr:uid="{00000000-0005-0000-0000-000071240000}"/>
    <cellStyle name="Currency 5 2 2 3 2 2 9 2 2" xfId="10826" xr:uid="{00000000-0005-0000-0000-000072240000}"/>
    <cellStyle name="Currency 5 2 2 3 2 2 9 3" xfId="10827" xr:uid="{00000000-0005-0000-0000-000073240000}"/>
    <cellStyle name="Currency 5 2 2 3 2 3" xfId="307" xr:uid="{00000000-0005-0000-0000-000074240000}"/>
    <cellStyle name="Currency 5 2 2 3 2 4" xfId="876" xr:uid="{00000000-0005-0000-0000-000075240000}"/>
    <cellStyle name="Currency 5 2 2 3 2 4 10" xfId="10829" xr:uid="{00000000-0005-0000-0000-000076240000}"/>
    <cellStyle name="Currency 5 2 2 3 2 4 11" xfId="10828" xr:uid="{00000000-0005-0000-0000-000077240000}"/>
    <cellStyle name="Currency 5 2 2 3 2 4 2" xfId="1617" xr:uid="{00000000-0005-0000-0000-000078240000}"/>
    <cellStyle name="Currency 5 2 2 3 2 4 2 2" xfId="10831" xr:uid="{00000000-0005-0000-0000-000079240000}"/>
    <cellStyle name="Currency 5 2 2 3 2 4 2 2 2" xfId="10832" xr:uid="{00000000-0005-0000-0000-00007A240000}"/>
    <cellStyle name="Currency 5 2 2 3 2 4 2 2 2 2" xfId="10833" xr:uid="{00000000-0005-0000-0000-00007B240000}"/>
    <cellStyle name="Currency 5 2 2 3 2 4 2 2 2 2 2" xfId="10834" xr:uid="{00000000-0005-0000-0000-00007C240000}"/>
    <cellStyle name="Currency 5 2 2 3 2 4 2 2 2 3" xfId="10835" xr:uid="{00000000-0005-0000-0000-00007D240000}"/>
    <cellStyle name="Currency 5 2 2 3 2 4 2 2 3" xfId="10836" xr:uid="{00000000-0005-0000-0000-00007E240000}"/>
    <cellStyle name="Currency 5 2 2 3 2 4 2 2 3 2" xfId="10837" xr:uid="{00000000-0005-0000-0000-00007F240000}"/>
    <cellStyle name="Currency 5 2 2 3 2 4 2 2 4" xfId="10838" xr:uid="{00000000-0005-0000-0000-000080240000}"/>
    <cellStyle name="Currency 5 2 2 3 2 4 2 3" xfId="10839" xr:uid="{00000000-0005-0000-0000-000081240000}"/>
    <cellStyle name="Currency 5 2 2 3 2 4 2 3 2" xfId="10840" xr:uid="{00000000-0005-0000-0000-000082240000}"/>
    <cellStyle name="Currency 5 2 2 3 2 4 2 3 2 2" xfId="10841" xr:uid="{00000000-0005-0000-0000-000083240000}"/>
    <cellStyle name="Currency 5 2 2 3 2 4 2 3 2 2 2" xfId="10842" xr:uid="{00000000-0005-0000-0000-000084240000}"/>
    <cellStyle name="Currency 5 2 2 3 2 4 2 3 2 3" xfId="10843" xr:uid="{00000000-0005-0000-0000-000085240000}"/>
    <cellStyle name="Currency 5 2 2 3 2 4 2 3 3" xfId="10844" xr:uid="{00000000-0005-0000-0000-000086240000}"/>
    <cellStyle name="Currency 5 2 2 3 2 4 2 3 3 2" xfId="10845" xr:uid="{00000000-0005-0000-0000-000087240000}"/>
    <cellStyle name="Currency 5 2 2 3 2 4 2 3 4" xfId="10846" xr:uid="{00000000-0005-0000-0000-000088240000}"/>
    <cellStyle name="Currency 5 2 2 3 2 4 2 4" xfId="10847" xr:uid="{00000000-0005-0000-0000-000089240000}"/>
    <cellStyle name="Currency 5 2 2 3 2 4 2 4 2" xfId="10848" xr:uid="{00000000-0005-0000-0000-00008A240000}"/>
    <cellStyle name="Currency 5 2 2 3 2 4 2 4 2 2" xfId="10849" xr:uid="{00000000-0005-0000-0000-00008B240000}"/>
    <cellStyle name="Currency 5 2 2 3 2 4 2 4 3" xfId="10850" xr:uid="{00000000-0005-0000-0000-00008C240000}"/>
    <cellStyle name="Currency 5 2 2 3 2 4 2 5" xfId="10851" xr:uid="{00000000-0005-0000-0000-00008D240000}"/>
    <cellStyle name="Currency 5 2 2 3 2 4 2 5 2" xfId="10852" xr:uid="{00000000-0005-0000-0000-00008E240000}"/>
    <cellStyle name="Currency 5 2 2 3 2 4 2 6" xfId="10853" xr:uid="{00000000-0005-0000-0000-00008F240000}"/>
    <cellStyle name="Currency 5 2 2 3 2 4 2 7" xfId="10830" xr:uid="{00000000-0005-0000-0000-000090240000}"/>
    <cellStyle name="Currency 5 2 2 3 2 4 3" xfId="10854" xr:uid="{00000000-0005-0000-0000-000091240000}"/>
    <cellStyle name="Currency 5 2 2 3 2 4 3 2" xfId="10855" xr:uid="{00000000-0005-0000-0000-000092240000}"/>
    <cellStyle name="Currency 5 2 2 3 2 4 3 2 2" xfId="10856" xr:uid="{00000000-0005-0000-0000-000093240000}"/>
    <cellStyle name="Currency 5 2 2 3 2 4 3 2 2 2" xfId="10857" xr:uid="{00000000-0005-0000-0000-000094240000}"/>
    <cellStyle name="Currency 5 2 2 3 2 4 3 2 2 2 2" xfId="10858" xr:uid="{00000000-0005-0000-0000-000095240000}"/>
    <cellStyle name="Currency 5 2 2 3 2 4 3 2 2 3" xfId="10859" xr:uid="{00000000-0005-0000-0000-000096240000}"/>
    <cellStyle name="Currency 5 2 2 3 2 4 3 2 3" xfId="10860" xr:uid="{00000000-0005-0000-0000-000097240000}"/>
    <cellStyle name="Currency 5 2 2 3 2 4 3 2 3 2" xfId="10861" xr:uid="{00000000-0005-0000-0000-000098240000}"/>
    <cellStyle name="Currency 5 2 2 3 2 4 3 2 4" xfId="10862" xr:uid="{00000000-0005-0000-0000-000099240000}"/>
    <cellStyle name="Currency 5 2 2 3 2 4 3 3" xfId="10863" xr:uid="{00000000-0005-0000-0000-00009A240000}"/>
    <cellStyle name="Currency 5 2 2 3 2 4 3 3 2" xfId="10864" xr:uid="{00000000-0005-0000-0000-00009B240000}"/>
    <cellStyle name="Currency 5 2 2 3 2 4 3 3 2 2" xfId="10865" xr:uid="{00000000-0005-0000-0000-00009C240000}"/>
    <cellStyle name="Currency 5 2 2 3 2 4 3 3 3" xfId="10866" xr:uid="{00000000-0005-0000-0000-00009D240000}"/>
    <cellStyle name="Currency 5 2 2 3 2 4 3 4" xfId="10867" xr:uid="{00000000-0005-0000-0000-00009E240000}"/>
    <cellStyle name="Currency 5 2 2 3 2 4 3 4 2" xfId="10868" xr:uid="{00000000-0005-0000-0000-00009F240000}"/>
    <cellStyle name="Currency 5 2 2 3 2 4 3 5" xfId="10869" xr:uid="{00000000-0005-0000-0000-0000A0240000}"/>
    <cellStyle name="Currency 5 2 2 3 2 4 4" xfId="10870" xr:uid="{00000000-0005-0000-0000-0000A1240000}"/>
    <cellStyle name="Currency 5 2 2 3 2 4 4 2" xfId="10871" xr:uid="{00000000-0005-0000-0000-0000A2240000}"/>
    <cellStyle name="Currency 5 2 2 3 2 4 4 2 2" xfId="10872" xr:uid="{00000000-0005-0000-0000-0000A3240000}"/>
    <cellStyle name="Currency 5 2 2 3 2 4 4 2 2 2" xfId="10873" xr:uid="{00000000-0005-0000-0000-0000A4240000}"/>
    <cellStyle name="Currency 5 2 2 3 2 4 4 2 2 2 2" xfId="10874" xr:uid="{00000000-0005-0000-0000-0000A5240000}"/>
    <cellStyle name="Currency 5 2 2 3 2 4 4 2 2 3" xfId="10875" xr:uid="{00000000-0005-0000-0000-0000A6240000}"/>
    <cellStyle name="Currency 5 2 2 3 2 4 4 2 3" xfId="10876" xr:uid="{00000000-0005-0000-0000-0000A7240000}"/>
    <cellStyle name="Currency 5 2 2 3 2 4 4 2 3 2" xfId="10877" xr:uid="{00000000-0005-0000-0000-0000A8240000}"/>
    <cellStyle name="Currency 5 2 2 3 2 4 4 2 4" xfId="10878" xr:uid="{00000000-0005-0000-0000-0000A9240000}"/>
    <cellStyle name="Currency 5 2 2 3 2 4 4 3" xfId="10879" xr:uid="{00000000-0005-0000-0000-0000AA240000}"/>
    <cellStyle name="Currency 5 2 2 3 2 4 4 3 2" xfId="10880" xr:uid="{00000000-0005-0000-0000-0000AB240000}"/>
    <cellStyle name="Currency 5 2 2 3 2 4 4 3 2 2" xfId="10881" xr:uid="{00000000-0005-0000-0000-0000AC240000}"/>
    <cellStyle name="Currency 5 2 2 3 2 4 4 3 3" xfId="10882" xr:uid="{00000000-0005-0000-0000-0000AD240000}"/>
    <cellStyle name="Currency 5 2 2 3 2 4 4 4" xfId="10883" xr:uid="{00000000-0005-0000-0000-0000AE240000}"/>
    <cellStyle name="Currency 5 2 2 3 2 4 4 4 2" xfId="10884" xr:uid="{00000000-0005-0000-0000-0000AF240000}"/>
    <cellStyle name="Currency 5 2 2 3 2 4 4 5" xfId="10885" xr:uid="{00000000-0005-0000-0000-0000B0240000}"/>
    <cellStyle name="Currency 5 2 2 3 2 4 5" xfId="10886" xr:uid="{00000000-0005-0000-0000-0000B1240000}"/>
    <cellStyle name="Currency 5 2 2 3 2 4 5 2" xfId="10887" xr:uid="{00000000-0005-0000-0000-0000B2240000}"/>
    <cellStyle name="Currency 5 2 2 3 2 4 5 2 2" xfId="10888" xr:uid="{00000000-0005-0000-0000-0000B3240000}"/>
    <cellStyle name="Currency 5 2 2 3 2 4 5 2 2 2" xfId="10889" xr:uid="{00000000-0005-0000-0000-0000B4240000}"/>
    <cellStyle name="Currency 5 2 2 3 2 4 5 2 3" xfId="10890" xr:uid="{00000000-0005-0000-0000-0000B5240000}"/>
    <cellStyle name="Currency 5 2 2 3 2 4 5 3" xfId="10891" xr:uid="{00000000-0005-0000-0000-0000B6240000}"/>
    <cellStyle name="Currency 5 2 2 3 2 4 5 3 2" xfId="10892" xr:uid="{00000000-0005-0000-0000-0000B7240000}"/>
    <cellStyle name="Currency 5 2 2 3 2 4 5 4" xfId="10893" xr:uid="{00000000-0005-0000-0000-0000B8240000}"/>
    <cellStyle name="Currency 5 2 2 3 2 4 6" xfId="10894" xr:uid="{00000000-0005-0000-0000-0000B9240000}"/>
    <cellStyle name="Currency 5 2 2 3 2 4 6 2" xfId="10895" xr:uid="{00000000-0005-0000-0000-0000BA240000}"/>
    <cellStyle name="Currency 5 2 2 3 2 4 6 2 2" xfId="10896" xr:uid="{00000000-0005-0000-0000-0000BB240000}"/>
    <cellStyle name="Currency 5 2 2 3 2 4 6 2 2 2" xfId="10897" xr:uid="{00000000-0005-0000-0000-0000BC240000}"/>
    <cellStyle name="Currency 5 2 2 3 2 4 6 2 3" xfId="10898" xr:uid="{00000000-0005-0000-0000-0000BD240000}"/>
    <cellStyle name="Currency 5 2 2 3 2 4 6 3" xfId="10899" xr:uid="{00000000-0005-0000-0000-0000BE240000}"/>
    <cellStyle name="Currency 5 2 2 3 2 4 6 3 2" xfId="10900" xr:uid="{00000000-0005-0000-0000-0000BF240000}"/>
    <cellStyle name="Currency 5 2 2 3 2 4 6 4" xfId="10901" xr:uid="{00000000-0005-0000-0000-0000C0240000}"/>
    <cellStyle name="Currency 5 2 2 3 2 4 7" xfId="10902" xr:uid="{00000000-0005-0000-0000-0000C1240000}"/>
    <cellStyle name="Currency 5 2 2 3 2 4 7 2" xfId="10903" xr:uid="{00000000-0005-0000-0000-0000C2240000}"/>
    <cellStyle name="Currency 5 2 2 3 2 4 7 2 2" xfId="10904" xr:uid="{00000000-0005-0000-0000-0000C3240000}"/>
    <cellStyle name="Currency 5 2 2 3 2 4 7 2 2 2" xfId="10905" xr:uid="{00000000-0005-0000-0000-0000C4240000}"/>
    <cellStyle name="Currency 5 2 2 3 2 4 7 2 3" xfId="10906" xr:uid="{00000000-0005-0000-0000-0000C5240000}"/>
    <cellStyle name="Currency 5 2 2 3 2 4 7 3" xfId="10907" xr:uid="{00000000-0005-0000-0000-0000C6240000}"/>
    <cellStyle name="Currency 5 2 2 3 2 4 7 3 2" xfId="10908" xr:uid="{00000000-0005-0000-0000-0000C7240000}"/>
    <cellStyle name="Currency 5 2 2 3 2 4 7 4" xfId="10909" xr:uid="{00000000-0005-0000-0000-0000C8240000}"/>
    <cellStyle name="Currency 5 2 2 3 2 4 8" xfId="10910" xr:uid="{00000000-0005-0000-0000-0000C9240000}"/>
    <cellStyle name="Currency 5 2 2 3 2 4 8 2" xfId="10911" xr:uid="{00000000-0005-0000-0000-0000CA240000}"/>
    <cellStyle name="Currency 5 2 2 3 2 4 8 2 2" xfId="10912" xr:uid="{00000000-0005-0000-0000-0000CB240000}"/>
    <cellStyle name="Currency 5 2 2 3 2 4 8 3" xfId="10913" xr:uid="{00000000-0005-0000-0000-0000CC240000}"/>
    <cellStyle name="Currency 5 2 2 3 2 4 9" xfId="10914" xr:uid="{00000000-0005-0000-0000-0000CD240000}"/>
    <cellStyle name="Currency 5 2 2 3 2 4 9 2" xfId="10915" xr:uid="{00000000-0005-0000-0000-0000CE240000}"/>
    <cellStyle name="Currency 5 2 2 3 2 5" xfId="1292" xr:uid="{00000000-0005-0000-0000-0000CF240000}"/>
    <cellStyle name="Currency 5 2 2 3 2 5 2" xfId="10917" xr:uid="{00000000-0005-0000-0000-0000D0240000}"/>
    <cellStyle name="Currency 5 2 2 3 2 5 2 2" xfId="10918" xr:uid="{00000000-0005-0000-0000-0000D1240000}"/>
    <cellStyle name="Currency 5 2 2 3 2 5 2 2 2" xfId="10919" xr:uid="{00000000-0005-0000-0000-0000D2240000}"/>
    <cellStyle name="Currency 5 2 2 3 2 5 2 2 2 2" xfId="10920" xr:uid="{00000000-0005-0000-0000-0000D3240000}"/>
    <cellStyle name="Currency 5 2 2 3 2 5 2 2 3" xfId="10921" xr:uid="{00000000-0005-0000-0000-0000D4240000}"/>
    <cellStyle name="Currency 5 2 2 3 2 5 2 3" xfId="10922" xr:uid="{00000000-0005-0000-0000-0000D5240000}"/>
    <cellStyle name="Currency 5 2 2 3 2 5 2 3 2" xfId="10923" xr:uid="{00000000-0005-0000-0000-0000D6240000}"/>
    <cellStyle name="Currency 5 2 2 3 2 5 2 4" xfId="10924" xr:uid="{00000000-0005-0000-0000-0000D7240000}"/>
    <cellStyle name="Currency 5 2 2 3 2 5 3" xfId="10925" xr:uid="{00000000-0005-0000-0000-0000D8240000}"/>
    <cellStyle name="Currency 5 2 2 3 2 5 3 2" xfId="10926" xr:uid="{00000000-0005-0000-0000-0000D9240000}"/>
    <cellStyle name="Currency 5 2 2 3 2 5 3 2 2" xfId="10927" xr:uid="{00000000-0005-0000-0000-0000DA240000}"/>
    <cellStyle name="Currency 5 2 2 3 2 5 3 2 2 2" xfId="10928" xr:uid="{00000000-0005-0000-0000-0000DB240000}"/>
    <cellStyle name="Currency 5 2 2 3 2 5 3 2 3" xfId="10929" xr:uid="{00000000-0005-0000-0000-0000DC240000}"/>
    <cellStyle name="Currency 5 2 2 3 2 5 3 3" xfId="10930" xr:uid="{00000000-0005-0000-0000-0000DD240000}"/>
    <cellStyle name="Currency 5 2 2 3 2 5 3 3 2" xfId="10931" xr:uid="{00000000-0005-0000-0000-0000DE240000}"/>
    <cellStyle name="Currency 5 2 2 3 2 5 3 4" xfId="10932" xr:uid="{00000000-0005-0000-0000-0000DF240000}"/>
    <cellStyle name="Currency 5 2 2 3 2 5 4" xfId="10933" xr:uid="{00000000-0005-0000-0000-0000E0240000}"/>
    <cellStyle name="Currency 5 2 2 3 2 5 4 2" xfId="10934" xr:uid="{00000000-0005-0000-0000-0000E1240000}"/>
    <cellStyle name="Currency 5 2 2 3 2 5 4 2 2" xfId="10935" xr:uid="{00000000-0005-0000-0000-0000E2240000}"/>
    <cellStyle name="Currency 5 2 2 3 2 5 4 3" xfId="10936" xr:uid="{00000000-0005-0000-0000-0000E3240000}"/>
    <cellStyle name="Currency 5 2 2 3 2 5 5" xfId="10937" xr:uid="{00000000-0005-0000-0000-0000E4240000}"/>
    <cellStyle name="Currency 5 2 2 3 2 5 5 2" xfId="10938" xr:uid="{00000000-0005-0000-0000-0000E5240000}"/>
    <cellStyle name="Currency 5 2 2 3 2 5 6" xfId="10939" xr:uid="{00000000-0005-0000-0000-0000E6240000}"/>
    <cellStyle name="Currency 5 2 2 3 2 5 7" xfId="10916" xr:uid="{00000000-0005-0000-0000-0000E7240000}"/>
    <cellStyle name="Currency 5 2 2 3 2 6" xfId="10940" xr:uid="{00000000-0005-0000-0000-0000E8240000}"/>
    <cellStyle name="Currency 5 2 2 3 2 6 2" xfId="10941" xr:uid="{00000000-0005-0000-0000-0000E9240000}"/>
    <cellStyle name="Currency 5 2 2 3 2 6 2 2" xfId="10942" xr:uid="{00000000-0005-0000-0000-0000EA240000}"/>
    <cellStyle name="Currency 5 2 2 3 2 6 2 2 2" xfId="10943" xr:uid="{00000000-0005-0000-0000-0000EB240000}"/>
    <cellStyle name="Currency 5 2 2 3 2 6 2 2 2 2" xfId="10944" xr:uid="{00000000-0005-0000-0000-0000EC240000}"/>
    <cellStyle name="Currency 5 2 2 3 2 6 2 2 3" xfId="10945" xr:uid="{00000000-0005-0000-0000-0000ED240000}"/>
    <cellStyle name="Currency 5 2 2 3 2 6 2 3" xfId="10946" xr:uid="{00000000-0005-0000-0000-0000EE240000}"/>
    <cellStyle name="Currency 5 2 2 3 2 6 2 3 2" xfId="10947" xr:uid="{00000000-0005-0000-0000-0000EF240000}"/>
    <cellStyle name="Currency 5 2 2 3 2 6 2 4" xfId="10948" xr:uid="{00000000-0005-0000-0000-0000F0240000}"/>
    <cellStyle name="Currency 5 2 2 3 2 6 3" xfId="10949" xr:uid="{00000000-0005-0000-0000-0000F1240000}"/>
    <cellStyle name="Currency 5 2 2 3 2 6 3 2" xfId="10950" xr:uid="{00000000-0005-0000-0000-0000F2240000}"/>
    <cellStyle name="Currency 5 2 2 3 2 6 3 2 2" xfId="10951" xr:uid="{00000000-0005-0000-0000-0000F3240000}"/>
    <cellStyle name="Currency 5 2 2 3 2 6 3 3" xfId="10952" xr:uid="{00000000-0005-0000-0000-0000F4240000}"/>
    <cellStyle name="Currency 5 2 2 3 2 6 4" xfId="10953" xr:uid="{00000000-0005-0000-0000-0000F5240000}"/>
    <cellStyle name="Currency 5 2 2 3 2 6 4 2" xfId="10954" xr:uid="{00000000-0005-0000-0000-0000F6240000}"/>
    <cellStyle name="Currency 5 2 2 3 2 6 5" xfId="10955" xr:uid="{00000000-0005-0000-0000-0000F7240000}"/>
    <cellStyle name="Currency 5 2 2 3 2 7" xfId="10956" xr:uid="{00000000-0005-0000-0000-0000F8240000}"/>
    <cellStyle name="Currency 5 2 2 3 2 7 2" xfId="10957" xr:uid="{00000000-0005-0000-0000-0000F9240000}"/>
    <cellStyle name="Currency 5 2 2 3 2 7 2 2" xfId="10958" xr:uid="{00000000-0005-0000-0000-0000FA240000}"/>
    <cellStyle name="Currency 5 2 2 3 2 7 2 2 2" xfId="10959" xr:uid="{00000000-0005-0000-0000-0000FB240000}"/>
    <cellStyle name="Currency 5 2 2 3 2 7 2 2 2 2" xfId="10960" xr:uid="{00000000-0005-0000-0000-0000FC240000}"/>
    <cellStyle name="Currency 5 2 2 3 2 7 2 2 3" xfId="10961" xr:uid="{00000000-0005-0000-0000-0000FD240000}"/>
    <cellStyle name="Currency 5 2 2 3 2 7 2 3" xfId="10962" xr:uid="{00000000-0005-0000-0000-0000FE240000}"/>
    <cellStyle name="Currency 5 2 2 3 2 7 2 3 2" xfId="10963" xr:uid="{00000000-0005-0000-0000-0000FF240000}"/>
    <cellStyle name="Currency 5 2 2 3 2 7 2 4" xfId="10964" xr:uid="{00000000-0005-0000-0000-000000250000}"/>
    <cellStyle name="Currency 5 2 2 3 2 7 3" xfId="10965" xr:uid="{00000000-0005-0000-0000-000001250000}"/>
    <cellStyle name="Currency 5 2 2 3 2 7 3 2" xfId="10966" xr:uid="{00000000-0005-0000-0000-000002250000}"/>
    <cellStyle name="Currency 5 2 2 3 2 7 3 2 2" xfId="10967" xr:uid="{00000000-0005-0000-0000-000003250000}"/>
    <cellStyle name="Currency 5 2 2 3 2 7 3 3" xfId="10968" xr:uid="{00000000-0005-0000-0000-000004250000}"/>
    <cellStyle name="Currency 5 2 2 3 2 7 4" xfId="10969" xr:uid="{00000000-0005-0000-0000-000005250000}"/>
    <cellStyle name="Currency 5 2 2 3 2 7 4 2" xfId="10970" xr:uid="{00000000-0005-0000-0000-000006250000}"/>
    <cellStyle name="Currency 5 2 2 3 2 7 5" xfId="10971" xr:uid="{00000000-0005-0000-0000-000007250000}"/>
    <cellStyle name="Currency 5 2 2 3 2 8" xfId="10972" xr:uid="{00000000-0005-0000-0000-000008250000}"/>
    <cellStyle name="Currency 5 2 2 3 2 8 2" xfId="10973" xr:uid="{00000000-0005-0000-0000-000009250000}"/>
    <cellStyle name="Currency 5 2 2 3 2 8 2 2" xfId="10974" xr:uid="{00000000-0005-0000-0000-00000A250000}"/>
    <cellStyle name="Currency 5 2 2 3 2 8 2 2 2" xfId="10975" xr:uid="{00000000-0005-0000-0000-00000B250000}"/>
    <cellStyle name="Currency 5 2 2 3 2 8 2 3" xfId="10976" xr:uid="{00000000-0005-0000-0000-00000C250000}"/>
    <cellStyle name="Currency 5 2 2 3 2 8 3" xfId="10977" xr:uid="{00000000-0005-0000-0000-00000D250000}"/>
    <cellStyle name="Currency 5 2 2 3 2 8 3 2" xfId="10978" xr:uid="{00000000-0005-0000-0000-00000E250000}"/>
    <cellStyle name="Currency 5 2 2 3 2 8 4" xfId="10979" xr:uid="{00000000-0005-0000-0000-00000F250000}"/>
    <cellStyle name="Currency 5 2 2 3 2 9" xfId="10980" xr:uid="{00000000-0005-0000-0000-000010250000}"/>
    <cellStyle name="Currency 5 2 2 3 2 9 2" xfId="10981" xr:uid="{00000000-0005-0000-0000-000011250000}"/>
    <cellStyle name="Currency 5 2 2 3 2 9 2 2" xfId="10982" xr:uid="{00000000-0005-0000-0000-000012250000}"/>
    <cellStyle name="Currency 5 2 2 3 2 9 2 2 2" xfId="10983" xr:uid="{00000000-0005-0000-0000-000013250000}"/>
    <cellStyle name="Currency 5 2 2 3 2 9 2 3" xfId="10984" xr:uid="{00000000-0005-0000-0000-000014250000}"/>
    <cellStyle name="Currency 5 2 2 3 2 9 3" xfId="10985" xr:uid="{00000000-0005-0000-0000-000015250000}"/>
    <cellStyle name="Currency 5 2 2 3 2 9 3 2" xfId="10986" xr:uid="{00000000-0005-0000-0000-000016250000}"/>
    <cellStyle name="Currency 5 2 2 3 2 9 4" xfId="10987" xr:uid="{00000000-0005-0000-0000-000017250000}"/>
    <cellStyle name="Currency 5 2 2 3 3" xfId="308" xr:uid="{00000000-0005-0000-0000-000018250000}"/>
    <cellStyle name="Currency 5 2 2 3 3 10" xfId="10989" xr:uid="{00000000-0005-0000-0000-000019250000}"/>
    <cellStyle name="Currency 5 2 2 3 3 10 2" xfId="10990" xr:uid="{00000000-0005-0000-0000-00001A250000}"/>
    <cellStyle name="Currency 5 2 2 3 3 10 2 2" xfId="10991" xr:uid="{00000000-0005-0000-0000-00001B250000}"/>
    <cellStyle name="Currency 5 2 2 3 3 10 3" xfId="10992" xr:uid="{00000000-0005-0000-0000-00001C250000}"/>
    <cellStyle name="Currency 5 2 2 3 3 11" xfId="10993" xr:uid="{00000000-0005-0000-0000-00001D250000}"/>
    <cellStyle name="Currency 5 2 2 3 3 11 2" xfId="10994" xr:uid="{00000000-0005-0000-0000-00001E250000}"/>
    <cellStyle name="Currency 5 2 2 3 3 11 2 2" xfId="10995" xr:uid="{00000000-0005-0000-0000-00001F250000}"/>
    <cellStyle name="Currency 5 2 2 3 3 11 3" xfId="10996" xr:uid="{00000000-0005-0000-0000-000020250000}"/>
    <cellStyle name="Currency 5 2 2 3 3 12" xfId="10997" xr:uid="{00000000-0005-0000-0000-000021250000}"/>
    <cellStyle name="Currency 5 2 2 3 3 12 2" xfId="10998" xr:uid="{00000000-0005-0000-0000-000022250000}"/>
    <cellStyle name="Currency 5 2 2 3 3 13" xfId="10999" xr:uid="{00000000-0005-0000-0000-000023250000}"/>
    <cellStyle name="Currency 5 2 2 3 3 14" xfId="11000" xr:uid="{00000000-0005-0000-0000-000024250000}"/>
    <cellStyle name="Currency 5 2 2 3 3 15" xfId="10988" xr:uid="{00000000-0005-0000-0000-000025250000}"/>
    <cellStyle name="Currency 5 2 2 3 3 2" xfId="878" xr:uid="{00000000-0005-0000-0000-000026250000}"/>
    <cellStyle name="Currency 5 2 2 3 3 2 10" xfId="11002" xr:uid="{00000000-0005-0000-0000-000027250000}"/>
    <cellStyle name="Currency 5 2 2 3 3 2 11" xfId="11001" xr:uid="{00000000-0005-0000-0000-000028250000}"/>
    <cellStyle name="Currency 5 2 2 3 3 2 2" xfId="1619" xr:uid="{00000000-0005-0000-0000-000029250000}"/>
    <cellStyle name="Currency 5 2 2 3 3 2 2 2" xfId="11004" xr:uid="{00000000-0005-0000-0000-00002A250000}"/>
    <cellStyle name="Currency 5 2 2 3 3 2 2 2 2" xfId="11005" xr:uid="{00000000-0005-0000-0000-00002B250000}"/>
    <cellStyle name="Currency 5 2 2 3 3 2 2 2 2 2" xfId="11006" xr:uid="{00000000-0005-0000-0000-00002C250000}"/>
    <cellStyle name="Currency 5 2 2 3 3 2 2 2 2 2 2" xfId="11007" xr:uid="{00000000-0005-0000-0000-00002D250000}"/>
    <cellStyle name="Currency 5 2 2 3 3 2 2 2 2 3" xfId="11008" xr:uid="{00000000-0005-0000-0000-00002E250000}"/>
    <cellStyle name="Currency 5 2 2 3 3 2 2 2 3" xfId="11009" xr:uid="{00000000-0005-0000-0000-00002F250000}"/>
    <cellStyle name="Currency 5 2 2 3 3 2 2 2 3 2" xfId="11010" xr:uid="{00000000-0005-0000-0000-000030250000}"/>
    <cellStyle name="Currency 5 2 2 3 3 2 2 2 4" xfId="11011" xr:uid="{00000000-0005-0000-0000-000031250000}"/>
    <cellStyle name="Currency 5 2 2 3 3 2 2 3" xfId="11012" xr:uid="{00000000-0005-0000-0000-000032250000}"/>
    <cellStyle name="Currency 5 2 2 3 3 2 2 3 2" xfId="11013" xr:uid="{00000000-0005-0000-0000-000033250000}"/>
    <cellStyle name="Currency 5 2 2 3 3 2 2 3 2 2" xfId="11014" xr:uid="{00000000-0005-0000-0000-000034250000}"/>
    <cellStyle name="Currency 5 2 2 3 3 2 2 3 2 2 2" xfId="11015" xr:uid="{00000000-0005-0000-0000-000035250000}"/>
    <cellStyle name="Currency 5 2 2 3 3 2 2 3 2 3" xfId="11016" xr:uid="{00000000-0005-0000-0000-000036250000}"/>
    <cellStyle name="Currency 5 2 2 3 3 2 2 3 3" xfId="11017" xr:uid="{00000000-0005-0000-0000-000037250000}"/>
    <cellStyle name="Currency 5 2 2 3 3 2 2 3 3 2" xfId="11018" xr:uid="{00000000-0005-0000-0000-000038250000}"/>
    <cellStyle name="Currency 5 2 2 3 3 2 2 3 4" xfId="11019" xr:uid="{00000000-0005-0000-0000-000039250000}"/>
    <cellStyle name="Currency 5 2 2 3 3 2 2 4" xfId="11020" xr:uid="{00000000-0005-0000-0000-00003A250000}"/>
    <cellStyle name="Currency 5 2 2 3 3 2 2 4 2" xfId="11021" xr:uid="{00000000-0005-0000-0000-00003B250000}"/>
    <cellStyle name="Currency 5 2 2 3 3 2 2 4 2 2" xfId="11022" xr:uid="{00000000-0005-0000-0000-00003C250000}"/>
    <cellStyle name="Currency 5 2 2 3 3 2 2 4 3" xfId="11023" xr:uid="{00000000-0005-0000-0000-00003D250000}"/>
    <cellStyle name="Currency 5 2 2 3 3 2 2 5" xfId="11024" xr:uid="{00000000-0005-0000-0000-00003E250000}"/>
    <cellStyle name="Currency 5 2 2 3 3 2 2 5 2" xfId="11025" xr:uid="{00000000-0005-0000-0000-00003F250000}"/>
    <cellStyle name="Currency 5 2 2 3 3 2 2 6" xfId="11026" xr:uid="{00000000-0005-0000-0000-000040250000}"/>
    <cellStyle name="Currency 5 2 2 3 3 2 2 7" xfId="11003" xr:uid="{00000000-0005-0000-0000-000041250000}"/>
    <cellStyle name="Currency 5 2 2 3 3 2 3" xfId="11027" xr:uid="{00000000-0005-0000-0000-000042250000}"/>
    <cellStyle name="Currency 5 2 2 3 3 2 3 2" xfId="11028" xr:uid="{00000000-0005-0000-0000-000043250000}"/>
    <cellStyle name="Currency 5 2 2 3 3 2 3 2 2" xfId="11029" xr:uid="{00000000-0005-0000-0000-000044250000}"/>
    <cellStyle name="Currency 5 2 2 3 3 2 3 2 2 2" xfId="11030" xr:uid="{00000000-0005-0000-0000-000045250000}"/>
    <cellStyle name="Currency 5 2 2 3 3 2 3 2 2 2 2" xfId="11031" xr:uid="{00000000-0005-0000-0000-000046250000}"/>
    <cellStyle name="Currency 5 2 2 3 3 2 3 2 2 3" xfId="11032" xr:uid="{00000000-0005-0000-0000-000047250000}"/>
    <cellStyle name="Currency 5 2 2 3 3 2 3 2 3" xfId="11033" xr:uid="{00000000-0005-0000-0000-000048250000}"/>
    <cellStyle name="Currency 5 2 2 3 3 2 3 2 3 2" xfId="11034" xr:uid="{00000000-0005-0000-0000-000049250000}"/>
    <cellStyle name="Currency 5 2 2 3 3 2 3 2 4" xfId="11035" xr:uid="{00000000-0005-0000-0000-00004A250000}"/>
    <cellStyle name="Currency 5 2 2 3 3 2 3 3" xfId="11036" xr:uid="{00000000-0005-0000-0000-00004B250000}"/>
    <cellStyle name="Currency 5 2 2 3 3 2 3 3 2" xfId="11037" xr:uid="{00000000-0005-0000-0000-00004C250000}"/>
    <cellStyle name="Currency 5 2 2 3 3 2 3 3 2 2" xfId="11038" xr:uid="{00000000-0005-0000-0000-00004D250000}"/>
    <cellStyle name="Currency 5 2 2 3 3 2 3 3 3" xfId="11039" xr:uid="{00000000-0005-0000-0000-00004E250000}"/>
    <cellStyle name="Currency 5 2 2 3 3 2 3 4" xfId="11040" xr:uid="{00000000-0005-0000-0000-00004F250000}"/>
    <cellStyle name="Currency 5 2 2 3 3 2 3 4 2" xfId="11041" xr:uid="{00000000-0005-0000-0000-000050250000}"/>
    <cellStyle name="Currency 5 2 2 3 3 2 3 5" xfId="11042" xr:uid="{00000000-0005-0000-0000-000051250000}"/>
    <cellStyle name="Currency 5 2 2 3 3 2 4" xfId="11043" xr:uid="{00000000-0005-0000-0000-000052250000}"/>
    <cellStyle name="Currency 5 2 2 3 3 2 4 2" xfId="11044" xr:uid="{00000000-0005-0000-0000-000053250000}"/>
    <cellStyle name="Currency 5 2 2 3 3 2 4 2 2" xfId="11045" xr:uid="{00000000-0005-0000-0000-000054250000}"/>
    <cellStyle name="Currency 5 2 2 3 3 2 4 2 2 2" xfId="11046" xr:uid="{00000000-0005-0000-0000-000055250000}"/>
    <cellStyle name="Currency 5 2 2 3 3 2 4 2 2 2 2" xfId="11047" xr:uid="{00000000-0005-0000-0000-000056250000}"/>
    <cellStyle name="Currency 5 2 2 3 3 2 4 2 2 3" xfId="11048" xr:uid="{00000000-0005-0000-0000-000057250000}"/>
    <cellStyle name="Currency 5 2 2 3 3 2 4 2 3" xfId="11049" xr:uid="{00000000-0005-0000-0000-000058250000}"/>
    <cellStyle name="Currency 5 2 2 3 3 2 4 2 3 2" xfId="11050" xr:uid="{00000000-0005-0000-0000-000059250000}"/>
    <cellStyle name="Currency 5 2 2 3 3 2 4 2 4" xfId="11051" xr:uid="{00000000-0005-0000-0000-00005A250000}"/>
    <cellStyle name="Currency 5 2 2 3 3 2 4 3" xfId="11052" xr:uid="{00000000-0005-0000-0000-00005B250000}"/>
    <cellStyle name="Currency 5 2 2 3 3 2 4 3 2" xfId="11053" xr:uid="{00000000-0005-0000-0000-00005C250000}"/>
    <cellStyle name="Currency 5 2 2 3 3 2 4 3 2 2" xfId="11054" xr:uid="{00000000-0005-0000-0000-00005D250000}"/>
    <cellStyle name="Currency 5 2 2 3 3 2 4 3 3" xfId="11055" xr:uid="{00000000-0005-0000-0000-00005E250000}"/>
    <cellStyle name="Currency 5 2 2 3 3 2 4 4" xfId="11056" xr:uid="{00000000-0005-0000-0000-00005F250000}"/>
    <cellStyle name="Currency 5 2 2 3 3 2 4 4 2" xfId="11057" xr:uid="{00000000-0005-0000-0000-000060250000}"/>
    <cellStyle name="Currency 5 2 2 3 3 2 4 5" xfId="11058" xr:uid="{00000000-0005-0000-0000-000061250000}"/>
    <cellStyle name="Currency 5 2 2 3 3 2 5" xfId="11059" xr:uid="{00000000-0005-0000-0000-000062250000}"/>
    <cellStyle name="Currency 5 2 2 3 3 2 5 2" xfId="11060" xr:uid="{00000000-0005-0000-0000-000063250000}"/>
    <cellStyle name="Currency 5 2 2 3 3 2 5 2 2" xfId="11061" xr:uid="{00000000-0005-0000-0000-000064250000}"/>
    <cellStyle name="Currency 5 2 2 3 3 2 5 2 2 2" xfId="11062" xr:uid="{00000000-0005-0000-0000-000065250000}"/>
    <cellStyle name="Currency 5 2 2 3 3 2 5 2 3" xfId="11063" xr:uid="{00000000-0005-0000-0000-000066250000}"/>
    <cellStyle name="Currency 5 2 2 3 3 2 5 3" xfId="11064" xr:uid="{00000000-0005-0000-0000-000067250000}"/>
    <cellStyle name="Currency 5 2 2 3 3 2 5 3 2" xfId="11065" xr:uid="{00000000-0005-0000-0000-000068250000}"/>
    <cellStyle name="Currency 5 2 2 3 3 2 5 4" xfId="11066" xr:uid="{00000000-0005-0000-0000-000069250000}"/>
    <cellStyle name="Currency 5 2 2 3 3 2 6" xfId="11067" xr:uid="{00000000-0005-0000-0000-00006A250000}"/>
    <cellStyle name="Currency 5 2 2 3 3 2 6 2" xfId="11068" xr:uid="{00000000-0005-0000-0000-00006B250000}"/>
    <cellStyle name="Currency 5 2 2 3 3 2 6 2 2" xfId="11069" xr:uid="{00000000-0005-0000-0000-00006C250000}"/>
    <cellStyle name="Currency 5 2 2 3 3 2 6 2 2 2" xfId="11070" xr:uid="{00000000-0005-0000-0000-00006D250000}"/>
    <cellStyle name="Currency 5 2 2 3 3 2 6 2 3" xfId="11071" xr:uid="{00000000-0005-0000-0000-00006E250000}"/>
    <cellStyle name="Currency 5 2 2 3 3 2 6 3" xfId="11072" xr:uid="{00000000-0005-0000-0000-00006F250000}"/>
    <cellStyle name="Currency 5 2 2 3 3 2 6 3 2" xfId="11073" xr:uid="{00000000-0005-0000-0000-000070250000}"/>
    <cellStyle name="Currency 5 2 2 3 3 2 6 4" xfId="11074" xr:uid="{00000000-0005-0000-0000-000071250000}"/>
    <cellStyle name="Currency 5 2 2 3 3 2 7" xfId="11075" xr:uid="{00000000-0005-0000-0000-000072250000}"/>
    <cellStyle name="Currency 5 2 2 3 3 2 7 2" xfId="11076" xr:uid="{00000000-0005-0000-0000-000073250000}"/>
    <cellStyle name="Currency 5 2 2 3 3 2 7 2 2" xfId="11077" xr:uid="{00000000-0005-0000-0000-000074250000}"/>
    <cellStyle name="Currency 5 2 2 3 3 2 7 2 2 2" xfId="11078" xr:uid="{00000000-0005-0000-0000-000075250000}"/>
    <cellStyle name="Currency 5 2 2 3 3 2 7 2 3" xfId="11079" xr:uid="{00000000-0005-0000-0000-000076250000}"/>
    <cellStyle name="Currency 5 2 2 3 3 2 7 3" xfId="11080" xr:uid="{00000000-0005-0000-0000-000077250000}"/>
    <cellStyle name="Currency 5 2 2 3 3 2 7 3 2" xfId="11081" xr:uid="{00000000-0005-0000-0000-000078250000}"/>
    <cellStyle name="Currency 5 2 2 3 3 2 7 4" xfId="11082" xr:uid="{00000000-0005-0000-0000-000079250000}"/>
    <cellStyle name="Currency 5 2 2 3 3 2 8" xfId="11083" xr:uid="{00000000-0005-0000-0000-00007A250000}"/>
    <cellStyle name="Currency 5 2 2 3 3 2 8 2" xfId="11084" xr:uid="{00000000-0005-0000-0000-00007B250000}"/>
    <cellStyle name="Currency 5 2 2 3 3 2 8 2 2" xfId="11085" xr:uid="{00000000-0005-0000-0000-00007C250000}"/>
    <cellStyle name="Currency 5 2 2 3 3 2 8 3" xfId="11086" xr:uid="{00000000-0005-0000-0000-00007D250000}"/>
    <cellStyle name="Currency 5 2 2 3 3 2 9" xfId="11087" xr:uid="{00000000-0005-0000-0000-00007E250000}"/>
    <cellStyle name="Currency 5 2 2 3 3 2 9 2" xfId="11088" xr:uid="{00000000-0005-0000-0000-00007F250000}"/>
    <cellStyle name="Currency 5 2 2 3 3 3" xfId="1294" xr:uid="{00000000-0005-0000-0000-000080250000}"/>
    <cellStyle name="Currency 5 2 2 3 3 3 2" xfId="11090" xr:uid="{00000000-0005-0000-0000-000081250000}"/>
    <cellStyle name="Currency 5 2 2 3 3 3 2 2" xfId="11091" xr:uid="{00000000-0005-0000-0000-000082250000}"/>
    <cellStyle name="Currency 5 2 2 3 3 3 2 2 2" xfId="11092" xr:uid="{00000000-0005-0000-0000-000083250000}"/>
    <cellStyle name="Currency 5 2 2 3 3 3 2 2 2 2" xfId="11093" xr:uid="{00000000-0005-0000-0000-000084250000}"/>
    <cellStyle name="Currency 5 2 2 3 3 3 2 2 3" xfId="11094" xr:uid="{00000000-0005-0000-0000-000085250000}"/>
    <cellStyle name="Currency 5 2 2 3 3 3 2 3" xfId="11095" xr:uid="{00000000-0005-0000-0000-000086250000}"/>
    <cellStyle name="Currency 5 2 2 3 3 3 2 3 2" xfId="11096" xr:uid="{00000000-0005-0000-0000-000087250000}"/>
    <cellStyle name="Currency 5 2 2 3 3 3 2 4" xfId="11097" xr:uid="{00000000-0005-0000-0000-000088250000}"/>
    <cellStyle name="Currency 5 2 2 3 3 3 3" xfId="11098" xr:uid="{00000000-0005-0000-0000-000089250000}"/>
    <cellStyle name="Currency 5 2 2 3 3 3 3 2" xfId="11099" xr:uid="{00000000-0005-0000-0000-00008A250000}"/>
    <cellStyle name="Currency 5 2 2 3 3 3 3 2 2" xfId="11100" xr:uid="{00000000-0005-0000-0000-00008B250000}"/>
    <cellStyle name="Currency 5 2 2 3 3 3 3 2 2 2" xfId="11101" xr:uid="{00000000-0005-0000-0000-00008C250000}"/>
    <cellStyle name="Currency 5 2 2 3 3 3 3 2 3" xfId="11102" xr:uid="{00000000-0005-0000-0000-00008D250000}"/>
    <cellStyle name="Currency 5 2 2 3 3 3 3 3" xfId="11103" xr:uid="{00000000-0005-0000-0000-00008E250000}"/>
    <cellStyle name="Currency 5 2 2 3 3 3 3 3 2" xfId="11104" xr:uid="{00000000-0005-0000-0000-00008F250000}"/>
    <cellStyle name="Currency 5 2 2 3 3 3 3 4" xfId="11105" xr:uid="{00000000-0005-0000-0000-000090250000}"/>
    <cellStyle name="Currency 5 2 2 3 3 3 4" xfId="11106" xr:uid="{00000000-0005-0000-0000-000091250000}"/>
    <cellStyle name="Currency 5 2 2 3 3 3 4 2" xfId="11107" xr:uid="{00000000-0005-0000-0000-000092250000}"/>
    <cellStyle name="Currency 5 2 2 3 3 3 4 2 2" xfId="11108" xr:uid="{00000000-0005-0000-0000-000093250000}"/>
    <cellStyle name="Currency 5 2 2 3 3 3 4 3" xfId="11109" xr:uid="{00000000-0005-0000-0000-000094250000}"/>
    <cellStyle name="Currency 5 2 2 3 3 3 5" xfId="11110" xr:uid="{00000000-0005-0000-0000-000095250000}"/>
    <cellStyle name="Currency 5 2 2 3 3 3 5 2" xfId="11111" xr:uid="{00000000-0005-0000-0000-000096250000}"/>
    <cellStyle name="Currency 5 2 2 3 3 3 6" xfId="11112" xr:uid="{00000000-0005-0000-0000-000097250000}"/>
    <cellStyle name="Currency 5 2 2 3 3 3 7" xfId="11089" xr:uid="{00000000-0005-0000-0000-000098250000}"/>
    <cellStyle name="Currency 5 2 2 3 3 4" xfId="11113" xr:uid="{00000000-0005-0000-0000-000099250000}"/>
    <cellStyle name="Currency 5 2 2 3 3 4 2" xfId="11114" xr:uid="{00000000-0005-0000-0000-00009A250000}"/>
    <cellStyle name="Currency 5 2 2 3 3 4 2 2" xfId="11115" xr:uid="{00000000-0005-0000-0000-00009B250000}"/>
    <cellStyle name="Currency 5 2 2 3 3 4 2 2 2" xfId="11116" xr:uid="{00000000-0005-0000-0000-00009C250000}"/>
    <cellStyle name="Currency 5 2 2 3 3 4 2 2 2 2" xfId="11117" xr:uid="{00000000-0005-0000-0000-00009D250000}"/>
    <cellStyle name="Currency 5 2 2 3 3 4 2 2 3" xfId="11118" xr:uid="{00000000-0005-0000-0000-00009E250000}"/>
    <cellStyle name="Currency 5 2 2 3 3 4 2 3" xfId="11119" xr:uid="{00000000-0005-0000-0000-00009F250000}"/>
    <cellStyle name="Currency 5 2 2 3 3 4 2 3 2" xfId="11120" xr:uid="{00000000-0005-0000-0000-0000A0250000}"/>
    <cellStyle name="Currency 5 2 2 3 3 4 2 4" xfId="11121" xr:uid="{00000000-0005-0000-0000-0000A1250000}"/>
    <cellStyle name="Currency 5 2 2 3 3 4 3" xfId="11122" xr:uid="{00000000-0005-0000-0000-0000A2250000}"/>
    <cellStyle name="Currency 5 2 2 3 3 4 3 2" xfId="11123" xr:uid="{00000000-0005-0000-0000-0000A3250000}"/>
    <cellStyle name="Currency 5 2 2 3 3 4 3 2 2" xfId="11124" xr:uid="{00000000-0005-0000-0000-0000A4250000}"/>
    <cellStyle name="Currency 5 2 2 3 3 4 3 3" xfId="11125" xr:uid="{00000000-0005-0000-0000-0000A5250000}"/>
    <cellStyle name="Currency 5 2 2 3 3 4 4" xfId="11126" xr:uid="{00000000-0005-0000-0000-0000A6250000}"/>
    <cellStyle name="Currency 5 2 2 3 3 4 4 2" xfId="11127" xr:uid="{00000000-0005-0000-0000-0000A7250000}"/>
    <cellStyle name="Currency 5 2 2 3 3 4 5" xfId="11128" xr:uid="{00000000-0005-0000-0000-0000A8250000}"/>
    <cellStyle name="Currency 5 2 2 3 3 5" xfId="11129" xr:uid="{00000000-0005-0000-0000-0000A9250000}"/>
    <cellStyle name="Currency 5 2 2 3 3 5 2" xfId="11130" xr:uid="{00000000-0005-0000-0000-0000AA250000}"/>
    <cellStyle name="Currency 5 2 2 3 3 5 2 2" xfId="11131" xr:uid="{00000000-0005-0000-0000-0000AB250000}"/>
    <cellStyle name="Currency 5 2 2 3 3 5 2 2 2" xfId="11132" xr:uid="{00000000-0005-0000-0000-0000AC250000}"/>
    <cellStyle name="Currency 5 2 2 3 3 5 2 2 2 2" xfId="11133" xr:uid="{00000000-0005-0000-0000-0000AD250000}"/>
    <cellStyle name="Currency 5 2 2 3 3 5 2 2 3" xfId="11134" xr:uid="{00000000-0005-0000-0000-0000AE250000}"/>
    <cellStyle name="Currency 5 2 2 3 3 5 2 3" xfId="11135" xr:uid="{00000000-0005-0000-0000-0000AF250000}"/>
    <cellStyle name="Currency 5 2 2 3 3 5 2 3 2" xfId="11136" xr:uid="{00000000-0005-0000-0000-0000B0250000}"/>
    <cellStyle name="Currency 5 2 2 3 3 5 2 4" xfId="11137" xr:uid="{00000000-0005-0000-0000-0000B1250000}"/>
    <cellStyle name="Currency 5 2 2 3 3 5 3" xfId="11138" xr:uid="{00000000-0005-0000-0000-0000B2250000}"/>
    <cellStyle name="Currency 5 2 2 3 3 5 3 2" xfId="11139" xr:uid="{00000000-0005-0000-0000-0000B3250000}"/>
    <cellStyle name="Currency 5 2 2 3 3 5 3 2 2" xfId="11140" xr:uid="{00000000-0005-0000-0000-0000B4250000}"/>
    <cellStyle name="Currency 5 2 2 3 3 5 3 3" xfId="11141" xr:uid="{00000000-0005-0000-0000-0000B5250000}"/>
    <cellStyle name="Currency 5 2 2 3 3 5 4" xfId="11142" xr:uid="{00000000-0005-0000-0000-0000B6250000}"/>
    <cellStyle name="Currency 5 2 2 3 3 5 4 2" xfId="11143" xr:uid="{00000000-0005-0000-0000-0000B7250000}"/>
    <cellStyle name="Currency 5 2 2 3 3 5 5" xfId="11144" xr:uid="{00000000-0005-0000-0000-0000B8250000}"/>
    <cellStyle name="Currency 5 2 2 3 3 6" xfId="11145" xr:uid="{00000000-0005-0000-0000-0000B9250000}"/>
    <cellStyle name="Currency 5 2 2 3 3 6 2" xfId="11146" xr:uid="{00000000-0005-0000-0000-0000BA250000}"/>
    <cellStyle name="Currency 5 2 2 3 3 6 2 2" xfId="11147" xr:uid="{00000000-0005-0000-0000-0000BB250000}"/>
    <cellStyle name="Currency 5 2 2 3 3 6 2 2 2" xfId="11148" xr:uid="{00000000-0005-0000-0000-0000BC250000}"/>
    <cellStyle name="Currency 5 2 2 3 3 6 2 3" xfId="11149" xr:uid="{00000000-0005-0000-0000-0000BD250000}"/>
    <cellStyle name="Currency 5 2 2 3 3 6 3" xfId="11150" xr:uid="{00000000-0005-0000-0000-0000BE250000}"/>
    <cellStyle name="Currency 5 2 2 3 3 6 3 2" xfId="11151" xr:uid="{00000000-0005-0000-0000-0000BF250000}"/>
    <cellStyle name="Currency 5 2 2 3 3 6 4" xfId="11152" xr:uid="{00000000-0005-0000-0000-0000C0250000}"/>
    <cellStyle name="Currency 5 2 2 3 3 7" xfId="11153" xr:uid="{00000000-0005-0000-0000-0000C1250000}"/>
    <cellStyle name="Currency 5 2 2 3 3 7 2" xfId="11154" xr:uid="{00000000-0005-0000-0000-0000C2250000}"/>
    <cellStyle name="Currency 5 2 2 3 3 7 2 2" xfId="11155" xr:uid="{00000000-0005-0000-0000-0000C3250000}"/>
    <cellStyle name="Currency 5 2 2 3 3 7 2 2 2" xfId="11156" xr:uid="{00000000-0005-0000-0000-0000C4250000}"/>
    <cellStyle name="Currency 5 2 2 3 3 7 2 3" xfId="11157" xr:uid="{00000000-0005-0000-0000-0000C5250000}"/>
    <cellStyle name="Currency 5 2 2 3 3 7 3" xfId="11158" xr:uid="{00000000-0005-0000-0000-0000C6250000}"/>
    <cellStyle name="Currency 5 2 2 3 3 7 3 2" xfId="11159" xr:uid="{00000000-0005-0000-0000-0000C7250000}"/>
    <cellStyle name="Currency 5 2 2 3 3 7 4" xfId="11160" xr:uid="{00000000-0005-0000-0000-0000C8250000}"/>
    <cellStyle name="Currency 5 2 2 3 3 8" xfId="11161" xr:uid="{00000000-0005-0000-0000-0000C9250000}"/>
    <cellStyle name="Currency 5 2 2 3 3 8 2" xfId="11162" xr:uid="{00000000-0005-0000-0000-0000CA250000}"/>
    <cellStyle name="Currency 5 2 2 3 3 8 2 2" xfId="11163" xr:uid="{00000000-0005-0000-0000-0000CB250000}"/>
    <cellStyle name="Currency 5 2 2 3 3 8 2 2 2" xfId="11164" xr:uid="{00000000-0005-0000-0000-0000CC250000}"/>
    <cellStyle name="Currency 5 2 2 3 3 8 2 3" xfId="11165" xr:uid="{00000000-0005-0000-0000-0000CD250000}"/>
    <cellStyle name="Currency 5 2 2 3 3 8 3" xfId="11166" xr:uid="{00000000-0005-0000-0000-0000CE250000}"/>
    <cellStyle name="Currency 5 2 2 3 3 8 3 2" xfId="11167" xr:uid="{00000000-0005-0000-0000-0000CF250000}"/>
    <cellStyle name="Currency 5 2 2 3 3 8 4" xfId="11168" xr:uid="{00000000-0005-0000-0000-0000D0250000}"/>
    <cellStyle name="Currency 5 2 2 3 3 9" xfId="11169" xr:uid="{00000000-0005-0000-0000-0000D1250000}"/>
    <cellStyle name="Currency 5 2 2 3 3 9 2" xfId="11170" xr:uid="{00000000-0005-0000-0000-0000D2250000}"/>
    <cellStyle name="Currency 5 2 2 3 3 9 2 2" xfId="11171" xr:uid="{00000000-0005-0000-0000-0000D3250000}"/>
    <cellStyle name="Currency 5 2 2 3 3 9 3" xfId="11172" xr:uid="{00000000-0005-0000-0000-0000D4250000}"/>
    <cellStyle name="Currency 5 2 2 3 4" xfId="309" xr:uid="{00000000-0005-0000-0000-0000D5250000}"/>
    <cellStyle name="Currency 5 2 2 3 5" xfId="875" xr:uid="{00000000-0005-0000-0000-0000D6250000}"/>
    <cellStyle name="Currency 5 2 2 3 5 10" xfId="11174" xr:uid="{00000000-0005-0000-0000-0000D7250000}"/>
    <cellStyle name="Currency 5 2 2 3 5 11" xfId="11173" xr:uid="{00000000-0005-0000-0000-0000D8250000}"/>
    <cellStyle name="Currency 5 2 2 3 5 2" xfId="1616" xr:uid="{00000000-0005-0000-0000-0000D9250000}"/>
    <cellStyle name="Currency 5 2 2 3 5 2 2" xfId="11176" xr:uid="{00000000-0005-0000-0000-0000DA250000}"/>
    <cellStyle name="Currency 5 2 2 3 5 2 2 2" xfId="11177" xr:uid="{00000000-0005-0000-0000-0000DB250000}"/>
    <cellStyle name="Currency 5 2 2 3 5 2 2 2 2" xfId="11178" xr:uid="{00000000-0005-0000-0000-0000DC250000}"/>
    <cellStyle name="Currency 5 2 2 3 5 2 2 2 2 2" xfId="11179" xr:uid="{00000000-0005-0000-0000-0000DD250000}"/>
    <cellStyle name="Currency 5 2 2 3 5 2 2 2 3" xfId="11180" xr:uid="{00000000-0005-0000-0000-0000DE250000}"/>
    <cellStyle name="Currency 5 2 2 3 5 2 2 3" xfId="11181" xr:uid="{00000000-0005-0000-0000-0000DF250000}"/>
    <cellStyle name="Currency 5 2 2 3 5 2 2 3 2" xfId="11182" xr:uid="{00000000-0005-0000-0000-0000E0250000}"/>
    <cellStyle name="Currency 5 2 2 3 5 2 2 4" xfId="11183" xr:uid="{00000000-0005-0000-0000-0000E1250000}"/>
    <cellStyle name="Currency 5 2 2 3 5 2 3" xfId="11184" xr:uid="{00000000-0005-0000-0000-0000E2250000}"/>
    <cellStyle name="Currency 5 2 2 3 5 2 3 2" xfId="11185" xr:uid="{00000000-0005-0000-0000-0000E3250000}"/>
    <cellStyle name="Currency 5 2 2 3 5 2 3 2 2" xfId="11186" xr:uid="{00000000-0005-0000-0000-0000E4250000}"/>
    <cellStyle name="Currency 5 2 2 3 5 2 3 2 2 2" xfId="11187" xr:uid="{00000000-0005-0000-0000-0000E5250000}"/>
    <cellStyle name="Currency 5 2 2 3 5 2 3 2 3" xfId="11188" xr:uid="{00000000-0005-0000-0000-0000E6250000}"/>
    <cellStyle name="Currency 5 2 2 3 5 2 3 3" xfId="11189" xr:uid="{00000000-0005-0000-0000-0000E7250000}"/>
    <cellStyle name="Currency 5 2 2 3 5 2 3 3 2" xfId="11190" xr:uid="{00000000-0005-0000-0000-0000E8250000}"/>
    <cellStyle name="Currency 5 2 2 3 5 2 3 4" xfId="11191" xr:uid="{00000000-0005-0000-0000-0000E9250000}"/>
    <cellStyle name="Currency 5 2 2 3 5 2 4" xfId="11192" xr:uid="{00000000-0005-0000-0000-0000EA250000}"/>
    <cellStyle name="Currency 5 2 2 3 5 2 4 2" xfId="11193" xr:uid="{00000000-0005-0000-0000-0000EB250000}"/>
    <cellStyle name="Currency 5 2 2 3 5 2 4 2 2" xfId="11194" xr:uid="{00000000-0005-0000-0000-0000EC250000}"/>
    <cellStyle name="Currency 5 2 2 3 5 2 4 3" xfId="11195" xr:uid="{00000000-0005-0000-0000-0000ED250000}"/>
    <cellStyle name="Currency 5 2 2 3 5 2 5" xfId="11196" xr:uid="{00000000-0005-0000-0000-0000EE250000}"/>
    <cellStyle name="Currency 5 2 2 3 5 2 5 2" xfId="11197" xr:uid="{00000000-0005-0000-0000-0000EF250000}"/>
    <cellStyle name="Currency 5 2 2 3 5 2 6" xfId="11198" xr:uid="{00000000-0005-0000-0000-0000F0250000}"/>
    <cellStyle name="Currency 5 2 2 3 5 2 7" xfId="11175" xr:uid="{00000000-0005-0000-0000-0000F1250000}"/>
    <cellStyle name="Currency 5 2 2 3 5 3" xfId="11199" xr:uid="{00000000-0005-0000-0000-0000F2250000}"/>
    <cellStyle name="Currency 5 2 2 3 5 3 2" xfId="11200" xr:uid="{00000000-0005-0000-0000-0000F3250000}"/>
    <cellStyle name="Currency 5 2 2 3 5 3 2 2" xfId="11201" xr:uid="{00000000-0005-0000-0000-0000F4250000}"/>
    <cellStyle name="Currency 5 2 2 3 5 3 2 2 2" xfId="11202" xr:uid="{00000000-0005-0000-0000-0000F5250000}"/>
    <cellStyle name="Currency 5 2 2 3 5 3 2 2 2 2" xfId="11203" xr:uid="{00000000-0005-0000-0000-0000F6250000}"/>
    <cellStyle name="Currency 5 2 2 3 5 3 2 2 3" xfId="11204" xr:uid="{00000000-0005-0000-0000-0000F7250000}"/>
    <cellStyle name="Currency 5 2 2 3 5 3 2 3" xfId="11205" xr:uid="{00000000-0005-0000-0000-0000F8250000}"/>
    <cellStyle name="Currency 5 2 2 3 5 3 2 3 2" xfId="11206" xr:uid="{00000000-0005-0000-0000-0000F9250000}"/>
    <cellStyle name="Currency 5 2 2 3 5 3 2 4" xfId="11207" xr:uid="{00000000-0005-0000-0000-0000FA250000}"/>
    <cellStyle name="Currency 5 2 2 3 5 3 3" xfId="11208" xr:uid="{00000000-0005-0000-0000-0000FB250000}"/>
    <cellStyle name="Currency 5 2 2 3 5 3 3 2" xfId="11209" xr:uid="{00000000-0005-0000-0000-0000FC250000}"/>
    <cellStyle name="Currency 5 2 2 3 5 3 3 2 2" xfId="11210" xr:uid="{00000000-0005-0000-0000-0000FD250000}"/>
    <cellStyle name="Currency 5 2 2 3 5 3 3 3" xfId="11211" xr:uid="{00000000-0005-0000-0000-0000FE250000}"/>
    <cellStyle name="Currency 5 2 2 3 5 3 4" xfId="11212" xr:uid="{00000000-0005-0000-0000-0000FF250000}"/>
    <cellStyle name="Currency 5 2 2 3 5 3 4 2" xfId="11213" xr:uid="{00000000-0005-0000-0000-000000260000}"/>
    <cellStyle name="Currency 5 2 2 3 5 3 5" xfId="11214" xr:uid="{00000000-0005-0000-0000-000001260000}"/>
    <cellStyle name="Currency 5 2 2 3 5 4" xfId="11215" xr:uid="{00000000-0005-0000-0000-000002260000}"/>
    <cellStyle name="Currency 5 2 2 3 5 4 2" xfId="11216" xr:uid="{00000000-0005-0000-0000-000003260000}"/>
    <cellStyle name="Currency 5 2 2 3 5 4 2 2" xfId="11217" xr:uid="{00000000-0005-0000-0000-000004260000}"/>
    <cellStyle name="Currency 5 2 2 3 5 4 2 2 2" xfId="11218" xr:uid="{00000000-0005-0000-0000-000005260000}"/>
    <cellStyle name="Currency 5 2 2 3 5 4 2 2 2 2" xfId="11219" xr:uid="{00000000-0005-0000-0000-000006260000}"/>
    <cellStyle name="Currency 5 2 2 3 5 4 2 2 3" xfId="11220" xr:uid="{00000000-0005-0000-0000-000007260000}"/>
    <cellStyle name="Currency 5 2 2 3 5 4 2 3" xfId="11221" xr:uid="{00000000-0005-0000-0000-000008260000}"/>
    <cellStyle name="Currency 5 2 2 3 5 4 2 3 2" xfId="11222" xr:uid="{00000000-0005-0000-0000-000009260000}"/>
    <cellStyle name="Currency 5 2 2 3 5 4 2 4" xfId="11223" xr:uid="{00000000-0005-0000-0000-00000A260000}"/>
    <cellStyle name="Currency 5 2 2 3 5 4 3" xfId="11224" xr:uid="{00000000-0005-0000-0000-00000B260000}"/>
    <cellStyle name="Currency 5 2 2 3 5 4 3 2" xfId="11225" xr:uid="{00000000-0005-0000-0000-00000C260000}"/>
    <cellStyle name="Currency 5 2 2 3 5 4 3 2 2" xfId="11226" xr:uid="{00000000-0005-0000-0000-00000D260000}"/>
    <cellStyle name="Currency 5 2 2 3 5 4 3 3" xfId="11227" xr:uid="{00000000-0005-0000-0000-00000E260000}"/>
    <cellStyle name="Currency 5 2 2 3 5 4 4" xfId="11228" xr:uid="{00000000-0005-0000-0000-00000F260000}"/>
    <cellStyle name="Currency 5 2 2 3 5 4 4 2" xfId="11229" xr:uid="{00000000-0005-0000-0000-000010260000}"/>
    <cellStyle name="Currency 5 2 2 3 5 4 5" xfId="11230" xr:uid="{00000000-0005-0000-0000-000011260000}"/>
    <cellStyle name="Currency 5 2 2 3 5 5" xfId="11231" xr:uid="{00000000-0005-0000-0000-000012260000}"/>
    <cellStyle name="Currency 5 2 2 3 5 5 2" xfId="11232" xr:uid="{00000000-0005-0000-0000-000013260000}"/>
    <cellStyle name="Currency 5 2 2 3 5 5 2 2" xfId="11233" xr:uid="{00000000-0005-0000-0000-000014260000}"/>
    <cellStyle name="Currency 5 2 2 3 5 5 2 2 2" xfId="11234" xr:uid="{00000000-0005-0000-0000-000015260000}"/>
    <cellStyle name="Currency 5 2 2 3 5 5 2 3" xfId="11235" xr:uid="{00000000-0005-0000-0000-000016260000}"/>
    <cellStyle name="Currency 5 2 2 3 5 5 3" xfId="11236" xr:uid="{00000000-0005-0000-0000-000017260000}"/>
    <cellStyle name="Currency 5 2 2 3 5 5 3 2" xfId="11237" xr:uid="{00000000-0005-0000-0000-000018260000}"/>
    <cellStyle name="Currency 5 2 2 3 5 5 4" xfId="11238" xr:uid="{00000000-0005-0000-0000-000019260000}"/>
    <cellStyle name="Currency 5 2 2 3 5 6" xfId="11239" xr:uid="{00000000-0005-0000-0000-00001A260000}"/>
    <cellStyle name="Currency 5 2 2 3 5 6 2" xfId="11240" xr:uid="{00000000-0005-0000-0000-00001B260000}"/>
    <cellStyle name="Currency 5 2 2 3 5 6 2 2" xfId="11241" xr:uid="{00000000-0005-0000-0000-00001C260000}"/>
    <cellStyle name="Currency 5 2 2 3 5 6 2 2 2" xfId="11242" xr:uid="{00000000-0005-0000-0000-00001D260000}"/>
    <cellStyle name="Currency 5 2 2 3 5 6 2 3" xfId="11243" xr:uid="{00000000-0005-0000-0000-00001E260000}"/>
    <cellStyle name="Currency 5 2 2 3 5 6 3" xfId="11244" xr:uid="{00000000-0005-0000-0000-00001F260000}"/>
    <cellStyle name="Currency 5 2 2 3 5 6 3 2" xfId="11245" xr:uid="{00000000-0005-0000-0000-000020260000}"/>
    <cellStyle name="Currency 5 2 2 3 5 6 4" xfId="11246" xr:uid="{00000000-0005-0000-0000-000021260000}"/>
    <cellStyle name="Currency 5 2 2 3 5 7" xfId="11247" xr:uid="{00000000-0005-0000-0000-000022260000}"/>
    <cellStyle name="Currency 5 2 2 3 5 7 2" xfId="11248" xr:uid="{00000000-0005-0000-0000-000023260000}"/>
    <cellStyle name="Currency 5 2 2 3 5 7 2 2" xfId="11249" xr:uid="{00000000-0005-0000-0000-000024260000}"/>
    <cellStyle name="Currency 5 2 2 3 5 7 2 2 2" xfId="11250" xr:uid="{00000000-0005-0000-0000-000025260000}"/>
    <cellStyle name="Currency 5 2 2 3 5 7 2 3" xfId="11251" xr:uid="{00000000-0005-0000-0000-000026260000}"/>
    <cellStyle name="Currency 5 2 2 3 5 7 3" xfId="11252" xr:uid="{00000000-0005-0000-0000-000027260000}"/>
    <cellStyle name="Currency 5 2 2 3 5 7 3 2" xfId="11253" xr:uid="{00000000-0005-0000-0000-000028260000}"/>
    <cellStyle name="Currency 5 2 2 3 5 7 4" xfId="11254" xr:uid="{00000000-0005-0000-0000-000029260000}"/>
    <cellStyle name="Currency 5 2 2 3 5 8" xfId="11255" xr:uid="{00000000-0005-0000-0000-00002A260000}"/>
    <cellStyle name="Currency 5 2 2 3 5 8 2" xfId="11256" xr:uid="{00000000-0005-0000-0000-00002B260000}"/>
    <cellStyle name="Currency 5 2 2 3 5 8 2 2" xfId="11257" xr:uid="{00000000-0005-0000-0000-00002C260000}"/>
    <cellStyle name="Currency 5 2 2 3 5 8 3" xfId="11258" xr:uid="{00000000-0005-0000-0000-00002D260000}"/>
    <cellStyle name="Currency 5 2 2 3 5 9" xfId="11259" xr:uid="{00000000-0005-0000-0000-00002E260000}"/>
    <cellStyle name="Currency 5 2 2 3 5 9 2" xfId="11260" xr:uid="{00000000-0005-0000-0000-00002F260000}"/>
    <cellStyle name="Currency 5 2 2 3 6" xfId="1291" xr:uid="{00000000-0005-0000-0000-000030260000}"/>
    <cellStyle name="Currency 5 2 2 3 6 2" xfId="11262" xr:uid="{00000000-0005-0000-0000-000031260000}"/>
    <cellStyle name="Currency 5 2 2 3 6 2 2" xfId="11263" xr:uid="{00000000-0005-0000-0000-000032260000}"/>
    <cellStyle name="Currency 5 2 2 3 6 2 2 2" xfId="11264" xr:uid="{00000000-0005-0000-0000-000033260000}"/>
    <cellStyle name="Currency 5 2 2 3 6 2 2 2 2" xfId="11265" xr:uid="{00000000-0005-0000-0000-000034260000}"/>
    <cellStyle name="Currency 5 2 2 3 6 2 2 3" xfId="11266" xr:uid="{00000000-0005-0000-0000-000035260000}"/>
    <cellStyle name="Currency 5 2 2 3 6 2 3" xfId="11267" xr:uid="{00000000-0005-0000-0000-000036260000}"/>
    <cellStyle name="Currency 5 2 2 3 6 2 3 2" xfId="11268" xr:uid="{00000000-0005-0000-0000-000037260000}"/>
    <cellStyle name="Currency 5 2 2 3 6 2 4" xfId="11269" xr:uid="{00000000-0005-0000-0000-000038260000}"/>
    <cellStyle name="Currency 5 2 2 3 6 3" xfId="11270" xr:uid="{00000000-0005-0000-0000-000039260000}"/>
    <cellStyle name="Currency 5 2 2 3 6 3 2" xfId="11271" xr:uid="{00000000-0005-0000-0000-00003A260000}"/>
    <cellStyle name="Currency 5 2 2 3 6 3 2 2" xfId="11272" xr:uid="{00000000-0005-0000-0000-00003B260000}"/>
    <cellStyle name="Currency 5 2 2 3 6 3 2 2 2" xfId="11273" xr:uid="{00000000-0005-0000-0000-00003C260000}"/>
    <cellStyle name="Currency 5 2 2 3 6 3 2 3" xfId="11274" xr:uid="{00000000-0005-0000-0000-00003D260000}"/>
    <cellStyle name="Currency 5 2 2 3 6 3 3" xfId="11275" xr:uid="{00000000-0005-0000-0000-00003E260000}"/>
    <cellStyle name="Currency 5 2 2 3 6 3 3 2" xfId="11276" xr:uid="{00000000-0005-0000-0000-00003F260000}"/>
    <cellStyle name="Currency 5 2 2 3 6 3 4" xfId="11277" xr:uid="{00000000-0005-0000-0000-000040260000}"/>
    <cellStyle name="Currency 5 2 2 3 6 4" xfId="11278" xr:uid="{00000000-0005-0000-0000-000041260000}"/>
    <cellStyle name="Currency 5 2 2 3 6 4 2" xfId="11279" xr:uid="{00000000-0005-0000-0000-000042260000}"/>
    <cellStyle name="Currency 5 2 2 3 6 4 2 2" xfId="11280" xr:uid="{00000000-0005-0000-0000-000043260000}"/>
    <cellStyle name="Currency 5 2 2 3 6 4 3" xfId="11281" xr:uid="{00000000-0005-0000-0000-000044260000}"/>
    <cellStyle name="Currency 5 2 2 3 6 5" xfId="11282" xr:uid="{00000000-0005-0000-0000-000045260000}"/>
    <cellStyle name="Currency 5 2 2 3 6 5 2" xfId="11283" xr:uid="{00000000-0005-0000-0000-000046260000}"/>
    <cellStyle name="Currency 5 2 2 3 6 6" xfId="11284" xr:uid="{00000000-0005-0000-0000-000047260000}"/>
    <cellStyle name="Currency 5 2 2 3 6 7" xfId="11261" xr:uid="{00000000-0005-0000-0000-000048260000}"/>
    <cellStyle name="Currency 5 2 2 3 7" xfId="11285" xr:uid="{00000000-0005-0000-0000-000049260000}"/>
    <cellStyle name="Currency 5 2 2 3 7 2" xfId="11286" xr:uid="{00000000-0005-0000-0000-00004A260000}"/>
    <cellStyle name="Currency 5 2 2 3 7 2 2" xfId="11287" xr:uid="{00000000-0005-0000-0000-00004B260000}"/>
    <cellStyle name="Currency 5 2 2 3 7 2 2 2" xfId="11288" xr:uid="{00000000-0005-0000-0000-00004C260000}"/>
    <cellStyle name="Currency 5 2 2 3 7 2 2 2 2" xfId="11289" xr:uid="{00000000-0005-0000-0000-00004D260000}"/>
    <cellStyle name="Currency 5 2 2 3 7 2 2 3" xfId="11290" xr:uid="{00000000-0005-0000-0000-00004E260000}"/>
    <cellStyle name="Currency 5 2 2 3 7 2 3" xfId="11291" xr:uid="{00000000-0005-0000-0000-00004F260000}"/>
    <cellStyle name="Currency 5 2 2 3 7 2 3 2" xfId="11292" xr:uid="{00000000-0005-0000-0000-000050260000}"/>
    <cellStyle name="Currency 5 2 2 3 7 2 4" xfId="11293" xr:uid="{00000000-0005-0000-0000-000051260000}"/>
    <cellStyle name="Currency 5 2 2 3 7 3" xfId="11294" xr:uid="{00000000-0005-0000-0000-000052260000}"/>
    <cellStyle name="Currency 5 2 2 3 7 3 2" xfId="11295" xr:uid="{00000000-0005-0000-0000-000053260000}"/>
    <cellStyle name="Currency 5 2 2 3 7 3 2 2" xfId="11296" xr:uid="{00000000-0005-0000-0000-000054260000}"/>
    <cellStyle name="Currency 5 2 2 3 7 3 3" xfId="11297" xr:uid="{00000000-0005-0000-0000-000055260000}"/>
    <cellStyle name="Currency 5 2 2 3 7 4" xfId="11298" xr:uid="{00000000-0005-0000-0000-000056260000}"/>
    <cellStyle name="Currency 5 2 2 3 7 4 2" xfId="11299" xr:uid="{00000000-0005-0000-0000-000057260000}"/>
    <cellStyle name="Currency 5 2 2 3 7 5" xfId="11300" xr:uid="{00000000-0005-0000-0000-000058260000}"/>
    <cellStyle name="Currency 5 2 2 3 8" xfId="11301" xr:uid="{00000000-0005-0000-0000-000059260000}"/>
    <cellStyle name="Currency 5 2 2 3 8 2" xfId="11302" xr:uid="{00000000-0005-0000-0000-00005A260000}"/>
    <cellStyle name="Currency 5 2 2 3 8 2 2" xfId="11303" xr:uid="{00000000-0005-0000-0000-00005B260000}"/>
    <cellStyle name="Currency 5 2 2 3 8 2 2 2" xfId="11304" xr:uid="{00000000-0005-0000-0000-00005C260000}"/>
    <cellStyle name="Currency 5 2 2 3 8 2 2 2 2" xfId="11305" xr:uid="{00000000-0005-0000-0000-00005D260000}"/>
    <cellStyle name="Currency 5 2 2 3 8 2 2 3" xfId="11306" xr:uid="{00000000-0005-0000-0000-00005E260000}"/>
    <cellStyle name="Currency 5 2 2 3 8 2 3" xfId="11307" xr:uid="{00000000-0005-0000-0000-00005F260000}"/>
    <cellStyle name="Currency 5 2 2 3 8 2 3 2" xfId="11308" xr:uid="{00000000-0005-0000-0000-000060260000}"/>
    <cellStyle name="Currency 5 2 2 3 8 2 4" xfId="11309" xr:uid="{00000000-0005-0000-0000-000061260000}"/>
    <cellStyle name="Currency 5 2 2 3 8 3" xfId="11310" xr:uid="{00000000-0005-0000-0000-000062260000}"/>
    <cellStyle name="Currency 5 2 2 3 8 3 2" xfId="11311" xr:uid="{00000000-0005-0000-0000-000063260000}"/>
    <cellStyle name="Currency 5 2 2 3 8 3 2 2" xfId="11312" xr:uid="{00000000-0005-0000-0000-000064260000}"/>
    <cellStyle name="Currency 5 2 2 3 8 3 3" xfId="11313" xr:uid="{00000000-0005-0000-0000-000065260000}"/>
    <cellStyle name="Currency 5 2 2 3 8 4" xfId="11314" xr:uid="{00000000-0005-0000-0000-000066260000}"/>
    <cellStyle name="Currency 5 2 2 3 8 4 2" xfId="11315" xr:uid="{00000000-0005-0000-0000-000067260000}"/>
    <cellStyle name="Currency 5 2 2 3 8 5" xfId="11316" xr:uid="{00000000-0005-0000-0000-000068260000}"/>
    <cellStyle name="Currency 5 2 2 3 9" xfId="11317" xr:uid="{00000000-0005-0000-0000-000069260000}"/>
    <cellStyle name="Currency 5 2 2 3 9 2" xfId="11318" xr:uid="{00000000-0005-0000-0000-00006A260000}"/>
    <cellStyle name="Currency 5 2 2 3 9 2 2" xfId="11319" xr:uid="{00000000-0005-0000-0000-00006B260000}"/>
    <cellStyle name="Currency 5 2 2 3 9 2 2 2" xfId="11320" xr:uid="{00000000-0005-0000-0000-00006C260000}"/>
    <cellStyle name="Currency 5 2 2 3 9 2 3" xfId="11321" xr:uid="{00000000-0005-0000-0000-00006D260000}"/>
    <cellStyle name="Currency 5 2 2 3 9 3" xfId="11322" xr:uid="{00000000-0005-0000-0000-00006E260000}"/>
    <cellStyle name="Currency 5 2 2 3 9 3 2" xfId="11323" xr:uid="{00000000-0005-0000-0000-00006F260000}"/>
    <cellStyle name="Currency 5 2 2 3 9 4" xfId="11324" xr:uid="{00000000-0005-0000-0000-000070260000}"/>
    <cellStyle name="Currency 5 2 2 4" xfId="310" xr:uid="{00000000-0005-0000-0000-000071260000}"/>
    <cellStyle name="Currency 5 2 2 4 10" xfId="11326" xr:uid="{00000000-0005-0000-0000-000072260000}"/>
    <cellStyle name="Currency 5 2 2 4 10 2" xfId="11327" xr:uid="{00000000-0005-0000-0000-000073260000}"/>
    <cellStyle name="Currency 5 2 2 4 10 2 2" xfId="11328" xr:uid="{00000000-0005-0000-0000-000074260000}"/>
    <cellStyle name="Currency 5 2 2 4 10 2 2 2" xfId="11329" xr:uid="{00000000-0005-0000-0000-000075260000}"/>
    <cellStyle name="Currency 5 2 2 4 10 2 3" xfId="11330" xr:uid="{00000000-0005-0000-0000-000076260000}"/>
    <cellStyle name="Currency 5 2 2 4 10 3" xfId="11331" xr:uid="{00000000-0005-0000-0000-000077260000}"/>
    <cellStyle name="Currency 5 2 2 4 10 3 2" xfId="11332" xr:uid="{00000000-0005-0000-0000-000078260000}"/>
    <cellStyle name="Currency 5 2 2 4 10 4" xfId="11333" xr:uid="{00000000-0005-0000-0000-000079260000}"/>
    <cellStyle name="Currency 5 2 2 4 11" xfId="11334" xr:uid="{00000000-0005-0000-0000-00007A260000}"/>
    <cellStyle name="Currency 5 2 2 4 11 2" xfId="11335" xr:uid="{00000000-0005-0000-0000-00007B260000}"/>
    <cellStyle name="Currency 5 2 2 4 11 2 2" xfId="11336" xr:uid="{00000000-0005-0000-0000-00007C260000}"/>
    <cellStyle name="Currency 5 2 2 4 11 3" xfId="11337" xr:uid="{00000000-0005-0000-0000-00007D260000}"/>
    <cellStyle name="Currency 5 2 2 4 12" xfId="11338" xr:uid="{00000000-0005-0000-0000-00007E260000}"/>
    <cellStyle name="Currency 5 2 2 4 12 2" xfId="11339" xr:uid="{00000000-0005-0000-0000-00007F260000}"/>
    <cellStyle name="Currency 5 2 2 4 12 2 2" xfId="11340" xr:uid="{00000000-0005-0000-0000-000080260000}"/>
    <cellStyle name="Currency 5 2 2 4 12 3" xfId="11341" xr:uid="{00000000-0005-0000-0000-000081260000}"/>
    <cellStyle name="Currency 5 2 2 4 13" xfId="11342" xr:uid="{00000000-0005-0000-0000-000082260000}"/>
    <cellStyle name="Currency 5 2 2 4 13 2" xfId="11343" xr:uid="{00000000-0005-0000-0000-000083260000}"/>
    <cellStyle name="Currency 5 2 2 4 13 2 2" xfId="11344" xr:uid="{00000000-0005-0000-0000-000084260000}"/>
    <cellStyle name="Currency 5 2 2 4 13 3" xfId="11345" xr:uid="{00000000-0005-0000-0000-000085260000}"/>
    <cellStyle name="Currency 5 2 2 4 14" xfId="11346" xr:uid="{00000000-0005-0000-0000-000086260000}"/>
    <cellStyle name="Currency 5 2 2 4 14 2" xfId="11347" xr:uid="{00000000-0005-0000-0000-000087260000}"/>
    <cellStyle name="Currency 5 2 2 4 15" xfId="11348" xr:uid="{00000000-0005-0000-0000-000088260000}"/>
    <cellStyle name="Currency 5 2 2 4 16" xfId="11349" xr:uid="{00000000-0005-0000-0000-000089260000}"/>
    <cellStyle name="Currency 5 2 2 4 17" xfId="11325" xr:uid="{00000000-0005-0000-0000-00008A260000}"/>
    <cellStyle name="Currency 5 2 2 4 2" xfId="311" xr:uid="{00000000-0005-0000-0000-00008B260000}"/>
    <cellStyle name="Currency 5 2 2 4 2 10" xfId="11351" xr:uid="{00000000-0005-0000-0000-00008C260000}"/>
    <cellStyle name="Currency 5 2 2 4 2 10 2" xfId="11352" xr:uid="{00000000-0005-0000-0000-00008D260000}"/>
    <cellStyle name="Currency 5 2 2 4 2 10 2 2" xfId="11353" xr:uid="{00000000-0005-0000-0000-00008E260000}"/>
    <cellStyle name="Currency 5 2 2 4 2 10 3" xfId="11354" xr:uid="{00000000-0005-0000-0000-00008F260000}"/>
    <cellStyle name="Currency 5 2 2 4 2 11" xfId="11355" xr:uid="{00000000-0005-0000-0000-000090260000}"/>
    <cellStyle name="Currency 5 2 2 4 2 11 2" xfId="11356" xr:uid="{00000000-0005-0000-0000-000091260000}"/>
    <cellStyle name="Currency 5 2 2 4 2 11 2 2" xfId="11357" xr:uid="{00000000-0005-0000-0000-000092260000}"/>
    <cellStyle name="Currency 5 2 2 4 2 11 3" xfId="11358" xr:uid="{00000000-0005-0000-0000-000093260000}"/>
    <cellStyle name="Currency 5 2 2 4 2 12" xfId="11359" xr:uid="{00000000-0005-0000-0000-000094260000}"/>
    <cellStyle name="Currency 5 2 2 4 2 12 2" xfId="11360" xr:uid="{00000000-0005-0000-0000-000095260000}"/>
    <cellStyle name="Currency 5 2 2 4 2 13" xfId="11361" xr:uid="{00000000-0005-0000-0000-000096260000}"/>
    <cellStyle name="Currency 5 2 2 4 2 14" xfId="11362" xr:uid="{00000000-0005-0000-0000-000097260000}"/>
    <cellStyle name="Currency 5 2 2 4 2 15" xfId="11350" xr:uid="{00000000-0005-0000-0000-000098260000}"/>
    <cellStyle name="Currency 5 2 2 4 2 2" xfId="880" xr:uid="{00000000-0005-0000-0000-000099260000}"/>
    <cellStyle name="Currency 5 2 2 4 2 2 10" xfId="11364" xr:uid="{00000000-0005-0000-0000-00009A260000}"/>
    <cellStyle name="Currency 5 2 2 4 2 2 11" xfId="11363" xr:uid="{00000000-0005-0000-0000-00009B260000}"/>
    <cellStyle name="Currency 5 2 2 4 2 2 2" xfId="1621" xr:uid="{00000000-0005-0000-0000-00009C260000}"/>
    <cellStyle name="Currency 5 2 2 4 2 2 2 2" xfId="11366" xr:uid="{00000000-0005-0000-0000-00009D260000}"/>
    <cellStyle name="Currency 5 2 2 4 2 2 2 2 2" xfId="11367" xr:uid="{00000000-0005-0000-0000-00009E260000}"/>
    <cellStyle name="Currency 5 2 2 4 2 2 2 2 2 2" xfId="11368" xr:uid="{00000000-0005-0000-0000-00009F260000}"/>
    <cellStyle name="Currency 5 2 2 4 2 2 2 2 2 2 2" xfId="11369" xr:uid="{00000000-0005-0000-0000-0000A0260000}"/>
    <cellStyle name="Currency 5 2 2 4 2 2 2 2 2 3" xfId="11370" xr:uid="{00000000-0005-0000-0000-0000A1260000}"/>
    <cellStyle name="Currency 5 2 2 4 2 2 2 2 3" xfId="11371" xr:uid="{00000000-0005-0000-0000-0000A2260000}"/>
    <cellStyle name="Currency 5 2 2 4 2 2 2 2 3 2" xfId="11372" xr:uid="{00000000-0005-0000-0000-0000A3260000}"/>
    <cellStyle name="Currency 5 2 2 4 2 2 2 2 4" xfId="11373" xr:uid="{00000000-0005-0000-0000-0000A4260000}"/>
    <cellStyle name="Currency 5 2 2 4 2 2 2 3" xfId="11374" xr:uid="{00000000-0005-0000-0000-0000A5260000}"/>
    <cellStyle name="Currency 5 2 2 4 2 2 2 3 2" xfId="11375" xr:uid="{00000000-0005-0000-0000-0000A6260000}"/>
    <cellStyle name="Currency 5 2 2 4 2 2 2 3 2 2" xfId="11376" xr:uid="{00000000-0005-0000-0000-0000A7260000}"/>
    <cellStyle name="Currency 5 2 2 4 2 2 2 3 2 2 2" xfId="11377" xr:uid="{00000000-0005-0000-0000-0000A8260000}"/>
    <cellStyle name="Currency 5 2 2 4 2 2 2 3 2 3" xfId="11378" xr:uid="{00000000-0005-0000-0000-0000A9260000}"/>
    <cellStyle name="Currency 5 2 2 4 2 2 2 3 3" xfId="11379" xr:uid="{00000000-0005-0000-0000-0000AA260000}"/>
    <cellStyle name="Currency 5 2 2 4 2 2 2 3 3 2" xfId="11380" xr:uid="{00000000-0005-0000-0000-0000AB260000}"/>
    <cellStyle name="Currency 5 2 2 4 2 2 2 3 4" xfId="11381" xr:uid="{00000000-0005-0000-0000-0000AC260000}"/>
    <cellStyle name="Currency 5 2 2 4 2 2 2 4" xfId="11382" xr:uid="{00000000-0005-0000-0000-0000AD260000}"/>
    <cellStyle name="Currency 5 2 2 4 2 2 2 4 2" xfId="11383" xr:uid="{00000000-0005-0000-0000-0000AE260000}"/>
    <cellStyle name="Currency 5 2 2 4 2 2 2 4 2 2" xfId="11384" xr:uid="{00000000-0005-0000-0000-0000AF260000}"/>
    <cellStyle name="Currency 5 2 2 4 2 2 2 4 3" xfId="11385" xr:uid="{00000000-0005-0000-0000-0000B0260000}"/>
    <cellStyle name="Currency 5 2 2 4 2 2 2 5" xfId="11386" xr:uid="{00000000-0005-0000-0000-0000B1260000}"/>
    <cellStyle name="Currency 5 2 2 4 2 2 2 5 2" xfId="11387" xr:uid="{00000000-0005-0000-0000-0000B2260000}"/>
    <cellStyle name="Currency 5 2 2 4 2 2 2 6" xfId="11388" xr:uid="{00000000-0005-0000-0000-0000B3260000}"/>
    <cellStyle name="Currency 5 2 2 4 2 2 2 7" xfId="11365" xr:uid="{00000000-0005-0000-0000-0000B4260000}"/>
    <cellStyle name="Currency 5 2 2 4 2 2 3" xfId="11389" xr:uid="{00000000-0005-0000-0000-0000B5260000}"/>
    <cellStyle name="Currency 5 2 2 4 2 2 3 2" xfId="11390" xr:uid="{00000000-0005-0000-0000-0000B6260000}"/>
    <cellStyle name="Currency 5 2 2 4 2 2 3 2 2" xfId="11391" xr:uid="{00000000-0005-0000-0000-0000B7260000}"/>
    <cellStyle name="Currency 5 2 2 4 2 2 3 2 2 2" xfId="11392" xr:uid="{00000000-0005-0000-0000-0000B8260000}"/>
    <cellStyle name="Currency 5 2 2 4 2 2 3 2 2 2 2" xfId="11393" xr:uid="{00000000-0005-0000-0000-0000B9260000}"/>
    <cellStyle name="Currency 5 2 2 4 2 2 3 2 2 3" xfId="11394" xr:uid="{00000000-0005-0000-0000-0000BA260000}"/>
    <cellStyle name="Currency 5 2 2 4 2 2 3 2 3" xfId="11395" xr:uid="{00000000-0005-0000-0000-0000BB260000}"/>
    <cellStyle name="Currency 5 2 2 4 2 2 3 2 3 2" xfId="11396" xr:uid="{00000000-0005-0000-0000-0000BC260000}"/>
    <cellStyle name="Currency 5 2 2 4 2 2 3 2 4" xfId="11397" xr:uid="{00000000-0005-0000-0000-0000BD260000}"/>
    <cellStyle name="Currency 5 2 2 4 2 2 3 3" xfId="11398" xr:uid="{00000000-0005-0000-0000-0000BE260000}"/>
    <cellStyle name="Currency 5 2 2 4 2 2 3 3 2" xfId="11399" xr:uid="{00000000-0005-0000-0000-0000BF260000}"/>
    <cellStyle name="Currency 5 2 2 4 2 2 3 3 2 2" xfId="11400" xr:uid="{00000000-0005-0000-0000-0000C0260000}"/>
    <cellStyle name="Currency 5 2 2 4 2 2 3 3 3" xfId="11401" xr:uid="{00000000-0005-0000-0000-0000C1260000}"/>
    <cellStyle name="Currency 5 2 2 4 2 2 3 4" xfId="11402" xr:uid="{00000000-0005-0000-0000-0000C2260000}"/>
    <cellStyle name="Currency 5 2 2 4 2 2 3 4 2" xfId="11403" xr:uid="{00000000-0005-0000-0000-0000C3260000}"/>
    <cellStyle name="Currency 5 2 2 4 2 2 3 5" xfId="11404" xr:uid="{00000000-0005-0000-0000-0000C4260000}"/>
    <cellStyle name="Currency 5 2 2 4 2 2 4" xfId="11405" xr:uid="{00000000-0005-0000-0000-0000C5260000}"/>
    <cellStyle name="Currency 5 2 2 4 2 2 4 2" xfId="11406" xr:uid="{00000000-0005-0000-0000-0000C6260000}"/>
    <cellStyle name="Currency 5 2 2 4 2 2 4 2 2" xfId="11407" xr:uid="{00000000-0005-0000-0000-0000C7260000}"/>
    <cellStyle name="Currency 5 2 2 4 2 2 4 2 2 2" xfId="11408" xr:uid="{00000000-0005-0000-0000-0000C8260000}"/>
    <cellStyle name="Currency 5 2 2 4 2 2 4 2 2 2 2" xfId="11409" xr:uid="{00000000-0005-0000-0000-0000C9260000}"/>
    <cellStyle name="Currency 5 2 2 4 2 2 4 2 2 3" xfId="11410" xr:uid="{00000000-0005-0000-0000-0000CA260000}"/>
    <cellStyle name="Currency 5 2 2 4 2 2 4 2 3" xfId="11411" xr:uid="{00000000-0005-0000-0000-0000CB260000}"/>
    <cellStyle name="Currency 5 2 2 4 2 2 4 2 3 2" xfId="11412" xr:uid="{00000000-0005-0000-0000-0000CC260000}"/>
    <cellStyle name="Currency 5 2 2 4 2 2 4 2 4" xfId="11413" xr:uid="{00000000-0005-0000-0000-0000CD260000}"/>
    <cellStyle name="Currency 5 2 2 4 2 2 4 3" xfId="11414" xr:uid="{00000000-0005-0000-0000-0000CE260000}"/>
    <cellStyle name="Currency 5 2 2 4 2 2 4 3 2" xfId="11415" xr:uid="{00000000-0005-0000-0000-0000CF260000}"/>
    <cellStyle name="Currency 5 2 2 4 2 2 4 3 2 2" xfId="11416" xr:uid="{00000000-0005-0000-0000-0000D0260000}"/>
    <cellStyle name="Currency 5 2 2 4 2 2 4 3 3" xfId="11417" xr:uid="{00000000-0005-0000-0000-0000D1260000}"/>
    <cellStyle name="Currency 5 2 2 4 2 2 4 4" xfId="11418" xr:uid="{00000000-0005-0000-0000-0000D2260000}"/>
    <cellStyle name="Currency 5 2 2 4 2 2 4 4 2" xfId="11419" xr:uid="{00000000-0005-0000-0000-0000D3260000}"/>
    <cellStyle name="Currency 5 2 2 4 2 2 4 5" xfId="11420" xr:uid="{00000000-0005-0000-0000-0000D4260000}"/>
    <cellStyle name="Currency 5 2 2 4 2 2 5" xfId="11421" xr:uid="{00000000-0005-0000-0000-0000D5260000}"/>
    <cellStyle name="Currency 5 2 2 4 2 2 5 2" xfId="11422" xr:uid="{00000000-0005-0000-0000-0000D6260000}"/>
    <cellStyle name="Currency 5 2 2 4 2 2 5 2 2" xfId="11423" xr:uid="{00000000-0005-0000-0000-0000D7260000}"/>
    <cellStyle name="Currency 5 2 2 4 2 2 5 2 2 2" xfId="11424" xr:uid="{00000000-0005-0000-0000-0000D8260000}"/>
    <cellStyle name="Currency 5 2 2 4 2 2 5 2 3" xfId="11425" xr:uid="{00000000-0005-0000-0000-0000D9260000}"/>
    <cellStyle name="Currency 5 2 2 4 2 2 5 3" xfId="11426" xr:uid="{00000000-0005-0000-0000-0000DA260000}"/>
    <cellStyle name="Currency 5 2 2 4 2 2 5 3 2" xfId="11427" xr:uid="{00000000-0005-0000-0000-0000DB260000}"/>
    <cellStyle name="Currency 5 2 2 4 2 2 5 4" xfId="11428" xr:uid="{00000000-0005-0000-0000-0000DC260000}"/>
    <cellStyle name="Currency 5 2 2 4 2 2 6" xfId="11429" xr:uid="{00000000-0005-0000-0000-0000DD260000}"/>
    <cellStyle name="Currency 5 2 2 4 2 2 6 2" xfId="11430" xr:uid="{00000000-0005-0000-0000-0000DE260000}"/>
    <cellStyle name="Currency 5 2 2 4 2 2 6 2 2" xfId="11431" xr:uid="{00000000-0005-0000-0000-0000DF260000}"/>
    <cellStyle name="Currency 5 2 2 4 2 2 6 2 2 2" xfId="11432" xr:uid="{00000000-0005-0000-0000-0000E0260000}"/>
    <cellStyle name="Currency 5 2 2 4 2 2 6 2 3" xfId="11433" xr:uid="{00000000-0005-0000-0000-0000E1260000}"/>
    <cellStyle name="Currency 5 2 2 4 2 2 6 3" xfId="11434" xr:uid="{00000000-0005-0000-0000-0000E2260000}"/>
    <cellStyle name="Currency 5 2 2 4 2 2 6 3 2" xfId="11435" xr:uid="{00000000-0005-0000-0000-0000E3260000}"/>
    <cellStyle name="Currency 5 2 2 4 2 2 6 4" xfId="11436" xr:uid="{00000000-0005-0000-0000-0000E4260000}"/>
    <cellStyle name="Currency 5 2 2 4 2 2 7" xfId="11437" xr:uid="{00000000-0005-0000-0000-0000E5260000}"/>
    <cellStyle name="Currency 5 2 2 4 2 2 7 2" xfId="11438" xr:uid="{00000000-0005-0000-0000-0000E6260000}"/>
    <cellStyle name="Currency 5 2 2 4 2 2 7 2 2" xfId="11439" xr:uid="{00000000-0005-0000-0000-0000E7260000}"/>
    <cellStyle name="Currency 5 2 2 4 2 2 7 2 2 2" xfId="11440" xr:uid="{00000000-0005-0000-0000-0000E8260000}"/>
    <cellStyle name="Currency 5 2 2 4 2 2 7 2 3" xfId="11441" xr:uid="{00000000-0005-0000-0000-0000E9260000}"/>
    <cellStyle name="Currency 5 2 2 4 2 2 7 3" xfId="11442" xr:uid="{00000000-0005-0000-0000-0000EA260000}"/>
    <cellStyle name="Currency 5 2 2 4 2 2 7 3 2" xfId="11443" xr:uid="{00000000-0005-0000-0000-0000EB260000}"/>
    <cellStyle name="Currency 5 2 2 4 2 2 7 4" xfId="11444" xr:uid="{00000000-0005-0000-0000-0000EC260000}"/>
    <cellStyle name="Currency 5 2 2 4 2 2 8" xfId="11445" xr:uid="{00000000-0005-0000-0000-0000ED260000}"/>
    <cellStyle name="Currency 5 2 2 4 2 2 8 2" xfId="11446" xr:uid="{00000000-0005-0000-0000-0000EE260000}"/>
    <cellStyle name="Currency 5 2 2 4 2 2 8 2 2" xfId="11447" xr:uid="{00000000-0005-0000-0000-0000EF260000}"/>
    <cellStyle name="Currency 5 2 2 4 2 2 8 3" xfId="11448" xr:uid="{00000000-0005-0000-0000-0000F0260000}"/>
    <cellStyle name="Currency 5 2 2 4 2 2 9" xfId="11449" xr:uid="{00000000-0005-0000-0000-0000F1260000}"/>
    <cellStyle name="Currency 5 2 2 4 2 2 9 2" xfId="11450" xr:uid="{00000000-0005-0000-0000-0000F2260000}"/>
    <cellStyle name="Currency 5 2 2 4 2 3" xfId="1296" xr:uid="{00000000-0005-0000-0000-0000F3260000}"/>
    <cellStyle name="Currency 5 2 2 4 2 3 2" xfId="11452" xr:uid="{00000000-0005-0000-0000-0000F4260000}"/>
    <cellStyle name="Currency 5 2 2 4 2 3 2 2" xfId="11453" xr:uid="{00000000-0005-0000-0000-0000F5260000}"/>
    <cellStyle name="Currency 5 2 2 4 2 3 2 2 2" xfId="11454" xr:uid="{00000000-0005-0000-0000-0000F6260000}"/>
    <cellStyle name="Currency 5 2 2 4 2 3 2 2 2 2" xfId="11455" xr:uid="{00000000-0005-0000-0000-0000F7260000}"/>
    <cellStyle name="Currency 5 2 2 4 2 3 2 2 3" xfId="11456" xr:uid="{00000000-0005-0000-0000-0000F8260000}"/>
    <cellStyle name="Currency 5 2 2 4 2 3 2 3" xfId="11457" xr:uid="{00000000-0005-0000-0000-0000F9260000}"/>
    <cellStyle name="Currency 5 2 2 4 2 3 2 3 2" xfId="11458" xr:uid="{00000000-0005-0000-0000-0000FA260000}"/>
    <cellStyle name="Currency 5 2 2 4 2 3 2 4" xfId="11459" xr:uid="{00000000-0005-0000-0000-0000FB260000}"/>
    <cellStyle name="Currency 5 2 2 4 2 3 3" xfId="11460" xr:uid="{00000000-0005-0000-0000-0000FC260000}"/>
    <cellStyle name="Currency 5 2 2 4 2 3 3 2" xfId="11461" xr:uid="{00000000-0005-0000-0000-0000FD260000}"/>
    <cellStyle name="Currency 5 2 2 4 2 3 3 2 2" xfId="11462" xr:uid="{00000000-0005-0000-0000-0000FE260000}"/>
    <cellStyle name="Currency 5 2 2 4 2 3 3 2 2 2" xfId="11463" xr:uid="{00000000-0005-0000-0000-0000FF260000}"/>
    <cellStyle name="Currency 5 2 2 4 2 3 3 2 3" xfId="11464" xr:uid="{00000000-0005-0000-0000-000000270000}"/>
    <cellStyle name="Currency 5 2 2 4 2 3 3 3" xfId="11465" xr:uid="{00000000-0005-0000-0000-000001270000}"/>
    <cellStyle name="Currency 5 2 2 4 2 3 3 3 2" xfId="11466" xr:uid="{00000000-0005-0000-0000-000002270000}"/>
    <cellStyle name="Currency 5 2 2 4 2 3 3 4" xfId="11467" xr:uid="{00000000-0005-0000-0000-000003270000}"/>
    <cellStyle name="Currency 5 2 2 4 2 3 4" xfId="11468" xr:uid="{00000000-0005-0000-0000-000004270000}"/>
    <cellStyle name="Currency 5 2 2 4 2 3 4 2" xfId="11469" xr:uid="{00000000-0005-0000-0000-000005270000}"/>
    <cellStyle name="Currency 5 2 2 4 2 3 4 2 2" xfId="11470" xr:uid="{00000000-0005-0000-0000-000006270000}"/>
    <cellStyle name="Currency 5 2 2 4 2 3 4 3" xfId="11471" xr:uid="{00000000-0005-0000-0000-000007270000}"/>
    <cellStyle name="Currency 5 2 2 4 2 3 5" xfId="11472" xr:uid="{00000000-0005-0000-0000-000008270000}"/>
    <cellStyle name="Currency 5 2 2 4 2 3 5 2" xfId="11473" xr:uid="{00000000-0005-0000-0000-000009270000}"/>
    <cellStyle name="Currency 5 2 2 4 2 3 6" xfId="11474" xr:uid="{00000000-0005-0000-0000-00000A270000}"/>
    <cellStyle name="Currency 5 2 2 4 2 3 7" xfId="11451" xr:uid="{00000000-0005-0000-0000-00000B270000}"/>
    <cellStyle name="Currency 5 2 2 4 2 4" xfId="11475" xr:uid="{00000000-0005-0000-0000-00000C270000}"/>
    <cellStyle name="Currency 5 2 2 4 2 4 2" xfId="11476" xr:uid="{00000000-0005-0000-0000-00000D270000}"/>
    <cellStyle name="Currency 5 2 2 4 2 4 2 2" xfId="11477" xr:uid="{00000000-0005-0000-0000-00000E270000}"/>
    <cellStyle name="Currency 5 2 2 4 2 4 2 2 2" xfId="11478" xr:uid="{00000000-0005-0000-0000-00000F270000}"/>
    <cellStyle name="Currency 5 2 2 4 2 4 2 2 2 2" xfId="11479" xr:uid="{00000000-0005-0000-0000-000010270000}"/>
    <cellStyle name="Currency 5 2 2 4 2 4 2 2 3" xfId="11480" xr:uid="{00000000-0005-0000-0000-000011270000}"/>
    <cellStyle name="Currency 5 2 2 4 2 4 2 3" xfId="11481" xr:uid="{00000000-0005-0000-0000-000012270000}"/>
    <cellStyle name="Currency 5 2 2 4 2 4 2 3 2" xfId="11482" xr:uid="{00000000-0005-0000-0000-000013270000}"/>
    <cellStyle name="Currency 5 2 2 4 2 4 2 4" xfId="11483" xr:uid="{00000000-0005-0000-0000-000014270000}"/>
    <cellStyle name="Currency 5 2 2 4 2 4 3" xfId="11484" xr:uid="{00000000-0005-0000-0000-000015270000}"/>
    <cellStyle name="Currency 5 2 2 4 2 4 3 2" xfId="11485" xr:uid="{00000000-0005-0000-0000-000016270000}"/>
    <cellStyle name="Currency 5 2 2 4 2 4 3 2 2" xfId="11486" xr:uid="{00000000-0005-0000-0000-000017270000}"/>
    <cellStyle name="Currency 5 2 2 4 2 4 3 3" xfId="11487" xr:uid="{00000000-0005-0000-0000-000018270000}"/>
    <cellStyle name="Currency 5 2 2 4 2 4 4" xfId="11488" xr:uid="{00000000-0005-0000-0000-000019270000}"/>
    <cellStyle name="Currency 5 2 2 4 2 4 4 2" xfId="11489" xr:uid="{00000000-0005-0000-0000-00001A270000}"/>
    <cellStyle name="Currency 5 2 2 4 2 4 5" xfId="11490" xr:uid="{00000000-0005-0000-0000-00001B270000}"/>
    <cellStyle name="Currency 5 2 2 4 2 5" xfId="11491" xr:uid="{00000000-0005-0000-0000-00001C270000}"/>
    <cellStyle name="Currency 5 2 2 4 2 5 2" xfId="11492" xr:uid="{00000000-0005-0000-0000-00001D270000}"/>
    <cellStyle name="Currency 5 2 2 4 2 5 2 2" xfId="11493" xr:uid="{00000000-0005-0000-0000-00001E270000}"/>
    <cellStyle name="Currency 5 2 2 4 2 5 2 2 2" xfId="11494" xr:uid="{00000000-0005-0000-0000-00001F270000}"/>
    <cellStyle name="Currency 5 2 2 4 2 5 2 2 2 2" xfId="11495" xr:uid="{00000000-0005-0000-0000-000020270000}"/>
    <cellStyle name="Currency 5 2 2 4 2 5 2 2 3" xfId="11496" xr:uid="{00000000-0005-0000-0000-000021270000}"/>
    <cellStyle name="Currency 5 2 2 4 2 5 2 3" xfId="11497" xr:uid="{00000000-0005-0000-0000-000022270000}"/>
    <cellStyle name="Currency 5 2 2 4 2 5 2 3 2" xfId="11498" xr:uid="{00000000-0005-0000-0000-000023270000}"/>
    <cellStyle name="Currency 5 2 2 4 2 5 2 4" xfId="11499" xr:uid="{00000000-0005-0000-0000-000024270000}"/>
    <cellStyle name="Currency 5 2 2 4 2 5 3" xfId="11500" xr:uid="{00000000-0005-0000-0000-000025270000}"/>
    <cellStyle name="Currency 5 2 2 4 2 5 3 2" xfId="11501" xr:uid="{00000000-0005-0000-0000-000026270000}"/>
    <cellStyle name="Currency 5 2 2 4 2 5 3 2 2" xfId="11502" xr:uid="{00000000-0005-0000-0000-000027270000}"/>
    <cellStyle name="Currency 5 2 2 4 2 5 3 3" xfId="11503" xr:uid="{00000000-0005-0000-0000-000028270000}"/>
    <cellStyle name="Currency 5 2 2 4 2 5 4" xfId="11504" xr:uid="{00000000-0005-0000-0000-000029270000}"/>
    <cellStyle name="Currency 5 2 2 4 2 5 4 2" xfId="11505" xr:uid="{00000000-0005-0000-0000-00002A270000}"/>
    <cellStyle name="Currency 5 2 2 4 2 5 5" xfId="11506" xr:uid="{00000000-0005-0000-0000-00002B270000}"/>
    <cellStyle name="Currency 5 2 2 4 2 6" xfId="11507" xr:uid="{00000000-0005-0000-0000-00002C270000}"/>
    <cellStyle name="Currency 5 2 2 4 2 6 2" xfId="11508" xr:uid="{00000000-0005-0000-0000-00002D270000}"/>
    <cellStyle name="Currency 5 2 2 4 2 6 2 2" xfId="11509" xr:uid="{00000000-0005-0000-0000-00002E270000}"/>
    <cellStyle name="Currency 5 2 2 4 2 6 2 2 2" xfId="11510" xr:uid="{00000000-0005-0000-0000-00002F270000}"/>
    <cellStyle name="Currency 5 2 2 4 2 6 2 3" xfId="11511" xr:uid="{00000000-0005-0000-0000-000030270000}"/>
    <cellStyle name="Currency 5 2 2 4 2 6 3" xfId="11512" xr:uid="{00000000-0005-0000-0000-000031270000}"/>
    <cellStyle name="Currency 5 2 2 4 2 6 3 2" xfId="11513" xr:uid="{00000000-0005-0000-0000-000032270000}"/>
    <cellStyle name="Currency 5 2 2 4 2 6 4" xfId="11514" xr:uid="{00000000-0005-0000-0000-000033270000}"/>
    <cellStyle name="Currency 5 2 2 4 2 7" xfId="11515" xr:uid="{00000000-0005-0000-0000-000034270000}"/>
    <cellStyle name="Currency 5 2 2 4 2 7 2" xfId="11516" xr:uid="{00000000-0005-0000-0000-000035270000}"/>
    <cellStyle name="Currency 5 2 2 4 2 7 2 2" xfId="11517" xr:uid="{00000000-0005-0000-0000-000036270000}"/>
    <cellStyle name="Currency 5 2 2 4 2 7 2 2 2" xfId="11518" xr:uid="{00000000-0005-0000-0000-000037270000}"/>
    <cellStyle name="Currency 5 2 2 4 2 7 2 3" xfId="11519" xr:uid="{00000000-0005-0000-0000-000038270000}"/>
    <cellStyle name="Currency 5 2 2 4 2 7 3" xfId="11520" xr:uid="{00000000-0005-0000-0000-000039270000}"/>
    <cellStyle name="Currency 5 2 2 4 2 7 3 2" xfId="11521" xr:uid="{00000000-0005-0000-0000-00003A270000}"/>
    <cellStyle name="Currency 5 2 2 4 2 7 4" xfId="11522" xr:uid="{00000000-0005-0000-0000-00003B270000}"/>
    <cellStyle name="Currency 5 2 2 4 2 8" xfId="11523" xr:uid="{00000000-0005-0000-0000-00003C270000}"/>
    <cellStyle name="Currency 5 2 2 4 2 8 2" xfId="11524" xr:uid="{00000000-0005-0000-0000-00003D270000}"/>
    <cellStyle name="Currency 5 2 2 4 2 8 2 2" xfId="11525" xr:uid="{00000000-0005-0000-0000-00003E270000}"/>
    <cellStyle name="Currency 5 2 2 4 2 8 2 2 2" xfId="11526" xr:uid="{00000000-0005-0000-0000-00003F270000}"/>
    <cellStyle name="Currency 5 2 2 4 2 8 2 3" xfId="11527" xr:uid="{00000000-0005-0000-0000-000040270000}"/>
    <cellStyle name="Currency 5 2 2 4 2 8 3" xfId="11528" xr:uid="{00000000-0005-0000-0000-000041270000}"/>
    <cellStyle name="Currency 5 2 2 4 2 8 3 2" xfId="11529" xr:uid="{00000000-0005-0000-0000-000042270000}"/>
    <cellStyle name="Currency 5 2 2 4 2 8 4" xfId="11530" xr:uid="{00000000-0005-0000-0000-000043270000}"/>
    <cellStyle name="Currency 5 2 2 4 2 9" xfId="11531" xr:uid="{00000000-0005-0000-0000-000044270000}"/>
    <cellStyle name="Currency 5 2 2 4 2 9 2" xfId="11532" xr:uid="{00000000-0005-0000-0000-000045270000}"/>
    <cellStyle name="Currency 5 2 2 4 2 9 2 2" xfId="11533" xr:uid="{00000000-0005-0000-0000-000046270000}"/>
    <cellStyle name="Currency 5 2 2 4 2 9 3" xfId="11534" xr:uid="{00000000-0005-0000-0000-000047270000}"/>
    <cellStyle name="Currency 5 2 2 4 3" xfId="312" xr:uid="{00000000-0005-0000-0000-000048270000}"/>
    <cellStyle name="Currency 5 2 2 4 4" xfId="879" xr:uid="{00000000-0005-0000-0000-000049270000}"/>
    <cellStyle name="Currency 5 2 2 4 4 10" xfId="11536" xr:uid="{00000000-0005-0000-0000-00004A270000}"/>
    <cellStyle name="Currency 5 2 2 4 4 11" xfId="11535" xr:uid="{00000000-0005-0000-0000-00004B270000}"/>
    <cellStyle name="Currency 5 2 2 4 4 2" xfId="1620" xr:uid="{00000000-0005-0000-0000-00004C270000}"/>
    <cellStyle name="Currency 5 2 2 4 4 2 2" xfId="11538" xr:uid="{00000000-0005-0000-0000-00004D270000}"/>
    <cellStyle name="Currency 5 2 2 4 4 2 2 2" xfId="11539" xr:uid="{00000000-0005-0000-0000-00004E270000}"/>
    <cellStyle name="Currency 5 2 2 4 4 2 2 2 2" xfId="11540" xr:uid="{00000000-0005-0000-0000-00004F270000}"/>
    <cellStyle name="Currency 5 2 2 4 4 2 2 2 2 2" xfId="11541" xr:uid="{00000000-0005-0000-0000-000050270000}"/>
    <cellStyle name="Currency 5 2 2 4 4 2 2 2 3" xfId="11542" xr:uid="{00000000-0005-0000-0000-000051270000}"/>
    <cellStyle name="Currency 5 2 2 4 4 2 2 3" xfId="11543" xr:uid="{00000000-0005-0000-0000-000052270000}"/>
    <cellStyle name="Currency 5 2 2 4 4 2 2 3 2" xfId="11544" xr:uid="{00000000-0005-0000-0000-000053270000}"/>
    <cellStyle name="Currency 5 2 2 4 4 2 2 4" xfId="11545" xr:uid="{00000000-0005-0000-0000-000054270000}"/>
    <cellStyle name="Currency 5 2 2 4 4 2 3" xfId="11546" xr:uid="{00000000-0005-0000-0000-000055270000}"/>
    <cellStyle name="Currency 5 2 2 4 4 2 3 2" xfId="11547" xr:uid="{00000000-0005-0000-0000-000056270000}"/>
    <cellStyle name="Currency 5 2 2 4 4 2 3 2 2" xfId="11548" xr:uid="{00000000-0005-0000-0000-000057270000}"/>
    <cellStyle name="Currency 5 2 2 4 4 2 3 2 2 2" xfId="11549" xr:uid="{00000000-0005-0000-0000-000058270000}"/>
    <cellStyle name="Currency 5 2 2 4 4 2 3 2 3" xfId="11550" xr:uid="{00000000-0005-0000-0000-000059270000}"/>
    <cellStyle name="Currency 5 2 2 4 4 2 3 3" xfId="11551" xr:uid="{00000000-0005-0000-0000-00005A270000}"/>
    <cellStyle name="Currency 5 2 2 4 4 2 3 3 2" xfId="11552" xr:uid="{00000000-0005-0000-0000-00005B270000}"/>
    <cellStyle name="Currency 5 2 2 4 4 2 3 4" xfId="11553" xr:uid="{00000000-0005-0000-0000-00005C270000}"/>
    <cellStyle name="Currency 5 2 2 4 4 2 4" xfId="11554" xr:uid="{00000000-0005-0000-0000-00005D270000}"/>
    <cellStyle name="Currency 5 2 2 4 4 2 4 2" xfId="11555" xr:uid="{00000000-0005-0000-0000-00005E270000}"/>
    <cellStyle name="Currency 5 2 2 4 4 2 4 2 2" xfId="11556" xr:uid="{00000000-0005-0000-0000-00005F270000}"/>
    <cellStyle name="Currency 5 2 2 4 4 2 4 3" xfId="11557" xr:uid="{00000000-0005-0000-0000-000060270000}"/>
    <cellStyle name="Currency 5 2 2 4 4 2 5" xfId="11558" xr:uid="{00000000-0005-0000-0000-000061270000}"/>
    <cellStyle name="Currency 5 2 2 4 4 2 5 2" xfId="11559" xr:uid="{00000000-0005-0000-0000-000062270000}"/>
    <cellStyle name="Currency 5 2 2 4 4 2 6" xfId="11560" xr:uid="{00000000-0005-0000-0000-000063270000}"/>
    <cellStyle name="Currency 5 2 2 4 4 2 7" xfId="11537" xr:uid="{00000000-0005-0000-0000-000064270000}"/>
    <cellStyle name="Currency 5 2 2 4 4 3" xfId="11561" xr:uid="{00000000-0005-0000-0000-000065270000}"/>
    <cellStyle name="Currency 5 2 2 4 4 3 2" xfId="11562" xr:uid="{00000000-0005-0000-0000-000066270000}"/>
    <cellStyle name="Currency 5 2 2 4 4 3 2 2" xfId="11563" xr:uid="{00000000-0005-0000-0000-000067270000}"/>
    <cellStyle name="Currency 5 2 2 4 4 3 2 2 2" xfId="11564" xr:uid="{00000000-0005-0000-0000-000068270000}"/>
    <cellStyle name="Currency 5 2 2 4 4 3 2 2 2 2" xfId="11565" xr:uid="{00000000-0005-0000-0000-000069270000}"/>
    <cellStyle name="Currency 5 2 2 4 4 3 2 2 3" xfId="11566" xr:uid="{00000000-0005-0000-0000-00006A270000}"/>
    <cellStyle name="Currency 5 2 2 4 4 3 2 3" xfId="11567" xr:uid="{00000000-0005-0000-0000-00006B270000}"/>
    <cellStyle name="Currency 5 2 2 4 4 3 2 3 2" xfId="11568" xr:uid="{00000000-0005-0000-0000-00006C270000}"/>
    <cellStyle name="Currency 5 2 2 4 4 3 2 4" xfId="11569" xr:uid="{00000000-0005-0000-0000-00006D270000}"/>
    <cellStyle name="Currency 5 2 2 4 4 3 3" xfId="11570" xr:uid="{00000000-0005-0000-0000-00006E270000}"/>
    <cellStyle name="Currency 5 2 2 4 4 3 3 2" xfId="11571" xr:uid="{00000000-0005-0000-0000-00006F270000}"/>
    <cellStyle name="Currency 5 2 2 4 4 3 3 2 2" xfId="11572" xr:uid="{00000000-0005-0000-0000-000070270000}"/>
    <cellStyle name="Currency 5 2 2 4 4 3 3 3" xfId="11573" xr:uid="{00000000-0005-0000-0000-000071270000}"/>
    <cellStyle name="Currency 5 2 2 4 4 3 4" xfId="11574" xr:uid="{00000000-0005-0000-0000-000072270000}"/>
    <cellStyle name="Currency 5 2 2 4 4 3 4 2" xfId="11575" xr:uid="{00000000-0005-0000-0000-000073270000}"/>
    <cellStyle name="Currency 5 2 2 4 4 3 5" xfId="11576" xr:uid="{00000000-0005-0000-0000-000074270000}"/>
    <cellStyle name="Currency 5 2 2 4 4 4" xfId="11577" xr:uid="{00000000-0005-0000-0000-000075270000}"/>
    <cellStyle name="Currency 5 2 2 4 4 4 2" xfId="11578" xr:uid="{00000000-0005-0000-0000-000076270000}"/>
    <cellStyle name="Currency 5 2 2 4 4 4 2 2" xfId="11579" xr:uid="{00000000-0005-0000-0000-000077270000}"/>
    <cellStyle name="Currency 5 2 2 4 4 4 2 2 2" xfId="11580" xr:uid="{00000000-0005-0000-0000-000078270000}"/>
    <cellStyle name="Currency 5 2 2 4 4 4 2 2 2 2" xfId="11581" xr:uid="{00000000-0005-0000-0000-000079270000}"/>
    <cellStyle name="Currency 5 2 2 4 4 4 2 2 3" xfId="11582" xr:uid="{00000000-0005-0000-0000-00007A270000}"/>
    <cellStyle name="Currency 5 2 2 4 4 4 2 3" xfId="11583" xr:uid="{00000000-0005-0000-0000-00007B270000}"/>
    <cellStyle name="Currency 5 2 2 4 4 4 2 3 2" xfId="11584" xr:uid="{00000000-0005-0000-0000-00007C270000}"/>
    <cellStyle name="Currency 5 2 2 4 4 4 2 4" xfId="11585" xr:uid="{00000000-0005-0000-0000-00007D270000}"/>
    <cellStyle name="Currency 5 2 2 4 4 4 3" xfId="11586" xr:uid="{00000000-0005-0000-0000-00007E270000}"/>
    <cellStyle name="Currency 5 2 2 4 4 4 3 2" xfId="11587" xr:uid="{00000000-0005-0000-0000-00007F270000}"/>
    <cellStyle name="Currency 5 2 2 4 4 4 3 2 2" xfId="11588" xr:uid="{00000000-0005-0000-0000-000080270000}"/>
    <cellStyle name="Currency 5 2 2 4 4 4 3 3" xfId="11589" xr:uid="{00000000-0005-0000-0000-000081270000}"/>
    <cellStyle name="Currency 5 2 2 4 4 4 4" xfId="11590" xr:uid="{00000000-0005-0000-0000-000082270000}"/>
    <cellStyle name="Currency 5 2 2 4 4 4 4 2" xfId="11591" xr:uid="{00000000-0005-0000-0000-000083270000}"/>
    <cellStyle name="Currency 5 2 2 4 4 4 5" xfId="11592" xr:uid="{00000000-0005-0000-0000-000084270000}"/>
    <cellStyle name="Currency 5 2 2 4 4 5" xfId="11593" xr:uid="{00000000-0005-0000-0000-000085270000}"/>
    <cellStyle name="Currency 5 2 2 4 4 5 2" xfId="11594" xr:uid="{00000000-0005-0000-0000-000086270000}"/>
    <cellStyle name="Currency 5 2 2 4 4 5 2 2" xfId="11595" xr:uid="{00000000-0005-0000-0000-000087270000}"/>
    <cellStyle name="Currency 5 2 2 4 4 5 2 2 2" xfId="11596" xr:uid="{00000000-0005-0000-0000-000088270000}"/>
    <cellStyle name="Currency 5 2 2 4 4 5 2 3" xfId="11597" xr:uid="{00000000-0005-0000-0000-000089270000}"/>
    <cellStyle name="Currency 5 2 2 4 4 5 3" xfId="11598" xr:uid="{00000000-0005-0000-0000-00008A270000}"/>
    <cellStyle name="Currency 5 2 2 4 4 5 3 2" xfId="11599" xr:uid="{00000000-0005-0000-0000-00008B270000}"/>
    <cellStyle name="Currency 5 2 2 4 4 5 4" xfId="11600" xr:uid="{00000000-0005-0000-0000-00008C270000}"/>
    <cellStyle name="Currency 5 2 2 4 4 6" xfId="11601" xr:uid="{00000000-0005-0000-0000-00008D270000}"/>
    <cellStyle name="Currency 5 2 2 4 4 6 2" xfId="11602" xr:uid="{00000000-0005-0000-0000-00008E270000}"/>
    <cellStyle name="Currency 5 2 2 4 4 6 2 2" xfId="11603" xr:uid="{00000000-0005-0000-0000-00008F270000}"/>
    <cellStyle name="Currency 5 2 2 4 4 6 2 2 2" xfId="11604" xr:uid="{00000000-0005-0000-0000-000090270000}"/>
    <cellStyle name="Currency 5 2 2 4 4 6 2 3" xfId="11605" xr:uid="{00000000-0005-0000-0000-000091270000}"/>
    <cellStyle name="Currency 5 2 2 4 4 6 3" xfId="11606" xr:uid="{00000000-0005-0000-0000-000092270000}"/>
    <cellStyle name="Currency 5 2 2 4 4 6 3 2" xfId="11607" xr:uid="{00000000-0005-0000-0000-000093270000}"/>
    <cellStyle name="Currency 5 2 2 4 4 6 4" xfId="11608" xr:uid="{00000000-0005-0000-0000-000094270000}"/>
    <cellStyle name="Currency 5 2 2 4 4 7" xfId="11609" xr:uid="{00000000-0005-0000-0000-000095270000}"/>
    <cellStyle name="Currency 5 2 2 4 4 7 2" xfId="11610" xr:uid="{00000000-0005-0000-0000-000096270000}"/>
    <cellStyle name="Currency 5 2 2 4 4 7 2 2" xfId="11611" xr:uid="{00000000-0005-0000-0000-000097270000}"/>
    <cellStyle name="Currency 5 2 2 4 4 7 2 2 2" xfId="11612" xr:uid="{00000000-0005-0000-0000-000098270000}"/>
    <cellStyle name="Currency 5 2 2 4 4 7 2 3" xfId="11613" xr:uid="{00000000-0005-0000-0000-000099270000}"/>
    <cellStyle name="Currency 5 2 2 4 4 7 3" xfId="11614" xr:uid="{00000000-0005-0000-0000-00009A270000}"/>
    <cellStyle name="Currency 5 2 2 4 4 7 3 2" xfId="11615" xr:uid="{00000000-0005-0000-0000-00009B270000}"/>
    <cellStyle name="Currency 5 2 2 4 4 7 4" xfId="11616" xr:uid="{00000000-0005-0000-0000-00009C270000}"/>
    <cellStyle name="Currency 5 2 2 4 4 8" xfId="11617" xr:uid="{00000000-0005-0000-0000-00009D270000}"/>
    <cellStyle name="Currency 5 2 2 4 4 8 2" xfId="11618" xr:uid="{00000000-0005-0000-0000-00009E270000}"/>
    <cellStyle name="Currency 5 2 2 4 4 8 2 2" xfId="11619" xr:uid="{00000000-0005-0000-0000-00009F270000}"/>
    <cellStyle name="Currency 5 2 2 4 4 8 3" xfId="11620" xr:uid="{00000000-0005-0000-0000-0000A0270000}"/>
    <cellStyle name="Currency 5 2 2 4 4 9" xfId="11621" xr:uid="{00000000-0005-0000-0000-0000A1270000}"/>
    <cellStyle name="Currency 5 2 2 4 4 9 2" xfId="11622" xr:uid="{00000000-0005-0000-0000-0000A2270000}"/>
    <cellStyle name="Currency 5 2 2 4 5" xfId="1295" xr:uid="{00000000-0005-0000-0000-0000A3270000}"/>
    <cellStyle name="Currency 5 2 2 4 5 2" xfId="11624" xr:uid="{00000000-0005-0000-0000-0000A4270000}"/>
    <cellStyle name="Currency 5 2 2 4 5 2 2" xfId="11625" xr:uid="{00000000-0005-0000-0000-0000A5270000}"/>
    <cellStyle name="Currency 5 2 2 4 5 2 2 2" xfId="11626" xr:uid="{00000000-0005-0000-0000-0000A6270000}"/>
    <cellStyle name="Currency 5 2 2 4 5 2 2 2 2" xfId="11627" xr:uid="{00000000-0005-0000-0000-0000A7270000}"/>
    <cellStyle name="Currency 5 2 2 4 5 2 2 3" xfId="11628" xr:uid="{00000000-0005-0000-0000-0000A8270000}"/>
    <cellStyle name="Currency 5 2 2 4 5 2 3" xfId="11629" xr:uid="{00000000-0005-0000-0000-0000A9270000}"/>
    <cellStyle name="Currency 5 2 2 4 5 2 3 2" xfId="11630" xr:uid="{00000000-0005-0000-0000-0000AA270000}"/>
    <cellStyle name="Currency 5 2 2 4 5 2 4" xfId="11631" xr:uid="{00000000-0005-0000-0000-0000AB270000}"/>
    <cellStyle name="Currency 5 2 2 4 5 3" xfId="11632" xr:uid="{00000000-0005-0000-0000-0000AC270000}"/>
    <cellStyle name="Currency 5 2 2 4 5 3 2" xfId="11633" xr:uid="{00000000-0005-0000-0000-0000AD270000}"/>
    <cellStyle name="Currency 5 2 2 4 5 3 2 2" xfId="11634" xr:uid="{00000000-0005-0000-0000-0000AE270000}"/>
    <cellStyle name="Currency 5 2 2 4 5 3 2 2 2" xfId="11635" xr:uid="{00000000-0005-0000-0000-0000AF270000}"/>
    <cellStyle name="Currency 5 2 2 4 5 3 2 3" xfId="11636" xr:uid="{00000000-0005-0000-0000-0000B0270000}"/>
    <cellStyle name="Currency 5 2 2 4 5 3 3" xfId="11637" xr:uid="{00000000-0005-0000-0000-0000B1270000}"/>
    <cellStyle name="Currency 5 2 2 4 5 3 3 2" xfId="11638" xr:uid="{00000000-0005-0000-0000-0000B2270000}"/>
    <cellStyle name="Currency 5 2 2 4 5 3 4" xfId="11639" xr:uid="{00000000-0005-0000-0000-0000B3270000}"/>
    <cellStyle name="Currency 5 2 2 4 5 4" xfId="11640" xr:uid="{00000000-0005-0000-0000-0000B4270000}"/>
    <cellStyle name="Currency 5 2 2 4 5 4 2" xfId="11641" xr:uid="{00000000-0005-0000-0000-0000B5270000}"/>
    <cellStyle name="Currency 5 2 2 4 5 4 2 2" xfId="11642" xr:uid="{00000000-0005-0000-0000-0000B6270000}"/>
    <cellStyle name="Currency 5 2 2 4 5 4 3" xfId="11643" xr:uid="{00000000-0005-0000-0000-0000B7270000}"/>
    <cellStyle name="Currency 5 2 2 4 5 5" xfId="11644" xr:uid="{00000000-0005-0000-0000-0000B8270000}"/>
    <cellStyle name="Currency 5 2 2 4 5 5 2" xfId="11645" xr:uid="{00000000-0005-0000-0000-0000B9270000}"/>
    <cellStyle name="Currency 5 2 2 4 5 6" xfId="11646" xr:uid="{00000000-0005-0000-0000-0000BA270000}"/>
    <cellStyle name="Currency 5 2 2 4 5 7" xfId="11623" xr:uid="{00000000-0005-0000-0000-0000BB270000}"/>
    <cellStyle name="Currency 5 2 2 4 6" xfId="11647" xr:uid="{00000000-0005-0000-0000-0000BC270000}"/>
    <cellStyle name="Currency 5 2 2 4 6 2" xfId="11648" xr:uid="{00000000-0005-0000-0000-0000BD270000}"/>
    <cellStyle name="Currency 5 2 2 4 6 2 2" xfId="11649" xr:uid="{00000000-0005-0000-0000-0000BE270000}"/>
    <cellStyle name="Currency 5 2 2 4 6 2 2 2" xfId="11650" xr:uid="{00000000-0005-0000-0000-0000BF270000}"/>
    <cellStyle name="Currency 5 2 2 4 6 2 2 2 2" xfId="11651" xr:uid="{00000000-0005-0000-0000-0000C0270000}"/>
    <cellStyle name="Currency 5 2 2 4 6 2 2 3" xfId="11652" xr:uid="{00000000-0005-0000-0000-0000C1270000}"/>
    <cellStyle name="Currency 5 2 2 4 6 2 3" xfId="11653" xr:uid="{00000000-0005-0000-0000-0000C2270000}"/>
    <cellStyle name="Currency 5 2 2 4 6 2 3 2" xfId="11654" xr:uid="{00000000-0005-0000-0000-0000C3270000}"/>
    <cellStyle name="Currency 5 2 2 4 6 2 4" xfId="11655" xr:uid="{00000000-0005-0000-0000-0000C4270000}"/>
    <cellStyle name="Currency 5 2 2 4 6 3" xfId="11656" xr:uid="{00000000-0005-0000-0000-0000C5270000}"/>
    <cellStyle name="Currency 5 2 2 4 6 3 2" xfId="11657" xr:uid="{00000000-0005-0000-0000-0000C6270000}"/>
    <cellStyle name="Currency 5 2 2 4 6 3 2 2" xfId="11658" xr:uid="{00000000-0005-0000-0000-0000C7270000}"/>
    <cellStyle name="Currency 5 2 2 4 6 3 3" xfId="11659" xr:uid="{00000000-0005-0000-0000-0000C8270000}"/>
    <cellStyle name="Currency 5 2 2 4 6 4" xfId="11660" xr:uid="{00000000-0005-0000-0000-0000C9270000}"/>
    <cellStyle name="Currency 5 2 2 4 6 4 2" xfId="11661" xr:uid="{00000000-0005-0000-0000-0000CA270000}"/>
    <cellStyle name="Currency 5 2 2 4 6 5" xfId="11662" xr:uid="{00000000-0005-0000-0000-0000CB270000}"/>
    <cellStyle name="Currency 5 2 2 4 7" xfId="11663" xr:uid="{00000000-0005-0000-0000-0000CC270000}"/>
    <cellStyle name="Currency 5 2 2 4 7 2" xfId="11664" xr:uid="{00000000-0005-0000-0000-0000CD270000}"/>
    <cellStyle name="Currency 5 2 2 4 7 2 2" xfId="11665" xr:uid="{00000000-0005-0000-0000-0000CE270000}"/>
    <cellStyle name="Currency 5 2 2 4 7 2 2 2" xfId="11666" xr:uid="{00000000-0005-0000-0000-0000CF270000}"/>
    <cellStyle name="Currency 5 2 2 4 7 2 2 2 2" xfId="11667" xr:uid="{00000000-0005-0000-0000-0000D0270000}"/>
    <cellStyle name="Currency 5 2 2 4 7 2 2 3" xfId="11668" xr:uid="{00000000-0005-0000-0000-0000D1270000}"/>
    <cellStyle name="Currency 5 2 2 4 7 2 3" xfId="11669" xr:uid="{00000000-0005-0000-0000-0000D2270000}"/>
    <cellStyle name="Currency 5 2 2 4 7 2 3 2" xfId="11670" xr:uid="{00000000-0005-0000-0000-0000D3270000}"/>
    <cellStyle name="Currency 5 2 2 4 7 2 4" xfId="11671" xr:uid="{00000000-0005-0000-0000-0000D4270000}"/>
    <cellStyle name="Currency 5 2 2 4 7 3" xfId="11672" xr:uid="{00000000-0005-0000-0000-0000D5270000}"/>
    <cellStyle name="Currency 5 2 2 4 7 3 2" xfId="11673" xr:uid="{00000000-0005-0000-0000-0000D6270000}"/>
    <cellStyle name="Currency 5 2 2 4 7 3 2 2" xfId="11674" xr:uid="{00000000-0005-0000-0000-0000D7270000}"/>
    <cellStyle name="Currency 5 2 2 4 7 3 3" xfId="11675" xr:uid="{00000000-0005-0000-0000-0000D8270000}"/>
    <cellStyle name="Currency 5 2 2 4 7 4" xfId="11676" xr:uid="{00000000-0005-0000-0000-0000D9270000}"/>
    <cellStyle name="Currency 5 2 2 4 7 4 2" xfId="11677" xr:uid="{00000000-0005-0000-0000-0000DA270000}"/>
    <cellStyle name="Currency 5 2 2 4 7 5" xfId="11678" xr:uid="{00000000-0005-0000-0000-0000DB270000}"/>
    <cellStyle name="Currency 5 2 2 4 8" xfId="11679" xr:uid="{00000000-0005-0000-0000-0000DC270000}"/>
    <cellStyle name="Currency 5 2 2 4 8 2" xfId="11680" xr:uid="{00000000-0005-0000-0000-0000DD270000}"/>
    <cellStyle name="Currency 5 2 2 4 8 2 2" xfId="11681" xr:uid="{00000000-0005-0000-0000-0000DE270000}"/>
    <cellStyle name="Currency 5 2 2 4 8 2 2 2" xfId="11682" xr:uid="{00000000-0005-0000-0000-0000DF270000}"/>
    <cellStyle name="Currency 5 2 2 4 8 2 3" xfId="11683" xr:uid="{00000000-0005-0000-0000-0000E0270000}"/>
    <cellStyle name="Currency 5 2 2 4 8 3" xfId="11684" xr:uid="{00000000-0005-0000-0000-0000E1270000}"/>
    <cellStyle name="Currency 5 2 2 4 8 3 2" xfId="11685" xr:uid="{00000000-0005-0000-0000-0000E2270000}"/>
    <cellStyle name="Currency 5 2 2 4 8 4" xfId="11686" xr:uid="{00000000-0005-0000-0000-0000E3270000}"/>
    <cellStyle name="Currency 5 2 2 4 9" xfId="11687" xr:uid="{00000000-0005-0000-0000-0000E4270000}"/>
    <cellStyle name="Currency 5 2 2 4 9 2" xfId="11688" xr:uid="{00000000-0005-0000-0000-0000E5270000}"/>
    <cellStyle name="Currency 5 2 2 4 9 2 2" xfId="11689" xr:uid="{00000000-0005-0000-0000-0000E6270000}"/>
    <cellStyle name="Currency 5 2 2 4 9 2 2 2" xfId="11690" xr:uid="{00000000-0005-0000-0000-0000E7270000}"/>
    <cellStyle name="Currency 5 2 2 4 9 2 3" xfId="11691" xr:uid="{00000000-0005-0000-0000-0000E8270000}"/>
    <cellStyle name="Currency 5 2 2 4 9 3" xfId="11692" xr:uid="{00000000-0005-0000-0000-0000E9270000}"/>
    <cellStyle name="Currency 5 2 2 4 9 3 2" xfId="11693" xr:uid="{00000000-0005-0000-0000-0000EA270000}"/>
    <cellStyle name="Currency 5 2 2 4 9 4" xfId="11694" xr:uid="{00000000-0005-0000-0000-0000EB270000}"/>
    <cellStyle name="Currency 5 2 2 5" xfId="313" xr:uid="{00000000-0005-0000-0000-0000EC270000}"/>
    <cellStyle name="Currency 5 2 2 5 10" xfId="11696" xr:uid="{00000000-0005-0000-0000-0000ED270000}"/>
    <cellStyle name="Currency 5 2 2 5 10 2" xfId="11697" xr:uid="{00000000-0005-0000-0000-0000EE270000}"/>
    <cellStyle name="Currency 5 2 2 5 10 2 2" xfId="11698" xr:uid="{00000000-0005-0000-0000-0000EF270000}"/>
    <cellStyle name="Currency 5 2 2 5 10 3" xfId="11699" xr:uid="{00000000-0005-0000-0000-0000F0270000}"/>
    <cellStyle name="Currency 5 2 2 5 11" xfId="11700" xr:uid="{00000000-0005-0000-0000-0000F1270000}"/>
    <cellStyle name="Currency 5 2 2 5 11 2" xfId="11701" xr:uid="{00000000-0005-0000-0000-0000F2270000}"/>
    <cellStyle name="Currency 5 2 2 5 11 2 2" xfId="11702" xr:uid="{00000000-0005-0000-0000-0000F3270000}"/>
    <cellStyle name="Currency 5 2 2 5 11 3" xfId="11703" xr:uid="{00000000-0005-0000-0000-0000F4270000}"/>
    <cellStyle name="Currency 5 2 2 5 12" xfId="11704" xr:uid="{00000000-0005-0000-0000-0000F5270000}"/>
    <cellStyle name="Currency 5 2 2 5 12 2" xfId="11705" xr:uid="{00000000-0005-0000-0000-0000F6270000}"/>
    <cellStyle name="Currency 5 2 2 5 13" xfId="11706" xr:uid="{00000000-0005-0000-0000-0000F7270000}"/>
    <cellStyle name="Currency 5 2 2 5 14" xfId="11707" xr:uid="{00000000-0005-0000-0000-0000F8270000}"/>
    <cellStyle name="Currency 5 2 2 5 15" xfId="11695" xr:uid="{00000000-0005-0000-0000-0000F9270000}"/>
    <cellStyle name="Currency 5 2 2 5 2" xfId="881" xr:uid="{00000000-0005-0000-0000-0000FA270000}"/>
    <cellStyle name="Currency 5 2 2 5 2 10" xfId="11709" xr:uid="{00000000-0005-0000-0000-0000FB270000}"/>
    <cellStyle name="Currency 5 2 2 5 2 11" xfId="11708" xr:uid="{00000000-0005-0000-0000-0000FC270000}"/>
    <cellStyle name="Currency 5 2 2 5 2 2" xfId="1622" xr:uid="{00000000-0005-0000-0000-0000FD270000}"/>
    <cellStyle name="Currency 5 2 2 5 2 2 2" xfId="11711" xr:uid="{00000000-0005-0000-0000-0000FE270000}"/>
    <cellStyle name="Currency 5 2 2 5 2 2 2 2" xfId="11712" xr:uid="{00000000-0005-0000-0000-0000FF270000}"/>
    <cellStyle name="Currency 5 2 2 5 2 2 2 2 2" xfId="11713" xr:uid="{00000000-0005-0000-0000-000000280000}"/>
    <cellStyle name="Currency 5 2 2 5 2 2 2 2 2 2" xfId="11714" xr:uid="{00000000-0005-0000-0000-000001280000}"/>
    <cellStyle name="Currency 5 2 2 5 2 2 2 2 3" xfId="11715" xr:uid="{00000000-0005-0000-0000-000002280000}"/>
    <cellStyle name="Currency 5 2 2 5 2 2 2 3" xfId="11716" xr:uid="{00000000-0005-0000-0000-000003280000}"/>
    <cellStyle name="Currency 5 2 2 5 2 2 2 3 2" xfId="11717" xr:uid="{00000000-0005-0000-0000-000004280000}"/>
    <cellStyle name="Currency 5 2 2 5 2 2 2 4" xfId="11718" xr:uid="{00000000-0005-0000-0000-000005280000}"/>
    <cellStyle name="Currency 5 2 2 5 2 2 3" xfId="11719" xr:uid="{00000000-0005-0000-0000-000006280000}"/>
    <cellStyle name="Currency 5 2 2 5 2 2 3 2" xfId="11720" xr:uid="{00000000-0005-0000-0000-000007280000}"/>
    <cellStyle name="Currency 5 2 2 5 2 2 3 2 2" xfId="11721" xr:uid="{00000000-0005-0000-0000-000008280000}"/>
    <cellStyle name="Currency 5 2 2 5 2 2 3 2 2 2" xfId="11722" xr:uid="{00000000-0005-0000-0000-000009280000}"/>
    <cellStyle name="Currency 5 2 2 5 2 2 3 2 3" xfId="11723" xr:uid="{00000000-0005-0000-0000-00000A280000}"/>
    <cellStyle name="Currency 5 2 2 5 2 2 3 3" xfId="11724" xr:uid="{00000000-0005-0000-0000-00000B280000}"/>
    <cellStyle name="Currency 5 2 2 5 2 2 3 3 2" xfId="11725" xr:uid="{00000000-0005-0000-0000-00000C280000}"/>
    <cellStyle name="Currency 5 2 2 5 2 2 3 4" xfId="11726" xr:uid="{00000000-0005-0000-0000-00000D280000}"/>
    <cellStyle name="Currency 5 2 2 5 2 2 4" xfId="11727" xr:uid="{00000000-0005-0000-0000-00000E280000}"/>
    <cellStyle name="Currency 5 2 2 5 2 2 4 2" xfId="11728" xr:uid="{00000000-0005-0000-0000-00000F280000}"/>
    <cellStyle name="Currency 5 2 2 5 2 2 4 2 2" xfId="11729" xr:uid="{00000000-0005-0000-0000-000010280000}"/>
    <cellStyle name="Currency 5 2 2 5 2 2 4 3" xfId="11730" xr:uid="{00000000-0005-0000-0000-000011280000}"/>
    <cellStyle name="Currency 5 2 2 5 2 2 5" xfId="11731" xr:uid="{00000000-0005-0000-0000-000012280000}"/>
    <cellStyle name="Currency 5 2 2 5 2 2 5 2" xfId="11732" xr:uid="{00000000-0005-0000-0000-000013280000}"/>
    <cellStyle name="Currency 5 2 2 5 2 2 6" xfId="11733" xr:uid="{00000000-0005-0000-0000-000014280000}"/>
    <cellStyle name="Currency 5 2 2 5 2 2 7" xfId="11710" xr:uid="{00000000-0005-0000-0000-000015280000}"/>
    <cellStyle name="Currency 5 2 2 5 2 3" xfId="11734" xr:uid="{00000000-0005-0000-0000-000016280000}"/>
    <cellStyle name="Currency 5 2 2 5 2 3 2" xfId="11735" xr:uid="{00000000-0005-0000-0000-000017280000}"/>
    <cellStyle name="Currency 5 2 2 5 2 3 2 2" xfId="11736" xr:uid="{00000000-0005-0000-0000-000018280000}"/>
    <cellStyle name="Currency 5 2 2 5 2 3 2 2 2" xfId="11737" xr:uid="{00000000-0005-0000-0000-000019280000}"/>
    <cellStyle name="Currency 5 2 2 5 2 3 2 2 2 2" xfId="11738" xr:uid="{00000000-0005-0000-0000-00001A280000}"/>
    <cellStyle name="Currency 5 2 2 5 2 3 2 2 3" xfId="11739" xr:uid="{00000000-0005-0000-0000-00001B280000}"/>
    <cellStyle name="Currency 5 2 2 5 2 3 2 3" xfId="11740" xr:uid="{00000000-0005-0000-0000-00001C280000}"/>
    <cellStyle name="Currency 5 2 2 5 2 3 2 3 2" xfId="11741" xr:uid="{00000000-0005-0000-0000-00001D280000}"/>
    <cellStyle name="Currency 5 2 2 5 2 3 2 4" xfId="11742" xr:uid="{00000000-0005-0000-0000-00001E280000}"/>
    <cellStyle name="Currency 5 2 2 5 2 3 3" xfId="11743" xr:uid="{00000000-0005-0000-0000-00001F280000}"/>
    <cellStyle name="Currency 5 2 2 5 2 3 3 2" xfId="11744" xr:uid="{00000000-0005-0000-0000-000020280000}"/>
    <cellStyle name="Currency 5 2 2 5 2 3 3 2 2" xfId="11745" xr:uid="{00000000-0005-0000-0000-000021280000}"/>
    <cellStyle name="Currency 5 2 2 5 2 3 3 3" xfId="11746" xr:uid="{00000000-0005-0000-0000-000022280000}"/>
    <cellStyle name="Currency 5 2 2 5 2 3 4" xfId="11747" xr:uid="{00000000-0005-0000-0000-000023280000}"/>
    <cellStyle name="Currency 5 2 2 5 2 3 4 2" xfId="11748" xr:uid="{00000000-0005-0000-0000-000024280000}"/>
    <cellStyle name="Currency 5 2 2 5 2 3 5" xfId="11749" xr:uid="{00000000-0005-0000-0000-000025280000}"/>
    <cellStyle name="Currency 5 2 2 5 2 4" xfId="11750" xr:uid="{00000000-0005-0000-0000-000026280000}"/>
    <cellStyle name="Currency 5 2 2 5 2 4 2" xfId="11751" xr:uid="{00000000-0005-0000-0000-000027280000}"/>
    <cellStyle name="Currency 5 2 2 5 2 4 2 2" xfId="11752" xr:uid="{00000000-0005-0000-0000-000028280000}"/>
    <cellStyle name="Currency 5 2 2 5 2 4 2 2 2" xfId="11753" xr:uid="{00000000-0005-0000-0000-000029280000}"/>
    <cellStyle name="Currency 5 2 2 5 2 4 2 2 2 2" xfId="11754" xr:uid="{00000000-0005-0000-0000-00002A280000}"/>
    <cellStyle name="Currency 5 2 2 5 2 4 2 2 3" xfId="11755" xr:uid="{00000000-0005-0000-0000-00002B280000}"/>
    <cellStyle name="Currency 5 2 2 5 2 4 2 3" xfId="11756" xr:uid="{00000000-0005-0000-0000-00002C280000}"/>
    <cellStyle name="Currency 5 2 2 5 2 4 2 3 2" xfId="11757" xr:uid="{00000000-0005-0000-0000-00002D280000}"/>
    <cellStyle name="Currency 5 2 2 5 2 4 2 4" xfId="11758" xr:uid="{00000000-0005-0000-0000-00002E280000}"/>
    <cellStyle name="Currency 5 2 2 5 2 4 3" xfId="11759" xr:uid="{00000000-0005-0000-0000-00002F280000}"/>
    <cellStyle name="Currency 5 2 2 5 2 4 3 2" xfId="11760" xr:uid="{00000000-0005-0000-0000-000030280000}"/>
    <cellStyle name="Currency 5 2 2 5 2 4 3 2 2" xfId="11761" xr:uid="{00000000-0005-0000-0000-000031280000}"/>
    <cellStyle name="Currency 5 2 2 5 2 4 3 3" xfId="11762" xr:uid="{00000000-0005-0000-0000-000032280000}"/>
    <cellStyle name="Currency 5 2 2 5 2 4 4" xfId="11763" xr:uid="{00000000-0005-0000-0000-000033280000}"/>
    <cellStyle name="Currency 5 2 2 5 2 4 4 2" xfId="11764" xr:uid="{00000000-0005-0000-0000-000034280000}"/>
    <cellStyle name="Currency 5 2 2 5 2 4 5" xfId="11765" xr:uid="{00000000-0005-0000-0000-000035280000}"/>
    <cellStyle name="Currency 5 2 2 5 2 5" xfId="11766" xr:uid="{00000000-0005-0000-0000-000036280000}"/>
    <cellStyle name="Currency 5 2 2 5 2 5 2" xfId="11767" xr:uid="{00000000-0005-0000-0000-000037280000}"/>
    <cellStyle name="Currency 5 2 2 5 2 5 2 2" xfId="11768" xr:uid="{00000000-0005-0000-0000-000038280000}"/>
    <cellStyle name="Currency 5 2 2 5 2 5 2 2 2" xfId="11769" xr:uid="{00000000-0005-0000-0000-000039280000}"/>
    <cellStyle name="Currency 5 2 2 5 2 5 2 3" xfId="11770" xr:uid="{00000000-0005-0000-0000-00003A280000}"/>
    <cellStyle name="Currency 5 2 2 5 2 5 3" xfId="11771" xr:uid="{00000000-0005-0000-0000-00003B280000}"/>
    <cellStyle name="Currency 5 2 2 5 2 5 3 2" xfId="11772" xr:uid="{00000000-0005-0000-0000-00003C280000}"/>
    <cellStyle name="Currency 5 2 2 5 2 5 4" xfId="11773" xr:uid="{00000000-0005-0000-0000-00003D280000}"/>
    <cellStyle name="Currency 5 2 2 5 2 6" xfId="11774" xr:uid="{00000000-0005-0000-0000-00003E280000}"/>
    <cellStyle name="Currency 5 2 2 5 2 6 2" xfId="11775" xr:uid="{00000000-0005-0000-0000-00003F280000}"/>
    <cellStyle name="Currency 5 2 2 5 2 6 2 2" xfId="11776" xr:uid="{00000000-0005-0000-0000-000040280000}"/>
    <cellStyle name="Currency 5 2 2 5 2 6 2 2 2" xfId="11777" xr:uid="{00000000-0005-0000-0000-000041280000}"/>
    <cellStyle name="Currency 5 2 2 5 2 6 2 3" xfId="11778" xr:uid="{00000000-0005-0000-0000-000042280000}"/>
    <cellStyle name="Currency 5 2 2 5 2 6 3" xfId="11779" xr:uid="{00000000-0005-0000-0000-000043280000}"/>
    <cellStyle name="Currency 5 2 2 5 2 6 3 2" xfId="11780" xr:uid="{00000000-0005-0000-0000-000044280000}"/>
    <cellStyle name="Currency 5 2 2 5 2 6 4" xfId="11781" xr:uid="{00000000-0005-0000-0000-000045280000}"/>
    <cellStyle name="Currency 5 2 2 5 2 7" xfId="11782" xr:uid="{00000000-0005-0000-0000-000046280000}"/>
    <cellStyle name="Currency 5 2 2 5 2 7 2" xfId="11783" xr:uid="{00000000-0005-0000-0000-000047280000}"/>
    <cellStyle name="Currency 5 2 2 5 2 7 2 2" xfId="11784" xr:uid="{00000000-0005-0000-0000-000048280000}"/>
    <cellStyle name="Currency 5 2 2 5 2 7 2 2 2" xfId="11785" xr:uid="{00000000-0005-0000-0000-000049280000}"/>
    <cellStyle name="Currency 5 2 2 5 2 7 2 3" xfId="11786" xr:uid="{00000000-0005-0000-0000-00004A280000}"/>
    <cellStyle name="Currency 5 2 2 5 2 7 3" xfId="11787" xr:uid="{00000000-0005-0000-0000-00004B280000}"/>
    <cellStyle name="Currency 5 2 2 5 2 7 3 2" xfId="11788" xr:uid="{00000000-0005-0000-0000-00004C280000}"/>
    <cellStyle name="Currency 5 2 2 5 2 7 4" xfId="11789" xr:uid="{00000000-0005-0000-0000-00004D280000}"/>
    <cellStyle name="Currency 5 2 2 5 2 8" xfId="11790" xr:uid="{00000000-0005-0000-0000-00004E280000}"/>
    <cellStyle name="Currency 5 2 2 5 2 8 2" xfId="11791" xr:uid="{00000000-0005-0000-0000-00004F280000}"/>
    <cellStyle name="Currency 5 2 2 5 2 8 2 2" xfId="11792" xr:uid="{00000000-0005-0000-0000-000050280000}"/>
    <cellStyle name="Currency 5 2 2 5 2 8 3" xfId="11793" xr:uid="{00000000-0005-0000-0000-000051280000}"/>
    <cellStyle name="Currency 5 2 2 5 2 9" xfId="11794" xr:uid="{00000000-0005-0000-0000-000052280000}"/>
    <cellStyle name="Currency 5 2 2 5 2 9 2" xfId="11795" xr:uid="{00000000-0005-0000-0000-000053280000}"/>
    <cellStyle name="Currency 5 2 2 5 3" xfId="1297" xr:uid="{00000000-0005-0000-0000-000054280000}"/>
    <cellStyle name="Currency 5 2 2 5 3 2" xfId="11797" xr:uid="{00000000-0005-0000-0000-000055280000}"/>
    <cellStyle name="Currency 5 2 2 5 3 2 2" xfId="11798" xr:uid="{00000000-0005-0000-0000-000056280000}"/>
    <cellStyle name="Currency 5 2 2 5 3 2 2 2" xfId="11799" xr:uid="{00000000-0005-0000-0000-000057280000}"/>
    <cellStyle name="Currency 5 2 2 5 3 2 2 2 2" xfId="11800" xr:uid="{00000000-0005-0000-0000-000058280000}"/>
    <cellStyle name="Currency 5 2 2 5 3 2 2 3" xfId="11801" xr:uid="{00000000-0005-0000-0000-000059280000}"/>
    <cellStyle name="Currency 5 2 2 5 3 2 3" xfId="11802" xr:uid="{00000000-0005-0000-0000-00005A280000}"/>
    <cellStyle name="Currency 5 2 2 5 3 2 3 2" xfId="11803" xr:uid="{00000000-0005-0000-0000-00005B280000}"/>
    <cellStyle name="Currency 5 2 2 5 3 2 4" xfId="11804" xr:uid="{00000000-0005-0000-0000-00005C280000}"/>
    <cellStyle name="Currency 5 2 2 5 3 3" xfId="11805" xr:uid="{00000000-0005-0000-0000-00005D280000}"/>
    <cellStyle name="Currency 5 2 2 5 3 3 2" xfId="11806" xr:uid="{00000000-0005-0000-0000-00005E280000}"/>
    <cellStyle name="Currency 5 2 2 5 3 3 2 2" xfId="11807" xr:uid="{00000000-0005-0000-0000-00005F280000}"/>
    <cellStyle name="Currency 5 2 2 5 3 3 2 2 2" xfId="11808" xr:uid="{00000000-0005-0000-0000-000060280000}"/>
    <cellStyle name="Currency 5 2 2 5 3 3 2 3" xfId="11809" xr:uid="{00000000-0005-0000-0000-000061280000}"/>
    <cellStyle name="Currency 5 2 2 5 3 3 3" xfId="11810" xr:uid="{00000000-0005-0000-0000-000062280000}"/>
    <cellStyle name="Currency 5 2 2 5 3 3 3 2" xfId="11811" xr:uid="{00000000-0005-0000-0000-000063280000}"/>
    <cellStyle name="Currency 5 2 2 5 3 3 4" xfId="11812" xr:uid="{00000000-0005-0000-0000-000064280000}"/>
    <cellStyle name="Currency 5 2 2 5 3 4" xfId="11813" xr:uid="{00000000-0005-0000-0000-000065280000}"/>
    <cellStyle name="Currency 5 2 2 5 3 4 2" xfId="11814" xr:uid="{00000000-0005-0000-0000-000066280000}"/>
    <cellStyle name="Currency 5 2 2 5 3 4 2 2" xfId="11815" xr:uid="{00000000-0005-0000-0000-000067280000}"/>
    <cellStyle name="Currency 5 2 2 5 3 4 3" xfId="11816" xr:uid="{00000000-0005-0000-0000-000068280000}"/>
    <cellStyle name="Currency 5 2 2 5 3 5" xfId="11817" xr:uid="{00000000-0005-0000-0000-000069280000}"/>
    <cellStyle name="Currency 5 2 2 5 3 5 2" xfId="11818" xr:uid="{00000000-0005-0000-0000-00006A280000}"/>
    <cellStyle name="Currency 5 2 2 5 3 6" xfId="11819" xr:uid="{00000000-0005-0000-0000-00006B280000}"/>
    <cellStyle name="Currency 5 2 2 5 3 7" xfId="11796" xr:uid="{00000000-0005-0000-0000-00006C280000}"/>
    <cellStyle name="Currency 5 2 2 5 4" xfId="11820" xr:uid="{00000000-0005-0000-0000-00006D280000}"/>
    <cellStyle name="Currency 5 2 2 5 4 2" xfId="11821" xr:uid="{00000000-0005-0000-0000-00006E280000}"/>
    <cellStyle name="Currency 5 2 2 5 4 2 2" xfId="11822" xr:uid="{00000000-0005-0000-0000-00006F280000}"/>
    <cellStyle name="Currency 5 2 2 5 4 2 2 2" xfId="11823" xr:uid="{00000000-0005-0000-0000-000070280000}"/>
    <cellStyle name="Currency 5 2 2 5 4 2 2 2 2" xfId="11824" xr:uid="{00000000-0005-0000-0000-000071280000}"/>
    <cellStyle name="Currency 5 2 2 5 4 2 2 3" xfId="11825" xr:uid="{00000000-0005-0000-0000-000072280000}"/>
    <cellStyle name="Currency 5 2 2 5 4 2 3" xfId="11826" xr:uid="{00000000-0005-0000-0000-000073280000}"/>
    <cellStyle name="Currency 5 2 2 5 4 2 3 2" xfId="11827" xr:uid="{00000000-0005-0000-0000-000074280000}"/>
    <cellStyle name="Currency 5 2 2 5 4 2 4" xfId="11828" xr:uid="{00000000-0005-0000-0000-000075280000}"/>
    <cellStyle name="Currency 5 2 2 5 4 3" xfId="11829" xr:uid="{00000000-0005-0000-0000-000076280000}"/>
    <cellStyle name="Currency 5 2 2 5 4 3 2" xfId="11830" xr:uid="{00000000-0005-0000-0000-000077280000}"/>
    <cellStyle name="Currency 5 2 2 5 4 3 2 2" xfId="11831" xr:uid="{00000000-0005-0000-0000-000078280000}"/>
    <cellStyle name="Currency 5 2 2 5 4 3 3" xfId="11832" xr:uid="{00000000-0005-0000-0000-000079280000}"/>
    <cellStyle name="Currency 5 2 2 5 4 4" xfId="11833" xr:uid="{00000000-0005-0000-0000-00007A280000}"/>
    <cellStyle name="Currency 5 2 2 5 4 4 2" xfId="11834" xr:uid="{00000000-0005-0000-0000-00007B280000}"/>
    <cellStyle name="Currency 5 2 2 5 4 5" xfId="11835" xr:uid="{00000000-0005-0000-0000-00007C280000}"/>
    <cellStyle name="Currency 5 2 2 5 5" xfId="11836" xr:uid="{00000000-0005-0000-0000-00007D280000}"/>
    <cellStyle name="Currency 5 2 2 5 5 2" xfId="11837" xr:uid="{00000000-0005-0000-0000-00007E280000}"/>
    <cellStyle name="Currency 5 2 2 5 5 2 2" xfId="11838" xr:uid="{00000000-0005-0000-0000-00007F280000}"/>
    <cellStyle name="Currency 5 2 2 5 5 2 2 2" xfId="11839" xr:uid="{00000000-0005-0000-0000-000080280000}"/>
    <cellStyle name="Currency 5 2 2 5 5 2 2 2 2" xfId="11840" xr:uid="{00000000-0005-0000-0000-000081280000}"/>
    <cellStyle name="Currency 5 2 2 5 5 2 2 3" xfId="11841" xr:uid="{00000000-0005-0000-0000-000082280000}"/>
    <cellStyle name="Currency 5 2 2 5 5 2 3" xfId="11842" xr:uid="{00000000-0005-0000-0000-000083280000}"/>
    <cellStyle name="Currency 5 2 2 5 5 2 3 2" xfId="11843" xr:uid="{00000000-0005-0000-0000-000084280000}"/>
    <cellStyle name="Currency 5 2 2 5 5 2 4" xfId="11844" xr:uid="{00000000-0005-0000-0000-000085280000}"/>
    <cellStyle name="Currency 5 2 2 5 5 3" xfId="11845" xr:uid="{00000000-0005-0000-0000-000086280000}"/>
    <cellStyle name="Currency 5 2 2 5 5 3 2" xfId="11846" xr:uid="{00000000-0005-0000-0000-000087280000}"/>
    <cellStyle name="Currency 5 2 2 5 5 3 2 2" xfId="11847" xr:uid="{00000000-0005-0000-0000-000088280000}"/>
    <cellStyle name="Currency 5 2 2 5 5 3 3" xfId="11848" xr:uid="{00000000-0005-0000-0000-000089280000}"/>
    <cellStyle name="Currency 5 2 2 5 5 4" xfId="11849" xr:uid="{00000000-0005-0000-0000-00008A280000}"/>
    <cellStyle name="Currency 5 2 2 5 5 4 2" xfId="11850" xr:uid="{00000000-0005-0000-0000-00008B280000}"/>
    <cellStyle name="Currency 5 2 2 5 5 5" xfId="11851" xr:uid="{00000000-0005-0000-0000-00008C280000}"/>
    <cellStyle name="Currency 5 2 2 5 6" xfId="11852" xr:uid="{00000000-0005-0000-0000-00008D280000}"/>
    <cellStyle name="Currency 5 2 2 5 6 2" xfId="11853" xr:uid="{00000000-0005-0000-0000-00008E280000}"/>
    <cellStyle name="Currency 5 2 2 5 6 2 2" xfId="11854" xr:uid="{00000000-0005-0000-0000-00008F280000}"/>
    <cellStyle name="Currency 5 2 2 5 6 2 2 2" xfId="11855" xr:uid="{00000000-0005-0000-0000-000090280000}"/>
    <cellStyle name="Currency 5 2 2 5 6 2 3" xfId="11856" xr:uid="{00000000-0005-0000-0000-000091280000}"/>
    <cellStyle name="Currency 5 2 2 5 6 3" xfId="11857" xr:uid="{00000000-0005-0000-0000-000092280000}"/>
    <cellStyle name="Currency 5 2 2 5 6 3 2" xfId="11858" xr:uid="{00000000-0005-0000-0000-000093280000}"/>
    <cellStyle name="Currency 5 2 2 5 6 4" xfId="11859" xr:uid="{00000000-0005-0000-0000-000094280000}"/>
    <cellStyle name="Currency 5 2 2 5 7" xfId="11860" xr:uid="{00000000-0005-0000-0000-000095280000}"/>
    <cellStyle name="Currency 5 2 2 5 7 2" xfId="11861" xr:uid="{00000000-0005-0000-0000-000096280000}"/>
    <cellStyle name="Currency 5 2 2 5 7 2 2" xfId="11862" xr:uid="{00000000-0005-0000-0000-000097280000}"/>
    <cellStyle name="Currency 5 2 2 5 7 2 2 2" xfId="11863" xr:uid="{00000000-0005-0000-0000-000098280000}"/>
    <cellStyle name="Currency 5 2 2 5 7 2 3" xfId="11864" xr:uid="{00000000-0005-0000-0000-000099280000}"/>
    <cellStyle name="Currency 5 2 2 5 7 3" xfId="11865" xr:uid="{00000000-0005-0000-0000-00009A280000}"/>
    <cellStyle name="Currency 5 2 2 5 7 3 2" xfId="11866" xr:uid="{00000000-0005-0000-0000-00009B280000}"/>
    <cellStyle name="Currency 5 2 2 5 7 4" xfId="11867" xr:uid="{00000000-0005-0000-0000-00009C280000}"/>
    <cellStyle name="Currency 5 2 2 5 8" xfId="11868" xr:uid="{00000000-0005-0000-0000-00009D280000}"/>
    <cellStyle name="Currency 5 2 2 5 8 2" xfId="11869" xr:uid="{00000000-0005-0000-0000-00009E280000}"/>
    <cellStyle name="Currency 5 2 2 5 8 2 2" xfId="11870" xr:uid="{00000000-0005-0000-0000-00009F280000}"/>
    <cellStyle name="Currency 5 2 2 5 8 2 2 2" xfId="11871" xr:uid="{00000000-0005-0000-0000-0000A0280000}"/>
    <cellStyle name="Currency 5 2 2 5 8 2 3" xfId="11872" xr:uid="{00000000-0005-0000-0000-0000A1280000}"/>
    <cellStyle name="Currency 5 2 2 5 8 3" xfId="11873" xr:uid="{00000000-0005-0000-0000-0000A2280000}"/>
    <cellStyle name="Currency 5 2 2 5 8 3 2" xfId="11874" xr:uid="{00000000-0005-0000-0000-0000A3280000}"/>
    <cellStyle name="Currency 5 2 2 5 8 4" xfId="11875" xr:uid="{00000000-0005-0000-0000-0000A4280000}"/>
    <cellStyle name="Currency 5 2 2 5 9" xfId="11876" xr:uid="{00000000-0005-0000-0000-0000A5280000}"/>
    <cellStyle name="Currency 5 2 2 5 9 2" xfId="11877" xr:uid="{00000000-0005-0000-0000-0000A6280000}"/>
    <cellStyle name="Currency 5 2 2 5 9 2 2" xfId="11878" xr:uid="{00000000-0005-0000-0000-0000A7280000}"/>
    <cellStyle name="Currency 5 2 2 5 9 3" xfId="11879" xr:uid="{00000000-0005-0000-0000-0000A8280000}"/>
    <cellStyle name="Currency 5 2 2 6" xfId="314" xr:uid="{00000000-0005-0000-0000-0000A9280000}"/>
    <cellStyle name="Currency 5 2 2 7" xfId="866" xr:uid="{00000000-0005-0000-0000-0000AA280000}"/>
    <cellStyle name="Currency 5 2 2 7 10" xfId="11881" xr:uid="{00000000-0005-0000-0000-0000AB280000}"/>
    <cellStyle name="Currency 5 2 2 7 11" xfId="11880" xr:uid="{00000000-0005-0000-0000-0000AC280000}"/>
    <cellStyle name="Currency 5 2 2 7 2" xfId="1607" xr:uid="{00000000-0005-0000-0000-0000AD280000}"/>
    <cellStyle name="Currency 5 2 2 7 2 2" xfId="11883" xr:uid="{00000000-0005-0000-0000-0000AE280000}"/>
    <cellStyle name="Currency 5 2 2 7 2 2 2" xfId="11884" xr:uid="{00000000-0005-0000-0000-0000AF280000}"/>
    <cellStyle name="Currency 5 2 2 7 2 2 2 2" xfId="11885" xr:uid="{00000000-0005-0000-0000-0000B0280000}"/>
    <cellStyle name="Currency 5 2 2 7 2 2 2 2 2" xfId="11886" xr:uid="{00000000-0005-0000-0000-0000B1280000}"/>
    <cellStyle name="Currency 5 2 2 7 2 2 2 3" xfId="11887" xr:uid="{00000000-0005-0000-0000-0000B2280000}"/>
    <cellStyle name="Currency 5 2 2 7 2 2 3" xfId="11888" xr:uid="{00000000-0005-0000-0000-0000B3280000}"/>
    <cellStyle name="Currency 5 2 2 7 2 2 3 2" xfId="11889" xr:uid="{00000000-0005-0000-0000-0000B4280000}"/>
    <cellStyle name="Currency 5 2 2 7 2 2 4" xfId="11890" xr:uid="{00000000-0005-0000-0000-0000B5280000}"/>
    <cellStyle name="Currency 5 2 2 7 2 3" xfId="11891" xr:uid="{00000000-0005-0000-0000-0000B6280000}"/>
    <cellStyle name="Currency 5 2 2 7 2 3 2" xfId="11892" xr:uid="{00000000-0005-0000-0000-0000B7280000}"/>
    <cellStyle name="Currency 5 2 2 7 2 3 2 2" xfId="11893" xr:uid="{00000000-0005-0000-0000-0000B8280000}"/>
    <cellStyle name="Currency 5 2 2 7 2 3 2 2 2" xfId="11894" xr:uid="{00000000-0005-0000-0000-0000B9280000}"/>
    <cellStyle name="Currency 5 2 2 7 2 3 2 3" xfId="11895" xr:uid="{00000000-0005-0000-0000-0000BA280000}"/>
    <cellStyle name="Currency 5 2 2 7 2 3 3" xfId="11896" xr:uid="{00000000-0005-0000-0000-0000BB280000}"/>
    <cellStyle name="Currency 5 2 2 7 2 3 3 2" xfId="11897" xr:uid="{00000000-0005-0000-0000-0000BC280000}"/>
    <cellStyle name="Currency 5 2 2 7 2 3 4" xfId="11898" xr:uid="{00000000-0005-0000-0000-0000BD280000}"/>
    <cellStyle name="Currency 5 2 2 7 2 4" xfId="11899" xr:uid="{00000000-0005-0000-0000-0000BE280000}"/>
    <cellStyle name="Currency 5 2 2 7 2 4 2" xfId="11900" xr:uid="{00000000-0005-0000-0000-0000BF280000}"/>
    <cellStyle name="Currency 5 2 2 7 2 4 2 2" xfId="11901" xr:uid="{00000000-0005-0000-0000-0000C0280000}"/>
    <cellStyle name="Currency 5 2 2 7 2 4 3" xfId="11902" xr:uid="{00000000-0005-0000-0000-0000C1280000}"/>
    <cellStyle name="Currency 5 2 2 7 2 5" xfId="11903" xr:uid="{00000000-0005-0000-0000-0000C2280000}"/>
    <cellStyle name="Currency 5 2 2 7 2 5 2" xfId="11904" xr:uid="{00000000-0005-0000-0000-0000C3280000}"/>
    <cellStyle name="Currency 5 2 2 7 2 6" xfId="11905" xr:uid="{00000000-0005-0000-0000-0000C4280000}"/>
    <cellStyle name="Currency 5 2 2 7 2 7" xfId="11882" xr:uid="{00000000-0005-0000-0000-0000C5280000}"/>
    <cellStyle name="Currency 5 2 2 7 3" xfId="11906" xr:uid="{00000000-0005-0000-0000-0000C6280000}"/>
    <cellStyle name="Currency 5 2 2 7 3 2" xfId="11907" xr:uid="{00000000-0005-0000-0000-0000C7280000}"/>
    <cellStyle name="Currency 5 2 2 7 3 2 2" xfId="11908" xr:uid="{00000000-0005-0000-0000-0000C8280000}"/>
    <cellStyle name="Currency 5 2 2 7 3 2 2 2" xfId="11909" xr:uid="{00000000-0005-0000-0000-0000C9280000}"/>
    <cellStyle name="Currency 5 2 2 7 3 2 2 2 2" xfId="11910" xr:uid="{00000000-0005-0000-0000-0000CA280000}"/>
    <cellStyle name="Currency 5 2 2 7 3 2 2 3" xfId="11911" xr:uid="{00000000-0005-0000-0000-0000CB280000}"/>
    <cellStyle name="Currency 5 2 2 7 3 2 3" xfId="11912" xr:uid="{00000000-0005-0000-0000-0000CC280000}"/>
    <cellStyle name="Currency 5 2 2 7 3 2 3 2" xfId="11913" xr:uid="{00000000-0005-0000-0000-0000CD280000}"/>
    <cellStyle name="Currency 5 2 2 7 3 2 4" xfId="11914" xr:uid="{00000000-0005-0000-0000-0000CE280000}"/>
    <cellStyle name="Currency 5 2 2 7 3 3" xfId="11915" xr:uid="{00000000-0005-0000-0000-0000CF280000}"/>
    <cellStyle name="Currency 5 2 2 7 3 3 2" xfId="11916" xr:uid="{00000000-0005-0000-0000-0000D0280000}"/>
    <cellStyle name="Currency 5 2 2 7 3 3 2 2" xfId="11917" xr:uid="{00000000-0005-0000-0000-0000D1280000}"/>
    <cellStyle name="Currency 5 2 2 7 3 3 3" xfId="11918" xr:uid="{00000000-0005-0000-0000-0000D2280000}"/>
    <cellStyle name="Currency 5 2 2 7 3 4" xfId="11919" xr:uid="{00000000-0005-0000-0000-0000D3280000}"/>
    <cellStyle name="Currency 5 2 2 7 3 4 2" xfId="11920" xr:uid="{00000000-0005-0000-0000-0000D4280000}"/>
    <cellStyle name="Currency 5 2 2 7 3 5" xfId="11921" xr:uid="{00000000-0005-0000-0000-0000D5280000}"/>
    <cellStyle name="Currency 5 2 2 7 4" xfId="11922" xr:uid="{00000000-0005-0000-0000-0000D6280000}"/>
    <cellStyle name="Currency 5 2 2 7 4 2" xfId="11923" xr:uid="{00000000-0005-0000-0000-0000D7280000}"/>
    <cellStyle name="Currency 5 2 2 7 4 2 2" xfId="11924" xr:uid="{00000000-0005-0000-0000-0000D8280000}"/>
    <cellStyle name="Currency 5 2 2 7 4 2 2 2" xfId="11925" xr:uid="{00000000-0005-0000-0000-0000D9280000}"/>
    <cellStyle name="Currency 5 2 2 7 4 2 2 2 2" xfId="11926" xr:uid="{00000000-0005-0000-0000-0000DA280000}"/>
    <cellStyle name="Currency 5 2 2 7 4 2 2 3" xfId="11927" xr:uid="{00000000-0005-0000-0000-0000DB280000}"/>
    <cellStyle name="Currency 5 2 2 7 4 2 3" xfId="11928" xr:uid="{00000000-0005-0000-0000-0000DC280000}"/>
    <cellStyle name="Currency 5 2 2 7 4 2 3 2" xfId="11929" xr:uid="{00000000-0005-0000-0000-0000DD280000}"/>
    <cellStyle name="Currency 5 2 2 7 4 2 4" xfId="11930" xr:uid="{00000000-0005-0000-0000-0000DE280000}"/>
    <cellStyle name="Currency 5 2 2 7 4 3" xfId="11931" xr:uid="{00000000-0005-0000-0000-0000DF280000}"/>
    <cellStyle name="Currency 5 2 2 7 4 3 2" xfId="11932" xr:uid="{00000000-0005-0000-0000-0000E0280000}"/>
    <cellStyle name="Currency 5 2 2 7 4 3 2 2" xfId="11933" xr:uid="{00000000-0005-0000-0000-0000E1280000}"/>
    <cellStyle name="Currency 5 2 2 7 4 3 3" xfId="11934" xr:uid="{00000000-0005-0000-0000-0000E2280000}"/>
    <cellStyle name="Currency 5 2 2 7 4 4" xfId="11935" xr:uid="{00000000-0005-0000-0000-0000E3280000}"/>
    <cellStyle name="Currency 5 2 2 7 4 4 2" xfId="11936" xr:uid="{00000000-0005-0000-0000-0000E4280000}"/>
    <cellStyle name="Currency 5 2 2 7 4 5" xfId="11937" xr:uid="{00000000-0005-0000-0000-0000E5280000}"/>
    <cellStyle name="Currency 5 2 2 7 5" xfId="11938" xr:uid="{00000000-0005-0000-0000-0000E6280000}"/>
    <cellStyle name="Currency 5 2 2 7 5 2" xfId="11939" xr:uid="{00000000-0005-0000-0000-0000E7280000}"/>
    <cellStyle name="Currency 5 2 2 7 5 2 2" xfId="11940" xr:uid="{00000000-0005-0000-0000-0000E8280000}"/>
    <cellStyle name="Currency 5 2 2 7 5 2 2 2" xfId="11941" xr:uid="{00000000-0005-0000-0000-0000E9280000}"/>
    <cellStyle name="Currency 5 2 2 7 5 2 3" xfId="11942" xr:uid="{00000000-0005-0000-0000-0000EA280000}"/>
    <cellStyle name="Currency 5 2 2 7 5 3" xfId="11943" xr:uid="{00000000-0005-0000-0000-0000EB280000}"/>
    <cellStyle name="Currency 5 2 2 7 5 3 2" xfId="11944" xr:uid="{00000000-0005-0000-0000-0000EC280000}"/>
    <cellStyle name="Currency 5 2 2 7 5 4" xfId="11945" xr:uid="{00000000-0005-0000-0000-0000ED280000}"/>
    <cellStyle name="Currency 5 2 2 7 6" xfId="11946" xr:uid="{00000000-0005-0000-0000-0000EE280000}"/>
    <cellStyle name="Currency 5 2 2 7 6 2" xfId="11947" xr:uid="{00000000-0005-0000-0000-0000EF280000}"/>
    <cellStyle name="Currency 5 2 2 7 6 2 2" xfId="11948" xr:uid="{00000000-0005-0000-0000-0000F0280000}"/>
    <cellStyle name="Currency 5 2 2 7 6 2 2 2" xfId="11949" xr:uid="{00000000-0005-0000-0000-0000F1280000}"/>
    <cellStyle name="Currency 5 2 2 7 6 2 3" xfId="11950" xr:uid="{00000000-0005-0000-0000-0000F2280000}"/>
    <cellStyle name="Currency 5 2 2 7 6 3" xfId="11951" xr:uid="{00000000-0005-0000-0000-0000F3280000}"/>
    <cellStyle name="Currency 5 2 2 7 6 3 2" xfId="11952" xr:uid="{00000000-0005-0000-0000-0000F4280000}"/>
    <cellStyle name="Currency 5 2 2 7 6 4" xfId="11953" xr:uid="{00000000-0005-0000-0000-0000F5280000}"/>
    <cellStyle name="Currency 5 2 2 7 7" xfId="11954" xr:uid="{00000000-0005-0000-0000-0000F6280000}"/>
    <cellStyle name="Currency 5 2 2 7 7 2" xfId="11955" xr:uid="{00000000-0005-0000-0000-0000F7280000}"/>
    <cellStyle name="Currency 5 2 2 7 7 2 2" xfId="11956" xr:uid="{00000000-0005-0000-0000-0000F8280000}"/>
    <cellStyle name="Currency 5 2 2 7 7 2 2 2" xfId="11957" xr:uid="{00000000-0005-0000-0000-0000F9280000}"/>
    <cellStyle name="Currency 5 2 2 7 7 2 3" xfId="11958" xr:uid="{00000000-0005-0000-0000-0000FA280000}"/>
    <cellStyle name="Currency 5 2 2 7 7 3" xfId="11959" xr:uid="{00000000-0005-0000-0000-0000FB280000}"/>
    <cellStyle name="Currency 5 2 2 7 7 3 2" xfId="11960" xr:uid="{00000000-0005-0000-0000-0000FC280000}"/>
    <cellStyle name="Currency 5 2 2 7 7 4" xfId="11961" xr:uid="{00000000-0005-0000-0000-0000FD280000}"/>
    <cellStyle name="Currency 5 2 2 7 8" xfId="11962" xr:uid="{00000000-0005-0000-0000-0000FE280000}"/>
    <cellStyle name="Currency 5 2 2 7 8 2" xfId="11963" xr:uid="{00000000-0005-0000-0000-0000FF280000}"/>
    <cellStyle name="Currency 5 2 2 7 8 2 2" xfId="11964" xr:uid="{00000000-0005-0000-0000-000000290000}"/>
    <cellStyle name="Currency 5 2 2 7 8 3" xfId="11965" xr:uid="{00000000-0005-0000-0000-000001290000}"/>
    <cellStyle name="Currency 5 2 2 7 9" xfId="11966" xr:uid="{00000000-0005-0000-0000-000002290000}"/>
    <cellStyle name="Currency 5 2 2 7 9 2" xfId="11967" xr:uid="{00000000-0005-0000-0000-000003290000}"/>
    <cellStyle name="Currency 5 2 2 8" xfId="1282" xr:uid="{00000000-0005-0000-0000-000004290000}"/>
    <cellStyle name="Currency 5 2 2 8 2" xfId="11969" xr:uid="{00000000-0005-0000-0000-000005290000}"/>
    <cellStyle name="Currency 5 2 2 8 2 2" xfId="11970" xr:uid="{00000000-0005-0000-0000-000006290000}"/>
    <cellStyle name="Currency 5 2 2 8 2 2 2" xfId="11971" xr:uid="{00000000-0005-0000-0000-000007290000}"/>
    <cellStyle name="Currency 5 2 2 8 2 2 2 2" xfId="11972" xr:uid="{00000000-0005-0000-0000-000008290000}"/>
    <cellStyle name="Currency 5 2 2 8 2 2 3" xfId="11973" xr:uid="{00000000-0005-0000-0000-000009290000}"/>
    <cellStyle name="Currency 5 2 2 8 2 3" xfId="11974" xr:uid="{00000000-0005-0000-0000-00000A290000}"/>
    <cellStyle name="Currency 5 2 2 8 2 3 2" xfId="11975" xr:uid="{00000000-0005-0000-0000-00000B290000}"/>
    <cellStyle name="Currency 5 2 2 8 2 4" xfId="11976" xr:uid="{00000000-0005-0000-0000-00000C290000}"/>
    <cellStyle name="Currency 5 2 2 8 3" xfId="11977" xr:uid="{00000000-0005-0000-0000-00000D290000}"/>
    <cellStyle name="Currency 5 2 2 8 3 2" xfId="11978" xr:uid="{00000000-0005-0000-0000-00000E290000}"/>
    <cellStyle name="Currency 5 2 2 8 3 2 2" xfId="11979" xr:uid="{00000000-0005-0000-0000-00000F290000}"/>
    <cellStyle name="Currency 5 2 2 8 3 2 2 2" xfId="11980" xr:uid="{00000000-0005-0000-0000-000010290000}"/>
    <cellStyle name="Currency 5 2 2 8 3 2 3" xfId="11981" xr:uid="{00000000-0005-0000-0000-000011290000}"/>
    <cellStyle name="Currency 5 2 2 8 3 3" xfId="11982" xr:uid="{00000000-0005-0000-0000-000012290000}"/>
    <cellStyle name="Currency 5 2 2 8 3 3 2" xfId="11983" xr:uid="{00000000-0005-0000-0000-000013290000}"/>
    <cellStyle name="Currency 5 2 2 8 3 4" xfId="11984" xr:uid="{00000000-0005-0000-0000-000014290000}"/>
    <cellStyle name="Currency 5 2 2 8 4" xfId="11985" xr:uid="{00000000-0005-0000-0000-000015290000}"/>
    <cellStyle name="Currency 5 2 2 8 4 2" xfId="11986" xr:uid="{00000000-0005-0000-0000-000016290000}"/>
    <cellStyle name="Currency 5 2 2 8 4 2 2" xfId="11987" xr:uid="{00000000-0005-0000-0000-000017290000}"/>
    <cellStyle name="Currency 5 2 2 8 4 3" xfId="11988" xr:uid="{00000000-0005-0000-0000-000018290000}"/>
    <cellStyle name="Currency 5 2 2 8 5" xfId="11989" xr:uid="{00000000-0005-0000-0000-000019290000}"/>
    <cellStyle name="Currency 5 2 2 8 5 2" xfId="11990" xr:uid="{00000000-0005-0000-0000-00001A290000}"/>
    <cellStyle name="Currency 5 2 2 8 6" xfId="11991" xr:uid="{00000000-0005-0000-0000-00001B290000}"/>
    <cellStyle name="Currency 5 2 2 8 7" xfId="11968" xr:uid="{00000000-0005-0000-0000-00001C290000}"/>
    <cellStyle name="Currency 5 2 2 9" xfId="11992" xr:uid="{00000000-0005-0000-0000-00001D290000}"/>
    <cellStyle name="Currency 5 2 2 9 2" xfId="11993" xr:uid="{00000000-0005-0000-0000-00001E290000}"/>
    <cellStyle name="Currency 5 2 2 9 2 2" xfId="11994" xr:uid="{00000000-0005-0000-0000-00001F290000}"/>
    <cellStyle name="Currency 5 2 2 9 2 2 2" xfId="11995" xr:uid="{00000000-0005-0000-0000-000020290000}"/>
    <cellStyle name="Currency 5 2 2 9 2 2 2 2" xfId="11996" xr:uid="{00000000-0005-0000-0000-000021290000}"/>
    <cellStyle name="Currency 5 2 2 9 2 2 3" xfId="11997" xr:uid="{00000000-0005-0000-0000-000022290000}"/>
    <cellStyle name="Currency 5 2 2 9 2 3" xfId="11998" xr:uid="{00000000-0005-0000-0000-000023290000}"/>
    <cellStyle name="Currency 5 2 2 9 2 3 2" xfId="11999" xr:uid="{00000000-0005-0000-0000-000024290000}"/>
    <cellStyle name="Currency 5 2 2 9 2 4" xfId="12000" xr:uid="{00000000-0005-0000-0000-000025290000}"/>
    <cellStyle name="Currency 5 2 2 9 3" xfId="12001" xr:uid="{00000000-0005-0000-0000-000026290000}"/>
    <cellStyle name="Currency 5 2 2 9 3 2" xfId="12002" xr:uid="{00000000-0005-0000-0000-000027290000}"/>
    <cellStyle name="Currency 5 2 2 9 3 2 2" xfId="12003" xr:uid="{00000000-0005-0000-0000-000028290000}"/>
    <cellStyle name="Currency 5 2 2 9 3 3" xfId="12004" xr:uid="{00000000-0005-0000-0000-000029290000}"/>
    <cellStyle name="Currency 5 2 2 9 4" xfId="12005" xr:uid="{00000000-0005-0000-0000-00002A290000}"/>
    <cellStyle name="Currency 5 2 2 9 4 2" xfId="12006" xr:uid="{00000000-0005-0000-0000-00002B290000}"/>
    <cellStyle name="Currency 5 2 2 9 5" xfId="12007" xr:uid="{00000000-0005-0000-0000-00002C290000}"/>
    <cellStyle name="Currency 5 2 20" xfId="12008" xr:uid="{00000000-0005-0000-0000-00002D290000}"/>
    <cellStyle name="Currency 5 2 21" xfId="12009" xr:uid="{00000000-0005-0000-0000-00002E290000}"/>
    <cellStyle name="Currency 5 2 22" xfId="8953" xr:uid="{00000000-0005-0000-0000-00002F290000}"/>
    <cellStyle name="Currency 5 2 3" xfId="315" xr:uid="{00000000-0005-0000-0000-000030290000}"/>
    <cellStyle name="Currency 5 2 3 10" xfId="12011" xr:uid="{00000000-0005-0000-0000-000031290000}"/>
    <cellStyle name="Currency 5 2 3 10 2" xfId="12012" xr:uid="{00000000-0005-0000-0000-000032290000}"/>
    <cellStyle name="Currency 5 2 3 10 2 2" xfId="12013" xr:uid="{00000000-0005-0000-0000-000033290000}"/>
    <cellStyle name="Currency 5 2 3 10 2 2 2" xfId="12014" xr:uid="{00000000-0005-0000-0000-000034290000}"/>
    <cellStyle name="Currency 5 2 3 10 2 2 2 2" xfId="12015" xr:uid="{00000000-0005-0000-0000-000035290000}"/>
    <cellStyle name="Currency 5 2 3 10 2 2 3" xfId="12016" xr:uid="{00000000-0005-0000-0000-000036290000}"/>
    <cellStyle name="Currency 5 2 3 10 2 3" xfId="12017" xr:uid="{00000000-0005-0000-0000-000037290000}"/>
    <cellStyle name="Currency 5 2 3 10 2 3 2" xfId="12018" xr:uid="{00000000-0005-0000-0000-000038290000}"/>
    <cellStyle name="Currency 5 2 3 10 2 4" xfId="12019" xr:uid="{00000000-0005-0000-0000-000039290000}"/>
    <cellStyle name="Currency 5 2 3 10 3" xfId="12020" xr:uid="{00000000-0005-0000-0000-00003A290000}"/>
    <cellStyle name="Currency 5 2 3 10 3 2" xfId="12021" xr:uid="{00000000-0005-0000-0000-00003B290000}"/>
    <cellStyle name="Currency 5 2 3 10 3 2 2" xfId="12022" xr:uid="{00000000-0005-0000-0000-00003C290000}"/>
    <cellStyle name="Currency 5 2 3 10 3 3" xfId="12023" xr:uid="{00000000-0005-0000-0000-00003D290000}"/>
    <cellStyle name="Currency 5 2 3 10 4" xfId="12024" xr:uid="{00000000-0005-0000-0000-00003E290000}"/>
    <cellStyle name="Currency 5 2 3 10 4 2" xfId="12025" xr:uid="{00000000-0005-0000-0000-00003F290000}"/>
    <cellStyle name="Currency 5 2 3 10 5" xfId="12026" xr:uid="{00000000-0005-0000-0000-000040290000}"/>
    <cellStyle name="Currency 5 2 3 11" xfId="12027" xr:uid="{00000000-0005-0000-0000-000041290000}"/>
    <cellStyle name="Currency 5 2 3 11 2" xfId="12028" xr:uid="{00000000-0005-0000-0000-000042290000}"/>
    <cellStyle name="Currency 5 2 3 11 2 2" xfId="12029" xr:uid="{00000000-0005-0000-0000-000043290000}"/>
    <cellStyle name="Currency 5 2 3 11 2 2 2" xfId="12030" xr:uid="{00000000-0005-0000-0000-000044290000}"/>
    <cellStyle name="Currency 5 2 3 11 2 3" xfId="12031" xr:uid="{00000000-0005-0000-0000-000045290000}"/>
    <cellStyle name="Currency 5 2 3 11 3" xfId="12032" xr:uid="{00000000-0005-0000-0000-000046290000}"/>
    <cellStyle name="Currency 5 2 3 11 3 2" xfId="12033" xr:uid="{00000000-0005-0000-0000-000047290000}"/>
    <cellStyle name="Currency 5 2 3 11 4" xfId="12034" xr:uid="{00000000-0005-0000-0000-000048290000}"/>
    <cellStyle name="Currency 5 2 3 12" xfId="12035" xr:uid="{00000000-0005-0000-0000-000049290000}"/>
    <cellStyle name="Currency 5 2 3 12 2" xfId="12036" xr:uid="{00000000-0005-0000-0000-00004A290000}"/>
    <cellStyle name="Currency 5 2 3 12 2 2" xfId="12037" xr:uid="{00000000-0005-0000-0000-00004B290000}"/>
    <cellStyle name="Currency 5 2 3 12 2 2 2" xfId="12038" xr:uid="{00000000-0005-0000-0000-00004C290000}"/>
    <cellStyle name="Currency 5 2 3 12 2 3" xfId="12039" xr:uid="{00000000-0005-0000-0000-00004D290000}"/>
    <cellStyle name="Currency 5 2 3 12 3" xfId="12040" xr:uid="{00000000-0005-0000-0000-00004E290000}"/>
    <cellStyle name="Currency 5 2 3 12 3 2" xfId="12041" xr:uid="{00000000-0005-0000-0000-00004F290000}"/>
    <cellStyle name="Currency 5 2 3 12 4" xfId="12042" xr:uid="{00000000-0005-0000-0000-000050290000}"/>
    <cellStyle name="Currency 5 2 3 13" xfId="12043" xr:uid="{00000000-0005-0000-0000-000051290000}"/>
    <cellStyle name="Currency 5 2 3 13 2" xfId="12044" xr:uid="{00000000-0005-0000-0000-000052290000}"/>
    <cellStyle name="Currency 5 2 3 13 2 2" xfId="12045" xr:uid="{00000000-0005-0000-0000-000053290000}"/>
    <cellStyle name="Currency 5 2 3 13 2 2 2" xfId="12046" xr:uid="{00000000-0005-0000-0000-000054290000}"/>
    <cellStyle name="Currency 5 2 3 13 2 3" xfId="12047" xr:uid="{00000000-0005-0000-0000-000055290000}"/>
    <cellStyle name="Currency 5 2 3 13 3" xfId="12048" xr:uid="{00000000-0005-0000-0000-000056290000}"/>
    <cellStyle name="Currency 5 2 3 13 3 2" xfId="12049" xr:uid="{00000000-0005-0000-0000-000057290000}"/>
    <cellStyle name="Currency 5 2 3 13 4" xfId="12050" xr:uid="{00000000-0005-0000-0000-000058290000}"/>
    <cellStyle name="Currency 5 2 3 14" xfId="12051" xr:uid="{00000000-0005-0000-0000-000059290000}"/>
    <cellStyle name="Currency 5 2 3 14 2" xfId="12052" xr:uid="{00000000-0005-0000-0000-00005A290000}"/>
    <cellStyle name="Currency 5 2 3 14 2 2" xfId="12053" xr:uid="{00000000-0005-0000-0000-00005B290000}"/>
    <cellStyle name="Currency 5 2 3 14 3" xfId="12054" xr:uid="{00000000-0005-0000-0000-00005C290000}"/>
    <cellStyle name="Currency 5 2 3 15" xfId="12055" xr:uid="{00000000-0005-0000-0000-00005D290000}"/>
    <cellStyle name="Currency 5 2 3 15 2" xfId="12056" xr:uid="{00000000-0005-0000-0000-00005E290000}"/>
    <cellStyle name="Currency 5 2 3 15 2 2" xfId="12057" xr:uid="{00000000-0005-0000-0000-00005F290000}"/>
    <cellStyle name="Currency 5 2 3 15 3" xfId="12058" xr:uid="{00000000-0005-0000-0000-000060290000}"/>
    <cellStyle name="Currency 5 2 3 16" xfId="12059" xr:uid="{00000000-0005-0000-0000-000061290000}"/>
    <cellStyle name="Currency 5 2 3 16 2" xfId="12060" xr:uid="{00000000-0005-0000-0000-000062290000}"/>
    <cellStyle name="Currency 5 2 3 16 2 2" xfId="12061" xr:uid="{00000000-0005-0000-0000-000063290000}"/>
    <cellStyle name="Currency 5 2 3 16 3" xfId="12062" xr:uid="{00000000-0005-0000-0000-000064290000}"/>
    <cellStyle name="Currency 5 2 3 17" xfId="12063" xr:uid="{00000000-0005-0000-0000-000065290000}"/>
    <cellStyle name="Currency 5 2 3 17 2" xfId="12064" xr:uid="{00000000-0005-0000-0000-000066290000}"/>
    <cellStyle name="Currency 5 2 3 18" xfId="12065" xr:uid="{00000000-0005-0000-0000-000067290000}"/>
    <cellStyle name="Currency 5 2 3 19" xfId="12066" xr:uid="{00000000-0005-0000-0000-000068290000}"/>
    <cellStyle name="Currency 5 2 3 2" xfId="316" xr:uid="{00000000-0005-0000-0000-000069290000}"/>
    <cellStyle name="Currency 5 2 3 2 10" xfId="12068" xr:uid="{00000000-0005-0000-0000-00006A290000}"/>
    <cellStyle name="Currency 5 2 3 2 10 2" xfId="12069" xr:uid="{00000000-0005-0000-0000-00006B290000}"/>
    <cellStyle name="Currency 5 2 3 2 10 2 2" xfId="12070" xr:uid="{00000000-0005-0000-0000-00006C290000}"/>
    <cellStyle name="Currency 5 2 3 2 10 2 2 2" xfId="12071" xr:uid="{00000000-0005-0000-0000-00006D290000}"/>
    <cellStyle name="Currency 5 2 3 2 10 2 3" xfId="12072" xr:uid="{00000000-0005-0000-0000-00006E290000}"/>
    <cellStyle name="Currency 5 2 3 2 10 3" xfId="12073" xr:uid="{00000000-0005-0000-0000-00006F290000}"/>
    <cellStyle name="Currency 5 2 3 2 10 3 2" xfId="12074" xr:uid="{00000000-0005-0000-0000-000070290000}"/>
    <cellStyle name="Currency 5 2 3 2 10 4" xfId="12075" xr:uid="{00000000-0005-0000-0000-000071290000}"/>
    <cellStyle name="Currency 5 2 3 2 11" xfId="12076" xr:uid="{00000000-0005-0000-0000-000072290000}"/>
    <cellStyle name="Currency 5 2 3 2 11 2" xfId="12077" xr:uid="{00000000-0005-0000-0000-000073290000}"/>
    <cellStyle name="Currency 5 2 3 2 11 2 2" xfId="12078" xr:uid="{00000000-0005-0000-0000-000074290000}"/>
    <cellStyle name="Currency 5 2 3 2 11 2 2 2" xfId="12079" xr:uid="{00000000-0005-0000-0000-000075290000}"/>
    <cellStyle name="Currency 5 2 3 2 11 2 3" xfId="12080" xr:uid="{00000000-0005-0000-0000-000076290000}"/>
    <cellStyle name="Currency 5 2 3 2 11 3" xfId="12081" xr:uid="{00000000-0005-0000-0000-000077290000}"/>
    <cellStyle name="Currency 5 2 3 2 11 3 2" xfId="12082" xr:uid="{00000000-0005-0000-0000-000078290000}"/>
    <cellStyle name="Currency 5 2 3 2 11 4" xfId="12083" xr:uid="{00000000-0005-0000-0000-000079290000}"/>
    <cellStyle name="Currency 5 2 3 2 12" xfId="12084" xr:uid="{00000000-0005-0000-0000-00007A290000}"/>
    <cellStyle name="Currency 5 2 3 2 12 2" xfId="12085" xr:uid="{00000000-0005-0000-0000-00007B290000}"/>
    <cellStyle name="Currency 5 2 3 2 12 2 2" xfId="12086" xr:uid="{00000000-0005-0000-0000-00007C290000}"/>
    <cellStyle name="Currency 5 2 3 2 12 2 2 2" xfId="12087" xr:uid="{00000000-0005-0000-0000-00007D290000}"/>
    <cellStyle name="Currency 5 2 3 2 12 2 3" xfId="12088" xr:uid="{00000000-0005-0000-0000-00007E290000}"/>
    <cellStyle name="Currency 5 2 3 2 12 3" xfId="12089" xr:uid="{00000000-0005-0000-0000-00007F290000}"/>
    <cellStyle name="Currency 5 2 3 2 12 3 2" xfId="12090" xr:uid="{00000000-0005-0000-0000-000080290000}"/>
    <cellStyle name="Currency 5 2 3 2 12 4" xfId="12091" xr:uid="{00000000-0005-0000-0000-000081290000}"/>
    <cellStyle name="Currency 5 2 3 2 13" xfId="12092" xr:uid="{00000000-0005-0000-0000-000082290000}"/>
    <cellStyle name="Currency 5 2 3 2 13 2" xfId="12093" xr:uid="{00000000-0005-0000-0000-000083290000}"/>
    <cellStyle name="Currency 5 2 3 2 13 2 2" xfId="12094" xr:uid="{00000000-0005-0000-0000-000084290000}"/>
    <cellStyle name="Currency 5 2 3 2 13 3" xfId="12095" xr:uid="{00000000-0005-0000-0000-000085290000}"/>
    <cellStyle name="Currency 5 2 3 2 14" xfId="12096" xr:uid="{00000000-0005-0000-0000-000086290000}"/>
    <cellStyle name="Currency 5 2 3 2 14 2" xfId="12097" xr:uid="{00000000-0005-0000-0000-000087290000}"/>
    <cellStyle name="Currency 5 2 3 2 14 2 2" xfId="12098" xr:uid="{00000000-0005-0000-0000-000088290000}"/>
    <cellStyle name="Currency 5 2 3 2 14 3" xfId="12099" xr:uid="{00000000-0005-0000-0000-000089290000}"/>
    <cellStyle name="Currency 5 2 3 2 15" xfId="12100" xr:uid="{00000000-0005-0000-0000-00008A290000}"/>
    <cellStyle name="Currency 5 2 3 2 15 2" xfId="12101" xr:uid="{00000000-0005-0000-0000-00008B290000}"/>
    <cellStyle name="Currency 5 2 3 2 15 2 2" xfId="12102" xr:uid="{00000000-0005-0000-0000-00008C290000}"/>
    <cellStyle name="Currency 5 2 3 2 15 3" xfId="12103" xr:uid="{00000000-0005-0000-0000-00008D290000}"/>
    <cellStyle name="Currency 5 2 3 2 16" xfId="12104" xr:uid="{00000000-0005-0000-0000-00008E290000}"/>
    <cellStyle name="Currency 5 2 3 2 16 2" xfId="12105" xr:uid="{00000000-0005-0000-0000-00008F290000}"/>
    <cellStyle name="Currency 5 2 3 2 17" xfId="12106" xr:uid="{00000000-0005-0000-0000-000090290000}"/>
    <cellStyle name="Currency 5 2 3 2 18" xfId="12107" xr:uid="{00000000-0005-0000-0000-000091290000}"/>
    <cellStyle name="Currency 5 2 3 2 19" xfId="12067" xr:uid="{00000000-0005-0000-0000-000092290000}"/>
    <cellStyle name="Currency 5 2 3 2 2" xfId="317" xr:uid="{00000000-0005-0000-0000-000093290000}"/>
    <cellStyle name="Currency 5 2 3 2 2 10" xfId="12109" xr:uid="{00000000-0005-0000-0000-000094290000}"/>
    <cellStyle name="Currency 5 2 3 2 2 10 2" xfId="12110" xr:uid="{00000000-0005-0000-0000-000095290000}"/>
    <cellStyle name="Currency 5 2 3 2 2 10 2 2" xfId="12111" xr:uid="{00000000-0005-0000-0000-000096290000}"/>
    <cellStyle name="Currency 5 2 3 2 2 10 2 2 2" xfId="12112" xr:uid="{00000000-0005-0000-0000-000097290000}"/>
    <cellStyle name="Currency 5 2 3 2 2 10 2 3" xfId="12113" xr:uid="{00000000-0005-0000-0000-000098290000}"/>
    <cellStyle name="Currency 5 2 3 2 2 10 3" xfId="12114" xr:uid="{00000000-0005-0000-0000-000099290000}"/>
    <cellStyle name="Currency 5 2 3 2 2 10 3 2" xfId="12115" xr:uid="{00000000-0005-0000-0000-00009A290000}"/>
    <cellStyle name="Currency 5 2 3 2 2 10 4" xfId="12116" xr:uid="{00000000-0005-0000-0000-00009B290000}"/>
    <cellStyle name="Currency 5 2 3 2 2 11" xfId="12117" xr:uid="{00000000-0005-0000-0000-00009C290000}"/>
    <cellStyle name="Currency 5 2 3 2 2 11 2" xfId="12118" xr:uid="{00000000-0005-0000-0000-00009D290000}"/>
    <cellStyle name="Currency 5 2 3 2 2 11 2 2" xfId="12119" xr:uid="{00000000-0005-0000-0000-00009E290000}"/>
    <cellStyle name="Currency 5 2 3 2 2 11 2 2 2" xfId="12120" xr:uid="{00000000-0005-0000-0000-00009F290000}"/>
    <cellStyle name="Currency 5 2 3 2 2 11 2 3" xfId="12121" xr:uid="{00000000-0005-0000-0000-0000A0290000}"/>
    <cellStyle name="Currency 5 2 3 2 2 11 3" xfId="12122" xr:uid="{00000000-0005-0000-0000-0000A1290000}"/>
    <cellStyle name="Currency 5 2 3 2 2 11 3 2" xfId="12123" xr:uid="{00000000-0005-0000-0000-0000A2290000}"/>
    <cellStyle name="Currency 5 2 3 2 2 11 4" xfId="12124" xr:uid="{00000000-0005-0000-0000-0000A3290000}"/>
    <cellStyle name="Currency 5 2 3 2 2 12" xfId="12125" xr:uid="{00000000-0005-0000-0000-0000A4290000}"/>
    <cellStyle name="Currency 5 2 3 2 2 12 2" xfId="12126" xr:uid="{00000000-0005-0000-0000-0000A5290000}"/>
    <cellStyle name="Currency 5 2 3 2 2 12 2 2" xfId="12127" xr:uid="{00000000-0005-0000-0000-0000A6290000}"/>
    <cellStyle name="Currency 5 2 3 2 2 12 3" xfId="12128" xr:uid="{00000000-0005-0000-0000-0000A7290000}"/>
    <cellStyle name="Currency 5 2 3 2 2 13" xfId="12129" xr:uid="{00000000-0005-0000-0000-0000A8290000}"/>
    <cellStyle name="Currency 5 2 3 2 2 13 2" xfId="12130" xr:uid="{00000000-0005-0000-0000-0000A9290000}"/>
    <cellStyle name="Currency 5 2 3 2 2 13 2 2" xfId="12131" xr:uid="{00000000-0005-0000-0000-0000AA290000}"/>
    <cellStyle name="Currency 5 2 3 2 2 13 3" xfId="12132" xr:uid="{00000000-0005-0000-0000-0000AB290000}"/>
    <cellStyle name="Currency 5 2 3 2 2 14" xfId="12133" xr:uid="{00000000-0005-0000-0000-0000AC290000}"/>
    <cellStyle name="Currency 5 2 3 2 2 14 2" xfId="12134" xr:uid="{00000000-0005-0000-0000-0000AD290000}"/>
    <cellStyle name="Currency 5 2 3 2 2 14 2 2" xfId="12135" xr:uid="{00000000-0005-0000-0000-0000AE290000}"/>
    <cellStyle name="Currency 5 2 3 2 2 14 3" xfId="12136" xr:uid="{00000000-0005-0000-0000-0000AF290000}"/>
    <cellStyle name="Currency 5 2 3 2 2 15" xfId="12137" xr:uid="{00000000-0005-0000-0000-0000B0290000}"/>
    <cellStyle name="Currency 5 2 3 2 2 15 2" xfId="12138" xr:uid="{00000000-0005-0000-0000-0000B1290000}"/>
    <cellStyle name="Currency 5 2 3 2 2 16" xfId="12139" xr:uid="{00000000-0005-0000-0000-0000B2290000}"/>
    <cellStyle name="Currency 5 2 3 2 2 17" xfId="12140" xr:uid="{00000000-0005-0000-0000-0000B3290000}"/>
    <cellStyle name="Currency 5 2 3 2 2 18" xfId="12108" xr:uid="{00000000-0005-0000-0000-0000B4290000}"/>
    <cellStyle name="Currency 5 2 3 2 2 2" xfId="318" xr:uid="{00000000-0005-0000-0000-0000B5290000}"/>
    <cellStyle name="Currency 5 2 3 2 2 2 10" xfId="12142" xr:uid="{00000000-0005-0000-0000-0000B6290000}"/>
    <cellStyle name="Currency 5 2 3 2 2 2 10 2" xfId="12143" xr:uid="{00000000-0005-0000-0000-0000B7290000}"/>
    <cellStyle name="Currency 5 2 3 2 2 2 10 2 2" xfId="12144" xr:uid="{00000000-0005-0000-0000-0000B8290000}"/>
    <cellStyle name="Currency 5 2 3 2 2 2 10 2 2 2" xfId="12145" xr:uid="{00000000-0005-0000-0000-0000B9290000}"/>
    <cellStyle name="Currency 5 2 3 2 2 2 10 2 3" xfId="12146" xr:uid="{00000000-0005-0000-0000-0000BA290000}"/>
    <cellStyle name="Currency 5 2 3 2 2 2 10 3" xfId="12147" xr:uid="{00000000-0005-0000-0000-0000BB290000}"/>
    <cellStyle name="Currency 5 2 3 2 2 2 10 3 2" xfId="12148" xr:uid="{00000000-0005-0000-0000-0000BC290000}"/>
    <cellStyle name="Currency 5 2 3 2 2 2 10 4" xfId="12149" xr:uid="{00000000-0005-0000-0000-0000BD290000}"/>
    <cellStyle name="Currency 5 2 3 2 2 2 11" xfId="12150" xr:uid="{00000000-0005-0000-0000-0000BE290000}"/>
    <cellStyle name="Currency 5 2 3 2 2 2 11 2" xfId="12151" xr:uid="{00000000-0005-0000-0000-0000BF290000}"/>
    <cellStyle name="Currency 5 2 3 2 2 2 11 2 2" xfId="12152" xr:uid="{00000000-0005-0000-0000-0000C0290000}"/>
    <cellStyle name="Currency 5 2 3 2 2 2 11 3" xfId="12153" xr:uid="{00000000-0005-0000-0000-0000C1290000}"/>
    <cellStyle name="Currency 5 2 3 2 2 2 12" xfId="12154" xr:uid="{00000000-0005-0000-0000-0000C2290000}"/>
    <cellStyle name="Currency 5 2 3 2 2 2 12 2" xfId="12155" xr:uid="{00000000-0005-0000-0000-0000C3290000}"/>
    <cellStyle name="Currency 5 2 3 2 2 2 12 2 2" xfId="12156" xr:uid="{00000000-0005-0000-0000-0000C4290000}"/>
    <cellStyle name="Currency 5 2 3 2 2 2 12 3" xfId="12157" xr:uid="{00000000-0005-0000-0000-0000C5290000}"/>
    <cellStyle name="Currency 5 2 3 2 2 2 13" xfId="12158" xr:uid="{00000000-0005-0000-0000-0000C6290000}"/>
    <cellStyle name="Currency 5 2 3 2 2 2 13 2" xfId="12159" xr:uid="{00000000-0005-0000-0000-0000C7290000}"/>
    <cellStyle name="Currency 5 2 3 2 2 2 13 2 2" xfId="12160" xr:uid="{00000000-0005-0000-0000-0000C8290000}"/>
    <cellStyle name="Currency 5 2 3 2 2 2 13 3" xfId="12161" xr:uid="{00000000-0005-0000-0000-0000C9290000}"/>
    <cellStyle name="Currency 5 2 3 2 2 2 14" xfId="12162" xr:uid="{00000000-0005-0000-0000-0000CA290000}"/>
    <cellStyle name="Currency 5 2 3 2 2 2 14 2" xfId="12163" xr:uid="{00000000-0005-0000-0000-0000CB290000}"/>
    <cellStyle name="Currency 5 2 3 2 2 2 15" xfId="12164" xr:uid="{00000000-0005-0000-0000-0000CC290000}"/>
    <cellStyle name="Currency 5 2 3 2 2 2 16" xfId="12165" xr:uid="{00000000-0005-0000-0000-0000CD290000}"/>
    <cellStyle name="Currency 5 2 3 2 2 2 17" xfId="12141" xr:uid="{00000000-0005-0000-0000-0000CE290000}"/>
    <cellStyle name="Currency 5 2 3 2 2 2 2" xfId="319" xr:uid="{00000000-0005-0000-0000-0000CF290000}"/>
    <cellStyle name="Currency 5 2 3 2 2 2 2 10" xfId="12167" xr:uid="{00000000-0005-0000-0000-0000D0290000}"/>
    <cellStyle name="Currency 5 2 3 2 2 2 2 10 2" xfId="12168" xr:uid="{00000000-0005-0000-0000-0000D1290000}"/>
    <cellStyle name="Currency 5 2 3 2 2 2 2 10 2 2" xfId="12169" xr:uid="{00000000-0005-0000-0000-0000D2290000}"/>
    <cellStyle name="Currency 5 2 3 2 2 2 2 10 3" xfId="12170" xr:uid="{00000000-0005-0000-0000-0000D3290000}"/>
    <cellStyle name="Currency 5 2 3 2 2 2 2 11" xfId="12171" xr:uid="{00000000-0005-0000-0000-0000D4290000}"/>
    <cellStyle name="Currency 5 2 3 2 2 2 2 11 2" xfId="12172" xr:uid="{00000000-0005-0000-0000-0000D5290000}"/>
    <cellStyle name="Currency 5 2 3 2 2 2 2 11 2 2" xfId="12173" xr:uid="{00000000-0005-0000-0000-0000D6290000}"/>
    <cellStyle name="Currency 5 2 3 2 2 2 2 11 3" xfId="12174" xr:uid="{00000000-0005-0000-0000-0000D7290000}"/>
    <cellStyle name="Currency 5 2 3 2 2 2 2 12" xfId="12175" xr:uid="{00000000-0005-0000-0000-0000D8290000}"/>
    <cellStyle name="Currency 5 2 3 2 2 2 2 12 2" xfId="12176" xr:uid="{00000000-0005-0000-0000-0000D9290000}"/>
    <cellStyle name="Currency 5 2 3 2 2 2 2 13" xfId="12177" xr:uid="{00000000-0005-0000-0000-0000DA290000}"/>
    <cellStyle name="Currency 5 2 3 2 2 2 2 14" xfId="12178" xr:uid="{00000000-0005-0000-0000-0000DB290000}"/>
    <cellStyle name="Currency 5 2 3 2 2 2 2 15" xfId="12166" xr:uid="{00000000-0005-0000-0000-0000DC290000}"/>
    <cellStyle name="Currency 5 2 3 2 2 2 2 2" xfId="886" xr:uid="{00000000-0005-0000-0000-0000DD290000}"/>
    <cellStyle name="Currency 5 2 3 2 2 2 2 2 10" xfId="12180" xr:uid="{00000000-0005-0000-0000-0000DE290000}"/>
    <cellStyle name="Currency 5 2 3 2 2 2 2 2 11" xfId="12179" xr:uid="{00000000-0005-0000-0000-0000DF290000}"/>
    <cellStyle name="Currency 5 2 3 2 2 2 2 2 2" xfId="1627" xr:uid="{00000000-0005-0000-0000-0000E0290000}"/>
    <cellStyle name="Currency 5 2 3 2 2 2 2 2 2 2" xfId="12182" xr:uid="{00000000-0005-0000-0000-0000E1290000}"/>
    <cellStyle name="Currency 5 2 3 2 2 2 2 2 2 2 2" xfId="12183" xr:uid="{00000000-0005-0000-0000-0000E2290000}"/>
    <cellStyle name="Currency 5 2 3 2 2 2 2 2 2 2 2 2" xfId="12184" xr:uid="{00000000-0005-0000-0000-0000E3290000}"/>
    <cellStyle name="Currency 5 2 3 2 2 2 2 2 2 2 2 2 2" xfId="12185" xr:uid="{00000000-0005-0000-0000-0000E4290000}"/>
    <cellStyle name="Currency 5 2 3 2 2 2 2 2 2 2 2 3" xfId="12186" xr:uid="{00000000-0005-0000-0000-0000E5290000}"/>
    <cellStyle name="Currency 5 2 3 2 2 2 2 2 2 2 3" xfId="12187" xr:uid="{00000000-0005-0000-0000-0000E6290000}"/>
    <cellStyle name="Currency 5 2 3 2 2 2 2 2 2 2 3 2" xfId="12188" xr:uid="{00000000-0005-0000-0000-0000E7290000}"/>
    <cellStyle name="Currency 5 2 3 2 2 2 2 2 2 2 4" xfId="12189" xr:uid="{00000000-0005-0000-0000-0000E8290000}"/>
    <cellStyle name="Currency 5 2 3 2 2 2 2 2 2 3" xfId="12190" xr:uid="{00000000-0005-0000-0000-0000E9290000}"/>
    <cellStyle name="Currency 5 2 3 2 2 2 2 2 2 3 2" xfId="12191" xr:uid="{00000000-0005-0000-0000-0000EA290000}"/>
    <cellStyle name="Currency 5 2 3 2 2 2 2 2 2 3 2 2" xfId="12192" xr:uid="{00000000-0005-0000-0000-0000EB290000}"/>
    <cellStyle name="Currency 5 2 3 2 2 2 2 2 2 3 2 2 2" xfId="12193" xr:uid="{00000000-0005-0000-0000-0000EC290000}"/>
    <cellStyle name="Currency 5 2 3 2 2 2 2 2 2 3 2 3" xfId="12194" xr:uid="{00000000-0005-0000-0000-0000ED290000}"/>
    <cellStyle name="Currency 5 2 3 2 2 2 2 2 2 3 3" xfId="12195" xr:uid="{00000000-0005-0000-0000-0000EE290000}"/>
    <cellStyle name="Currency 5 2 3 2 2 2 2 2 2 3 3 2" xfId="12196" xr:uid="{00000000-0005-0000-0000-0000EF290000}"/>
    <cellStyle name="Currency 5 2 3 2 2 2 2 2 2 3 4" xfId="12197" xr:uid="{00000000-0005-0000-0000-0000F0290000}"/>
    <cellStyle name="Currency 5 2 3 2 2 2 2 2 2 4" xfId="12198" xr:uid="{00000000-0005-0000-0000-0000F1290000}"/>
    <cellStyle name="Currency 5 2 3 2 2 2 2 2 2 4 2" xfId="12199" xr:uid="{00000000-0005-0000-0000-0000F2290000}"/>
    <cellStyle name="Currency 5 2 3 2 2 2 2 2 2 4 2 2" xfId="12200" xr:uid="{00000000-0005-0000-0000-0000F3290000}"/>
    <cellStyle name="Currency 5 2 3 2 2 2 2 2 2 4 3" xfId="12201" xr:uid="{00000000-0005-0000-0000-0000F4290000}"/>
    <cellStyle name="Currency 5 2 3 2 2 2 2 2 2 5" xfId="12202" xr:uid="{00000000-0005-0000-0000-0000F5290000}"/>
    <cellStyle name="Currency 5 2 3 2 2 2 2 2 2 5 2" xfId="12203" xr:uid="{00000000-0005-0000-0000-0000F6290000}"/>
    <cellStyle name="Currency 5 2 3 2 2 2 2 2 2 6" xfId="12204" xr:uid="{00000000-0005-0000-0000-0000F7290000}"/>
    <cellStyle name="Currency 5 2 3 2 2 2 2 2 2 7" xfId="12181" xr:uid="{00000000-0005-0000-0000-0000F8290000}"/>
    <cellStyle name="Currency 5 2 3 2 2 2 2 2 3" xfId="12205" xr:uid="{00000000-0005-0000-0000-0000F9290000}"/>
    <cellStyle name="Currency 5 2 3 2 2 2 2 2 3 2" xfId="12206" xr:uid="{00000000-0005-0000-0000-0000FA290000}"/>
    <cellStyle name="Currency 5 2 3 2 2 2 2 2 3 2 2" xfId="12207" xr:uid="{00000000-0005-0000-0000-0000FB290000}"/>
    <cellStyle name="Currency 5 2 3 2 2 2 2 2 3 2 2 2" xfId="12208" xr:uid="{00000000-0005-0000-0000-0000FC290000}"/>
    <cellStyle name="Currency 5 2 3 2 2 2 2 2 3 2 2 2 2" xfId="12209" xr:uid="{00000000-0005-0000-0000-0000FD290000}"/>
    <cellStyle name="Currency 5 2 3 2 2 2 2 2 3 2 2 3" xfId="12210" xr:uid="{00000000-0005-0000-0000-0000FE290000}"/>
    <cellStyle name="Currency 5 2 3 2 2 2 2 2 3 2 3" xfId="12211" xr:uid="{00000000-0005-0000-0000-0000FF290000}"/>
    <cellStyle name="Currency 5 2 3 2 2 2 2 2 3 2 3 2" xfId="12212" xr:uid="{00000000-0005-0000-0000-0000002A0000}"/>
    <cellStyle name="Currency 5 2 3 2 2 2 2 2 3 2 4" xfId="12213" xr:uid="{00000000-0005-0000-0000-0000012A0000}"/>
    <cellStyle name="Currency 5 2 3 2 2 2 2 2 3 3" xfId="12214" xr:uid="{00000000-0005-0000-0000-0000022A0000}"/>
    <cellStyle name="Currency 5 2 3 2 2 2 2 2 3 3 2" xfId="12215" xr:uid="{00000000-0005-0000-0000-0000032A0000}"/>
    <cellStyle name="Currency 5 2 3 2 2 2 2 2 3 3 2 2" xfId="12216" xr:uid="{00000000-0005-0000-0000-0000042A0000}"/>
    <cellStyle name="Currency 5 2 3 2 2 2 2 2 3 3 3" xfId="12217" xr:uid="{00000000-0005-0000-0000-0000052A0000}"/>
    <cellStyle name="Currency 5 2 3 2 2 2 2 2 3 4" xfId="12218" xr:uid="{00000000-0005-0000-0000-0000062A0000}"/>
    <cellStyle name="Currency 5 2 3 2 2 2 2 2 3 4 2" xfId="12219" xr:uid="{00000000-0005-0000-0000-0000072A0000}"/>
    <cellStyle name="Currency 5 2 3 2 2 2 2 2 3 5" xfId="12220" xr:uid="{00000000-0005-0000-0000-0000082A0000}"/>
    <cellStyle name="Currency 5 2 3 2 2 2 2 2 4" xfId="12221" xr:uid="{00000000-0005-0000-0000-0000092A0000}"/>
    <cellStyle name="Currency 5 2 3 2 2 2 2 2 4 2" xfId="12222" xr:uid="{00000000-0005-0000-0000-00000A2A0000}"/>
    <cellStyle name="Currency 5 2 3 2 2 2 2 2 4 2 2" xfId="12223" xr:uid="{00000000-0005-0000-0000-00000B2A0000}"/>
    <cellStyle name="Currency 5 2 3 2 2 2 2 2 4 2 2 2" xfId="12224" xr:uid="{00000000-0005-0000-0000-00000C2A0000}"/>
    <cellStyle name="Currency 5 2 3 2 2 2 2 2 4 2 2 2 2" xfId="12225" xr:uid="{00000000-0005-0000-0000-00000D2A0000}"/>
    <cellStyle name="Currency 5 2 3 2 2 2 2 2 4 2 2 3" xfId="12226" xr:uid="{00000000-0005-0000-0000-00000E2A0000}"/>
    <cellStyle name="Currency 5 2 3 2 2 2 2 2 4 2 3" xfId="12227" xr:uid="{00000000-0005-0000-0000-00000F2A0000}"/>
    <cellStyle name="Currency 5 2 3 2 2 2 2 2 4 2 3 2" xfId="12228" xr:uid="{00000000-0005-0000-0000-0000102A0000}"/>
    <cellStyle name="Currency 5 2 3 2 2 2 2 2 4 2 4" xfId="12229" xr:uid="{00000000-0005-0000-0000-0000112A0000}"/>
    <cellStyle name="Currency 5 2 3 2 2 2 2 2 4 3" xfId="12230" xr:uid="{00000000-0005-0000-0000-0000122A0000}"/>
    <cellStyle name="Currency 5 2 3 2 2 2 2 2 4 3 2" xfId="12231" xr:uid="{00000000-0005-0000-0000-0000132A0000}"/>
    <cellStyle name="Currency 5 2 3 2 2 2 2 2 4 3 2 2" xfId="12232" xr:uid="{00000000-0005-0000-0000-0000142A0000}"/>
    <cellStyle name="Currency 5 2 3 2 2 2 2 2 4 3 3" xfId="12233" xr:uid="{00000000-0005-0000-0000-0000152A0000}"/>
    <cellStyle name="Currency 5 2 3 2 2 2 2 2 4 4" xfId="12234" xr:uid="{00000000-0005-0000-0000-0000162A0000}"/>
    <cellStyle name="Currency 5 2 3 2 2 2 2 2 4 4 2" xfId="12235" xr:uid="{00000000-0005-0000-0000-0000172A0000}"/>
    <cellStyle name="Currency 5 2 3 2 2 2 2 2 4 5" xfId="12236" xr:uid="{00000000-0005-0000-0000-0000182A0000}"/>
    <cellStyle name="Currency 5 2 3 2 2 2 2 2 5" xfId="12237" xr:uid="{00000000-0005-0000-0000-0000192A0000}"/>
    <cellStyle name="Currency 5 2 3 2 2 2 2 2 5 2" xfId="12238" xr:uid="{00000000-0005-0000-0000-00001A2A0000}"/>
    <cellStyle name="Currency 5 2 3 2 2 2 2 2 5 2 2" xfId="12239" xr:uid="{00000000-0005-0000-0000-00001B2A0000}"/>
    <cellStyle name="Currency 5 2 3 2 2 2 2 2 5 2 2 2" xfId="12240" xr:uid="{00000000-0005-0000-0000-00001C2A0000}"/>
    <cellStyle name="Currency 5 2 3 2 2 2 2 2 5 2 3" xfId="12241" xr:uid="{00000000-0005-0000-0000-00001D2A0000}"/>
    <cellStyle name="Currency 5 2 3 2 2 2 2 2 5 3" xfId="12242" xr:uid="{00000000-0005-0000-0000-00001E2A0000}"/>
    <cellStyle name="Currency 5 2 3 2 2 2 2 2 5 3 2" xfId="12243" xr:uid="{00000000-0005-0000-0000-00001F2A0000}"/>
    <cellStyle name="Currency 5 2 3 2 2 2 2 2 5 4" xfId="12244" xr:uid="{00000000-0005-0000-0000-0000202A0000}"/>
    <cellStyle name="Currency 5 2 3 2 2 2 2 2 6" xfId="12245" xr:uid="{00000000-0005-0000-0000-0000212A0000}"/>
    <cellStyle name="Currency 5 2 3 2 2 2 2 2 6 2" xfId="12246" xr:uid="{00000000-0005-0000-0000-0000222A0000}"/>
    <cellStyle name="Currency 5 2 3 2 2 2 2 2 6 2 2" xfId="12247" xr:uid="{00000000-0005-0000-0000-0000232A0000}"/>
    <cellStyle name="Currency 5 2 3 2 2 2 2 2 6 2 2 2" xfId="12248" xr:uid="{00000000-0005-0000-0000-0000242A0000}"/>
    <cellStyle name="Currency 5 2 3 2 2 2 2 2 6 2 3" xfId="12249" xr:uid="{00000000-0005-0000-0000-0000252A0000}"/>
    <cellStyle name="Currency 5 2 3 2 2 2 2 2 6 3" xfId="12250" xr:uid="{00000000-0005-0000-0000-0000262A0000}"/>
    <cellStyle name="Currency 5 2 3 2 2 2 2 2 6 3 2" xfId="12251" xr:uid="{00000000-0005-0000-0000-0000272A0000}"/>
    <cellStyle name="Currency 5 2 3 2 2 2 2 2 6 4" xfId="12252" xr:uid="{00000000-0005-0000-0000-0000282A0000}"/>
    <cellStyle name="Currency 5 2 3 2 2 2 2 2 7" xfId="12253" xr:uid="{00000000-0005-0000-0000-0000292A0000}"/>
    <cellStyle name="Currency 5 2 3 2 2 2 2 2 7 2" xfId="12254" xr:uid="{00000000-0005-0000-0000-00002A2A0000}"/>
    <cellStyle name="Currency 5 2 3 2 2 2 2 2 7 2 2" xfId="12255" xr:uid="{00000000-0005-0000-0000-00002B2A0000}"/>
    <cellStyle name="Currency 5 2 3 2 2 2 2 2 7 2 2 2" xfId="12256" xr:uid="{00000000-0005-0000-0000-00002C2A0000}"/>
    <cellStyle name="Currency 5 2 3 2 2 2 2 2 7 2 3" xfId="12257" xr:uid="{00000000-0005-0000-0000-00002D2A0000}"/>
    <cellStyle name="Currency 5 2 3 2 2 2 2 2 7 3" xfId="12258" xr:uid="{00000000-0005-0000-0000-00002E2A0000}"/>
    <cellStyle name="Currency 5 2 3 2 2 2 2 2 7 3 2" xfId="12259" xr:uid="{00000000-0005-0000-0000-00002F2A0000}"/>
    <cellStyle name="Currency 5 2 3 2 2 2 2 2 7 4" xfId="12260" xr:uid="{00000000-0005-0000-0000-0000302A0000}"/>
    <cellStyle name="Currency 5 2 3 2 2 2 2 2 8" xfId="12261" xr:uid="{00000000-0005-0000-0000-0000312A0000}"/>
    <cellStyle name="Currency 5 2 3 2 2 2 2 2 8 2" xfId="12262" xr:uid="{00000000-0005-0000-0000-0000322A0000}"/>
    <cellStyle name="Currency 5 2 3 2 2 2 2 2 8 2 2" xfId="12263" xr:uid="{00000000-0005-0000-0000-0000332A0000}"/>
    <cellStyle name="Currency 5 2 3 2 2 2 2 2 8 3" xfId="12264" xr:uid="{00000000-0005-0000-0000-0000342A0000}"/>
    <cellStyle name="Currency 5 2 3 2 2 2 2 2 9" xfId="12265" xr:uid="{00000000-0005-0000-0000-0000352A0000}"/>
    <cellStyle name="Currency 5 2 3 2 2 2 2 2 9 2" xfId="12266" xr:uid="{00000000-0005-0000-0000-0000362A0000}"/>
    <cellStyle name="Currency 5 2 3 2 2 2 2 3" xfId="1302" xr:uid="{00000000-0005-0000-0000-0000372A0000}"/>
    <cellStyle name="Currency 5 2 3 2 2 2 2 3 2" xfId="12268" xr:uid="{00000000-0005-0000-0000-0000382A0000}"/>
    <cellStyle name="Currency 5 2 3 2 2 2 2 3 2 2" xfId="12269" xr:uid="{00000000-0005-0000-0000-0000392A0000}"/>
    <cellStyle name="Currency 5 2 3 2 2 2 2 3 2 2 2" xfId="12270" xr:uid="{00000000-0005-0000-0000-00003A2A0000}"/>
    <cellStyle name="Currency 5 2 3 2 2 2 2 3 2 2 2 2" xfId="12271" xr:uid="{00000000-0005-0000-0000-00003B2A0000}"/>
    <cellStyle name="Currency 5 2 3 2 2 2 2 3 2 2 3" xfId="12272" xr:uid="{00000000-0005-0000-0000-00003C2A0000}"/>
    <cellStyle name="Currency 5 2 3 2 2 2 2 3 2 3" xfId="12273" xr:uid="{00000000-0005-0000-0000-00003D2A0000}"/>
    <cellStyle name="Currency 5 2 3 2 2 2 2 3 2 3 2" xfId="12274" xr:uid="{00000000-0005-0000-0000-00003E2A0000}"/>
    <cellStyle name="Currency 5 2 3 2 2 2 2 3 2 4" xfId="12275" xr:uid="{00000000-0005-0000-0000-00003F2A0000}"/>
    <cellStyle name="Currency 5 2 3 2 2 2 2 3 3" xfId="12276" xr:uid="{00000000-0005-0000-0000-0000402A0000}"/>
    <cellStyle name="Currency 5 2 3 2 2 2 2 3 3 2" xfId="12277" xr:uid="{00000000-0005-0000-0000-0000412A0000}"/>
    <cellStyle name="Currency 5 2 3 2 2 2 2 3 3 2 2" xfId="12278" xr:uid="{00000000-0005-0000-0000-0000422A0000}"/>
    <cellStyle name="Currency 5 2 3 2 2 2 2 3 3 2 2 2" xfId="12279" xr:uid="{00000000-0005-0000-0000-0000432A0000}"/>
    <cellStyle name="Currency 5 2 3 2 2 2 2 3 3 2 3" xfId="12280" xr:uid="{00000000-0005-0000-0000-0000442A0000}"/>
    <cellStyle name="Currency 5 2 3 2 2 2 2 3 3 3" xfId="12281" xr:uid="{00000000-0005-0000-0000-0000452A0000}"/>
    <cellStyle name="Currency 5 2 3 2 2 2 2 3 3 3 2" xfId="12282" xr:uid="{00000000-0005-0000-0000-0000462A0000}"/>
    <cellStyle name="Currency 5 2 3 2 2 2 2 3 3 4" xfId="12283" xr:uid="{00000000-0005-0000-0000-0000472A0000}"/>
    <cellStyle name="Currency 5 2 3 2 2 2 2 3 4" xfId="12284" xr:uid="{00000000-0005-0000-0000-0000482A0000}"/>
    <cellStyle name="Currency 5 2 3 2 2 2 2 3 4 2" xfId="12285" xr:uid="{00000000-0005-0000-0000-0000492A0000}"/>
    <cellStyle name="Currency 5 2 3 2 2 2 2 3 4 2 2" xfId="12286" xr:uid="{00000000-0005-0000-0000-00004A2A0000}"/>
    <cellStyle name="Currency 5 2 3 2 2 2 2 3 4 3" xfId="12287" xr:uid="{00000000-0005-0000-0000-00004B2A0000}"/>
    <cellStyle name="Currency 5 2 3 2 2 2 2 3 5" xfId="12288" xr:uid="{00000000-0005-0000-0000-00004C2A0000}"/>
    <cellStyle name="Currency 5 2 3 2 2 2 2 3 5 2" xfId="12289" xr:uid="{00000000-0005-0000-0000-00004D2A0000}"/>
    <cellStyle name="Currency 5 2 3 2 2 2 2 3 6" xfId="12290" xr:uid="{00000000-0005-0000-0000-00004E2A0000}"/>
    <cellStyle name="Currency 5 2 3 2 2 2 2 3 7" xfId="12267" xr:uid="{00000000-0005-0000-0000-00004F2A0000}"/>
    <cellStyle name="Currency 5 2 3 2 2 2 2 4" xfId="12291" xr:uid="{00000000-0005-0000-0000-0000502A0000}"/>
    <cellStyle name="Currency 5 2 3 2 2 2 2 4 2" xfId="12292" xr:uid="{00000000-0005-0000-0000-0000512A0000}"/>
    <cellStyle name="Currency 5 2 3 2 2 2 2 4 2 2" xfId="12293" xr:uid="{00000000-0005-0000-0000-0000522A0000}"/>
    <cellStyle name="Currency 5 2 3 2 2 2 2 4 2 2 2" xfId="12294" xr:uid="{00000000-0005-0000-0000-0000532A0000}"/>
    <cellStyle name="Currency 5 2 3 2 2 2 2 4 2 2 2 2" xfId="12295" xr:uid="{00000000-0005-0000-0000-0000542A0000}"/>
    <cellStyle name="Currency 5 2 3 2 2 2 2 4 2 2 3" xfId="12296" xr:uid="{00000000-0005-0000-0000-0000552A0000}"/>
    <cellStyle name="Currency 5 2 3 2 2 2 2 4 2 3" xfId="12297" xr:uid="{00000000-0005-0000-0000-0000562A0000}"/>
    <cellStyle name="Currency 5 2 3 2 2 2 2 4 2 3 2" xfId="12298" xr:uid="{00000000-0005-0000-0000-0000572A0000}"/>
    <cellStyle name="Currency 5 2 3 2 2 2 2 4 2 4" xfId="12299" xr:uid="{00000000-0005-0000-0000-0000582A0000}"/>
    <cellStyle name="Currency 5 2 3 2 2 2 2 4 3" xfId="12300" xr:uid="{00000000-0005-0000-0000-0000592A0000}"/>
    <cellStyle name="Currency 5 2 3 2 2 2 2 4 3 2" xfId="12301" xr:uid="{00000000-0005-0000-0000-00005A2A0000}"/>
    <cellStyle name="Currency 5 2 3 2 2 2 2 4 3 2 2" xfId="12302" xr:uid="{00000000-0005-0000-0000-00005B2A0000}"/>
    <cellStyle name="Currency 5 2 3 2 2 2 2 4 3 3" xfId="12303" xr:uid="{00000000-0005-0000-0000-00005C2A0000}"/>
    <cellStyle name="Currency 5 2 3 2 2 2 2 4 4" xfId="12304" xr:uid="{00000000-0005-0000-0000-00005D2A0000}"/>
    <cellStyle name="Currency 5 2 3 2 2 2 2 4 4 2" xfId="12305" xr:uid="{00000000-0005-0000-0000-00005E2A0000}"/>
    <cellStyle name="Currency 5 2 3 2 2 2 2 4 5" xfId="12306" xr:uid="{00000000-0005-0000-0000-00005F2A0000}"/>
    <cellStyle name="Currency 5 2 3 2 2 2 2 5" xfId="12307" xr:uid="{00000000-0005-0000-0000-0000602A0000}"/>
    <cellStyle name="Currency 5 2 3 2 2 2 2 5 2" xfId="12308" xr:uid="{00000000-0005-0000-0000-0000612A0000}"/>
    <cellStyle name="Currency 5 2 3 2 2 2 2 5 2 2" xfId="12309" xr:uid="{00000000-0005-0000-0000-0000622A0000}"/>
    <cellStyle name="Currency 5 2 3 2 2 2 2 5 2 2 2" xfId="12310" xr:uid="{00000000-0005-0000-0000-0000632A0000}"/>
    <cellStyle name="Currency 5 2 3 2 2 2 2 5 2 2 2 2" xfId="12311" xr:uid="{00000000-0005-0000-0000-0000642A0000}"/>
    <cellStyle name="Currency 5 2 3 2 2 2 2 5 2 2 3" xfId="12312" xr:uid="{00000000-0005-0000-0000-0000652A0000}"/>
    <cellStyle name="Currency 5 2 3 2 2 2 2 5 2 3" xfId="12313" xr:uid="{00000000-0005-0000-0000-0000662A0000}"/>
    <cellStyle name="Currency 5 2 3 2 2 2 2 5 2 3 2" xfId="12314" xr:uid="{00000000-0005-0000-0000-0000672A0000}"/>
    <cellStyle name="Currency 5 2 3 2 2 2 2 5 2 4" xfId="12315" xr:uid="{00000000-0005-0000-0000-0000682A0000}"/>
    <cellStyle name="Currency 5 2 3 2 2 2 2 5 3" xfId="12316" xr:uid="{00000000-0005-0000-0000-0000692A0000}"/>
    <cellStyle name="Currency 5 2 3 2 2 2 2 5 3 2" xfId="12317" xr:uid="{00000000-0005-0000-0000-00006A2A0000}"/>
    <cellStyle name="Currency 5 2 3 2 2 2 2 5 3 2 2" xfId="12318" xr:uid="{00000000-0005-0000-0000-00006B2A0000}"/>
    <cellStyle name="Currency 5 2 3 2 2 2 2 5 3 3" xfId="12319" xr:uid="{00000000-0005-0000-0000-00006C2A0000}"/>
    <cellStyle name="Currency 5 2 3 2 2 2 2 5 4" xfId="12320" xr:uid="{00000000-0005-0000-0000-00006D2A0000}"/>
    <cellStyle name="Currency 5 2 3 2 2 2 2 5 4 2" xfId="12321" xr:uid="{00000000-0005-0000-0000-00006E2A0000}"/>
    <cellStyle name="Currency 5 2 3 2 2 2 2 5 5" xfId="12322" xr:uid="{00000000-0005-0000-0000-00006F2A0000}"/>
    <cellStyle name="Currency 5 2 3 2 2 2 2 6" xfId="12323" xr:uid="{00000000-0005-0000-0000-0000702A0000}"/>
    <cellStyle name="Currency 5 2 3 2 2 2 2 6 2" xfId="12324" xr:uid="{00000000-0005-0000-0000-0000712A0000}"/>
    <cellStyle name="Currency 5 2 3 2 2 2 2 6 2 2" xfId="12325" xr:uid="{00000000-0005-0000-0000-0000722A0000}"/>
    <cellStyle name="Currency 5 2 3 2 2 2 2 6 2 2 2" xfId="12326" xr:uid="{00000000-0005-0000-0000-0000732A0000}"/>
    <cellStyle name="Currency 5 2 3 2 2 2 2 6 2 3" xfId="12327" xr:uid="{00000000-0005-0000-0000-0000742A0000}"/>
    <cellStyle name="Currency 5 2 3 2 2 2 2 6 3" xfId="12328" xr:uid="{00000000-0005-0000-0000-0000752A0000}"/>
    <cellStyle name="Currency 5 2 3 2 2 2 2 6 3 2" xfId="12329" xr:uid="{00000000-0005-0000-0000-0000762A0000}"/>
    <cellStyle name="Currency 5 2 3 2 2 2 2 6 4" xfId="12330" xr:uid="{00000000-0005-0000-0000-0000772A0000}"/>
    <cellStyle name="Currency 5 2 3 2 2 2 2 7" xfId="12331" xr:uid="{00000000-0005-0000-0000-0000782A0000}"/>
    <cellStyle name="Currency 5 2 3 2 2 2 2 7 2" xfId="12332" xr:uid="{00000000-0005-0000-0000-0000792A0000}"/>
    <cellStyle name="Currency 5 2 3 2 2 2 2 7 2 2" xfId="12333" xr:uid="{00000000-0005-0000-0000-00007A2A0000}"/>
    <cellStyle name="Currency 5 2 3 2 2 2 2 7 2 2 2" xfId="12334" xr:uid="{00000000-0005-0000-0000-00007B2A0000}"/>
    <cellStyle name="Currency 5 2 3 2 2 2 2 7 2 3" xfId="12335" xr:uid="{00000000-0005-0000-0000-00007C2A0000}"/>
    <cellStyle name="Currency 5 2 3 2 2 2 2 7 3" xfId="12336" xr:uid="{00000000-0005-0000-0000-00007D2A0000}"/>
    <cellStyle name="Currency 5 2 3 2 2 2 2 7 3 2" xfId="12337" xr:uid="{00000000-0005-0000-0000-00007E2A0000}"/>
    <cellStyle name="Currency 5 2 3 2 2 2 2 7 4" xfId="12338" xr:uid="{00000000-0005-0000-0000-00007F2A0000}"/>
    <cellStyle name="Currency 5 2 3 2 2 2 2 8" xfId="12339" xr:uid="{00000000-0005-0000-0000-0000802A0000}"/>
    <cellStyle name="Currency 5 2 3 2 2 2 2 8 2" xfId="12340" xr:uid="{00000000-0005-0000-0000-0000812A0000}"/>
    <cellStyle name="Currency 5 2 3 2 2 2 2 8 2 2" xfId="12341" xr:uid="{00000000-0005-0000-0000-0000822A0000}"/>
    <cellStyle name="Currency 5 2 3 2 2 2 2 8 2 2 2" xfId="12342" xr:uid="{00000000-0005-0000-0000-0000832A0000}"/>
    <cellStyle name="Currency 5 2 3 2 2 2 2 8 2 3" xfId="12343" xr:uid="{00000000-0005-0000-0000-0000842A0000}"/>
    <cellStyle name="Currency 5 2 3 2 2 2 2 8 3" xfId="12344" xr:uid="{00000000-0005-0000-0000-0000852A0000}"/>
    <cellStyle name="Currency 5 2 3 2 2 2 2 8 3 2" xfId="12345" xr:uid="{00000000-0005-0000-0000-0000862A0000}"/>
    <cellStyle name="Currency 5 2 3 2 2 2 2 8 4" xfId="12346" xr:uid="{00000000-0005-0000-0000-0000872A0000}"/>
    <cellStyle name="Currency 5 2 3 2 2 2 2 9" xfId="12347" xr:uid="{00000000-0005-0000-0000-0000882A0000}"/>
    <cellStyle name="Currency 5 2 3 2 2 2 2 9 2" xfId="12348" xr:uid="{00000000-0005-0000-0000-0000892A0000}"/>
    <cellStyle name="Currency 5 2 3 2 2 2 2 9 2 2" xfId="12349" xr:uid="{00000000-0005-0000-0000-00008A2A0000}"/>
    <cellStyle name="Currency 5 2 3 2 2 2 2 9 3" xfId="12350" xr:uid="{00000000-0005-0000-0000-00008B2A0000}"/>
    <cellStyle name="Currency 5 2 3 2 2 2 3" xfId="320" xr:uid="{00000000-0005-0000-0000-00008C2A0000}"/>
    <cellStyle name="Currency 5 2 3 2 2 2 4" xfId="885" xr:uid="{00000000-0005-0000-0000-00008D2A0000}"/>
    <cellStyle name="Currency 5 2 3 2 2 2 4 10" xfId="12352" xr:uid="{00000000-0005-0000-0000-00008E2A0000}"/>
    <cellStyle name="Currency 5 2 3 2 2 2 4 11" xfId="12351" xr:uid="{00000000-0005-0000-0000-00008F2A0000}"/>
    <cellStyle name="Currency 5 2 3 2 2 2 4 2" xfId="1626" xr:uid="{00000000-0005-0000-0000-0000902A0000}"/>
    <cellStyle name="Currency 5 2 3 2 2 2 4 2 2" xfId="12354" xr:uid="{00000000-0005-0000-0000-0000912A0000}"/>
    <cellStyle name="Currency 5 2 3 2 2 2 4 2 2 2" xfId="12355" xr:uid="{00000000-0005-0000-0000-0000922A0000}"/>
    <cellStyle name="Currency 5 2 3 2 2 2 4 2 2 2 2" xfId="12356" xr:uid="{00000000-0005-0000-0000-0000932A0000}"/>
    <cellStyle name="Currency 5 2 3 2 2 2 4 2 2 2 2 2" xfId="12357" xr:uid="{00000000-0005-0000-0000-0000942A0000}"/>
    <cellStyle name="Currency 5 2 3 2 2 2 4 2 2 2 3" xfId="12358" xr:uid="{00000000-0005-0000-0000-0000952A0000}"/>
    <cellStyle name="Currency 5 2 3 2 2 2 4 2 2 3" xfId="12359" xr:uid="{00000000-0005-0000-0000-0000962A0000}"/>
    <cellStyle name="Currency 5 2 3 2 2 2 4 2 2 3 2" xfId="12360" xr:uid="{00000000-0005-0000-0000-0000972A0000}"/>
    <cellStyle name="Currency 5 2 3 2 2 2 4 2 2 4" xfId="12361" xr:uid="{00000000-0005-0000-0000-0000982A0000}"/>
    <cellStyle name="Currency 5 2 3 2 2 2 4 2 3" xfId="12362" xr:uid="{00000000-0005-0000-0000-0000992A0000}"/>
    <cellStyle name="Currency 5 2 3 2 2 2 4 2 3 2" xfId="12363" xr:uid="{00000000-0005-0000-0000-00009A2A0000}"/>
    <cellStyle name="Currency 5 2 3 2 2 2 4 2 3 2 2" xfId="12364" xr:uid="{00000000-0005-0000-0000-00009B2A0000}"/>
    <cellStyle name="Currency 5 2 3 2 2 2 4 2 3 2 2 2" xfId="12365" xr:uid="{00000000-0005-0000-0000-00009C2A0000}"/>
    <cellStyle name="Currency 5 2 3 2 2 2 4 2 3 2 3" xfId="12366" xr:uid="{00000000-0005-0000-0000-00009D2A0000}"/>
    <cellStyle name="Currency 5 2 3 2 2 2 4 2 3 3" xfId="12367" xr:uid="{00000000-0005-0000-0000-00009E2A0000}"/>
    <cellStyle name="Currency 5 2 3 2 2 2 4 2 3 3 2" xfId="12368" xr:uid="{00000000-0005-0000-0000-00009F2A0000}"/>
    <cellStyle name="Currency 5 2 3 2 2 2 4 2 3 4" xfId="12369" xr:uid="{00000000-0005-0000-0000-0000A02A0000}"/>
    <cellStyle name="Currency 5 2 3 2 2 2 4 2 4" xfId="12370" xr:uid="{00000000-0005-0000-0000-0000A12A0000}"/>
    <cellStyle name="Currency 5 2 3 2 2 2 4 2 4 2" xfId="12371" xr:uid="{00000000-0005-0000-0000-0000A22A0000}"/>
    <cellStyle name="Currency 5 2 3 2 2 2 4 2 4 2 2" xfId="12372" xr:uid="{00000000-0005-0000-0000-0000A32A0000}"/>
    <cellStyle name="Currency 5 2 3 2 2 2 4 2 4 3" xfId="12373" xr:uid="{00000000-0005-0000-0000-0000A42A0000}"/>
    <cellStyle name="Currency 5 2 3 2 2 2 4 2 5" xfId="12374" xr:uid="{00000000-0005-0000-0000-0000A52A0000}"/>
    <cellStyle name="Currency 5 2 3 2 2 2 4 2 5 2" xfId="12375" xr:uid="{00000000-0005-0000-0000-0000A62A0000}"/>
    <cellStyle name="Currency 5 2 3 2 2 2 4 2 6" xfId="12376" xr:uid="{00000000-0005-0000-0000-0000A72A0000}"/>
    <cellStyle name="Currency 5 2 3 2 2 2 4 2 7" xfId="12353" xr:uid="{00000000-0005-0000-0000-0000A82A0000}"/>
    <cellStyle name="Currency 5 2 3 2 2 2 4 3" xfId="12377" xr:uid="{00000000-0005-0000-0000-0000A92A0000}"/>
    <cellStyle name="Currency 5 2 3 2 2 2 4 3 2" xfId="12378" xr:uid="{00000000-0005-0000-0000-0000AA2A0000}"/>
    <cellStyle name="Currency 5 2 3 2 2 2 4 3 2 2" xfId="12379" xr:uid="{00000000-0005-0000-0000-0000AB2A0000}"/>
    <cellStyle name="Currency 5 2 3 2 2 2 4 3 2 2 2" xfId="12380" xr:uid="{00000000-0005-0000-0000-0000AC2A0000}"/>
    <cellStyle name="Currency 5 2 3 2 2 2 4 3 2 2 2 2" xfId="12381" xr:uid="{00000000-0005-0000-0000-0000AD2A0000}"/>
    <cellStyle name="Currency 5 2 3 2 2 2 4 3 2 2 3" xfId="12382" xr:uid="{00000000-0005-0000-0000-0000AE2A0000}"/>
    <cellStyle name="Currency 5 2 3 2 2 2 4 3 2 3" xfId="12383" xr:uid="{00000000-0005-0000-0000-0000AF2A0000}"/>
    <cellStyle name="Currency 5 2 3 2 2 2 4 3 2 3 2" xfId="12384" xr:uid="{00000000-0005-0000-0000-0000B02A0000}"/>
    <cellStyle name="Currency 5 2 3 2 2 2 4 3 2 4" xfId="12385" xr:uid="{00000000-0005-0000-0000-0000B12A0000}"/>
    <cellStyle name="Currency 5 2 3 2 2 2 4 3 3" xfId="12386" xr:uid="{00000000-0005-0000-0000-0000B22A0000}"/>
    <cellStyle name="Currency 5 2 3 2 2 2 4 3 3 2" xfId="12387" xr:uid="{00000000-0005-0000-0000-0000B32A0000}"/>
    <cellStyle name="Currency 5 2 3 2 2 2 4 3 3 2 2" xfId="12388" xr:uid="{00000000-0005-0000-0000-0000B42A0000}"/>
    <cellStyle name="Currency 5 2 3 2 2 2 4 3 3 3" xfId="12389" xr:uid="{00000000-0005-0000-0000-0000B52A0000}"/>
    <cellStyle name="Currency 5 2 3 2 2 2 4 3 4" xfId="12390" xr:uid="{00000000-0005-0000-0000-0000B62A0000}"/>
    <cellStyle name="Currency 5 2 3 2 2 2 4 3 4 2" xfId="12391" xr:uid="{00000000-0005-0000-0000-0000B72A0000}"/>
    <cellStyle name="Currency 5 2 3 2 2 2 4 3 5" xfId="12392" xr:uid="{00000000-0005-0000-0000-0000B82A0000}"/>
    <cellStyle name="Currency 5 2 3 2 2 2 4 4" xfId="12393" xr:uid="{00000000-0005-0000-0000-0000B92A0000}"/>
    <cellStyle name="Currency 5 2 3 2 2 2 4 4 2" xfId="12394" xr:uid="{00000000-0005-0000-0000-0000BA2A0000}"/>
    <cellStyle name="Currency 5 2 3 2 2 2 4 4 2 2" xfId="12395" xr:uid="{00000000-0005-0000-0000-0000BB2A0000}"/>
    <cellStyle name="Currency 5 2 3 2 2 2 4 4 2 2 2" xfId="12396" xr:uid="{00000000-0005-0000-0000-0000BC2A0000}"/>
    <cellStyle name="Currency 5 2 3 2 2 2 4 4 2 2 2 2" xfId="12397" xr:uid="{00000000-0005-0000-0000-0000BD2A0000}"/>
    <cellStyle name="Currency 5 2 3 2 2 2 4 4 2 2 3" xfId="12398" xr:uid="{00000000-0005-0000-0000-0000BE2A0000}"/>
    <cellStyle name="Currency 5 2 3 2 2 2 4 4 2 3" xfId="12399" xr:uid="{00000000-0005-0000-0000-0000BF2A0000}"/>
    <cellStyle name="Currency 5 2 3 2 2 2 4 4 2 3 2" xfId="12400" xr:uid="{00000000-0005-0000-0000-0000C02A0000}"/>
    <cellStyle name="Currency 5 2 3 2 2 2 4 4 2 4" xfId="12401" xr:uid="{00000000-0005-0000-0000-0000C12A0000}"/>
    <cellStyle name="Currency 5 2 3 2 2 2 4 4 3" xfId="12402" xr:uid="{00000000-0005-0000-0000-0000C22A0000}"/>
    <cellStyle name="Currency 5 2 3 2 2 2 4 4 3 2" xfId="12403" xr:uid="{00000000-0005-0000-0000-0000C32A0000}"/>
    <cellStyle name="Currency 5 2 3 2 2 2 4 4 3 2 2" xfId="12404" xr:uid="{00000000-0005-0000-0000-0000C42A0000}"/>
    <cellStyle name="Currency 5 2 3 2 2 2 4 4 3 3" xfId="12405" xr:uid="{00000000-0005-0000-0000-0000C52A0000}"/>
    <cellStyle name="Currency 5 2 3 2 2 2 4 4 4" xfId="12406" xr:uid="{00000000-0005-0000-0000-0000C62A0000}"/>
    <cellStyle name="Currency 5 2 3 2 2 2 4 4 4 2" xfId="12407" xr:uid="{00000000-0005-0000-0000-0000C72A0000}"/>
    <cellStyle name="Currency 5 2 3 2 2 2 4 4 5" xfId="12408" xr:uid="{00000000-0005-0000-0000-0000C82A0000}"/>
    <cellStyle name="Currency 5 2 3 2 2 2 4 5" xfId="12409" xr:uid="{00000000-0005-0000-0000-0000C92A0000}"/>
    <cellStyle name="Currency 5 2 3 2 2 2 4 5 2" xfId="12410" xr:uid="{00000000-0005-0000-0000-0000CA2A0000}"/>
    <cellStyle name="Currency 5 2 3 2 2 2 4 5 2 2" xfId="12411" xr:uid="{00000000-0005-0000-0000-0000CB2A0000}"/>
    <cellStyle name="Currency 5 2 3 2 2 2 4 5 2 2 2" xfId="12412" xr:uid="{00000000-0005-0000-0000-0000CC2A0000}"/>
    <cellStyle name="Currency 5 2 3 2 2 2 4 5 2 3" xfId="12413" xr:uid="{00000000-0005-0000-0000-0000CD2A0000}"/>
    <cellStyle name="Currency 5 2 3 2 2 2 4 5 3" xfId="12414" xr:uid="{00000000-0005-0000-0000-0000CE2A0000}"/>
    <cellStyle name="Currency 5 2 3 2 2 2 4 5 3 2" xfId="12415" xr:uid="{00000000-0005-0000-0000-0000CF2A0000}"/>
    <cellStyle name="Currency 5 2 3 2 2 2 4 5 4" xfId="12416" xr:uid="{00000000-0005-0000-0000-0000D02A0000}"/>
    <cellStyle name="Currency 5 2 3 2 2 2 4 6" xfId="12417" xr:uid="{00000000-0005-0000-0000-0000D12A0000}"/>
    <cellStyle name="Currency 5 2 3 2 2 2 4 6 2" xfId="12418" xr:uid="{00000000-0005-0000-0000-0000D22A0000}"/>
    <cellStyle name="Currency 5 2 3 2 2 2 4 6 2 2" xfId="12419" xr:uid="{00000000-0005-0000-0000-0000D32A0000}"/>
    <cellStyle name="Currency 5 2 3 2 2 2 4 6 2 2 2" xfId="12420" xr:uid="{00000000-0005-0000-0000-0000D42A0000}"/>
    <cellStyle name="Currency 5 2 3 2 2 2 4 6 2 3" xfId="12421" xr:uid="{00000000-0005-0000-0000-0000D52A0000}"/>
    <cellStyle name="Currency 5 2 3 2 2 2 4 6 3" xfId="12422" xr:uid="{00000000-0005-0000-0000-0000D62A0000}"/>
    <cellStyle name="Currency 5 2 3 2 2 2 4 6 3 2" xfId="12423" xr:uid="{00000000-0005-0000-0000-0000D72A0000}"/>
    <cellStyle name="Currency 5 2 3 2 2 2 4 6 4" xfId="12424" xr:uid="{00000000-0005-0000-0000-0000D82A0000}"/>
    <cellStyle name="Currency 5 2 3 2 2 2 4 7" xfId="12425" xr:uid="{00000000-0005-0000-0000-0000D92A0000}"/>
    <cellStyle name="Currency 5 2 3 2 2 2 4 7 2" xfId="12426" xr:uid="{00000000-0005-0000-0000-0000DA2A0000}"/>
    <cellStyle name="Currency 5 2 3 2 2 2 4 7 2 2" xfId="12427" xr:uid="{00000000-0005-0000-0000-0000DB2A0000}"/>
    <cellStyle name="Currency 5 2 3 2 2 2 4 7 2 2 2" xfId="12428" xr:uid="{00000000-0005-0000-0000-0000DC2A0000}"/>
    <cellStyle name="Currency 5 2 3 2 2 2 4 7 2 3" xfId="12429" xr:uid="{00000000-0005-0000-0000-0000DD2A0000}"/>
    <cellStyle name="Currency 5 2 3 2 2 2 4 7 3" xfId="12430" xr:uid="{00000000-0005-0000-0000-0000DE2A0000}"/>
    <cellStyle name="Currency 5 2 3 2 2 2 4 7 3 2" xfId="12431" xr:uid="{00000000-0005-0000-0000-0000DF2A0000}"/>
    <cellStyle name="Currency 5 2 3 2 2 2 4 7 4" xfId="12432" xr:uid="{00000000-0005-0000-0000-0000E02A0000}"/>
    <cellStyle name="Currency 5 2 3 2 2 2 4 8" xfId="12433" xr:uid="{00000000-0005-0000-0000-0000E12A0000}"/>
    <cellStyle name="Currency 5 2 3 2 2 2 4 8 2" xfId="12434" xr:uid="{00000000-0005-0000-0000-0000E22A0000}"/>
    <cellStyle name="Currency 5 2 3 2 2 2 4 8 2 2" xfId="12435" xr:uid="{00000000-0005-0000-0000-0000E32A0000}"/>
    <cellStyle name="Currency 5 2 3 2 2 2 4 8 3" xfId="12436" xr:uid="{00000000-0005-0000-0000-0000E42A0000}"/>
    <cellStyle name="Currency 5 2 3 2 2 2 4 9" xfId="12437" xr:uid="{00000000-0005-0000-0000-0000E52A0000}"/>
    <cellStyle name="Currency 5 2 3 2 2 2 4 9 2" xfId="12438" xr:uid="{00000000-0005-0000-0000-0000E62A0000}"/>
    <cellStyle name="Currency 5 2 3 2 2 2 5" xfId="1301" xr:uid="{00000000-0005-0000-0000-0000E72A0000}"/>
    <cellStyle name="Currency 5 2 3 2 2 2 5 2" xfId="12440" xr:uid="{00000000-0005-0000-0000-0000E82A0000}"/>
    <cellStyle name="Currency 5 2 3 2 2 2 5 2 2" xfId="12441" xr:uid="{00000000-0005-0000-0000-0000E92A0000}"/>
    <cellStyle name="Currency 5 2 3 2 2 2 5 2 2 2" xfId="12442" xr:uid="{00000000-0005-0000-0000-0000EA2A0000}"/>
    <cellStyle name="Currency 5 2 3 2 2 2 5 2 2 2 2" xfId="12443" xr:uid="{00000000-0005-0000-0000-0000EB2A0000}"/>
    <cellStyle name="Currency 5 2 3 2 2 2 5 2 2 3" xfId="12444" xr:uid="{00000000-0005-0000-0000-0000EC2A0000}"/>
    <cellStyle name="Currency 5 2 3 2 2 2 5 2 3" xfId="12445" xr:uid="{00000000-0005-0000-0000-0000ED2A0000}"/>
    <cellStyle name="Currency 5 2 3 2 2 2 5 2 3 2" xfId="12446" xr:uid="{00000000-0005-0000-0000-0000EE2A0000}"/>
    <cellStyle name="Currency 5 2 3 2 2 2 5 2 4" xfId="12447" xr:uid="{00000000-0005-0000-0000-0000EF2A0000}"/>
    <cellStyle name="Currency 5 2 3 2 2 2 5 3" xfId="12448" xr:uid="{00000000-0005-0000-0000-0000F02A0000}"/>
    <cellStyle name="Currency 5 2 3 2 2 2 5 3 2" xfId="12449" xr:uid="{00000000-0005-0000-0000-0000F12A0000}"/>
    <cellStyle name="Currency 5 2 3 2 2 2 5 3 2 2" xfId="12450" xr:uid="{00000000-0005-0000-0000-0000F22A0000}"/>
    <cellStyle name="Currency 5 2 3 2 2 2 5 3 2 2 2" xfId="12451" xr:uid="{00000000-0005-0000-0000-0000F32A0000}"/>
    <cellStyle name="Currency 5 2 3 2 2 2 5 3 2 3" xfId="12452" xr:uid="{00000000-0005-0000-0000-0000F42A0000}"/>
    <cellStyle name="Currency 5 2 3 2 2 2 5 3 3" xfId="12453" xr:uid="{00000000-0005-0000-0000-0000F52A0000}"/>
    <cellStyle name="Currency 5 2 3 2 2 2 5 3 3 2" xfId="12454" xr:uid="{00000000-0005-0000-0000-0000F62A0000}"/>
    <cellStyle name="Currency 5 2 3 2 2 2 5 3 4" xfId="12455" xr:uid="{00000000-0005-0000-0000-0000F72A0000}"/>
    <cellStyle name="Currency 5 2 3 2 2 2 5 4" xfId="12456" xr:uid="{00000000-0005-0000-0000-0000F82A0000}"/>
    <cellStyle name="Currency 5 2 3 2 2 2 5 4 2" xfId="12457" xr:uid="{00000000-0005-0000-0000-0000F92A0000}"/>
    <cellStyle name="Currency 5 2 3 2 2 2 5 4 2 2" xfId="12458" xr:uid="{00000000-0005-0000-0000-0000FA2A0000}"/>
    <cellStyle name="Currency 5 2 3 2 2 2 5 4 3" xfId="12459" xr:uid="{00000000-0005-0000-0000-0000FB2A0000}"/>
    <cellStyle name="Currency 5 2 3 2 2 2 5 5" xfId="12460" xr:uid="{00000000-0005-0000-0000-0000FC2A0000}"/>
    <cellStyle name="Currency 5 2 3 2 2 2 5 5 2" xfId="12461" xr:uid="{00000000-0005-0000-0000-0000FD2A0000}"/>
    <cellStyle name="Currency 5 2 3 2 2 2 5 6" xfId="12462" xr:uid="{00000000-0005-0000-0000-0000FE2A0000}"/>
    <cellStyle name="Currency 5 2 3 2 2 2 5 7" xfId="12439" xr:uid="{00000000-0005-0000-0000-0000FF2A0000}"/>
    <cellStyle name="Currency 5 2 3 2 2 2 6" xfId="12463" xr:uid="{00000000-0005-0000-0000-0000002B0000}"/>
    <cellStyle name="Currency 5 2 3 2 2 2 6 2" xfId="12464" xr:uid="{00000000-0005-0000-0000-0000012B0000}"/>
    <cellStyle name="Currency 5 2 3 2 2 2 6 2 2" xfId="12465" xr:uid="{00000000-0005-0000-0000-0000022B0000}"/>
    <cellStyle name="Currency 5 2 3 2 2 2 6 2 2 2" xfId="12466" xr:uid="{00000000-0005-0000-0000-0000032B0000}"/>
    <cellStyle name="Currency 5 2 3 2 2 2 6 2 2 2 2" xfId="12467" xr:uid="{00000000-0005-0000-0000-0000042B0000}"/>
    <cellStyle name="Currency 5 2 3 2 2 2 6 2 2 3" xfId="12468" xr:uid="{00000000-0005-0000-0000-0000052B0000}"/>
    <cellStyle name="Currency 5 2 3 2 2 2 6 2 3" xfId="12469" xr:uid="{00000000-0005-0000-0000-0000062B0000}"/>
    <cellStyle name="Currency 5 2 3 2 2 2 6 2 3 2" xfId="12470" xr:uid="{00000000-0005-0000-0000-0000072B0000}"/>
    <cellStyle name="Currency 5 2 3 2 2 2 6 2 4" xfId="12471" xr:uid="{00000000-0005-0000-0000-0000082B0000}"/>
    <cellStyle name="Currency 5 2 3 2 2 2 6 3" xfId="12472" xr:uid="{00000000-0005-0000-0000-0000092B0000}"/>
    <cellStyle name="Currency 5 2 3 2 2 2 6 3 2" xfId="12473" xr:uid="{00000000-0005-0000-0000-00000A2B0000}"/>
    <cellStyle name="Currency 5 2 3 2 2 2 6 3 2 2" xfId="12474" xr:uid="{00000000-0005-0000-0000-00000B2B0000}"/>
    <cellStyle name="Currency 5 2 3 2 2 2 6 3 3" xfId="12475" xr:uid="{00000000-0005-0000-0000-00000C2B0000}"/>
    <cellStyle name="Currency 5 2 3 2 2 2 6 4" xfId="12476" xr:uid="{00000000-0005-0000-0000-00000D2B0000}"/>
    <cellStyle name="Currency 5 2 3 2 2 2 6 4 2" xfId="12477" xr:uid="{00000000-0005-0000-0000-00000E2B0000}"/>
    <cellStyle name="Currency 5 2 3 2 2 2 6 5" xfId="12478" xr:uid="{00000000-0005-0000-0000-00000F2B0000}"/>
    <cellStyle name="Currency 5 2 3 2 2 2 7" xfId="12479" xr:uid="{00000000-0005-0000-0000-0000102B0000}"/>
    <cellStyle name="Currency 5 2 3 2 2 2 7 2" xfId="12480" xr:uid="{00000000-0005-0000-0000-0000112B0000}"/>
    <cellStyle name="Currency 5 2 3 2 2 2 7 2 2" xfId="12481" xr:uid="{00000000-0005-0000-0000-0000122B0000}"/>
    <cellStyle name="Currency 5 2 3 2 2 2 7 2 2 2" xfId="12482" xr:uid="{00000000-0005-0000-0000-0000132B0000}"/>
    <cellStyle name="Currency 5 2 3 2 2 2 7 2 2 2 2" xfId="12483" xr:uid="{00000000-0005-0000-0000-0000142B0000}"/>
    <cellStyle name="Currency 5 2 3 2 2 2 7 2 2 3" xfId="12484" xr:uid="{00000000-0005-0000-0000-0000152B0000}"/>
    <cellStyle name="Currency 5 2 3 2 2 2 7 2 3" xfId="12485" xr:uid="{00000000-0005-0000-0000-0000162B0000}"/>
    <cellStyle name="Currency 5 2 3 2 2 2 7 2 3 2" xfId="12486" xr:uid="{00000000-0005-0000-0000-0000172B0000}"/>
    <cellStyle name="Currency 5 2 3 2 2 2 7 2 4" xfId="12487" xr:uid="{00000000-0005-0000-0000-0000182B0000}"/>
    <cellStyle name="Currency 5 2 3 2 2 2 7 3" xfId="12488" xr:uid="{00000000-0005-0000-0000-0000192B0000}"/>
    <cellStyle name="Currency 5 2 3 2 2 2 7 3 2" xfId="12489" xr:uid="{00000000-0005-0000-0000-00001A2B0000}"/>
    <cellStyle name="Currency 5 2 3 2 2 2 7 3 2 2" xfId="12490" xr:uid="{00000000-0005-0000-0000-00001B2B0000}"/>
    <cellStyle name="Currency 5 2 3 2 2 2 7 3 3" xfId="12491" xr:uid="{00000000-0005-0000-0000-00001C2B0000}"/>
    <cellStyle name="Currency 5 2 3 2 2 2 7 4" xfId="12492" xr:uid="{00000000-0005-0000-0000-00001D2B0000}"/>
    <cellStyle name="Currency 5 2 3 2 2 2 7 4 2" xfId="12493" xr:uid="{00000000-0005-0000-0000-00001E2B0000}"/>
    <cellStyle name="Currency 5 2 3 2 2 2 7 5" xfId="12494" xr:uid="{00000000-0005-0000-0000-00001F2B0000}"/>
    <cellStyle name="Currency 5 2 3 2 2 2 8" xfId="12495" xr:uid="{00000000-0005-0000-0000-0000202B0000}"/>
    <cellStyle name="Currency 5 2 3 2 2 2 8 2" xfId="12496" xr:uid="{00000000-0005-0000-0000-0000212B0000}"/>
    <cellStyle name="Currency 5 2 3 2 2 2 8 2 2" xfId="12497" xr:uid="{00000000-0005-0000-0000-0000222B0000}"/>
    <cellStyle name="Currency 5 2 3 2 2 2 8 2 2 2" xfId="12498" xr:uid="{00000000-0005-0000-0000-0000232B0000}"/>
    <cellStyle name="Currency 5 2 3 2 2 2 8 2 3" xfId="12499" xr:uid="{00000000-0005-0000-0000-0000242B0000}"/>
    <cellStyle name="Currency 5 2 3 2 2 2 8 3" xfId="12500" xr:uid="{00000000-0005-0000-0000-0000252B0000}"/>
    <cellStyle name="Currency 5 2 3 2 2 2 8 3 2" xfId="12501" xr:uid="{00000000-0005-0000-0000-0000262B0000}"/>
    <cellStyle name="Currency 5 2 3 2 2 2 8 4" xfId="12502" xr:uid="{00000000-0005-0000-0000-0000272B0000}"/>
    <cellStyle name="Currency 5 2 3 2 2 2 9" xfId="12503" xr:uid="{00000000-0005-0000-0000-0000282B0000}"/>
    <cellStyle name="Currency 5 2 3 2 2 2 9 2" xfId="12504" xr:uid="{00000000-0005-0000-0000-0000292B0000}"/>
    <cellStyle name="Currency 5 2 3 2 2 2 9 2 2" xfId="12505" xr:uid="{00000000-0005-0000-0000-00002A2B0000}"/>
    <cellStyle name="Currency 5 2 3 2 2 2 9 2 2 2" xfId="12506" xr:uid="{00000000-0005-0000-0000-00002B2B0000}"/>
    <cellStyle name="Currency 5 2 3 2 2 2 9 2 3" xfId="12507" xr:uid="{00000000-0005-0000-0000-00002C2B0000}"/>
    <cellStyle name="Currency 5 2 3 2 2 2 9 3" xfId="12508" xr:uid="{00000000-0005-0000-0000-00002D2B0000}"/>
    <cellStyle name="Currency 5 2 3 2 2 2 9 3 2" xfId="12509" xr:uid="{00000000-0005-0000-0000-00002E2B0000}"/>
    <cellStyle name="Currency 5 2 3 2 2 2 9 4" xfId="12510" xr:uid="{00000000-0005-0000-0000-00002F2B0000}"/>
    <cellStyle name="Currency 5 2 3 2 2 3" xfId="321" xr:uid="{00000000-0005-0000-0000-0000302B0000}"/>
    <cellStyle name="Currency 5 2 3 2 2 3 10" xfId="12512" xr:uid="{00000000-0005-0000-0000-0000312B0000}"/>
    <cellStyle name="Currency 5 2 3 2 2 3 10 2" xfId="12513" xr:uid="{00000000-0005-0000-0000-0000322B0000}"/>
    <cellStyle name="Currency 5 2 3 2 2 3 10 2 2" xfId="12514" xr:uid="{00000000-0005-0000-0000-0000332B0000}"/>
    <cellStyle name="Currency 5 2 3 2 2 3 10 3" xfId="12515" xr:uid="{00000000-0005-0000-0000-0000342B0000}"/>
    <cellStyle name="Currency 5 2 3 2 2 3 11" xfId="12516" xr:uid="{00000000-0005-0000-0000-0000352B0000}"/>
    <cellStyle name="Currency 5 2 3 2 2 3 11 2" xfId="12517" xr:uid="{00000000-0005-0000-0000-0000362B0000}"/>
    <cellStyle name="Currency 5 2 3 2 2 3 11 2 2" xfId="12518" xr:uid="{00000000-0005-0000-0000-0000372B0000}"/>
    <cellStyle name="Currency 5 2 3 2 2 3 11 3" xfId="12519" xr:uid="{00000000-0005-0000-0000-0000382B0000}"/>
    <cellStyle name="Currency 5 2 3 2 2 3 12" xfId="12520" xr:uid="{00000000-0005-0000-0000-0000392B0000}"/>
    <cellStyle name="Currency 5 2 3 2 2 3 12 2" xfId="12521" xr:uid="{00000000-0005-0000-0000-00003A2B0000}"/>
    <cellStyle name="Currency 5 2 3 2 2 3 13" xfId="12522" xr:uid="{00000000-0005-0000-0000-00003B2B0000}"/>
    <cellStyle name="Currency 5 2 3 2 2 3 14" xfId="12523" xr:uid="{00000000-0005-0000-0000-00003C2B0000}"/>
    <cellStyle name="Currency 5 2 3 2 2 3 15" xfId="12511" xr:uid="{00000000-0005-0000-0000-00003D2B0000}"/>
    <cellStyle name="Currency 5 2 3 2 2 3 2" xfId="887" xr:uid="{00000000-0005-0000-0000-00003E2B0000}"/>
    <cellStyle name="Currency 5 2 3 2 2 3 2 10" xfId="12525" xr:uid="{00000000-0005-0000-0000-00003F2B0000}"/>
    <cellStyle name="Currency 5 2 3 2 2 3 2 11" xfId="12524" xr:uid="{00000000-0005-0000-0000-0000402B0000}"/>
    <cellStyle name="Currency 5 2 3 2 2 3 2 2" xfId="1628" xr:uid="{00000000-0005-0000-0000-0000412B0000}"/>
    <cellStyle name="Currency 5 2 3 2 2 3 2 2 2" xfId="12527" xr:uid="{00000000-0005-0000-0000-0000422B0000}"/>
    <cellStyle name="Currency 5 2 3 2 2 3 2 2 2 2" xfId="12528" xr:uid="{00000000-0005-0000-0000-0000432B0000}"/>
    <cellStyle name="Currency 5 2 3 2 2 3 2 2 2 2 2" xfId="12529" xr:uid="{00000000-0005-0000-0000-0000442B0000}"/>
    <cellStyle name="Currency 5 2 3 2 2 3 2 2 2 2 2 2" xfId="12530" xr:uid="{00000000-0005-0000-0000-0000452B0000}"/>
    <cellStyle name="Currency 5 2 3 2 2 3 2 2 2 2 3" xfId="12531" xr:uid="{00000000-0005-0000-0000-0000462B0000}"/>
    <cellStyle name="Currency 5 2 3 2 2 3 2 2 2 3" xfId="12532" xr:uid="{00000000-0005-0000-0000-0000472B0000}"/>
    <cellStyle name="Currency 5 2 3 2 2 3 2 2 2 3 2" xfId="12533" xr:uid="{00000000-0005-0000-0000-0000482B0000}"/>
    <cellStyle name="Currency 5 2 3 2 2 3 2 2 2 4" xfId="12534" xr:uid="{00000000-0005-0000-0000-0000492B0000}"/>
    <cellStyle name="Currency 5 2 3 2 2 3 2 2 3" xfId="12535" xr:uid="{00000000-0005-0000-0000-00004A2B0000}"/>
    <cellStyle name="Currency 5 2 3 2 2 3 2 2 3 2" xfId="12536" xr:uid="{00000000-0005-0000-0000-00004B2B0000}"/>
    <cellStyle name="Currency 5 2 3 2 2 3 2 2 3 2 2" xfId="12537" xr:uid="{00000000-0005-0000-0000-00004C2B0000}"/>
    <cellStyle name="Currency 5 2 3 2 2 3 2 2 3 2 2 2" xfId="12538" xr:uid="{00000000-0005-0000-0000-00004D2B0000}"/>
    <cellStyle name="Currency 5 2 3 2 2 3 2 2 3 2 3" xfId="12539" xr:uid="{00000000-0005-0000-0000-00004E2B0000}"/>
    <cellStyle name="Currency 5 2 3 2 2 3 2 2 3 3" xfId="12540" xr:uid="{00000000-0005-0000-0000-00004F2B0000}"/>
    <cellStyle name="Currency 5 2 3 2 2 3 2 2 3 3 2" xfId="12541" xr:uid="{00000000-0005-0000-0000-0000502B0000}"/>
    <cellStyle name="Currency 5 2 3 2 2 3 2 2 3 4" xfId="12542" xr:uid="{00000000-0005-0000-0000-0000512B0000}"/>
    <cellStyle name="Currency 5 2 3 2 2 3 2 2 4" xfId="12543" xr:uid="{00000000-0005-0000-0000-0000522B0000}"/>
    <cellStyle name="Currency 5 2 3 2 2 3 2 2 4 2" xfId="12544" xr:uid="{00000000-0005-0000-0000-0000532B0000}"/>
    <cellStyle name="Currency 5 2 3 2 2 3 2 2 4 2 2" xfId="12545" xr:uid="{00000000-0005-0000-0000-0000542B0000}"/>
    <cellStyle name="Currency 5 2 3 2 2 3 2 2 4 3" xfId="12546" xr:uid="{00000000-0005-0000-0000-0000552B0000}"/>
    <cellStyle name="Currency 5 2 3 2 2 3 2 2 5" xfId="12547" xr:uid="{00000000-0005-0000-0000-0000562B0000}"/>
    <cellStyle name="Currency 5 2 3 2 2 3 2 2 5 2" xfId="12548" xr:uid="{00000000-0005-0000-0000-0000572B0000}"/>
    <cellStyle name="Currency 5 2 3 2 2 3 2 2 6" xfId="12549" xr:uid="{00000000-0005-0000-0000-0000582B0000}"/>
    <cellStyle name="Currency 5 2 3 2 2 3 2 2 7" xfId="12526" xr:uid="{00000000-0005-0000-0000-0000592B0000}"/>
    <cellStyle name="Currency 5 2 3 2 2 3 2 3" xfId="12550" xr:uid="{00000000-0005-0000-0000-00005A2B0000}"/>
    <cellStyle name="Currency 5 2 3 2 2 3 2 3 2" xfId="12551" xr:uid="{00000000-0005-0000-0000-00005B2B0000}"/>
    <cellStyle name="Currency 5 2 3 2 2 3 2 3 2 2" xfId="12552" xr:uid="{00000000-0005-0000-0000-00005C2B0000}"/>
    <cellStyle name="Currency 5 2 3 2 2 3 2 3 2 2 2" xfId="12553" xr:uid="{00000000-0005-0000-0000-00005D2B0000}"/>
    <cellStyle name="Currency 5 2 3 2 2 3 2 3 2 2 2 2" xfId="12554" xr:uid="{00000000-0005-0000-0000-00005E2B0000}"/>
    <cellStyle name="Currency 5 2 3 2 2 3 2 3 2 2 3" xfId="12555" xr:uid="{00000000-0005-0000-0000-00005F2B0000}"/>
    <cellStyle name="Currency 5 2 3 2 2 3 2 3 2 3" xfId="12556" xr:uid="{00000000-0005-0000-0000-0000602B0000}"/>
    <cellStyle name="Currency 5 2 3 2 2 3 2 3 2 3 2" xfId="12557" xr:uid="{00000000-0005-0000-0000-0000612B0000}"/>
    <cellStyle name="Currency 5 2 3 2 2 3 2 3 2 4" xfId="12558" xr:uid="{00000000-0005-0000-0000-0000622B0000}"/>
    <cellStyle name="Currency 5 2 3 2 2 3 2 3 3" xfId="12559" xr:uid="{00000000-0005-0000-0000-0000632B0000}"/>
    <cellStyle name="Currency 5 2 3 2 2 3 2 3 3 2" xfId="12560" xr:uid="{00000000-0005-0000-0000-0000642B0000}"/>
    <cellStyle name="Currency 5 2 3 2 2 3 2 3 3 2 2" xfId="12561" xr:uid="{00000000-0005-0000-0000-0000652B0000}"/>
    <cellStyle name="Currency 5 2 3 2 2 3 2 3 3 3" xfId="12562" xr:uid="{00000000-0005-0000-0000-0000662B0000}"/>
    <cellStyle name="Currency 5 2 3 2 2 3 2 3 4" xfId="12563" xr:uid="{00000000-0005-0000-0000-0000672B0000}"/>
    <cellStyle name="Currency 5 2 3 2 2 3 2 3 4 2" xfId="12564" xr:uid="{00000000-0005-0000-0000-0000682B0000}"/>
    <cellStyle name="Currency 5 2 3 2 2 3 2 3 5" xfId="12565" xr:uid="{00000000-0005-0000-0000-0000692B0000}"/>
    <cellStyle name="Currency 5 2 3 2 2 3 2 4" xfId="12566" xr:uid="{00000000-0005-0000-0000-00006A2B0000}"/>
    <cellStyle name="Currency 5 2 3 2 2 3 2 4 2" xfId="12567" xr:uid="{00000000-0005-0000-0000-00006B2B0000}"/>
    <cellStyle name="Currency 5 2 3 2 2 3 2 4 2 2" xfId="12568" xr:uid="{00000000-0005-0000-0000-00006C2B0000}"/>
    <cellStyle name="Currency 5 2 3 2 2 3 2 4 2 2 2" xfId="12569" xr:uid="{00000000-0005-0000-0000-00006D2B0000}"/>
    <cellStyle name="Currency 5 2 3 2 2 3 2 4 2 2 2 2" xfId="12570" xr:uid="{00000000-0005-0000-0000-00006E2B0000}"/>
    <cellStyle name="Currency 5 2 3 2 2 3 2 4 2 2 3" xfId="12571" xr:uid="{00000000-0005-0000-0000-00006F2B0000}"/>
    <cellStyle name="Currency 5 2 3 2 2 3 2 4 2 3" xfId="12572" xr:uid="{00000000-0005-0000-0000-0000702B0000}"/>
    <cellStyle name="Currency 5 2 3 2 2 3 2 4 2 3 2" xfId="12573" xr:uid="{00000000-0005-0000-0000-0000712B0000}"/>
    <cellStyle name="Currency 5 2 3 2 2 3 2 4 2 4" xfId="12574" xr:uid="{00000000-0005-0000-0000-0000722B0000}"/>
    <cellStyle name="Currency 5 2 3 2 2 3 2 4 3" xfId="12575" xr:uid="{00000000-0005-0000-0000-0000732B0000}"/>
    <cellStyle name="Currency 5 2 3 2 2 3 2 4 3 2" xfId="12576" xr:uid="{00000000-0005-0000-0000-0000742B0000}"/>
    <cellStyle name="Currency 5 2 3 2 2 3 2 4 3 2 2" xfId="12577" xr:uid="{00000000-0005-0000-0000-0000752B0000}"/>
    <cellStyle name="Currency 5 2 3 2 2 3 2 4 3 3" xfId="12578" xr:uid="{00000000-0005-0000-0000-0000762B0000}"/>
    <cellStyle name="Currency 5 2 3 2 2 3 2 4 4" xfId="12579" xr:uid="{00000000-0005-0000-0000-0000772B0000}"/>
    <cellStyle name="Currency 5 2 3 2 2 3 2 4 4 2" xfId="12580" xr:uid="{00000000-0005-0000-0000-0000782B0000}"/>
    <cellStyle name="Currency 5 2 3 2 2 3 2 4 5" xfId="12581" xr:uid="{00000000-0005-0000-0000-0000792B0000}"/>
    <cellStyle name="Currency 5 2 3 2 2 3 2 5" xfId="12582" xr:uid="{00000000-0005-0000-0000-00007A2B0000}"/>
    <cellStyle name="Currency 5 2 3 2 2 3 2 5 2" xfId="12583" xr:uid="{00000000-0005-0000-0000-00007B2B0000}"/>
    <cellStyle name="Currency 5 2 3 2 2 3 2 5 2 2" xfId="12584" xr:uid="{00000000-0005-0000-0000-00007C2B0000}"/>
    <cellStyle name="Currency 5 2 3 2 2 3 2 5 2 2 2" xfId="12585" xr:uid="{00000000-0005-0000-0000-00007D2B0000}"/>
    <cellStyle name="Currency 5 2 3 2 2 3 2 5 2 3" xfId="12586" xr:uid="{00000000-0005-0000-0000-00007E2B0000}"/>
    <cellStyle name="Currency 5 2 3 2 2 3 2 5 3" xfId="12587" xr:uid="{00000000-0005-0000-0000-00007F2B0000}"/>
    <cellStyle name="Currency 5 2 3 2 2 3 2 5 3 2" xfId="12588" xr:uid="{00000000-0005-0000-0000-0000802B0000}"/>
    <cellStyle name="Currency 5 2 3 2 2 3 2 5 4" xfId="12589" xr:uid="{00000000-0005-0000-0000-0000812B0000}"/>
    <cellStyle name="Currency 5 2 3 2 2 3 2 6" xfId="12590" xr:uid="{00000000-0005-0000-0000-0000822B0000}"/>
    <cellStyle name="Currency 5 2 3 2 2 3 2 6 2" xfId="12591" xr:uid="{00000000-0005-0000-0000-0000832B0000}"/>
    <cellStyle name="Currency 5 2 3 2 2 3 2 6 2 2" xfId="12592" xr:uid="{00000000-0005-0000-0000-0000842B0000}"/>
    <cellStyle name="Currency 5 2 3 2 2 3 2 6 2 2 2" xfId="12593" xr:uid="{00000000-0005-0000-0000-0000852B0000}"/>
    <cellStyle name="Currency 5 2 3 2 2 3 2 6 2 3" xfId="12594" xr:uid="{00000000-0005-0000-0000-0000862B0000}"/>
    <cellStyle name="Currency 5 2 3 2 2 3 2 6 3" xfId="12595" xr:uid="{00000000-0005-0000-0000-0000872B0000}"/>
    <cellStyle name="Currency 5 2 3 2 2 3 2 6 3 2" xfId="12596" xr:uid="{00000000-0005-0000-0000-0000882B0000}"/>
    <cellStyle name="Currency 5 2 3 2 2 3 2 6 4" xfId="12597" xr:uid="{00000000-0005-0000-0000-0000892B0000}"/>
    <cellStyle name="Currency 5 2 3 2 2 3 2 7" xfId="12598" xr:uid="{00000000-0005-0000-0000-00008A2B0000}"/>
    <cellStyle name="Currency 5 2 3 2 2 3 2 7 2" xfId="12599" xr:uid="{00000000-0005-0000-0000-00008B2B0000}"/>
    <cellStyle name="Currency 5 2 3 2 2 3 2 7 2 2" xfId="12600" xr:uid="{00000000-0005-0000-0000-00008C2B0000}"/>
    <cellStyle name="Currency 5 2 3 2 2 3 2 7 2 2 2" xfId="12601" xr:uid="{00000000-0005-0000-0000-00008D2B0000}"/>
    <cellStyle name="Currency 5 2 3 2 2 3 2 7 2 3" xfId="12602" xr:uid="{00000000-0005-0000-0000-00008E2B0000}"/>
    <cellStyle name="Currency 5 2 3 2 2 3 2 7 3" xfId="12603" xr:uid="{00000000-0005-0000-0000-00008F2B0000}"/>
    <cellStyle name="Currency 5 2 3 2 2 3 2 7 3 2" xfId="12604" xr:uid="{00000000-0005-0000-0000-0000902B0000}"/>
    <cellStyle name="Currency 5 2 3 2 2 3 2 7 4" xfId="12605" xr:uid="{00000000-0005-0000-0000-0000912B0000}"/>
    <cellStyle name="Currency 5 2 3 2 2 3 2 8" xfId="12606" xr:uid="{00000000-0005-0000-0000-0000922B0000}"/>
    <cellStyle name="Currency 5 2 3 2 2 3 2 8 2" xfId="12607" xr:uid="{00000000-0005-0000-0000-0000932B0000}"/>
    <cellStyle name="Currency 5 2 3 2 2 3 2 8 2 2" xfId="12608" xr:uid="{00000000-0005-0000-0000-0000942B0000}"/>
    <cellStyle name="Currency 5 2 3 2 2 3 2 8 3" xfId="12609" xr:uid="{00000000-0005-0000-0000-0000952B0000}"/>
    <cellStyle name="Currency 5 2 3 2 2 3 2 9" xfId="12610" xr:uid="{00000000-0005-0000-0000-0000962B0000}"/>
    <cellStyle name="Currency 5 2 3 2 2 3 2 9 2" xfId="12611" xr:uid="{00000000-0005-0000-0000-0000972B0000}"/>
    <cellStyle name="Currency 5 2 3 2 2 3 3" xfId="1303" xr:uid="{00000000-0005-0000-0000-0000982B0000}"/>
    <cellStyle name="Currency 5 2 3 2 2 3 3 2" xfId="12613" xr:uid="{00000000-0005-0000-0000-0000992B0000}"/>
    <cellStyle name="Currency 5 2 3 2 2 3 3 2 2" xfId="12614" xr:uid="{00000000-0005-0000-0000-00009A2B0000}"/>
    <cellStyle name="Currency 5 2 3 2 2 3 3 2 2 2" xfId="12615" xr:uid="{00000000-0005-0000-0000-00009B2B0000}"/>
    <cellStyle name="Currency 5 2 3 2 2 3 3 2 2 2 2" xfId="12616" xr:uid="{00000000-0005-0000-0000-00009C2B0000}"/>
    <cellStyle name="Currency 5 2 3 2 2 3 3 2 2 3" xfId="12617" xr:uid="{00000000-0005-0000-0000-00009D2B0000}"/>
    <cellStyle name="Currency 5 2 3 2 2 3 3 2 3" xfId="12618" xr:uid="{00000000-0005-0000-0000-00009E2B0000}"/>
    <cellStyle name="Currency 5 2 3 2 2 3 3 2 3 2" xfId="12619" xr:uid="{00000000-0005-0000-0000-00009F2B0000}"/>
    <cellStyle name="Currency 5 2 3 2 2 3 3 2 4" xfId="12620" xr:uid="{00000000-0005-0000-0000-0000A02B0000}"/>
    <cellStyle name="Currency 5 2 3 2 2 3 3 3" xfId="12621" xr:uid="{00000000-0005-0000-0000-0000A12B0000}"/>
    <cellStyle name="Currency 5 2 3 2 2 3 3 3 2" xfId="12622" xr:uid="{00000000-0005-0000-0000-0000A22B0000}"/>
    <cellStyle name="Currency 5 2 3 2 2 3 3 3 2 2" xfId="12623" xr:uid="{00000000-0005-0000-0000-0000A32B0000}"/>
    <cellStyle name="Currency 5 2 3 2 2 3 3 3 2 2 2" xfId="12624" xr:uid="{00000000-0005-0000-0000-0000A42B0000}"/>
    <cellStyle name="Currency 5 2 3 2 2 3 3 3 2 3" xfId="12625" xr:uid="{00000000-0005-0000-0000-0000A52B0000}"/>
    <cellStyle name="Currency 5 2 3 2 2 3 3 3 3" xfId="12626" xr:uid="{00000000-0005-0000-0000-0000A62B0000}"/>
    <cellStyle name="Currency 5 2 3 2 2 3 3 3 3 2" xfId="12627" xr:uid="{00000000-0005-0000-0000-0000A72B0000}"/>
    <cellStyle name="Currency 5 2 3 2 2 3 3 3 4" xfId="12628" xr:uid="{00000000-0005-0000-0000-0000A82B0000}"/>
    <cellStyle name="Currency 5 2 3 2 2 3 3 4" xfId="12629" xr:uid="{00000000-0005-0000-0000-0000A92B0000}"/>
    <cellStyle name="Currency 5 2 3 2 2 3 3 4 2" xfId="12630" xr:uid="{00000000-0005-0000-0000-0000AA2B0000}"/>
    <cellStyle name="Currency 5 2 3 2 2 3 3 4 2 2" xfId="12631" xr:uid="{00000000-0005-0000-0000-0000AB2B0000}"/>
    <cellStyle name="Currency 5 2 3 2 2 3 3 4 3" xfId="12632" xr:uid="{00000000-0005-0000-0000-0000AC2B0000}"/>
    <cellStyle name="Currency 5 2 3 2 2 3 3 5" xfId="12633" xr:uid="{00000000-0005-0000-0000-0000AD2B0000}"/>
    <cellStyle name="Currency 5 2 3 2 2 3 3 5 2" xfId="12634" xr:uid="{00000000-0005-0000-0000-0000AE2B0000}"/>
    <cellStyle name="Currency 5 2 3 2 2 3 3 6" xfId="12635" xr:uid="{00000000-0005-0000-0000-0000AF2B0000}"/>
    <cellStyle name="Currency 5 2 3 2 2 3 3 7" xfId="12612" xr:uid="{00000000-0005-0000-0000-0000B02B0000}"/>
    <cellStyle name="Currency 5 2 3 2 2 3 4" xfId="12636" xr:uid="{00000000-0005-0000-0000-0000B12B0000}"/>
    <cellStyle name="Currency 5 2 3 2 2 3 4 2" xfId="12637" xr:uid="{00000000-0005-0000-0000-0000B22B0000}"/>
    <cellStyle name="Currency 5 2 3 2 2 3 4 2 2" xfId="12638" xr:uid="{00000000-0005-0000-0000-0000B32B0000}"/>
    <cellStyle name="Currency 5 2 3 2 2 3 4 2 2 2" xfId="12639" xr:uid="{00000000-0005-0000-0000-0000B42B0000}"/>
    <cellStyle name="Currency 5 2 3 2 2 3 4 2 2 2 2" xfId="12640" xr:uid="{00000000-0005-0000-0000-0000B52B0000}"/>
    <cellStyle name="Currency 5 2 3 2 2 3 4 2 2 3" xfId="12641" xr:uid="{00000000-0005-0000-0000-0000B62B0000}"/>
    <cellStyle name="Currency 5 2 3 2 2 3 4 2 3" xfId="12642" xr:uid="{00000000-0005-0000-0000-0000B72B0000}"/>
    <cellStyle name="Currency 5 2 3 2 2 3 4 2 3 2" xfId="12643" xr:uid="{00000000-0005-0000-0000-0000B82B0000}"/>
    <cellStyle name="Currency 5 2 3 2 2 3 4 2 4" xfId="12644" xr:uid="{00000000-0005-0000-0000-0000B92B0000}"/>
    <cellStyle name="Currency 5 2 3 2 2 3 4 3" xfId="12645" xr:uid="{00000000-0005-0000-0000-0000BA2B0000}"/>
    <cellStyle name="Currency 5 2 3 2 2 3 4 3 2" xfId="12646" xr:uid="{00000000-0005-0000-0000-0000BB2B0000}"/>
    <cellStyle name="Currency 5 2 3 2 2 3 4 3 2 2" xfId="12647" xr:uid="{00000000-0005-0000-0000-0000BC2B0000}"/>
    <cellStyle name="Currency 5 2 3 2 2 3 4 3 3" xfId="12648" xr:uid="{00000000-0005-0000-0000-0000BD2B0000}"/>
    <cellStyle name="Currency 5 2 3 2 2 3 4 4" xfId="12649" xr:uid="{00000000-0005-0000-0000-0000BE2B0000}"/>
    <cellStyle name="Currency 5 2 3 2 2 3 4 4 2" xfId="12650" xr:uid="{00000000-0005-0000-0000-0000BF2B0000}"/>
    <cellStyle name="Currency 5 2 3 2 2 3 4 5" xfId="12651" xr:uid="{00000000-0005-0000-0000-0000C02B0000}"/>
    <cellStyle name="Currency 5 2 3 2 2 3 5" xfId="12652" xr:uid="{00000000-0005-0000-0000-0000C12B0000}"/>
    <cellStyle name="Currency 5 2 3 2 2 3 5 2" xfId="12653" xr:uid="{00000000-0005-0000-0000-0000C22B0000}"/>
    <cellStyle name="Currency 5 2 3 2 2 3 5 2 2" xfId="12654" xr:uid="{00000000-0005-0000-0000-0000C32B0000}"/>
    <cellStyle name="Currency 5 2 3 2 2 3 5 2 2 2" xfId="12655" xr:uid="{00000000-0005-0000-0000-0000C42B0000}"/>
    <cellStyle name="Currency 5 2 3 2 2 3 5 2 2 2 2" xfId="12656" xr:uid="{00000000-0005-0000-0000-0000C52B0000}"/>
    <cellStyle name="Currency 5 2 3 2 2 3 5 2 2 3" xfId="12657" xr:uid="{00000000-0005-0000-0000-0000C62B0000}"/>
    <cellStyle name="Currency 5 2 3 2 2 3 5 2 3" xfId="12658" xr:uid="{00000000-0005-0000-0000-0000C72B0000}"/>
    <cellStyle name="Currency 5 2 3 2 2 3 5 2 3 2" xfId="12659" xr:uid="{00000000-0005-0000-0000-0000C82B0000}"/>
    <cellStyle name="Currency 5 2 3 2 2 3 5 2 4" xfId="12660" xr:uid="{00000000-0005-0000-0000-0000C92B0000}"/>
    <cellStyle name="Currency 5 2 3 2 2 3 5 3" xfId="12661" xr:uid="{00000000-0005-0000-0000-0000CA2B0000}"/>
    <cellStyle name="Currency 5 2 3 2 2 3 5 3 2" xfId="12662" xr:uid="{00000000-0005-0000-0000-0000CB2B0000}"/>
    <cellStyle name="Currency 5 2 3 2 2 3 5 3 2 2" xfId="12663" xr:uid="{00000000-0005-0000-0000-0000CC2B0000}"/>
    <cellStyle name="Currency 5 2 3 2 2 3 5 3 3" xfId="12664" xr:uid="{00000000-0005-0000-0000-0000CD2B0000}"/>
    <cellStyle name="Currency 5 2 3 2 2 3 5 4" xfId="12665" xr:uid="{00000000-0005-0000-0000-0000CE2B0000}"/>
    <cellStyle name="Currency 5 2 3 2 2 3 5 4 2" xfId="12666" xr:uid="{00000000-0005-0000-0000-0000CF2B0000}"/>
    <cellStyle name="Currency 5 2 3 2 2 3 5 5" xfId="12667" xr:uid="{00000000-0005-0000-0000-0000D02B0000}"/>
    <cellStyle name="Currency 5 2 3 2 2 3 6" xfId="12668" xr:uid="{00000000-0005-0000-0000-0000D12B0000}"/>
    <cellStyle name="Currency 5 2 3 2 2 3 6 2" xfId="12669" xr:uid="{00000000-0005-0000-0000-0000D22B0000}"/>
    <cellStyle name="Currency 5 2 3 2 2 3 6 2 2" xfId="12670" xr:uid="{00000000-0005-0000-0000-0000D32B0000}"/>
    <cellStyle name="Currency 5 2 3 2 2 3 6 2 2 2" xfId="12671" xr:uid="{00000000-0005-0000-0000-0000D42B0000}"/>
    <cellStyle name="Currency 5 2 3 2 2 3 6 2 3" xfId="12672" xr:uid="{00000000-0005-0000-0000-0000D52B0000}"/>
    <cellStyle name="Currency 5 2 3 2 2 3 6 3" xfId="12673" xr:uid="{00000000-0005-0000-0000-0000D62B0000}"/>
    <cellStyle name="Currency 5 2 3 2 2 3 6 3 2" xfId="12674" xr:uid="{00000000-0005-0000-0000-0000D72B0000}"/>
    <cellStyle name="Currency 5 2 3 2 2 3 6 4" xfId="12675" xr:uid="{00000000-0005-0000-0000-0000D82B0000}"/>
    <cellStyle name="Currency 5 2 3 2 2 3 7" xfId="12676" xr:uid="{00000000-0005-0000-0000-0000D92B0000}"/>
    <cellStyle name="Currency 5 2 3 2 2 3 7 2" xfId="12677" xr:uid="{00000000-0005-0000-0000-0000DA2B0000}"/>
    <cellStyle name="Currency 5 2 3 2 2 3 7 2 2" xfId="12678" xr:uid="{00000000-0005-0000-0000-0000DB2B0000}"/>
    <cellStyle name="Currency 5 2 3 2 2 3 7 2 2 2" xfId="12679" xr:uid="{00000000-0005-0000-0000-0000DC2B0000}"/>
    <cellStyle name="Currency 5 2 3 2 2 3 7 2 3" xfId="12680" xr:uid="{00000000-0005-0000-0000-0000DD2B0000}"/>
    <cellStyle name="Currency 5 2 3 2 2 3 7 3" xfId="12681" xr:uid="{00000000-0005-0000-0000-0000DE2B0000}"/>
    <cellStyle name="Currency 5 2 3 2 2 3 7 3 2" xfId="12682" xr:uid="{00000000-0005-0000-0000-0000DF2B0000}"/>
    <cellStyle name="Currency 5 2 3 2 2 3 7 4" xfId="12683" xr:uid="{00000000-0005-0000-0000-0000E02B0000}"/>
    <cellStyle name="Currency 5 2 3 2 2 3 8" xfId="12684" xr:uid="{00000000-0005-0000-0000-0000E12B0000}"/>
    <cellStyle name="Currency 5 2 3 2 2 3 8 2" xfId="12685" xr:uid="{00000000-0005-0000-0000-0000E22B0000}"/>
    <cellStyle name="Currency 5 2 3 2 2 3 8 2 2" xfId="12686" xr:uid="{00000000-0005-0000-0000-0000E32B0000}"/>
    <cellStyle name="Currency 5 2 3 2 2 3 8 2 2 2" xfId="12687" xr:uid="{00000000-0005-0000-0000-0000E42B0000}"/>
    <cellStyle name="Currency 5 2 3 2 2 3 8 2 3" xfId="12688" xr:uid="{00000000-0005-0000-0000-0000E52B0000}"/>
    <cellStyle name="Currency 5 2 3 2 2 3 8 3" xfId="12689" xr:uid="{00000000-0005-0000-0000-0000E62B0000}"/>
    <cellStyle name="Currency 5 2 3 2 2 3 8 3 2" xfId="12690" xr:uid="{00000000-0005-0000-0000-0000E72B0000}"/>
    <cellStyle name="Currency 5 2 3 2 2 3 8 4" xfId="12691" xr:uid="{00000000-0005-0000-0000-0000E82B0000}"/>
    <cellStyle name="Currency 5 2 3 2 2 3 9" xfId="12692" xr:uid="{00000000-0005-0000-0000-0000E92B0000}"/>
    <cellStyle name="Currency 5 2 3 2 2 3 9 2" xfId="12693" xr:uid="{00000000-0005-0000-0000-0000EA2B0000}"/>
    <cellStyle name="Currency 5 2 3 2 2 3 9 2 2" xfId="12694" xr:uid="{00000000-0005-0000-0000-0000EB2B0000}"/>
    <cellStyle name="Currency 5 2 3 2 2 3 9 3" xfId="12695" xr:uid="{00000000-0005-0000-0000-0000EC2B0000}"/>
    <cellStyle name="Currency 5 2 3 2 2 4" xfId="322" xr:uid="{00000000-0005-0000-0000-0000ED2B0000}"/>
    <cellStyle name="Currency 5 2 3 2 2 5" xfId="884" xr:uid="{00000000-0005-0000-0000-0000EE2B0000}"/>
    <cellStyle name="Currency 5 2 3 2 2 5 10" xfId="12697" xr:uid="{00000000-0005-0000-0000-0000EF2B0000}"/>
    <cellStyle name="Currency 5 2 3 2 2 5 11" xfId="12696" xr:uid="{00000000-0005-0000-0000-0000F02B0000}"/>
    <cellStyle name="Currency 5 2 3 2 2 5 2" xfId="1625" xr:uid="{00000000-0005-0000-0000-0000F12B0000}"/>
    <cellStyle name="Currency 5 2 3 2 2 5 2 2" xfId="12699" xr:uid="{00000000-0005-0000-0000-0000F22B0000}"/>
    <cellStyle name="Currency 5 2 3 2 2 5 2 2 2" xfId="12700" xr:uid="{00000000-0005-0000-0000-0000F32B0000}"/>
    <cellStyle name="Currency 5 2 3 2 2 5 2 2 2 2" xfId="12701" xr:uid="{00000000-0005-0000-0000-0000F42B0000}"/>
    <cellStyle name="Currency 5 2 3 2 2 5 2 2 2 2 2" xfId="12702" xr:uid="{00000000-0005-0000-0000-0000F52B0000}"/>
    <cellStyle name="Currency 5 2 3 2 2 5 2 2 2 3" xfId="12703" xr:uid="{00000000-0005-0000-0000-0000F62B0000}"/>
    <cellStyle name="Currency 5 2 3 2 2 5 2 2 3" xfId="12704" xr:uid="{00000000-0005-0000-0000-0000F72B0000}"/>
    <cellStyle name="Currency 5 2 3 2 2 5 2 2 3 2" xfId="12705" xr:uid="{00000000-0005-0000-0000-0000F82B0000}"/>
    <cellStyle name="Currency 5 2 3 2 2 5 2 2 4" xfId="12706" xr:uid="{00000000-0005-0000-0000-0000F92B0000}"/>
    <cellStyle name="Currency 5 2 3 2 2 5 2 3" xfId="12707" xr:uid="{00000000-0005-0000-0000-0000FA2B0000}"/>
    <cellStyle name="Currency 5 2 3 2 2 5 2 3 2" xfId="12708" xr:uid="{00000000-0005-0000-0000-0000FB2B0000}"/>
    <cellStyle name="Currency 5 2 3 2 2 5 2 3 2 2" xfId="12709" xr:uid="{00000000-0005-0000-0000-0000FC2B0000}"/>
    <cellStyle name="Currency 5 2 3 2 2 5 2 3 2 2 2" xfId="12710" xr:uid="{00000000-0005-0000-0000-0000FD2B0000}"/>
    <cellStyle name="Currency 5 2 3 2 2 5 2 3 2 3" xfId="12711" xr:uid="{00000000-0005-0000-0000-0000FE2B0000}"/>
    <cellStyle name="Currency 5 2 3 2 2 5 2 3 3" xfId="12712" xr:uid="{00000000-0005-0000-0000-0000FF2B0000}"/>
    <cellStyle name="Currency 5 2 3 2 2 5 2 3 3 2" xfId="12713" xr:uid="{00000000-0005-0000-0000-0000002C0000}"/>
    <cellStyle name="Currency 5 2 3 2 2 5 2 3 4" xfId="12714" xr:uid="{00000000-0005-0000-0000-0000012C0000}"/>
    <cellStyle name="Currency 5 2 3 2 2 5 2 4" xfId="12715" xr:uid="{00000000-0005-0000-0000-0000022C0000}"/>
    <cellStyle name="Currency 5 2 3 2 2 5 2 4 2" xfId="12716" xr:uid="{00000000-0005-0000-0000-0000032C0000}"/>
    <cellStyle name="Currency 5 2 3 2 2 5 2 4 2 2" xfId="12717" xr:uid="{00000000-0005-0000-0000-0000042C0000}"/>
    <cellStyle name="Currency 5 2 3 2 2 5 2 4 3" xfId="12718" xr:uid="{00000000-0005-0000-0000-0000052C0000}"/>
    <cellStyle name="Currency 5 2 3 2 2 5 2 5" xfId="12719" xr:uid="{00000000-0005-0000-0000-0000062C0000}"/>
    <cellStyle name="Currency 5 2 3 2 2 5 2 5 2" xfId="12720" xr:uid="{00000000-0005-0000-0000-0000072C0000}"/>
    <cellStyle name="Currency 5 2 3 2 2 5 2 6" xfId="12721" xr:uid="{00000000-0005-0000-0000-0000082C0000}"/>
    <cellStyle name="Currency 5 2 3 2 2 5 2 7" xfId="12698" xr:uid="{00000000-0005-0000-0000-0000092C0000}"/>
    <cellStyle name="Currency 5 2 3 2 2 5 3" xfId="12722" xr:uid="{00000000-0005-0000-0000-00000A2C0000}"/>
    <cellStyle name="Currency 5 2 3 2 2 5 3 2" xfId="12723" xr:uid="{00000000-0005-0000-0000-00000B2C0000}"/>
    <cellStyle name="Currency 5 2 3 2 2 5 3 2 2" xfId="12724" xr:uid="{00000000-0005-0000-0000-00000C2C0000}"/>
    <cellStyle name="Currency 5 2 3 2 2 5 3 2 2 2" xfId="12725" xr:uid="{00000000-0005-0000-0000-00000D2C0000}"/>
    <cellStyle name="Currency 5 2 3 2 2 5 3 2 2 2 2" xfId="12726" xr:uid="{00000000-0005-0000-0000-00000E2C0000}"/>
    <cellStyle name="Currency 5 2 3 2 2 5 3 2 2 3" xfId="12727" xr:uid="{00000000-0005-0000-0000-00000F2C0000}"/>
    <cellStyle name="Currency 5 2 3 2 2 5 3 2 3" xfId="12728" xr:uid="{00000000-0005-0000-0000-0000102C0000}"/>
    <cellStyle name="Currency 5 2 3 2 2 5 3 2 3 2" xfId="12729" xr:uid="{00000000-0005-0000-0000-0000112C0000}"/>
    <cellStyle name="Currency 5 2 3 2 2 5 3 2 4" xfId="12730" xr:uid="{00000000-0005-0000-0000-0000122C0000}"/>
    <cellStyle name="Currency 5 2 3 2 2 5 3 3" xfId="12731" xr:uid="{00000000-0005-0000-0000-0000132C0000}"/>
    <cellStyle name="Currency 5 2 3 2 2 5 3 3 2" xfId="12732" xr:uid="{00000000-0005-0000-0000-0000142C0000}"/>
    <cellStyle name="Currency 5 2 3 2 2 5 3 3 2 2" xfId="12733" xr:uid="{00000000-0005-0000-0000-0000152C0000}"/>
    <cellStyle name="Currency 5 2 3 2 2 5 3 3 3" xfId="12734" xr:uid="{00000000-0005-0000-0000-0000162C0000}"/>
    <cellStyle name="Currency 5 2 3 2 2 5 3 4" xfId="12735" xr:uid="{00000000-0005-0000-0000-0000172C0000}"/>
    <cellStyle name="Currency 5 2 3 2 2 5 3 4 2" xfId="12736" xr:uid="{00000000-0005-0000-0000-0000182C0000}"/>
    <cellStyle name="Currency 5 2 3 2 2 5 3 5" xfId="12737" xr:uid="{00000000-0005-0000-0000-0000192C0000}"/>
    <cellStyle name="Currency 5 2 3 2 2 5 4" xfId="12738" xr:uid="{00000000-0005-0000-0000-00001A2C0000}"/>
    <cellStyle name="Currency 5 2 3 2 2 5 4 2" xfId="12739" xr:uid="{00000000-0005-0000-0000-00001B2C0000}"/>
    <cellStyle name="Currency 5 2 3 2 2 5 4 2 2" xfId="12740" xr:uid="{00000000-0005-0000-0000-00001C2C0000}"/>
    <cellStyle name="Currency 5 2 3 2 2 5 4 2 2 2" xfId="12741" xr:uid="{00000000-0005-0000-0000-00001D2C0000}"/>
    <cellStyle name="Currency 5 2 3 2 2 5 4 2 2 2 2" xfId="12742" xr:uid="{00000000-0005-0000-0000-00001E2C0000}"/>
    <cellStyle name="Currency 5 2 3 2 2 5 4 2 2 3" xfId="12743" xr:uid="{00000000-0005-0000-0000-00001F2C0000}"/>
    <cellStyle name="Currency 5 2 3 2 2 5 4 2 3" xfId="12744" xr:uid="{00000000-0005-0000-0000-0000202C0000}"/>
    <cellStyle name="Currency 5 2 3 2 2 5 4 2 3 2" xfId="12745" xr:uid="{00000000-0005-0000-0000-0000212C0000}"/>
    <cellStyle name="Currency 5 2 3 2 2 5 4 2 4" xfId="12746" xr:uid="{00000000-0005-0000-0000-0000222C0000}"/>
    <cellStyle name="Currency 5 2 3 2 2 5 4 3" xfId="12747" xr:uid="{00000000-0005-0000-0000-0000232C0000}"/>
    <cellStyle name="Currency 5 2 3 2 2 5 4 3 2" xfId="12748" xr:uid="{00000000-0005-0000-0000-0000242C0000}"/>
    <cellStyle name="Currency 5 2 3 2 2 5 4 3 2 2" xfId="12749" xr:uid="{00000000-0005-0000-0000-0000252C0000}"/>
    <cellStyle name="Currency 5 2 3 2 2 5 4 3 3" xfId="12750" xr:uid="{00000000-0005-0000-0000-0000262C0000}"/>
    <cellStyle name="Currency 5 2 3 2 2 5 4 4" xfId="12751" xr:uid="{00000000-0005-0000-0000-0000272C0000}"/>
    <cellStyle name="Currency 5 2 3 2 2 5 4 4 2" xfId="12752" xr:uid="{00000000-0005-0000-0000-0000282C0000}"/>
    <cellStyle name="Currency 5 2 3 2 2 5 4 5" xfId="12753" xr:uid="{00000000-0005-0000-0000-0000292C0000}"/>
    <cellStyle name="Currency 5 2 3 2 2 5 5" xfId="12754" xr:uid="{00000000-0005-0000-0000-00002A2C0000}"/>
    <cellStyle name="Currency 5 2 3 2 2 5 5 2" xfId="12755" xr:uid="{00000000-0005-0000-0000-00002B2C0000}"/>
    <cellStyle name="Currency 5 2 3 2 2 5 5 2 2" xfId="12756" xr:uid="{00000000-0005-0000-0000-00002C2C0000}"/>
    <cellStyle name="Currency 5 2 3 2 2 5 5 2 2 2" xfId="12757" xr:uid="{00000000-0005-0000-0000-00002D2C0000}"/>
    <cellStyle name="Currency 5 2 3 2 2 5 5 2 3" xfId="12758" xr:uid="{00000000-0005-0000-0000-00002E2C0000}"/>
    <cellStyle name="Currency 5 2 3 2 2 5 5 3" xfId="12759" xr:uid="{00000000-0005-0000-0000-00002F2C0000}"/>
    <cellStyle name="Currency 5 2 3 2 2 5 5 3 2" xfId="12760" xr:uid="{00000000-0005-0000-0000-0000302C0000}"/>
    <cellStyle name="Currency 5 2 3 2 2 5 5 4" xfId="12761" xr:uid="{00000000-0005-0000-0000-0000312C0000}"/>
    <cellStyle name="Currency 5 2 3 2 2 5 6" xfId="12762" xr:uid="{00000000-0005-0000-0000-0000322C0000}"/>
    <cellStyle name="Currency 5 2 3 2 2 5 6 2" xfId="12763" xr:uid="{00000000-0005-0000-0000-0000332C0000}"/>
    <cellStyle name="Currency 5 2 3 2 2 5 6 2 2" xfId="12764" xr:uid="{00000000-0005-0000-0000-0000342C0000}"/>
    <cellStyle name="Currency 5 2 3 2 2 5 6 2 2 2" xfId="12765" xr:uid="{00000000-0005-0000-0000-0000352C0000}"/>
    <cellStyle name="Currency 5 2 3 2 2 5 6 2 3" xfId="12766" xr:uid="{00000000-0005-0000-0000-0000362C0000}"/>
    <cellStyle name="Currency 5 2 3 2 2 5 6 3" xfId="12767" xr:uid="{00000000-0005-0000-0000-0000372C0000}"/>
    <cellStyle name="Currency 5 2 3 2 2 5 6 3 2" xfId="12768" xr:uid="{00000000-0005-0000-0000-0000382C0000}"/>
    <cellStyle name="Currency 5 2 3 2 2 5 6 4" xfId="12769" xr:uid="{00000000-0005-0000-0000-0000392C0000}"/>
    <cellStyle name="Currency 5 2 3 2 2 5 7" xfId="12770" xr:uid="{00000000-0005-0000-0000-00003A2C0000}"/>
    <cellStyle name="Currency 5 2 3 2 2 5 7 2" xfId="12771" xr:uid="{00000000-0005-0000-0000-00003B2C0000}"/>
    <cellStyle name="Currency 5 2 3 2 2 5 7 2 2" xfId="12772" xr:uid="{00000000-0005-0000-0000-00003C2C0000}"/>
    <cellStyle name="Currency 5 2 3 2 2 5 7 2 2 2" xfId="12773" xr:uid="{00000000-0005-0000-0000-00003D2C0000}"/>
    <cellStyle name="Currency 5 2 3 2 2 5 7 2 3" xfId="12774" xr:uid="{00000000-0005-0000-0000-00003E2C0000}"/>
    <cellStyle name="Currency 5 2 3 2 2 5 7 3" xfId="12775" xr:uid="{00000000-0005-0000-0000-00003F2C0000}"/>
    <cellStyle name="Currency 5 2 3 2 2 5 7 3 2" xfId="12776" xr:uid="{00000000-0005-0000-0000-0000402C0000}"/>
    <cellStyle name="Currency 5 2 3 2 2 5 7 4" xfId="12777" xr:uid="{00000000-0005-0000-0000-0000412C0000}"/>
    <cellStyle name="Currency 5 2 3 2 2 5 8" xfId="12778" xr:uid="{00000000-0005-0000-0000-0000422C0000}"/>
    <cellStyle name="Currency 5 2 3 2 2 5 8 2" xfId="12779" xr:uid="{00000000-0005-0000-0000-0000432C0000}"/>
    <cellStyle name="Currency 5 2 3 2 2 5 8 2 2" xfId="12780" xr:uid="{00000000-0005-0000-0000-0000442C0000}"/>
    <cellStyle name="Currency 5 2 3 2 2 5 8 3" xfId="12781" xr:uid="{00000000-0005-0000-0000-0000452C0000}"/>
    <cellStyle name="Currency 5 2 3 2 2 5 9" xfId="12782" xr:uid="{00000000-0005-0000-0000-0000462C0000}"/>
    <cellStyle name="Currency 5 2 3 2 2 5 9 2" xfId="12783" xr:uid="{00000000-0005-0000-0000-0000472C0000}"/>
    <cellStyle name="Currency 5 2 3 2 2 6" xfId="1300" xr:uid="{00000000-0005-0000-0000-0000482C0000}"/>
    <cellStyle name="Currency 5 2 3 2 2 6 2" xfId="12785" xr:uid="{00000000-0005-0000-0000-0000492C0000}"/>
    <cellStyle name="Currency 5 2 3 2 2 6 2 2" xfId="12786" xr:uid="{00000000-0005-0000-0000-00004A2C0000}"/>
    <cellStyle name="Currency 5 2 3 2 2 6 2 2 2" xfId="12787" xr:uid="{00000000-0005-0000-0000-00004B2C0000}"/>
    <cellStyle name="Currency 5 2 3 2 2 6 2 2 2 2" xfId="12788" xr:uid="{00000000-0005-0000-0000-00004C2C0000}"/>
    <cellStyle name="Currency 5 2 3 2 2 6 2 2 3" xfId="12789" xr:uid="{00000000-0005-0000-0000-00004D2C0000}"/>
    <cellStyle name="Currency 5 2 3 2 2 6 2 3" xfId="12790" xr:uid="{00000000-0005-0000-0000-00004E2C0000}"/>
    <cellStyle name="Currency 5 2 3 2 2 6 2 3 2" xfId="12791" xr:uid="{00000000-0005-0000-0000-00004F2C0000}"/>
    <cellStyle name="Currency 5 2 3 2 2 6 2 4" xfId="12792" xr:uid="{00000000-0005-0000-0000-0000502C0000}"/>
    <cellStyle name="Currency 5 2 3 2 2 6 3" xfId="12793" xr:uid="{00000000-0005-0000-0000-0000512C0000}"/>
    <cellStyle name="Currency 5 2 3 2 2 6 3 2" xfId="12794" xr:uid="{00000000-0005-0000-0000-0000522C0000}"/>
    <cellStyle name="Currency 5 2 3 2 2 6 3 2 2" xfId="12795" xr:uid="{00000000-0005-0000-0000-0000532C0000}"/>
    <cellStyle name="Currency 5 2 3 2 2 6 3 2 2 2" xfId="12796" xr:uid="{00000000-0005-0000-0000-0000542C0000}"/>
    <cellStyle name="Currency 5 2 3 2 2 6 3 2 3" xfId="12797" xr:uid="{00000000-0005-0000-0000-0000552C0000}"/>
    <cellStyle name="Currency 5 2 3 2 2 6 3 3" xfId="12798" xr:uid="{00000000-0005-0000-0000-0000562C0000}"/>
    <cellStyle name="Currency 5 2 3 2 2 6 3 3 2" xfId="12799" xr:uid="{00000000-0005-0000-0000-0000572C0000}"/>
    <cellStyle name="Currency 5 2 3 2 2 6 3 4" xfId="12800" xr:uid="{00000000-0005-0000-0000-0000582C0000}"/>
    <cellStyle name="Currency 5 2 3 2 2 6 4" xfId="12801" xr:uid="{00000000-0005-0000-0000-0000592C0000}"/>
    <cellStyle name="Currency 5 2 3 2 2 6 4 2" xfId="12802" xr:uid="{00000000-0005-0000-0000-00005A2C0000}"/>
    <cellStyle name="Currency 5 2 3 2 2 6 4 2 2" xfId="12803" xr:uid="{00000000-0005-0000-0000-00005B2C0000}"/>
    <cellStyle name="Currency 5 2 3 2 2 6 4 3" xfId="12804" xr:uid="{00000000-0005-0000-0000-00005C2C0000}"/>
    <cellStyle name="Currency 5 2 3 2 2 6 5" xfId="12805" xr:uid="{00000000-0005-0000-0000-00005D2C0000}"/>
    <cellStyle name="Currency 5 2 3 2 2 6 5 2" xfId="12806" xr:uid="{00000000-0005-0000-0000-00005E2C0000}"/>
    <cellStyle name="Currency 5 2 3 2 2 6 6" xfId="12807" xr:uid="{00000000-0005-0000-0000-00005F2C0000}"/>
    <cellStyle name="Currency 5 2 3 2 2 6 7" xfId="12784" xr:uid="{00000000-0005-0000-0000-0000602C0000}"/>
    <cellStyle name="Currency 5 2 3 2 2 7" xfId="12808" xr:uid="{00000000-0005-0000-0000-0000612C0000}"/>
    <cellStyle name="Currency 5 2 3 2 2 7 2" xfId="12809" xr:uid="{00000000-0005-0000-0000-0000622C0000}"/>
    <cellStyle name="Currency 5 2 3 2 2 7 2 2" xfId="12810" xr:uid="{00000000-0005-0000-0000-0000632C0000}"/>
    <cellStyle name="Currency 5 2 3 2 2 7 2 2 2" xfId="12811" xr:uid="{00000000-0005-0000-0000-0000642C0000}"/>
    <cellStyle name="Currency 5 2 3 2 2 7 2 2 2 2" xfId="12812" xr:uid="{00000000-0005-0000-0000-0000652C0000}"/>
    <cellStyle name="Currency 5 2 3 2 2 7 2 2 3" xfId="12813" xr:uid="{00000000-0005-0000-0000-0000662C0000}"/>
    <cellStyle name="Currency 5 2 3 2 2 7 2 3" xfId="12814" xr:uid="{00000000-0005-0000-0000-0000672C0000}"/>
    <cellStyle name="Currency 5 2 3 2 2 7 2 3 2" xfId="12815" xr:uid="{00000000-0005-0000-0000-0000682C0000}"/>
    <cellStyle name="Currency 5 2 3 2 2 7 2 4" xfId="12816" xr:uid="{00000000-0005-0000-0000-0000692C0000}"/>
    <cellStyle name="Currency 5 2 3 2 2 7 3" xfId="12817" xr:uid="{00000000-0005-0000-0000-00006A2C0000}"/>
    <cellStyle name="Currency 5 2 3 2 2 7 3 2" xfId="12818" xr:uid="{00000000-0005-0000-0000-00006B2C0000}"/>
    <cellStyle name="Currency 5 2 3 2 2 7 3 2 2" xfId="12819" xr:uid="{00000000-0005-0000-0000-00006C2C0000}"/>
    <cellStyle name="Currency 5 2 3 2 2 7 3 3" xfId="12820" xr:uid="{00000000-0005-0000-0000-00006D2C0000}"/>
    <cellStyle name="Currency 5 2 3 2 2 7 4" xfId="12821" xr:uid="{00000000-0005-0000-0000-00006E2C0000}"/>
    <cellStyle name="Currency 5 2 3 2 2 7 4 2" xfId="12822" xr:uid="{00000000-0005-0000-0000-00006F2C0000}"/>
    <cellStyle name="Currency 5 2 3 2 2 7 5" xfId="12823" xr:uid="{00000000-0005-0000-0000-0000702C0000}"/>
    <cellStyle name="Currency 5 2 3 2 2 8" xfId="12824" xr:uid="{00000000-0005-0000-0000-0000712C0000}"/>
    <cellStyle name="Currency 5 2 3 2 2 8 2" xfId="12825" xr:uid="{00000000-0005-0000-0000-0000722C0000}"/>
    <cellStyle name="Currency 5 2 3 2 2 8 2 2" xfId="12826" xr:uid="{00000000-0005-0000-0000-0000732C0000}"/>
    <cellStyle name="Currency 5 2 3 2 2 8 2 2 2" xfId="12827" xr:uid="{00000000-0005-0000-0000-0000742C0000}"/>
    <cellStyle name="Currency 5 2 3 2 2 8 2 2 2 2" xfId="12828" xr:uid="{00000000-0005-0000-0000-0000752C0000}"/>
    <cellStyle name="Currency 5 2 3 2 2 8 2 2 3" xfId="12829" xr:uid="{00000000-0005-0000-0000-0000762C0000}"/>
    <cellStyle name="Currency 5 2 3 2 2 8 2 3" xfId="12830" xr:uid="{00000000-0005-0000-0000-0000772C0000}"/>
    <cellStyle name="Currency 5 2 3 2 2 8 2 3 2" xfId="12831" xr:uid="{00000000-0005-0000-0000-0000782C0000}"/>
    <cellStyle name="Currency 5 2 3 2 2 8 2 4" xfId="12832" xr:uid="{00000000-0005-0000-0000-0000792C0000}"/>
    <cellStyle name="Currency 5 2 3 2 2 8 3" xfId="12833" xr:uid="{00000000-0005-0000-0000-00007A2C0000}"/>
    <cellStyle name="Currency 5 2 3 2 2 8 3 2" xfId="12834" xr:uid="{00000000-0005-0000-0000-00007B2C0000}"/>
    <cellStyle name="Currency 5 2 3 2 2 8 3 2 2" xfId="12835" xr:uid="{00000000-0005-0000-0000-00007C2C0000}"/>
    <cellStyle name="Currency 5 2 3 2 2 8 3 3" xfId="12836" xr:uid="{00000000-0005-0000-0000-00007D2C0000}"/>
    <cellStyle name="Currency 5 2 3 2 2 8 4" xfId="12837" xr:uid="{00000000-0005-0000-0000-00007E2C0000}"/>
    <cellStyle name="Currency 5 2 3 2 2 8 4 2" xfId="12838" xr:uid="{00000000-0005-0000-0000-00007F2C0000}"/>
    <cellStyle name="Currency 5 2 3 2 2 8 5" xfId="12839" xr:uid="{00000000-0005-0000-0000-0000802C0000}"/>
    <cellStyle name="Currency 5 2 3 2 2 9" xfId="12840" xr:uid="{00000000-0005-0000-0000-0000812C0000}"/>
    <cellStyle name="Currency 5 2 3 2 2 9 2" xfId="12841" xr:uid="{00000000-0005-0000-0000-0000822C0000}"/>
    <cellStyle name="Currency 5 2 3 2 2 9 2 2" xfId="12842" xr:uid="{00000000-0005-0000-0000-0000832C0000}"/>
    <cellStyle name="Currency 5 2 3 2 2 9 2 2 2" xfId="12843" xr:uid="{00000000-0005-0000-0000-0000842C0000}"/>
    <cellStyle name="Currency 5 2 3 2 2 9 2 3" xfId="12844" xr:uid="{00000000-0005-0000-0000-0000852C0000}"/>
    <cellStyle name="Currency 5 2 3 2 2 9 3" xfId="12845" xr:uid="{00000000-0005-0000-0000-0000862C0000}"/>
    <cellStyle name="Currency 5 2 3 2 2 9 3 2" xfId="12846" xr:uid="{00000000-0005-0000-0000-0000872C0000}"/>
    <cellStyle name="Currency 5 2 3 2 2 9 4" xfId="12847" xr:uid="{00000000-0005-0000-0000-0000882C0000}"/>
    <cellStyle name="Currency 5 2 3 2 3" xfId="323" xr:uid="{00000000-0005-0000-0000-0000892C0000}"/>
    <cellStyle name="Currency 5 2 3 2 3 10" xfId="12849" xr:uid="{00000000-0005-0000-0000-00008A2C0000}"/>
    <cellStyle name="Currency 5 2 3 2 3 10 2" xfId="12850" xr:uid="{00000000-0005-0000-0000-00008B2C0000}"/>
    <cellStyle name="Currency 5 2 3 2 3 10 2 2" xfId="12851" xr:uid="{00000000-0005-0000-0000-00008C2C0000}"/>
    <cellStyle name="Currency 5 2 3 2 3 10 2 2 2" xfId="12852" xr:uid="{00000000-0005-0000-0000-00008D2C0000}"/>
    <cellStyle name="Currency 5 2 3 2 3 10 2 3" xfId="12853" xr:uid="{00000000-0005-0000-0000-00008E2C0000}"/>
    <cellStyle name="Currency 5 2 3 2 3 10 3" xfId="12854" xr:uid="{00000000-0005-0000-0000-00008F2C0000}"/>
    <cellStyle name="Currency 5 2 3 2 3 10 3 2" xfId="12855" xr:uid="{00000000-0005-0000-0000-0000902C0000}"/>
    <cellStyle name="Currency 5 2 3 2 3 10 4" xfId="12856" xr:uid="{00000000-0005-0000-0000-0000912C0000}"/>
    <cellStyle name="Currency 5 2 3 2 3 11" xfId="12857" xr:uid="{00000000-0005-0000-0000-0000922C0000}"/>
    <cellStyle name="Currency 5 2 3 2 3 11 2" xfId="12858" xr:uid="{00000000-0005-0000-0000-0000932C0000}"/>
    <cellStyle name="Currency 5 2 3 2 3 11 2 2" xfId="12859" xr:uid="{00000000-0005-0000-0000-0000942C0000}"/>
    <cellStyle name="Currency 5 2 3 2 3 11 3" xfId="12860" xr:uid="{00000000-0005-0000-0000-0000952C0000}"/>
    <cellStyle name="Currency 5 2 3 2 3 12" xfId="12861" xr:uid="{00000000-0005-0000-0000-0000962C0000}"/>
    <cellStyle name="Currency 5 2 3 2 3 12 2" xfId="12862" xr:uid="{00000000-0005-0000-0000-0000972C0000}"/>
    <cellStyle name="Currency 5 2 3 2 3 12 2 2" xfId="12863" xr:uid="{00000000-0005-0000-0000-0000982C0000}"/>
    <cellStyle name="Currency 5 2 3 2 3 12 3" xfId="12864" xr:uid="{00000000-0005-0000-0000-0000992C0000}"/>
    <cellStyle name="Currency 5 2 3 2 3 13" xfId="12865" xr:uid="{00000000-0005-0000-0000-00009A2C0000}"/>
    <cellStyle name="Currency 5 2 3 2 3 13 2" xfId="12866" xr:uid="{00000000-0005-0000-0000-00009B2C0000}"/>
    <cellStyle name="Currency 5 2 3 2 3 13 2 2" xfId="12867" xr:uid="{00000000-0005-0000-0000-00009C2C0000}"/>
    <cellStyle name="Currency 5 2 3 2 3 13 3" xfId="12868" xr:uid="{00000000-0005-0000-0000-00009D2C0000}"/>
    <cellStyle name="Currency 5 2 3 2 3 14" xfId="12869" xr:uid="{00000000-0005-0000-0000-00009E2C0000}"/>
    <cellStyle name="Currency 5 2 3 2 3 14 2" xfId="12870" xr:uid="{00000000-0005-0000-0000-00009F2C0000}"/>
    <cellStyle name="Currency 5 2 3 2 3 15" xfId="12871" xr:uid="{00000000-0005-0000-0000-0000A02C0000}"/>
    <cellStyle name="Currency 5 2 3 2 3 16" xfId="12872" xr:uid="{00000000-0005-0000-0000-0000A12C0000}"/>
    <cellStyle name="Currency 5 2 3 2 3 17" xfId="12848" xr:uid="{00000000-0005-0000-0000-0000A22C0000}"/>
    <cellStyle name="Currency 5 2 3 2 3 2" xfId="324" xr:uid="{00000000-0005-0000-0000-0000A32C0000}"/>
    <cellStyle name="Currency 5 2 3 2 3 2 10" xfId="12874" xr:uid="{00000000-0005-0000-0000-0000A42C0000}"/>
    <cellStyle name="Currency 5 2 3 2 3 2 10 2" xfId="12875" xr:uid="{00000000-0005-0000-0000-0000A52C0000}"/>
    <cellStyle name="Currency 5 2 3 2 3 2 10 2 2" xfId="12876" xr:uid="{00000000-0005-0000-0000-0000A62C0000}"/>
    <cellStyle name="Currency 5 2 3 2 3 2 10 3" xfId="12877" xr:uid="{00000000-0005-0000-0000-0000A72C0000}"/>
    <cellStyle name="Currency 5 2 3 2 3 2 11" xfId="12878" xr:uid="{00000000-0005-0000-0000-0000A82C0000}"/>
    <cellStyle name="Currency 5 2 3 2 3 2 11 2" xfId="12879" xr:uid="{00000000-0005-0000-0000-0000A92C0000}"/>
    <cellStyle name="Currency 5 2 3 2 3 2 11 2 2" xfId="12880" xr:uid="{00000000-0005-0000-0000-0000AA2C0000}"/>
    <cellStyle name="Currency 5 2 3 2 3 2 11 3" xfId="12881" xr:uid="{00000000-0005-0000-0000-0000AB2C0000}"/>
    <cellStyle name="Currency 5 2 3 2 3 2 12" xfId="12882" xr:uid="{00000000-0005-0000-0000-0000AC2C0000}"/>
    <cellStyle name="Currency 5 2 3 2 3 2 12 2" xfId="12883" xr:uid="{00000000-0005-0000-0000-0000AD2C0000}"/>
    <cellStyle name="Currency 5 2 3 2 3 2 13" xfId="12884" xr:uid="{00000000-0005-0000-0000-0000AE2C0000}"/>
    <cellStyle name="Currency 5 2 3 2 3 2 14" xfId="12885" xr:uid="{00000000-0005-0000-0000-0000AF2C0000}"/>
    <cellStyle name="Currency 5 2 3 2 3 2 15" xfId="12873" xr:uid="{00000000-0005-0000-0000-0000B02C0000}"/>
    <cellStyle name="Currency 5 2 3 2 3 2 2" xfId="889" xr:uid="{00000000-0005-0000-0000-0000B12C0000}"/>
    <cellStyle name="Currency 5 2 3 2 3 2 2 10" xfId="12887" xr:uid="{00000000-0005-0000-0000-0000B22C0000}"/>
    <cellStyle name="Currency 5 2 3 2 3 2 2 11" xfId="12886" xr:uid="{00000000-0005-0000-0000-0000B32C0000}"/>
    <cellStyle name="Currency 5 2 3 2 3 2 2 2" xfId="1630" xr:uid="{00000000-0005-0000-0000-0000B42C0000}"/>
    <cellStyle name="Currency 5 2 3 2 3 2 2 2 2" xfId="12889" xr:uid="{00000000-0005-0000-0000-0000B52C0000}"/>
    <cellStyle name="Currency 5 2 3 2 3 2 2 2 2 2" xfId="12890" xr:uid="{00000000-0005-0000-0000-0000B62C0000}"/>
    <cellStyle name="Currency 5 2 3 2 3 2 2 2 2 2 2" xfId="12891" xr:uid="{00000000-0005-0000-0000-0000B72C0000}"/>
    <cellStyle name="Currency 5 2 3 2 3 2 2 2 2 2 2 2" xfId="12892" xr:uid="{00000000-0005-0000-0000-0000B82C0000}"/>
    <cellStyle name="Currency 5 2 3 2 3 2 2 2 2 2 3" xfId="12893" xr:uid="{00000000-0005-0000-0000-0000B92C0000}"/>
    <cellStyle name="Currency 5 2 3 2 3 2 2 2 2 3" xfId="12894" xr:uid="{00000000-0005-0000-0000-0000BA2C0000}"/>
    <cellStyle name="Currency 5 2 3 2 3 2 2 2 2 3 2" xfId="12895" xr:uid="{00000000-0005-0000-0000-0000BB2C0000}"/>
    <cellStyle name="Currency 5 2 3 2 3 2 2 2 2 4" xfId="12896" xr:uid="{00000000-0005-0000-0000-0000BC2C0000}"/>
    <cellStyle name="Currency 5 2 3 2 3 2 2 2 3" xfId="12897" xr:uid="{00000000-0005-0000-0000-0000BD2C0000}"/>
    <cellStyle name="Currency 5 2 3 2 3 2 2 2 3 2" xfId="12898" xr:uid="{00000000-0005-0000-0000-0000BE2C0000}"/>
    <cellStyle name="Currency 5 2 3 2 3 2 2 2 3 2 2" xfId="12899" xr:uid="{00000000-0005-0000-0000-0000BF2C0000}"/>
    <cellStyle name="Currency 5 2 3 2 3 2 2 2 3 2 2 2" xfId="12900" xr:uid="{00000000-0005-0000-0000-0000C02C0000}"/>
    <cellStyle name="Currency 5 2 3 2 3 2 2 2 3 2 3" xfId="12901" xr:uid="{00000000-0005-0000-0000-0000C12C0000}"/>
    <cellStyle name="Currency 5 2 3 2 3 2 2 2 3 3" xfId="12902" xr:uid="{00000000-0005-0000-0000-0000C22C0000}"/>
    <cellStyle name="Currency 5 2 3 2 3 2 2 2 3 3 2" xfId="12903" xr:uid="{00000000-0005-0000-0000-0000C32C0000}"/>
    <cellStyle name="Currency 5 2 3 2 3 2 2 2 3 4" xfId="12904" xr:uid="{00000000-0005-0000-0000-0000C42C0000}"/>
    <cellStyle name="Currency 5 2 3 2 3 2 2 2 4" xfId="12905" xr:uid="{00000000-0005-0000-0000-0000C52C0000}"/>
    <cellStyle name="Currency 5 2 3 2 3 2 2 2 4 2" xfId="12906" xr:uid="{00000000-0005-0000-0000-0000C62C0000}"/>
    <cellStyle name="Currency 5 2 3 2 3 2 2 2 4 2 2" xfId="12907" xr:uid="{00000000-0005-0000-0000-0000C72C0000}"/>
    <cellStyle name="Currency 5 2 3 2 3 2 2 2 4 3" xfId="12908" xr:uid="{00000000-0005-0000-0000-0000C82C0000}"/>
    <cellStyle name="Currency 5 2 3 2 3 2 2 2 5" xfId="12909" xr:uid="{00000000-0005-0000-0000-0000C92C0000}"/>
    <cellStyle name="Currency 5 2 3 2 3 2 2 2 5 2" xfId="12910" xr:uid="{00000000-0005-0000-0000-0000CA2C0000}"/>
    <cellStyle name="Currency 5 2 3 2 3 2 2 2 6" xfId="12911" xr:uid="{00000000-0005-0000-0000-0000CB2C0000}"/>
    <cellStyle name="Currency 5 2 3 2 3 2 2 2 7" xfId="12888" xr:uid="{00000000-0005-0000-0000-0000CC2C0000}"/>
    <cellStyle name="Currency 5 2 3 2 3 2 2 3" xfId="12912" xr:uid="{00000000-0005-0000-0000-0000CD2C0000}"/>
    <cellStyle name="Currency 5 2 3 2 3 2 2 3 2" xfId="12913" xr:uid="{00000000-0005-0000-0000-0000CE2C0000}"/>
    <cellStyle name="Currency 5 2 3 2 3 2 2 3 2 2" xfId="12914" xr:uid="{00000000-0005-0000-0000-0000CF2C0000}"/>
    <cellStyle name="Currency 5 2 3 2 3 2 2 3 2 2 2" xfId="12915" xr:uid="{00000000-0005-0000-0000-0000D02C0000}"/>
    <cellStyle name="Currency 5 2 3 2 3 2 2 3 2 2 2 2" xfId="12916" xr:uid="{00000000-0005-0000-0000-0000D12C0000}"/>
    <cellStyle name="Currency 5 2 3 2 3 2 2 3 2 2 3" xfId="12917" xr:uid="{00000000-0005-0000-0000-0000D22C0000}"/>
    <cellStyle name="Currency 5 2 3 2 3 2 2 3 2 3" xfId="12918" xr:uid="{00000000-0005-0000-0000-0000D32C0000}"/>
    <cellStyle name="Currency 5 2 3 2 3 2 2 3 2 3 2" xfId="12919" xr:uid="{00000000-0005-0000-0000-0000D42C0000}"/>
    <cellStyle name="Currency 5 2 3 2 3 2 2 3 2 4" xfId="12920" xr:uid="{00000000-0005-0000-0000-0000D52C0000}"/>
    <cellStyle name="Currency 5 2 3 2 3 2 2 3 3" xfId="12921" xr:uid="{00000000-0005-0000-0000-0000D62C0000}"/>
    <cellStyle name="Currency 5 2 3 2 3 2 2 3 3 2" xfId="12922" xr:uid="{00000000-0005-0000-0000-0000D72C0000}"/>
    <cellStyle name="Currency 5 2 3 2 3 2 2 3 3 2 2" xfId="12923" xr:uid="{00000000-0005-0000-0000-0000D82C0000}"/>
    <cellStyle name="Currency 5 2 3 2 3 2 2 3 3 3" xfId="12924" xr:uid="{00000000-0005-0000-0000-0000D92C0000}"/>
    <cellStyle name="Currency 5 2 3 2 3 2 2 3 4" xfId="12925" xr:uid="{00000000-0005-0000-0000-0000DA2C0000}"/>
    <cellStyle name="Currency 5 2 3 2 3 2 2 3 4 2" xfId="12926" xr:uid="{00000000-0005-0000-0000-0000DB2C0000}"/>
    <cellStyle name="Currency 5 2 3 2 3 2 2 3 5" xfId="12927" xr:uid="{00000000-0005-0000-0000-0000DC2C0000}"/>
    <cellStyle name="Currency 5 2 3 2 3 2 2 4" xfId="12928" xr:uid="{00000000-0005-0000-0000-0000DD2C0000}"/>
    <cellStyle name="Currency 5 2 3 2 3 2 2 4 2" xfId="12929" xr:uid="{00000000-0005-0000-0000-0000DE2C0000}"/>
    <cellStyle name="Currency 5 2 3 2 3 2 2 4 2 2" xfId="12930" xr:uid="{00000000-0005-0000-0000-0000DF2C0000}"/>
    <cellStyle name="Currency 5 2 3 2 3 2 2 4 2 2 2" xfId="12931" xr:uid="{00000000-0005-0000-0000-0000E02C0000}"/>
    <cellStyle name="Currency 5 2 3 2 3 2 2 4 2 2 2 2" xfId="12932" xr:uid="{00000000-0005-0000-0000-0000E12C0000}"/>
    <cellStyle name="Currency 5 2 3 2 3 2 2 4 2 2 3" xfId="12933" xr:uid="{00000000-0005-0000-0000-0000E22C0000}"/>
    <cellStyle name="Currency 5 2 3 2 3 2 2 4 2 3" xfId="12934" xr:uid="{00000000-0005-0000-0000-0000E32C0000}"/>
    <cellStyle name="Currency 5 2 3 2 3 2 2 4 2 3 2" xfId="12935" xr:uid="{00000000-0005-0000-0000-0000E42C0000}"/>
    <cellStyle name="Currency 5 2 3 2 3 2 2 4 2 4" xfId="12936" xr:uid="{00000000-0005-0000-0000-0000E52C0000}"/>
    <cellStyle name="Currency 5 2 3 2 3 2 2 4 3" xfId="12937" xr:uid="{00000000-0005-0000-0000-0000E62C0000}"/>
    <cellStyle name="Currency 5 2 3 2 3 2 2 4 3 2" xfId="12938" xr:uid="{00000000-0005-0000-0000-0000E72C0000}"/>
    <cellStyle name="Currency 5 2 3 2 3 2 2 4 3 2 2" xfId="12939" xr:uid="{00000000-0005-0000-0000-0000E82C0000}"/>
    <cellStyle name="Currency 5 2 3 2 3 2 2 4 3 3" xfId="12940" xr:uid="{00000000-0005-0000-0000-0000E92C0000}"/>
    <cellStyle name="Currency 5 2 3 2 3 2 2 4 4" xfId="12941" xr:uid="{00000000-0005-0000-0000-0000EA2C0000}"/>
    <cellStyle name="Currency 5 2 3 2 3 2 2 4 4 2" xfId="12942" xr:uid="{00000000-0005-0000-0000-0000EB2C0000}"/>
    <cellStyle name="Currency 5 2 3 2 3 2 2 4 5" xfId="12943" xr:uid="{00000000-0005-0000-0000-0000EC2C0000}"/>
    <cellStyle name="Currency 5 2 3 2 3 2 2 5" xfId="12944" xr:uid="{00000000-0005-0000-0000-0000ED2C0000}"/>
    <cellStyle name="Currency 5 2 3 2 3 2 2 5 2" xfId="12945" xr:uid="{00000000-0005-0000-0000-0000EE2C0000}"/>
    <cellStyle name="Currency 5 2 3 2 3 2 2 5 2 2" xfId="12946" xr:uid="{00000000-0005-0000-0000-0000EF2C0000}"/>
    <cellStyle name="Currency 5 2 3 2 3 2 2 5 2 2 2" xfId="12947" xr:uid="{00000000-0005-0000-0000-0000F02C0000}"/>
    <cellStyle name="Currency 5 2 3 2 3 2 2 5 2 3" xfId="12948" xr:uid="{00000000-0005-0000-0000-0000F12C0000}"/>
    <cellStyle name="Currency 5 2 3 2 3 2 2 5 3" xfId="12949" xr:uid="{00000000-0005-0000-0000-0000F22C0000}"/>
    <cellStyle name="Currency 5 2 3 2 3 2 2 5 3 2" xfId="12950" xr:uid="{00000000-0005-0000-0000-0000F32C0000}"/>
    <cellStyle name="Currency 5 2 3 2 3 2 2 5 4" xfId="12951" xr:uid="{00000000-0005-0000-0000-0000F42C0000}"/>
    <cellStyle name="Currency 5 2 3 2 3 2 2 6" xfId="12952" xr:uid="{00000000-0005-0000-0000-0000F52C0000}"/>
    <cellStyle name="Currency 5 2 3 2 3 2 2 6 2" xfId="12953" xr:uid="{00000000-0005-0000-0000-0000F62C0000}"/>
    <cellStyle name="Currency 5 2 3 2 3 2 2 6 2 2" xfId="12954" xr:uid="{00000000-0005-0000-0000-0000F72C0000}"/>
    <cellStyle name="Currency 5 2 3 2 3 2 2 6 2 2 2" xfId="12955" xr:uid="{00000000-0005-0000-0000-0000F82C0000}"/>
    <cellStyle name="Currency 5 2 3 2 3 2 2 6 2 3" xfId="12956" xr:uid="{00000000-0005-0000-0000-0000F92C0000}"/>
    <cellStyle name="Currency 5 2 3 2 3 2 2 6 3" xfId="12957" xr:uid="{00000000-0005-0000-0000-0000FA2C0000}"/>
    <cellStyle name="Currency 5 2 3 2 3 2 2 6 3 2" xfId="12958" xr:uid="{00000000-0005-0000-0000-0000FB2C0000}"/>
    <cellStyle name="Currency 5 2 3 2 3 2 2 6 4" xfId="12959" xr:uid="{00000000-0005-0000-0000-0000FC2C0000}"/>
    <cellStyle name="Currency 5 2 3 2 3 2 2 7" xfId="12960" xr:uid="{00000000-0005-0000-0000-0000FD2C0000}"/>
    <cellStyle name="Currency 5 2 3 2 3 2 2 7 2" xfId="12961" xr:uid="{00000000-0005-0000-0000-0000FE2C0000}"/>
    <cellStyle name="Currency 5 2 3 2 3 2 2 7 2 2" xfId="12962" xr:uid="{00000000-0005-0000-0000-0000FF2C0000}"/>
    <cellStyle name="Currency 5 2 3 2 3 2 2 7 2 2 2" xfId="12963" xr:uid="{00000000-0005-0000-0000-0000002D0000}"/>
    <cellStyle name="Currency 5 2 3 2 3 2 2 7 2 3" xfId="12964" xr:uid="{00000000-0005-0000-0000-0000012D0000}"/>
    <cellStyle name="Currency 5 2 3 2 3 2 2 7 3" xfId="12965" xr:uid="{00000000-0005-0000-0000-0000022D0000}"/>
    <cellStyle name="Currency 5 2 3 2 3 2 2 7 3 2" xfId="12966" xr:uid="{00000000-0005-0000-0000-0000032D0000}"/>
    <cellStyle name="Currency 5 2 3 2 3 2 2 7 4" xfId="12967" xr:uid="{00000000-0005-0000-0000-0000042D0000}"/>
    <cellStyle name="Currency 5 2 3 2 3 2 2 8" xfId="12968" xr:uid="{00000000-0005-0000-0000-0000052D0000}"/>
    <cellStyle name="Currency 5 2 3 2 3 2 2 8 2" xfId="12969" xr:uid="{00000000-0005-0000-0000-0000062D0000}"/>
    <cellStyle name="Currency 5 2 3 2 3 2 2 8 2 2" xfId="12970" xr:uid="{00000000-0005-0000-0000-0000072D0000}"/>
    <cellStyle name="Currency 5 2 3 2 3 2 2 8 3" xfId="12971" xr:uid="{00000000-0005-0000-0000-0000082D0000}"/>
    <cellStyle name="Currency 5 2 3 2 3 2 2 9" xfId="12972" xr:uid="{00000000-0005-0000-0000-0000092D0000}"/>
    <cellStyle name="Currency 5 2 3 2 3 2 2 9 2" xfId="12973" xr:uid="{00000000-0005-0000-0000-00000A2D0000}"/>
    <cellStyle name="Currency 5 2 3 2 3 2 3" xfId="1305" xr:uid="{00000000-0005-0000-0000-00000B2D0000}"/>
    <cellStyle name="Currency 5 2 3 2 3 2 3 2" xfId="12975" xr:uid="{00000000-0005-0000-0000-00000C2D0000}"/>
    <cellStyle name="Currency 5 2 3 2 3 2 3 2 2" xfId="12976" xr:uid="{00000000-0005-0000-0000-00000D2D0000}"/>
    <cellStyle name="Currency 5 2 3 2 3 2 3 2 2 2" xfId="12977" xr:uid="{00000000-0005-0000-0000-00000E2D0000}"/>
    <cellStyle name="Currency 5 2 3 2 3 2 3 2 2 2 2" xfId="12978" xr:uid="{00000000-0005-0000-0000-00000F2D0000}"/>
    <cellStyle name="Currency 5 2 3 2 3 2 3 2 2 3" xfId="12979" xr:uid="{00000000-0005-0000-0000-0000102D0000}"/>
    <cellStyle name="Currency 5 2 3 2 3 2 3 2 3" xfId="12980" xr:uid="{00000000-0005-0000-0000-0000112D0000}"/>
    <cellStyle name="Currency 5 2 3 2 3 2 3 2 3 2" xfId="12981" xr:uid="{00000000-0005-0000-0000-0000122D0000}"/>
    <cellStyle name="Currency 5 2 3 2 3 2 3 2 4" xfId="12982" xr:uid="{00000000-0005-0000-0000-0000132D0000}"/>
    <cellStyle name="Currency 5 2 3 2 3 2 3 3" xfId="12983" xr:uid="{00000000-0005-0000-0000-0000142D0000}"/>
    <cellStyle name="Currency 5 2 3 2 3 2 3 3 2" xfId="12984" xr:uid="{00000000-0005-0000-0000-0000152D0000}"/>
    <cellStyle name="Currency 5 2 3 2 3 2 3 3 2 2" xfId="12985" xr:uid="{00000000-0005-0000-0000-0000162D0000}"/>
    <cellStyle name="Currency 5 2 3 2 3 2 3 3 2 2 2" xfId="12986" xr:uid="{00000000-0005-0000-0000-0000172D0000}"/>
    <cellStyle name="Currency 5 2 3 2 3 2 3 3 2 3" xfId="12987" xr:uid="{00000000-0005-0000-0000-0000182D0000}"/>
    <cellStyle name="Currency 5 2 3 2 3 2 3 3 3" xfId="12988" xr:uid="{00000000-0005-0000-0000-0000192D0000}"/>
    <cellStyle name="Currency 5 2 3 2 3 2 3 3 3 2" xfId="12989" xr:uid="{00000000-0005-0000-0000-00001A2D0000}"/>
    <cellStyle name="Currency 5 2 3 2 3 2 3 3 4" xfId="12990" xr:uid="{00000000-0005-0000-0000-00001B2D0000}"/>
    <cellStyle name="Currency 5 2 3 2 3 2 3 4" xfId="12991" xr:uid="{00000000-0005-0000-0000-00001C2D0000}"/>
    <cellStyle name="Currency 5 2 3 2 3 2 3 4 2" xfId="12992" xr:uid="{00000000-0005-0000-0000-00001D2D0000}"/>
    <cellStyle name="Currency 5 2 3 2 3 2 3 4 2 2" xfId="12993" xr:uid="{00000000-0005-0000-0000-00001E2D0000}"/>
    <cellStyle name="Currency 5 2 3 2 3 2 3 4 3" xfId="12994" xr:uid="{00000000-0005-0000-0000-00001F2D0000}"/>
    <cellStyle name="Currency 5 2 3 2 3 2 3 5" xfId="12995" xr:uid="{00000000-0005-0000-0000-0000202D0000}"/>
    <cellStyle name="Currency 5 2 3 2 3 2 3 5 2" xfId="12996" xr:uid="{00000000-0005-0000-0000-0000212D0000}"/>
    <cellStyle name="Currency 5 2 3 2 3 2 3 6" xfId="12997" xr:uid="{00000000-0005-0000-0000-0000222D0000}"/>
    <cellStyle name="Currency 5 2 3 2 3 2 3 7" xfId="12974" xr:uid="{00000000-0005-0000-0000-0000232D0000}"/>
    <cellStyle name="Currency 5 2 3 2 3 2 4" xfId="12998" xr:uid="{00000000-0005-0000-0000-0000242D0000}"/>
    <cellStyle name="Currency 5 2 3 2 3 2 4 2" xfId="12999" xr:uid="{00000000-0005-0000-0000-0000252D0000}"/>
    <cellStyle name="Currency 5 2 3 2 3 2 4 2 2" xfId="13000" xr:uid="{00000000-0005-0000-0000-0000262D0000}"/>
    <cellStyle name="Currency 5 2 3 2 3 2 4 2 2 2" xfId="13001" xr:uid="{00000000-0005-0000-0000-0000272D0000}"/>
    <cellStyle name="Currency 5 2 3 2 3 2 4 2 2 2 2" xfId="13002" xr:uid="{00000000-0005-0000-0000-0000282D0000}"/>
    <cellStyle name="Currency 5 2 3 2 3 2 4 2 2 3" xfId="13003" xr:uid="{00000000-0005-0000-0000-0000292D0000}"/>
    <cellStyle name="Currency 5 2 3 2 3 2 4 2 3" xfId="13004" xr:uid="{00000000-0005-0000-0000-00002A2D0000}"/>
    <cellStyle name="Currency 5 2 3 2 3 2 4 2 3 2" xfId="13005" xr:uid="{00000000-0005-0000-0000-00002B2D0000}"/>
    <cellStyle name="Currency 5 2 3 2 3 2 4 2 4" xfId="13006" xr:uid="{00000000-0005-0000-0000-00002C2D0000}"/>
    <cellStyle name="Currency 5 2 3 2 3 2 4 3" xfId="13007" xr:uid="{00000000-0005-0000-0000-00002D2D0000}"/>
    <cellStyle name="Currency 5 2 3 2 3 2 4 3 2" xfId="13008" xr:uid="{00000000-0005-0000-0000-00002E2D0000}"/>
    <cellStyle name="Currency 5 2 3 2 3 2 4 3 2 2" xfId="13009" xr:uid="{00000000-0005-0000-0000-00002F2D0000}"/>
    <cellStyle name="Currency 5 2 3 2 3 2 4 3 3" xfId="13010" xr:uid="{00000000-0005-0000-0000-0000302D0000}"/>
    <cellStyle name="Currency 5 2 3 2 3 2 4 4" xfId="13011" xr:uid="{00000000-0005-0000-0000-0000312D0000}"/>
    <cellStyle name="Currency 5 2 3 2 3 2 4 4 2" xfId="13012" xr:uid="{00000000-0005-0000-0000-0000322D0000}"/>
    <cellStyle name="Currency 5 2 3 2 3 2 4 5" xfId="13013" xr:uid="{00000000-0005-0000-0000-0000332D0000}"/>
    <cellStyle name="Currency 5 2 3 2 3 2 5" xfId="13014" xr:uid="{00000000-0005-0000-0000-0000342D0000}"/>
    <cellStyle name="Currency 5 2 3 2 3 2 5 2" xfId="13015" xr:uid="{00000000-0005-0000-0000-0000352D0000}"/>
    <cellStyle name="Currency 5 2 3 2 3 2 5 2 2" xfId="13016" xr:uid="{00000000-0005-0000-0000-0000362D0000}"/>
    <cellStyle name="Currency 5 2 3 2 3 2 5 2 2 2" xfId="13017" xr:uid="{00000000-0005-0000-0000-0000372D0000}"/>
    <cellStyle name="Currency 5 2 3 2 3 2 5 2 2 2 2" xfId="13018" xr:uid="{00000000-0005-0000-0000-0000382D0000}"/>
    <cellStyle name="Currency 5 2 3 2 3 2 5 2 2 3" xfId="13019" xr:uid="{00000000-0005-0000-0000-0000392D0000}"/>
    <cellStyle name="Currency 5 2 3 2 3 2 5 2 3" xfId="13020" xr:uid="{00000000-0005-0000-0000-00003A2D0000}"/>
    <cellStyle name="Currency 5 2 3 2 3 2 5 2 3 2" xfId="13021" xr:uid="{00000000-0005-0000-0000-00003B2D0000}"/>
    <cellStyle name="Currency 5 2 3 2 3 2 5 2 4" xfId="13022" xr:uid="{00000000-0005-0000-0000-00003C2D0000}"/>
    <cellStyle name="Currency 5 2 3 2 3 2 5 3" xfId="13023" xr:uid="{00000000-0005-0000-0000-00003D2D0000}"/>
    <cellStyle name="Currency 5 2 3 2 3 2 5 3 2" xfId="13024" xr:uid="{00000000-0005-0000-0000-00003E2D0000}"/>
    <cellStyle name="Currency 5 2 3 2 3 2 5 3 2 2" xfId="13025" xr:uid="{00000000-0005-0000-0000-00003F2D0000}"/>
    <cellStyle name="Currency 5 2 3 2 3 2 5 3 3" xfId="13026" xr:uid="{00000000-0005-0000-0000-0000402D0000}"/>
    <cellStyle name="Currency 5 2 3 2 3 2 5 4" xfId="13027" xr:uid="{00000000-0005-0000-0000-0000412D0000}"/>
    <cellStyle name="Currency 5 2 3 2 3 2 5 4 2" xfId="13028" xr:uid="{00000000-0005-0000-0000-0000422D0000}"/>
    <cellStyle name="Currency 5 2 3 2 3 2 5 5" xfId="13029" xr:uid="{00000000-0005-0000-0000-0000432D0000}"/>
    <cellStyle name="Currency 5 2 3 2 3 2 6" xfId="13030" xr:uid="{00000000-0005-0000-0000-0000442D0000}"/>
    <cellStyle name="Currency 5 2 3 2 3 2 6 2" xfId="13031" xr:uid="{00000000-0005-0000-0000-0000452D0000}"/>
    <cellStyle name="Currency 5 2 3 2 3 2 6 2 2" xfId="13032" xr:uid="{00000000-0005-0000-0000-0000462D0000}"/>
    <cellStyle name="Currency 5 2 3 2 3 2 6 2 2 2" xfId="13033" xr:uid="{00000000-0005-0000-0000-0000472D0000}"/>
    <cellStyle name="Currency 5 2 3 2 3 2 6 2 3" xfId="13034" xr:uid="{00000000-0005-0000-0000-0000482D0000}"/>
    <cellStyle name="Currency 5 2 3 2 3 2 6 3" xfId="13035" xr:uid="{00000000-0005-0000-0000-0000492D0000}"/>
    <cellStyle name="Currency 5 2 3 2 3 2 6 3 2" xfId="13036" xr:uid="{00000000-0005-0000-0000-00004A2D0000}"/>
    <cellStyle name="Currency 5 2 3 2 3 2 6 4" xfId="13037" xr:uid="{00000000-0005-0000-0000-00004B2D0000}"/>
    <cellStyle name="Currency 5 2 3 2 3 2 7" xfId="13038" xr:uid="{00000000-0005-0000-0000-00004C2D0000}"/>
    <cellStyle name="Currency 5 2 3 2 3 2 7 2" xfId="13039" xr:uid="{00000000-0005-0000-0000-00004D2D0000}"/>
    <cellStyle name="Currency 5 2 3 2 3 2 7 2 2" xfId="13040" xr:uid="{00000000-0005-0000-0000-00004E2D0000}"/>
    <cellStyle name="Currency 5 2 3 2 3 2 7 2 2 2" xfId="13041" xr:uid="{00000000-0005-0000-0000-00004F2D0000}"/>
    <cellStyle name="Currency 5 2 3 2 3 2 7 2 3" xfId="13042" xr:uid="{00000000-0005-0000-0000-0000502D0000}"/>
    <cellStyle name="Currency 5 2 3 2 3 2 7 3" xfId="13043" xr:uid="{00000000-0005-0000-0000-0000512D0000}"/>
    <cellStyle name="Currency 5 2 3 2 3 2 7 3 2" xfId="13044" xr:uid="{00000000-0005-0000-0000-0000522D0000}"/>
    <cellStyle name="Currency 5 2 3 2 3 2 7 4" xfId="13045" xr:uid="{00000000-0005-0000-0000-0000532D0000}"/>
    <cellStyle name="Currency 5 2 3 2 3 2 8" xfId="13046" xr:uid="{00000000-0005-0000-0000-0000542D0000}"/>
    <cellStyle name="Currency 5 2 3 2 3 2 8 2" xfId="13047" xr:uid="{00000000-0005-0000-0000-0000552D0000}"/>
    <cellStyle name="Currency 5 2 3 2 3 2 8 2 2" xfId="13048" xr:uid="{00000000-0005-0000-0000-0000562D0000}"/>
    <cellStyle name="Currency 5 2 3 2 3 2 8 2 2 2" xfId="13049" xr:uid="{00000000-0005-0000-0000-0000572D0000}"/>
    <cellStyle name="Currency 5 2 3 2 3 2 8 2 3" xfId="13050" xr:uid="{00000000-0005-0000-0000-0000582D0000}"/>
    <cellStyle name="Currency 5 2 3 2 3 2 8 3" xfId="13051" xr:uid="{00000000-0005-0000-0000-0000592D0000}"/>
    <cellStyle name="Currency 5 2 3 2 3 2 8 3 2" xfId="13052" xr:uid="{00000000-0005-0000-0000-00005A2D0000}"/>
    <cellStyle name="Currency 5 2 3 2 3 2 8 4" xfId="13053" xr:uid="{00000000-0005-0000-0000-00005B2D0000}"/>
    <cellStyle name="Currency 5 2 3 2 3 2 9" xfId="13054" xr:uid="{00000000-0005-0000-0000-00005C2D0000}"/>
    <cellStyle name="Currency 5 2 3 2 3 2 9 2" xfId="13055" xr:uid="{00000000-0005-0000-0000-00005D2D0000}"/>
    <cellStyle name="Currency 5 2 3 2 3 2 9 2 2" xfId="13056" xr:uid="{00000000-0005-0000-0000-00005E2D0000}"/>
    <cellStyle name="Currency 5 2 3 2 3 2 9 3" xfId="13057" xr:uid="{00000000-0005-0000-0000-00005F2D0000}"/>
    <cellStyle name="Currency 5 2 3 2 3 3" xfId="325" xr:uid="{00000000-0005-0000-0000-0000602D0000}"/>
    <cellStyle name="Currency 5 2 3 2 3 4" xfId="888" xr:uid="{00000000-0005-0000-0000-0000612D0000}"/>
    <cellStyle name="Currency 5 2 3 2 3 4 10" xfId="13059" xr:uid="{00000000-0005-0000-0000-0000622D0000}"/>
    <cellStyle name="Currency 5 2 3 2 3 4 11" xfId="13058" xr:uid="{00000000-0005-0000-0000-0000632D0000}"/>
    <cellStyle name="Currency 5 2 3 2 3 4 2" xfId="1629" xr:uid="{00000000-0005-0000-0000-0000642D0000}"/>
    <cellStyle name="Currency 5 2 3 2 3 4 2 2" xfId="13061" xr:uid="{00000000-0005-0000-0000-0000652D0000}"/>
    <cellStyle name="Currency 5 2 3 2 3 4 2 2 2" xfId="13062" xr:uid="{00000000-0005-0000-0000-0000662D0000}"/>
    <cellStyle name="Currency 5 2 3 2 3 4 2 2 2 2" xfId="13063" xr:uid="{00000000-0005-0000-0000-0000672D0000}"/>
    <cellStyle name="Currency 5 2 3 2 3 4 2 2 2 2 2" xfId="13064" xr:uid="{00000000-0005-0000-0000-0000682D0000}"/>
    <cellStyle name="Currency 5 2 3 2 3 4 2 2 2 3" xfId="13065" xr:uid="{00000000-0005-0000-0000-0000692D0000}"/>
    <cellStyle name="Currency 5 2 3 2 3 4 2 2 3" xfId="13066" xr:uid="{00000000-0005-0000-0000-00006A2D0000}"/>
    <cellStyle name="Currency 5 2 3 2 3 4 2 2 3 2" xfId="13067" xr:uid="{00000000-0005-0000-0000-00006B2D0000}"/>
    <cellStyle name="Currency 5 2 3 2 3 4 2 2 4" xfId="13068" xr:uid="{00000000-0005-0000-0000-00006C2D0000}"/>
    <cellStyle name="Currency 5 2 3 2 3 4 2 3" xfId="13069" xr:uid="{00000000-0005-0000-0000-00006D2D0000}"/>
    <cellStyle name="Currency 5 2 3 2 3 4 2 3 2" xfId="13070" xr:uid="{00000000-0005-0000-0000-00006E2D0000}"/>
    <cellStyle name="Currency 5 2 3 2 3 4 2 3 2 2" xfId="13071" xr:uid="{00000000-0005-0000-0000-00006F2D0000}"/>
    <cellStyle name="Currency 5 2 3 2 3 4 2 3 2 2 2" xfId="13072" xr:uid="{00000000-0005-0000-0000-0000702D0000}"/>
    <cellStyle name="Currency 5 2 3 2 3 4 2 3 2 3" xfId="13073" xr:uid="{00000000-0005-0000-0000-0000712D0000}"/>
    <cellStyle name="Currency 5 2 3 2 3 4 2 3 3" xfId="13074" xr:uid="{00000000-0005-0000-0000-0000722D0000}"/>
    <cellStyle name="Currency 5 2 3 2 3 4 2 3 3 2" xfId="13075" xr:uid="{00000000-0005-0000-0000-0000732D0000}"/>
    <cellStyle name="Currency 5 2 3 2 3 4 2 3 4" xfId="13076" xr:uid="{00000000-0005-0000-0000-0000742D0000}"/>
    <cellStyle name="Currency 5 2 3 2 3 4 2 4" xfId="13077" xr:uid="{00000000-0005-0000-0000-0000752D0000}"/>
    <cellStyle name="Currency 5 2 3 2 3 4 2 4 2" xfId="13078" xr:uid="{00000000-0005-0000-0000-0000762D0000}"/>
    <cellStyle name="Currency 5 2 3 2 3 4 2 4 2 2" xfId="13079" xr:uid="{00000000-0005-0000-0000-0000772D0000}"/>
    <cellStyle name="Currency 5 2 3 2 3 4 2 4 3" xfId="13080" xr:uid="{00000000-0005-0000-0000-0000782D0000}"/>
    <cellStyle name="Currency 5 2 3 2 3 4 2 5" xfId="13081" xr:uid="{00000000-0005-0000-0000-0000792D0000}"/>
    <cellStyle name="Currency 5 2 3 2 3 4 2 5 2" xfId="13082" xr:uid="{00000000-0005-0000-0000-00007A2D0000}"/>
    <cellStyle name="Currency 5 2 3 2 3 4 2 6" xfId="13083" xr:uid="{00000000-0005-0000-0000-00007B2D0000}"/>
    <cellStyle name="Currency 5 2 3 2 3 4 2 7" xfId="13060" xr:uid="{00000000-0005-0000-0000-00007C2D0000}"/>
    <cellStyle name="Currency 5 2 3 2 3 4 3" xfId="13084" xr:uid="{00000000-0005-0000-0000-00007D2D0000}"/>
    <cellStyle name="Currency 5 2 3 2 3 4 3 2" xfId="13085" xr:uid="{00000000-0005-0000-0000-00007E2D0000}"/>
    <cellStyle name="Currency 5 2 3 2 3 4 3 2 2" xfId="13086" xr:uid="{00000000-0005-0000-0000-00007F2D0000}"/>
    <cellStyle name="Currency 5 2 3 2 3 4 3 2 2 2" xfId="13087" xr:uid="{00000000-0005-0000-0000-0000802D0000}"/>
    <cellStyle name="Currency 5 2 3 2 3 4 3 2 2 2 2" xfId="13088" xr:uid="{00000000-0005-0000-0000-0000812D0000}"/>
    <cellStyle name="Currency 5 2 3 2 3 4 3 2 2 3" xfId="13089" xr:uid="{00000000-0005-0000-0000-0000822D0000}"/>
    <cellStyle name="Currency 5 2 3 2 3 4 3 2 3" xfId="13090" xr:uid="{00000000-0005-0000-0000-0000832D0000}"/>
    <cellStyle name="Currency 5 2 3 2 3 4 3 2 3 2" xfId="13091" xr:uid="{00000000-0005-0000-0000-0000842D0000}"/>
    <cellStyle name="Currency 5 2 3 2 3 4 3 2 4" xfId="13092" xr:uid="{00000000-0005-0000-0000-0000852D0000}"/>
    <cellStyle name="Currency 5 2 3 2 3 4 3 3" xfId="13093" xr:uid="{00000000-0005-0000-0000-0000862D0000}"/>
    <cellStyle name="Currency 5 2 3 2 3 4 3 3 2" xfId="13094" xr:uid="{00000000-0005-0000-0000-0000872D0000}"/>
    <cellStyle name="Currency 5 2 3 2 3 4 3 3 2 2" xfId="13095" xr:uid="{00000000-0005-0000-0000-0000882D0000}"/>
    <cellStyle name="Currency 5 2 3 2 3 4 3 3 3" xfId="13096" xr:uid="{00000000-0005-0000-0000-0000892D0000}"/>
    <cellStyle name="Currency 5 2 3 2 3 4 3 4" xfId="13097" xr:uid="{00000000-0005-0000-0000-00008A2D0000}"/>
    <cellStyle name="Currency 5 2 3 2 3 4 3 4 2" xfId="13098" xr:uid="{00000000-0005-0000-0000-00008B2D0000}"/>
    <cellStyle name="Currency 5 2 3 2 3 4 3 5" xfId="13099" xr:uid="{00000000-0005-0000-0000-00008C2D0000}"/>
    <cellStyle name="Currency 5 2 3 2 3 4 4" xfId="13100" xr:uid="{00000000-0005-0000-0000-00008D2D0000}"/>
    <cellStyle name="Currency 5 2 3 2 3 4 4 2" xfId="13101" xr:uid="{00000000-0005-0000-0000-00008E2D0000}"/>
    <cellStyle name="Currency 5 2 3 2 3 4 4 2 2" xfId="13102" xr:uid="{00000000-0005-0000-0000-00008F2D0000}"/>
    <cellStyle name="Currency 5 2 3 2 3 4 4 2 2 2" xfId="13103" xr:uid="{00000000-0005-0000-0000-0000902D0000}"/>
    <cellStyle name="Currency 5 2 3 2 3 4 4 2 2 2 2" xfId="13104" xr:uid="{00000000-0005-0000-0000-0000912D0000}"/>
    <cellStyle name="Currency 5 2 3 2 3 4 4 2 2 3" xfId="13105" xr:uid="{00000000-0005-0000-0000-0000922D0000}"/>
    <cellStyle name="Currency 5 2 3 2 3 4 4 2 3" xfId="13106" xr:uid="{00000000-0005-0000-0000-0000932D0000}"/>
    <cellStyle name="Currency 5 2 3 2 3 4 4 2 3 2" xfId="13107" xr:uid="{00000000-0005-0000-0000-0000942D0000}"/>
    <cellStyle name="Currency 5 2 3 2 3 4 4 2 4" xfId="13108" xr:uid="{00000000-0005-0000-0000-0000952D0000}"/>
    <cellStyle name="Currency 5 2 3 2 3 4 4 3" xfId="13109" xr:uid="{00000000-0005-0000-0000-0000962D0000}"/>
    <cellStyle name="Currency 5 2 3 2 3 4 4 3 2" xfId="13110" xr:uid="{00000000-0005-0000-0000-0000972D0000}"/>
    <cellStyle name="Currency 5 2 3 2 3 4 4 3 2 2" xfId="13111" xr:uid="{00000000-0005-0000-0000-0000982D0000}"/>
    <cellStyle name="Currency 5 2 3 2 3 4 4 3 3" xfId="13112" xr:uid="{00000000-0005-0000-0000-0000992D0000}"/>
    <cellStyle name="Currency 5 2 3 2 3 4 4 4" xfId="13113" xr:uid="{00000000-0005-0000-0000-00009A2D0000}"/>
    <cellStyle name="Currency 5 2 3 2 3 4 4 4 2" xfId="13114" xr:uid="{00000000-0005-0000-0000-00009B2D0000}"/>
    <cellStyle name="Currency 5 2 3 2 3 4 4 5" xfId="13115" xr:uid="{00000000-0005-0000-0000-00009C2D0000}"/>
    <cellStyle name="Currency 5 2 3 2 3 4 5" xfId="13116" xr:uid="{00000000-0005-0000-0000-00009D2D0000}"/>
    <cellStyle name="Currency 5 2 3 2 3 4 5 2" xfId="13117" xr:uid="{00000000-0005-0000-0000-00009E2D0000}"/>
    <cellStyle name="Currency 5 2 3 2 3 4 5 2 2" xfId="13118" xr:uid="{00000000-0005-0000-0000-00009F2D0000}"/>
    <cellStyle name="Currency 5 2 3 2 3 4 5 2 2 2" xfId="13119" xr:uid="{00000000-0005-0000-0000-0000A02D0000}"/>
    <cellStyle name="Currency 5 2 3 2 3 4 5 2 3" xfId="13120" xr:uid="{00000000-0005-0000-0000-0000A12D0000}"/>
    <cellStyle name="Currency 5 2 3 2 3 4 5 3" xfId="13121" xr:uid="{00000000-0005-0000-0000-0000A22D0000}"/>
    <cellStyle name="Currency 5 2 3 2 3 4 5 3 2" xfId="13122" xr:uid="{00000000-0005-0000-0000-0000A32D0000}"/>
    <cellStyle name="Currency 5 2 3 2 3 4 5 4" xfId="13123" xr:uid="{00000000-0005-0000-0000-0000A42D0000}"/>
    <cellStyle name="Currency 5 2 3 2 3 4 6" xfId="13124" xr:uid="{00000000-0005-0000-0000-0000A52D0000}"/>
    <cellStyle name="Currency 5 2 3 2 3 4 6 2" xfId="13125" xr:uid="{00000000-0005-0000-0000-0000A62D0000}"/>
    <cellStyle name="Currency 5 2 3 2 3 4 6 2 2" xfId="13126" xr:uid="{00000000-0005-0000-0000-0000A72D0000}"/>
    <cellStyle name="Currency 5 2 3 2 3 4 6 2 2 2" xfId="13127" xr:uid="{00000000-0005-0000-0000-0000A82D0000}"/>
    <cellStyle name="Currency 5 2 3 2 3 4 6 2 3" xfId="13128" xr:uid="{00000000-0005-0000-0000-0000A92D0000}"/>
    <cellStyle name="Currency 5 2 3 2 3 4 6 3" xfId="13129" xr:uid="{00000000-0005-0000-0000-0000AA2D0000}"/>
    <cellStyle name="Currency 5 2 3 2 3 4 6 3 2" xfId="13130" xr:uid="{00000000-0005-0000-0000-0000AB2D0000}"/>
    <cellStyle name="Currency 5 2 3 2 3 4 6 4" xfId="13131" xr:uid="{00000000-0005-0000-0000-0000AC2D0000}"/>
    <cellStyle name="Currency 5 2 3 2 3 4 7" xfId="13132" xr:uid="{00000000-0005-0000-0000-0000AD2D0000}"/>
    <cellStyle name="Currency 5 2 3 2 3 4 7 2" xfId="13133" xr:uid="{00000000-0005-0000-0000-0000AE2D0000}"/>
    <cellStyle name="Currency 5 2 3 2 3 4 7 2 2" xfId="13134" xr:uid="{00000000-0005-0000-0000-0000AF2D0000}"/>
    <cellStyle name="Currency 5 2 3 2 3 4 7 2 2 2" xfId="13135" xr:uid="{00000000-0005-0000-0000-0000B02D0000}"/>
    <cellStyle name="Currency 5 2 3 2 3 4 7 2 3" xfId="13136" xr:uid="{00000000-0005-0000-0000-0000B12D0000}"/>
    <cellStyle name="Currency 5 2 3 2 3 4 7 3" xfId="13137" xr:uid="{00000000-0005-0000-0000-0000B22D0000}"/>
    <cellStyle name="Currency 5 2 3 2 3 4 7 3 2" xfId="13138" xr:uid="{00000000-0005-0000-0000-0000B32D0000}"/>
    <cellStyle name="Currency 5 2 3 2 3 4 7 4" xfId="13139" xr:uid="{00000000-0005-0000-0000-0000B42D0000}"/>
    <cellStyle name="Currency 5 2 3 2 3 4 8" xfId="13140" xr:uid="{00000000-0005-0000-0000-0000B52D0000}"/>
    <cellStyle name="Currency 5 2 3 2 3 4 8 2" xfId="13141" xr:uid="{00000000-0005-0000-0000-0000B62D0000}"/>
    <cellStyle name="Currency 5 2 3 2 3 4 8 2 2" xfId="13142" xr:uid="{00000000-0005-0000-0000-0000B72D0000}"/>
    <cellStyle name="Currency 5 2 3 2 3 4 8 3" xfId="13143" xr:uid="{00000000-0005-0000-0000-0000B82D0000}"/>
    <cellStyle name="Currency 5 2 3 2 3 4 9" xfId="13144" xr:uid="{00000000-0005-0000-0000-0000B92D0000}"/>
    <cellStyle name="Currency 5 2 3 2 3 4 9 2" xfId="13145" xr:uid="{00000000-0005-0000-0000-0000BA2D0000}"/>
    <cellStyle name="Currency 5 2 3 2 3 5" xfId="1304" xr:uid="{00000000-0005-0000-0000-0000BB2D0000}"/>
    <cellStyle name="Currency 5 2 3 2 3 5 2" xfId="13147" xr:uid="{00000000-0005-0000-0000-0000BC2D0000}"/>
    <cellStyle name="Currency 5 2 3 2 3 5 2 2" xfId="13148" xr:uid="{00000000-0005-0000-0000-0000BD2D0000}"/>
    <cellStyle name="Currency 5 2 3 2 3 5 2 2 2" xfId="13149" xr:uid="{00000000-0005-0000-0000-0000BE2D0000}"/>
    <cellStyle name="Currency 5 2 3 2 3 5 2 2 2 2" xfId="13150" xr:uid="{00000000-0005-0000-0000-0000BF2D0000}"/>
    <cellStyle name="Currency 5 2 3 2 3 5 2 2 3" xfId="13151" xr:uid="{00000000-0005-0000-0000-0000C02D0000}"/>
    <cellStyle name="Currency 5 2 3 2 3 5 2 3" xfId="13152" xr:uid="{00000000-0005-0000-0000-0000C12D0000}"/>
    <cellStyle name="Currency 5 2 3 2 3 5 2 3 2" xfId="13153" xr:uid="{00000000-0005-0000-0000-0000C22D0000}"/>
    <cellStyle name="Currency 5 2 3 2 3 5 2 4" xfId="13154" xr:uid="{00000000-0005-0000-0000-0000C32D0000}"/>
    <cellStyle name="Currency 5 2 3 2 3 5 3" xfId="13155" xr:uid="{00000000-0005-0000-0000-0000C42D0000}"/>
    <cellStyle name="Currency 5 2 3 2 3 5 3 2" xfId="13156" xr:uid="{00000000-0005-0000-0000-0000C52D0000}"/>
    <cellStyle name="Currency 5 2 3 2 3 5 3 2 2" xfId="13157" xr:uid="{00000000-0005-0000-0000-0000C62D0000}"/>
    <cellStyle name="Currency 5 2 3 2 3 5 3 2 2 2" xfId="13158" xr:uid="{00000000-0005-0000-0000-0000C72D0000}"/>
    <cellStyle name="Currency 5 2 3 2 3 5 3 2 3" xfId="13159" xr:uid="{00000000-0005-0000-0000-0000C82D0000}"/>
    <cellStyle name="Currency 5 2 3 2 3 5 3 3" xfId="13160" xr:uid="{00000000-0005-0000-0000-0000C92D0000}"/>
    <cellStyle name="Currency 5 2 3 2 3 5 3 3 2" xfId="13161" xr:uid="{00000000-0005-0000-0000-0000CA2D0000}"/>
    <cellStyle name="Currency 5 2 3 2 3 5 3 4" xfId="13162" xr:uid="{00000000-0005-0000-0000-0000CB2D0000}"/>
    <cellStyle name="Currency 5 2 3 2 3 5 4" xfId="13163" xr:uid="{00000000-0005-0000-0000-0000CC2D0000}"/>
    <cellStyle name="Currency 5 2 3 2 3 5 4 2" xfId="13164" xr:uid="{00000000-0005-0000-0000-0000CD2D0000}"/>
    <cellStyle name="Currency 5 2 3 2 3 5 4 2 2" xfId="13165" xr:uid="{00000000-0005-0000-0000-0000CE2D0000}"/>
    <cellStyle name="Currency 5 2 3 2 3 5 4 3" xfId="13166" xr:uid="{00000000-0005-0000-0000-0000CF2D0000}"/>
    <cellStyle name="Currency 5 2 3 2 3 5 5" xfId="13167" xr:uid="{00000000-0005-0000-0000-0000D02D0000}"/>
    <cellStyle name="Currency 5 2 3 2 3 5 5 2" xfId="13168" xr:uid="{00000000-0005-0000-0000-0000D12D0000}"/>
    <cellStyle name="Currency 5 2 3 2 3 5 6" xfId="13169" xr:uid="{00000000-0005-0000-0000-0000D22D0000}"/>
    <cellStyle name="Currency 5 2 3 2 3 5 7" xfId="13146" xr:uid="{00000000-0005-0000-0000-0000D32D0000}"/>
    <cellStyle name="Currency 5 2 3 2 3 6" xfId="13170" xr:uid="{00000000-0005-0000-0000-0000D42D0000}"/>
    <cellStyle name="Currency 5 2 3 2 3 6 2" xfId="13171" xr:uid="{00000000-0005-0000-0000-0000D52D0000}"/>
    <cellStyle name="Currency 5 2 3 2 3 6 2 2" xfId="13172" xr:uid="{00000000-0005-0000-0000-0000D62D0000}"/>
    <cellStyle name="Currency 5 2 3 2 3 6 2 2 2" xfId="13173" xr:uid="{00000000-0005-0000-0000-0000D72D0000}"/>
    <cellStyle name="Currency 5 2 3 2 3 6 2 2 2 2" xfId="13174" xr:uid="{00000000-0005-0000-0000-0000D82D0000}"/>
    <cellStyle name="Currency 5 2 3 2 3 6 2 2 3" xfId="13175" xr:uid="{00000000-0005-0000-0000-0000D92D0000}"/>
    <cellStyle name="Currency 5 2 3 2 3 6 2 3" xfId="13176" xr:uid="{00000000-0005-0000-0000-0000DA2D0000}"/>
    <cellStyle name="Currency 5 2 3 2 3 6 2 3 2" xfId="13177" xr:uid="{00000000-0005-0000-0000-0000DB2D0000}"/>
    <cellStyle name="Currency 5 2 3 2 3 6 2 4" xfId="13178" xr:uid="{00000000-0005-0000-0000-0000DC2D0000}"/>
    <cellStyle name="Currency 5 2 3 2 3 6 3" xfId="13179" xr:uid="{00000000-0005-0000-0000-0000DD2D0000}"/>
    <cellStyle name="Currency 5 2 3 2 3 6 3 2" xfId="13180" xr:uid="{00000000-0005-0000-0000-0000DE2D0000}"/>
    <cellStyle name="Currency 5 2 3 2 3 6 3 2 2" xfId="13181" xr:uid="{00000000-0005-0000-0000-0000DF2D0000}"/>
    <cellStyle name="Currency 5 2 3 2 3 6 3 3" xfId="13182" xr:uid="{00000000-0005-0000-0000-0000E02D0000}"/>
    <cellStyle name="Currency 5 2 3 2 3 6 4" xfId="13183" xr:uid="{00000000-0005-0000-0000-0000E12D0000}"/>
    <cellStyle name="Currency 5 2 3 2 3 6 4 2" xfId="13184" xr:uid="{00000000-0005-0000-0000-0000E22D0000}"/>
    <cellStyle name="Currency 5 2 3 2 3 6 5" xfId="13185" xr:uid="{00000000-0005-0000-0000-0000E32D0000}"/>
    <cellStyle name="Currency 5 2 3 2 3 7" xfId="13186" xr:uid="{00000000-0005-0000-0000-0000E42D0000}"/>
    <cellStyle name="Currency 5 2 3 2 3 7 2" xfId="13187" xr:uid="{00000000-0005-0000-0000-0000E52D0000}"/>
    <cellStyle name="Currency 5 2 3 2 3 7 2 2" xfId="13188" xr:uid="{00000000-0005-0000-0000-0000E62D0000}"/>
    <cellStyle name="Currency 5 2 3 2 3 7 2 2 2" xfId="13189" xr:uid="{00000000-0005-0000-0000-0000E72D0000}"/>
    <cellStyle name="Currency 5 2 3 2 3 7 2 2 2 2" xfId="13190" xr:uid="{00000000-0005-0000-0000-0000E82D0000}"/>
    <cellStyle name="Currency 5 2 3 2 3 7 2 2 3" xfId="13191" xr:uid="{00000000-0005-0000-0000-0000E92D0000}"/>
    <cellStyle name="Currency 5 2 3 2 3 7 2 3" xfId="13192" xr:uid="{00000000-0005-0000-0000-0000EA2D0000}"/>
    <cellStyle name="Currency 5 2 3 2 3 7 2 3 2" xfId="13193" xr:uid="{00000000-0005-0000-0000-0000EB2D0000}"/>
    <cellStyle name="Currency 5 2 3 2 3 7 2 4" xfId="13194" xr:uid="{00000000-0005-0000-0000-0000EC2D0000}"/>
    <cellStyle name="Currency 5 2 3 2 3 7 3" xfId="13195" xr:uid="{00000000-0005-0000-0000-0000ED2D0000}"/>
    <cellStyle name="Currency 5 2 3 2 3 7 3 2" xfId="13196" xr:uid="{00000000-0005-0000-0000-0000EE2D0000}"/>
    <cellStyle name="Currency 5 2 3 2 3 7 3 2 2" xfId="13197" xr:uid="{00000000-0005-0000-0000-0000EF2D0000}"/>
    <cellStyle name="Currency 5 2 3 2 3 7 3 3" xfId="13198" xr:uid="{00000000-0005-0000-0000-0000F02D0000}"/>
    <cellStyle name="Currency 5 2 3 2 3 7 4" xfId="13199" xr:uid="{00000000-0005-0000-0000-0000F12D0000}"/>
    <cellStyle name="Currency 5 2 3 2 3 7 4 2" xfId="13200" xr:uid="{00000000-0005-0000-0000-0000F22D0000}"/>
    <cellStyle name="Currency 5 2 3 2 3 7 5" xfId="13201" xr:uid="{00000000-0005-0000-0000-0000F32D0000}"/>
    <cellStyle name="Currency 5 2 3 2 3 8" xfId="13202" xr:uid="{00000000-0005-0000-0000-0000F42D0000}"/>
    <cellStyle name="Currency 5 2 3 2 3 8 2" xfId="13203" xr:uid="{00000000-0005-0000-0000-0000F52D0000}"/>
    <cellStyle name="Currency 5 2 3 2 3 8 2 2" xfId="13204" xr:uid="{00000000-0005-0000-0000-0000F62D0000}"/>
    <cellStyle name="Currency 5 2 3 2 3 8 2 2 2" xfId="13205" xr:uid="{00000000-0005-0000-0000-0000F72D0000}"/>
    <cellStyle name="Currency 5 2 3 2 3 8 2 3" xfId="13206" xr:uid="{00000000-0005-0000-0000-0000F82D0000}"/>
    <cellStyle name="Currency 5 2 3 2 3 8 3" xfId="13207" xr:uid="{00000000-0005-0000-0000-0000F92D0000}"/>
    <cellStyle name="Currency 5 2 3 2 3 8 3 2" xfId="13208" xr:uid="{00000000-0005-0000-0000-0000FA2D0000}"/>
    <cellStyle name="Currency 5 2 3 2 3 8 4" xfId="13209" xr:uid="{00000000-0005-0000-0000-0000FB2D0000}"/>
    <cellStyle name="Currency 5 2 3 2 3 9" xfId="13210" xr:uid="{00000000-0005-0000-0000-0000FC2D0000}"/>
    <cellStyle name="Currency 5 2 3 2 3 9 2" xfId="13211" xr:uid="{00000000-0005-0000-0000-0000FD2D0000}"/>
    <cellStyle name="Currency 5 2 3 2 3 9 2 2" xfId="13212" xr:uid="{00000000-0005-0000-0000-0000FE2D0000}"/>
    <cellStyle name="Currency 5 2 3 2 3 9 2 2 2" xfId="13213" xr:uid="{00000000-0005-0000-0000-0000FF2D0000}"/>
    <cellStyle name="Currency 5 2 3 2 3 9 2 3" xfId="13214" xr:uid="{00000000-0005-0000-0000-0000002E0000}"/>
    <cellStyle name="Currency 5 2 3 2 3 9 3" xfId="13215" xr:uid="{00000000-0005-0000-0000-0000012E0000}"/>
    <cellStyle name="Currency 5 2 3 2 3 9 3 2" xfId="13216" xr:uid="{00000000-0005-0000-0000-0000022E0000}"/>
    <cellStyle name="Currency 5 2 3 2 3 9 4" xfId="13217" xr:uid="{00000000-0005-0000-0000-0000032E0000}"/>
    <cellStyle name="Currency 5 2 3 2 4" xfId="326" xr:uid="{00000000-0005-0000-0000-0000042E0000}"/>
    <cellStyle name="Currency 5 2 3 2 4 10" xfId="13219" xr:uid="{00000000-0005-0000-0000-0000052E0000}"/>
    <cellStyle name="Currency 5 2 3 2 4 10 2" xfId="13220" xr:uid="{00000000-0005-0000-0000-0000062E0000}"/>
    <cellStyle name="Currency 5 2 3 2 4 10 2 2" xfId="13221" xr:uid="{00000000-0005-0000-0000-0000072E0000}"/>
    <cellStyle name="Currency 5 2 3 2 4 10 3" xfId="13222" xr:uid="{00000000-0005-0000-0000-0000082E0000}"/>
    <cellStyle name="Currency 5 2 3 2 4 11" xfId="13223" xr:uid="{00000000-0005-0000-0000-0000092E0000}"/>
    <cellStyle name="Currency 5 2 3 2 4 11 2" xfId="13224" xr:uid="{00000000-0005-0000-0000-00000A2E0000}"/>
    <cellStyle name="Currency 5 2 3 2 4 11 2 2" xfId="13225" xr:uid="{00000000-0005-0000-0000-00000B2E0000}"/>
    <cellStyle name="Currency 5 2 3 2 4 11 3" xfId="13226" xr:uid="{00000000-0005-0000-0000-00000C2E0000}"/>
    <cellStyle name="Currency 5 2 3 2 4 12" xfId="13227" xr:uid="{00000000-0005-0000-0000-00000D2E0000}"/>
    <cellStyle name="Currency 5 2 3 2 4 12 2" xfId="13228" xr:uid="{00000000-0005-0000-0000-00000E2E0000}"/>
    <cellStyle name="Currency 5 2 3 2 4 13" xfId="13229" xr:uid="{00000000-0005-0000-0000-00000F2E0000}"/>
    <cellStyle name="Currency 5 2 3 2 4 14" xfId="13230" xr:uid="{00000000-0005-0000-0000-0000102E0000}"/>
    <cellStyle name="Currency 5 2 3 2 4 15" xfId="13218" xr:uid="{00000000-0005-0000-0000-0000112E0000}"/>
    <cellStyle name="Currency 5 2 3 2 4 2" xfId="890" xr:uid="{00000000-0005-0000-0000-0000122E0000}"/>
    <cellStyle name="Currency 5 2 3 2 4 2 10" xfId="13232" xr:uid="{00000000-0005-0000-0000-0000132E0000}"/>
    <cellStyle name="Currency 5 2 3 2 4 2 11" xfId="13231" xr:uid="{00000000-0005-0000-0000-0000142E0000}"/>
    <cellStyle name="Currency 5 2 3 2 4 2 2" xfId="1631" xr:uid="{00000000-0005-0000-0000-0000152E0000}"/>
    <cellStyle name="Currency 5 2 3 2 4 2 2 2" xfId="13234" xr:uid="{00000000-0005-0000-0000-0000162E0000}"/>
    <cellStyle name="Currency 5 2 3 2 4 2 2 2 2" xfId="13235" xr:uid="{00000000-0005-0000-0000-0000172E0000}"/>
    <cellStyle name="Currency 5 2 3 2 4 2 2 2 2 2" xfId="13236" xr:uid="{00000000-0005-0000-0000-0000182E0000}"/>
    <cellStyle name="Currency 5 2 3 2 4 2 2 2 2 2 2" xfId="13237" xr:uid="{00000000-0005-0000-0000-0000192E0000}"/>
    <cellStyle name="Currency 5 2 3 2 4 2 2 2 2 3" xfId="13238" xr:uid="{00000000-0005-0000-0000-00001A2E0000}"/>
    <cellStyle name="Currency 5 2 3 2 4 2 2 2 3" xfId="13239" xr:uid="{00000000-0005-0000-0000-00001B2E0000}"/>
    <cellStyle name="Currency 5 2 3 2 4 2 2 2 3 2" xfId="13240" xr:uid="{00000000-0005-0000-0000-00001C2E0000}"/>
    <cellStyle name="Currency 5 2 3 2 4 2 2 2 4" xfId="13241" xr:uid="{00000000-0005-0000-0000-00001D2E0000}"/>
    <cellStyle name="Currency 5 2 3 2 4 2 2 3" xfId="13242" xr:uid="{00000000-0005-0000-0000-00001E2E0000}"/>
    <cellStyle name="Currency 5 2 3 2 4 2 2 3 2" xfId="13243" xr:uid="{00000000-0005-0000-0000-00001F2E0000}"/>
    <cellStyle name="Currency 5 2 3 2 4 2 2 3 2 2" xfId="13244" xr:uid="{00000000-0005-0000-0000-0000202E0000}"/>
    <cellStyle name="Currency 5 2 3 2 4 2 2 3 2 2 2" xfId="13245" xr:uid="{00000000-0005-0000-0000-0000212E0000}"/>
    <cellStyle name="Currency 5 2 3 2 4 2 2 3 2 3" xfId="13246" xr:uid="{00000000-0005-0000-0000-0000222E0000}"/>
    <cellStyle name="Currency 5 2 3 2 4 2 2 3 3" xfId="13247" xr:uid="{00000000-0005-0000-0000-0000232E0000}"/>
    <cellStyle name="Currency 5 2 3 2 4 2 2 3 3 2" xfId="13248" xr:uid="{00000000-0005-0000-0000-0000242E0000}"/>
    <cellStyle name="Currency 5 2 3 2 4 2 2 3 4" xfId="13249" xr:uid="{00000000-0005-0000-0000-0000252E0000}"/>
    <cellStyle name="Currency 5 2 3 2 4 2 2 4" xfId="13250" xr:uid="{00000000-0005-0000-0000-0000262E0000}"/>
    <cellStyle name="Currency 5 2 3 2 4 2 2 4 2" xfId="13251" xr:uid="{00000000-0005-0000-0000-0000272E0000}"/>
    <cellStyle name="Currency 5 2 3 2 4 2 2 4 2 2" xfId="13252" xr:uid="{00000000-0005-0000-0000-0000282E0000}"/>
    <cellStyle name="Currency 5 2 3 2 4 2 2 4 3" xfId="13253" xr:uid="{00000000-0005-0000-0000-0000292E0000}"/>
    <cellStyle name="Currency 5 2 3 2 4 2 2 5" xfId="13254" xr:uid="{00000000-0005-0000-0000-00002A2E0000}"/>
    <cellStyle name="Currency 5 2 3 2 4 2 2 5 2" xfId="13255" xr:uid="{00000000-0005-0000-0000-00002B2E0000}"/>
    <cellStyle name="Currency 5 2 3 2 4 2 2 6" xfId="13256" xr:uid="{00000000-0005-0000-0000-00002C2E0000}"/>
    <cellStyle name="Currency 5 2 3 2 4 2 2 7" xfId="13233" xr:uid="{00000000-0005-0000-0000-00002D2E0000}"/>
    <cellStyle name="Currency 5 2 3 2 4 2 3" xfId="13257" xr:uid="{00000000-0005-0000-0000-00002E2E0000}"/>
    <cellStyle name="Currency 5 2 3 2 4 2 3 2" xfId="13258" xr:uid="{00000000-0005-0000-0000-00002F2E0000}"/>
    <cellStyle name="Currency 5 2 3 2 4 2 3 2 2" xfId="13259" xr:uid="{00000000-0005-0000-0000-0000302E0000}"/>
    <cellStyle name="Currency 5 2 3 2 4 2 3 2 2 2" xfId="13260" xr:uid="{00000000-0005-0000-0000-0000312E0000}"/>
    <cellStyle name="Currency 5 2 3 2 4 2 3 2 2 2 2" xfId="13261" xr:uid="{00000000-0005-0000-0000-0000322E0000}"/>
    <cellStyle name="Currency 5 2 3 2 4 2 3 2 2 3" xfId="13262" xr:uid="{00000000-0005-0000-0000-0000332E0000}"/>
    <cellStyle name="Currency 5 2 3 2 4 2 3 2 3" xfId="13263" xr:uid="{00000000-0005-0000-0000-0000342E0000}"/>
    <cellStyle name="Currency 5 2 3 2 4 2 3 2 3 2" xfId="13264" xr:uid="{00000000-0005-0000-0000-0000352E0000}"/>
    <cellStyle name="Currency 5 2 3 2 4 2 3 2 4" xfId="13265" xr:uid="{00000000-0005-0000-0000-0000362E0000}"/>
    <cellStyle name="Currency 5 2 3 2 4 2 3 3" xfId="13266" xr:uid="{00000000-0005-0000-0000-0000372E0000}"/>
    <cellStyle name="Currency 5 2 3 2 4 2 3 3 2" xfId="13267" xr:uid="{00000000-0005-0000-0000-0000382E0000}"/>
    <cellStyle name="Currency 5 2 3 2 4 2 3 3 2 2" xfId="13268" xr:uid="{00000000-0005-0000-0000-0000392E0000}"/>
    <cellStyle name="Currency 5 2 3 2 4 2 3 3 3" xfId="13269" xr:uid="{00000000-0005-0000-0000-00003A2E0000}"/>
    <cellStyle name="Currency 5 2 3 2 4 2 3 4" xfId="13270" xr:uid="{00000000-0005-0000-0000-00003B2E0000}"/>
    <cellStyle name="Currency 5 2 3 2 4 2 3 4 2" xfId="13271" xr:uid="{00000000-0005-0000-0000-00003C2E0000}"/>
    <cellStyle name="Currency 5 2 3 2 4 2 3 5" xfId="13272" xr:uid="{00000000-0005-0000-0000-00003D2E0000}"/>
    <cellStyle name="Currency 5 2 3 2 4 2 4" xfId="13273" xr:uid="{00000000-0005-0000-0000-00003E2E0000}"/>
    <cellStyle name="Currency 5 2 3 2 4 2 4 2" xfId="13274" xr:uid="{00000000-0005-0000-0000-00003F2E0000}"/>
    <cellStyle name="Currency 5 2 3 2 4 2 4 2 2" xfId="13275" xr:uid="{00000000-0005-0000-0000-0000402E0000}"/>
    <cellStyle name="Currency 5 2 3 2 4 2 4 2 2 2" xfId="13276" xr:uid="{00000000-0005-0000-0000-0000412E0000}"/>
    <cellStyle name="Currency 5 2 3 2 4 2 4 2 2 2 2" xfId="13277" xr:uid="{00000000-0005-0000-0000-0000422E0000}"/>
    <cellStyle name="Currency 5 2 3 2 4 2 4 2 2 3" xfId="13278" xr:uid="{00000000-0005-0000-0000-0000432E0000}"/>
    <cellStyle name="Currency 5 2 3 2 4 2 4 2 3" xfId="13279" xr:uid="{00000000-0005-0000-0000-0000442E0000}"/>
    <cellStyle name="Currency 5 2 3 2 4 2 4 2 3 2" xfId="13280" xr:uid="{00000000-0005-0000-0000-0000452E0000}"/>
    <cellStyle name="Currency 5 2 3 2 4 2 4 2 4" xfId="13281" xr:uid="{00000000-0005-0000-0000-0000462E0000}"/>
    <cellStyle name="Currency 5 2 3 2 4 2 4 3" xfId="13282" xr:uid="{00000000-0005-0000-0000-0000472E0000}"/>
    <cellStyle name="Currency 5 2 3 2 4 2 4 3 2" xfId="13283" xr:uid="{00000000-0005-0000-0000-0000482E0000}"/>
    <cellStyle name="Currency 5 2 3 2 4 2 4 3 2 2" xfId="13284" xr:uid="{00000000-0005-0000-0000-0000492E0000}"/>
    <cellStyle name="Currency 5 2 3 2 4 2 4 3 3" xfId="13285" xr:uid="{00000000-0005-0000-0000-00004A2E0000}"/>
    <cellStyle name="Currency 5 2 3 2 4 2 4 4" xfId="13286" xr:uid="{00000000-0005-0000-0000-00004B2E0000}"/>
    <cellStyle name="Currency 5 2 3 2 4 2 4 4 2" xfId="13287" xr:uid="{00000000-0005-0000-0000-00004C2E0000}"/>
    <cellStyle name="Currency 5 2 3 2 4 2 4 5" xfId="13288" xr:uid="{00000000-0005-0000-0000-00004D2E0000}"/>
    <cellStyle name="Currency 5 2 3 2 4 2 5" xfId="13289" xr:uid="{00000000-0005-0000-0000-00004E2E0000}"/>
    <cellStyle name="Currency 5 2 3 2 4 2 5 2" xfId="13290" xr:uid="{00000000-0005-0000-0000-00004F2E0000}"/>
    <cellStyle name="Currency 5 2 3 2 4 2 5 2 2" xfId="13291" xr:uid="{00000000-0005-0000-0000-0000502E0000}"/>
    <cellStyle name="Currency 5 2 3 2 4 2 5 2 2 2" xfId="13292" xr:uid="{00000000-0005-0000-0000-0000512E0000}"/>
    <cellStyle name="Currency 5 2 3 2 4 2 5 2 3" xfId="13293" xr:uid="{00000000-0005-0000-0000-0000522E0000}"/>
    <cellStyle name="Currency 5 2 3 2 4 2 5 3" xfId="13294" xr:uid="{00000000-0005-0000-0000-0000532E0000}"/>
    <cellStyle name="Currency 5 2 3 2 4 2 5 3 2" xfId="13295" xr:uid="{00000000-0005-0000-0000-0000542E0000}"/>
    <cellStyle name="Currency 5 2 3 2 4 2 5 4" xfId="13296" xr:uid="{00000000-0005-0000-0000-0000552E0000}"/>
    <cellStyle name="Currency 5 2 3 2 4 2 6" xfId="13297" xr:uid="{00000000-0005-0000-0000-0000562E0000}"/>
    <cellStyle name="Currency 5 2 3 2 4 2 6 2" xfId="13298" xr:uid="{00000000-0005-0000-0000-0000572E0000}"/>
    <cellStyle name="Currency 5 2 3 2 4 2 6 2 2" xfId="13299" xr:uid="{00000000-0005-0000-0000-0000582E0000}"/>
    <cellStyle name="Currency 5 2 3 2 4 2 6 2 2 2" xfId="13300" xr:uid="{00000000-0005-0000-0000-0000592E0000}"/>
    <cellStyle name="Currency 5 2 3 2 4 2 6 2 3" xfId="13301" xr:uid="{00000000-0005-0000-0000-00005A2E0000}"/>
    <cellStyle name="Currency 5 2 3 2 4 2 6 3" xfId="13302" xr:uid="{00000000-0005-0000-0000-00005B2E0000}"/>
    <cellStyle name="Currency 5 2 3 2 4 2 6 3 2" xfId="13303" xr:uid="{00000000-0005-0000-0000-00005C2E0000}"/>
    <cellStyle name="Currency 5 2 3 2 4 2 6 4" xfId="13304" xr:uid="{00000000-0005-0000-0000-00005D2E0000}"/>
    <cellStyle name="Currency 5 2 3 2 4 2 7" xfId="13305" xr:uid="{00000000-0005-0000-0000-00005E2E0000}"/>
    <cellStyle name="Currency 5 2 3 2 4 2 7 2" xfId="13306" xr:uid="{00000000-0005-0000-0000-00005F2E0000}"/>
    <cellStyle name="Currency 5 2 3 2 4 2 7 2 2" xfId="13307" xr:uid="{00000000-0005-0000-0000-0000602E0000}"/>
    <cellStyle name="Currency 5 2 3 2 4 2 7 2 2 2" xfId="13308" xr:uid="{00000000-0005-0000-0000-0000612E0000}"/>
    <cellStyle name="Currency 5 2 3 2 4 2 7 2 3" xfId="13309" xr:uid="{00000000-0005-0000-0000-0000622E0000}"/>
    <cellStyle name="Currency 5 2 3 2 4 2 7 3" xfId="13310" xr:uid="{00000000-0005-0000-0000-0000632E0000}"/>
    <cellStyle name="Currency 5 2 3 2 4 2 7 3 2" xfId="13311" xr:uid="{00000000-0005-0000-0000-0000642E0000}"/>
    <cellStyle name="Currency 5 2 3 2 4 2 7 4" xfId="13312" xr:uid="{00000000-0005-0000-0000-0000652E0000}"/>
    <cellStyle name="Currency 5 2 3 2 4 2 8" xfId="13313" xr:uid="{00000000-0005-0000-0000-0000662E0000}"/>
    <cellStyle name="Currency 5 2 3 2 4 2 8 2" xfId="13314" xr:uid="{00000000-0005-0000-0000-0000672E0000}"/>
    <cellStyle name="Currency 5 2 3 2 4 2 8 2 2" xfId="13315" xr:uid="{00000000-0005-0000-0000-0000682E0000}"/>
    <cellStyle name="Currency 5 2 3 2 4 2 8 3" xfId="13316" xr:uid="{00000000-0005-0000-0000-0000692E0000}"/>
    <cellStyle name="Currency 5 2 3 2 4 2 9" xfId="13317" xr:uid="{00000000-0005-0000-0000-00006A2E0000}"/>
    <cellStyle name="Currency 5 2 3 2 4 2 9 2" xfId="13318" xr:uid="{00000000-0005-0000-0000-00006B2E0000}"/>
    <cellStyle name="Currency 5 2 3 2 4 3" xfId="1306" xr:uid="{00000000-0005-0000-0000-00006C2E0000}"/>
    <cellStyle name="Currency 5 2 3 2 4 3 2" xfId="13320" xr:uid="{00000000-0005-0000-0000-00006D2E0000}"/>
    <cellStyle name="Currency 5 2 3 2 4 3 2 2" xfId="13321" xr:uid="{00000000-0005-0000-0000-00006E2E0000}"/>
    <cellStyle name="Currency 5 2 3 2 4 3 2 2 2" xfId="13322" xr:uid="{00000000-0005-0000-0000-00006F2E0000}"/>
    <cellStyle name="Currency 5 2 3 2 4 3 2 2 2 2" xfId="13323" xr:uid="{00000000-0005-0000-0000-0000702E0000}"/>
    <cellStyle name="Currency 5 2 3 2 4 3 2 2 3" xfId="13324" xr:uid="{00000000-0005-0000-0000-0000712E0000}"/>
    <cellStyle name="Currency 5 2 3 2 4 3 2 3" xfId="13325" xr:uid="{00000000-0005-0000-0000-0000722E0000}"/>
    <cellStyle name="Currency 5 2 3 2 4 3 2 3 2" xfId="13326" xr:uid="{00000000-0005-0000-0000-0000732E0000}"/>
    <cellStyle name="Currency 5 2 3 2 4 3 2 4" xfId="13327" xr:uid="{00000000-0005-0000-0000-0000742E0000}"/>
    <cellStyle name="Currency 5 2 3 2 4 3 3" xfId="13328" xr:uid="{00000000-0005-0000-0000-0000752E0000}"/>
    <cellStyle name="Currency 5 2 3 2 4 3 3 2" xfId="13329" xr:uid="{00000000-0005-0000-0000-0000762E0000}"/>
    <cellStyle name="Currency 5 2 3 2 4 3 3 2 2" xfId="13330" xr:uid="{00000000-0005-0000-0000-0000772E0000}"/>
    <cellStyle name="Currency 5 2 3 2 4 3 3 2 2 2" xfId="13331" xr:uid="{00000000-0005-0000-0000-0000782E0000}"/>
    <cellStyle name="Currency 5 2 3 2 4 3 3 2 3" xfId="13332" xr:uid="{00000000-0005-0000-0000-0000792E0000}"/>
    <cellStyle name="Currency 5 2 3 2 4 3 3 3" xfId="13333" xr:uid="{00000000-0005-0000-0000-00007A2E0000}"/>
    <cellStyle name="Currency 5 2 3 2 4 3 3 3 2" xfId="13334" xr:uid="{00000000-0005-0000-0000-00007B2E0000}"/>
    <cellStyle name="Currency 5 2 3 2 4 3 3 4" xfId="13335" xr:uid="{00000000-0005-0000-0000-00007C2E0000}"/>
    <cellStyle name="Currency 5 2 3 2 4 3 4" xfId="13336" xr:uid="{00000000-0005-0000-0000-00007D2E0000}"/>
    <cellStyle name="Currency 5 2 3 2 4 3 4 2" xfId="13337" xr:uid="{00000000-0005-0000-0000-00007E2E0000}"/>
    <cellStyle name="Currency 5 2 3 2 4 3 4 2 2" xfId="13338" xr:uid="{00000000-0005-0000-0000-00007F2E0000}"/>
    <cellStyle name="Currency 5 2 3 2 4 3 4 3" xfId="13339" xr:uid="{00000000-0005-0000-0000-0000802E0000}"/>
    <cellStyle name="Currency 5 2 3 2 4 3 5" xfId="13340" xr:uid="{00000000-0005-0000-0000-0000812E0000}"/>
    <cellStyle name="Currency 5 2 3 2 4 3 5 2" xfId="13341" xr:uid="{00000000-0005-0000-0000-0000822E0000}"/>
    <cellStyle name="Currency 5 2 3 2 4 3 6" xfId="13342" xr:uid="{00000000-0005-0000-0000-0000832E0000}"/>
    <cellStyle name="Currency 5 2 3 2 4 3 7" xfId="13319" xr:uid="{00000000-0005-0000-0000-0000842E0000}"/>
    <cellStyle name="Currency 5 2 3 2 4 4" xfId="13343" xr:uid="{00000000-0005-0000-0000-0000852E0000}"/>
    <cellStyle name="Currency 5 2 3 2 4 4 2" xfId="13344" xr:uid="{00000000-0005-0000-0000-0000862E0000}"/>
    <cellStyle name="Currency 5 2 3 2 4 4 2 2" xfId="13345" xr:uid="{00000000-0005-0000-0000-0000872E0000}"/>
    <cellStyle name="Currency 5 2 3 2 4 4 2 2 2" xfId="13346" xr:uid="{00000000-0005-0000-0000-0000882E0000}"/>
    <cellStyle name="Currency 5 2 3 2 4 4 2 2 2 2" xfId="13347" xr:uid="{00000000-0005-0000-0000-0000892E0000}"/>
    <cellStyle name="Currency 5 2 3 2 4 4 2 2 3" xfId="13348" xr:uid="{00000000-0005-0000-0000-00008A2E0000}"/>
    <cellStyle name="Currency 5 2 3 2 4 4 2 3" xfId="13349" xr:uid="{00000000-0005-0000-0000-00008B2E0000}"/>
    <cellStyle name="Currency 5 2 3 2 4 4 2 3 2" xfId="13350" xr:uid="{00000000-0005-0000-0000-00008C2E0000}"/>
    <cellStyle name="Currency 5 2 3 2 4 4 2 4" xfId="13351" xr:uid="{00000000-0005-0000-0000-00008D2E0000}"/>
    <cellStyle name="Currency 5 2 3 2 4 4 3" xfId="13352" xr:uid="{00000000-0005-0000-0000-00008E2E0000}"/>
    <cellStyle name="Currency 5 2 3 2 4 4 3 2" xfId="13353" xr:uid="{00000000-0005-0000-0000-00008F2E0000}"/>
    <cellStyle name="Currency 5 2 3 2 4 4 3 2 2" xfId="13354" xr:uid="{00000000-0005-0000-0000-0000902E0000}"/>
    <cellStyle name="Currency 5 2 3 2 4 4 3 3" xfId="13355" xr:uid="{00000000-0005-0000-0000-0000912E0000}"/>
    <cellStyle name="Currency 5 2 3 2 4 4 4" xfId="13356" xr:uid="{00000000-0005-0000-0000-0000922E0000}"/>
    <cellStyle name="Currency 5 2 3 2 4 4 4 2" xfId="13357" xr:uid="{00000000-0005-0000-0000-0000932E0000}"/>
    <cellStyle name="Currency 5 2 3 2 4 4 5" xfId="13358" xr:uid="{00000000-0005-0000-0000-0000942E0000}"/>
    <cellStyle name="Currency 5 2 3 2 4 5" xfId="13359" xr:uid="{00000000-0005-0000-0000-0000952E0000}"/>
    <cellStyle name="Currency 5 2 3 2 4 5 2" xfId="13360" xr:uid="{00000000-0005-0000-0000-0000962E0000}"/>
    <cellStyle name="Currency 5 2 3 2 4 5 2 2" xfId="13361" xr:uid="{00000000-0005-0000-0000-0000972E0000}"/>
    <cellStyle name="Currency 5 2 3 2 4 5 2 2 2" xfId="13362" xr:uid="{00000000-0005-0000-0000-0000982E0000}"/>
    <cellStyle name="Currency 5 2 3 2 4 5 2 2 2 2" xfId="13363" xr:uid="{00000000-0005-0000-0000-0000992E0000}"/>
    <cellStyle name="Currency 5 2 3 2 4 5 2 2 3" xfId="13364" xr:uid="{00000000-0005-0000-0000-00009A2E0000}"/>
    <cellStyle name="Currency 5 2 3 2 4 5 2 3" xfId="13365" xr:uid="{00000000-0005-0000-0000-00009B2E0000}"/>
    <cellStyle name="Currency 5 2 3 2 4 5 2 3 2" xfId="13366" xr:uid="{00000000-0005-0000-0000-00009C2E0000}"/>
    <cellStyle name="Currency 5 2 3 2 4 5 2 4" xfId="13367" xr:uid="{00000000-0005-0000-0000-00009D2E0000}"/>
    <cellStyle name="Currency 5 2 3 2 4 5 3" xfId="13368" xr:uid="{00000000-0005-0000-0000-00009E2E0000}"/>
    <cellStyle name="Currency 5 2 3 2 4 5 3 2" xfId="13369" xr:uid="{00000000-0005-0000-0000-00009F2E0000}"/>
    <cellStyle name="Currency 5 2 3 2 4 5 3 2 2" xfId="13370" xr:uid="{00000000-0005-0000-0000-0000A02E0000}"/>
    <cellStyle name="Currency 5 2 3 2 4 5 3 3" xfId="13371" xr:uid="{00000000-0005-0000-0000-0000A12E0000}"/>
    <cellStyle name="Currency 5 2 3 2 4 5 4" xfId="13372" xr:uid="{00000000-0005-0000-0000-0000A22E0000}"/>
    <cellStyle name="Currency 5 2 3 2 4 5 4 2" xfId="13373" xr:uid="{00000000-0005-0000-0000-0000A32E0000}"/>
    <cellStyle name="Currency 5 2 3 2 4 5 5" xfId="13374" xr:uid="{00000000-0005-0000-0000-0000A42E0000}"/>
    <cellStyle name="Currency 5 2 3 2 4 6" xfId="13375" xr:uid="{00000000-0005-0000-0000-0000A52E0000}"/>
    <cellStyle name="Currency 5 2 3 2 4 6 2" xfId="13376" xr:uid="{00000000-0005-0000-0000-0000A62E0000}"/>
    <cellStyle name="Currency 5 2 3 2 4 6 2 2" xfId="13377" xr:uid="{00000000-0005-0000-0000-0000A72E0000}"/>
    <cellStyle name="Currency 5 2 3 2 4 6 2 2 2" xfId="13378" xr:uid="{00000000-0005-0000-0000-0000A82E0000}"/>
    <cellStyle name="Currency 5 2 3 2 4 6 2 3" xfId="13379" xr:uid="{00000000-0005-0000-0000-0000A92E0000}"/>
    <cellStyle name="Currency 5 2 3 2 4 6 3" xfId="13380" xr:uid="{00000000-0005-0000-0000-0000AA2E0000}"/>
    <cellStyle name="Currency 5 2 3 2 4 6 3 2" xfId="13381" xr:uid="{00000000-0005-0000-0000-0000AB2E0000}"/>
    <cellStyle name="Currency 5 2 3 2 4 6 4" xfId="13382" xr:uid="{00000000-0005-0000-0000-0000AC2E0000}"/>
    <cellStyle name="Currency 5 2 3 2 4 7" xfId="13383" xr:uid="{00000000-0005-0000-0000-0000AD2E0000}"/>
    <cellStyle name="Currency 5 2 3 2 4 7 2" xfId="13384" xr:uid="{00000000-0005-0000-0000-0000AE2E0000}"/>
    <cellStyle name="Currency 5 2 3 2 4 7 2 2" xfId="13385" xr:uid="{00000000-0005-0000-0000-0000AF2E0000}"/>
    <cellStyle name="Currency 5 2 3 2 4 7 2 2 2" xfId="13386" xr:uid="{00000000-0005-0000-0000-0000B02E0000}"/>
    <cellStyle name="Currency 5 2 3 2 4 7 2 3" xfId="13387" xr:uid="{00000000-0005-0000-0000-0000B12E0000}"/>
    <cellStyle name="Currency 5 2 3 2 4 7 3" xfId="13388" xr:uid="{00000000-0005-0000-0000-0000B22E0000}"/>
    <cellStyle name="Currency 5 2 3 2 4 7 3 2" xfId="13389" xr:uid="{00000000-0005-0000-0000-0000B32E0000}"/>
    <cellStyle name="Currency 5 2 3 2 4 7 4" xfId="13390" xr:uid="{00000000-0005-0000-0000-0000B42E0000}"/>
    <cellStyle name="Currency 5 2 3 2 4 8" xfId="13391" xr:uid="{00000000-0005-0000-0000-0000B52E0000}"/>
    <cellStyle name="Currency 5 2 3 2 4 8 2" xfId="13392" xr:uid="{00000000-0005-0000-0000-0000B62E0000}"/>
    <cellStyle name="Currency 5 2 3 2 4 8 2 2" xfId="13393" xr:uid="{00000000-0005-0000-0000-0000B72E0000}"/>
    <cellStyle name="Currency 5 2 3 2 4 8 2 2 2" xfId="13394" xr:uid="{00000000-0005-0000-0000-0000B82E0000}"/>
    <cellStyle name="Currency 5 2 3 2 4 8 2 3" xfId="13395" xr:uid="{00000000-0005-0000-0000-0000B92E0000}"/>
    <cellStyle name="Currency 5 2 3 2 4 8 3" xfId="13396" xr:uid="{00000000-0005-0000-0000-0000BA2E0000}"/>
    <cellStyle name="Currency 5 2 3 2 4 8 3 2" xfId="13397" xr:uid="{00000000-0005-0000-0000-0000BB2E0000}"/>
    <cellStyle name="Currency 5 2 3 2 4 8 4" xfId="13398" xr:uid="{00000000-0005-0000-0000-0000BC2E0000}"/>
    <cellStyle name="Currency 5 2 3 2 4 9" xfId="13399" xr:uid="{00000000-0005-0000-0000-0000BD2E0000}"/>
    <cellStyle name="Currency 5 2 3 2 4 9 2" xfId="13400" xr:uid="{00000000-0005-0000-0000-0000BE2E0000}"/>
    <cellStyle name="Currency 5 2 3 2 4 9 2 2" xfId="13401" xr:uid="{00000000-0005-0000-0000-0000BF2E0000}"/>
    <cellStyle name="Currency 5 2 3 2 4 9 3" xfId="13402" xr:uid="{00000000-0005-0000-0000-0000C02E0000}"/>
    <cellStyle name="Currency 5 2 3 2 5" xfId="327" xr:uid="{00000000-0005-0000-0000-0000C12E0000}"/>
    <cellStyle name="Currency 5 2 3 2 6" xfId="883" xr:uid="{00000000-0005-0000-0000-0000C22E0000}"/>
    <cellStyle name="Currency 5 2 3 2 6 10" xfId="13404" xr:uid="{00000000-0005-0000-0000-0000C32E0000}"/>
    <cellStyle name="Currency 5 2 3 2 6 11" xfId="13403" xr:uid="{00000000-0005-0000-0000-0000C42E0000}"/>
    <cellStyle name="Currency 5 2 3 2 6 2" xfId="1624" xr:uid="{00000000-0005-0000-0000-0000C52E0000}"/>
    <cellStyle name="Currency 5 2 3 2 6 2 2" xfId="13406" xr:uid="{00000000-0005-0000-0000-0000C62E0000}"/>
    <cellStyle name="Currency 5 2 3 2 6 2 2 2" xfId="13407" xr:uid="{00000000-0005-0000-0000-0000C72E0000}"/>
    <cellStyle name="Currency 5 2 3 2 6 2 2 2 2" xfId="13408" xr:uid="{00000000-0005-0000-0000-0000C82E0000}"/>
    <cellStyle name="Currency 5 2 3 2 6 2 2 2 2 2" xfId="13409" xr:uid="{00000000-0005-0000-0000-0000C92E0000}"/>
    <cellStyle name="Currency 5 2 3 2 6 2 2 2 3" xfId="13410" xr:uid="{00000000-0005-0000-0000-0000CA2E0000}"/>
    <cellStyle name="Currency 5 2 3 2 6 2 2 3" xfId="13411" xr:uid="{00000000-0005-0000-0000-0000CB2E0000}"/>
    <cellStyle name="Currency 5 2 3 2 6 2 2 3 2" xfId="13412" xr:uid="{00000000-0005-0000-0000-0000CC2E0000}"/>
    <cellStyle name="Currency 5 2 3 2 6 2 2 4" xfId="13413" xr:uid="{00000000-0005-0000-0000-0000CD2E0000}"/>
    <cellStyle name="Currency 5 2 3 2 6 2 3" xfId="13414" xr:uid="{00000000-0005-0000-0000-0000CE2E0000}"/>
    <cellStyle name="Currency 5 2 3 2 6 2 3 2" xfId="13415" xr:uid="{00000000-0005-0000-0000-0000CF2E0000}"/>
    <cellStyle name="Currency 5 2 3 2 6 2 3 2 2" xfId="13416" xr:uid="{00000000-0005-0000-0000-0000D02E0000}"/>
    <cellStyle name="Currency 5 2 3 2 6 2 3 2 2 2" xfId="13417" xr:uid="{00000000-0005-0000-0000-0000D12E0000}"/>
    <cellStyle name="Currency 5 2 3 2 6 2 3 2 3" xfId="13418" xr:uid="{00000000-0005-0000-0000-0000D22E0000}"/>
    <cellStyle name="Currency 5 2 3 2 6 2 3 3" xfId="13419" xr:uid="{00000000-0005-0000-0000-0000D32E0000}"/>
    <cellStyle name="Currency 5 2 3 2 6 2 3 3 2" xfId="13420" xr:uid="{00000000-0005-0000-0000-0000D42E0000}"/>
    <cellStyle name="Currency 5 2 3 2 6 2 3 4" xfId="13421" xr:uid="{00000000-0005-0000-0000-0000D52E0000}"/>
    <cellStyle name="Currency 5 2 3 2 6 2 4" xfId="13422" xr:uid="{00000000-0005-0000-0000-0000D62E0000}"/>
    <cellStyle name="Currency 5 2 3 2 6 2 4 2" xfId="13423" xr:uid="{00000000-0005-0000-0000-0000D72E0000}"/>
    <cellStyle name="Currency 5 2 3 2 6 2 4 2 2" xfId="13424" xr:uid="{00000000-0005-0000-0000-0000D82E0000}"/>
    <cellStyle name="Currency 5 2 3 2 6 2 4 3" xfId="13425" xr:uid="{00000000-0005-0000-0000-0000D92E0000}"/>
    <cellStyle name="Currency 5 2 3 2 6 2 5" xfId="13426" xr:uid="{00000000-0005-0000-0000-0000DA2E0000}"/>
    <cellStyle name="Currency 5 2 3 2 6 2 5 2" xfId="13427" xr:uid="{00000000-0005-0000-0000-0000DB2E0000}"/>
    <cellStyle name="Currency 5 2 3 2 6 2 6" xfId="13428" xr:uid="{00000000-0005-0000-0000-0000DC2E0000}"/>
    <cellStyle name="Currency 5 2 3 2 6 2 7" xfId="13405" xr:uid="{00000000-0005-0000-0000-0000DD2E0000}"/>
    <cellStyle name="Currency 5 2 3 2 6 3" xfId="13429" xr:uid="{00000000-0005-0000-0000-0000DE2E0000}"/>
    <cellStyle name="Currency 5 2 3 2 6 3 2" xfId="13430" xr:uid="{00000000-0005-0000-0000-0000DF2E0000}"/>
    <cellStyle name="Currency 5 2 3 2 6 3 2 2" xfId="13431" xr:uid="{00000000-0005-0000-0000-0000E02E0000}"/>
    <cellStyle name="Currency 5 2 3 2 6 3 2 2 2" xfId="13432" xr:uid="{00000000-0005-0000-0000-0000E12E0000}"/>
    <cellStyle name="Currency 5 2 3 2 6 3 2 2 2 2" xfId="13433" xr:uid="{00000000-0005-0000-0000-0000E22E0000}"/>
    <cellStyle name="Currency 5 2 3 2 6 3 2 2 3" xfId="13434" xr:uid="{00000000-0005-0000-0000-0000E32E0000}"/>
    <cellStyle name="Currency 5 2 3 2 6 3 2 3" xfId="13435" xr:uid="{00000000-0005-0000-0000-0000E42E0000}"/>
    <cellStyle name="Currency 5 2 3 2 6 3 2 3 2" xfId="13436" xr:uid="{00000000-0005-0000-0000-0000E52E0000}"/>
    <cellStyle name="Currency 5 2 3 2 6 3 2 4" xfId="13437" xr:uid="{00000000-0005-0000-0000-0000E62E0000}"/>
    <cellStyle name="Currency 5 2 3 2 6 3 3" xfId="13438" xr:uid="{00000000-0005-0000-0000-0000E72E0000}"/>
    <cellStyle name="Currency 5 2 3 2 6 3 3 2" xfId="13439" xr:uid="{00000000-0005-0000-0000-0000E82E0000}"/>
    <cellStyle name="Currency 5 2 3 2 6 3 3 2 2" xfId="13440" xr:uid="{00000000-0005-0000-0000-0000E92E0000}"/>
    <cellStyle name="Currency 5 2 3 2 6 3 3 3" xfId="13441" xr:uid="{00000000-0005-0000-0000-0000EA2E0000}"/>
    <cellStyle name="Currency 5 2 3 2 6 3 4" xfId="13442" xr:uid="{00000000-0005-0000-0000-0000EB2E0000}"/>
    <cellStyle name="Currency 5 2 3 2 6 3 4 2" xfId="13443" xr:uid="{00000000-0005-0000-0000-0000EC2E0000}"/>
    <cellStyle name="Currency 5 2 3 2 6 3 5" xfId="13444" xr:uid="{00000000-0005-0000-0000-0000ED2E0000}"/>
    <cellStyle name="Currency 5 2 3 2 6 4" xfId="13445" xr:uid="{00000000-0005-0000-0000-0000EE2E0000}"/>
    <cellStyle name="Currency 5 2 3 2 6 4 2" xfId="13446" xr:uid="{00000000-0005-0000-0000-0000EF2E0000}"/>
    <cellStyle name="Currency 5 2 3 2 6 4 2 2" xfId="13447" xr:uid="{00000000-0005-0000-0000-0000F02E0000}"/>
    <cellStyle name="Currency 5 2 3 2 6 4 2 2 2" xfId="13448" xr:uid="{00000000-0005-0000-0000-0000F12E0000}"/>
    <cellStyle name="Currency 5 2 3 2 6 4 2 2 2 2" xfId="13449" xr:uid="{00000000-0005-0000-0000-0000F22E0000}"/>
    <cellStyle name="Currency 5 2 3 2 6 4 2 2 3" xfId="13450" xr:uid="{00000000-0005-0000-0000-0000F32E0000}"/>
    <cellStyle name="Currency 5 2 3 2 6 4 2 3" xfId="13451" xr:uid="{00000000-0005-0000-0000-0000F42E0000}"/>
    <cellStyle name="Currency 5 2 3 2 6 4 2 3 2" xfId="13452" xr:uid="{00000000-0005-0000-0000-0000F52E0000}"/>
    <cellStyle name="Currency 5 2 3 2 6 4 2 4" xfId="13453" xr:uid="{00000000-0005-0000-0000-0000F62E0000}"/>
    <cellStyle name="Currency 5 2 3 2 6 4 3" xfId="13454" xr:uid="{00000000-0005-0000-0000-0000F72E0000}"/>
    <cellStyle name="Currency 5 2 3 2 6 4 3 2" xfId="13455" xr:uid="{00000000-0005-0000-0000-0000F82E0000}"/>
    <cellStyle name="Currency 5 2 3 2 6 4 3 2 2" xfId="13456" xr:uid="{00000000-0005-0000-0000-0000F92E0000}"/>
    <cellStyle name="Currency 5 2 3 2 6 4 3 3" xfId="13457" xr:uid="{00000000-0005-0000-0000-0000FA2E0000}"/>
    <cellStyle name="Currency 5 2 3 2 6 4 4" xfId="13458" xr:uid="{00000000-0005-0000-0000-0000FB2E0000}"/>
    <cellStyle name="Currency 5 2 3 2 6 4 4 2" xfId="13459" xr:uid="{00000000-0005-0000-0000-0000FC2E0000}"/>
    <cellStyle name="Currency 5 2 3 2 6 4 5" xfId="13460" xr:uid="{00000000-0005-0000-0000-0000FD2E0000}"/>
    <cellStyle name="Currency 5 2 3 2 6 5" xfId="13461" xr:uid="{00000000-0005-0000-0000-0000FE2E0000}"/>
    <cellStyle name="Currency 5 2 3 2 6 5 2" xfId="13462" xr:uid="{00000000-0005-0000-0000-0000FF2E0000}"/>
    <cellStyle name="Currency 5 2 3 2 6 5 2 2" xfId="13463" xr:uid="{00000000-0005-0000-0000-0000002F0000}"/>
    <cellStyle name="Currency 5 2 3 2 6 5 2 2 2" xfId="13464" xr:uid="{00000000-0005-0000-0000-0000012F0000}"/>
    <cellStyle name="Currency 5 2 3 2 6 5 2 3" xfId="13465" xr:uid="{00000000-0005-0000-0000-0000022F0000}"/>
    <cellStyle name="Currency 5 2 3 2 6 5 3" xfId="13466" xr:uid="{00000000-0005-0000-0000-0000032F0000}"/>
    <cellStyle name="Currency 5 2 3 2 6 5 3 2" xfId="13467" xr:uid="{00000000-0005-0000-0000-0000042F0000}"/>
    <cellStyle name="Currency 5 2 3 2 6 5 4" xfId="13468" xr:uid="{00000000-0005-0000-0000-0000052F0000}"/>
    <cellStyle name="Currency 5 2 3 2 6 6" xfId="13469" xr:uid="{00000000-0005-0000-0000-0000062F0000}"/>
    <cellStyle name="Currency 5 2 3 2 6 6 2" xfId="13470" xr:uid="{00000000-0005-0000-0000-0000072F0000}"/>
    <cellStyle name="Currency 5 2 3 2 6 6 2 2" xfId="13471" xr:uid="{00000000-0005-0000-0000-0000082F0000}"/>
    <cellStyle name="Currency 5 2 3 2 6 6 2 2 2" xfId="13472" xr:uid="{00000000-0005-0000-0000-0000092F0000}"/>
    <cellStyle name="Currency 5 2 3 2 6 6 2 3" xfId="13473" xr:uid="{00000000-0005-0000-0000-00000A2F0000}"/>
    <cellStyle name="Currency 5 2 3 2 6 6 3" xfId="13474" xr:uid="{00000000-0005-0000-0000-00000B2F0000}"/>
    <cellStyle name="Currency 5 2 3 2 6 6 3 2" xfId="13475" xr:uid="{00000000-0005-0000-0000-00000C2F0000}"/>
    <cellStyle name="Currency 5 2 3 2 6 6 4" xfId="13476" xr:uid="{00000000-0005-0000-0000-00000D2F0000}"/>
    <cellStyle name="Currency 5 2 3 2 6 7" xfId="13477" xr:uid="{00000000-0005-0000-0000-00000E2F0000}"/>
    <cellStyle name="Currency 5 2 3 2 6 7 2" xfId="13478" xr:uid="{00000000-0005-0000-0000-00000F2F0000}"/>
    <cellStyle name="Currency 5 2 3 2 6 7 2 2" xfId="13479" xr:uid="{00000000-0005-0000-0000-0000102F0000}"/>
    <cellStyle name="Currency 5 2 3 2 6 7 2 2 2" xfId="13480" xr:uid="{00000000-0005-0000-0000-0000112F0000}"/>
    <cellStyle name="Currency 5 2 3 2 6 7 2 3" xfId="13481" xr:uid="{00000000-0005-0000-0000-0000122F0000}"/>
    <cellStyle name="Currency 5 2 3 2 6 7 3" xfId="13482" xr:uid="{00000000-0005-0000-0000-0000132F0000}"/>
    <cellStyle name="Currency 5 2 3 2 6 7 3 2" xfId="13483" xr:uid="{00000000-0005-0000-0000-0000142F0000}"/>
    <cellStyle name="Currency 5 2 3 2 6 7 4" xfId="13484" xr:uid="{00000000-0005-0000-0000-0000152F0000}"/>
    <cellStyle name="Currency 5 2 3 2 6 8" xfId="13485" xr:uid="{00000000-0005-0000-0000-0000162F0000}"/>
    <cellStyle name="Currency 5 2 3 2 6 8 2" xfId="13486" xr:uid="{00000000-0005-0000-0000-0000172F0000}"/>
    <cellStyle name="Currency 5 2 3 2 6 8 2 2" xfId="13487" xr:uid="{00000000-0005-0000-0000-0000182F0000}"/>
    <cellStyle name="Currency 5 2 3 2 6 8 3" xfId="13488" xr:uid="{00000000-0005-0000-0000-0000192F0000}"/>
    <cellStyle name="Currency 5 2 3 2 6 9" xfId="13489" xr:uid="{00000000-0005-0000-0000-00001A2F0000}"/>
    <cellStyle name="Currency 5 2 3 2 6 9 2" xfId="13490" xr:uid="{00000000-0005-0000-0000-00001B2F0000}"/>
    <cellStyle name="Currency 5 2 3 2 7" xfId="1299" xr:uid="{00000000-0005-0000-0000-00001C2F0000}"/>
    <cellStyle name="Currency 5 2 3 2 7 2" xfId="13492" xr:uid="{00000000-0005-0000-0000-00001D2F0000}"/>
    <cellStyle name="Currency 5 2 3 2 7 2 2" xfId="13493" xr:uid="{00000000-0005-0000-0000-00001E2F0000}"/>
    <cellStyle name="Currency 5 2 3 2 7 2 2 2" xfId="13494" xr:uid="{00000000-0005-0000-0000-00001F2F0000}"/>
    <cellStyle name="Currency 5 2 3 2 7 2 2 2 2" xfId="13495" xr:uid="{00000000-0005-0000-0000-0000202F0000}"/>
    <cellStyle name="Currency 5 2 3 2 7 2 2 3" xfId="13496" xr:uid="{00000000-0005-0000-0000-0000212F0000}"/>
    <cellStyle name="Currency 5 2 3 2 7 2 3" xfId="13497" xr:uid="{00000000-0005-0000-0000-0000222F0000}"/>
    <cellStyle name="Currency 5 2 3 2 7 2 3 2" xfId="13498" xr:uid="{00000000-0005-0000-0000-0000232F0000}"/>
    <cellStyle name="Currency 5 2 3 2 7 2 4" xfId="13499" xr:uid="{00000000-0005-0000-0000-0000242F0000}"/>
    <cellStyle name="Currency 5 2 3 2 7 3" xfId="13500" xr:uid="{00000000-0005-0000-0000-0000252F0000}"/>
    <cellStyle name="Currency 5 2 3 2 7 3 2" xfId="13501" xr:uid="{00000000-0005-0000-0000-0000262F0000}"/>
    <cellStyle name="Currency 5 2 3 2 7 3 2 2" xfId="13502" xr:uid="{00000000-0005-0000-0000-0000272F0000}"/>
    <cellStyle name="Currency 5 2 3 2 7 3 2 2 2" xfId="13503" xr:uid="{00000000-0005-0000-0000-0000282F0000}"/>
    <cellStyle name="Currency 5 2 3 2 7 3 2 3" xfId="13504" xr:uid="{00000000-0005-0000-0000-0000292F0000}"/>
    <cellStyle name="Currency 5 2 3 2 7 3 3" xfId="13505" xr:uid="{00000000-0005-0000-0000-00002A2F0000}"/>
    <cellStyle name="Currency 5 2 3 2 7 3 3 2" xfId="13506" xr:uid="{00000000-0005-0000-0000-00002B2F0000}"/>
    <cellStyle name="Currency 5 2 3 2 7 3 4" xfId="13507" xr:uid="{00000000-0005-0000-0000-00002C2F0000}"/>
    <cellStyle name="Currency 5 2 3 2 7 4" xfId="13508" xr:uid="{00000000-0005-0000-0000-00002D2F0000}"/>
    <cellStyle name="Currency 5 2 3 2 7 4 2" xfId="13509" xr:uid="{00000000-0005-0000-0000-00002E2F0000}"/>
    <cellStyle name="Currency 5 2 3 2 7 4 2 2" xfId="13510" xr:uid="{00000000-0005-0000-0000-00002F2F0000}"/>
    <cellStyle name="Currency 5 2 3 2 7 4 3" xfId="13511" xr:uid="{00000000-0005-0000-0000-0000302F0000}"/>
    <cellStyle name="Currency 5 2 3 2 7 5" xfId="13512" xr:uid="{00000000-0005-0000-0000-0000312F0000}"/>
    <cellStyle name="Currency 5 2 3 2 7 5 2" xfId="13513" xr:uid="{00000000-0005-0000-0000-0000322F0000}"/>
    <cellStyle name="Currency 5 2 3 2 7 6" xfId="13514" xr:uid="{00000000-0005-0000-0000-0000332F0000}"/>
    <cellStyle name="Currency 5 2 3 2 7 7" xfId="13491" xr:uid="{00000000-0005-0000-0000-0000342F0000}"/>
    <cellStyle name="Currency 5 2 3 2 8" xfId="13515" xr:uid="{00000000-0005-0000-0000-0000352F0000}"/>
    <cellStyle name="Currency 5 2 3 2 8 2" xfId="13516" xr:uid="{00000000-0005-0000-0000-0000362F0000}"/>
    <cellStyle name="Currency 5 2 3 2 8 2 2" xfId="13517" xr:uid="{00000000-0005-0000-0000-0000372F0000}"/>
    <cellStyle name="Currency 5 2 3 2 8 2 2 2" xfId="13518" xr:uid="{00000000-0005-0000-0000-0000382F0000}"/>
    <cellStyle name="Currency 5 2 3 2 8 2 2 2 2" xfId="13519" xr:uid="{00000000-0005-0000-0000-0000392F0000}"/>
    <cellStyle name="Currency 5 2 3 2 8 2 2 3" xfId="13520" xr:uid="{00000000-0005-0000-0000-00003A2F0000}"/>
    <cellStyle name="Currency 5 2 3 2 8 2 3" xfId="13521" xr:uid="{00000000-0005-0000-0000-00003B2F0000}"/>
    <cellStyle name="Currency 5 2 3 2 8 2 3 2" xfId="13522" xr:uid="{00000000-0005-0000-0000-00003C2F0000}"/>
    <cellStyle name="Currency 5 2 3 2 8 2 4" xfId="13523" xr:uid="{00000000-0005-0000-0000-00003D2F0000}"/>
    <cellStyle name="Currency 5 2 3 2 8 3" xfId="13524" xr:uid="{00000000-0005-0000-0000-00003E2F0000}"/>
    <cellStyle name="Currency 5 2 3 2 8 3 2" xfId="13525" xr:uid="{00000000-0005-0000-0000-00003F2F0000}"/>
    <cellStyle name="Currency 5 2 3 2 8 3 2 2" xfId="13526" xr:uid="{00000000-0005-0000-0000-0000402F0000}"/>
    <cellStyle name="Currency 5 2 3 2 8 3 3" xfId="13527" xr:uid="{00000000-0005-0000-0000-0000412F0000}"/>
    <cellStyle name="Currency 5 2 3 2 8 4" xfId="13528" xr:uid="{00000000-0005-0000-0000-0000422F0000}"/>
    <cellStyle name="Currency 5 2 3 2 8 4 2" xfId="13529" xr:uid="{00000000-0005-0000-0000-0000432F0000}"/>
    <cellStyle name="Currency 5 2 3 2 8 5" xfId="13530" xr:uid="{00000000-0005-0000-0000-0000442F0000}"/>
    <cellStyle name="Currency 5 2 3 2 9" xfId="13531" xr:uid="{00000000-0005-0000-0000-0000452F0000}"/>
    <cellStyle name="Currency 5 2 3 2 9 2" xfId="13532" xr:uid="{00000000-0005-0000-0000-0000462F0000}"/>
    <cellStyle name="Currency 5 2 3 2 9 2 2" xfId="13533" xr:uid="{00000000-0005-0000-0000-0000472F0000}"/>
    <cellStyle name="Currency 5 2 3 2 9 2 2 2" xfId="13534" xr:uid="{00000000-0005-0000-0000-0000482F0000}"/>
    <cellStyle name="Currency 5 2 3 2 9 2 2 2 2" xfId="13535" xr:uid="{00000000-0005-0000-0000-0000492F0000}"/>
    <cellStyle name="Currency 5 2 3 2 9 2 2 3" xfId="13536" xr:uid="{00000000-0005-0000-0000-00004A2F0000}"/>
    <cellStyle name="Currency 5 2 3 2 9 2 3" xfId="13537" xr:uid="{00000000-0005-0000-0000-00004B2F0000}"/>
    <cellStyle name="Currency 5 2 3 2 9 2 3 2" xfId="13538" xr:uid="{00000000-0005-0000-0000-00004C2F0000}"/>
    <cellStyle name="Currency 5 2 3 2 9 2 4" xfId="13539" xr:uid="{00000000-0005-0000-0000-00004D2F0000}"/>
    <cellStyle name="Currency 5 2 3 2 9 3" xfId="13540" xr:uid="{00000000-0005-0000-0000-00004E2F0000}"/>
    <cellStyle name="Currency 5 2 3 2 9 3 2" xfId="13541" xr:uid="{00000000-0005-0000-0000-00004F2F0000}"/>
    <cellStyle name="Currency 5 2 3 2 9 3 2 2" xfId="13542" xr:uid="{00000000-0005-0000-0000-0000502F0000}"/>
    <cellStyle name="Currency 5 2 3 2 9 3 3" xfId="13543" xr:uid="{00000000-0005-0000-0000-0000512F0000}"/>
    <cellStyle name="Currency 5 2 3 2 9 4" xfId="13544" xr:uid="{00000000-0005-0000-0000-0000522F0000}"/>
    <cellStyle name="Currency 5 2 3 2 9 4 2" xfId="13545" xr:uid="{00000000-0005-0000-0000-0000532F0000}"/>
    <cellStyle name="Currency 5 2 3 2 9 5" xfId="13546" xr:uid="{00000000-0005-0000-0000-0000542F0000}"/>
    <cellStyle name="Currency 5 2 3 20" xfId="12010" xr:uid="{00000000-0005-0000-0000-0000552F0000}"/>
    <cellStyle name="Currency 5 2 3 3" xfId="328" xr:uid="{00000000-0005-0000-0000-0000562F0000}"/>
    <cellStyle name="Currency 5 2 3 3 10" xfId="13548" xr:uid="{00000000-0005-0000-0000-0000572F0000}"/>
    <cellStyle name="Currency 5 2 3 3 10 2" xfId="13549" xr:uid="{00000000-0005-0000-0000-0000582F0000}"/>
    <cellStyle name="Currency 5 2 3 3 10 2 2" xfId="13550" xr:uid="{00000000-0005-0000-0000-0000592F0000}"/>
    <cellStyle name="Currency 5 2 3 3 10 2 2 2" xfId="13551" xr:uid="{00000000-0005-0000-0000-00005A2F0000}"/>
    <cellStyle name="Currency 5 2 3 3 10 2 3" xfId="13552" xr:uid="{00000000-0005-0000-0000-00005B2F0000}"/>
    <cellStyle name="Currency 5 2 3 3 10 3" xfId="13553" xr:uid="{00000000-0005-0000-0000-00005C2F0000}"/>
    <cellStyle name="Currency 5 2 3 3 10 3 2" xfId="13554" xr:uid="{00000000-0005-0000-0000-00005D2F0000}"/>
    <cellStyle name="Currency 5 2 3 3 10 4" xfId="13555" xr:uid="{00000000-0005-0000-0000-00005E2F0000}"/>
    <cellStyle name="Currency 5 2 3 3 11" xfId="13556" xr:uid="{00000000-0005-0000-0000-00005F2F0000}"/>
    <cellStyle name="Currency 5 2 3 3 11 2" xfId="13557" xr:uid="{00000000-0005-0000-0000-0000602F0000}"/>
    <cellStyle name="Currency 5 2 3 3 11 2 2" xfId="13558" xr:uid="{00000000-0005-0000-0000-0000612F0000}"/>
    <cellStyle name="Currency 5 2 3 3 11 2 2 2" xfId="13559" xr:uid="{00000000-0005-0000-0000-0000622F0000}"/>
    <cellStyle name="Currency 5 2 3 3 11 2 3" xfId="13560" xr:uid="{00000000-0005-0000-0000-0000632F0000}"/>
    <cellStyle name="Currency 5 2 3 3 11 3" xfId="13561" xr:uid="{00000000-0005-0000-0000-0000642F0000}"/>
    <cellStyle name="Currency 5 2 3 3 11 3 2" xfId="13562" xr:uid="{00000000-0005-0000-0000-0000652F0000}"/>
    <cellStyle name="Currency 5 2 3 3 11 4" xfId="13563" xr:uid="{00000000-0005-0000-0000-0000662F0000}"/>
    <cellStyle name="Currency 5 2 3 3 12" xfId="13564" xr:uid="{00000000-0005-0000-0000-0000672F0000}"/>
    <cellStyle name="Currency 5 2 3 3 12 2" xfId="13565" xr:uid="{00000000-0005-0000-0000-0000682F0000}"/>
    <cellStyle name="Currency 5 2 3 3 12 2 2" xfId="13566" xr:uid="{00000000-0005-0000-0000-0000692F0000}"/>
    <cellStyle name="Currency 5 2 3 3 12 3" xfId="13567" xr:uid="{00000000-0005-0000-0000-00006A2F0000}"/>
    <cellStyle name="Currency 5 2 3 3 13" xfId="13568" xr:uid="{00000000-0005-0000-0000-00006B2F0000}"/>
    <cellStyle name="Currency 5 2 3 3 13 2" xfId="13569" xr:uid="{00000000-0005-0000-0000-00006C2F0000}"/>
    <cellStyle name="Currency 5 2 3 3 13 2 2" xfId="13570" xr:uid="{00000000-0005-0000-0000-00006D2F0000}"/>
    <cellStyle name="Currency 5 2 3 3 13 3" xfId="13571" xr:uid="{00000000-0005-0000-0000-00006E2F0000}"/>
    <cellStyle name="Currency 5 2 3 3 14" xfId="13572" xr:uid="{00000000-0005-0000-0000-00006F2F0000}"/>
    <cellStyle name="Currency 5 2 3 3 14 2" xfId="13573" xr:uid="{00000000-0005-0000-0000-0000702F0000}"/>
    <cellStyle name="Currency 5 2 3 3 14 2 2" xfId="13574" xr:uid="{00000000-0005-0000-0000-0000712F0000}"/>
    <cellStyle name="Currency 5 2 3 3 14 3" xfId="13575" xr:uid="{00000000-0005-0000-0000-0000722F0000}"/>
    <cellStyle name="Currency 5 2 3 3 15" xfId="13576" xr:uid="{00000000-0005-0000-0000-0000732F0000}"/>
    <cellStyle name="Currency 5 2 3 3 15 2" xfId="13577" xr:uid="{00000000-0005-0000-0000-0000742F0000}"/>
    <cellStyle name="Currency 5 2 3 3 16" xfId="13578" xr:uid="{00000000-0005-0000-0000-0000752F0000}"/>
    <cellStyle name="Currency 5 2 3 3 17" xfId="13579" xr:uid="{00000000-0005-0000-0000-0000762F0000}"/>
    <cellStyle name="Currency 5 2 3 3 18" xfId="13547" xr:uid="{00000000-0005-0000-0000-0000772F0000}"/>
    <cellStyle name="Currency 5 2 3 3 2" xfId="329" xr:uid="{00000000-0005-0000-0000-0000782F0000}"/>
    <cellStyle name="Currency 5 2 3 3 2 10" xfId="13581" xr:uid="{00000000-0005-0000-0000-0000792F0000}"/>
    <cellStyle name="Currency 5 2 3 3 2 10 2" xfId="13582" xr:uid="{00000000-0005-0000-0000-00007A2F0000}"/>
    <cellStyle name="Currency 5 2 3 3 2 10 2 2" xfId="13583" xr:uid="{00000000-0005-0000-0000-00007B2F0000}"/>
    <cellStyle name="Currency 5 2 3 3 2 10 2 2 2" xfId="13584" xr:uid="{00000000-0005-0000-0000-00007C2F0000}"/>
    <cellStyle name="Currency 5 2 3 3 2 10 2 3" xfId="13585" xr:uid="{00000000-0005-0000-0000-00007D2F0000}"/>
    <cellStyle name="Currency 5 2 3 3 2 10 3" xfId="13586" xr:uid="{00000000-0005-0000-0000-00007E2F0000}"/>
    <cellStyle name="Currency 5 2 3 3 2 10 3 2" xfId="13587" xr:uid="{00000000-0005-0000-0000-00007F2F0000}"/>
    <cellStyle name="Currency 5 2 3 3 2 10 4" xfId="13588" xr:uid="{00000000-0005-0000-0000-0000802F0000}"/>
    <cellStyle name="Currency 5 2 3 3 2 11" xfId="13589" xr:uid="{00000000-0005-0000-0000-0000812F0000}"/>
    <cellStyle name="Currency 5 2 3 3 2 11 2" xfId="13590" xr:uid="{00000000-0005-0000-0000-0000822F0000}"/>
    <cellStyle name="Currency 5 2 3 3 2 11 2 2" xfId="13591" xr:uid="{00000000-0005-0000-0000-0000832F0000}"/>
    <cellStyle name="Currency 5 2 3 3 2 11 3" xfId="13592" xr:uid="{00000000-0005-0000-0000-0000842F0000}"/>
    <cellStyle name="Currency 5 2 3 3 2 12" xfId="13593" xr:uid="{00000000-0005-0000-0000-0000852F0000}"/>
    <cellStyle name="Currency 5 2 3 3 2 12 2" xfId="13594" xr:uid="{00000000-0005-0000-0000-0000862F0000}"/>
    <cellStyle name="Currency 5 2 3 3 2 12 2 2" xfId="13595" xr:uid="{00000000-0005-0000-0000-0000872F0000}"/>
    <cellStyle name="Currency 5 2 3 3 2 12 3" xfId="13596" xr:uid="{00000000-0005-0000-0000-0000882F0000}"/>
    <cellStyle name="Currency 5 2 3 3 2 13" xfId="13597" xr:uid="{00000000-0005-0000-0000-0000892F0000}"/>
    <cellStyle name="Currency 5 2 3 3 2 13 2" xfId="13598" xr:uid="{00000000-0005-0000-0000-00008A2F0000}"/>
    <cellStyle name="Currency 5 2 3 3 2 13 2 2" xfId="13599" xr:uid="{00000000-0005-0000-0000-00008B2F0000}"/>
    <cellStyle name="Currency 5 2 3 3 2 13 3" xfId="13600" xr:uid="{00000000-0005-0000-0000-00008C2F0000}"/>
    <cellStyle name="Currency 5 2 3 3 2 14" xfId="13601" xr:uid="{00000000-0005-0000-0000-00008D2F0000}"/>
    <cellStyle name="Currency 5 2 3 3 2 14 2" xfId="13602" xr:uid="{00000000-0005-0000-0000-00008E2F0000}"/>
    <cellStyle name="Currency 5 2 3 3 2 15" xfId="13603" xr:uid="{00000000-0005-0000-0000-00008F2F0000}"/>
    <cellStyle name="Currency 5 2 3 3 2 16" xfId="13604" xr:uid="{00000000-0005-0000-0000-0000902F0000}"/>
    <cellStyle name="Currency 5 2 3 3 2 17" xfId="13580" xr:uid="{00000000-0005-0000-0000-0000912F0000}"/>
    <cellStyle name="Currency 5 2 3 3 2 2" xfId="330" xr:uid="{00000000-0005-0000-0000-0000922F0000}"/>
    <cellStyle name="Currency 5 2 3 3 2 2 10" xfId="13606" xr:uid="{00000000-0005-0000-0000-0000932F0000}"/>
    <cellStyle name="Currency 5 2 3 3 2 2 10 2" xfId="13607" xr:uid="{00000000-0005-0000-0000-0000942F0000}"/>
    <cellStyle name="Currency 5 2 3 3 2 2 10 2 2" xfId="13608" xr:uid="{00000000-0005-0000-0000-0000952F0000}"/>
    <cellStyle name="Currency 5 2 3 3 2 2 10 3" xfId="13609" xr:uid="{00000000-0005-0000-0000-0000962F0000}"/>
    <cellStyle name="Currency 5 2 3 3 2 2 11" xfId="13610" xr:uid="{00000000-0005-0000-0000-0000972F0000}"/>
    <cellStyle name="Currency 5 2 3 3 2 2 11 2" xfId="13611" xr:uid="{00000000-0005-0000-0000-0000982F0000}"/>
    <cellStyle name="Currency 5 2 3 3 2 2 11 2 2" xfId="13612" xr:uid="{00000000-0005-0000-0000-0000992F0000}"/>
    <cellStyle name="Currency 5 2 3 3 2 2 11 3" xfId="13613" xr:uid="{00000000-0005-0000-0000-00009A2F0000}"/>
    <cellStyle name="Currency 5 2 3 3 2 2 12" xfId="13614" xr:uid="{00000000-0005-0000-0000-00009B2F0000}"/>
    <cellStyle name="Currency 5 2 3 3 2 2 12 2" xfId="13615" xr:uid="{00000000-0005-0000-0000-00009C2F0000}"/>
    <cellStyle name="Currency 5 2 3 3 2 2 13" xfId="13616" xr:uid="{00000000-0005-0000-0000-00009D2F0000}"/>
    <cellStyle name="Currency 5 2 3 3 2 2 14" xfId="13617" xr:uid="{00000000-0005-0000-0000-00009E2F0000}"/>
    <cellStyle name="Currency 5 2 3 3 2 2 15" xfId="13605" xr:uid="{00000000-0005-0000-0000-00009F2F0000}"/>
    <cellStyle name="Currency 5 2 3 3 2 2 2" xfId="893" xr:uid="{00000000-0005-0000-0000-0000A02F0000}"/>
    <cellStyle name="Currency 5 2 3 3 2 2 2 10" xfId="13619" xr:uid="{00000000-0005-0000-0000-0000A12F0000}"/>
    <cellStyle name="Currency 5 2 3 3 2 2 2 11" xfId="13618" xr:uid="{00000000-0005-0000-0000-0000A22F0000}"/>
    <cellStyle name="Currency 5 2 3 3 2 2 2 2" xfId="1634" xr:uid="{00000000-0005-0000-0000-0000A32F0000}"/>
    <cellStyle name="Currency 5 2 3 3 2 2 2 2 2" xfId="13621" xr:uid="{00000000-0005-0000-0000-0000A42F0000}"/>
    <cellStyle name="Currency 5 2 3 3 2 2 2 2 2 2" xfId="13622" xr:uid="{00000000-0005-0000-0000-0000A52F0000}"/>
    <cellStyle name="Currency 5 2 3 3 2 2 2 2 2 2 2" xfId="13623" xr:uid="{00000000-0005-0000-0000-0000A62F0000}"/>
    <cellStyle name="Currency 5 2 3 3 2 2 2 2 2 2 2 2" xfId="13624" xr:uid="{00000000-0005-0000-0000-0000A72F0000}"/>
    <cellStyle name="Currency 5 2 3 3 2 2 2 2 2 2 3" xfId="13625" xr:uid="{00000000-0005-0000-0000-0000A82F0000}"/>
    <cellStyle name="Currency 5 2 3 3 2 2 2 2 2 3" xfId="13626" xr:uid="{00000000-0005-0000-0000-0000A92F0000}"/>
    <cellStyle name="Currency 5 2 3 3 2 2 2 2 2 3 2" xfId="13627" xr:uid="{00000000-0005-0000-0000-0000AA2F0000}"/>
    <cellStyle name="Currency 5 2 3 3 2 2 2 2 2 4" xfId="13628" xr:uid="{00000000-0005-0000-0000-0000AB2F0000}"/>
    <cellStyle name="Currency 5 2 3 3 2 2 2 2 3" xfId="13629" xr:uid="{00000000-0005-0000-0000-0000AC2F0000}"/>
    <cellStyle name="Currency 5 2 3 3 2 2 2 2 3 2" xfId="13630" xr:uid="{00000000-0005-0000-0000-0000AD2F0000}"/>
    <cellStyle name="Currency 5 2 3 3 2 2 2 2 3 2 2" xfId="13631" xr:uid="{00000000-0005-0000-0000-0000AE2F0000}"/>
    <cellStyle name="Currency 5 2 3 3 2 2 2 2 3 2 2 2" xfId="13632" xr:uid="{00000000-0005-0000-0000-0000AF2F0000}"/>
    <cellStyle name="Currency 5 2 3 3 2 2 2 2 3 2 3" xfId="13633" xr:uid="{00000000-0005-0000-0000-0000B02F0000}"/>
    <cellStyle name="Currency 5 2 3 3 2 2 2 2 3 3" xfId="13634" xr:uid="{00000000-0005-0000-0000-0000B12F0000}"/>
    <cellStyle name="Currency 5 2 3 3 2 2 2 2 3 3 2" xfId="13635" xr:uid="{00000000-0005-0000-0000-0000B22F0000}"/>
    <cellStyle name="Currency 5 2 3 3 2 2 2 2 3 4" xfId="13636" xr:uid="{00000000-0005-0000-0000-0000B32F0000}"/>
    <cellStyle name="Currency 5 2 3 3 2 2 2 2 4" xfId="13637" xr:uid="{00000000-0005-0000-0000-0000B42F0000}"/>
    <cellStyle name="Currency 5 2 3 3 2 2 2 2 4 2" xfId="13638" xr:uid="{00000000-0005-0000-0000-0000B52F0000}"/>
    <cellStyle name="Currency 5 2 3 3 2 2 2 2 4 2 2" xfId="13639" xr:uid="{00000000-0005-0000-0000-0000B62F0000}"/>
    <cellStyle name="Currency 5 2 3 3 2 2 2 2 4 3" xfId="13640" xr:uid="{00000000-0005-0000-0000-0000B72F0000}"/>
    <cellStyle name="Currency 5 2 3 3 2 2 2 2 5" xfId="13641" xr:uid="{00000000-0005-0000-0000-0000B82F0000}"/>
    <cellStyle name="Currency 5 2 3 3 2 2 2 2 5 2" xfId="13642" xr:uid="{00000000-0005-0000-0000-0000B92F0000}"/>
    <cellStyle name="Currency 5 2 3 3 2 2 2 2 6" xfId="13643" xr:uid="{00000000-0005-0000-0000-0000BA2F0000}"/>
    <cellStyle name="Currency 5 2 3 3 2 2 2 2 7" xfId="13620" xr:uid="{00000000-0005-0000-0000-0000BB2F0000}"/>
    <cellStyle name="Currency 5 2 3 3 2 2 2 3" xfId="13644" xr:uid="{00000000-0005-0000-0000-0000BC2F0000}"/>
    <cellStyle name="Currency 5 2 3 3 2 2 2 3 2" xfId="13645" xr:uid="{00000000-0005-0000-0000-0000BD2F0000}"/>
    <cellStyle name="Currency 5 2 3 3 2 2 2 3 2 2" xfId="13646" xr:uid="{00000000-0005-0000-0000-0000BE2F0000}"/>
    <cellStyle name="Currency 5 2 3 3 2 2 2 3 2 2 2" xfId="13647" xr:uid="{00000000-0005-0000-0000-0000BF2F0000}"/>
    <cellStyle name="Currency 5 2 3 3 2 2 2 3 2 2 2 2" xfId="13648" xr:uid="{00000000-0005-0000-0000-0000C02F0000}"/>
    <cellStyle name="Currency 5 2 3 3 2 2 2 3 2 2 3" xfId="13649" xr:uid="{00000000-0005-0000-0000-0000C12F0000}"/>
    <cellStyle name="Currency 5 2 3 3 2 2 2 3 2 3" xfId="13650" xr:uid="{00000000-0005-0000-0000-0000C22F0000}"/>
    <cellStyle name="Currency 5 2 3 3 2 2 2 3 2 3 2" xfId="13651" xr:uid="{00000000-0005-0000-0000-0000C32F0000}"/>
    <cellStyle name="Currency 5 2 3 3 2 2 2 3 2 4" xfId="13652" xr:uid="{00000000-0005-0000-0000-0000C42F0000}"/>
    <cellStyle name="Currency 5 2 3 3 2 2 2 3 3" xfId="13653" xr:uid="{00000000-0005-0000-0000-0000C52F0000}"/>
    <cellStyle name="Currency 5 2 3 3 2 2 2 3 3 2" xfId="13654" xr:uid="{00000000-0005-0000-0000-0000C62F0000}"/>
    <cellStyle name="Currency 5 2 3 3 2 2 2 3 3 2 2" xfId="13655" xr:uid="{00000000-0005-0000-0000-0000C72F0000}"/>
    <cellStyle name="Currency 5 2 3 3 2 2 2 3 3 3" xfId="13656" xr:uid="{00000000-0005-0000-0000-0000C82F0000}"/>
    <cellStyle name="Currency 5 2 3 3 2 2 2 3 4" xfId="13657" xr:uid="{00000000-0005-0000-0000-0000C92F0000}"/>
    <cellStyle name="Currency 5 2 3 3 2 2 2 3 4 2" xfId="13658" xr:uid="{00000000-0005-0000-0000-0000CA2F0000}"/>
    <cellStyle name="Currency 5 2 3 3 2 2 2 3 5" xfId="13659" xr:uid="{00000000-0005-0000-0000-0000CB2F0000}"/>
    <cellStyle name="Currency 5 2 3 3 2 2 2 4" xfId="13660" xr:uid="{00000000-0005-0000-0000-0000CC2F0000}"/>
    <cellStyle name="Currency 5 2 3 3 2 2 2 4 2" xfId="13661" xr:uid="{00000000-0005-0000-0000-0000CD2F0000}"/>
    <cellStyle name="Currency 5 2 3 3 2 2 2 4 2 2" xfId="13662" xr:uid="{00000000-0005-0000-0000-0000CE2F0000}"/>
    <cellStyle name="Currency 5 2 3 3 2 2 2 4 2 2 2" xfId="13663" xr:uid="{00000000-0005-0000-0000-0000CF2F0000}"/>
    <cellStyle name="Currency 5 2 3 3 2 2 2 4 2 2 2 2" xfId="13664" xr:uid="{00000000-0005-0000-0000-0000D02F0000}"/>
    <cellStyle name="Currency 5 2 3 3 2 2 2 4 2 2 3" xfId="13665" xr:uid="{00000000-0005-0000-0000-0000D12F0000}"/>
    <cellStyle name="Currency 5 2 3 3 2 2 2 4 2 3" xfId="13666" xr:uid="{00000000-0005-0000-0000-0000D22F0000}"/>
    <cellStyle name="Currency 5 2 3 3 2 2 2 4 2 3 2" xfId="13667" xr:uid="{00000000-0005-0000-0000-0000D32F0000}"/>
    <cellStyle name="Currency 5 2 3 3 2 2 2 4 2 4" xfId="13668" xr:uid="{00000000-0005-0000-0000-0000D42F0000}"/>
    <cellStyle name="Currency 5 2 3 3 2 2 2 4 3" xfId="13669" xr:uid="{00000000-0005-0000-0000-0000D52F0000}"/>
    <cellStyle name="Currency 5 2 3 3 2 2 2 4 3 2" xfId="13670" xr:uid="{00000000-0005-0000-0000-0000D62F0000}"/>
    <cellStyle name="Currency 5 2 3 3 2 2 2 4 3 2 2" xfId="13671" xr:uid="{00000000-0005-0000-0000-0000D72F0000}"/>
    <cellStyle name="Currency 5 2 3 3 2 2 2 4 3 3" xfId="13672" xr:uid="{00000000-0005-0000-0000-0000D82F0000}"/>
    <cellStyle name="Currency 5 2 3 3 2 2 2 4 4" xfId="13673" xr:uid="{00000000-0005-0000-0000-0000D92F0000}"/>
    <cellStyle name="Currency 5 2 3 3 2 2 2 4 4 2" xfId="13674" xr:uid="{00000000-0005-0000-0000-0000DA2F0000}"/>
    <cellStyle name="Currency 5 2 3 3 2 2 2 4 5" xfId="13675" xr:uid="{00000000-0005-0000-0000-0000DB2F0000}"/>
    <cellStyle name="Currency 5 2 3 3 2 2 2 5" xfId="13676" xr:uid="{00000000-0005-0000-0000-0000DC2F0000}"/>
    <cellStyle name="Currency 5 2 3 3 2 2 2 5 2" xfId="13677" xr:uid="{00000000-0005-0000-0000-0000DD2F0000}"/>
    <cellStyle name="Currency 5 2 3 3 2 2 2 5 2 2" xfId="13678" xr:uid="{00000000-0005-0000-0000-0000DE2F0000}"/>
    <cellStyle name="Currency 5 2 3 3 2 2 2 5 2 2 2" xfId="13679" xr:uid="{00000000-0005-0000-0000-0000DF2F0000}"/>
    <cellStyle name="Currency 5 2 3 3 2 2 2 5 2 3" xfId="13680" xr:uid="{00000000-0005-0000-0000-0000E02F0000}"/>
    <cellStyle name="Currency 5 2 3 3 2 2 2 5 3" xfId="13681" xr:uid="{00000000-0005-0000-0000-0000E12F0000}"/>
    <cellStyle name="Currency 5 2 3 3 2 2 2 5 3 2" xfId="13682" xr:uid="{00000000-0005-0000-0000-0000E22F0000}"/>
    <cellStyle name="Currency 5 2 3 3 2 2 2 5 4" xfId="13683" xr:uid="{00000000-0005-0000-0000-0000E32F0000}"/>
    <cellStyle name="Currency 5 2 3 3 2 2 2 6" xfId="13684" xr:uid="{00000000-0005-0000-0000-0000E42F0000}"/>
    <cellStyle name="Currency 5 2 3 3 2 2 2 6 2" xfId="13685" xr:uid="{00000000-0005-0000-0000-0000E52F0000}"/>
    <cellStyle name="Currency 5 2 3 3 2 2 2 6 2 2" xfId="13686" xr:uid="{00000000-0005-0000-0000-0000E62F0000}"/>
    <cellStyle name="Currency 5 2 3 3 2 2 2 6 2 2 2" xfId="13687" xr:uid="{00000000-0005-0000-0000-0000E72F0000}"/>
    <cellStyle name="Currency 5 2 3 3 2 2 2 6 2 3" xfId="13688" xr:uid="{00000000-0005-0000-0000-0000E82F0000}"/>
    <cellStyle name="Currency 5 2 3 3 2 2 2 6 3" xfId="13689" xr:uid="{00000000-0005-0000-0000-0000E92F0000}"/>
    <cellStyle name="Currency 5 2 3 3 2 2 2 6 3 2" xfId="13690" xr:uid="{00000000-0005-0000-0000-0000EA2F0000}"/>
    <cellStyle name="Currency 5 2 3 3 2 2 2 6 4" xfId="13691" xr:uid="{00000000-0005-0000-0000-0000EB2F0000}"/>
    <cellStyle name="Currency 5 2 3 3 2 2 2 7" xfId="13692" xr:uid="{00000000-0005-0000-0000-0000EC2F0000}"/>
    <cellStyle name="Currency 5 2 3 3 2 2 2 7 2" xfId="13693" xr:uid="{00000000-0005-0000-0000-0000ED2F0000}"/>
    <cellStyle name="Currency 5 2 3 3 2 2 2 7 2 2" xfId="13694" xr:uid="{00000000-0005-0000-0000-0000EE2F0000}"/>
    <cellStyle name="Currency 5 2 3 3 2 2 2 7 2 2 2" xfId="13695" xr:uid="{00000000-0005-0000-0000-0000EF2F0000}"/>
    <cellStyle name="Currency 5 2 3 3 2 2 2 7 2 3" xfId="13696" xr:uid="{00000000-0005-0000-0000-0000F02F0000}"/>
    <cellStyle name="Currency 5 2 3 3 2 2 2 7 3" xfId="13697" xr:uid="{00000000-0005-0000-0000-0000F12F0000}"/>
    <cellStyle name="Currency 5 2 3 3 2 2 2 7 3 2" xfId="13698" xr:uid="{00000000-0005-0000-0000-0000F22F0000}"/>
    <cellStyle name="Currency 5 2 3 3 2 2 2 7 4" xfId="13699" xr:uid="{00000000-0005-0000-0000-0000F32F0000}"/>
    <cellStyle name="Currency 5 2 3 3 2 2 2 8" xfId="13700" xr:uid="{00000000-0005-0000-0000-0000F42F0000}"/>
    <cellStyle name="Currency 5 2 3 3 2 2 2 8 2" xfId="13701" xr:uid="{00000000-0005-0000-0000-0000F52F0000}"/>
    <cellStyle name="Currency 5 2 3 3 2 2 2 8 2 2" xfId="13702" xr:uid="{00000000-0005-0000-0000-0000F62F0000}"/>
    <cellStyle name="Currency 5 2 3 3 2 2 2 8 3" xfId="13703" xr:uid="{00000000-0005-0000-0000-0000F72F0000}"/>
    <cellStyle name="Currency 5 2 3 3 2 2 2 9" xfId="13704" xr:uid="{00000000-0005-0000-0000-0000F82F0000}"/>
    <cellStyle name="Currency 5 2 3 3 2 2 2 9 2" xfId="13705" xr:uid="{00000000-0005-0000-0000-0000F92F0000}"/>
    <cellStyle name="Currency 5 2 3 3 2 2 3" xfId="1309" xr:uid="{00000000-0005-0000-0000-0000FA2F0000}"/>
    <cellStyle name="Currency 5 2 3 3 2 2 3 2" xfId="13707" xr:uid="{00000000-0005-0000-0000-0000FB2F0000}"/>
    <cellStyle name="Currency 5 2 3 3 2 2 3 2 2" xfId="13708" xr:uid="{00000000-0005-0000-0000-0000FC2F0000}"/>
    <cellStyle name="Currency 5 2 3 3 2 2 3 2 2 2" xfId="13709" xr:uid="{00000000-0005-0000-0000-0000FD2F0000}"/>
    <cellStyle name="Currency 5 2 3 3 2 2 3 2 2 2 2" xfId="13710" xr:uid="{00000000-0005-0000-0000-0000FE2F0000}"/>
    <cellStyle name="Currency 5 2 3 3 2 2 3 2 2 3" xfId="13711" xr:uid="{00000000-0005-0000-0000-0000FF2F0000}"/>
    <cellStyle name="Currency 5 2 3 3 2 2 3 2 3" xfId="13712" xr:uid="{00000000-0005-0000-0000-000000300000}"/>
    <cellStyle name="Currency 5 2 3 3 2 2 3 2 3 2" xfId="13713" xr:uid="{00000000-0005-0000-0000-000001300000}"/>
    <cellStyle name="Currency 5 2 3 3 2 2 3 2 4" xfId="13714" xr:uid="{00000000-0005-0000-0000-000002300000}"/>
    <cellStyle name="Currency 5 2 3 3 2 2 3 3" xfId="13715" xr:uid="{00000000-0005-0000-0000-000003300000}"/>
    <cellStyle name="Currency 5 2 3 3 2 2 3 3 2" xfId="13716" xr:uid="{00000000-0005-0000-0000-000004300000}"/>
    <cellStyle name="Currency 5 2 3 3 2 2 3 3 2 2" xfId="13717" xr:uid="{00000000-0005-0000-0000-000005300000}"/>
    <cellStyle name="Currency 5 2 3 3 2 2 3 3 2 2 2" xfId="13718" xr:uid="{00000000-0005-0000-0000-000006300000}"/>
    <cellStyle name="Currency 5 2 3 3 2 2 3 3 2 3" xfId="13719" xr:uid="{00000000-0005-0000-0000-000007300000}"/>
    <cellStyle name="Currency 5 2 3 3 2 2 3 3 3" xfId="13720" xr:uid="{00000000-0005-0000-0000-000008300000}"/>
    <cellStyle name="Currency 5 2 3 3 2 2 3 3 3 2" xfId="13721" xr:uid="{00000000-0005-0000-0000-000009300000}"/>
    <cellStyle name="Currency 5 2 3 3 2 2 3 3 4" xfId="13722" xr:uid="{00000000-0005-0000-0000-00000A300000}"/>
    <cellStyle name="Currency 5 2 3 3 2 2 3 4" xfId="13723" xr:uid="{00000000-0005-0000-0000-00000B300000}"/>
    <cellStyle name="Currency 5 2 3 3 2 2 3 4 2" xfId="13724" xr:uid="{00000000-0005-0000-0000-00000C300000}"/>
    <cellStyle name="Currency 5 2 3 3 2 2 3 4 2 2" xfId="13725" xr:uid="{00000000-0005-0000-0000-00000D300000}"/>
    <cellStyle name="Currency 5 2 3 3 2 2 3 4 3" xfId="13726" xr:uid="{00000000-0005-0000-0000-00000E300000}"/>
    <cellStyle name="Currency 5 2 3 3 2 2 3 5" xfId="13727" xr:uid="{00000000-0005-0000-0000-00000F300000}"/>
    <cellStyle name="Currency 5 2 3 3 2 2 3 5 2" xfId="13728" xr:uid="{00000000-0005-0000-0000-000010300000}"/>
    <cellStyle name="Currency 5 2 3 3 2 2 3 6" xfId="13729" xr:uid="{00000000-0005-0000-0000-000011300000}"/>
    <cellStyle name="Currency 5 2 3 3 2 2 3 7" xfId="13706" xr:uid="{00000000-0005-0000-0000-000012300000}"/>
    <cellStyle name="Currency 5 2 3 3 2 2 4" xfId="13730" xr:uid="{00000000-0005-0000-0000-000013300000}"/>
    <cellStyle name="Currency 5 2 3 3 2 2 4 2" xfId="13731" xr:uid="{00000000-0005-0000-0000-000014300000}"/>
    <cellStyle name="Currency 5 2 3 3 2 2 4 2 2" xfId="13732" xr:uid="{00000000-0005-0000-0000-000015300000}"/>
    <cellStyle name="Currency 5 2 3 3 2 2 4 2 2 2" xfId="13733" xr:uid="{00000000-0005-0000-0000-000016300000}"/>
    <cellStyle name="Currency 5 2 3 3 2 2 4 2 2 2 2" xfId="13734" xr:uid="{00000000-0005-0000-0000-000017300000}"/>
    <cellStyle name="Currency 5 2 3 3 2 2 4 2 2 3" xfId="13735" xr:uid="{00000000-0005-0000-0000-000018300000}"/>
    <cellStyle name="Currency 5 2 3 3 2 2 4 2 3" xfId="13736" xr:uid="{00000000-0005-0000-0000-000019300000}"/>
    <cellStyle name="Currency 5 2 3 3 2 2 4 2 3 2" xfId="13737" xr:uid="{00000000-0005-0000-0000-00001A300000}"/>
    <cellStyle name="Currency 5 2 3 3 2 2 4 2 4" xfId="13738" xr:uid="{00000000-0005-0000-0000-00001B300000}"/>
    <cellStyle name="Currency 5 2 3 3 2 2 4 3" xfId="13739" xr:uid="{00000000-0005-0000-0000-00001C300000}"/>
    <cellStyle name="Currency 5 2 3 3 2 2 4 3 2" xfId="13740" xr:uid="{00000000-0005-0000-0000-00001D300000}"/>
    <cellStyle name="Currency 5 2 3 3 2 2 4 3 2 2" xfId="13741" xr:uid="{00000000-0005-0000-0000-00001E300000}"/>
    <cellStyle name="Currency 5 2 3 3 2 2 4 3 3" xfId="13742" xr:uid="{00000000-0005-0000-0000-00001F300000}"/>
    <cellStyle name="Currency 5 2 3 3 2 2 4 4" xfId="13743" xr:uid="{00000000-0005-0000-0000-000020300000}"/>
    <cellStyle name="Currency 5 2 3 3 2 2 4 4 2" xfId="13744" xr:uid="{00000000-0005-0000-0000-000021300000}"/>
    <cellStyle name="Currency 5 2 3 3 2 2 4 5" xfId="13745" xr:uid="{00000000-0005-0000-0000-000022300000}"/>
    <cellStyle name="Currency 5 2 3 3 2 2 5" xfId="13746" xr:uid="{00000000-0005-0000-0000-000023300000}"/>
    <cellStyle name="Currency 5 2 3 3 2 2 5 2" xfId="13747" xr:uid="{00000000-0005-0000-0000-000024300000}"/>
    <cellStyle name="Currency 5 2 3 3 2 2 5 2 2" xfId="13748" xr:uid="{00000000-0005-0000-0000-000025300000}"/>
    <cellStyle name="Currency 5 2 3 3 2 2 5 2 2 2" xfId="13749" xr:uid="{00000000-0005-0000-0000-000026300000}"/>
    <cellStyle name="Currency 5 2 3 3 2 2 5 2 2 2 2" xfId="13750" xr:uid="{00000000-0005-0000-0000-000027300000}"/>
    <cellStyle name="Currency 5 2 3 3 2 2 5 2 2 3" xfId="13751" xr:uid="{00000000-0005-0000-0000-000028300000}"/>
    <cellStyle name="Currency 5 2 3 3 2 2 5 2 3" xfId="13752" xr:uid="{00000000-0005-0000-0000-000029300000}"/>
    <cellStyle name="Currency 5 2 3 3 2 2 5 2 3 2" xfId="13753" xr:uid="{00000000-0005-0000-0000-00002A300000}"/>
    <cellStyle name="Currency 5 2 3 3 2 2 5 2 4" xfId="13754" xr:uid="{00000000-0005-0000-0000-00002B300000}"/>
    <cellStyle name="Currency 5 2 3 3 2 2 5 3" xfId="13755" xr:uid="{00000000-0005-0000-0000-00002C300000}"/>
    <cellStyle name="Currency 5 2 3 3 2 2 5 3 2" xfId="13756" xr:uid="{00000000-0005-0000-0000-00002D300000}"/>
    <cellStyle name="Currency 5 2 3 3 2 2 5 3 2 2" xfId="13757" xr:uid="{00000000-0005-0000-0000-00002E300000}"/>
    <cellStyle name="Currency 5 2 3 3 2 2 5 3 3" xfId="13758" xr:uid="{00000000-0005-0000-0000-00002F300000}"/>
    <cellStyle name="Currency 5 2 3 3 2 2 5 4" xfId="13759" xr:uid="{00000000-0005-0000-0000-000030300000}"/>
    <cellStyle name="Currency 5 2 3 3 2 2 5 4 2" xfId="13760" xr:uid="{00000000-0005-0000-0000-000031300000}"/>
    <cellStyle name="Currency 5 2 3 3 2 2 5 5" xfId="13761" xr:uid="{00000000-0005-0000-0000-000032300000}"/>
    <cellStyle name="Currency 5 2 3 3 2 2 6" xfId="13762" xr:uid="{00000000-0005-0000-0000-000033300000}"/>
    <cellStyle name="Currency 5 2 3 3 2 2 6 2" xfId="13763" xr:uid="{00000000-0005-0000-0000-000034300000}"/>
    <cellStyle name="Currency 5 2 3 3 2 2 6 2 2" xfId="13764" xr:uid="{00000000-0005-0000-0000-000035300000}"/>
    <cellStyle name="Currency 5 2 3 3 2 2 6 2 2 2" xfId="13765" xr:uid="{00000000-0005-0000-0000-000036300000}"/>
    <cellStyle name="Currency 5 2 3 3 2 2 6 2 3" xfId="13766" xr:uid="{00000000-0005-0000-0000-000037300000}"/>
    <cellStyle name="Currency 5 2 3 3 2 2 6 3" xfId="13767" xr:uid="{00000000-0005-0000-0000-000038300000}"/>
    <cellStyle name="Currency 5 2 3 3 2 2 6 3 2" xfId="13768" xr:uid="{00000000-0005-0000-0000-000039300000}"/>
    <cellStyle name="Currency 5 2 3 3 2 2 6 4" xfId="13769" xr:uid="{00000000-0005-0000-0000-00003A300000}"/>
    <cellStyle name="Currency 5 2 3 3 2 2 7" xfId="13770" xr:uid="{00000000-0005-0000-0000-00003B300000}"/>
    <cellStyle name="Currency 5 2 3 3 2 2 7 2" xfId="13771" xr:uid="{00000000-0005-0000-0000-00003C300000}"/>
    <cellStyle name="Currency 5 2 3 3 2 2 7 2 2" xfId="13772" xr:uid="{00000000-0005-0000-0000-00003D300000}"/>
    <cellStyle name="Currency 5 2 3 3 2 2 7 2 2 2" xfId="13773" xr:uid="{00000000-0005-0000-0000-00003E300000}"/>
    <cellStyle name="Currency 5 2 3 3 2 2 7 2 3" xfId="13774" xr:uid="{00000000-0005-0000-0000-00003F300000}"/>
    <cellStyle name="Currency 5 2 3 3 2 2 7 3" xfId="13775" xr:uid="{00000000-0005-0000-0000-000040300000}"/>
    <cellStyle name="Currency 5 2 3 3 2 2 7 3 2" xfId="13776" xr:uid="{00000000-0005-0000-0000-000041300000}"/>
    <cellStyle name="Currency 5 2 3 3 2 2 7 4" xfId="13777" xr:uid="{00000000-0005-0000-0000-000042300000}"/>
    <cellStyle name="Currency 5 2 3 3 2 2 8" xfId="13778" xr:uid="{00000000-0005-0000-0000-000043300000}"/>
    <cellStyle name="Currency 5 2 3 3 2 2 8 2" xfId="13779" xr:uid="{00000000-0005-0000-0000-000044300000}"/>
    <cellStyle name="Currency 5 2 3 3 2 2 8 2 2" xfId="13780" xr:uid="{00000000-0005-0000-0000-000045300000}"/>
    <cellStyle name="Currency 5 2 3 3 2 2 8 2 2 2" xfId="13781" xr:uid="{00000000-0005-0000-0000-000046300000}"/>
    <cellStyle name="Currency 5 2 3 3 2 2 8 2 3" xfId="13782" xr:uid="{00000000-0005-0000-0000-000047300000}"/>
    <cellStyle name="Currency 5 2 3 3 2 2 8 3" xfId="13783" xr:uid="{00000000-0005-0000-0000-000048300000}"/>
    <cellStyle name="Currency 5 2 3 3 2 2 8 3 2" xfId="13784" xr:uid="{00000000-0005-0000-0000-000049300000}"/>
    <cellStyle name="Currency 5 2 3 3 2 2 8 4" xfId="13785" xr:uid="{00000000-0005-0000-0000-00004A300000}"/>
    <cellStyle name="Currency 5 2 3 3 2 2 9" xfId="13786" xr:uid="{00000000-0005-0000-0000-00004B300000}"/>
    <cellStyle name="Currency 5 2 3 3 2 2 9 2" xfId="13787" xr:uid="{00000000-0005-0000-0000-00004C300000}"/>
    <cellStyle name="Currency 5 2 3 3 2 2 9 2 2" xfId="13788" xr:uid="{00000000-0005-0000-0000-00004D300000}"/>
    <cellStyle name="Currency 5 2 3 3 2 2 9 3" xfId="13789" xr:uid="{00000000-0005-0000-0000-00004E300000}"/>
    <cellStyle name="Currency 5 2 3 3 2 3" xfId="331" xr:uid="{00000000-0005-0000-0000-00004F300000}"/>
    <cellStyle name="Currency 5 2 3 3 2 4" xfId="892" xr:uid="{00000000-0005-0000-0000-000050300000}"/>
    <cellStyle name="Currency 5 2 3 3 2 4 10" xfId="13791" xr:uid="{00000000-0005-0000-0000-000051300000}"/>
    <cellStyle name="Currency 5 2 3 3 2 4 11" xfId="13790" xr:uid="{00000000-0005-0000-0000-000052300000}"/>
    <cellStyle name="Currency 5 2 3 3 2 4 2" xfId="1633" xr:uid="{00000000-0005-0000-0000-000053300000}"/>
    <cellStyle name="Currency 5 2 3 3 2 4 2 2" xfId="13793" xr:uid="{00000000-0005-0000-0000-000054300000}"/>
    <cellStyle name="Currency 5 2 3 3 2 4 2 2 2" xfId="13794" xr:uid="{00000000-0005-0000-0000-000055300000}"/>
    <cellStyle name="Currency 5 2 3 3 2 4 2 2 2 2" xfId="13795" xr:uid="{00000000-0005-0000-0000-000056300000}"/>
    <cellStyle name="Currency 5 2 3 3 2 4 2 2 2 2 2" xfId="13796" xr:uid="{00000000-0005-0000-0000-000057300000}"/>
    <cellStyle name="Currency 5 2 3 3 2 4 2 2 2 3" xfId="13797" xr:uid="{00000000-0005-0000-0000-000058300000}"/>
    <cellStyle name="Currency 5 2 3 3 2 4 2 2 3" xfId="13798" xr:uid="{00000000-0005-0000-0000-000059300000}"/>
    <cellStyle name="Currency 5 2 3 3 2 4 2 2 3 2" xfId="13799" xr:uid="{00000000-0005-0000-0000-00005A300000}"/>
    <cellStyle name="Currency 5 2 3 3 2 4 2 2 4" xfId="13800" xr:uid="{00000000-0005-0000-0000-00005B300000}"/>
    <cellStyle name="Currency 5 2 3 3 2 4 2 3" xfId="13801" xr:uid="{00000000-0005-0000-0000-00005C300000}"/>
    <cellStyle name="Currency 5 2 3 3 2 4 2 3 2" xfId="13802" xr:uid="{00000000-0005-0000-0000-00005D300000}"/>
    <cellStyle name="Currency 5 2 3 3 2 4 2 3 2 2" xfId="13803" xr:uid="{00000000-0005-0000-0000-00005E300000}"/>
    <cellStyle name="Currency 5 2 3 3 2 4 2 3 2 2 2" xfId="13804" xr:uid="{00000000-0005-0000-0000-00005F300000}"/>
    <cellStyle name="Currency 5 2 3 3 2 4 2 3 2 3" xfId="13805" xr:uid="{00000000-0005-0000-0000-000060300000}"/>
    <cellStyle name="Currency 5 2 3 3 2 4 2 3 3" xfId="13806" xr:uid="{00000000-0005-0000-0000-000061300000}"/>
    <cellStyle name="Currency 5 2 3 3 2 4 2 3 3 2" xfId="13807" xr:uid="{00000000-0005-0000-0000-000062300000}"/>
    <cellStyle name="Currency 5 2 3 3 2 4 2 3 4" xfId="13808" xr:uid="{00000000-0005-0000-0000-000063300000}"/>
    <cellStyle name="Currency 5 2 3 3 2 4 2 4" xfId="13809" xr:uid="{00000000-0005-0000-0000-000064300000}"/>
    <cellStyle name="Currency 5 2 3 3 2 4 2 4 2" xfId="13810" xr:uid="{00000000-0005-0000-0000-000065300000}"/>
    <cellStyle name="Currency 5 2 3 3 2 4 2 4 2 2" xfId="13811" xr:uid="{00000000-0005-0000-0000-000066300000}"/>
    <cellStyle name="Currency 5 2 3 3 2 4 2 4 3" xfId="13812" xr:uid="{00000000-0005-0000-0000-000067300000}"/>
    <cellStyle name="Currency 5 2 3 3 2 4 2 5" xfId="13813" xr:uid="{00000000-0005-0000-0000-000068300000}"/>
    <cellStyle name="Currency 5 2 3 3 2 4 2 5 2" xfId="13814" xr:uid="{00000000-0005-0000-0000-000069300000}"/>
    <cellStyle name="Currency 5 2 3 3 2 4 2 6" xfId="13815" xr:uid="{00000000-0005-0000-0000-00006A300000}"/>
    <cellStyle name="Currency 5 2 3 3 2 4 2 7" xfId="13792" xr:uid="{00000000-0005-0000-0000-00006B300000}"/>
    <cellStyle name="Currency 5 2 3 3 2 4 3" xfId="13816" xr:uid="{00000000-0005-0000-0000-00006C300000}"/>
    <cellStyle name="Currency 5 2 3 3 2 4 3 2" xfId="13817" xr:uid="{00000000-0005-0000-0000-00006D300000}"/>
    <cellStyle name="Currency 5 2 3 3 2 4 3 2 2" xfId="13818" xr:uid="{00000000-0005-0000-0000-00006E300000}"/>
    <cellStyle name="Currency 5 2 3 3 2 4 3 2 2 2" xfId="13819" xr:uid="{00000000-0005-0000-0000-00006F300000}"/>
    <cellStyle name="Currency 5 2 3 3 2 4 3 2 2 2 2" xfId="13820" xr:uid="{00000000-0005-0000-0000-000070300000}"/>
    <cellStyle name="Currency 5 2 3 3 2 4 3 2 2 3" xfId="13821" xr:uid="{00000000-0005-0000-0000-000071300000}"/>
    <cellStyle name="Currency 5 2 3 3 2 4 3 2 3" xfId="13822" xr:uid="{00000000-0005-0000-0000-000072300000}"/>
    <cellStyle name="Currency 5 2 3 3 2 4 3 2 3 2" xfId="13823" xr:uid="{00000000-0005-0000-0000-000073300000}"/>
    <cellStyle name="Currency 5 2 3 3 2 4 3 2 4" xfId="13824" xr:uid="{00000000-0005-0000-0000-000074300000}"/>
    <cellStyle name="Currency 5 2 3 3 2 4 3 3" xfId="13825" xr:uid="{00000000-0005-0000-0000-000075300000}"/>
    <cellStyle name="Currency 5 2 3 3 2 4 3 3 2" xfId="13826" xr:uid="{00000000-0005-0000-0000-000076300000}"/>
    <cellStyle name="Currency 5 2 3 3 2 4 3 3 2 2" xfId="13827" xr:uid="{00000000-0005-0000-0000-000077300000}"/>
    <cellStyle name="Currency 5 2 3 3 2 4 3 3 3" xfId="13828" xr:uid="{00000000-0005-0000-0000-000078300000}"/>
    <cellStyle name="Currency 5 2 3 3 2 4 3 4" xfId="13829" xr:uid="{00000000-0005-0000-0000-000079300000}"/>
    <cellStyle name="Currency 5 2 3 3 2 4 3 4 2" xfId="13830" xr:uid="{00000000-0005-0000-0000-00007A300000}"/>
    <cellStyle name="Currency 5 2 3 3 2 4 3 5" xfId="13831" xr:uid="{00000000-0005-0000-0000-00007B300000}"/>
    <cellStyle name="Currency 5 2 3 3 2 4 4" xfId="13832" xr:uid="{00000000-0005-0000-0000-00007C300000}"/>
    <cellStyle name="Currency 5 2 3 3 2 4 4 2" xfId="13833" xr:uid="{00000000-0005-0000-0000-00007D300000}"/>
    <cellStyle name="Currency 5 2 3 3 2 4 4 2 2" xfId="13834" xr:uid="{00000000-0005-0000-0000-00007E300000}"/>
    <cellStyle name="Currency 5 2 3 3 2 4 4 2 2 2" xfId="13835" xr:uid="{00000000-0005-0000-0000-00007F300000}"/>
    <cellStyle name="Currency 5 2 3 3 2 4 4 2 2 2 2" xfId="13836" xr:uid="{00000000-0005-0000-0000-000080300000}"/>
    <cellStyle name="Currency 5 2 3 3 2 4 4 2 2 3" xfId="13837" xr:uid="{00000000-0005-0000-0000-000081300000}"/>
    <cellStyle name="Currency 5 2 3 3 2 4 4 2 3" xfId="13838" xr:uid="{00000000-0005-0000-0000-000082300000}"/>
    <cellStyle name="Currency 5 2 3 3 2 4 4 2 3 2" xfId="13839" xr:uid="{00000000-0005-0000-0000-000083300000}"/>
    <cellStyle name="Currency 5 2 3 3 2 4 4 2 4" xfId="13840" xr:uid="{00000000-0005-0000-0000-000084300000}"/>
    <cellStyle name="Currency 5 2 3 3 2 4 4 3" xfId="13841" xr:uid="{00000000-0005-0000-0000-000085300000}"/>
    <cellStyle name="Currency 5 2 3 3 2 4 4 3 2" xfId="13842" xr:uid="{00000000-0005-0000-0000-000086300000}"/>
    <cellStyle name="Currency 5 2 3 3 2 4 4 3 2 2" xfId="13843" xr:uid="{00000000-0005-0000-0000-000087300000}"/>
    <cellStyle name="Currency 5 2 3 3 2 4 4 3 3" xfId="13844" xr:uid="{00000000-0005-0000-0000-000088300000}"/>
    <cellStyle name="Currency 5 2 3 3 2 4 4 4" xfId="13845" xr:uid="{00000000-0005-0000-0000-000089300000}"/>
    <cellStyle name="Currency 5 2 3 3 2 4 4 4 2" xfId="13846" xr:uid="{00000000-0005-0000-0000-00008A300000}"/>
    <cellStyle name="Currency 5 2 3 3 2 4 4 5" xfId="13847" xr:uid="{00000000-0005-0000-0000-00008B300000}"/>
    <cellStyle name="Currency 5 2 3 3 2 4 5" xfId="13848" xr:uid="{00000000-0005-0000-0000-00008C300000}"/>
    <cellStyle name="Currency 5 2 3 3 2 4 5 2" xfId="13849" xr:uid="{00000000-0005-0000-0000-00008D300000}"/>
    <cellStyle name="Currency 5 2 3 3 2 4 5 2 2" xfId="13850" xr:uid="{00000000-0005-0000-0000-00008E300000}"/>
    <cellStyle name="Currency 5 2 3 3 2 4 5 2 2 2" xfId="13851" xr:uid="{00000000-0005-0000-0000-00008F300000}"/>
    <cellStyle name="Currency 5 2 3 3 2 4 5 2 3" xfId="13852" xr:uid="{00000000-0005-0000-0000-000090300000}"/>
    <cellStyle name="Currency 5 2 3 3 2 4 5 3" xfId="13853" xr:uid="{00000000-0005-0000-0000-000091300000}"/>
    <cellStyle name="Currency 5 2 3 3 2 4 5 3 2" xfId="13854" xr:uid="{00000000-0005-0000-0000-000092300000}"/>
    <cellStyle name="Currency 5 2 3 3 2 4 5 4" xfId="13855" xr:uid="{00000000-0005-0000-0000-000093300000}"/>
    <cellStyle name="Currency 5 2 3 3 2 4 6" xfId="13856" xr:uid="{00000000-0005-0000-0000-000094300000}"/>
    <cellStyle name="Currency 5 2 3 3 2 4 6 2" xfId="13857" xr:uid="{00000000-0005-0000-0000-000095300000}"/>
    <cellStyle name="Currency 5 2 3 3 2 4 6 2 2" xfId="13858" xr:uid="{00000000-0005-0000-0000-000096300000}"/>
    <cellStyle name="Currency 5 2 3 3 2 4 6 2 2 2" xfId="13859" xr:uid="{00000000-0005-0000-0000-000097300000}"/>
    <cellStyle name="Currency 5 2 3 3 2 4 6 2 3" xfId="13860" xr:uid="{00000000-0005-0000-0000-000098300000}"/>
    <cellStyle name="Currency 5 2 3 3 2 4 6 3" xfId="13861" xr:uid="{00000000-0005-0000-0000-000099300000}"/>
    <cellStyle name="Currency 5 2 3 3 2 4 6 3 2" xfId="13862" xr:uid="{00000000-0005-0000-0000-00009A300000}"/>
    <cellStyle name="Currency 5 2 3 3 2 4 6 4" xfId="13863" xr:uid="{00000000-0005-0000-0000-00009B300000}"/>
    <cellStyle name="Currency 5 2 3 3 2 4 7" xfId="13864" xr:uid="{00000000-0005-0000-0000-00009C300000}"/>
    <cellStyle name="Currency 5 2 3 3 2 4 7 2" xfId="13865" xr:uid="{00000000-0005-0000-0000-00009D300000}"/>
    <cellStyle name="Currency 5 2 3 3 2 4 7 2 2" xfId="13866" xr:uid="{00000000-0005-0000-0000-00009E300000}"/>
    <cellStyle name="Currency 5 2 3 3 2 4 7 2 2 2" xfId="13867" xr:uid="{00000000-0005-0000-0000-00009F300000}"/>
    <cellStyle name="Currency 5 2 3 3 2 4 7 2 3" xfId="13868" xr:uid="{00000000-0005-0000-0000-0000A0300000}"/>
    <cellStyle name="Currency 5 2 3 3 2 4 7 3" xfId="13869" xr:uid="{00000000-0005-0000-0000-0000A1300000}"/>
    <cellStyle name="Currency 5 2 3 3 2 4 7 3 2" xfId="13870" xr:uid="{00000000-0005-0000-0000-0000A2300000}"/>
    <cellStyle name="Currency 5 2 3 3 2 4 7 4" xfId="13871" xr:uid="{00000000-0005-0000-0000-0000A3300000}"/>
    <cellStyle name="Currency 5 2 3 3 2 4 8" xfId="13872" xr:uid="{00000000-0005-0000-0000-0000A4300000}"/>
    <cellStyle name="Currency 5 2 3 3 2 4 8 2" xfId="13873" xr:uid="{00000000-0005-0000-0000-0000A5300000}"/>
    <cellStyle name="Currency 5 2 3 3 2 4 8 2 2" xfId="13874" xr:uid="{00000000-0005-0000-0000-0000A6300000}"/>
    <cellStyle name="Currency 5 2 3 3 2 4 8 3" xfId="13875" xr:uid="{00000000-0005-0000-0000-0000A7300000}"/>
    <cellStyle name="Currency 5 2 3 3 2 4 9" xfId="13876" xr:uid="{00000000-0005-0000-0000-0000A8300000}"/>
    <cellStyle name="Currency 5 2 3 3 2 4 9 2" xfId="13877" xr:uid="{00000000-0005-0000-0000-0000A9300000}"/>
    <cellStyle name="Currency 5 2 3 3 2 5" xfId="1308" xr:uid="{00000000-0005-0000-0000-0000AA300000}"/>
    <cellStyle name="Currency 5 2 3 3 2 5 2" xfId="13879" xr:uid="{00000000-0005-0000-0000-0000AB300000}"/>
    <cellStyle name="Currency 5 2 3 3 2 5 2 2" xfId="13880" xr:uid="{00000000-0005-0000-0000-0000AC300000}"/>
    <cellStyle name="Currency 5 2 3 3 2 5 2 2 2" xfId="13881" xr:uid="{00000000-0005-0000-0000-0000AD300000}"/>
    <cellStyle name="Currency 5 2 3 3 2 5 2 2 2 2" xfId="13882" xr:uid="{00000000-0005-0000-0000-0000AE300000}"/>
    <cellStyle name="Currency 5 2 3 3 2 5 2 2 3" xfId="13883" xr:uid="{00000000-0005-0000-0000-0000AF300000}"/>
    <cellStyle name="Currency 5 2 3 3 2 5 2 3" xfId="13884" xr:uid="{00000000-0005-0000-0000-0000B0300000}"/>
    <cellStyle name="Currency 5 2 3 3 2 5 2 3 2" xfId="13885" xr:uid="{00000000-0005-0000-0000-0000B1300000}"/>
    <cellStyle name="Currency 5 2 3 3 2 5 2 4" xfId="13886" xr:uid="{00000000-0005-0000-0000-0000B2300000}"/>
    <cellStyle name="Currency 5 2 3 3 2 5 3" xfId="13887" xr:uid="{00000000-0005-0000-0000-0000B3300000}"/>
    <cellStyle name="Currency 5 2 3 3 2 5 3 2" xfId="13888" xr:uid="{00000000-0005-0000-0000-0000B4300000}"/>
    <cellStyle name="Currency 5 2 3 3 2 5 3 2 2" xfId="13889" xr:uid="{00000000-0005-0000-0000-0000B5300000}"/>
    <cellStyle name="Currency 5 2 3 3 2 5 3 2 2 2" xfId="13890" xr:uid="{00000000-0005-0000-0000-0000B6300000}"/>
    <cellStyle name="Currency 5 2 3 3 2 5 3 2 3" xfId="13891" xr:uid="{00000000-0005-0000-0000-0000B7300000}"/>
    <cellStyle name="Currency 5 2 3 3 2 5 3 3" xfId="13892" xr:uid="{00000000-0005-0000-0000-0000B8300000}"/>
    <cellStyle name="Currency 5 2 3 3 2 5 3 3 2" xfId="13893" xr:uid="{00000000-0005-0000-0000-0000B9300000}"/>
    <cellStyle name="Currency 5 2 3 3 2 5 3 4" xfId="13894" xr:uid="{00000000-0005-0000-0000-0000BA300000}"/>
    <cellStyle name="Currency 5 2 3 3 2 5 4" xfId="13895" xr:uid="{00000000-0005-0000-0000-0000BB300000}"/>
    <cellStyle name="Currency 5 2 3 3 2 5 4 2" xfId="13896" xr:uid="{00000000-0005-0000-0000-0000BC300000}"/>
    <cellStyle name="Currency 5 2 3 3 2 5 4 2 2" xfId="13897" xr:uid="{00000000-0005-0000-0000-0000BD300000}"/>
    <cellStyle name="Currency 5 2 3 3 2 5 4 3" xfId="13898" xr:uid="{00000000-0005-0000-0000-0000BE300000}"/>
    <cellStyle name="Currency 5 2 3 3 2 5 5" xfId="13899" xr:uid="{00000000-0005-0000-0000-0000BF300000}"/>
    <cellStyle name="Currency 5 2 3 3 2 5 5 2" xfId="13900" xr:uid="{00000000-0005-0000-0000-0000C0300000}"/>
    <cellStyle name="Currency 5 2 3 3 2 5 6" xfId="13901" xr:uid="{00000000-0005-0000-0000-0000C1300000}"/>
    <cellStyle name="Currency 5 2 3 3 2 5 7" xfId="13878" xr:uid="{00000000-0005-0000-0000-0000C2300000}"/>
    <cellStyle name="Currency 5 2 3 3 2 6" xfId="13902" xr:uid="{00000000-0005-0000-0000-0000C3300000}"/>
    <cellStyle name="Currency 5 2 3 3 2 6 2" xfId="13903" xr:uid="{00000000-0005-0000-0000-0000C4300000}"/>
    <cellStyle name="Currency 5 2 3 3 2 6 2 2" xfId="13904" xr:uid="{00000000-0005-0000-0000-0000C5300000}"/>
    <cellStyle name="Currency 5 2 3 3 2 6 2 2 2" xfId="13905" xr:uid="{00000000-0005-0000-0000-0000C6300000}"/>
    <cellStyle name="Currency 5 2 3 3 2 6 2 2 2 2" xfId="13906" xr:uid="{00000000-0005-0000-0000-0000C7300000}"/>
    <cellStyle name="Currency 5 2 3 3 2 6 2 2 3" xfId="13907" xr:uid="{00000000-0005-0000-0000-0000C8300000}"/>
    <cellStyle name="Currency 5 2 3 3 2 6 2 3" xfId="13908" xr:uid="{00000000-0005-0000-0000-0000C9300000}"/>
    <cellStyle name="Currency 5 2 3 3 2 6 2 3 2" xfId="13909" xr:uid="{00000000-0005-0000-0000-0000CA300000}"/>
    <cellStyle name="Currency 5 2 3 3 2 6 2 4" xfId="13910" xr:uid="{00000000-0005-0000-0000-0000CB300000}"/>
    <cellStyle name="Currency 5 2 3 3 2 6 3" xfId="13911" xr:uid="{00000000-0005-0000-0000-0000CC300000}"/>
    <cellStyle name="Currency 5 2 3 3 2 6 3 2" xfId="13912" xr:uid="{00000000-0005-0000-0000-0000CD300000}"/>
    <cellStyle name="Currency 5 2 3 3 2 6 3 2 2" xfId="13913" xr:uid="{00000000-0005-0000-0000-0000CE300000}"/>
    <cellStyle name="Currency 5 2 3 3 2 6 3 3" xfId="13914" xr:uid="{00000000-0005-0000-0000-0000CF300000}"/>
    <cellStyle name="Currency 5 2 3 3 2 6 4" xfId="13915" xr:uid="{00000000-0005-0000-0000-0000D0300000}"/>
    <cellStyle name="Currency 5 2 3 3 2 6 4 2" xfId="13916" xr:uid="{00000000-0005-0000-0000-0000D1300000}"/>
    <cellStyle name="Currency 5 2 3 3 2 6 5" xfId="13917" xr:uid="{00000000-0005-0000-0000-0000D2300000}"/>
    <cellStyle name="Currency 5 2 3 3 2 7" xfId="13918" xr:uid="{00000000-0005-0000-0000-0000D3300000}"/>
    <cellStyle name="Currency 5 2 3 3 2 7 2" xfId="13919" xr:uid="{00000000-0005-0000-0000-0000D4300000}"/>
    <cellStyle name="Currency 5 2 3 3 2 7 2 2" xfId="13920" xr:uid="{00000000-0005-0000-0000-0000D5300000}"/>
    <cellStyle name="Currency 5 2 3 3 2 7 2 2 2" xfId="13921" xr:uid="{00000000-0005-0000-0000-0000D6300000}"/>
    <cellStyle name="Currency 5 2 3 3 2 7 2 2 2 2" xfId="13922" xr:uid="{00000000-0005-0000-0000-0000D7300000}"/>
    <cellStyle name="Currency 5 2 3 3 2 7 2 2 3" xfId="13923" xr:uid="{00000000-0005-0000-0000-0000D8300000}"/>
    <cellStyle name="Currency 5 2 3 3 2 7 2 3" xfId="13924" xr:uid="{00000000-0005-0000-0000-0000D9300000}"/>
    <cellStyle name="Currency 5 2 3 3 2 7 2 3 2" xfId="13925" xr:uid="{00000000-0005-0000-0000-0000DA300000}"/>
    <cellStyle name="Currency 5 2 3 3 2 7 2 4" xfId="13926" xr:uid="{00000000-0005-0000-0000-0000DB300000}"/>
    <cellStyle name="Currency 5 2 3 3 2 7 3" xfId="13927" xr:uid="{00000000-0005-0000-0000-0000DC300000}"/>
    <cellStyle name="Currency 5 2 3 3 2 7 3 2" xfId="13928" xr:uid="{00000000-0005-0000-0000-0000DD300000}"/>
    <cellStyle name="Currency 5 2 3 3 2 7 3 2 2" xfId="13929" xr:uid="{00000000-0005-0000-0000-0000DE300000}"/>
    <cellStyle name="Currency 5 2 3 3 2 7 3 3" xfId="13930" xr:uid="{00000000-0005-0000-0000-0000DF300000}"/>
    <cellStyle name="Currency 5 2 3 3 2 7 4" xfId="13931" xr:uid="{00000000-0005-0000-0000-0000E0300000}"/>
    <cellStyle name="Currency 5 2 3 3 2 7 4 2" xfId="13932" xr:uid="{00000000-0005-0000-0000-0000E1300000}"/>
    <cellStyle name="Currency 5 2 3 3 2 7 5" xfId="13933" xr:uid="{00000000-0005-0000-0000-0000E2300000}"/>
    <cellStyle name="Currency 5 2 3 3 2 8" xfId="13934" xr:uid="{00000000-0005-0000-0000-0000E3300000}"/>
    <cellStyle name="Currency 5 2 3 3 2 8 2" xfId="13935" xr:uid="{00000000-0005-0000-0000-0000E4300000}"/>
    <cellStyle name="Currency 5 2 3 3 2 8 2 2" xfId="13936" xr:uid="{00000000-0005-0000-0000-0000E5300000}"/>
    <cellStyle name="Currency 5 2 3 3 2 8 2 2 2" xfId="13937" xr:uid="{00000000-0005-0000-0000-0000E6300000}"/>
    <cellStyle name="Currency 5 2 3 3 2 8 2 3" xfId="13938" xr:uid="{00000000-0005-0000-0000-0000E7300000}"/>
    <cellStyle name="Currency 5 2 3 3 2 8 3" xfId="13939" xr:uid="{00000000-0005-0000-0000-0000E8300000}"/>
    <cellStyle name="Currency 5 2 3 3 2 8 3 2" xfId="13940" xr:uid="{00000000-0005-0000-0000-0000E9300000}"/>
    <cellStyle name="Currency 5 2 3 3 2 8 4" xfId="13941" xr:uid="{00000000-0005-0000-0000-0000EA300000}"/>
    <cellStyle name="Currency 5 2 3 3 2 9" xfId="13942" xr:uid="{00000000-0005-0000-0000-0000EB300000}"/>
    <cellStyle name="Currency 5 2 3 3 2 9 2" xfId="13943" xr:uid="{00000000-0005-0000-0000-0000EC300000}"/>
    <cellStyle name="Currency 5 2 3 3 2 9 2 2" xfId="13944" xr:uid="{00000000-0005-0000-0000-0000ED300000}"/>
    <cellStyle name="Currency 5 2 3 3 2 9 2 2 2" xfId="13945" xr:uid="{00000000-0005-0000-0000-0000EE300000}"/>
    <cellStyle name="Currency 5 2 3 3 2 9 2 3" xfId="13946" xr:uid="{00000000-0005-0000-0000-0000EF300000}"/>
    <cellStyle name="Currency 5 2 3 3 2 9 3" xfId="13947" xr:uid="{00000000-0005-0000-0000-0000F0300000}"/>
    <cellStyle name="Currency 5 2 3 3 2 9 3 2" xfId="13948" xr:uid="{00000000-0005-0000-0000-0000F1300000}"/>
    <cellStyle name="Currency 5 2 3 3 2 9 4" xfId="13949" xr:uid="{00000000-0005-0000-0000-0000F2300000}"/>
    <cellStyle name="Currency 5 2 3 3 3" xfId="332" xr:uid="{00000000-0005-0000-0000-0000F3300000}"/>
    <cellStyle name="Currency 5 2 3 3 3 10" xfId="13951" xr:uid="{00000000-0005-0000-0000-0000F4300000}"/>
    <cellStyle name="Currency 5 2 3 3 3 10 2" xfId="13952" xr:uid="{00000000-0005-0000-0000-0000F5300000}"/>
    <cellStyle name="Currency 5 2 3 3 3 10 2 2" xfId="13953" xr:uid="{00000000-0005-0000-0000-0000F6300000}"/>
    <cellStyle name="Currency 5 2 3 3 3 10 3" xfId="13954" xr:uid="{00000000-0005-0000-0000-0000F7300000}"/>
    <cellStyle name="Currency 5 2 3 3 3 11" xfId="13955" xr:uid="{00000000-0005-0000-0000-0000F8300000}"/>
    <cellStyle name="Currency 5 2 3 3 3 11 2" xfId="13956" xr:uid="{00000000-0005-0000-0000-0000F9300000}"/>
    <cellStyle name="Currency 5 2 3 3 3 11 2 2" xfId="13957" xr:uid="{00000000-0005-0000-0000-0000FA300000}"/>
    <cellStyle name="Currency 5 2 3 3 3 11 3" xfId="13958" xr:uid="{00000000-0005-0000-0000-0000FB300000}"/>
    <cellStyle name="Currency 5 2 3 3 3 12" xfId="13959" xr:uid="{00000000-0005-0000-0000-0000FC300000}"/>
    <cellStyle name="Currency 5 2 3 3 3 12 2" xfId="13960" xr:uid="{00000000-0005-0000-0000-0000FD300000}"/>
    <cellStyle name="Currency 5 2 3 3 3 13" xfId="13961" xr:uid="{00000000-0005-0000-0000-0000FE300000}"/>
    <cellStyle name="Currency 5 2 3 3 3 14" xfId="13962" xr:uid="{00000000-0005-0000-0000-0000FF300000}"/>
    <cellStyle name="Currency 5 2 3 3 3 15" xfId="13950" xr:uid="{00000000-0005-0000-0000-000000310000}"/>
    <cellStyle name="Currency 5 2 3 3 3 2" xfId="894" xr:uid="{00000000-0005-0000-0000-000001310000}"/>
    <cellStyle name="Currency 5 2 3 3 3 2 10" xfId="13964" xr:uid="{00000000-0005-0000-0000-000002310000}"/>
    <cellStyle name="Currency 5 2 3 3 3 2 11" xfId="13963" xr:uid="{00000000-0005-0000-0000-000003310000}"/>
    <cellStyle name="Currency 5 2 3 3 3 2 2" xfId="1635" xr:uid="{00000000-0005-0000-0000-000004310000}"/>
    <cellStyle name="Currency 5 2 3 3 3 2 2 2" xfId="13966" xr:uid="{00000000-0005-0000-0000-000005310000}"/>
    <cellStyle name="Currency 5 2 3 3 3 2 2 2 2" xfId="13967" xr:uid="{00000000-0005-0000-0000-000006310000}"/>
    <cellStyle name="Currency 5 2 3 3 3 2 2 2 2 2" xfId="13968" xr:uid="{00000000-0005-0000-0000-000007310000}"/>
    <cellStyle name="Currency 5 2 3 3 3 2 2 2 2 2 2" xfId="13969" xr:uid="{00000000-0005-0000-0000-000008310000}"/>
    <cellStyle name="Currency 5 2 3 3 3 2 2 2 2 3" xfId="13970" xr:uid="{00000000-0005-0000-0000-000009310000}"/>
    <cellStyle name="Currency 5 2 3 3 3 2 2 2 3" xfId="13971" xr:uid="{00000000-0005-0000-0000-00000A310000}"/>
    <cellStyle name="Currency 5 2 3 3 3 2 2 2 3 2" xfId="13972" xr:uid="{00000000-0005-0000-0000-00000B310000}"/>
    <cellStyle name="Currency 5 2 3 3 3 2 2 2 4" xfId="13973" xr:uid="{00000000-0005-0000-0000-00000C310000}"/>
    <cellStyle name="Currency 5 2 3 3 3 2 2 3" xfId="13974" xr:uid="{00000000-0005-0000-0000-00000D310000}"/>
    <cellStyle name="Currency 5 2 3 3 3 2 2 3 2" xfId="13975" xr:uid="{00000000-0005-0000-0000-00000E310000}"/>
    <cellStyle name="Currency 5 2 3 3 3 2 2 3 2 2" xfId="13976" xr:uid="{00000000-0005-0000-0000-00000F310000}"/>
    <cellStyle name="Currency 5 2 3 3 3 2 2 3 2 2 2" xfId="13977" xr:uid="{00000000-0005-0000-0000-000010310000}"/>
    <cellStyle name="Currency 5 2 3 3 3 2 2 3 2 3" xfId="13978" xr:uid="{00000000-0005-0000-0000-000011310000}"/>
    <cellStyle name="Currency 5 2 3 3 3 2 2 3 3" xfId="13979" xr:uid="{00000000-0005-0000-0000-000012310000}"/>
    <cellStyle name="Currency 5 2 3 3 3 2 2 3 3 2" xfId="13980" xr:uid="{00000000-0005-0000-0000-000013310000}"/>
    <cellStyle name="Currency 5 2 3 3 3 2 2 3 4" xfId="13981" xr:uid="{00000000-0005-0000-0000-000014310000}"/>
    <cellStyle name="Currency 5 2 3 3 3 2 2 4" xfId="13982" xr:uid="{00000000-0005-0000-0000-000015310000}"/>
    <cellStyle name="Currency 5 2 3 3 3 2 2 4 2" xfId="13983" xr:uid="{00000000-0005-0000-0000-000016310000}"/>
    <cellStyle name="Currency 5 2 3 3 3 2 2 4 2 2" xfId="13984" xr:uid="{00000000-0005-0000-0000-000017310000}"/>
    <cellStyle name="Currency 5 2 3 3 3 2 2 4 3" xfId="13985" xr:uid="{00000000-0005-0000-0000-000018310000}"/>
    <cellStyle name="Currency 5 2 3 3 3 2 2 5" xfId="13986" xr:uid="{00000000-0005-0000-0000-000019310000}"/>
    <cellStyle name="Currency 5 2 3 3 3 2 2 5 2" xfId="13987" xr:uid="{00000000-0005-0000-0000-00001A310000}"/>
    <cellStyle name="Currency 5 2 3 3 3 2 2 6" xfId="13988" xr:uid="{00000000-0005-0000-0000-00001B310000}"/>
    <cellStyle name="Currency 5 2 3 3 3 2 2 7" xfId="13965" xr:uid="{00000000-0005-0000-0000-00001C310000}"/>
    <cellStyle name="Currency 5 2 3 3 3 2 3" xfId="13989" xr:uid="{00000000-0005-0000-0000-00001D310000}"/>
    <cellStyle name="Currency 5 2 3 3 3 2 3 2" xfId="13990" xr:uid="{00000000-0005-0000-0000-00001E310000}"/>
    <cellStyle name="Currency 5 2 3 3 3 2 3 2 2" xfId="13991" xr:uid="{00000000-0005-0000-0000-00001F310000}"/>
    <cellStyle name="Currency 5 2 3 3 3 2 3 2 2 2" xfId="13992" xr:uid="{00000000-0005-0000-0000-000020310000}"/>
    <cellStyle name="Currency 5 2 3 3 3 2 3 2 2 2 2" xfId="13993" xr:uid="{00000000-0005-0000-0000-000021310000}"/>
    <cellStyle name="Currency 5 2 3 3 3 2 3 2 2 3" xfId="13994" xr:uid="{00000000-0005-0000-0000-000022310000}"/>
    <cellStyle name="Currency 5 2 3 3 3 2 3 2 3" xfId="13995" xr:uid="{00000000-0005-0000-0000-000023310000}"/>
    <cellStyle name="Currency 5 2 3 3 3 2 3 2 3 2" xfId="13996" xr:uid="{00000000-0005-0000-0000-000024310000}"/>
    <cellStyle name="Currency 5 2 3 3 3 2 3 2 4" xfId="13997" xr:uid="{00000000-0005-0000-0000-000025310000}"/>
    <cellStyle name="Currency 5 2 3 3 3 2 3 3" xfId="13998" xr:uid="{00000000-0005-0000-0000-000026310000}"/>
    <cellStyle name="Currency 5 2 3 3 3 2 3 3 2" xfId="13999" xr:uid="{00000000-0005-0000-0000-000027310000}"/>
    <cellStyle name="Currency 5 2 3 3 3 2 3 3 2 2" xfId="14000" xr:uid="{00000000-0005-0000-0000-000028310000}"/>
    <cellStyle name="Currency 5 2 3 3 3 2 3 3 3" xfId="14001" xr:uid="{00000000-0005-0000-0000-000029310000}"/>
    <cellStyle name="Currency 5 2 3 3 3 2 3 4" xfId="14002" xr:uid="{00000000-0005-0000-0000-00002A310000}"/>
    <cellStyle name="Currency 5 2 3 3 3 2 3 4 2" xfId="14003" xr:uid="{00000000-0005-0000-0000-00002B310000}"/>
    <cellStyle name="Currency 5 2 3 3 3 2 3 5" xfId="14004" xr:uid="{00000000-0005-0000-0000-00002C310000}"/>
    <cellStyle name="Currency 5 2 3 3 3 2 4" xfId="14005" xr:uid="{00000000-0005-0000-0000-00002D310000}"/>
    <cellStyle name="Currency 5 2 3 3 3 2 4 2" xfId="14006" xr:uid="{00000000-0005-0000-0000-00002E310000}"/>
    <cellStyle name="Currency 5 2 3 3 3 2 4 2 2" xfId="14007" xr:uid="{00000000-0005-0000-0000-00002F310000}"/>
    <cellStyle name="Currency 5 2 3 3 3 2 4 2 2 2" xfId="14008" xr:uid="{00000000-0005-0000-0000-000030310000}"/>
    <cellStyle name="Currency 5 2 3 3 3 2 4 2 2 2 2" xfId="14009" xr:uid="{00000000-0005-0000-0000-000031310000}"/>
    <cellStyle name="Currency 5 2 3 3 3 2 4 2 2 3" xfId="14010" xr:uid="{00000000-0005-0000-0000-000032310000}"/>
    <cellStyle name="Currency 5 2 3 3 3 2 4 2 3" xfId="14011" xr:uid="{00000000-0005-0000-0000-000033310000}"/>
    <cellStyle name="Currency 5 2 3 3 3 2 4 2 3 2" xfId="14012" xr:uid="{00000000-0005-0000-0000-000034310000}"/>
    <cellStyle name="Currency 5 2 3 3 3 2 4 2 4" xfId="14013" xr:uid="{00000000-0005-0000-0000-000035310000}"/>
    <cellStyle name="Currency 5 2 3 3 3 2 4 3" xfId="14014" xr:uid="{00000000-0005-0000-0000-000036310000}"/>
    <cellStyle name="Currency 5 2 3 3 3 2 4 3 2" xfId="14015" xr:uid="{00000000-0005-0000-0000-000037310000}"/>
    <cellStyle name="Currency 5 2 3 3 3 2 4 3 2 2" xfId="14016" xr:uid="{00000000-0005-0000-0000-000038310000}"/>
    <cellStyle name="Currency 5 2 3 3 3 2 4 3 3" xfId="14017" xr:uid="{00000000-0005-0000-0000-000039310000}"/>
    <cellStyle name="Currency 5 2 3 3 3 2 4 4" xfId="14018" xr:uid="{00000000-0005-0000-0000-00003A310000}"/>
    <cellStyle name="Currency 5 2 3 3 3 2 4 4 2" xfId="14019" xr:uid="{00000000-0005-0000-0000-00003B310000}"/>
    <cellStyle name="Currency 5 2 3 3 3 2 4 5" xfId="14020" xr:uid="{00000000-0005-0000-0000-00003C310000}"/>
    <cellStyle name="Currency 5 2 3 3 3 2 5" xfId="14021" xr:uid="{00000000-0005-0000-0000-00003D310000}"/>
    <cellStyle name="Currency 5 2 3 3 3 2 5 2" xfId="14022" xr:uid="{00000000-0005-0000-0000-00003E310000}"/>
    <cellStyle name="Currency 5 2 3 3 3 2 5 2 2" xfId="14023" xr:uid="{00000000-0005-0000-0000-00003F310000}"/>
    <cellStyle name="Currency 5 2 3 3 3 2 5 2 2 2" xfId="14024" xr:uid="{00000000-0005-0000-0000-000040310000}"/>
    <cellStyle name="Currency 5 2 3 3 3 2 5 2 3" xfId="14025" xr:uid="{00000000-0005-0000-0000-000041310000}"/>
    <cellStyle name="Currency 5 2 3 3 3 2 5 3" xfId="14026" xr:uid="{00000000-0005-0000-0000-000042310000}"/>
    <cellStyle name="Currency 5 2 3 3 3 2 5 3 2" xfId="14027" xr:uid="{00000000-0005-0000-0000-000043310000}"/>
    <cellStyle name="Currency 5 2 3 3 3 2 5 4" xfId="14028" xr:uid="{00000000-0005-0000-0000-000044310000}"/>
    <cellStyle name="Currency 5 2 3 3 3 2 6" xfId="14029" xr:uid="{00000000-0005-0000-0000-000045310000}"/>
    <cellStyle name="Currency 5 2 3 3 3 2 6 2" xfId="14030" xr:uid="{00000000-0005-0000-0000-000046310000}"/>
    <cellStyle name="Currency 5 2 3 3 3 2 6 2 2" xfId="14031" xr:uid="{00000000-0005-0000-0000-000047310000}"/>
    <cellStyle name="Currency 5 2 3 3 3 2 6 2 2 2" xfId="14032" xr:uid="{00000000-0005-0000-0000-000048310000}"/>
    <cellStyle name="Currency 5 2 3 3 3 2 6 2 3" xfId="14033" xr:uid="{00000000-0005-0000-0000-000049310000}"/>
    <cellStyle name="Currency 5 2 3 3 3 2 6 3" xfId="14034" xr:uid="{00000000-0005-0000-0000-00004A310000}"/>
    <cellStyle name="Currency 5 2 3 3 3 2 6 3 2" xfId="14035" xr:uid="{00000000-0005-0000-0000-00004B310000}"/>
    <cellStyle name="Currency 5 2 3 3 3 2 6 4" xfId="14036" xr:uid="{00000000-0005-0000-0000-00004C310000}"/>
    <cellStyle name="Currency 5 2 3 3 3 2 7" xfId="14037" xr:uid="{00000000-0005-0000-0000-00004D310000}"/>
    <cellStyle name="Currency 5 2 3 3 3 2 7 2" xfId="14038" xr:uid="{00000000-0005-0000-0000-00004E310000}"/>
    <cellStyle name="Currency 5 2 3 3 3 2 7 2 2" xfId="14039" xr:uid="{00000000-0005-0000-0000-00004F310000}"/>
    <cellStyle name="Currency 5 2 3 3 3 2 7 2 2 2" xfId="14040" xr:uid="{00000000-0005-0000-0000-000050310000}"/>
    <cellStyle name="Currency 5 2 3 3 3 2 7 2 3" xfId="14041" xr:uid="{00000000-0005-0000-0000-000051310000}"/>
    <cellStyle name="Currency 5 2 3 3 3 2 7 3" xfId="14042" xr:uid="{00000000-0005-0000-0000-000052310000}"/>
    <cellStyle name="Currency 5 2 3 3 3 2 7 3 2" xfId="14043" xr:uid="{00000000-0005-0000-0000-000053310000}"/>
    <cellStyle name="Currency 5 2 3 3 3 2 7 4" xfId="14044" xr:uid="{00000000-0005-0000-0000-000054310000}"/>
    <cellStyle name="Currency 5 2 3 3 3 2 8" xfId="14045" xr:uid="{00000000-0005-0000-0000-000055310000}"/>
    <cellStyle name="Currency 5 2 3 3 3 2 8 2" xfId="14046" xr:uid="{00000000-0005-0000-0000-000056310000}"/>
    <cellStyle name="Currency 5 2 3 3 3 2 8 2 2" xfId="14047" xr:uid="{00000000-0005-0000-0000-000057310000}"/>
    <cellStyle name="Currency 5 2 3 3 3 2 8 3" xfId="14048" xr:uid="{00000000-0005-0000-0000-000058310000}"/>
    <cellStyle name="Currency 5 2 3 3 3 2 9" xfId="14049" xr:uid="{00000000-0005-0000-0000-000059310000}"/>
    <cellStyle name="Currency 5 2 3 3 3 2 9 2" xfId="14050" xr:uid="{00000000-0005-0000-0000-00005A310000}"/>
    <cellStyle name="Currency 5 2 3 3 3 3" xfId="1310" xr:uid="{00000000-0005-0000-0000-00005B310000}"/>
    <cellStyle name="Currency 5 2 3 3 3 3 2" xfId="14052" xr:uid="{00000000-0005-0000-0000-00005C310000}"/>
    <cellStyle name="Currency 5 2 3 3 3 3 2 2" xfId="14053" xr:uid="{00000000-0005-0000-0000-00005D310000}"/>
    <cellStyle name="Currency 5 2 3 3 3 3 2 2 2" xfId="14054" xr:uid="{00000000-0005-0000-0000-00005E310000}"/>
    <cellStyle name="Currency 5 2 3 3 3 3 2 2 2 2" xfId="14055" xr:uid="{00000000-0005-0000-0000-00005F310000}"/>
    <cellStyle name="Currency 5 2 3 3 3 3 2 2 3" xfId="14056" xr:uid="{00000000-0005-0000-0000-000060310000}"/>
    <cellStyle name="Currency 5 2 3 3 3 3 2 3" xfId="14057" xr:uid="{00000000-0005-0000-0000-000061310000}"/>
    <cellStyle name="Currency 5 2 3 3 3 3 2 3 2" xfId="14058" xr:uid="{00000000-0005-0000-0000-000062310000}"/>
    <cellStyle name="Currency 5 2 3 3 3 3 2 4" xfId="14059" xr:uid="{00000000-0005-0000-0000-000063310000}"/>
    <cellStyle name="Currency 5 2 3 3 3 3 3" xfId="14060" xr:uid="{00000000-0005-0000-0000-000064310000}"/>
    <cellStyle name="Currency 5 2 3 3 3 3 3 2" xfId="14061" xr:uid="{00000000-0005-0000-0000-000065310000}"/>
    <cellStyle name="Currency 5 2 3 3 3 3 3 2 2" xfId="14062" xr:uid="{00000000-0005-0000-0000-000066310000}"/>
    <cellStyle name="Currency 5 2 3 3 3 3 3 2 2 2" xfId="14063" xr:uid="{00000000-0005-0000-0000-000067310000}"/>
    <cellStyle name="Currency 5 2 3 3 3 3 3 2 3" xfId="14064" xr:uid="{00000000-0005-0000-0000-000068310000}"/>
    <cellStyle name="Currency 5 2 3 3 3 3 3 3" xfId="14065" xr:uid="{00000000-0005-0000-0000-000069310000}"/>
    <cellStyle name="Currency 5 2 3 3 3 3 3 3 2" xfId="14066" xr:uid="{00000000-0005-0000-0000-00006A310000}"/>
    <cellStyle name="Currency 5 2 3 3 3 3 3 4" xfId="14067" xr:uid="{00000000-0005-0000-0000-00006B310000}"/>
    <cellStyle name="Currency 5 2 3 3 3 3 4" xfId="14068" xr:uid="{00000000-0005-0000-0000-00006C310000}"/>
    <cellStyle name="Currency 5 2 3 3 3 3 4 2" xfId="14069" xr:uid="{00000000-0005-0000-0000-00006D310000}"/>
    <cellStyle name="Currency 5 2 3 3 3 3 4 2 2" xfId="14070" xr:uid="{00000000-0005-0000-0000-00006E310000}"/>
    <cellStyle name="Currency 5 2 3 3 3 3 4 3" xfId="14071" xr:uid="{00000000-0005-0000-0000-00006F310000}"/>
    <cellStyle name="Currency 5 2 3 3 3 3 5" xfId="14072" xr:uid="{00000000-0005-0000-0000-000070310000}"/>
    <cellStyle name="Currency 5 2 3 3 3 3 5 2" xfId="14073" xr:uid="{00000000-0005-0000-0000-000071310000}"/>
    <cellStyle name="Currency 5 2 3 3 3 3 6" xfId="14074" xr:uid="{00000000-0005-0000-0000-000072310000}"/>
    <cellStyle name="Currency 5 2 3 3 3 3 7" xfId="14051" xr:uid="{00000000-0005-0000-0000-000073310000}"/>
    <cellStyle name="Currency 5 2 3 3 3 4" xfId="14075" xr:uid="{00000000-0005-0000-0000-000074310000}"/>
    <cellStyle name="Currency 5 2 3 3 3 4 2" xfId="14076" xr:uid="{00000000-0005-0000-0000-000075310000}"/>
    <cellStyle name="Currency 5 2 3 3 3 4 2 2" xfId="14077" xr:uid="{00000000-0005-0000-0000-000076310000}"/>
    <cellStyle name="Currency 5 2 3 3 3 4 2 2 2" xfId="14078" xr:uid="{00000000-0005-0000-0000-000077310000}"/>
    <cellStyle name="Currency 5 2 3 3 3 4 2 2 2 2" xfId="14079" xr:uid="{00000000-0005-0000-0000-000078310000}"/>
    <cellStyle name="Currency 5 2 3 3 3 4 2 2 3" xfId="14080" xr:uid="{00000000-0005-0000-0000-000079310000}"/>
    <cellStyle name="Currency 5 2 3 3 3 4 2 3" xfId="14081" xr:uid="{00000000-0005-0000-0000-00007A310000}"/>
    <cellStyle name="Currency 5 2 3 3 3 4 2 3 2" xfId="14082" xr:uid="{00000000-0005-0000-0000-00007B310000}"/>
    <cellStyle name="Currency 5 2 3 3 3 4 2 4" xfId="14083" xr:uid="{00000000-0005-0000-0000-00007C310000}"/>
    <cellStyle name="Currency 5 2 3 3 3 4 3" xfId="14084" xr:uid="{00000000-0005-0000-0000-00007D310000}"/>
    <cellStyle name="Currency 5 2 3 3 3 4 3 2" xfId="14085" xr:uid="{00000000-0005-0000-0000-00007E310000}"/>
    <cellStyle name="Currency 5 2 3 3 3 4 3 2 2" xfId="14086" xr:uid="{00000000-0005-0000-0000-00007F310000}"/>
    <cellStyle name="Currency 5 2 3 3 3 4 3 3" xfId="14087" xr:uid="{00000000-0005-0000-0000-000080310000}"/>
    <cellStyle name="Currency 5 2 3 3 3 4 4" xfId="14088" xr:uid="{00000000-0005-0000-0000-000081310000}"/>
    <cellStyle name="Currency 5 2 3 3 3 4 4 2" xfId="14089" xr:uid="{00000000-0005-0000-0000-000082310000}"/>
    <cellStyle name="Currency 5 2 3 3 3 4 5" xfId="14090" xr:uid="{00000000-0005-0000-0000-000083310000}"/>
    <cellStyle name="Currency 5 2 3 3 3 5" xfId="14091" xr:uid="{00000000-0005-0000-0000-000084310000}"/>
    <cellStyle name="Currency 5 2 3 3 3 5 2" xfId="14092" xr:uid="{00000000-0005-0000-0000-000085310000}"/>
    <cellStyle name="Currency 5 2 3 3 3 5 2 2" xfId="14093" xr:uid="{00000000-0005-0000-0000-000086310000}"/>
    <cellStyle name="Currency 5 2 3 3 3 5 2 2 2" xfId="14094" xr:uid="{00000000-0005-0000-0000-000087310000}"/>
    <cellStyle name="Currency 5 2 3 3 3 5 2 2 2 2" xfId="14095" xr:uid="{00000000-0005-0000-0000-000088310000}"/>
    <cellStyle name="Currency 5 2 3 3 3 5 2 2 3" xfId="14096" xr:uid="{00000000-0005-0000-0000-000089310000}"/>
    <cellStyle name="Currency 5 2 3 3 3 5 2 3" xfId="14097" xr:uid="{00000000-0005-0000-0000-00008A310000}"/>
    <cellStyle name="Currency 5 2 3 3 3 5 2 3 2" xfId="14098" xr:uid="{00000000-0005-0000-0000-00008B310000}"/>
    <cellStyle name="Currency 5 2 3 3 3 5 2 4" xfId="14099" xr:uid="{00000000-0005-0000-0000-00008C310000}"/>
    <cellStyle name="Currency 5 2 3 3 3 5 3" xfId="14100" xr:uid="{00000000-0005-0000-0000-00008D310000}"/>
    <cellStyle name="Currency 5 2 3 3 3 5 3 2" xfId="14101" xr:uid="{00000000-0005-0000-0000-00008E310000}"/>
    <cellStyle name="Currency 5 2 3 3 3 5 3 2 2" xfId="14102" xr:uid="{00000000-0005-0000-0000-00008F310000}"/>
    <cellStyle name="Currency 5 2 3 3 3 5 3 3" xfId="14103" xr:uid="{00000000-0005-0000-0000-000090310000}"/>
    <cellStyle name="Currency 5 2 3 3 3 5 4" xfId="14104" xr:uid="{00000000-0005-0000-0000-000091310000}"/>
    <cellStyle name="Currency 5 2 3 3 3 5 4 2" xfId="14105" xr:uid="{00000000-0005-0000-0000-000092310000}"/>
    <cellStyle name="Currency 5 2 3 3 3 5 5" xfId="14106" xr:uid="{00000000-0005-0000-0000-000093310000}"/>
    <cellStyle name="Currency 5 2 3 3 3 6" xfId="14107" xr:uid="{00000000-0005-0000-0000-000094310000}"/>
    <cellStyle name="Currency 5 2 3 3 3 6 2" xfId="14108" xr:uid="{00000000-0005-0000-0000-000095310000}"/>
    <cellStyle name="Currency 5 2 3 3 3 6 2 2" xfId="14109" xr:uid="{00000000-0005-0000-0000-000096310000}"/>
    <cellStyle name="Currency 5 2 3 3 3 6 2 2 2" xfId="14110" xr:uid="{00000000-0005-0000-0000-000097310000}"/>
    <cellStyle name="Currency 5 2 3 3 3 6 2 3" xfId="14111" xr:uid="{00000000-0005-0000-0000-000098310000}"/>
    <cellStyle name="Currency 5 2 3 3 3 6 3" xfId="14112" xr:uid="{00000000-0005-0000-0000-000099310000}"/>
    <cellStyle name="Currency 5 2 3 3 3 6 3 2" xfId="14113" xr:uid="{00000000-0005-0000-0000-00009A310000}"/>
    <cellStyle name="Currency 5 2 3 3 3 6 4" xfId="14114" xr:uid="{00000000-0005-0000-0000-00009B310000}"/>
    <cellStyle name="Currency 5 2 3 3 3 7" xfId="14115" xr:uid="{00000000-0005-0000-0000-00009C310000}"/>
    <cellStyle name="Currency 5 2 3 3 3 7 2" xfId="14116" xr:uid="{00000000-0005-0000-0000-00009D310000}"/>
    <cellStyle name="Currency 5 2 3 3 3 7 2 2" xfId="14117" xr:uid="{00000000-0005-0000-0000-00009E310000}"/>
    <cellStyle name="Currency 5 2 3 3 3 7 2 2 2" xfId="14118" xr:uid="{00000000-0005-0000-0000-00009F310000}"/>
    <cellStyle name="Currency 5 2 3 3 3 7 2 3" xfId="14119" xr:uid="{00000000-0005-0000-0000-0000A0310000}"/>
    <cellStyle name="Currency 5 2 3 3 3 7 3" xfId="14120" xr:uid="{00000000-0005-0000-0000-0000A1310000}"/>
    <cellStyle name="Currency 5 2 3 3 3 7 3 2" xfId="14121" xr:uid="{00000000-0005-0000-0000-0000A2310000}"/>
    <cellStyle name="Currency 5 2 3 3 3 7 4" xfId="14122" xr:uid="{00000000-0005-0000-0000-0000A3310000}"/>
    <cellStyle name="Currency 5 2 3 3 3 8" xfId="14123" xr:uid="{00000000-0005-0000-0000-0000A4310000}"/>
    <cellStyle name="Currency 5 2 3 3 3 8 2" xfId="14124" xr:uid="{00000000-0005-0000-0000-0000A5310000}"/>
    <cellStyle name="Currency 5 2 3 3 3 8 2 2" xfId="14125" xr:uid="{00000000-0005-0000-0000-0000A6310000}"/>
    <cellStyle name="Currency 5 2 3 3 3 8 2 2 2" xfId="14126" xr:uid="{00000000-0005-0000-0000-0000A7310000}"/>
    <cellStyle name="Currency 5 2 3 3 3 8 2 3" xfId="14127" xr:uid="{00000000-0005-0000-0000-0000A8310000}"/>
    <cellStyle name="Currency 5 2 3 3 3 8 3" xfId="14128" xr:uid="{00000000-0005-0000-0000-0000A9310000}"/>
    <cellStyle name="Currency 5 2 3 3 3 8 3 2" xfId="14129" xr:uid="{00000000-0005-0000-0000-0000AA310000}"/>
    <cellStyle name="Currency 5 2 3 3 3 8 4" xfId="14130" xr:uid="{00000000-0005-0000-0000-0000AB310000}"/>
    <cellStyle name="Currency 5 2 3 3 3 9" xfId="14131" xr:uid="{00000000-0005-0000-0000-0000AC310000}"/>
    <cellStyle name="Currency 5 2 3 3 3 9 2" xfId="14132" xr:uid="{00000000-0005-0000-0000-0000AD310000}"/>
    <cellStyle name="Currency 5 2 3 3 3 9 2 2" xfId="14133" xr:uid="{00000000-0005-0000-0000-0000AE310000}"/>
    <cellStyle name="Currency 5 2 3 3 3 9 3" xfId="14134" xr:uid="{00000000-0005-0000-0000-0000AF310000}"/>
    <cellStyle name="Currency 5 2 3 3 4" xfId="333" xr:uid="{00000000-0005-0000-0000-0000B0310000}"/>
    <cellStyle name="Currency 5 2 3 3 5" xfId="891" xr:uid="{00000000-0005-0000-0000-0000B1310000}"/>
    <cellStyle name="Currency 5 2 3 3 5 10" xfId="14136" xr:uid="{00000000-0005-0000-0000-0000B2310000}"/>
    <cellStyle name="Currency 5 2 3 3 5 11" xfId="14135" xr:uid="{00000000-0005-0000-0000-0000B3310000}"/>
    <cellStyle name="Currency 5 2 3 3 5 2" xfId="1632" xr:uid="{00000000-0005-0000-0000-0000B4310000}"/>
    <cellStyle name="Currency 5 2 3 3 5 2 2" xfId="14138" xr:uid="{00000000-0005-0000-0000-0000B5310000}"/>
    <cellStyle name="Currency 5 2 3 3 5 2 2 2" xfId="14139" xr:uid="{00000000-0005-0000-0000-0000B6310000}"/>
    <cellStyle name="Currency 5 2 3 3 5 2 2 2 2" xfId="14140" xr:uid="{00000000-0005-0000-0000-0000B7310000}"/>
    <cellStyle name="Currency 5 2 3 3 5 2 2 2 2 2" xfId="14141" xr:uid="{00000000-0005-0000-0000-0000B8310000}"/>
    <cellStyle name="Currency 5 2 3 3 5 2 2 2 3" xfId="14142" xr:uid="{00000000-0005-0000-0000-0000B9310000}"/>
    <cellStyle name="Currency 5 2 3 3 5 2 2 3" xfId="14143" xr:uid="{00000000-0005-0000-0000-0000BA310000}"/>
    <cellStyle name="Currency 5 2 3 3 5 2 2 3 2" xfId="14144" xr:uid="{00000000-0005-0000-0000-0000BB310000}"/>
    <cellStyle name="Currency 5 2 3 3 5 2 2 4" xfId="14145" xr:uid="{00000000-0005-0000-0000-0000BC310000}"/>
    <cellStyle name="Currency 5 2 3 3 5 2 3" xfId="14146" xr:uid="{00000000-0005-0000-0000-0000BD310000}"/>
    <cellStyle name="Currency 5 2 3 3 5 2 3 2" xfId="14147" xr:uid="{00000000-0005-0000-0000-0000BE310000}"/>
    <cellStyle name="Currency 5 2 3 3 5 2 3 2 2" xfId="14148" xr:uid="{00000000-0005-0000-0000-0000BF310000}"/>
    <cellStyle name="Currency 5 2 3 3 5 2 3 2 2 2" xfId="14149" xr:uid="{00000000-0005-0000-0000-0000C0310000}"/>
    <cellStyle name="Currency 5 2 3 3 5 2 3 2 3" xfId="14150" xr:uid="{00000000-0005-0000-0000-0000C1310000}"/>
    <cellStyle name="Currency 5 2 3 3 5 2 3 3" xfId="14151" xr:uid="{00000000-0005-0000-0000-0000C2310000}"/>
    <cellStyle name="Currency 5 2 3 3 5 2 3 3 2" xfId="14152" xr:uid="{00000000-0005-0000-0000-0000C3310000}"/>
    <cellStyle name="Currency 5 2 3 3 5 2 3 4" xfId="14153" xr:uid="{00000000-0005-0000-0000-0000C4310000}"/>
    <cellStyle name="Currency 5 2 3 3 5 2 4" xfId="14154" xr:uid="{00000000-0005-0000-0000-0000C5310000}"/>
    <cellStyle name="Currency 5 2 3 3 5 2 4 2" xfId="14155" xr:uid="{00000000-0005-0000-0000-0000C6310000}"/>
    <cellStyle name="Currency 5 2 3 3 5 2 4 2 2" xfId="14156" xr:uid="{00000000-0005-0000-0000-0000C7310000}"/>
    <cellStyle name="Currency 5 2 3 3 5 2 4 3" xfId="14157" xr:uid="{00000000-0005-0000-0000-0000C8310000}"/>
    <cellStyle name="Currency 5 2 3 3 5 2 5" xfId="14158" xr:uid="{00000000-0005-0000-0000-0000C9310000}"/>
    <cellStyle name="Currency 5 2 3 3 5 2 5 2" xfId="14159" xr:uid="{00000000-0005-0000-0000-0000CA310000}"/>
    <cellStyle name="Currency 5 2 3 3 5 2 6" xfId="14160" xr:uid="{00000000-0005-0000-0000-0000CB310000}"/>
    <cellStyle name="Currency 5 2 3 3 5 2 7" xfId="14137" xr:uid="{00000000-0005-0000-0000-0000CC310000}"/>
    <cellStyle name="Currency 5 2 3 3 5 3" xfId="14161" xr:uid="{00000000-0005-0000-0000-0000CD310000}"/>
    <cellStyle name="Currency 5 2 3 3 5 3 2" xfId="14162" xr:uid="{00000000-0005-0000-0000-0000CE310000}"/>
    <cellStyle name="Currency 5 2 3 3 5 3 2 2" xfId="14163" xr:uid="{00000000-0005-0000-0000-0000CF310000}"/>
    <cellStyle name="Currency 5 2 3 3 5 3 2 2 2" xfId="14164" xr:uid="{00000000-0005-0000-0000-0000D0310000}"/>
    <cellStyle name="Currency 5 2 3 3 5 3 2 2 2 2" xfId="14165" xr:uid="{00000000-0005-0000-0000-0000D1310000}"/>
    <cellStyle name="Currency 5 2 3 3 5 3 2 2 3" xfId="14166" xr:uid="{00000000-0005-0000-0000-0000D2310000}"/>
    <cellStyle name="Currency 5 2 3 3 5 3 2 3" xfId="14167" xr:uid="{00000000-0005-0000-0000-0000D3310000}"/>
    <cellStyle name="Currency 5 2 3 3 5 3 2 3 2" xfId="14168" xr:uid="{00000000-0005-0000-0000-0000D4310000}"/>
    <cellStyle name="Currency 5 2 3 3 5 3 2 4" xfId="14169" xr:uid="{00000000-0005-0000-0000-0000D5310000}"/>
    <cellStyle name="Currency 5 2 3 3 5 3 3" xfId="14170" xr:uid="{00000000-0005-0000-0000-0000D6310000}"/>
    <cellStyle name="Currency 5 2 3 3 5 3 3 2" xfId="14171" xr:uid="{00000000-0005-0000-0000-0000D7310000}"/>
    <cellStyle name="Currency 5 2 3 3 5 3 3 2 2" xfId="14172" xr:uid="{00000000-0005-0000-0000-0000D8310000}"/>
    <cellStyle name="Currency 5 2 3 3 5 3 3 3" xfId="14173" xr:uid="{00000000-0005-0000-0000-0000D9310000}"/>
    <cellStyle name="Currency 5 2 3 3 5 3 4" xfId="14174" xr:uid="{00000000-0005-0000-0000-0000DA310000}"/>
    <cellStyle name="Currency 5 2 3 3 5 3 4 2" xfId="14175" xr:uid="{00000000-0005-0000-0000-0000DB310000}"/>
    <cellStyle name="Currency 5 2 3 3 5 3 5" xfId="14176" xr:uid="{00000000-0005-0000-0000-0000DC310000}"/>
    <cellStyle name="Currency 5 2 3 3 5 4" xfId="14177" xr:uid="{00000000-0005-0000-0000-0000DD310000}"/>
    <cellStyle name="Currency 5 2 3 3 5 4 2" xfId="14178" xr:uid="{00000000-0005-0000-0000-0000DE310000}"/>
    <cellStyle name="Currency 5 2 3 3 5 4 2 2" xfId="14179" xr:uid="{00000000-0005-0000-0000-0000DF310000}"/>
    <cellStyle name="Currency 5 2 3 3 5 4 2 2 2" xfId="14180" xr:uid="{00000000-0005-0000-0000-0000E0310000}"/>
    <cellStyle name="Currency 5 2 3 3 5 4 2 2 2 2" xfId="14181" xr:uid="{00000000-0005-0000-0000-0000E1310000}"/>
    <cellStyle name="Currency 5 2 3 3 5 4 2 2 3" xfId="14182" xr:uid="{00000000-0005-0000-0000-0000E2310000}"/>
    <cellStyle name="Currency 5 2 3 3 5 4 2 3" xfId="14183" xr:uid="{00000000-0005-0000-0000-0000E3310000}"/>
    <cellStyle name="Currency 5 2 3 3 5 4 2 3 2" xfId="14184" xr:uid="{00000000-0005-0000-0000-0000E4310000}"/>
    <cellStyle name="Currency 5 2 3 3 5 4 2 4" xfId="14185" xr:uid="{00000000-0005-0000-0000-0000E5310000}"/>
    <cellStyle name="Currency 5 2 3 3 5 4 3" xfId="14186" xr:uid="{00000000-0005-0000-0000-0000E6310000}"/>
    <cellStyle name="Currency 5 2 3 3 5 4 3 2" xfId="14187" xr:uid="{00000000-0005-0000-0000-0000E7310000}"/>
    <cellStyle name="Currency 5 2 3 3 5 4 3 2 2" xfId="14188" xr:uid="{00000000-0005-0000-0000-0000E8310000}"/>
    <cellStyle name="Currency 5 2 3 3 5 4 3 3" xfId="14189" xr:uid="{00000000-0005-0000-0000-0000E9310000}"/>
    <cellStyle name="Currency 5 2 3 3 5 4 4" xfId="14190" xr:uid="{00000000-0005-0000-0000-0000EA310000}"/>
    <cellStyle name="Currency 5 2 3 3 5 4 4 2" xfId="14191" xr:uid="{00000000-0005-0000-0000-0000EB310000}"/>
    <cellStyle name="Currency 5 2 3 3 5 4 5" xfId="14192" xr:uid="{00000000-0005-0000-0000-0000EC310000}"/>
    <cellStyle name="Currency 5 2 3 3 5 5" xfId="14193" xr:uid="{00000000-0005-0000-0000-0000ED310000}"/>
    <cellStyle name="Currency 5 2 3 3 5 5 2" xfId="14194" xr:uid="{00000000-0005-0000-0000-0000EE310000}"/>
    <cellStyle name="Currency 5 2 3 3 5 5 2 2" xfId="14195" xr:uid="{00000000-0005-0000-0000-0000EF310000}"/>
    <cellStyle name="Currency 5 2 3 3 5 5 2 2 2" xfId="14196" xr:uid="{00000000-0005-0000-0000-0000F0310000}"/>
    <cellStyle name="Currency 5 2 3 3 5 5 2 3" xfId="14197" xr:uid="{00000000-0005-0000-0000-0000F1310000}"/>
    <cellStyle name="Currency 5 2 3 3 5 5 3" xfId="14198" xr:uid="{00000000-0005-0000-0000-0000F2310000}"/>
    <cellStyle name="Currency 5 2 3 3 5 5 3 2" xfId="14199" xr:uid="{00000000-0005-0000-0000-0000F3310000}"/>
    <cellStyle name="Currency 5 2 3 3 5 5 4" xfId="14200" xr:uid="{00000000-0005-0000-0000-0000F4310000}"/>
    <cellStyle name="Currency 5 2 3 3 5 6" xfId="14201" xr:uid="{00000000-0005-0000-0000-0000F5310000}"/>
    <cellStyle name="Currency 5 2 3 3 5 6 2" xfId="14202" xr:uid="{00000000-0005-0000-0000-0000F6310000}"/>
    <cellStyle name="Currency 5 2 3 3 5 6 2 2" xfId="14203" xr:uid="{00000000-0005-0000-0000-0000F7310000}"/>
    <cellStyle name="Currency 5 2 3 3 5 6 2 2 2" xfId="14204" xr:uid="{00000000-0005-0000-0000-0000F8310000}"/>
    <cellStyle name="Currency 5 2 3 3 5 6 2 3" xfId="14205" xr:uid="{00000000-0005-0000-0000-0000F9310000}"/>
    <cellStyle name="Currency 5 2 3 3 5 6 3" xfId="14206" xr:uid="{00000000-0005-0000-0000-0000FA310000}"/>
    <cellStyle name="Currency 5 2 3 3 5 6 3 2" xfId="14207" xr:uid="{00000000-0005-0000-0000-0000FB310000}"/>
    <cellStyle name="Currency 5 2 3 3 5 6 4" xfId="14208" xr:uid="{00000000-0005-0000-0000-0000FC310000}"/>
    <cellStyle name="Currency 5 2 3 3 5 7" xfId="14209" xr:uid="{00000000-0005-0000-0000-0000FD310000}"/>
    <cellStyle name="Currency 5 2 3 3 5 7 2" xfId="14210" xr:uid="{00000000-0005-0000-0000-0000FE310000}"/>
    <cellStyle name="Currency 5 2 3 3 5 7 2 2" xfId="14211" xr:uid="{00000000-0005-0000-0000-0000FF310000}"/>
    <cellStyle name="Currency 5 2 3 3 5 7 2 2 2" xfId="14212" xr:uid="{00000000-0005-0000-0000-000000320000}"/>
    <cellStyle name="Currency 5 2 3 3 5 7 2 3" xfId="14213" xr:uid="{00000000-0005-0000-0000-000001320000}"/>
    <cellStyle name="Currency 5 2 3 3 5 7 3" xfId="14214" xr:uid="{00000000-0005-0000-0000-000002320000}"/>
    <cellStyle name="Currency 5 2 3 3 5 7 3 2" xfId="14215" xr:uid="{00000000-0005-0000-0000-000003320000}"/>
    <cellStyle name="Currency 5 2 3 3 5 7 4" xfId="14216" xr:uid="{00000000-0005-0000-0000-000004320000}"/>
    <cellStyle name="Currency 5 2 3 3 5 8" xfId="14217" xr:uid="{00000000-0005-0000-0000-000005320000}"/>
    <cellStyle name="Currency 5 2 3 3 5 8 2" xfId="14218" xr:uid="{00000000-0005-0000-0000-000006320000}"/>
    <cellStyle name="Currency 5 2 3 3 5 8 2 2" xfId="14219" xr:uid="{00000000-0005-0000-0000-000007320000}"/>
    <cellStyle name="Currency 5 2 3 3 5 8 3" xfId="14220" xr:uid="{00000000-0005-0000-0000-000008320000}"/>
    <cellStyle name="Currency 5 2 3 3 5 9" xfId="14221" xr:uid="{00000000-0005-0000-0000-000009320000}"/>
    <cellStyle name="Currency 5 2 3 3 5 9 2" xfId="14222" xr:uid="{00000000-0005-0000-0000-00000A320000}"/>
    <cellStyle name="Currency 5 2 3 3 6" xfId="1307" xr:uid="{00000000-0005-0000-0000-00000B320000}"/>
    <cellStyle name="Currency 5 2 3 3 6 2" xfId="14224" xr:uid="{00000000-0005-0000-0000-00000C320000}"/>
    <cellStyle name="Currency 5 2 3 3 6 2 2" xfId="14225" xr:uid="{00000000-0005-0000-0000-00000D320000}"/>
    <cellStyle name="Currency 5 2 3 3 6 2 2 2" xfId="14226" xr:uid="{00000000-0005-0000-0000-00000E320000}"/>
    <cellStyle name="Currency 5 2 3 3 6 2 2 2 2" xfId="14227" xr:uid="{00000000-0005-0000-0000-00000F320000}"/>
    <cellStyle name="Currency 5 2 3 3 6 2 2 3" xfId="14228" xr:uid="{00000000-0005-0000-0000-000010320000}"/>
    <cellStyle name="Currency 5 2 3 3 6 2 3" xfId="14229" xr:uid="{00000000-0005-0000-0000-000011320000}"/>
    <cellStyle name="Currency 5 2 3 3 6 2 3 2" xfId="14230" xr:uid="{00000000-0005-0000-0000-000012320000}"/>
    <cellStyle name="Currency 5 2 3 3 6 2 4" xfId="14231" xr:uid="{00000000-0005-0000-0000-000013320000}"/>
    <cellStyle name="Currency 5 2 3 3 6 3" xfId="14232" xr:uid="{00000000-0005-0000-0000-000014320000}"/>
    <cellStyle name="Currency 5 2 3 3 6 3 2" xfId="14233" xr:uid="{00000000-0005-0000-0000-000015320000}"/>
    <cellStyle name="Currency 5 2 3 3 6 3 2 2" xfId="14234" xr:uid="{00000000-0005-0000-0000-000016320000}"/>
    <cellStyle name="Currency 5 2 3 3 6 3 2 2 2" xfId="14235" xr:uid="{00000000-0005-0000-0000-000017320000}"/>
    <cellStyle name="Currency 5 2 3 3 6 3 2 3" xfId="14236" xr:uid="{00000000-0005-0000-0000-000018320000}"/>
    <cellStyle name="Currency 5 2 3 3 6 3 3" xfId="14237" xr:uid="{00000000-0005-0000-0000-000019320000}"/>
    <cellStyle name="Currency 5 2 3 3 6 3 3 2" xfId="14238" xr:uid="{00000000-0005-0000-0000-00001A320000}"/>
    <cellStyle name="Currency 5 2 3 3 6 3 4" xfId="14239" xr:uid="{00000000-0005-0000-0000-00001B320000}"/>
    <cellStyle name="Currency 5 2 3 3 6 4" xfId="14240" xr:uid="{00000000-0005-0000-0000-00001C320000}"/>
    <cellStyle name="Currency 5 2 3 3 6 4 2" xfId="14241" xr:uid="{00000000-0005-0000-0000-00001D320000}"/>
    <cellStyle name="Currency 5 2 3 3 6 4 2 2" xfId="14242" xr:uid="{00000000-0005-0000-0000-00001E320000}"/>
    <cellStyle name="Currency 5 2 3 3 6 4 3" xfId="14243" xr:uid="{00000000-0005-0000-0000-00001F320000}"/>
    <cellStyle name="Currency 5 2 3 3 6 5" xfId="14244" xr:uid="{00000000-0005-0000-0000-000020320000}"/>
    <cellStyle name="Currency 5 2 3 3 6 5 2" xfId="14245" xr:uid="{00000000-0005-0000-0000-000021320000}"/>
    <cellStyle name="Currency 5 2 3 3 6 6" xfId="14246" xr:uid="{00000000-0005-0000-0000-000022320000}"/>
    <cellStyle name="Currency 5 2 3 3 6 7" xfId="14223" xr:uid="{00000000-0005-0000-0000-000023320000}"/>
    <cellStyle name="Currency 5 2 3 3 7" xfId="14247" xr:uid="{00000000-0005-0000-0000-000024320000}"/>
    <cellStyle name="Currency 5 2 3 3 7 2" xfId="14248" xr:uid="{00000000-0005-0000-0000-000025320000}"/>
    <cellStyle name="Currency 5 2 3 3 7 2 2" xfId="14249" xr:uid="{00000000-0005-0000-0000-000026320000}"/>
    <cellStyle name="Currency 5 2 3 3 7 2 2 2" xfId="14250" xr:uid="{00000000-0005-0000-0000-000027320000}"/>
    <cellStyle name="Currency 5 2 3 3 7 2 2 2 2" xfId="14251" xr:uid="{00000000-0005-0000-0000-000028320000}"/>
    <cellStyle name="Currency 5 2 3 3 7 2 2 3" xfId="14252" xr:uid="{00000000-0005-0000-0000-000029320000}"/>
    <cellStyle name="Currency 5 2 3 3 7 2 3" xfId="14253" xr:uid="{00000000-0005-0000-0000-00002A320000}"/>
    <cellStyle name="Currency 5 2 3 3 7 2 3 2" xfId="14254" xr:uid="{00000000-0005-0000-0000-00002B320000}"/>
    <cellStyle name="Currency 5 2 3 3 7 2 4" xfId="14255" xr:uid="{00000000-0005-0000-0000-00002C320000}"/>
    <cellStyle name="Currency 5 2 3 3 7 3" xfId="14256" xr:uid="{00000000-0005-0000-0000-00002D320000}"/>
    <cellStyle name="Currency 5 2 3 3 7 3 2" xfId="14257" xr:uid="{00000000-0005-0000-0000-00002E320000}"/>
    <cellStyle name="Currency 5 2 3 3 7 3 2 2" xfId="14258" xr:uid="{00000000-0005-0000-0000-00002F320000}"/>
    <cellStyle name="Currency 5 2 3 3 7 3 3" xfId="14259" xr:uid="{00000000-0005-0000-0000-000030320000}"/>
    <cellStyle name="Currency 5 2 3 3 7 4" xfId="14260" xr:uid="{00000000-0005-0000-0000-000031320000}"/>
    <cellStyle name="Currency 5 2 3 3 7 4 2" xfId="14261" xr:uid="{00000000-0005-0000-0000-000032320000}"/>
    <cellStyle name="Currency 5 2 3 3 7 5" xfId="14262" xr:uid="{00000000-0005-0000-0000-000033320000}"/>
    <cellStyle name="Currency 5 2 3 3 8" xfId="14263" xr:uid="{00000000-0005-0000-0000-000034320000}"/>
    <cellStyle name="Currency 5 2 3 3 8 2" xfId="14264" xr:uid="{00000000-0005-0000-0000-000035320000}"/>
    <cellStyle name="Currency 5 2 3 3 8 2 2" xfId="14265" xr:uid="{00000000-0005-0000-0000-000036320000}"/>
    <cellStyle name="Currency 5 2 3 3 8 2 2 2" xfId="14266" xr:uid="{00000000-0005-0000-0000-000037320000}"/>
    <cellStyle name="Currency 5 2 3 3 8 2 2 2 2" xfId="14267" xr:uid="{00000000-0005-0000-0000-000038320000}"/>
    <cellStyle name="Currency 5 2 3 3 8 2 2 3" xfId="14268" xr:uid="{00000000-0005-0000-0000-000039320000}"/>
    <cellStyle name="Currency 5 2 3 3 8 2 3" xfId="14269" xr:uid="{00000000-0005-0000-0000-00003A320000}"/>
    <cellStyle name="Currency 5 2 3 3 8 2 3 2" xfId="14270" xr:uid="{00000000-0005-0000-0000-00003B320000}"/>
    <cellStyle name="Currency 5 2 3 3 8 2 4" xfId="14271" xr:uid="{00000000-0005-0000-0000-00003C320000}"/>
    <cellStyle name="Currency 5 2 3 3 8 3" xfId="14272" xr:uid="{00000000-0005-0000-0000-00003D320000}"/>
    <cellStyle name="Currency 5 2 3 3 8 3 2" xfId="14273" xr:uid="{00000000-0005-0000-0000-00003E320000}"/>
    <cellStyle name="Currency 5 2 3 3 8 3 2 2" xfId="14274" xr:uid="{00000000-0005-0000-0000-00003F320000}"/>
    <cellStyle name="Currency 5 2 3 3 8 3 3" xfId="14275" xr:uid="{00000000-0005-0000-0000-000040320000}"/>
    <cellStyle name="Currency 5 2 3 3 8 4" xfId="14276" xr:uid="{00000000-0005-0000-0000-000041320000}"/>
    <cellStyle name="Currency 5 2 3 3 8 4 2" xfId="14277" xr:uid="{00000000-0005-0000-0000-000042320000}"/>
    <cellStyle name="Currency 5 2 3 3 8 5" xfId="14278" xr:uid="{00000000-0005-0000-0000-000043320000}"/>
    <cellStyle name="Currency 5 2 3 3 9" xfId="14279" xr:uid="{00000000-0005-0000-0000-000044320000}"/>
    <cellStyle name="Currency 5 2 3 3 9 2" xfId="14280" xr:uid="{00000000-0005-0000-0000-000045320000}"/>
    <cellStyle name="Currency 5 2 3 3 9 2 2" xfId="14281" xr:uid="{00000000-0005-0000-0000-000046320000}"/>
    <cellStyle name="Currency 5 2 3 3 9 2 2 2" xfId="14282" xr:uid="{00000000-0005-0000-0000-000047320000}"/>
    <cellStyle name="Currency 5 2 3 3 9 2 3" xfId="14283" xr:uid="{00000000-0005-0000-0000-000048320000}"/>
    <cellStyle name="Currency 5 2 3 3 9 3" xfId="14284" xr:uid="{00000000-0005-0000-0000-000049320000}"/>
    <cellStyle name="Currency 5 2 3 3 9 3 2" xfId="14285" xr:uid="{00000000-0005-0000-0000-00004A320000}"/>
    <cellStyle name="Currency 5 2 3 3 9 4" xfId="14286" xr:uid="{00000000-0005-0000-0000-00004B320000}"/>
    <cellStyle name="Currency 5 2 3 4" xfId="334" xr:uid="{00000000-0005-0000-0000-00004C320000}"/>
    <cellStyle name="Currency 5 2 3 4 10" xfId="14288" xr:uid="{00000000-0005-0000-0000-00004D320000}"/>
    <cellStyle name="Currency 5 2 3 4 10 2" xfId="14289" xr:uid="{00000000-0005-0000-0000-00004E320000}"/>
    <cellStyle name="Currency 5 2 3 4 10 2 2" xfId="14290" xr:uid="{00000000-0005-0000-0000-00004F320000}"/>
    <cellStyle name="Currency 5 2 3 4 10 2 2 2" xfId="14291" xr:uid="{00000000-0005-0000-0000-000050320000}"/>
    <cellStyle name="Currency 5 2 3 4 10 2 3" xfId="14292" xr:uid="{00000000-0005-0000-0000-000051320000}"/>
    <cellStyle name="Currency 5 2 3 4 10 3" xfId="14293" xr:uid="{00000000-0005-0000-0000-000052320000}"/>
    <cellStyle name="Currency 5 2 3 4 10 3 2" xfId="14294" xr:uid="{00000000-0005-0000-0000-000053320000}"/>
    <cellStyle name="Currency 5 2 3 4 10 4" xfId="14295" xr:uid="{00000000-0005-0000-0000-000054320000}"/>
    <cellStyle name="Currency 5 2 3 4 11" xfId="14296" xr:uid="{00000000-0005-0000-0000-000055320000}"/>
    <cellStyle name="Currency 5 2 3 4 11 2" xfId="14297" xr:uid="{00000000-0005-0000-0000-000056320000}"/>
    <cellStyle name="Currency 5 2 3 4 11 2 2" xfId="14298" xr:uid="{00000000-0005-0000-0000-000057320000}"/>
    <cellStyle name="Currency 5 2 3 4 11 3" xfId="14299" xr:uid="{00000000-0005-0000-0000-000058320000}"/>
    <cellStyle name="Currency 5 2 3 4 12" xfId="14300" xr:uid="{00000000-0005-0000-0000-000059320000}"/>
    <cellStyle name="Currency 5 2 3 4 12 2" xfId="14301" xr:uid="{00000000-0005-0000-0000-00005A320000}"/>
    <cellStyle name="Currency 5 2 3 4 12 2 2" xfId="14302" xr:uid="{00000000-0005-0000-0000-00005B320000}"/>
    <cellStyle name="Currency 5 2 3 4 12 3" xfId="14303" xr:uid="{00000000-0005-0000-0000-00005C320000}"/>
    <cellStyle name="Currency 5 2 3 4 13" xfId="14304" xr:uid="{00000000-0005-0000-0000-00005D320000}"/>
    <cellStyle name="Currency 5 2 3 4 13 2" xfId="14305" xr:uid="{00000000-0005-0000-0000-00005E320000}"/>
    <cellStyle name="Currency 5 2 3 4 13 2 2" xfId="14306" xr:uid="{00000000-0005-0000-0000-00005F320000}"/>
    <cellStyle name="Currency 5 2 3 4 13 3" xfId="14307" xr:uid="{00000000-0005-0000-0000-000060320000}"/>
    <cellStyle name="Currency 5 2 3 4 14" xfId="14308" xr:uid="{00000000-0005-0000-0000-000061320000}"/>
    <cellStyle name="Currency 5 2 3 4 14 2" xfId="14309" xr:uid="{00000000-0005-0000-0000-000062320000}"/>
    <cellStyle name="Currency 5 2 3 4 15" xfId="14310" xr:uid="{00000000-0005-0000-0000-000063320000}"/>
    <cellStyle name="Currency 5 2 3 4 16" xfId="14311" xr:uid="{00000000-0005-0000-0000-000064320000}"/>
    <cellStyle name="Currency 5 2 3 4 17" xfId="14287" xr:uid="{00000000-0005-0000-0000-000065320000}"/>
    <cellStyle name="Currency 5 2 3 4 2" xfId="335" xr:uid="{00000000-0005-0000-0000-000066320000}"/>
    <cellStyle name="Currency 5 2 3 4 2 10" xfId="14313" xr:uid="{00000000-0005-0000-0000-000067320000}"/>
    <cellStyle name="Currency 5 2 3 4 2 10 2" xfId="14314" xr:uid="{00000000-0005-0000-0000-000068320000}"/>
    <cellStyle name="Currency 5 2 3 4 2 10 2 2" xfId="14315" xr:uid="{00000000-0005-0000-0000-000069320000}"/>
    <cellStyle name="Currency 5 2 3 4 2 10 3" xfId="14316" xr:uid="{00000000-0005-0000-0000-00006A320000}"/>
    <cellStyle name="Currency 5 2 3 4 2 11" xfId="14317" xr:uid="{00000000-0005-0000-0000-00006B320000}"/>
    <cellStyle name="Currency 5 2 3 4 2 11 2" xfId="14318" xr:uid="{00000000-0005-0000-0000-00006C320000}"/>
    <cellStyle name="Currency 5 2 3 4 2 11 2 2" xfId="14319" xr:uid="{00000000-0005-0000-0000-00006D320000}"/>
    <cellStyle name="Currency 5 2 3 4 2 11 3" xfId="14320" xr:uid="{00000000-0005-0000-0000-00006E320000}"/>
    <cellStyle name="Currency 5 2 3 4 2 12" xfId="14321" xr:uid="{00000000-0005-0000-0000-00006F320000}"/>
    <cellStyle name="Currency 5 2 3 4 2 12 2" xfId="14322" xr:uid="{00000000-0005-0000-0000-000070320000}"/>
    <cellStyle name="Currency 5 2 3 4 2 13" xfId="14323" xr:uid="{00000000-0005-0000-0000-000071320000}"/>
    <cellStyle name="Currency 5 2 3 4 2 14" xfId="14324" xr:uid="{00000000-0005-0000-0000-000072320000}"/>
    <cellStyle name="Currency 5 2 3 4 2 15" xfId="14312" xr:uid="{00000000-0005-0000-0000-000073320000}"/>
    <cellStyle name="Currency 5 2 3 4 2 2" xfId="896" xr:uid="{00000000-0005-0000-0000-000074320000}"/>
    <cellStyle name="Currency 5 2 3 4 2 2 10" xfId="14326" xr:uid="{00000000-0005-0000-0000-000075320000}"/>
    <cellStyle name="Currency 5 2 3 4 2 2 11" xfId="14325" xr:uid="{00000000-0005-0000-0000-000076320000}"/>
    <cellStyle name="Currency 5 2 3 4 2 2 2" xfId="1637" xr:uid="{00000000-0005-0000-0000-000077320000}"/>
    <cellStyle name="Currency 5 2 3 4 2 2 2 2" xfId="14328" xr:uid="{00000000-0005-0000-0000-000078320000}"/>
    <cellStyle name="Currency 5 2 3 4 2 2 2 2 2" xfId="14329" xr:uid="{00000000-0005-0000-0000-000079320000}"/>
    <cellStyle name="Currency 5 2 3 4 2 2 2 2 2 2" xfId="14330" xr:uid="{00000000-0005-0000-0000-00007A320000}"/>
    <cellStyle name="Currency 5 2 3 4 2 2 2 2 2 2 2" xfId="14331" xr:uid="{00000000-0005-0000-0000-00007B320000}"/>
    <cellStyle name="Currency 5 2 3 4 2 2 2 2 2 3" xfId="14332" xr:uid="{00000000-0005-0000-0000-00007C320000}"/>
    <cellStyle name="Currency 5 2 3 4 2 2 2 2 3" xfId="14333" xr:uid="{00000000-0005-0000-0000-00007D320000}"/>
    <cellStyle name="Currency 5 2 3 4 2 2 2 2 3 2" xfId="14334" xr:uid="{00000000-0005-0000-0000-00007E320000}"/>
    <cellStyle name="Currency 5 2 3 4 2 2 2 2 4" xfId="14335" xr:uid="{00000000-0005-0000-0000-00007F320000}"/>
    <cellStyle name="Currency 5 2 3 4 2 2 2 3" xfId="14336" xr:uid="{00000000-0005-0000-0000-000080320000}"/>
    <cellStyle name="Currency 5 2 3 4 2 2 2 3 2" xfId="14337" xr:uid="{00000000-0005-0000-0000-000081320000}"/>
    <cellStyle name="Currency 5 2 3 4 2 2 2 3 2 2" xfId="14338" xr:uid="{00000000-0005-0000-0000-000082320000}"/>
    <cellStyle name="Currency 5 2 3 4 2 2 2 3 2 2 2" xfId="14339" xr:uid="{00000000-0005-0000-0000-000083320000}"/>
    <cellStyle name="Currency 5 2 3 4 2 2 2 3 2 3" xfId="14340" xr:uid="{00000000-0005-0000-0000-000084320000}"/>
    <cellStyle name="Currency 5 2 3 4 2 2 2 3 3" xfId="14341" xr:uid="{00000000-0005-0000-0000-000085320000}"/>
    <cellStyle name="Currency 5 2 3 4 2 2 2 3 3 2" xfId="14342" xr:uid="{00000000-0005-0000-0000-000086320000}"/>
    <cellStyle name="Currency 5 2 3 4 2 2 2 3 4" xfId="14343" xr:uid="{00000000-0005-0000-0000-000087320000}"/>
    <cellStyle name="Currency 5 2 3 4 2 2 2 4" xfId="14344" xr:uid="{00000000-0005-0000-0000-000088320000}"/>
    <cellStyle name="Currency 5 2 3 4 2 2 2 4 2" xfId="14345" xr:uid="{00000000-0005-0000-0000-000089320000}"/>
    <cellStyle name="Currency 5 2 3 4 2 2 2 4 2 2" xfId="14346" xr:uid="{00000000-0005-0000-0000-00008A320000}"/>
    <cellStyle name="Currency 5 2 3 4 2 2 2 4 3" xfId="14347" xr:uid="{00000000-0005-0000-0000-00008B320000}"/>
    <cellStyle name="Currency 5 2 3 4 2 2 2 5" xfId="14348" xr:uid="{00000000-0005-0000-0000-00008C320000}"/>
    <cellStyle name="Currency 5 2 3 4 2 2 2 5 2" xfId="14349" xr:uid="{00000000-0005-0000-0000-00008D320000}"/>
    <cellStyle name="Currency 5 2 3 4 2 2 2 6" xfId="14350" xr:uid="{00000000-0005-0000-0000-00008E320000}"/>
    <cellStyle name="Currency 5 2 3 4 2 2 2 7" xfId="14327" xr:uid="{00000000-0005-0000-0000-00008F320000}"/>
    <cellStyle name="Currency 5 2 3 4 2 2 3" xfId="14351" xr:uid="{00000000-0005-0000-0000-000090320000}"/>
    <cellStyle name="Currency 5 2 3 4 2 2 3 2" xfId="14352" xr:uid="{00000000-0005-0000-0000-000091320000}"/>
    <cellStyle name="Currency 5 2 3 4 2 2 3 2 2" xfId="14353" xr:uid="{00000000-0005-0000-0000-000092320000}"/>
    <cellStyle name="Currency 5 2 3 4 2 2 3 2 2 2" xfId="14354" xr:uid="{00000000-0005-0000-0000-000093320000}"/>
    <cellStyle name="Currency 5 2 3 4 2 2 3 2 2 2 2" xfId="14355" xr:uid="{00000000-0005-0000-0000-000094320000}"/>
    <cellStyle name="Currency 5 2 3 4 2 2 3 2 2 3" xfId="14356" xr:uid="{00000000-0005-0000-0000-000095320000}"/>
    <cellStyle name="Currency 5 2 3 4 2 2 3 2 3" xfId="14357" xr:uid="{00000000-0005-0000-0000-000096320000}"/>
    <cellStyle name="Currency 5 2 3 4 2 2 3 2 3 2" xfId="14358" xr:uid="{00000000-0005-0000-0000-000097320000}"/>
    <cellStyle name="Currency 5 2 3 4 2 2 3 2 4" xfId="14359" xr:uid="{00000000-0005-0000-0000-000098320000}"/>
    <cellStyle name="Currency 5 2 3 4 2 2 3 3" xfId="14360" xr:uid="{00000000-0005-0000-0000-000099320000}"/>
    <cellStyle name="Currency 5 2 3 4 2 2 3 3 2" xfId="14361" xr:uid="{00000000-0005-0000-0000-00009A320000}"/>
    <cellStyle name="Currency 5 2 3 4 2 2 3 3 2 2" xfId="14362" xr:uid="{00000000-0005-0000-0000-00009B320000}"/>
    <cellStyle name="Currency 5 2 3 4 2 2 3 3 3" xfId="14363" xr:uid="{00000000-0005-0000-0000-00009C320000}"/>
    <cellStyle name="Currency 5 2 3 4 2 2 3 4" xfId="14364" xr:uid="{00000000-0005-0000-0000-00009D320000}"/>
    <cellStyle name="Currency 5 2 3 4 2 2 3 4 2" xfId="14365" xr:uid="{00000000-0005-0000-0000-00009E320000}"/>
    <cellStyle name="Currency 5 2 3 4 2 2 3 5" xfId="14366" xr:uid="{00000000-0005-0000-0000-00009F320000}"/>
    <cellStyle name="Currency 5 2 3 4 2 2 4" xfId="14367" xr:uid="{00000000-0005-0000-0000-0000A0320000}"/>
    <cellStyle name="Currency 5 2 3 4 2 2 4 2" xfId="14368" xr:uid="{00000000-0005-0000-0000-0000A1320000}"/>
    <cellStyle name="Currency 5 2 3 4 2 2 4 2 2" xfId="14369" xr:uid="{00000000-0005-0000-0000-0000A2320000}"/>
    <cellStyle name="Currency 5 2 3 4 2 2 4 2 2 2" xfId="14370" xr:uid="{00000000-0005-0000-0000-0000A3320000}"/>
    <cellStyle name="Currency 5 2 3 4 2 2 4 2 2 2 2" xfId="14371" xr:uid="{00000000-0005-0000-0000-0000A4320000}"/>
    <cellStyle name="Currency 5 2 3 4 2 2 4 2 2 3" xfId="14372" xr:uid="{00000000-0005-0000-0000-0000A5320000}"/>
    <cellStyle name="Currency 5 2 3 4 2 2 4 2 3" xfId="14373" xr:uid="{00000000-0005-0000-0000-0000A6320000}"/>
    <cellStyle name="Currency 5 2 3 4 2 2 4 2 3 2" xfId="14374" xr:uid="{00000000-0005-0000-0000-0000A7320000}"/>
    <cellStyle name="Currency 5 2 3 4 2 2 4 2 4" xfId="14375" xr:uid="{00000000-0005-0000-0000-0000A8320000}"/>
    <cellStyle name="Currency 5 2 3 4 2 2 4 3" xfId="14376" xr:uid="{00000000-0005-0000-0000-0000A9320000}"/>
    <cellStyle name="Currency 5 2 3 4 2 2 4 3 2" xfId="14377" xr:uid="{00000000-0005-0000-0000-0000AA320000}"/>
    <cellStyle name="Currency 5 2 3 4 2 2 4 3 2 2" xfId="14378" xr:uid="{00000000-0005-0000-0000-0000AB320000}"/>
    <cellStyle name="Currency 5 2 3 4 2 2 4 3 3" xfId="14379" xr:uid="{00000000-0005-0000-0000-0000AC320000}"/>
    <cellStyle name="Currency 5 2 3 4 2 2 4 4" xfId="14380" xr:uid="{00000000-0005-0000-0000-0000AD320000}"/>
    <cellStyle name="Currency 5 2 3 4 2 2 4 4 2" xfId="14381" xr:uid="{00000000-0005-0000-0000-0000AE320000}"/>
    <cellStyle name="Currency 5 2 3 4 2 2 4 5" xfId="14382" xr:uid="{00000000-0005-0000-0000-0000AF320000}"/>
    <cellStyle name="Currency 5 2 3 4 2 2 5" xfId="14383" xr:uid="{00000000-0005-0000-0000-0000B0320000}"/>
    <cellStyle name="Currency 5 2 3 4 2 2 5 2" xfId="14384" xr:uid="{00000000-0005-0000-0000-0000B1320000}"/>
    <cellStyle name="Currency 5 2 3 4 2 2 5 2 2" xfId="14385" xr:uid="{00000000-0005-0000-0000-0000B2320000}"/>
    <cellStyle name="Currency 5 2 3 4 2 2 5 2 2 2" xfId="14386" xr:uid="{00000000-0005-0000-0000-0000B3320000}"/>
    <cellStyle name="Currency 5 2 3 4 2 2 5 2 3" xfId="14387" xr:uid="{00000000-0005-0000-0000-0000B4320000}"/>
    <cellStyle name="Currency 5 2 3 4 2 2 5 3" xfId="14388" xr:uid="{00000000-0005-0000-0000-0000B5320000}"/>
    <cellStyle name="Currency 5 2 3 4 2 2 5 3 2" xfId="14389" xr:uid="{00000000-0005-0000-0000-0000B6320000}"/>
    <cellStyle name="Currency 5 2 3 4 2 2 5 4" xfId="14390" xr:uid="{00000000-0005-0000-0000-0000B7320000}"/>
    <cellStyle name="Currency 5 2 3 4 2 2 6" xfId="14391" xr:uid="{00000000-0005-0000-0000-0000B8320000}"/>
    <cellStyle name="Currency 5 2 3 4 2 2 6 2" xfId="14392" xr:uid="{00000000-0005-0000-0000-0000B9320000}"/>
    <cellStyle name="Currency 5 2 3 4 2 2 6 2 2" xfId="14393" xr:uid="{00000000-0005-0000-0000-0000BA320000}"/>
    <cellStyle name="Currency 5 2 3 4 2 2 6 2 2 2" xfId="14394" xr:uid="{00000000-0005-0000-0000-0000BB320000}"/>
    <cellStyle name="Currency 5 2 3 4 2 2 6 2 3" xfId="14395" xr:uid="{00000000-0005-0000-0000-0000BC320000}"/>
    <cellStyle name="Currency 5 2 3 4 2 2 6 3" xfId="14396" xr:uid="{00000000-0005-0000-0000-0000BD320000}"/>
    <cellStyle name="Currency 5 2 3 4 2 2 6 3 2" xfId="14397" xr:uid="{00000000-0005-0000-0000-0000BE320000}"/>
    <cellStyle name="Currency 5 2 3 4 2 2 6 4" xfId="14398" xr:uid="{00000000-0005-0000-0000-0000BF320000}"/>
    <cellStyle name="Currency 5 2 3 4 2 2 7" xfId="14399" xr:uid="{00000000-0005-0000-0000-0000C0320000}"/>
    <cellStyle name="Currency 5 2 3 4 2 2 7 2" xfId="14400" xr:uid="{00000000-0005-0000-0000-0000C1320000}"/>
    <cellStyle name="Currency 5 2 3 4 2 2 7 2 2" xfId="14401" xr:uid="{00000000-0005-0000-0000-0000C2320000}"/>
    <cellStyle name="Currency 5 2 3 4 2 2 7 2 2 2" xfId="14402" xr:uid="{00000000-0005-0000-0000-0000C3320000}"/>
    <cellStyle name="Currency 5 2 3 4 2 2 7 2 3" xfId="14403" xr:uid="{00000000-0005-0000-0000-0000C4320000}"/>
    <cellStyle name="Currency 5 2 3 4 2 2 7 3" xfId="14404" xr:uid="{00000000-0005-0000-0000-0000C5320000}"/>
    <cellStyle name="Currency 5 2 3 4 2 2 7 3 2" xfId="14405" xr:uid="{00000000-0005-0000-0000-0000C6320000}"/>
    <cellStyle name="Currency 5 2 3 4 2 2 7 4" xfId="14406" xr:uid="{00000000-0005-0000-0000-0000C7320000}"/>
    <cellStyle name="Currency 5 2 3 4 2 2 8" xfId="14407" xr:uid="{00000000-0005-0000-0000-0000C8320000}"/>
    <cellStyle name="Currency 5 2 3 4 2 2 8 2" xfId="14408" xr:uid="{00000000-0005-0000-0000-0000C9320000}"/>
    <cellStyle name="Currency 5 2 3 4 2 2 8 2 2" xfId="14409" xr:uid="{00000000-0005-0000-0000-0000CA320000}"/>
    <cellStyle name="Currency 5 2 3 4 2 2 8 3" xfId="14410" xr:uid="{00000000-0005-0000-0000-0000CB320000}"/>
    <cellStyle name="Currency 5 2 3 4 2 2 9" xfId="14411" xr:uid="{00000000-0005-0000-0000-0000CC320000}"/>
    <cellStyle name="Currency 5 2 3 4 2 2 9 2" xfId="14412" xr:uid="{00000000-0005-0000-0000-0000CD320000}"/>
    <cellStyle name="Currency 5 2 3 4 2 3" xfId="1312" xr:uid="{00000000-0005-0000-0000-0000CE320000}"/>
    <cellStyle name="Currency 5 2 3 4 2 3 2" xfId="14414" xr:uid="{00000000-0005-0000-0000-0000CF320000}"/>
    <cellStyle name="Currency 5 2 3 4 2 3 2 2" xfId="14415" xr:uid="{00000000-0005-0000-0000-0000D0320000}"/>
    <cellStyle name="Currency 5 2 3 4 2 3 2 2 2" xfId="14416" xr:uid="{00000000-0005-0000-0000-0000D1320000}"/>
    <cellStyle name="Currency 5 2 3 4 2 3 2 2 2 2" xfId="14417" xr:uid="{00000000-0005-0000-0000-0000D2320000}"/>
    <cellStyle name="Currency 5 2 3 4 2 3 2 2 3" xfId="14418" xr:uid="{00000000-0005-0000-0000-0000D3320000}"/>
    <cellStyle name="Currency 5 2 3 4 2 3 2 3" xfId="14419" xr:uid="{00000000-0005-0000-0000-0000D4320000}"/>
    <cellStyle name="Currency 5 2 3 4 2 3 2 3 2" xfId="14420" xr:uid="{00000000-0005-0000-0000-0000D5320000}"/>
    <cellStyle name="Currency 5 2 3 4 2 3 2 4" xfId="14421" xr:uid="{00000000-0005-0000-0000-0000D6320000}"/>
    <cellStyle name="Currency 5 2 3 4 2 3 3" xfId="14422" xr:uid="{00000000-0005-0000-0000-0000D7320000}"/>
    <cellStyle name="Currency 5 2 3 4 2 3 3 2" xfId="14423" xr:uid="{00000000-0005-0000-0000-0000D8320000}"/>
    <cellStyle name="Currency 5 2 3 4 2 3 3 2 2" xfId="14424" xr:uid="{00000000-0005-0000-0000-0000D9320000}"/>
    <cellStyle name="Currency 5 2 3 4 2 3 3 2 2 2" xfId="14425" xr:uid="{00000000-0005-0000-0000-0000DA320000}"/>
    <cellStyle name="Currency 5 2 3 4 2 3 3 2 3" xfId="14426" xr:uid="{00000000-0005-0000-0000-0000DB320000}"/>
    <cellStyle name="Currency 5 2 3 4 2 3 3 3" xfId="14427" xr:uid="{00000000-0005-0000-0000-0000DC320000}"/>
    <cellStyle name="Currency 5 2 3 4 2 3 3 3 2" xfId="14428" xr:uid="{00000000-0005-0000-0000-0000DD320000}"/>
    <cellStyle name="Currency 5 2 3 4 2 3 3 4" xfId="14429" xr:uid="{00000000-0005-0000-0000-0000DE320000}"/>
    <cellStyle name="Currency 5 2 3 4 2 3 4" xfId="14430" xr:uid="{00000000-0005-0000-0000-0000DF320000}"/>
    <cellStyle name="Currency 5 2 3 4 2 3 4 2" xfId="14431" xr:uid="{00000000-0005-0000-0000-0000E0320000}"/>
    <cellStyle name="Currency 5 2 3 4 2 3 4 2 2" xfId="14432" xr:uid="{00000000-0005-0000-0000-0000E1320000}"/>
    <cellStyle name="Currency 5 2 3 4 2 3 4 3" xfId="14433" xr:uid="{00000000-0005-0000-0000-0000E2320000}"/>
    <cellStyle name="Currency 5 2 3 4 2 3 5" xfId="14434" xr:uid="{00000000-0005-0000-0000-0000E3320000}"/>
    <cellStyle name="Currency 5 2 3 4 2 3 5 2" xfId="14435" xr:uid="{00000000-0005-0000-0000-0000E4320000}"/>
    <cellStyle name="Currency 5 2 3 4 2 3 6" xfId="14436" xr:uid="{00000000-0005-0000-0000-0000E5320000}"/>
    <cellStyle name="Currency 5 2 3 4 2 3 7" xfId="14413" xr:uid="{00000000-0005-0000-0000-0000E6320000}"/>
    <cellStyle name="Currency 5 2 3 4 2 4" xfId="14437" xr:uid="{00000000-0005-0000-0000-0000E7320000}"/>
    <cellStyle name="Currency 5 2 3 4 2 4 2" xfId="14438" xr:uid="{00000000-0005-0000-0000-0000E8320000}"/>
    <cellStyle name="Currency 5 2 3 4 2 4 2 2" xfId="14439" xr:uid="{00000000-0005-0000-0000-0000E9320000}"/>
    <cellStyle name="Currency 5 2 3 4 2 4 2 2 2" xfId="14440" xr:uid="{00000000-0005-0000-0000-0000EA320000}"/>
    <cellStyle name="Currency 5 2 3 4 2 4 2 2 2 2" xfId="14441" xr:uid="{00000000-0005-0000-0000-0000EB320000}"/>
    <cellStyle name="Currency 5 2 3 4 2 4 2 2 3" xfId="14442" xr:uid="{00000000-0005-0000-0000-0000EC320000}"/>
    <cellStyle name="Currency 5 2 3 4 2 4 2 3" xfId="14443" xr:uid="{00000000-0005-0000-0000-0000ED320000}"/>
    <cellStyle name="Currency 5 2 3 4 2 4 2 3 2" xfId="14444" xr:uid="{00000000-0005-0000-0000-0000EE320000}"/>
    <cellStyle name="Currency 5 2 3 4 2 4 2 4" xfId="14445" xr:uid="{00000000-0005-0000-0000-0000EF320000}"/>
    <cellStyle name="Currency 5 2 3 4 2 4 3" xfId="14446" xr:uid="{00000000-0005-0000-0000-0000F0320000}"/>
    <cellStyle name="Currency 5 2 3 4 2 4 3 2" xfId="14447" xr:uid="{00000000-0005-0000-0000-0000F1320000}"/>
    <cellStyle name="Currency 5 2 3 4 2 4 3 2 2" xfId="14448" xr:uid="{00000000-0005-0000-0000-0000F2320000}"/>
    <cellStyle name="Currency 5 2 3 4 2 4 3 3" xfId="14449" xr:uid="{00000000-0005-0000-0000-0000F3320000}"/>
    <cellStyle name="Currency 5 2 3 4 2 4 4" xfId="14450" xr:uid="{00000000-0005-0000-0000-0000F4320000}"/>
    <cellStyle name="Currency 5 2 3 4 2 4 4 2" xfId="14451" xr:uid="{00000000-0005-0000-0000-0000F5320000}"/>
    <cellStyle name="Currency 5 2 3 4 2 4 5" xfId="14452" xr:uid="{00000000-0005-0000-0000-0000F6320000}"/>
    <cellStyle name="Currency 5 2 3 4 2 5" xfId="14453" xr:uid="{00000000-0005-0000-0000-0000F7320000}"/>
    <cellStyle name="Currency 5 2 3 4 2 5 2" xfId="14454" xr:uid="{00000000-0005-0000-0000-0000F8320000}"/>
    <cellStyle name="Currency 5 2 3 4 2 5 2 2" xfId="14455" xr:uid="{00000000-0005-0000-0000-0000F9320000}"/>
    <cellStyle name="Currency 5 2 3 4 2 5 2 2 2" xfId="14456" xr:uid="{00000000-0005-0000-0000-0000FA320000}"/>
    <cellStyle name="Currency 5 2 3 4 2 5 2 2 2 2" xfId="14457" xr:uid="{00000000-0005-0000-0000-0000FB320000}"/>
    <cellStyle name="Currency 5 2 3 4 2 5 2 2 3" xfId="14458" xr:uid="{00000000-0005-0000-0000-0000FC320000}"/>
    <cellStyle name="Currency 5 2 3 4 2 5 2 3" xfId="14459" xr:uid="{00000000-0005-0000-0000-0000FD320000}"/>
    <cellStyle name="Currency 5 2 3 4 2 5 2 3 2" xfId="14460" xr:uid="{00000000-0005-0000-0000-0000FE320000}"/>
    <cellStyle name="Currency 5 2 3 4 2 5 2 4" xfId="14461" xr:uid="{00000000-0005-0000-0000-0000FF320000}"/>
    <cellStyle name="Currency 5 2 3 4 2 5 3" xfId="14462" xr:uid="{00000000-0005-0000-0000-000000330000}"/>
    <cellStyle name="Currency 5 2 3 4 2 5 3 2" xfId="14463" xr:uid="{00000000-0005-0000-0000-000001330000}"/>
    <cellStyle name="Currency 5 2 3 4 2 5 3 2 2" xfId="14464" xr:uid="{00000000-0005-0000-0000-000002330000}"/>
    <cellStyle name="Currency 5 2 3 4 2 5 3 3" xfId="14465" xr:uid="{00000000-0005-0000-0000-000003330000}"/>
    <cellStyle name="Currency 5 2 3 4 2 5 4" xfId="14466" xr:uid="{00000000-0005-0000-0000-000004330000}"/>
    <cellStyle name="Currency 5 2 3 4 2 5 4 2" xfId="14467" xr:uid="{00000000-0005-0000-0000-000005330000}"/>
    <cellStyle name="Currency 5 2 3 4 2 5 5" xfId="14468" xr:uid="{00000000-0005-0000-0000-000006330000}"/>
    <cellStyle name="Currency 5 2 3 4 2 6" xfId="14469" xr:uid="{00000000-0005-0000-0000-000007330000}"/>
    <cellStyle name="Currency 5 2 3 4 2 6 2" xfId="14470" xr:uid="{00000000-0005-0000-0000-000008330000}"/>
    <cellStyle name="Currency 5 2 3 4 2 6 2 2" xfId="14471" xr:uid="{00000000-0005-0000-0000-000009330000}"/>
    <cellStyle name="Currency 5 2 3 4 2 6 2 2 2" xfId="14472" xr:uid="{00000000-0005-0000-0000-00000A330000}"/>
    <cellStyle name="Currency 5 2 3 4 2 6 2 3" xfId="14473" xr:uid="{00000000-0005-0000-0000-00000B330000}"/>
    <cellStyle name="Currency 5 2 3 4 2 6 3" xfId="14474" xr:uid="{00000000-0005-0000-0000-00000C330000}"/>
    <cellStyle name="Currency 5 2 3 4 2 6 3 2" xfId="14475" xr:uid="{00000000-0005-0000-0000-00000D330000}"/>
    <cellStyle name="Currency 5 2 3 4 2 6 4" xfId="14476" xr:uid="{00000000-0005-0000-0000-00000E330000}"/>
    <cellStyle name="Currency 5 2 3 4 2 7" xfId="14477" xr:uid="{00000000-0005-0000-0000-00000F330000}"/>
    <cellStyle name="Currency 5 2 3 4 2 7 2" xfId="14478" xr:uid="{00000000-0005-0000-0000-000010330000}"/>
    <cellStyle name="Currency 5 2 3 4 2 7 2 2" xfId="14479" xr:uid="{00000000-0005-0000-0000-000011330000}"/>
    <cellStyle name="Currency 5 2 3 4 2 7 2 2 2" xfId="14480" xr:uid="{00000000-0005-0000-0000-000012330000}"/>
    <cellStyle name="Currency 5 2 3 4 2 7 2 3" xfId="14481" xr:uid="{00000000-0005-0000-0000-000013330000}"/>
    <cellStyle name="Currency 5 2 3 4 2 7 3" xfId="14482" xr:uid="{00000000-0005-0000-0000-000014330000}"/>
    <cellStyle name="Currency 5 2 3 4 2 7 3 2" xfId="14483" xr:uid="{00000000-0005-0000-0000-000015330000}"/>
    <cellStyle name="Currency 5 2 3 4 2 7 4" xfId="14484" xr:uid="{00000000-0005-0000-0000-000016330000}"/>
    <cellStyle name="Currency 5 2 3 4 2 8" xfId="14485" xr:uid="{00000000-0005-0000-0000-000017330000}"/>
    <cellStyle name="Currency 5 2 3 4 2 8 2" xfId="14486" xr:uid="{00000000-0005-0000-0000-000018330000}"/>
    <cellStyle name="Currency 5 2 3 4 2 8 2 2" xfId="14487" xr:uid="{00000000-0005-0000-0000-000019330000}"/>
    <cellStyle name="Currency 5 2 3 4 2 8 2 2 2" xfId="14488" xr:uid="{00000000-0005-0000-0000-00001A330000}"/>
    <cellStyle name="Currency 5 2 3 4 2 8 2 3" xfId="14489" xr:uid="{00000000-0005-0000-0000-00001B330000}"/>
    <cellStyle name="Currency 5 2 3 4 2 8 3" xfId="14490" xr:uid="{00000000-0005-0000-0000-00001C330000}"/>
    <cellStyle name="Currency 5 2 3 4 2 8 3 2" xfId="14491" xr:uid="{00000000-0005-0000-0000-00001D330000}"/>
    <cellStyle name="Currency 5 2 3 4 2 8 4" xfId="14492" xr:uid="{00000000-0005-0000-0000-00001E330000}"/>
    <cellStyle name="Currency 5 2 3 4 2 9" xfId="14493" xr:uid="{00000000-0005-0000-0000-00001F330000}"/>
    <cellStyle name="Currency 5 2 3 4 2 9 2" xfId="14494" xr:uid="{00000000-0005-0000-0000-000020330000}"/>
    <cellStyle name="Currency 5 2 3 4 2 9 2 2" xfId="14495" xr:uid="{00000000-0005-0000-0000-000021330000}"/>
    <cellStyle name="Currency 5 2 3 4 2 9 3" xfId="14496" xr:uid="{00000000-0005-0000-0000-000022330000}"/>
    <cellStyle name="Currency 5 2 3 4 3" xfId="336" xr:uid="{00000000-0005-0000-0000-000023330000}"/>
    <cellStyle name="Currency 5 2 3 4 4" xfId="895" xr:uid="{00000000-0005-0000-0000-000024330000}"/>
    <cellStyle name="Currency 5 2 3 4 4 10" xfId="14498" xr:uid="{00000000-0005-0000-0000-000025330000}"/>
    <cellStyle name="Currency 5 2 3 4 4 11" xfId="14497" xr:uid="{00000000-0005-0000-0000-000026330000}"/>
    <cellStyle name="Currency 5 2 3 4 4 2" xfId="1636" xr:uid="{00000000-0005-0000-0000-000027330000}"/>
    <cellStyle name="Currency 5 2 3 4 4 2 2" xfId="14500" xr:uid="{00000000-0005-0000-0000-000028330000}"/>
    <cellStyle name="Currency 5 2 3 4 4 2 2 2" xfId="14501" xr:uid="{00000000-0005-0000-0000-000029330000}"/>
    <cellStyle name="Currency 5 2 3 4 4 2 2 2 2" xfId="14502" xr:uid="{00000000-0005-0000-0000-00002A330000}"/>
    <cellStyle name="Currency 5 2 3 4 4 2 2 2 2 2" xfId="14503" xr:uid="{00000000-0005-0000-0000-00002B330000}"/>
    <cellStyle name="Currency 5 2 3 4 4 2 2 2 3" xfId="14504" xr:uid="{00000000-0005-0000-0000-00002C330000}"/>
    <cellStyle name="Currency 5 2 3 4 4 2 2 3" xfId="14505" xr:uid="{00000000-0005-0000-0000-00002D330000}"/>
    <cellStyle name="Currency 5 2 3 4 4 2 2 3 2" xfId="14506" xr:uid="{00000000-0005-0000-0000-00002E330000}"/>
    <cellStyle name="Currency 5 2 3 4 4 2 2 4" xfId="14507" xr:uid="{00000000-0005-0000-0000-00002F330000}"/>
    <cellStyle name="Currency 5 2 3 4 4 2 3" xfId="14508" xr:uid="{00000000-0005-0000-0000-000030330000}"/>
    <cellStyle name="Currency 5 2 3 4 4 2 3 2" xfId="14509" xr:uid="{00000000-0005-0000-0000-000031330000}"/>
    <cellStyle name="Currency 5 2 3 4 4 2 3 2 2" xfId="14510" xr:uid="{00000000-0005-0000-0000-000032330000}"/>
    <cellStyle name="Currency 5 2 3 4 4 2 3 2 2 2" xfId="14511" xr:uid="{00000000-0005-0000-0000-000033330000}"/>
    <cellStyle name="Currency 5 2 3 4 4 2 3 2 3" xfId="14512" xr:uid="{00000000-0005-0000-0000-000034330000}"/>
    <cellStyle name="Currency 5 2 3 4 4 2 3 3" xfId="14513" xr:uid="{00000000-0005-0000-0000-000035330000}"/>
    <cellStyle name="Currency 5 2 3 4 4 2 3 3 2" xfId="14514" xr:uid="{00000000-0005-0000-0000-000036330000}"/>
    <cellStyle name="Currency 5 2 3 4 4 2 3 4" xfId="14515" xr:uid="{00000000-0005-0000-0000-000037330000}"/>
    <cellStyle name="Currency 5 2 3 4 4 2 4" xfId="14516" xr:uid="{00000000-0005-0000-0000-000038330000}"/>
    <cellStyle name="Currency 5 2 3 4 4 2 4 2" xfId="14517" xr:uid="{00000000-0005-0000-0000-000039330000}"/>
    <cellStyle name="Currency 5 2 3 4 4 2 4 2 2" xfId="14518" xr:uid="{00000000-0005-0000-0000-00003A330000}"/>
    <cellStyle name="Currency 5 2 3 4 4 2 4 3" xfId="14519" xr:uid="{00000000-0005-0000-0000-00003B330000}"/>
    <cellStyle name="Currency 5 2 3 4 4 2 5" xfId="14520" xr:uid="{00000000-0005-0000-0000-00003C330000}"/>
    <cellStyle name="Currency 5 2 3 4 4 2 5 2" xfId="14521" xr:uid="{00000000-0005-0000-0000-00003D330000}"/>
    <cellStyle name="Currency 5 2 3 4 4 2 6" xfId="14522" xr:uid="{00000000-0005-0000-0000-00003E330000}"/>
    <cellStyle name="Currency 5 2 3 4 4 2 7" xfId="14499" xr:uid="{00000000-0005-0000-0000-00003F330000}"/>
    <cellStyle name="Currency 5 2 3 4 4 3" xfId="14523" xr:uid="{00000000-0005-0000-0000-000040330000}"/>
    <cellStyle name="Currency 5 2 3 4 4 3 2" xfId="14524" xr:uid="{00000000-0005-0000-0000-000041330000}"/>
    <cellStyle name="Currency 5 2 3 4 4 3 2 2" xfId="14525" xr:uid="{00000000-0005-0000-0000-000042330000}"/>
    <cellStyle name="Currency 5 2 3 4 4 3 2 2 2" xfId="14526" xr:uid="{00000000-0005-0000-0000-000043330000}"/>
    <cellStyle name="Currency 5 2 3 4 4 3 2 2 2 2" xfId="14527" xr:uid="{00000000-0005-0000-0000-000044330000}"/>
    <cellStyle name="Currency 5 2 3 4 4 3 2 2 3" xfId="14528" xr:uid="{00000000-0005-0000-0000-000045330000}"/>
    <cellStyle name="Currency 5 2 3 4 4 3 2 3" xfId="14529" xr:uid="{00000000-0005-0000-0000-000046330000}"/>
    <cellStyle name="Currency 5 2 3 4 4 3 2 3 2" xfId="14530" xr:uid="{00000000-0005-0000-0000-000047330000}"/>
    <cellStyle name="Currency 5 2 3 4 4 3 2 4" xfId="14531" xr:uid="{00000000-0005-0000-0000-000048330000}"/>
    <cellStyle name="Currency 5 2 3 4 4 3 3" xfId="14532" xr:uid="{00000000-0005-0000-0000-000049330000}"/>
    <cellStyle name="Currency 5 2 3 4 4 3 3 2" xfId="14533" xr:uid="{00000000-0005-0000-0000-00004A330000}"/>
    <cellStyle name="Currency 5 2 3 4 4 3 3 2 2" xfId="14534" xr:uid="{00000000-0005-0000-0000-00004B330000}"/>
    <cellStyle name="Currency 5 2 3 4 4 3 3 3" xfId="14535" xr:uid="{00000000-0005-0000-0000-00004C330000}"/>
    <cellStyle name="Currency 5 2 3 4 4 3 4" xfId="14536" xr:uid="{00000000-0005-0000-0000-00004D330000}"/>
    <cellStyle name="Currency 5 2 3 4 4 3 4 2" xfId="14537" xr:uid="{00000000-0005-0000-0000-00004E330000}"/>
    <cellStyle name="Currency 5 2 3 4 4 3 5" xfId="14538" xr:uid="{00000000-0005-0000-0000-00004F330000}"/>
    <cellStyle name="Currency 5 2 3 4 4 4" xfId="14539" xr:uid="{00000000-0005-0000-0000-000050330000}"/>
    <cellStyle name="Currency 5 2 3 4 4 4 2" xfId="14540" xr:uid="{00000000-0005-0000-0000-000051330000}"/>
    <cellStyle name="Currency 5 2 3 4 4 4 2 2" xfId="14541" xr:uid="{00000000-0005-0000-0000-000052330000}"/>
    <cellStyle name="Currency 5 2 3 4 4 4 2 2 2" xfId="14542" xr:uid="{00000000-0005-0000-0000-000053330000}"/>
    <cellStyle name="Currency 5 2 3 4 4 4 2 2 2 2" xfId="14543" xr:uid="{00000000-0005-0000-0000-000054330000}"/>
    <cellStyle name="Currency 5 2 3 4 4 4 2 2 3" xfId="14544" xr:uid="{00000000-0005-0000-0000-000055330000}"/>
    <cellStyle name="Currency 5 2 3 4 4 4 2 3" xfId="14545" xr:uid="{00000000-0005-0000-0000-000056330000}"/>
    <cellStyle name="Currency 5 2 3 4 4 4 2 3 2" xfId="14546" xr:uid="{00000000-0005-0000-0000-000057330000}"/>
    <cellStyle name="Currency 5 2 3 4 4 4 2 4" xfId="14547" xr:uid="{00000000-0005-0000-0000-000058330000}"/>
    <cellStyle name="Currency 5 2 3 4 4 4 3" xfId="14548" xr:uid="{00000000-0005-0000-0000-000059330000}"/>
    <cellStyle name="Currency 5 2 3 4 4 4 3 2" xfId="14549" xr:uid="{00000000-0005-0000-0000-00005A330000}"/>
    <cellStyle name="Currency 5 2 3 4 4 4 3 2 2" xfId="14550" xr:uid="{00000000-0005-0000-0000-00005B330000}"/>
    <cellStyle name="Currency 5 2 3 4 4 4 3 3" xfId="14551" xr:uid="{00000000-0005-0000-0000-00005C330000}"/>
    <cellStyle name="Currency 5 2 3 4 4 4 4" xfId="14552" xr:uid="{00000000-0005-0000-0000-00005D330000}"/>
    <cellStyle name="Currency 5 2 3 4 4 4 4 2" xfId="14553" xr:uid="{00000000-0005-0000-0000-00005E330000}"/>
    <cellStyle name="Currency 5 2 3 4 4 4 5" xfId="14554" xr:uid="{00000000-0005-0000-0000-00005F330000}"/>
    <cellStyle name="Currency 5 2 3 4 4 5" xfId="14555" xr:uid="{00000000-0005-0000-0000-000060330000}"/>
    <cellStyle name="Currency 5 2 3 4 4 5 2" xfId="14556" xr:uid="{00000000-0005-0000-0000-000061330000}"/>
    <cellStyle name="Currency 5 2 3 4 4 5 2 2" xfId="14557" xr:uid="{00000000-0005-0000-0000-000062330000}"/>
    <cellStyle name="Currency 5 2 3 4 4 5 2 2 2" xfId="14558" xr:uid="{00000000-0005-0000-0000-000063330000}"/>
    <cellStyle name="Currency 5 2 3 4 4 5 2 3" xfId="14559" xr:uid="{00000000-0005-0000-0000-000064330000}"/>
    <cellStyle name="Currency 5 2 3 4 4 5 3" xfId="14560" xr:uid="{00000000-0005-0000-0000-000065330000}"/>
    <cellStyle name="Currency 5 2 3 4 4 5 3 2" xfId="14561" xr:uid="{00000000-0005-0000-0000-000066330000}"/>
    <cellStyle name="Currency 5 2 3 4 4 5 4" xfId="14562" xr:uid="{00000000-0005-0000-0000-000067330000}"/>
    <cellStyle name="Currency 5 2 3 4 4 6" xfId="14563" xr:uid="{00000000-0005-0000-0000-000068330000}"/>
    <cellStyle name="Currency 5 2 3 4 4 6 2" xfId="14564" xr:uid="{00000000-0005-0000-0000-000069330000}"/>
    <cellStyle name="Currency 5 2 3 4 4 6 2 2" xfId="14565" xr:uid="{00000000-0005-0000-0000-00006A330000}"/>
    <cellStyle name="Currency 5 2 3 4 4 6 2 2 2" xfId="14566" xr:uid="{00000000-0005-0000-0000-00006B330000}"/>
    <cellStyle name="Currency 5 2 3 4 4 6 2 3" xfId="14567" xr:uid="{00000000-0005-0000-0000-00006C330000}"/>
    <cellStyle name="Currency 5 2 3 4 4 6 3" xfId="14568" xr:uid="{00000000-0005-0000-0000-00006D330000}"/>
    <cellStyle name="Currency 5 2 3 4 4 6 3 2" xfId="14569" xr:uid="{00000000-0005-0000-0000-00006E330000}"/>
    <cellStyle name="Currency 5 2 3 4 4 6 4" xfId="14570" xr:uid="{00000000-0005-0000-0000-00006F330000}"/>
    <cellStyle name="Currency 5 2 3 4 4 7" xfId="14571" xr:uid="{00000000-0005-0000-0000-000070330000}"/>
    <cellStyle name="Currency 5 2 3 4 4 7 2" xfId="14572" xr:uid="{00000000-0005-0000-0000-000071330000}"/>
    <cellStyle name="Currency 5 2 3 4 4 7 2 2" xfId="14573" xr:uid="{00000000-0005-0000-0000-000072330000}"/>
    <cellStyle name="Currency 5 2 3 4 4 7 2 2 2" xfId="14574" xr:uid="{00000000-0005-0000-0000-000073330000}"/>
    <cellStyle name="Currency 5 2 3 4 4 7 2 3" xfId="14575" xr:uid="{00000000-0005-0000-0000-000074330000}"/>
    <cellStyle name="Currency 5 2 3 4 4 7 3" xfId="14576" xr:uid="{00000000-0005-0000-0000-000075330000}"/>
    <cellStyle name="Currency 5 2 3 4 4 7 3 2" xfId="14577" xr:uid="{00000000-0005-0000-0000-000076330000}"/>
    <cellStyle name="Currency 5 2 3 4 4 7 4" xfId="14578" xr:uid="{00000000-0005-0000-0000-000077330000}"/>
    <cellStyle name="Currency 5 2 3 4 4 8" xfId="14579" xr:uid="{00000000-0005-0000-0000-000078330000}"/>
    <cellStyle name="Currency 5 2 3 4 4 8 2" xfId="14580" xr:uid="{00000000-0005-0000-0000-000079330000}"/>
    <cellStyle name="Currency 5 2 3 4 4 8 2 2" xfId="14581" xr:uid="{00000000-0005-0000-0000-00007A330000}"/>
    <cellStyle name="Currency 5 2 3 4 4 8 3" xfId="14582" xr:uid="{00000000-0005-0000-0000-00007B330000}"/>
    <cellStyle name="Currency 5 2 3 4 4 9" xfId="14583" xr:uid="{00000000-0005-0000-0000-00007C330000}"/>
    <cellStyle name="Currency 5 2 3 4 4 9 2" xfId="14584" xr:uid="{00000000-0005-0000-0000-00007D330000}"/>
    <cellStyle name="Currency 5 2 3 4 5" xfId="1311" xr:uid="{00000000-0005-0000-0000-00007E330000}"/>
    <cellStyle name="Currency 5 2 3 4 5 2" xfId="14586" xr:uid="{00000000-0005-0000-0000-00007F330000}"/>
    <cellStyle name="Currency 5 2 3 4 5 2 2" xfId="14587" xr:uid="{00000000-0005-0000-0000-000080330000}"/>
    <cellStyle name="Currency 5 2 3 4 5 2 2 2" xfId="14588" xr:uid="{00000000-0005-0000-0000-000081330000}"/>
    <cellStyle name="Currency 5 2 3 4 5 2 2 2 2" xfId="14589" xr:uid="{00000000-0005-0000-0000-000082330000}"/>
    <cellStyle name="Currency 5 2 3 4 5 2 2 3" xfId="14590" xr:uid="{00000000-0005-0000-0000-000083330000}"/>
    <cellStyle name="Currency 5 2 3 4 5 2 3" xfId="14591" xr:uid="{00000000-0005-0000-0000-000084330000}"/>
    <cellStyle name="Currency 5 2 3 4 5 2 3 2" xfId="14592" xr:uid="{00000000-0005-0000-0000-000085330000}"/>
    <cellStyle name="Currency 5 2 3 4 5 2 4" xfId="14593" xr:uid="{00000000-0005-0000-0000-000086330000}"/>
    <cellStyle name="Currency 5 2 3 4 5 3" xfId="14594" xr:uid="{00000000-0005-0000-0000-000087330000}"/>
    <cellStyle name="Currency 5 2 3 4 5 3 2" xfId="14595" xr:uid="{00000000-0005-0000-0000-000088330000}"/>
    <cellStyle name="Currency 5 2 3 4 5 3 2 2" xfId="14596" xr:uid="{00000000-0005-0000-0000-000089330000}"/>
    <cellStyle name="Currency 5 2 3 4 5 3 2 2 2" xfId="14597" xr:uid="{00000000-0005-0000-0000-00008A330000}"/>
    <cellStyle name="Currency 5 2 3 4 5 3 2 3" xfId="14598" xr:uid="{00000000-0005-0000-0000-00008B330000}"/>
    <cellStyle name="Currency 5 2 3 4 5 3 3" xfId="14599" xr:uid="{00000000-0005-0000-0000-00008C330000}"/>
    <cellStyle name="Currency 5 2 3 4 5 3 3 2" xfId="14600" xr:uid="{00000000-0005-0000-0000-00008D330000}"/>
    <cellStyle name="Currency 5 2 3 4 5 3 4" xfId="14601" xr:uid="{00000000-0005-0000-0000-00008E330000}"/>
    <cellStyle name="Currency 5 2 3 4 5 4" xfId="14602" xr:uid="{00000000-0005-0000-0000-00008F330000}"/>
    <cellStyle name="Currency 5 2 3 4 5 4 2" xfId="14603" xr:uid="{00000000-0005-0000-0000-000090330000}"/>
    <cellStyle name="Currency 5 2 3 4 5 4 2 2" xfId="14604" xr:uid="{00000000-0005-0000-0000-000091330000}"/>
    <cellStyle name="Currency 5 2 3 4 5 4 3" xfId="14605" xr:uid="{00000000-0005-0000-0000-000092330000}"/>
    <cellStyle name="Currency 5 2 3 4 5 5" xfId="14606" xr:uid="{00000000-0005-0000-0000-000093330000}"/>
    <cellStyle name="Currency 5 2 3 4 5 5 2" xfId="14607" xr:uid="{00000000-0005-0000-0000-000094330000}"/>
    <cellStyle name="Currency 5 2 3 4 5 6" xfId="14608" xr:uid="{00000000-0005-0000-0000-000095330000}"/>
    <cellStyle name="Currency 5 2 3 4 5 7" xfId="14585" xr:uid="{00000000-0005-0000-0000-000096330000}"/>
    <cellStyle name="Currency 5 2 3 4 6" xfId="14609" xr:uid="{00000000-0005-0000-0000-000097330000}"/>
    <cellStyle name="Currency 5 2 3 4 6 2" xfId="14610" xr:uid="{00000000-0005-0000-0000-000098330000}"/>
    <cellStyle name="Currency 5 2 3 4 6 2 2" xfId="14611" xr:uid="{00000000-0005-0000-0000-000099330000}"/>
    <cellStyle name="Currency 5 2 3 4 6 2 2 2" xfId="14612" xr:uid="{00000000-0005-0000-0000-00009A330000}"/>
    <cellStyle name="Currency 5 2 3 4 6 2 2 2 2" xfId="14613" xr:uid="{00000000-0005-0000-0000-00009B330000}"/>
    <cellStyle name="Currency 5 2 3 4 6 2 2 3" xfId="14614" xr:uid="{00000000-0005-0000-0000-00009C330000}"/>
    <cellStyle name="Currency 5 2 3 4 6 2 3" xfId="14615" xr:uid="{00000000-0005-0000-0000-00009D330000}"/>
    <cellStyle name="Currency 5 2 3 4 6 2 3 2" xfId="14616" xr:uid="{00000000-0005-0000-0000-00009E330000}"/>
    <cellStyle name="Currency 5 2 3 4 6 2 4" xfId="14617" xr:uid="{00000000-0005-0000-0000-00009F330000}"/>
    <cellStyle name="Currency 5 2 3 4 6 3" xfId="14618" xr:uid="{00000000-0005-0000-0000-0000A0330000}"/>
    <cellStyle name="Currency 5 2 3 4 6 3 2" xfId="14619" xr:uid="{00000000-0005-0000-0000-0000A1330000}"/>
    <cellStyle name="Currency 5 2 3 4 6 3 2 2" xfId="14620" xr:uid="{00000000-0005-0000-0000-0000A2330000}"/>
    <cellStyle name="Currency 5 2 3 4 6 3 3" xfId="14621" xr:uid="{00000000-0005-0000-0000-0000A3330000}"/>
    <cellStyle name="Currency 5 2 3 4 6 4" xfId="14622" xr:uid="{00000000-0005-0000-0000-0000A4330000}"/>
    <cellStyle name="Currency 5 2 3 4 6 4 2" xfId="14623" xr:uid="{00000000-0005-0000-0000-0000A5330000}"/>
    <cellStyle name="Currency 5 2 3 4 6 5" xfId="14624" xr:uid="{00000000-0005-0000-0000-0000A6330000}"/>
    <cellStyle name="Currency 5 2 3 4 7" xfId="14625" xr:uid="{00000000-0005-0000-0000-0000A7330000}"/>
    <cellStyle name="Currency 5 2 3 4 7 2" xfId="14626" xr:uid="{00000000-0005-0000-0000-0000A8330000}"/>
    <cellStyle name="Currency 5 2 3 4 7 2 2" xfId="14627" xr:uid="{00000000-0005-0000-0000-0000A9330000}"/>
    <cellStyle name="Currency 5 2 3 4 7 2 2 2" xfId="14628" xr:uid="{00000000-0005-0000-0000-0000AA330000}"/>
    <cellStyle name="Currency 5 2 3 4 7 2 2 2 2" xfId="14629" xr:uid="{00000000-0005-0000-0000-0000AB330000}"/>
    <cellStyle name="Currency 5 2 3 4 7 2 2 3" xfId="14630" xr:uid="{00000000-0005-0000-0000-0000AC330000}"/>
    <cellStyle name="Currency 5 2 3 4 7 2 3" xfId="14631" xr:uid="{00000000-0005-0000-0000-0000AD330000}"/>
    <cellStyle name="Currency 5 2 3 4 7 2 3 2" xfId="14632" xr:uid="{00000000-0005-0000-0000-0000AE330000}"/>
    <cellStyle name="Currency 5 2 3 4 7 2 4" xfId="14633" xr:uid="{00000000-0005-0000-0000-0000AF330000}"/>
    <cellStyle name="Currency 5 2 3 4 7 3" xfId="14634" xr:uid="{00000000-0005-0000-0000-0000B0330000}"/>
    <cellStyle name="Currency 5 2 3 4 7 3 2" xfId="14635" xr:uid="{00000000-0005-0000-0000-0000B1330000}"/>
    <cellStyle name="Currency 5 2 3 4 7 3 2 2" xfId="14636" xr:uid="{00000000-0005-0000-0000-0000B2330000}"/>
    <cellStyle name="Currency 5 2 3 4 7 3 3" xfId="14637" xr:uid="{00000000-0005-0000-0000-0000B3330000}"/>
    <cellStyle name="Currency 5 2 3 4 7 4" xfId="14638" xr:uid="{00000000-0005-0000-0000-0000B4330000}"/>
    <cellStyle name="Currency 5 2 3 4 7 4 2" xfId="14639" xr:uid="{00000000-0005-0000-0000-0000B5330000}"/>
    <cellStyle name="Currency 5 2 3 4 7 5" xfId="14640" xr:uid="{00000000-0005-0000-0000-0000B6330000}"/>
    <cellStyle name="Currency 5 2 3 4 8" xfId="14641" xr:uid="{00000000-0005-0000-0000-0000B7330000}"/>
    <cellStyle name="Currency 5 2 3 4 8 2" xfId="14642" xr:uid="{00000000-0005-0000-0000-0000B8330000}"/>
    <cellStyle name="Currency 5 2 3 4 8 2 2" xfId="14643" xr:uid="{00000000-0005-0000-0000-0000B9330000}"/>
    <cellStyle name="Currency 5 2 3 4 8 2 2 2" xfId="14644" xr:uid="{00000000-0005-0000-0000-0000BA330000}"/>
    <cellStyle name="Currency 5 2 3 4 8 2 3" xfId="14645" xr:uid="{00000000-0005-0000-0000-0000BB330000}"/>
    <cellStyle name="Currency 5 2 3 4 8 3" xfId="14646" xr:uid="{00000000-0005-0000-0000-0000BC330000}"/>
    <cellStyle name="Currency 5 2 3 4 8 3 2" xfId="14647" xr:uid="{00000000-0005-0000-0000-0000BD330000}"/>
    <cellStyle name="Currency 5 2 3 4 8 4" xfId="14648" xr:uid="{00000000-0005-0000-0000-0000BE330000}"/>
    <cellStyle name="Currency 5 2 3 4 9" xfId="14649" xr:uid="{00000000-0005-0000-0000-0000BF330000}"/>
    <cellStyle name="Currency 5 2 3 4 9 2" xfId="14650" xr:uid="{00000000-0005-0000-0000-0000C0330000}"/>
    <cellStyle name="Currency 5 2 3 4 9 2 2" xfId="14651" xr:uid="{00000000-0005-0000-0000-0000C1330000}"/>
    <cellStyle name="Currency 5 2 3 4 9 2 2 2" xfId="14652" xr:uid="{00000000-0005-0000-0000-0000C2330000}"/>
    <cellStyle name="Currency 5 2 3 4 9 2 3" xfId="14653" xr:uid="{00000000-0005-0000-0000-0000C3330000}"/>
    <cellStyle name="Currency 5 2 3 4 9 3" xfId="14654" xr:uid="{00000000-0005-0000-0000-0000C4330000}"/>
    <cellStyle name="Currency 5 2 3 4 9 3 2" xfId="14655" xr:uid="{00000000-0005-0000-0000-0000C5330000}"/>
    <cellStyle name="Currency 5 2 3 4 9 4" xfId="14656" xr:uid="{00000000-0005-0000-0000-0000C6330000}"/>
    <cellStyle name="Currency 5 2 3 5" xfId="337" xr:uid="{00000000-0005-0000-0000-0000C7330000}"/>
    <cellStyle name="Currency 5 2 3 5 10" xfId="14658" xr:uid="{00000000-0005-0000-0000-0000C8330000}"/>
    <cellStyle name="Currency 5 2 3 5 10 2" xfId="14659" xr:uid="{00000000-0005-0000-0000-0000C9330000}"/>
    <cellStyle name="Currency 5 2 3 5 10 2 2" xfId="14660" xr:uid="{00000000-0005-0000-0000-0000CA330000}"/>
    <cellStyle name="Currency 5 2 3 5 10 3" xfId="14661" xr:uid="{00000000-0005-0000-0000-0000CB330000}"/>
    <cellStyle name="Currency 5 2 3 5 11" xfId="14662" xr:uid="{00000000-0005-0000-0000-0000CC330000}"/>
    <cellStyle name="Currency 5 2 3 5 11 2" xfId="14663" xr:uid="{00000000-0005-0000-0000-0000CD330000}"/>
    <cellStyle name="Currency 5 2 3 5 11 2 2" xfId="14664" xr:uid="{00000000-0005-0000-0000-0000CE330000}"/>
    <cellStyle name="Currency 5 2 3 5 11 3" xfId="14665" xr:uid="{00000000-0005-0000-0000-0000CF330000}"/>
    <cellStyle name="Currency 5 2 3 5 12" xfId="14666" xr:uid="{00000000-0005-0000-0000-0000D0330000}"/>
    <cellStyle name="Currency 5 2 3 5 12 2" xfId="14667" xr:uid="{00000000-0005-0000-0000-0000D1330000}"/>
    <cellStyle name="Currency 5 2 3 5 13" xfId="14668" xr:uid="{00000000-0005-0000-0000-0000D2330000}"/>
    <cellStyle name="Currency 5 2 3 5 14" xfId="14669" xr:uid="{00000000-0005-0000-0000-0000D3330000}"/>
    <cellStyle name="Currency 5 2 3 5 15" xfId="14657" xr:uid="{00000000-0005-0000-0000-0000D4330000}"/>
    <cellStyle name="Currency 5 2 3 5 2" xfId="897" xr:uid="{00000000-0005-0000-0000-0000D5330000}"/>
    <cellStyle name="Currency 5 2 3 5 2 10" xfId="14671" xr:uid="{00000000-0005-0000-0000-0000D6330000}"/>
    <cellStyle name="Currency 5 2 3 5 2 11" xfId="14670" xr:uid="{00000000-0005-0000-0000-0000D7330000}"/>
    <cellStyle name="Currency 5 2 3 5 2 2" xfId="1638" xr:uid="{00000000-0005-0000-0000-0000D8330000}"/>
    <cellStyle name="Currency 5 2 3 5 2 2 2" xfId="14673" xr:uid="{00000000-0005-0000-0000-0000D9330000}"/>
    <cellStyle name="Currency 5 2 3 5 2 2 2 2" xfId="14674" xr:uid="{00000000-0005-0000-0000-0000DA330000}"/>
    <cellStyle name="Currency 5 2 3 5 2 2 2 2 2" xfId="14675" xr:uid="{00000000-0005-0000-0000-0000DB330000}"/>
    <cellStyle name="Currency 5 2 3 5 2 2 2 2 2 2" xfId="14676" xr:uid="{00000000-0005-0000-0000-0000DC330000}"/>
    <cellStyle name="Currency 5 2 3 5 2 2 2 2 3" xfId="14677" xr:uid="{00000000-0005-0000-0000-0000DD330000}"/>
    <cellStyle name="Currency 5 2 3 5 2 2 2 3" xfId="14678" xr:uid="{00000000-0005-0000-0000-0000DE330000}"/>
    <cellStyle name="Currency 5 2 3 5 2 2 2 3 2" xfId="14679" xr:uid="{00000000-0005-0000-0000-0000DF330000}"/>
    <cellStyle name="Currency 5 2 3 5 2 2 2 4" xfId="14680" xr:uid="{00000000-0005-0000-0000-0000E0330000}"/>
    <cellStyle name="Currency 5 2 3 5 2 2 3" xfId="14681" xr:uid="{00000000-0005-0000-0000-0000E1330000}"/>
    <cellStyle name="Currency 5 2 3 5 2 2 3 2" xfId="14682" xr:uid="{00000000-0005-0000-0000-0000E2330000}"/>
    <cellStyle name="Currency 5 2 3 5 2 2 3 2 2" xfId="14683" xr:uid="{00000000-0005-0000-0000-0000E3330000}"/>
    <cellStyle name="Currency 5 2 3 5 2 2 3 2 2 2" xfId="14684" xr:uid="{00000000-0005-0000-0000-0000E4330000}"/>
    <cellStyle name="Currency 5 2 3 5 2 2 3 2 3" xfId="14685" xr:uid="{00000000-0005-0000-0000-0000E5330000}"/>
    <cellStyle name="Currency 5 2 3 5 2 2 3 3" xfId="14686" xr:uid="{00000000-0005-0000-0000-0000E6330000}"/>
    <cellStyle name="Currency 5 2 3 5 2 2 3 3 2" xfId="14687" xr:uid="{00000000-0005-0000-0000-0000E7330000}"/>
    <cellStyle name="Currency 5 2 3 5 2 2 3 4" xfId="14688" xr:uid="{00000000-0005-0000-0000-0000E8330000}"/>
    <cellStyle name="Currency 5 2 3 5 2 2 4" xfId="14689" xr:uid="{00000000-0005-0000-0000-0000E9330000}"/>
    <cellStyle name="Currency 5 2 3 5 2 2 4 2" xfId="14690" xr:uid="{00000000-0005-0000-0000-0000EA330000}"/>
    <cellStyle name="Currency 5 2 3 5 2 2 4 2 2" xfId="14691" xr:uid="{00000000-0005-0000-0000-0000EB330000}"/>
    <cellStyle name="Currency 5 2 3 5 2 2 4 3" xfId="14692" xr:uid="{00000000-0005-0000-0000-0000EC330000}"/>
    <cellStyle name="Currency 5 2 3 5 2 2 5" xfId="14693" xr:uid="{00000000-0005-0000-0000-0000ED330000}"/>
    <cellStyle name="Currency 5 2 3 5 2 2 5 2" xfId="14694" xr:uid="{00000000-0005-0000-0000-0000EE330000}"/>
    <cellStyle name="Currency 5 2 3 5 2 2 6" xfId="14695" xr:uid="{00000000-0005-0000-0000-0000EF330000}"/>
    <cellStyle name="Currency 5 2 3 5 2 2 7" xfId="14672" xr:uid="{00000000-0005-0000-0000-0000F0330000}"/>
    <cellStyle name="Currency 5 2 3 5 2 3" xfId="14696" xr:uid="{00000000-0005-0000-0000-0000F1330000}"/>
    <cellStyle name="Currency 5 2 3 5 2 3 2" xfId="14697" xr:uid="{00000000-0005-0000-0000-0000F2330000}"/>
    <cellStyle name="Currency 5 2 3 5 2 3 2 2" xfId="14698" xr:uid="{00000000-0005-0000-0000-0000F3330000}"/>
    <cellStyle name="Currency 5 2 3 5 2 3 2 2 2" xfId="14699" xr:uid="{00000000-0005-0000-0000-0000F4330000}"/>
    <cellStyle name="Currency 5 2 3 5 2 3 2 2 2 2" xfId="14700" xr:uid="{00000000-0005-0000-0000-0000F5330000}"/>
    <cellStyle name="Currency 5 2 3 5 2 3 2 2 3" xfId="14701" xr:uid="{00000000-0005-0000-0000-0000F6330000}"/>
    <cellStyle name="Currency 5 2 3 5 2 3 2 3" xfId="14702" xr:uid="{00000000-0005-0000-0000-0000F7330000}"/>
    <cellStyle name="Currency 5 2 3 5 2 3 2 3 2" xfId="14703" xr:uid="{00000000-0005-0000-0000-0000F8330000}"/>
    <cellStyle name="Currency 5 2 3 5 2 3 2 4" xfId="14704" xr:uid="{00000000-0005-0000-0000-0000F9330000}"/>
    <cellStyle name="Currency 5 2 3 5 2 3 3" xfId="14705" xr:uid="{00000000-0005-0000-0000-0000FA330000}"/>
    <cellStyle name="Currency 5 2 3 5 2 3 3 2" xfId="14706" xr:uid="{00000000-0005-0000-0000-0000FB330000}"/>
    <cellStyle name="Currency 5 2 3 5 2 3 3 2 2" xfId="14707" xr:uid="{00000000-0005-0000-0000-0000FC330000}"/>
    <cellStyle name="Currency 5 2 3 5 2 3 3 3" xfId="14708" xr:uid="{00000000-0005-0000-0000-0000FD330000}"/>
    <cellStyle name="Currency 5 2 3 5 2 3 4" xfId="14709" xr:uid="{00000000-0005-0000-0000-0000FE330000}"/>
    <cellStyle name="Currency 5 2 3 5 2 3 4 2" xfId="14710" xr:uid="{00000000-0005-0000-0000-0000FF330000}"/>
    <cellStyle name="Currency 5 2 3 5 2 3 5" xfId="14711" xr:uid="{00000000-0005-0000-0000-000000340000}"/>
    <cellStyle name="Currency 5 2 3 5 2 4" xfId="14712" xr:uid="{00000000-0005-0000-0000-000001340000}"/>
    <cellStyle name="Currency 5 2 3 5 2 4 2" xfId="14713" xr:uid="{00000000-0005-0000-0000-000002340000}"/>
    <cellStyle name="Currency 5 2 3 5 2 4 2 2" xfId="14714" xr:uid="{00000000-0005-0000-0000-000003340000}"/>
    <cellStyle name="Currency 5 2 3 5 2 4 2 2 2" xfId="14715" xr:uid="{00000000-0005-0000-0000-000004340000}"/>
    <cellStyle name="Currency 5 2 3 5 2 4 2 2 2 2" xfId="14716" xr:uid="{00000000-0005-0000-0000-000005340000}"/>
    <cellStyle name="Currency 5 2 3 5 2 4 2 2 3" xfId="14717" xr:uid="{00000000-0005-0000-0000-000006340000}"/>
    <cellStyle name="Currency 5 2 3 5 2 4 2 3" xfId="14718" xr:uid="{00000000-0005-0000-0000-000007340000}"/>
    <cellStyle name="Currency 5 2 3 5 2 4 2 3 2" xfId="14719" xr:uid="{00000000-0005-0000-0000-000008340000}"/>
    <cellStyle name="Currency 5 2 3 5 2 4 2 4" xfId="14720" xr:uid="{00000000-0005-0000-0000-000009340000}"/>
    <cellStyle name="Currency 5 2 3 5 2 4 3" xfId="14721" xr:uid="{00000000-0005-0000-0000-00000A340000}"/>
    <cellStyle name="Currency 5 2 3 5 2 4 3 2" xfId="14722" xr:uid="{00000000-0005-0000-0000-00000B340000}"/>
    <cellStyle name="Currency 5 2 3 5 2 4 3 2 2" xfId="14723" xr:uid="{00000000-0005-0000-0000-00000C340000}"/>
    <cellStyle name="Currency 5 2 3 5 2 4 3 3" xfId="14724" xr:uid="{00000000-0005-0000-0000-00000D340000}"/>
    <cellStyle name="Currency 5 2 3 5 2 4 4" xfId="14725" xr:uid="{00000000-0005-0000-0000-00000E340000}"/>
    <cellStyle name="Currency 5 2 3 5 2 4 4 2" xfId="14726" xr:uid="{00000000-0005-0000-0000-00000F340000}"/>
    <cellStyle name="Currency 5 2 3 5 2 4 5" xfId="14727" xr:uid="{00000000-0005-0000-0000-000010340000}"/>
    <cellStyle name="Currency 5 2 3 5 2 5" xfId="14728" xr:uid="{00000000-0005-0000-0000-000011340000}"/>
    <cellStyle name="Currency 5 2 3 5 2 5 2" xfId="14729" xr:uid="{00000000-0005-0000-0000-000012340000}"/>
    <cellStyle name="Currency 5 2 3 5 2 5 2 2" xfId="14730" xr:uid="{00000000-0005-0000-0000-000013340000}"/>
    <cellStyle name="Currency 5 2 3 5 2 5 2 2 2" xfId="14731" xr:uid="{00000000-0005-0000-0000-000014340000}"/>
    <cellStyle name="Currency 5 2 3 5 2 5 2 3" xfId="14732" xr:uid="{00000000-0005-0000-0000-000015340000}"/>
    <cellStyle name="Currency 5 2 3 5 2 5 3" xfId="14733" xr:uid="{00000000-0005-0000-0000-000016340000}"/>
    <cellStyle name="Currency 5 2 3 5 2 5 3 2" xfId="14734" xr:uid="{00000000-0005-0000-0000-000017340000}"/>
    <cellStyle name="Currency 5 2 3 5 2 5 4" xfId="14735" xr:uid="{00000000-0005-0000-0000-000018340000}"/>
    <cellStyle name="Currency 5 2 3 5 2 6" xfId="14736" xr:uid="{00000000-0005-0000-0000-000019340000}"/>
    <cellStyle name="Currency 5 2 3 5 2 6 2" xfId="14737" xr:uid="{00000000-0005-0000-0000-00001A340000}"/>
    <cellStyle name="Currency 5 2 3 5 2 6 2 2" xfId="14738" xr:uid="{00000000-0005-0000-0000-00001B340000}"/>
    <cellStyle name="Currency 5 2 3 5 2 6 2 2 2" xfId="14739" xr:uid="{00000000-0005-0000-0000-00001C340000}"/>
    <cellStyle name="Currency 5 2 3 5 2 6 2 3" xfId="14740" xr:uid="{00000000-0005-0000-0000-00001D340000}"/>
    <cellStyle name="Currency 5 2 3 5 2 6 3" xfId="14741" xr:uid="{00000000-0005-0000-0000-00001E340000}"/>
    <cellStyle name="Currency 5 2 3 5 2 6 3 2" xfId="14742" xr:uid="{00000000-0005-0000-0000-00001F340000}"/>
    <cellStyle name="Currency 5 2 3 5 2 6 4" xfId="14743" xr:uid="{00000000-0005-0000-0000-000020340000}"/>
    <cellStyle name="Currency 5 2 3 5 2 7" xfId="14744" xr:uid="{00000000-0005-0000-0000-000021340000}"/>
    <cellStyle name="Currency 5 2 3 5 2 7 2" xfId="14745" xr:uid="{00000000-0005-0000-0000-000022340000}"/>
    <cellStyle name="Currency 5 2 3 5 2 7 2 2" xfId="14746" xr:uid="{00000000-0005-0000-0000-000023340000}"/>
    <cellStyle name="Currency 5 2 3 5 2 7 2 2 2" xfId="14747" xr:uid="{00000000-0005-0000-0000-000024340000}"/>
    <cellStyle name="Currency 5 2 3 5 2 7 2 3" xfId="14748" xr:uid="{00000000-0005-0000-0000-000025340000}"/>
    <cellStyle name="Currency 5 2 3 5 2 7 3" xfId="14749" xr:uid="{00000000-0005-0000-0000-000026340000}"/>
    <cellStyle name="Currency 5 2 3 5 2 7 3 2" xfId="14750" xr:uid="{00000000-0005-0000-0000-000027340000}"/>
    <cellStyle name="Currency 5 2 3 5 2 7 4" xfId="14751" xr:uid="{00000000-0005-0000-0000-000028340000}"/>
    <cellStyle name="Currency 5 2 3 5 2 8" xfId="14752" xr:uid="{00000000-0005-0000-0000-000029340000}"/>
    <cellStyle name="Currency 5 2 3 5 2 8 2" xfId="14753" xr:uid="{00000000-0005-0000-0000-00002A340000}"/>
    <cellStyle name="Currency 5 2 3 5 2 8 2 2" xfId="14754" xr:uid="{00000000-0005-0000-0000-00002B340000}"/>
    <cellStyle name="Currency 5 2 3 5 2 8 3" xfId="14755" xr:uid="{00000000-0005-0000-0000-00002C340000}"/>
    <cellStyle name="Currency 5 2 3 5 2 9" xfId="14756" xr:uid="{00000000-0005-0000-0000-00002D340000}"/>
    <cellStyle name="Currency 5 2 3 5 2 9 2" xfId="14757" xr:uid="{00000000-0005-0000-0000-00002E340000}"/>
    <cellStyle name="Currency 5 2 3 5 3" xfId="1313" xr:uid="{00000000-0005-0000-0000-00002F340000}"/>
    <cellStyle name="Currency 5 2 3 5 3 2" xfId="14759" xr:uid="{00000000-0005-0000-0000-000030340000}"/>
    <cellStyle name="Currency 5 2 3 5 3 2 2" xfId="14760" xr:uid="{00000000-0005-0000-0000-000031340000}"/>
    <cellStyle name="Currency 5 2 3 5 3 2 2 2" xfId="14761" xr:uid="{00000000-0005-0000-0000-000032340000}"/>
    <cellStyle name="Currency 5 2 3 5 3 2 2 2 2" xfId="14762" xr:uid="{00000000-0005-0000-0000-000033340000}"/>
    <cellStyle name="Currency 5 2 3 5 3 2 2 3" xfId="14763" xr:uid="{00000000-0005-0000-0000-000034340000}"/>
    <cellStyle name="Currency 5 2 3 5 3 2 3" xfId="14764" xr:uid="{00000000-0005-0000-0000-000035340000}"/>
    <cellStyle name="Currency 5 2 3 5 3 2 3 2" xfId="14765" xr:uid="{00000000-0005-0000-0000-000036340000}"/>
    <cellStyle name="Currency 5 2 3 5 3 2 4" xfId="14766" xr:uid="{00000000-0005-0000-0000-000037340000}"/>
    <cellStyle name="Currency 5 2 3 5 3 3" xfId="14767" xr:uid="{00000000-0005-0000-0000-000038340000}"/>
    <cellStyle name="Currency 5 2 3 5 3 3 2" xfId="14768" xr:uid="{00000000-0005-0000-0000-000039340000}"/>
    <cellStyle name="Currency 5 2 3 5 3 3 2 2" xfId="14769" xr:uid="{00000000-0005-0000-0000-00003A340000}"/>
    <cellStyle name="Currency 5 2 3 5 3 3 2 2 2" xfId="14770" xr:uid="{00000000-0005-0000-0000-00003B340000}"/>
    <cellStyle name="Currency 5 2 3 5 3 3 2 3" xfId="14771" xr:uid="{00000000-0005-0000-0000-00003C340000}"/>
    <cellStyle name="Currency 5 2 3 5 3 3 3" xfId="14772" xr:uid="{00000000-0005-0000-0000-00003D340000}"/>
    <cellStyle name="Currency 5 2 3 5 3 3 3 2" xfId="14773" xr:uid="{00000000-0005-0000-0000-00003E340000}"/>
    <cellStyle name="Currency 5 2 3 5 3 3 4" xfId="14774" xr:uid="{00000000-0005-0000-0000-00003F340000}"/>
    <cellStyle name="Currency 5 2 3 5 3 4" xfId="14775" xr:uid="{00000000-0005-0000-0000-000040340000}"/>
    <cellStyle name="Currency 5 2 3 5 3 4 2" xfId="14776" xr:uid="{00000000-0005-0000-0000-000041340000}"/>
    <cellStyle name="Currency 5 2 3 5 3 4 2 2" xfId="14777" xr:uid="{00000000-0005-0000-0000-000042340000}"/>
    <cellStyle name="Currency 5 2 3 5 3 4 3" xfId="14778" xr:uid="{00000000-0005-0000-0000-000043340000}"/>
    <cellStyle name="Currency 5 2 3 5 3 5" xfId="14779" xr:uid="{00000000-0005-0000-0000-000044340000}"/>
    <cellStyle name="Currency 5 2 3 5 3 5 2" xfId="14780" xr:uid="{00000000-0005-0000-0000-000045340000}"/>
    <cellStyle name="Currency 5 2 3 5 3 6" xfId="14781" xr:uid="{00000000-0005-0000-0000-000046340000}"/>
    <cellStyle name="Currency 5 2 3 5 3 7" xfId="14758" xr:uid="{00000000-0005-0000-0000-000047340000}"/>
    <cellStyle name="Currency 5 2 3 5 4" xfId="14782" xr:uid="{00000000-0005-0000-0000-000048340000}"/>
    <cellStyle name="Currency 5 2 3 5 4 2" xfId="14783" xr:uid="{00000000-0005-0000-0000-000049340000}"/>
    <cellStyle name="Currency 5 2 3 5 4 2 2" xfId="14784" xr:uid="{00000000-0005-0000-0000-00004A340000}"/>
    <cellStyle name="Currency 5 2 3 5 4 2 2 2" xfId="14785" xr:uid="{00000000-0005-0000-0000-00004B340000}"/>
    <cellStyle name="Currency 5 2 3 5 4 2 2 2 2" xfId="14786" xr:uid="{00000000-0005-0000-0000-00004C340000}"/>
    <cellStyle name="Currency 5 2 3 5 4 2 2 3" xfId="14787" xr:uid="{00000000-0005-0000-0000-00004D340000}"/>
    <cellStyle name="Currency 5 2 3 5 4 2 3" xfId="14788" xr:uid="{00000000-0005-0000-0000-00004E340000}"/>
    <cellStyle name="Currency 5 2 3 5 4 2 3 2" xfId="14789" xr:uid="{00000000-0005-0000-0000-00004F340000}"/>
    <cellStyle name="Currency 5 2 3 5 4 2 4" xfId="14790" xr:uid="{00000000-0005-0000-0000-000050340000}"/>
    <cellStyle name="Currency 5 2 3 5 4 3" xfId="14791" xr:uid="{00000000-0005-0000-0000-000051340000}"/>
    <cellStyle name="Currency 5 2 3 5 4 3 2" xfId="14792" xr:uid="{00000000-0005-0000-0000-000052340000}"/>
    <cellStyle name="Currency 5 2 3 5 4 3 2 2" xfId="14793" xr:uid="{00000000-0005-0000-0000-000053340000}"/>
    <cellStyle name="Currency 5 2 3 5 4 3 3" xfId="14794" xr:uid="{00000000-0005-0000-0000-000054340000}"/>
    <cellStyle name="Currency 5 2 3 5 4 4" xfId="14795" xr:uid="{00000000-0005-0000-0000-000055340000}"/>
    <cellStyle name="Currency 5 2 3 5 4 4 2" xfId="14796" xr:uid="{00000000-0005-0000-0000-000056340000}"/>
    <cellStyle name="Currency 5 2 3 5 4 5" xfId="14797" xr:uid="{00000000-0005-0000-0000-000057340000}"/>
    <cellStyle name="Currency 5 2 3 5 5" xfId="14798" xr:uid="{00000000-0005-0000-0000-000058340000}"/>
    <cellStyle name="Currency 5 2 3 5 5 2" xfId="14799" xr:uid="{00000000-0005-0000-0000-000059340000}"/>
    <cellStyle name="Currency 5 2 3 5 5 2 2" xfId="14800" xr:uid="{00000000-0005-0000-0000-00005A340000}"/>
    <cellStyle name="Currency 5 2 3 5 5 2 2 2" xfId="14801" xr:uid="{00000000-0005-0000-0000-00005B340000}"/>
    <cellStyle name="Currency 5 2 3 5 5 2 2 2 2" xfId="14802" xr:uid="{00000000-0005-0000-0000-00005C340000}"/>
    <cellStyle name="Currency 5 2 3 5 5 2 2 3" xfId="14803" xr:uid="{00000000-0005-0000-0000-00005D340000}"/>
    <cellStyle name="Currency 5 2 3 5 5 2 3" xfId="14804" xr:uid="{00000000-0005-0000-0000-00005E340000}"/>
    <cellStyle name="Currency 5 2 3 5 5 2 3 2" xfId="14805" xr:uid="{00000000-0005-0000-0000-00005F340000}"/>
    <cellStyle name="Currency 5 2 3 5 5 2 4" xfId="14806" xr:uid="{00000000-0005-0000-0000-000060340000}"/>
    <cellStyle name="Currency 5 2 3 5 5 3" xfId="14807" xr:uid="{00000000-0005-0000-0000-000061340000}"/>
    <cellStyle name="Currency 5 2 3 5 5 3 2" xfId="14808" xr:uid="{00000000-0005-0000-0000-000062340000}"/>
    <cellStyle name="Currency 5 2 3 5 5 3 2 2" xfId="14809" xr:uid="{00000000-0005-0000-0000-000063340000}"/>
    <cellStyle name="Currency 5 2 3 5 5 3 3" xfId="14810" xr:uid="{00000000-0005-0000-0000-000064340000}"/>
    <cellStyle name="Currency 5 2 3 5 5 4" xfId="14811" xr:uid="{00000000-0005-0000-0000-000065340000}"/>
    <cellStyle name="Currency 5 2 3 5 5 4 2" xfId="14812" xr:uid="{00000000-0005-0000-0000-000066340000}"/>
    <cellStyle name="Currency 5 2 3 5 5 5" xfId="14813" xr:uid="{00000000-0005-0000-0000-000067340000}"/>
    <cellStyle name="Currency 5 2 3 5 6" xfId="14814" xr:uid="{00000000-0005-0000-0000-000068340000}"/>
    <cellStyle name="Currency 5 2 3 5 6 2" xfId="14815" xr:uid="{00000000-0005-0000-0000-000069340000}"/>
    <cellStyle name="Currency 5 2 3 5 6 2 2" xfId="14816" xr:uid="{00000000-0005-0000-0000-00006A340000}"/>
    <cellStyle name="Currency 5 2 3 5 6 2 2 2" xfId="14817" xr:uid="{00000000-0005-0000-0000-00006B340000}"/>
    <cellStyle name="Currency 5 2 3 5 6 2 3" xfId="14818" xr:uid="{00000000-0005-0000-0000-00006C340000}"/>
    <cellStyle name="Currency 5 2 3 5 6 3" xfId="14819" xr:uid="{00000000-0005-0000-0000-00006D340000}"/>
    <cellStyle name="Currency 5 2 3 5 6 3 2" xfId="14820" xr:uid="{00000000-0005-0000-0000-00006E340000}"/>
    <cellStyle name="Currency 5 2 3 5 6 4" xfId="14821" xr:uid="{00000000-0005-0000-0000-00006F340000}"/>
    <cellStyle name="Currency 5 2 3 5 7" xfId="14822" xr:uid="{00000000-0005-0000-0000-000070340000}"/>
    <cellStyle name="Currency 5 2 3 5 7 2" xfId="14823" xr:uid="{00000000-0005-0000-0000-000071340000}"/>
    <cellStyle name="Currency 5 2 3 5 7 2 2" xfId="14824" xr:uid="{00000000-0005-0000-0000-000072340000}"/>
    <cellStyle name="Currency 5 2 3 5 7 2 2 2" xfId="14825" xr:uid="{00000000-0005-0000-0000-000073340000}"/>
    <cellStyle name="Currency 5 2 3 5 7 2 3" xfId="14826" xr:uid="{00000000-0005-0000-0000-000074340000}"/>
    <cellStyle name="Currency 5 2 3 5 7 3" xfId="14827" xr:uid="{00000000-0005-0000-0000-000075340000}"/>
    <cellStyle name="Currency 5 2 3 5 7 3 2" xfId="14828" xr:uid="{00000000-0005-0000-0000-000076340000}"/>
    <cellStyle name="Currency 5 2 3 5 7 4" xfId="14829" xr:uid="{00000000-0005-0000-0000-000077340000}"/>
    <cellStyle name="Currency 5 2 3 5 8" xfId="14830" xr:uid="{00000000-0005-0000-0000-000078340000}"/>
    <cellStyle name="Currency 5 2 3 5 8 2" xfId="14831" xr:uid="{00000000-0005-0000-0000-000079340000}"/>
    <cellStyle name="Currency 5 2 3 5 8 2 2" xfId="14832" xr:uid="{00000000-0005-0000-0000-00007A340000}"/>
    <cellStyle name="Currency 5 2 3 5 8 2 2 2" xfId="14833" xr:uid="{00000000-0005-0000-0000-00007B340000}"/>
    <cellStyle name="Currency 5 2 3 5 8 2 3" xfId="14834" xr:uid="{00000000-0005-0000-0000-00007C340000}"/>
    <cellStyle name="Currency 5 2 3 5 8 3" xfId="14835" xr:uid="{00000000-0005-0000-0000-00007D340000}"/>
    <cellStyle name="Currency 5 2 3 5 8 3 2" xfId="14836" xr:uid="{00000000-0005-0000-0000-00007E340000}"/>
    <cellStyle name="Currency 5 2 3 5 8 4" xfId="14837" xr:uid="{00000000-0005-0000-0000-00007F340000}"/>
    <cellStyle name="Currency 5 2 3 5 9" xfId="14838" xr:uid="{00000000-0005-0000-0000-000080340000}"/>
    <cellStyle name="Currency 5 2 3 5 9 2" xfId="14839" xr:uid="{00000000-0005-0000-0000-000081340000}"/>
    <cellStyle name="Currency 5 2 3 5 9 2 2" xfId="14840" xr:uid="{00000000-0005-0000-0000-000082340000}"/>
    <cellStyle name="Currency 5 2 3 5 9 3" xfId="14841" xr:uid="{00000000-0005-0000-0000-000083340000}"/>
    <cellStyle name="Currency 5 2 3 6" xfId="338" xr:uid="{00000000-0005-0000-0000-000084340000}"/>
    <cellStyle name="Currency 5 2 3 7" xfId="882" xr:uid="{00000000-0005-0000-0000-000085340000}"/>
    <cellStyle name="Currency 5 2 3 7 10" xfId="14843" xr:uid="{00000000-0005-0000-0000-000086340000}"/>
    <cellStyle name="Currency 5 2 3 7 11" xfId="14842" xr:uid="{00000000-0005-0000-0000-000087340000}"/>
    <cellStyle name="Currency 5 2 3 7 2" xfId="1623" xr:uid="{00000000-0005-0000-0000-000088340000}"/>
    <cellStyle name="Currency 5 2 3 7 2 2" xfId="14845" xr:uid="{00000000-0005-0000-0000-000089340000}"/>
    <cellStyle name="Currency 5 2 3 7 2 2 2" xfId="14846" xr:uid="{00000000-0005-0000-0000-00008A340000}"/>
    <cellStyle name="Currency 5 2 3 7 2 2 2 2" xfId="14847" xr:uid="{00000000-0005-0000-0000-00008B340000}"/>
    <cellStyle name="Currency 5 2 3 7 2 2 2 2 2" xfId="14848" xr:uid="{00000000-0005-0000-0000-00008C340000}"/>
    <cellStyle name="Currency 5 2 3 7 2 2 2 3" xfId="14849" xr:uid="{00000000-0005-0000-0000-00008D340000}"/>
    <cellStyle name="Currency 5 2 3 7 2 2 3" xfId="14850" xr:uid="{00000000-0005-0000-0000-00008E340000}"/>
    <cellStyle name="Currency 5 2 3 7 2 2 3 2" xfId="14851" xr:uid="{00000000-0005-0000-0000-00008F340000}"/>
    <cellStyle name="Currency 5 2 3 7 2 2 4" xfId="14852" xr:uid="{00000000-0005-0000-0000-000090340000}"/>
    <cellStyle name="Currency 5 2 3 7 2 3" xfId="14853" xr:uid="{00000000-0005-0000-0000-000091340000}"/>
    <cellStyle name="Currency 5 2 3 7 2 3 2" xfId="14854" xr:uid="{00000000-0005-0000-0000-000092340000}"/>
    <cellStyle name="Currency 5 2 3 7 2 3 2 2" xfId="14855" xr:uid="{00000000-0005-0000-0000-000093340000}"/>
    <cellStyle name="Currency 5 2 3 7 2 3 2 2 2" xfId="14856" xr:uid="{00000000-0005-0000-0000-000094340000}"/>
    <cellStyle name="Currency 5 2 3 7 2 3 2 3" xfId="14857" xr:uid="{00000000-0005-0000-0000-000095340000}"/>
    <cellStyle name="Currency 5 2 3 7 2 3 3" xfId="14858" xr:uid="{00000000-0005-0000-0000-000096340000}"/>
    <cellStyle name="Currency 5 2 3 7 2 3 3 2" xfId="14859" xr:uid="{00000000-0005-0000-0000-000097340000}"/>
    <cellStyle name="Currency 5 2 3 7 2 3 4" xfId="14860" xr:uid="{00000000-0005-0000-0000-000098340000}"/>
    <cellStyle name="Currency 5 2 3 7 2 4" xfId="14861" xr:uid="{00000000-0005-0000-0000-000099340000}"/>
    <cellStyle name="Currency 5 2 3 7 2 4 2" xfId="14862" xr:uid="{00000000-0005-0000-0000-00009A340000}"/>
    <cellStyle name="Currency 5 2 3 7 2 4 2 2" xfId="14863" xr:uid="{00000000-0005-0000-0000-00009B340000}"/>
    <cellStyle name="Currency 5 2 3 7 2 4 3" xfId="14864" xr:uid="{00000000-0005-0000-0000-00009C340000}"/>
    <cellStyle name="Currency 5 2 3 7 2 5" xfId="14865" xr:uid="{00000000-0005-0000-0000-00009D340000}"/>
    <cellStyle name="Currency 5 2 3 7 2 5 2" xfId="14866" xr:uid="{00000000-0005-0000-0000-00009E340000}"/>
    <cellStyle name="Currency 5 2 3 7 2 6" xfId="14867" xr:uid="{00000000-0005-0000-0000-00009F340000}"/>
    <cellStyle name="Currency 5 2 3 7 2 7" xfId="14844" xr:uid="{00000000-0005-0000-0000-0000A0340000}"/>
    <cellStyle name="Currency 5 2 3 7 3" xfId="14868" xr:uid="{00000000-0005-0000-0000-0000A1340000}"/>
    <cellStyle name="Currency 5 2 3 7 3 2" xfId="14869" xr:uid="{00000000-0005-0000-0000-0000A2340000}"/>
    <cellStyle name="Currency 5 2 3 7 3 2 2" xfId="14870" xr:uid="{00000000-0005-0000-0000-0000A3340000}"/>
    <cellStyle name="Currency 5 2 3 7 3 2 2 2" xfId="14871" xr:uid="{00000000-0005-0000-0000-0000A4340000}"/>
    <cellStyle name="Currency 5 2 3 7 3 2 2 2 2" xfId="14872" xr:uid="{00000000-0005-0000-0000-0000A5340000}"/>
    <cellStyle name="Currency 5 2 3 7 3 2 2 3" xfId="14873" xr:uid="{00000000-0005-0000-0000-0000A6340000}"/>
    <cellStyle name="Currency 5 2 3 7 3 2 3" xfId="14874" xr:uid="{00000000-0005-0000-0000-0000A7340000}"/>
    <cellStyle name="Currency 5 2 3 7 3 2 3 2" xfId="14875" xr:uid="{00000000-0005-0000-0000-0000A8340000}"/>
    <cellStyle name="Currency 5 2 3 7 3 2 4" xfId="14876" xr:uid="{00000000-0005-0000-0000-0000A9340000}"/>
    <cellStyle name="Currency 5 2 3 7 3 3" xfId="14877" xr:uid="{00000000-0005-0000-0000-0000AA340000}"/>
    <cellStyle name="Currency 5 2 3 7 3 3 2" xfId="14878" xr:uid="{00000000-0005-0000-0000-0000AB340000}"/>
    <cellStyle name="Currency 5 2 3 7 3 3 2 2" xfId="14879" xr:uid="{00000000-0005-0000-0000-0000AC340000}"/>
    <cellStyle name="Currency 5 2 3 7 3 3 3" xfId="14880" xr:uid="{00000000-0005-0000-0000-0000AD340000}"/>
    <cellStyle name="Currency 5 2 3 7 3 4" xfId="14881" xr:uid="{00000000-0005-0000-0000-0000AE340000}"/>
    <cellStyle name="Currency 5 2 3 7 3 4 2" xfId="14882" xr:uid="{00000000-0005-0000-0000-0000AF340000}"/>
    <cellStyle name="Currency 5 2 3 7 3 5" xfId="14883" xr:uid="{00000000-0005-0000-0000-0000B0340000}"/>
    <cellStyle name="Currency 5 2 3 7 4" xfId="14884" xr:uid="{00000000-0005-0000-0000-0000B1340000}"/>
    <cellStyle name="Currency 5 2 3 7 4 2" xfId="14885" xr:uid="{00000000-0005-0000-0000-0000B2340000}"/>
    <cellStyle name="Currency 5 2 3 7 4 2 2" xfId="14886" xr:uid="{00000000-0005-0000-0000-0000B3340000}"/>
    <cellStyle name="Currency 5 2 3 7 4 2 2 2" xfId="14887" xr:uid="{00000000-0005-0000-0000-0000B4340000}"/>
    <cellStyle name="Currency 5 2 3 7 4 2 2 2 2" xfId="14888" xr:uid="{00000000-0005-0000-0000-0000B5340000}"/>
    <cellStyle name="Currency 5 2 3 7 4 2 2 3" xfId="14889" xr:uid="{00000000-0005-0000-0000-0000B6340000}"/>
    <cellStyle name="Currency 5 2 3 7 4 2 3" xfId="14890" xr:uid="{00000000-0005-0000-0000-0000B7340000}"/>
    <cellStyle name="Currency 5 2 3 7 4 2 3 2" xfId="14891" xr:uid="{00000000-0005-0000-0000-0000B8340000}"/>
    <cellStyle name="Currency 5 2 3 7 4 2 4" xfId="14892" xr:uid="{00000000-0005-0000-0000-0000B9340000}"/>
    <cellStyle name="Currency 5 2 3 7 4 3" xfId="14893" xr:uid="{00000000-0005-0000-0000-0000BA340000}"/>
    <cellStyle name="Currency 5 2 3 7 4 3 2" xfId="14894" xr:uid="{00000000-0005-0000-0000-0000BB340000}"/>
    <cellStyle name="Currency 5 2 3 7 4 3 2 2" xfId="14895" xr:uid="{00000000-0005-0000-0000-0000BC340000}"/>
    <cellStyle name="Currency 5 2 3 7 4 3 3" xfId="14896" xr:uid="{00000000-0005-0000-0000-0000BD340000}"/>
    <cellStyle name="Currency 5 2 3 7 4 4" xfId="14897" xr:uid="{00000000-0005-0000-0000-0000BE340000}"/>
    <cellStyle name="Currency 5 2 3 7 4 4 2" xfId="14898" xr:uid="{00000000-0005-0000-0000-0000BF340000}"/>
    <cellStyle name="Currency 5 2 3 7 4 5" xfId="14899" xr:uid="{00000000-0005-0000-0000-0000C0340000}"/>
    <cellStyle name="Currency 5 2 3 7 5" xfId="14900" xr:uid="{00000000-0005-0000-0000-0000C1340000}"/>
    <cellStyle name="Currency 5 2 3 7 5 2" xfId="14901" xr:uid="{00000000-0005-0000-0000-0000C2340000}"/>
    <cellStyle name="Currency 5 2 3 7 5 2 2" xfId="14902" xr:uid="{00000000-0005-0000-0000-0000C3340000}"/>
    <cellStyle name="Currency 5 2 3 7 5 2 2 2" xfId="14903" xr:uid="{00000000-0005-0000-0000-0000C4340000}"/>
    <cellStyle name="Currency 5 2 3 7 5 2 3" xfId="14904" xr:uid="{00000000-0005-0000-0000-0000C5340000}"/>
    <cellStyle name="Currency 5 2 3 7 5 3" xfId="14905" xr:uid="{00000000-0005-0000-0000-0000C6340000}"/>
    <cellStyle name="Currency 5 2 3 7 5 3 2" xfId="14906" xr:uid="{00000000-0005-0000-0000-0000C7340000}"/>
    <cellStyle name="Currency 5 2 3 7 5 4" xfId="14907" xr:uid="{00000000-0005-0000-0000-0000C8340000}"/>
    <cellStyle name="Currency 5 2 3 7 6" xfId="14908" xr:uid="{00000000-0005-0000-0000-0000C9340000}"/>
    <cellStyle name="Currency 5 2 3 7 6 2" xfId="14909" xr:uid="{00000000-0005-0000-0000-0000CA340000}"/>
    <cellStyle name="Currency 5 2 3 7 6 2 2" xfId="14910" xr:uid="{00000000-0005-0000-0000-0000CB340000}"/>
    <cellStyle name="Currency 5 2 3 7 6 2 2 2" xfId="14911" xr:uid="{00000000-0005-0000-0000-0000CC340000}"/>
    <cellStyle name="Currency 5 2 3 7 6 2 3" xfId="14912" xr:uid="{00000000-0005-0000-0000-0000CD340000}"/>
    <cellStyle name="Currency 5 2 3 7 6 3" xfId="14913" xr:uid="{00000000-0005-0000-0000-0000CE340000}"/>
    <cellStyle name="Currency 5 2 3 7 6 3 2" xfId="14914" xr:uid="{00000000-0005-0000-0000-0000CF340000}"/>
    <cellStyle name="Currency 5 2 3 7 6 4" xfId="14915" xr:uid="{00000000-0005-0000-0000-0000D0340000}"/>
    <cellStyle name="Currency 5 2 3 7 7" xfId="14916" xr:uid="{00000000-0005-0000-0000-0000D1340000}"/>
    <cellStyle name="Currency 5 2 3 7 7 2" xfId="14917" xr:uid="{00000000-0005-0000-0000-0000D2340000}"/>
    <cellStyle name="Currency 5 2 3 7 7 2 2" xfId="14918" xr:uid="{00000000-0005-0000-0000-0000D3340000}"/>
    <cellStyle name="Currency 5 2 3 7 7 2 2 2" xfId="14919" xr:uid="{00000000-0005-0000-0000-0000D4340000}"/>
    <cellStyle name="Currency 5 2 3 7 7 2 3" xfId="14920" xr:uid="{00000000-0005-0000-0000-0000D5340000}"/>
    <cellStyle name="Currency 5 2 3 7 7 3" xfId="14921" xr:uid="{00000000-0005-0000-0000-0000D6340000}"/>
    <cellStyle name="Currency 5 2 3 7 7 3 2" xfId="14922" xr:uid="{00000000-0005-0000-0000-0000D7340000}"/>
    <cellStyle name="Currency 5 2 3 7 7 4" xfId="14923" xr:uid="{00000000-0005-0000-0000-0000D8340000}"/>
    <cellStyle name="Currency 5 2 3 7 8" xfId="14924" xr:uid="{00000000-0005-0000-0000-0000D9340000}"/>
    <cellStyle name="Currency 5 2 3 7 8 2" xfId="14925" xr:uid="{00000000-0005-0000-0000-0000DA340000}"/>
    <cellStyle name="Currency 5 2 3 7 8 2 2" xfId="14926" xr:uid="{00000000-0005-0000-0000-0000DB340000}"/>
    <cellStyle name="Currency 5 2 3 7 8 3" xfId="14927" xr:uid="{00000000-0005-0000-0000-0000DC340000}"/>
    <cellStyle name="Currency 5 2 3 7 9" xfId="14928" xr:uid="{00000000-0005-0000-0000-0000DD340000}"/>
    <cellStyle name="Currency 5 2 3 7 9 2" xfId="14929" xr:uid="{00000000-0005-0000-0000-0000DE340000}"/>
    <cellStyle name="Currency 5 2 3 8" xfId="1298" xr:uid="{00000000-0005-0000-0000-0000DF340000}"/>
    <cellStyle name="Currency 5 2 3 8 2" xfId="14931" xr:uid="{00000000-0005-0000-0000-0000E0340000}"/>
    <cellStyle name="Currency 5 2 3 8 2 2" xfId="14932" xr:uid="{00000000-0005-0000-0000-0000E1340000}"/>
    <cellStyle name="Currency 5 2 3 8 2 2 2" xfId="14933" xr:uid="{00000000-0005-0000-0000-0000E2340000}"/>
    <cellStyle name="Currency 5 2 3 8 2 2 2 2" xfId="14934" xr:uid="{00000000-0005-0000-0000-0000E3340000}"/>
    <cellStyle name="Currency 5 2 3 8 2 2 3" xfId="14935" xr:uid="{00000000-0005-0000-0000-0000E4340000}"/>
    <cellStyle name="Currency 5 2 3 8 2 3" xfId="14936" xr:uid="{00000000-0005-0000-0000-0000E5340000}"/>
    <cellStyle name="Currency 5 2 3 8 2 3 2" xfId="14937" xr:uid="{00000000-0005-0000-0000-0000E6340000}"/>
    <cellStyle name="Currency 5 2 3 8 2 4" xfId="14938" xr:uid="{00000000-0005-0000-0000-0000E7340000}"/>
    <cellStyle name="Currency 5 2 3 8 3" xfId="14939" xr:uid="{00000000-0005-0000-0000-0000E8340000}"/>
    <cellStyle name="Currency 5 2 3 8 3 2" xfId="14940" xr:uid="{00000000-0005-0000-0000-0000E9340000}"/>
    <cellStyle name="Currency 5 2 3 8 3 2 2" xfId="14941" xr:uid="{00000000-0005-0000-0000-0000EA340000}"/>
    <cellStyle name="Currency 5 2 3 8 3 2 2 2" xfId="14942" xr:uid="{00000000-0005-0000-0000-0000EB340000}"/>
    <cellStyle name="Currency 5 2 3 8 3 2 3" xfId="14943" xr:uid="{00000000-0005-0000-0000-0000EC340000}"/>
    <cellStyle name="Currency 5 2 3 8 3 3" xfId="14944" xr:uid="{00000000-0005-0000-0000-0000ED340000}"/>
    <cellStyle name="Currency 5 2 3 8 3 3 2" xfId="14945" xr:uid="{00000000-0005-0000-0000-0000EE340000}"/>
    <cellStyle name="Currency 5 2 3 8 3 4" xfId="14946" xr:uid="{00000000-0005-0000-0000-0000EF340000}"/>
    <cellStyle name="Currency 5 2 3 8 4" xfId="14947" xr:uid="{00000000-0005-0000-0000-0000F0340000}"/>
    <cellStyle name="Currency 5 2 3 8 4 2" xfId="14948" xr:uid="{00000000-0005-0000-0000-0000F1340000}"/>
    <cellStyle name="Currency 5 2 3 8 4 2 2" xfId="14949" xr:uid="{00000000-0005-0000-0000-0000F2340000}"/>
    <cellStyle name="Currency 5 2 3 8 4 3" xfId="14950" xr:uid="{00000000-0005-0000-0000-0000F3340000}"/>
    <cellStyle name="Currency 5 2 3 8 5" xfId="14951" xr:uid="{00000000-0005-0000-0000-0000F4340000}"/>
    <cellStyle name="Currency 5 2 3 8 5 2" xfId="14952" xr:uid="{00000000-0005-0000-0000-0000F5340000}"/>
    <cellStyle name="Currency 5 2 3 8 6" xfId="14953" xr:uid="{00000000-0005-0000-0000-0000F6340000}"/>
    <cellStyle name="Currency 5 2 3 8 7" xfId="14930" xr:uid="{00000000-0005-0000-0000-0000F7340000}"/>
    <cellStyle name="Currency 5 2 3 9" xfId="14954" xr:uid="{00000000-0005-0000-0000-0000F8340000}"/>
    <cellStyle name="Currency 5 2 3 9 2" xfId="14955" xr:uid="{00000000-0005-0000-0000-0000F9340000}"/>
    <cellStyle name="Currency 5 2 3 9 2 2" xfId="14956" xr:uid="{00000000-0005-0000-0000-0000FA340000}"/>
    <cellStyle name="Currency 5 2 3 9 2 2 2" xfId="14957" xr:uid="{00000000-0005-0000-0000-0000FB340000}"/>
    <cellStyle name="Currency 5 2 3 9 2 2 2 2" xfId="14958" xr:uid="{00000000-0005-0000-0000-0000FC340000}"/>
    <cellStyle name="Currency 5 2 3 9 2 2 3" xfId="14959" xr:uid="{00000000-0005-0000-0000-0000FD340000}"/>
    <cellStyle name="Currency 5 2 3 9 2 3" xfId="14960" xr:uid="{00000000-0005-0000-0000-0000FE340000}"/>
    <cellStyle name="Currency 5 2 3 9 2 3 2" xfId="14961" xr:uid="{00000000-0005-0000-0000-0000FF340000}"/>
    <cellStyle name="Currency 5 2 3 9 2 4" xfId="14962" xr:uid="{00000000-0005-0000-0000-000000350000}"/>
    <cellStyle name="Currency 5 2 3 9 3" xfId="14963" xr:uid="{00000000-0005-0000-0000-000001350000}"/>
    <cellStyle name="Currency 5 2 3 9 3 2" xfId="14964" xr:uid="{00000000-0005-0000-0000-000002350000}"/>
    <cellStyle name="Currency 5 2 3 9 3 2 2" xfId="14965" xr:uid="{00000000-0005-0000-0000-000003350000}"/>
    <cellStyle name="Currency 5 2 3 9 3 3" xfId="14966" xr:uid="{00000000-0005-0000-0000-000004350000}"/>
    <cellStyle name="Currency 5 2 3 9 4" xfId="14967" xr:uid="{00000000-0005-0000-0000-000005350000}"/>
    <cellStyle name="Currency 5 2 3 9 4 2" xfId="14968" xr:uid="{00000000-0005-0000-0000-000006350000}"/>
    <cellStyle name="Currency 5 2 3 9 5" xfId="14969" xr:uid="{00000000-0005-0000-0000-000007350000}"/>
    <cellStyle name="Currency 5 2 4" xfId="339" xr:uid="{00000000-0005-0000-0000-000008350000}"/>
    <cellStyle name="Currency 5 2 4 10" xfId="14971" xr:uid="{00000000-0005-0000-0000-000009350000}"/>
    <cellStyle name="Currency 5 2 4 10 2" xfId="14972" xr:uid="{00000000-0005-0000-0000-00000A350000}"/>
    <cellStyle name="Currency 5 2 4 10 2 2" xfId="14973" xr:uid="{00000000-0005-0000-0000-00000B350000}"/>
    <cellStyle name="Currency 5 2 4 10 2 2 2" xfId="14974" xr:uid="{00000000-0005-0000-0000-00000C350000}"/>
    <cellStyle name="Currency 5 2 4 10 2 3" xfId="14975" xr:uid="{00000000-0005-0000-0000-00000D350000}"/>
    <cellStyle name="Currency 5 2 4 10 3" xfId="14976" xr:uid="{00000000-0005-0000-0000-00000E350000}"/>
    <cellStyle name="Currency 5 2 4 10 3 2" xfId="14977" xr:uid="{00000000-0005-0000-0000-00000F350000}"/>
    <cellStyle name="Currency 5 2 4 10 4" xfId="14978" xr:uid="{00000000-0005-0000-0000-000010350000}"/>
    <cellStyle name="Currency 5 2 4 11" xfId="14979" xr:uid="{00000000-0005-0000-0000-000011350000}"/>
    <cellStyle name="Currency 5 2 4 11 2" xfId="14980" xr:uid="{00000000-0005-0000-0000-000012350000}"/>
    <cellStyle name="Currency 5 2 4 11 2 2" xfId="14981" xr:uid="{00000000-0005-0000-0000-000013350000}"/>
    <cellStyle name="Currency 5 2 4 11 2 2 2" xfId="14982" xr:uid="{00000000-0005-0000-0000-000014350000}"/>
    <cellStyle name="Currency 5 2 4 11 2 3" xfId="14983" xr:uid="{00000000-0005-0000-0000-000015350000}"/>
    <cellStyle name="Currency 5 2 4 11 3" xfId="14984" xr:uid="{00000000-0005-0000-0000-000016350000}"/>
    <cellStyle name="Currency 5 2 4 11 3 2" xfId="14985" xr:uid="{00000000-0005-0000-0000-000017350000}"/>
    <cellStyle name="Currency 5 2 4 11 4" xfId="14986" xr:uid="{00000000-0005-0000-0000-000018350000}"/>
    <cellStyle name="Currency 5 2 4 12" xfId="14987" xr:uid="{00000000-0005-0000-0000-000019350000}"/>
    <cellStyle name="Currency 5 2 4 12 2" xfId="14988" xr:uid="{00000000-0005-0000-0000-00001A350000}"/>
    <cellStyle name="Currency 5 2 4 12 2 2" xfId="14989" xr:uid="{00000000-0005-0000-0000-00001B350000}"/>
    <cellStyle name="Currency 5 2 4 12 2 2 2" xfId="14990" xr:uid="{00000000-0005-0000-0000-00001C350000}"/>
    <cellStyle name="Currency 5 2 4 12 2 3" xfId="14991" xr:uid="{00000000-0005-0000-0000-00001D350000}"/>
    <cellStyle name="Currency 5 2 4 12 3" xfId="14992" xr:uid="{00000000-0005-0000-0000-00001E350000}"/>
    <cellStyle name="Currency 5 2 4 12 3 2" xfId="14993" xr:uid="{00000000-0005-0000-0000-00001F350000}"/>
    <cellStyle name="Currency 5 2 4 12 4" xfId="14994" xr:uid="{00000000-0005-0000-0000-000020350000}"/>
    <cellStyle name="Currency 5 2 4 13" xfId="14995" xr:uid="{00000000-0005-0000-0000-000021350000}"/>
    <cellStyle name="Currency 5 2 4 13 2" xfId="14996" xr:uid="{00000000-0005-0000-0000-000022350000}"/>
    <cellStyle name="Currency 5 2 4 13 2 2" xfId="14997" xr:uid="{00000000-0005-0000-0000-000023350000}"/>
    <cellStyle name="Currency 5 2 4 13 3" xfId="14998" xr:uid="{00000000-0005-0000-0000-000024350000}"/>
    <cellStyle name="Currency 5 2 4 14" xfId="14999" xr:uid="{00000000-0005-0000-0000-000025350000}"/>
    <cellStyle name="Currency 5 2 4 14 2" xfId="15000" xr:uid="{00000000-0005-0000-0000-000026350000}"/>
    <cellStyle name="Currency 5 2 4 14 2 2" xfId="15001" xr:uid="{00000000-0005-0000-0000-000027350000}"/>
    <cellStyle name="Currency 5 2 4 14 3" xfId="15002" xr:uid="{00000000-0005-0000-0000-000028350000}"/>
    <cellStyle name="Currency 5 2 4 15" xfId="15003" xr:uid="{00000000-0005-0000-0000-000029350000}"/>
    <cellStyle name="Currency 5 2 4 15 2" xfId="15004" xr:uid="{00000000-0005-0000-0000-00002A350000}"/>
    <cellStyle name="Currency 5 2 4 15 2 2" xfId="15005" xr:uid="{00000000-0005-0000-0000-00002B350000}"/>
    <cellStyle name="Currency 5 2 4 15 3" xfId="15006" xr:uid="{00000000-0005-0000-0000-00002C350000}"/>
    <cellStyle name="Currency 5 2 4 16" xfId="15007" xr:uid="{00000000-0005-0000-0000-00002D350000}"/>
    <cellStyle name="Currency 5 2 4 16 2" xfId="15008" xr:uid="{00000000-0005-0000-0000-00002E350000}"/>
    <cellStyle name="Currency 5 2 4 17" xfId="15009" xr:uid="{00000000-0005-0000-0000-00002F350000}"/>
    <cellStyle name="Currency 5 2 4 18" xfId="15010" xr:uid="{00000000-0005-0000-0000-000030350000}"/>
    <cellStyle name="Currency 5 2 4 19" xfId="14970" xr:uid="{00000000-0005-0000-0000-000031350000}"/>
    <cellStyle name="Currency 5 2 4 2" xfId="340" xr:uid="{00000000-0005-0000-0000-000032350000}"/>
    <cellStyle name="Currency 5 2 4 2 10" xfId="15012" xr:uid="{00000000-0005-0000-0000-000033350000}"/>
    <cellStyle name="Currency 5 2 4 2 10 2" xfId="15013" xr:uid="{00000000-0005-0000-0000-000034350000}"/>
    <cellStyle name="Currency 5 2 4 2 10 2 2" xfId="15014" xr:uid="{00000000-0005-0000-0000-000035350000}"/>
    <cellStyle name="Currency 5 2 4 2 10 2 2 2" xfId="15015" xr:uid="{00000000-0005-0000-0000-000036350000}"/>
    <cellStyle name="Currency 5 2 4 2 10 2 3" xfId="15016" xr:uid="{00000000-0005-0000-0000-000037350000}"/>
    <cellStyle name="Currency 5 2 4 2 10 3" xfId="15017" xr:uid="{00000000-0005-0000-0000-000038350000}"/>
    <cellStyle name="Currency 5 2 4 2 10 3 2" xfId="15018" xr:uid="{00000000-0005-0000-0000-000039350000}"/>
    <cellStyle name="Currency 5 2 4 2 10 4" xfId="15019" xr:uid="{00000000-0005-0000-0000-00003A350000}"/>
    <cellStyle name="Currency 5 2 4 2 11" xfId="15020" xr:uid="{00000000-0005-0000-0000-00003B350000}"/>
    <cellStyle name="Currency 5 2 4 2 11 2" xfId="15021" xr:uid="{00000000-0005-0000-0000-00003C350000}"/>
    <cellStyle name="Currency 5 2 4 2 11 2 2" xfId="15022" xr:uid="{00000000-0005-0000-0000-00003D350000}"/>
    <cellStyle name="Currency 5 2 4 2 11 2 2 2" xfId="15023" xr:uid="{00000000-0005-0000-0000-00003E350000}"/>
    <cellStyle name="Currency 5 2 4 2 11 2 3" xfId="15024" xr:uid="{00000000-0005-0000-0000-00003F350000}"/>
    <cellStyle name="Currency 5 2 4 2 11 3" xfId="15025" xr:uid="{00000000-0005-0000-0000-000040350000}"/>
    <cellStyle name="Currency 5 2 4 2 11 3 2" xfId="15026" xr:uid="{00000000-0005-0000-0000-000041350000}"/>
    <cellStyle name="Currency 5 2 4 2 11 4" xfId="15027" xr:uid="{00000000-0005-0000-0000-000042350000}"/>
    <cellStyle name="Currency 5 2 4 2 12" xfId="15028" xr:uid="{00000000-0005-0000-0000-000043350000}"/>
    <cellStyle name="Currency 5 2 4 2 12 2" xfId="15029" xr:uid="{00000000-0005-0000-0000-000044350000}"/>
    <cellStyle name="Currency 5 2 4 2 12 2 2" xfId="15030" xr:uid="{00000000-0005-0000-0000-000045350000}"/>
    <cellStyle name="Currency 5 2 4 2 12 3" xfId="15031" xr:uid="{00000000-0005-0000-0000-000046350000}"/>
    <cellStyle name="Currency 5 2 4 2 13" xfId="15032" xr:uid="{00000000-0005-0000-0000-000047350000}"/>
    <cellStyle name="Currency 5 2 4 2 13 2" xfId="15033" xr:uid="{00000000-0005-0000-0000-000048350000}"/>
    <cellStyle name="Currency 5 2 4 2 13 2 2" xfId="15034" xr:uid="{00000000-0005-0000-0000-000049350000}"/>
    <cellStyle name="Currency 5 2 4 2 13 3" xfId="15035" xr:uid="{00000000-0005-0000-0000-00004A350000}"/>
    <cellStyle name="Currency 5 2 4 2 14" xfId="15036" xr:uid="{00000000-0005-0000-0000-00004B350000}"/>
    <cellStyle name="Currency 5 2 4 2 14 2" xfId="15037" xr:uid="{00000000-0005-0000-0000-00004C350000}"/>
    <cellStyle name="Currency 5 2 4 2 14 2 2" xfId="15038" xr:uid="{00000000-0005-0000-0000-00004D350000}"/>
    <cellStyle name="Currency 5 2 4 2 14 3" xfId="15039" xr:uid="{00000000-0005-0000-0000-00004E350000}"/>
    <cellStyle name="Currency 5 2 4 2 15" xfId="15040" xr:uid="{00000000-0005-0000-0000-00004F350000}"/>
    <cellStyle name="Currency 5 2 4 2 15 2" xfId="15041" xr:uid="{00000000-0005-0000-0000-000050350000}"/>
    <cellStyle name="Currency 5 2 4 2 16" xfId="15042" xr:uid="{00000000-0005-0000-0000-000051350000}"/>
    <cellStyle name="Currency 5 2 4 2 17" xfId="15043" xr:uid="{00000000-0005-0000-0000-000052350000}"/>
    <cellStyle name="Currency 5 2 4 2 18" xfId="15011" xr:uid="{00000000-0005-0000-0000-000053350000}"/>
    <cellStyle name="Currency 5 2 4 2 2" xfId="341" xr:uid="{00000000-0005-0000-0000-000054350000}"/>
    <cellStyle name="Currency 5 2 4 2 2 10" xfId="15045" xr:uid="{00000000-0005-0000-0000-000055350000}"/>
    <cellStyle name="Currency 5 2 4 2 2 10 2" xfId="15046" xr:uid="{00000000-0005-0000-0000-000056350000}"/>
    <cellStyle name="Currency 5 2 4 2 2 10 2 2" xfId="15047" xr:uid="{00000000-0005-0000-0000-000057350000}"/>
    <cellStyle name="Currency 5 2 4 2 2 10 2 2 2" xfId="15048" xr:uid="{00000000-0005-0000-0000-000058350000}"/>
    <cellStyle name="Currency 5 2 4 2 2 10 2 3" xfId="15049" xr:uid="{00000000-0005-0000-0000-000059350000}"/>
    <cellStyle name="Currency 5 2 4 2 2 10 3" xfId="15050" xr:uid="{00000000-0005-0000-0000-00005A350000}"/>
    <cellStyle name="Currency 5 2 4 2 2 10 3 2" xfId="15051" xr:uid="{00000000-0005-0000-0000-00005B350000}"/>
    <cellStyle name="Currency 5 2 4 2 2 10 4" xfId="15052" xr:uid="{00000000-0005-0000-0000-00005C350000}"/>
    <cellStyle name="Currency 5 2 4 2 2 11" xfId="15053" xr:uid="{00000000-0005-0000-0000-00005D350000}"/>
    <cellStyle name="Currency 5 2 4 2 2 11 2" xfId="15054" xr:uid="{00000000-0005-0000-0000-00005E350000}"/>
    <cellStyle name="Currency 5 2 4 2 2 11 2 2" xfId="15055" xr:uid="{00000000-0005-0000-0000-00005F350000}"/>
    <cellStyle name="Currency 5 2 4 2 2 11 3" xfId="15056" xr:uid="{00000000-0005-0000-0000-000060350000}"/>
    <cellStyle name="Currency 5 2 4 2 2 12" xfId="15057" xr:uid="{00000000-0005-0000-0000-000061350000}"/>
    <cellStyle name="Currency 5 2 4 2 2 12 2" xfId="15058" xr:uid="{00000000-0005-0000-0000-000062350000}"/>
    <cellStyle name="Currency 5 2 4 2 2 12 2 2" xfId="15059" xr:uid="{00000000-0005-0000-0000-000063350000}"/>
    <cellStyle name="Currency 5 2 4 2 2 12 3" xfId="15060" xr:uid="{00000000-0005-0000-0000-000064350000}"/>
    <cellStyle name="Currency 5 2 4 2 2 13" xfId="15061" xr:uid="{00000000-0005-0000-0000-000065350000}"/>
    <cellStyle name="Currency 5 2 4 2 2 13 2" xfId="15062" xr:uid="{00000000-0005-0000-0000-000066350000}"/>
    <cellStyle name="Currency 5 2 4 2 2 13 2 2" xfId="15063" xr:uid="{00000000-0005-0000-0000-000067350000}"/>
    <cellStyle name="Currency 5 2 4 2 2 13 3" xfId="15064" xr:uid="{00000000-0005-0000-0000-000068350000}"/>
    <cellStyle name="Currency 5 2 4 2 2 14" xfId="15065" xr:uid="{00000000-0005-0000-0000-000069350000}"/>
    <cellStyle name="Currency 5 2 4 2 2 14 2" xfId="15066" xr:uid="{00000000-0005-0000-0000-00006A350000}"/>
    <cellStyle name="Currency 5 2 4 2 2 15" xfId="15067" xr:uid="{00000000-0005-0000-0000-00006B350000}"/>
    <cellStyle name="Currency 5 2 4 2 2 16" xfId="15068" xr:uid="{00000000-0005-0000-0000-00006C350000}"/>
    <cellStyle name="Currency 5 2 4 2 2 17" xfId="15044" xr:uid="{00000000-0005-0000-0000-00006D350000}"/>
    <cellStyle name="Currency 5 2 4 2 2 2" xfId="342" xr:uid="{00000000-0005-0000-0000-00006E350000}"/>
    <cellStyle name="Currency 5 2 4 2 2 2 10" xfId="15070" xr:uid="{00000000-0005-0000-0000-00006F350000}"/>
    <cellStyle name="Currency 5 2 4 2 2 2 10 2" xfId="15071" xr:uid="{00000000-0005-0000-0000-000070350000}"/>
    <cellStyle name="Currency 5 2 4 2 2 2 10 2 2" xfId="15072" xr:uid="{00000000-0005-0000-0000-000071350000}"/>
    <cellStyle name="Currency 5 2 4 2 2 2 10 3" xfId="15073" xr:uid="{00000000-0005-0000-0000-000072350000}"/>
    <cellStyle name="Currency 5 2 4 2 2 2 11" xfId="15074" xr:uid="{00000000-0005-0000-0000-000073350000}"/>
    <cellStyle name="Currency 5 2 4 2 2 2 11 2" xfId="15075" xr:uid="{00000000-0005-0000-0000-000074350000}"/>
    <cellStyle name="Currency 5 2 4 2 2 2 11 2 2" xfId="15076" xr:uid="{00000000-0005-0000-0000-000075350000}"/>
    <cellStyle name="Currency 5 2 4 2 2 2 11 3" xfId="15077" xr:uid="{00000000-0005-0000-0000-000076350000}"/>
    <cellStyle name="Currency 5 2 4 2 2 2 12" xfId="15078" xr:uid="{00000000-0005-0000-0000-000077350000}"/>
    <cellStyle name="Currency 5 2 4 2 2 2 12 2" xfId="15079" xr:uid="{00000000-0005-0000-0000-000078350000}"/>
    <cellStyle name="Currency 5 2 4 2 2 2 13" xfId="15080" xr:uid="{00000000-0005-0000-0000-000079350000}"/>
    <cellStyle name="Currency 5 2 4 2 2 2 14" xfId="15081" xr:uid="{00000000-0005-0000-0000-00007A350000}"/>
    <cellStyle name="Currency 5 2 4 2 2 2 15" xfId="15069" xr:uid="{00000000-0005-0000-0000-00007B350000}"/>
    <cellStyle name="Currency 5 2 4 2 2 2 2" xfId="901" xr:uid="{00000000-0005-0000-0000-00007C350000}"/>
    <cellStyle name="Currency 5 2 4 2 2 2 2 10" xfId="15083" xr:uid="{00000000-0005-0000-0000-00007D350000}"/>
    <cellStyle name="Currency 5 2 4 2 2 2 2 11" xfId="15082" xr:uid="{00000000-0005-0000-0000-00007E350000}"/>
    <cellStyle name="Currency 5 2 4 2 2 2 2 2" xfId="1642" xr:uid="{00000000-0005-0000-0000-00007F350000}"/>
    <cellStyle name="Currency 5 2 4 2 2 2 2 2 2" xfId="15085" xr:uid="{00000000-0005-0000-0000-000080350000}"/>
    <cellStyle name="Currency 5 2 4 2 2 2 2 2 2 2" xfId="15086" xr:uid="{00000000-0005-0000-0000-000081350000}"/>
    <cellStyle name="Currency 5 2 4 2 2 2 2 2 2 2 2" xfId="15087" xr:uid="{00000000-0005-0000-0000-000082350000}"/>
    <cellStyle name="Currency 5 2 4 2 2 2 2 2 2 2 2 2" xfId="15088" xr:uid="{00000000-0005-0000-0000-000083350000}"/>
    <cellStyle name="Currency 5 2 4 2 2 2 2 2 2 2 3" xfId="15089" xr:uid="{00000000-0005-0000-0000-000084350000}"/>
    <cellStyle name="Currency 5 2 4 2 2 2 2 2 2 3" xfId="15090" xr:uid="{00000000-0005-0000-0000-000085350000}"/>
    <cellStyle name="Currency 5 2 4 2 2 2 2 2 2 3 2" xfId="15091" xr:uid="{00000000-0005-0000-0000-000086350000}"/>
    <cellStyle name="Currency 5 2 4 2 2 2 2 2 2 4" xfId="15092" xr:uid="{00000000-0005-0000-0000-000087350000}"/>
    <cellStyle name="Currency 5 2 4 2 2 2 2 2 3" xfId="15093" xr:uid="{00000000-0005-0000-0000-000088350000}"/>
    <cellStyle name="Currency 5 2 4 2 2 2 2 2 3 2" xfId="15094" xr:uid="{00000000-0005-0000-0000-000089350000}"/>
    <cellStyle name="Currency 5 2 4 2 2 2 2 2 3 2 2" xfId="15095" xr:uid="{00000000-0005-0000-0000-00008A350000}"/>
    <cellStyle name="Currency 5 2 4 2 2 2 2 2 3 2 2 2" xfId="15096" xr:uid="{00000000-0005-0000-0000-00008B350000}"/>
    <cellStyle name="Currency 5 2 4 2 2 2 2 2 3 2 3" xfId="15097" xr:uid="{00000000-0005-0000-0000-00008C350000}"/>
    <cellStyle name="Currency 5 2 4 2 2 2 2 2 3 3" xfId="15098" xr:uid="{00000000-0005-0000-0000-00008D350000}"/>
    <cellStyle name="Currency 5 2 4 2 2 2 2 2 3 3 2" xfId="15099" xr:uid="{00000000-0005-0000-0000-00008E350000}"/>
    <cellStyle name="Currency 5 2 4 2 2 2 2 2 3 4" xfId="15100" xr:uid="{00000000-0005-0000-0000-00008F350000}"/>
    <cellStyle name="Currency 5 2 4 2 2 2 2 2 4" xfId="15101" xr:uid="{00000000-0005-0000-0000-000090350000}"/>
    <cellStyle name="Currency 5 2 4 2 2 2 2 2 4 2" xfId="15102" xr:uid="{00000000-0005-0000-0000-000091350000}"/>
    <cellStyle name="Currency 5 2 4 2 2 2 2 2 4 2 2" xfId="15103" xr:uid="{00000000-0005-0000-0000-000092350000}"/>
    <cellStyle name="Currency 5 2 4 2 2 2 2 2 4 3" xfId="15104" xr:uid="{00000000-0005-0000-0000-000093350000}"/>
    <cellStyle name="Currency 5 2 4 2 2 2 2 2 5" xfId="15105" xr:uid="{00000000-0005-0000-0000-000094350000}"/>
    <cellStyle name="Currency 5 2 4 2 2 2 2 2 5 2" xfId="15106" xr:uid="{00000000-0005-0000-0000-000095350000}"/>
    <cellStyle name="Currency 5 2 4 2 2 2 2 2 6" xfId="15107" xr:uid="{00000000-0005-0000-0000-000096350000}"/>
    <cellStyle name="Currency 5 2 4 2 2 2 2 2 7" xfId="15084" xr:uid="{00000000-0005-0000-0000-000097350000}"/>
    <cellStyle name="Currency 5 2 4 2 2 2 2 3" xfId="15108" xr:uid="{00000000-0005-0000-0000-000098350000}"/>
    <cellStyle name="Currency 5 2 4 2 2 2 2 3 2" xfId="15109" xr:uid="{00000000-0005-0000-0000-000099350000}"/>
    <cellStyle name="Currency 5 2 4 2 2 2 2 3 2 2" xfId="15110" xr:uid="{00000000-0005-0000-0000-00009A350000}"/>
    <cellStyle name="Currency 5 2 4 2 2 2 2 3 2 2 2" xfId="15111" xr:uid="{00000000-0005-0000-0000-00009B350000}"/>
    <cellStyle name="Currency 5 2 4 2 2 2 2 3 2 2 2 2" xfId="15112" xr:uid="{00000000-0005-0000-0000-00009C350000}"/>
    <cellStyle name="Currency 5 2 4 2 2 2 2 3 2 2 3" xfId="15113" xr:uid="{00000000-0005-0000-0000-00009D350000}"/>
    <cellStyle name="Currency 5 2 4 2 2 2 2 3 2 3" xfId="15114" xr:uid="{00000000-0005-0000-0000-00009E350000}"/>
    <cellStyle name="Currency 5 2 4 2 2 2 2 3 2 3 2" xfId="15115" xr:uid="{00000000-0005-0000-0000-00009F350000}"/>
    <cellStyle name="Currency 5 2 4 2 2 2 2 3 2 4" xfId="15116" xr:uid="{00000000-0005-0000-0000-0000A0350000}"/>
    <cellStyle name="Currency 5 2 4 2 2 2 2 3 3" xfId="15117" xr:uid="{00000000-0005-0000-0000-0000A1350000}"/>
    <cellStyle name="Currency 5 2 4 2 2 2 2 3 3 2" xfId="15118" xr:uid="{00000000-0005-0000-0000-0000A2350000}"/>
    <cellStyle name="Currency 5 2 4 2 2 2 2 3 3 2 2" xfId="15119" xr:uid="{00000000-0005-0000-0000-0000A3350000}"/>
    <cellStyle name="Currency 5 2 4 2 2 2 2 3 3 3" xfId="15120" xr:uid="{00000000-0005-0000-0000-0000A4350000}"/>
    <cellStyle name="Currency 5 2 4 2 2 2 2 3 4" xfId="15121" xr:uid="{00000000-0005-0000-0000-0000A5350000}"/>
    <cellStyle name="Currency 5 2 4 2 2 2 2 3 4 2" xfId="15122" xr:uid="{00000000-0005-0000-0000-0000A6350000}"/>
    <cellStyle name="Currency 5 2 4 2 2 2 2 3 5" xfId="15123" xr:uid="{00000000-0005-0000-0000-0000A7350000}"/>
    <cellStyle name="Currency 5 2 4 2 2 2 2 4" xfId="15124" xr:uid="{00000000-0005-0000-0000-0000A8350000}"/>
    <cellStyle name="Currency 5 2 4 2 2 2 2 4 2" xfId="15125" xr:uid="{00000000-0005-0000-0000-0000A9350000}"/>
    <cellStyle name="Currency 5 2 4 2 2 2 2 4 2 2" xfId="15126" xr:uid="{00000000-0005-0000-0000-0000AA350000}"/>
    <cellStyle name="Currency 5 2 4 2 2 2 2 4 2 2 2" xfId="15127" xr:uid="{00000000-0005-0000-0000-0000AB350000}"/>
    <cellStyle name="Currency 5 2 4 2 2 2 2 4 2 2 2 2" xfId="15128" xr:uid="{00000000-0005-0000-0000-0000AC350000}"/>
    <cellStyle name="Currency 5 2 4 2 2 2 2 4 2 2 3" xfId="15129" xr:uid="{00000000-0005-0000-0000-0000AD350000}"/>
    <cellStyle name="Currency 5 2 4 2 2 2 2 4 2 3" xfId="15130" xr:uid="{00000000-0005-0000-0000-0000AE350000}"/>
    <cellStyle name="Currency 5 2 4 2 2 2 2 4 2 3 2" xfId="15131" xr:uid="{00000000-0005-0000-0000-0000AF350000}"/>
    <cellStyle name="Currency 5 2 4 2 2 2 2 4 2 4" xfId="15132" xr:uid="{00000000-0005-0000-0000-0000B0350000}"/>
    <cellStyle name="Currency 5 2 4 2 2 2 2 4 3" xfId="15133" xr:uid="{00000000-0005-0000-0000-0000B1350000}"/>
    <cellStyle name="Currency 5 2 4 2 2 2 2 4 3 2" xfId="15134" xr:uid="{00000000-0005-0000-0000-0000B2350000}"/>
    <cellStyle name="Currency 5 2 4 2 2 2 2 4 3 2 2" xfId="15135" xr:uid="{00000000-0005-0000-0000-0000B3350000}"/>
    <cellStyle name="Currency 5 2 4 2 2 2 2 4 3 3" xfId="15136" xr:uid="{00000000-0005-0000-0000-0000B4350000}"/>
    <cellStyle name="Currency 5 2 4 2 2 2 2 4 4" xfId="15137" xr:uid="{00000000-0005-0000-0000-0000B5350000}"/>
    <cellStyle name="Currency 5 2 4 2 2 2 2 4 4 2" xfId="15138" xr:uid="{00000000-0005-0000-0000-0000B6350000}"/>
    <cellStyle name="Currency 5 2 4 2 2 2 2 4 5" xfId="15139" xr:uid="{00000000-0005-0000-0000-0000B7350000}"/>
    <cellStyle name="Currency 5 2 4 2 2 2 2 5" xfId="15140" xr:uid="{00000000-0005-0000-0000-0000B8350000}"/>
    <cellStyle name="Currency 5 2 4 2 2 2 2 5 2" xfId="15141" xr:uid="{00000000-0005-0000-0000-0000B9350000}"/>
    <cellStyle name="Currency 5 2 4 2 2 2 2 5 2 2" xfId="15142" xr:uid="{00000000-0005-0000-0000-0000BA350000}"/>
    <cellStyle name="Currency 5 2 4 2 2 2 2 5 2 2 2" xfId="15143" xr:uid="{00000000-0005-0000-0000-0000BB350000}"/>
    <cellStyle name="Currency 5 2 4 2 2 2 2 5 2 3" xfId="15144" xr:uid="{00000000-0005-0000-0000-0000BC350000}"/>
    <cellStyle name="Currency 5 2 4 2 2 2 2 5 3" xfId="15145" xr:uid="{00000000-0005-0000-0000-0000BD350000}"/>
    <cellStyle name="Currency 5 2 4 2 2 2 2 5 3 2" xfId="15146" xr:uid="{00000000-0005-0000-0000-0000BE350000}"/>
    <cellStyle name="Currency 5 2 4 2 2 2 2 5 4" xfId="15147" xr:uid="{00000000-0005-0000-0000-0000BF350000}"/>
    <cellStyle name="Currency 5 2 4 2 2 2 2 6" xfId="15148" xr:uid="{00000000-0005-0000-0000-0000C0350000}"/>
    <cellStyle name="Currency 5 2 4 2 2 2 2 6 2" xfId="15149" xr:uid="{00000000-0005-0000-0000-0000C1350000}"/>
    <cellStyle name="Currency 5 2 4 2 2 2 2 6 2 2" xfId="15150" xr:uid="{00000000-0005-0000-0000-0000C2350000}"/>
    <cellStyle name="Currency 5 2 4 2 2 2 2 6 2 2 2" xfId="15151" xr:uid="{00000000-0005-0000-0000-0000C3350000}"/>
    <cellStyle name="Currency 5 2 4 2 2 2 2 6 2 3" xfId="15152" xr:uid="{00000000-0005-0000-0000-0000C4350000}"/>
    <cellStyle name="Currency 5 2 4 2 2 2 2 6 3" xfId="15153" xr:uid="{00000000-0005-0000-0000-0000C5350000}"/>
    <cellStyle name="Currency 5 2 4 2 2 2 2 6 3 2" xfId="15154" xr:uid="{00000000-0005-0000-0000-0000C6350000}"/>
    <cellStyle name="Currency 5 2 4 2 2 2 2 6 4" xfId="15155" xr:uid="{00000000-0005-0000-0000-0000C7350000}"/>
    <cellStyle name="Currency 5 2 4 2 2 2 2 7" xfId="15156" xr:uid="{00000000-0005-0000-0000-0000C8350000}"/>
    <cellStyle name="Currency 5 2 4 2 2 2 2 7 2" xfId="15157" xr:uid="{00000000-0005-0000-0000-0000C9350000}"/>
    <cellStyle name="Currency 5 2 4 2 2 2 2 7 2 2" xfId="15158" xr:uid="{00000000-0005-0000-0000-0000CA350000}"/>
    <cellStyle name="Currency 5 2 4 2 2 2 2 7 2 2 2" xfId="15159" xr:uid="{00000000-0005-0000-0000-0000CB350000}"/>
    <cellStyle name="Currency 5 2 4 2 2 2 2 7 2 3" xfId="15160" xr:uid="{00000000-0005-0000-0000-0000CC350000}"/>
    <cellStyle name="Currency 5 2 4 2 2 2 2 7 3" xfId="15161" xr:uid="{00000000-0005-0000-0000-0000CD350000}"/>
    <cellStyle name="Currency 5 2 4 2 2 2 2 7 3 2" xfId="15162" xr:uid="{00000000-0005-0000-0000-0000CE350000}"/>
    <cellStyle name="Currency 5 2 4 2 2 2 2 7 4" xfId="15163" xr:uid="{00000000-0005-0000-0000-0000CF350000}"/>
    <cellStyle name="Currency 5 2 4 2 2 2 2 8" xfId="15164" xr:uid="{00000000-0005-0000-0000-0000D0350000}"/>
    <cellStyle name="Currency 5 2 4 2 2 2 2 8 2" xfId="15165" xr:uid="{00000000-0005-0000-0000-0000D1350000}"/>
    <cellStyle name="Currency 5 2 4 2 2 2 2 8 2 2" xfId="15166" xr:uid="{00000000-0005-0000-0000-0000D2350000}"/>
    <cellStyle name="Currency 5 2 4 2 2 2 2 8 3" xfId="15167" xr:uid="{00000000-0005-0000-0000-0000D3350000}"/>
    <cellStyle name="Currency 5 2 4 2 2 2 2 9" xfId="15168" xr:uid="{00000000-0005-0000-0000-0000D4350000}"/>
    <cellStyle name="Currency 5 2 4 2 2 2 2 9 2" xfId="15169" xr:uid="{00000000-0005-0000-0000-0000D5350000}"/>
    <cellStyle name="Currency 5 2 4 2 2 2 3" xfId="1317" xr:uid="{00000000-0005-0000-0000-0000D6350000}"/>
    <cellStyle name="Currency 5 2 4 2 2 2 3 2" xfId="15171" xr:uid="{00000000-0005-0000-0000-0000D7350000}"/>
    <cellStyle name="Currency 5 2 4 2 2 2 3 2 2" xfId="15172" xr:uid="{00000000-0005-0000-0000-0000D8350000}"/>
    <cellStyle name="Currency 5 2 4 2 2 2 3 2 2 2" xfId="15173" xr:uid="{00000000-0005-0000-0000-0000D9350000}"/>
    <cellStyle name="Currency 5 2 4 2 2 2 3 2 2 2 2" xfId="15174" xr:uid="{00000000-0005-0000-0000-0000DA350000}"/>
    <cellStyle name="Currency 5 2 4 2 2 2 3 2 2 3" xfId="15175" xr:uid="{00000000-0005-0000-0000-0000DB350000}"/>
    <cellStyle name="Currency 5 2 4 2 2 2 3 2 3" xfId="15176" xr:uid="{00000000-0005-0000-0000-0000DC350000}"/>
    <cellStyle name="Currency 5 2 4 2 2 2 3 2 3 2" xfId="15177" xr:uid="{00000000-0005-0000-0000-0000DD350000}"/>
    <cellStyle name="Currency 5 2 4 2 2 2 3 2 4" xfId="15178" xr:uid="{00000000-0005-0000-0000-0000DE350000}"/>
    <cellStyle name="Currency 5 2 4 2 2 2 3 3" xfId="15179" xr:uid="{00000000-0005-0000-0000-0000DF350000}"/>
    <cellStyle name="Currency 5 2 4 2 2 2 3 3 2" xfId="15180" xr:uid="{00000000-0005-0000-0000-0000E0350000}"/>
    <cellStyle name="Currency 5 2 4 2 2 2 3 3 2 2" xfId="15181" xr:uid="{00000000-0005-0000-0000-0000E1350000}"/>
    <cellStyle name="Currency 5 2 4 2 2 2 3 3 2 2 2" xfId="15182" xr:uid="{00000000-0005-0000-0000-0000E2350000}"/>
    <cellStyle name="Currency 5 2 4 2 2 2 3 3 2 3" xfId="15183" xr:uid="{00000000-0005-0000-0000-0000E3350000}"/>
    <cellStyle name="Currency 5 2 4 2 2 2 3 3 3" xfId="15184" xr:uid="{00000000-0005-0000-0000-0000E4350000}"/>
    <cellStyle name="Currency 5 2 4 2 2 2 3 3 3 2" xfId="15185" xr:uid="{00000000-0005-0000-0000-0000E5350000}"/>
    <cellStyle name="Currency 5 2 4 2 2 2 3 3 4" xfId="15186" xr:uid="{00000000-0005-0000-0000-0000E6350000}"/>
    <cellStyle name="Currency 5 2 4 2 2 2 3 4" xfId="15187" xr:uid="{00000000-0005-0000-0000-0000E7350000}"/>
    <cellStyle name="Currency 5 2 4 2 2 2 3 4 2" xfId="15188" xr:uid="{00000000-0005-0000-0000-0000E8350000}"/>
    <cellStyle name="Currency 5 2 4 2 2 2 3 4 2 2" xfId="15189" xr:uid="{00000000-0005-0000-0000-0000E9350000}"/>
    <cellStyle name="Currency 5 2 4 2 2 2 3 4 3" xfId="15190" xr:uid="{00000000-0005-0000-0000-0000EA350000}"/>
    <cellStyle name="Currency 5 2 4 2 2 2 3 5" xfId="15191" xr:uid="{00000000-0005-0000-0000-0000EB350000}"/>
    <cellStyle name="Currency 5 2 4 2 2 2 3 5 2" xfId="15192" xr:uid="{00000000-0005-0000-0000-0000EC350000}"/>
    <cellStyle name="Currency 5 2 4 2 2 2 3 6" xfId="15193" xr:uid="{00000000-0005-0000-0000-0000ED350000}"/>
    <cellStyle name="Currency 5 2 4 2 2 2 3 7" xfId="15170" xr:uid="{00000000-0005-0000-0000-0000EE350000}"/>
    <cellStyle name="Currency 5 2 4 2 2 2 4" xfId="15194" xr:uid="{00000000-0005-0000-0000-0000EF350000}"/>
    <cellStyle name="Currency 5 2 4 2 2 2 4 2" xfId="15195" xr:uid="{00000000-0005-0000-0000-0000F0350000}"/>
    <cellStyle name="Currency 5 2 4 2 2 2 4 2 2" xfId="15196" xr:uid="{00000000-0005-0000-0000-0000F1350000}"/>
    <cellStyle name="Currency 5 2 4 2 2 2 4 2 2 2" xfId="15197" xr:uid="{00000000-0005-0000-0000-0000F2350000}"/>
    <cellStyle name="Currency 5 2 4 2 2 2 4 2 2 2 2" xfId="15198" xr:uid="{00000000-0005-0000-0000-0000F3350000}"/>
    <cellStyle name="Currency 5 2 4 2 2 2 4 2 2 3" xfId="15199" xr:uid="{00000000-0005-0000-0000-0000F4350000}"/>
    <cellStyle name="Currency 5 2 4 2 2 2 4 2 3" xfId="15200" xr:uid="{00000000-0005-0000-0000-0000F5350000}"/>
    <cellStyle name="Currency 5 2 4 2 2 2 4 2 3 2" xfId="15201" xr:uid="{00000000-0005-0000-0000-0000F6350000}"/>
    <cellStyle name="Currency 5 2 4 2 2 2 4 2 4" xfId="15202" xr:uid="{00000000-0005-0000-0000-0000F7350000}"/>
    <cellStyle name="Currency 5 2 4 2 2 2 4 3" xfId="15203" xr:uid="{00000000-0005-0000-0000-0000F8350000}"/>
    <cellStyle name="Currency 5 2 4 2 2 2 4 3 2" xfId="15204" xr:uid="{00000000-0005-0000-0000-0000F9350000}"/>
    <cellStyle name="Currency 5 2 4 2 2 2 4 3 2 2" xfId="15205" xr:uid="{00000000-0005-0000-0000-0000FA350000}"/>
    <cellStyle name="Currency 5 2 4 2 2 2 4 3 3" xfId="15206" xr:uid="{00000000-0005-0000-0000-0000FB350000}"/>
    <cellStyle name="Currency 5 2 4 2 2 2 4 4" xfId="15207" xr:uid="{00000000-0005-0000-0000-0000FC350000}"/>
    <cellStyle name="Currency 5 2 4 2 2 2 4 4 2" xfId="15208" xr:uid="{00000000-0005-0000-0000-0000FD350000}"/>
    <cellStyle name="Currency 5 2 4 2 2 2 4 5" xfId="15209" xr:uid="{00000000-0005-0000-0000-0000FE350000}"/>
    <cellStyle name="Currency 5 2 4 2 2 2 5" xfId="15210" xr:uid="{00000000-0005-0000-0000-0000FF350000}"/>
    <cellStyle name="Currency 5 2 4 2 2 2 5 2" xfId="15211" xr:uid="{00000000-0005-0000-0000-000000360000}"/>
    <cellStyle name="Currency 5 2 4 2 2 2 5 2 2" xfId="15212" xr:uid="{00000000-0005-0000-0000-000001360000}"/>
    <cellStyle name="Currency 5 2 4 2 2 2 5 2 2 2" xfId="15213" xr:uid="{00000000-0005-0000-0000-000002360000}"/>
    <cellStyle name="Currency 5 2 4 2 2 2 5 2 2 2 2" xfId="15214" xr:uid="{00000000-0005-0000-0000-000003360000}"/>
    <cellStyle name="Currency 5 2 4 2 2 2 5 2 2 3" xfId="15215" xr:uid="{00000000-0005-0000-0000-000004360000}"/>
    <cellStyle name="Currency 5 2 4 2 2 2 5 2 3" xfId="15216" xr:uid="{00000000-0005-0000-0000-000005360000}"/>
    <cellStyle name="Currency 5 2 4 2 2 2 5 2 3 2" xfId="15217" xr:uid="{00000000-0005-0000-0000-000006360000}"/>
    <cellStyle name="Currency 5 2 4 2 2 2 5 2 4" xfId="15218" xr:uid="{00000000-0005-0000-0000-000007360000}"/>
    <cellStyle name="Currency 5 2 4 2 2 2 5 3" xfId="15219" xr:uid="{00000000-0005-0000-0000-000008360000}"/>
    <cellStyle name="Currency 5 2 4 2 2 2 5 3 2" xfId="15220" xr:uid="{00000000-0005-0000-0000-000009360000}"/>
    <cellStyle name="Currency 5 2 4 2 2 2 5 3 2 2" xfId="15221" xr:uid="{00000000-0005-0000-0000-00000A360000}"/>
    <cellStyle name="Currency 5 2 4 2 2 2 5 3 3" xfId="15222" xr:uid="{00000000-0005-0000-0000-00000B360000}"/>
    <cellStyle name="Currency 5 2 4 2 2 2 5 4" xfId="15223" xr:uid="{00000000-0005-0000-0000-00000C360000}"/>
    <cellStyle name="Currency 5 2 4 2 2 2 5 4 2" xfId="15224" xr:uid="{00000000-0005-0000-0000-00000D360000}"/>
    <cellStyle name="Currency 5 2 4 2 2 2 5 5" xfId="15225" xr:uid="{00000000-0005-0000-0000-00000E360000}"/>
    <cellStyle name="Currency 5 2 4 2 2 2 6" xfId="15226" xr:uid="{00000000-0005-0000-0000-00000F360000}"/>
    <cellStyle name="Currency 5 2 4 2 2 2 6 2" xfId="15227" xr:uid="{00000000-0005-0000-0000-000010360000}"/>
    <cellStyle name="Currency 5 2 4 2 2 2 6 2 2" xfId="15228" xr:uid="{00000000-0005-0000-0000-000011360000}"/>
    <cellStyle name="Currency 5 2 4 2 2 2 6 2 2 2" xfId="15229" xr:uid="{00000000-0005-0000-0000-000012360000}"/>
    <cellStyle name="Currency 5 2 4 2 2 2 6 2 3" xfId="15230" xr:uid="{00000000-0005-0000-0000-000013360000}"/>
    <cellStyle name="Currency 5 2 4 2 2 2 6 3" xfId="15231" xr:uid="{00000000-0005-0000-0000-000014360000}"/>
    <cellStyle name="Currency 5 2 4 2 2 2 6 3 2" xfId="15232" xr:uid="{00000000-0005-0000-0000-000015360000}"/>
    <cellStyle name="Currency 5 2 4 2 2 2 6 4" xfId="15233" xr:uid="{00000000-0005-0000-0000-000016360000}"/>
    <cellStyle name="Currency 5 2 4 2 2 2 7" xfId="15234" xr:uid="{00000000-0005-0000-0000-000017360000}"/>
    <cellStyle name="Currency 5 2 4 2 2 2 7 2" xfId="15235" xr:uid="{00000000-0005-0000-0000-000018360000}"/>
    <cellStyle name="Currency 5 2 4 2 2 2 7 2 2" xfId="15236" xr:uid="{00000000-0005-0000-0000-000019360000}"/>
    <cellStyle name="Currency 5 2 4 2 2 2 7 2 2 2" xfId="15237" xr:uid="{00000000-0005-0000-0000-00001A360000}"/>
    <cellStyle name="Currency 5 2 4 2 2 2 7 2 3" xfId="15238" xr:uid="{00000000-0005-0000-0000-00001B360000}"/>
    <cellStyle name="Currency 5 2 4 2 2 2 7 3" xfId="15239" xr:uid="{00000000-0005-0000-0000-00001C360000}"/>
    <cellStyle name="Currency 5 2 4 2 2 2 7 3 2" xfId="15240" xr:uid="{00000000-0005-0000-0000-00001D360000}"/>
    <cellStyle name="Currency 5 2 4 2 2 2 7 4" xfId="15241" xr:uid="{00000000-0005-0000-0000-00001E360000}"/>
    <cellStyle name="Currency 5 2 4 2 2 2 8" xfId="15242" xr:uid="{00000000-0005-0000-0000-00001F360000}"/>
    <cellStyle name="Currency 5 2 4 2 2 2 8 2" xfId="15243" xr:uid="{00000000-0005-0000-0000-000020360000}"/>
    <cellStyle name="Currency 5 2 4 2 2 2 8 2 2" xfId="15244" xr:uid="{00000000-0005-0000-0000-000021360000}"/>
    <cellStyle name="Currency 5 2 4 2 2 2 8 2 2 2" xfId="15245" xr:uid="{00000000-0005-0000-0000-000022360000}"/>
    <cellStyle name="Currency 5 2 4 2 2 2 8 2 3" xfId="15246" xr:uid="{00000000-0005-0000-0000-000023360000}"/>
    <cellStyle name="Currency 5 2 4 2 2 2 8 3" xfId="15247" xr:uid="{00000000-0005-0000-0000-000024360000}"/>
    <cellStyle name="Currency 5 2 4 2 2 2 8 3 2" xfId="15248" xr:uid="{00000000-0005-0000-0000-000025360000}"/>
    <cellStyle name="Currency 5 2 4 2 2 2 8 4" xfId="15249" xr:uid="{00000000-0005-0000-0000-000026360000}"/>
    <cellStyle name="Currency 5 2 4 2 2 2 9" xfId="15250" xr:uid="{00000000-0005-0000-0000-000027360000}"/>
    <cellStyle name="Currency 5 2 4 2 2 2 9 2" xfId="15251" xr:uid="{00000000-0005-0000-0000-000028360000}"/>
    <cellStyle name="Currency 5 2 4 2 2 2 9 2 2" xfId="15252" xr:uid="{00000000-0005-0000-0000-000029360000}"/>
    <cellStyle name="Currency 5 2 4 2 2 2 9 3" xfId="15253" xr:uid="{00000000-0005-0000-0000-00002A360000}"/>
    <cellStyle name="Currency 5 2 4 2 2 3" xfId="343" xr:uid="{00000000-0005-0000-0000-00002B360000}"/>
    <cellStyle name="Currency 5 2 4 2 2 4" xfId="900" xr:uid="{00000000-0005-0000-0000-00002C360000}"/>
    <cellStyle name="Currency 5 2 4 2 2 4 10" xfId="15255" xr:uid="{00000000-0005-0000-0000-00002D360000}"/>
    <cellStyle name="Currency 5 2 4 2 2 4 11" xfId="15254" xr:uid="{00000000-0005-0000-0000-00002E360000}"/>
    <cellStyle name="Currency 5 2 4 2 2 4 2" xfId="1641" xr:uid="{00000000-0005-0000-0000-00002F360000}"/>
    <cellStyle name="Currency 5 2 4 2 2 4 2 2" xfId="15257" xr:uid="{00000000-0005-0000-0000-000030360000}"/>
    <cellStyle name="Currency 5 2 4 2 2 4 2 2 2" xfId="15258" xr:uid="{00000000-0005-0000-0000-000031360000}"/>
    <cellStyle name="Currency 5 2 4 2 2 4 2 2 2 2" xfId="15259" xr:uid="{00000000-0005-0000-0000-000032360000}"/>
    <cellStyle name="Currency 5 2 4 2 2 4 2 2 2 2 2" xfId="15260" xr:uid="{00000000-0005-0000-0000-000033360000}"/>
    <cellStyle name="Currency 5 2 4 2 2 4 2 2 2 3" xfId="15261" xr:uid="{00000000-0005-0000-0000-000034360000}"/>
    <cellStyle name="Currency 5 2 4 2 2 4 2 2 3" xfId="15262" xr:uid="{00000000-0005-0000-0000-000035360000}"/>
    <cellStyle name="Currency 5 2 4 2 2 4 2 2 3 2" xfId="15263" xr:uid="{00000000-0005-0000-0000-000036360000}"/>
    <cellStyle name="Currency 5 2 4 2 2 4 2 2 4" xfId="15264" xr:uid="{00000000-0005-0000-0000-000037360000}"/>
    <cellStyle name="Currency 5 2 4 2 2 4 2 3" xfId="15265" xr:uid="{00000000-0005-0000-0000-000038360000}"/>
    <cellStyle name="Currency 5 2 4 2 2 4 2 3 2" xfId="15266" xr:uid="{00000000-0005-0000-0000-000039360000}"/>
    <cellStyle name="Currency 5 2 4 2 2 4 2 3 2 2" xfId="15267" xr:uid="{00000000-0005-0000-0000-00003A360000}"/>
    <cellStyle name="Currency 5 2 4 2 2 4 2 3 2 2 2" xfId="15268" xr:uid="{00000000-0005-0000-0000-00003B360000}"/>
    <cellStyle name="Currency 5 2 4 2 2 4 2 3 2 3" xfId="15269" xr:uid="{00000000-0005-0000-0000-00003C360000}"/>
    <cellStyle name="Currency 5 2 4 2 2 4 2 3 3" xfId="15270" xr:uid="{00000000-0005-0000-0000-00003D360000}"/>
    <cellStyle name="Currency 5 2 4 2 2 4 2 3 3 2" xfId="15271" xr:uid="{00000000-0005-0000-0000-00003E360000}"/>
    <cellStyle name="Currency 5 2 4 2 2 4 2 3 4" xfId="15272" xr:uid="{00000000-0005-0000-0000-00003F360000}"/>
    <cellStyle name="Currency 5 2 4 2 2 4 2 4" xfId="15273" xr:uid="{00000000-0005-0000-0000-000040360000}"/>
    <cellStyle name="Currency 5 2 4 2 2 4 2 4 2" xfId="15274" xr:uid="{00000000-0005-0000-0000-000041360000}"/>
    <cellStyle name="Currency 5 2 4 2 2 4 2 4 2 2" xfId="15275" xr:uid="{00000000-0005-0000-0000-000042360000}"/>
    <cellStyle name="Currency 5 2 4 2 2 4 2 4 3" xfId="15276" xr:uid="{00000000-0005-0000-0000-000043360000}"/>
    <cellStyle name="Currency 5 2 4 2 2 4 2 5" xfId="15277" xr:uid="{00000000-0005-0000-0000-000044360000}"/>
    <cellStyle name="Currency 5 2 4 2 2 4 2 5 2" xfId="15278" xr:uid="{00000000-0005-0000-0000-000045360000}"/>
    <cellStyle name="Currency 5 2 4 2 2 4 2 6" xfId="15279" xr:uid="{00000000-0005-0000-0000-000046360000}"/>
    <cellStyle name="Currency 5 2 4 2 2 4 2 7" xfId="15256" xr:uid="{00000000-0005-0000-0000-000047360000}"/>
    <cellStyle name="Currency 5 2 4 2 2 4 3" xfId="15280" xr:uid="{00000000-0005-0000-0000-000048360000}"/>
    <cellStyle name="Currency 5 2 4 2 2 4 3 2" xfId="15281" xr:uid="{00000000-0005-0000-0000-000049360000}"/>
    <cellStyle name="Currency 5 2 4 2 2 4 3 2 2" xfId="15282" xr:uid="{00000000-0005-0000-0000-00004A360000}"/>
    <cellStyle name="Currency 5 2 4 2 2 4 3 2 2 2" xfId="15283" xr:uid="{00000000-0005-0000-0000-00004B360000}"/>
    <cellStyle name="Currency 5 2 4 2 2 4 3 2 2 2 2" xfId="15284" xr:uid="{00000000-0005-0000-0000-00004C360000}"/>
    <cellStyle name="Currency 5 2 4 2 2 4 3 2 2 3" xfId="15285" xr:uid="{00000000-0005-0000-0000-00004D360000}"/>
    <cellStyle name="Currency 5 2 4 2 2 4 3 2 3" xfId="15286" xr:uid="{00000000-0005-0000-0000-00004E360000}"/>
    <cellStyle name="Currency 5 2 4 2 2 4 3 2 3 2" xfId="15287" xr:uid="{00000000-0005-0000-0000-00004F360000}"/>
    <cellStyle name="Currency 5 2 4 2 2 4 3 2 4" xfId="15288" xr:uid="{00000000-0005-0000-0000-000050360000}"/>
    <cellStyle name="Currency 5 2 4 2 2 4 3 3" xfId="15289" xr:uid="{00000000-0005-0000-0000-000051360000}"/>
    <cellStyle name="Currency 5 2 4 2 2 4 3 3 2" xfId="15290" xr:uid="{00000000-0005-0000-0000-000052360000}"/>
    <cellStyle name="Currency 5 2 4 2 2 4 3 3 2 2" xfId="15291" xr:uid="{00000000-0005-0000-0000-000053360000}"/>
    <cellStyle name="Currency 5 2 4 2 2 4 3 3 3" xfId="15292" xr:uid="{00000000-0005-0000-0000-000054360000}"/>
    <cellStyle name="Currency 5 2 4 2 2 4 3 4" xfId="15293" xr:uid="{00000000-0005-0000-0000-000055360000}"/>
    <cellStyle name="Currency 5 2 4 2 2 4 3 4 2" xfId="15294" xr:uid="{00000000-0005-0000-0000-000056360000}"/>
    <cellStyle name="Currency 5 2 4 2 2 4 3 5" xfId="15295" xr:uid="{00000000-0005-0000-0000-000057360000}"/>
    <cellStyle name="Currency 5 2 4 2 2 4 4" xfId="15296" xr:uid="{00000000-0005-0000-0000-000058360000}"/>
    <cellStyle name="Currency 5 2 4 2 2 4 4 2" xfId="15297" xr:uid="{00000000-0005-0000-0000-000059360000}"/>
    <cellStyle name="Currency 5 2 4 2 2 4 4 2 2" xfId="15298" xr:uid="{00000000-0005-0000-0000-00005A360000}"/>
    <cellStyle name="Currency 5 2 4 2 2 4 4 2 2 2" xfId="15299" xr:uid="{00000000-0005-0000-0000-00005B360000}"/>
    <cellStyle name="Currency 5 2 4 2 2 4 4 2 2 2 2" xfId="15300" xr:uid="{00000000-0005-0000-0000-00005C360000}"/>
    <cellStyle name="Currency 5 2 4 2 2 4 4 2 2 3" xfId="15301" xr:uid="{00000000-0005-0000-0000-00005D360000}"/>
    <cellStyle name="Currency 5 2 4 2 2 4 4 2 3" xfId="15302" xr:uid="{00000000-0005-0000-0000-00005E360000}"/>
    <cellStyle name="Currency 5 2 4 2 2 4 4 2 3 2" xfId="15303" xr:uid="{00000000-0005-0000-0000-00005F360000}"/>
    <cellStyle name="Currency 5 2 4 2 2 4 4 2 4" xfId="15304" xr:uid="{00000000-0005-0000-0000-000060360000}"/>
    <cellStyle name="Currency 5 2 4 2 2 4 4 3" xfId="15305" xr:uid="{00000000-0005-0000-0000-000061360000}"/>
    <cellStyle name="Currency 5 2 4 2 2 4 4 3 2" xfId="15306" xr:uid="{00000000-0005-0000-0000-000062360000}"/>
    <cellStyle name="Currency 5 2 4 2 2 4 4 3 2 2" xfId="15307" xr:uid="{00000000-0005-0000-0000-000063360000}"/>
    <cellStyle name="Currency 5 2 4 2 2 4 4 3 3" xfId="15308" xr:uid="{00000000-0005-0000-0000-000064360000}"/>
    <cellStyle name="Currency 5 2 4 2 2 4 4 4" xfId="15309" xr:uid="{00000000-0005-0000-0000-000065360000}"/>
    <cellStyle name="Currency 5 2 4 2 2 4 4 4 2" xfId="15310" xr:uid="{00000000-0005-0000-0000-000066360000}"/>
    <cellStyle name="Currency 5 2 4 2 2 4 4 5" xfId="15311" xr:uid="{00000000-0005-0000-0000-000067360000}"/>
    <cellStyle name="Currency 5 2 4 2 2 4 5" xfId="15312" xr:uid="{00000000-0005-0000-0000-000068360000}"/>
    <cellStyle name="Currency 5 2 4 2 2 4 5 2" xfId="15313" xr:uid="{00000000-0005-0000-0000-000069360000}"/>
    <cellStyle name="Currency 5 2 4 2 2 4 5 2 2" xfId="15314" xr:uid="{00000000-0005-0000-0000-00006A360000}"/>
    <cellStyle name="Currency 5 2 4 2 2 4 5 2 2 2" xfId="15315" xr:uid="{00000000-0005-0000-0000-00006B360000}"/>
    <cellStyle name="Currency 5 2 4 2 2 4 5 2 3" xfId="15316" xr:uid="{00000000-0005-0000-0000-00006C360000}"/>
    <cellStyle name="Currency 5 2 4 2 2 4 5 3" xfId="15317" xr:uid="{00000000-0005-0000-0000-00006D360000}"/>
    <cellStyle name="Currency 5 2 4 2 2 4 5 3 2" xfId="15318" xr:uid="{00000000-0005-0000-0000-00006E360000}"/>
    <cellStyle name="Currency 5 2 4 2 2 4 5 4" xfId="15319" xr:uid="{00000000-0005-0000-0000-00006F360000}"/>
    <cellStyle name="Currency 5 2 4 2 2 4 6" xfId="15320" xr:uid="{00000000-0005-0000-0000-000070360000}"/>
    <cellStyle name="Currency 5 2 4 2 2 4 6 2" xfId="15321" xr:uid="{00000000-0005-0000-0000-000071360000}"/>
    <cellStyle name="Currency 5 2 4 2 2 4 6 2 2" xfId="15322" xr:uid="{00000000-0005-0000-0000-000072360000}"/>
    <cellStyle name="Currency 5 2 4 2 2 4 6 2 2 2" xfId="15323" xr:uid="{00000000-0005-0000-0000-000073360000}"/>
    <cellStyle name="Currency 5 2 4 2 2 4 6 2 3" xfId="15324" xr:uid="{00000000-0005-0000-0000-000074360000}"/>
    <cellStyle name="Currency 5 2 4 2 2 4 6 3" xfId="15325" xr:uid="{00000000-0005-0000-0000-000075360000}"/>
    <cellStyle name="Currency 5 2 4 2 2 4 6 3 2" xfId="15326" xr:uid="{00000000-0005-0000-0000-000076360000}"/>
    <cellStyle name="Currency 5 2 4 2 2 4 6 4" xfId="15327" xr:uid="{00000000-0005-0000-0000-000077360000}"/>
    <cellStyle name="Currency 5 2 4 2 2 4 7" xfId="15328" xr:uid="{00000000-0005-0000-0000-000078360000}"/>
    <cellStyle name="Currency 5 2 4 2 2 4 7 2" xfId="15329" xr:uid="{00000000-0005-0000-0000-000079360000}"/>
    <cellStyle name="Currency 5 2 4 2 2 4 7 2 2" xfId="15330" xr:uid="{00000000-0005-0000-0000-00007A360000}"/>
    <cellStyle name="Currency 5 2 4 2 2 4 7 2 2 2" xfId="15331" xr:uid="{00000000-0005-0000-0000-00007B360000}"/>
    <cellStyle name="Currency 5 2 4 2 2 4 7 2 3" xfId="15332" xr:uid="{00000000-0005-0000-0000-00007C360000}"/>
    <cellStyle name="Currency 5 2 4 2 2 4 7 3" xfId="15333" xr:uid="{00000000-0005-0000-0000-00007D360000}"/>
    <cellStyle name="Currency 5 2 4 2 2 4 7 3 2" xfId="15334" xr:uid="{00000000-0005-0000-0000-00007E360000}"/>
    <cellStyle name="Currency 5 2 4 2 2 4 7 4" xfId="15335" xr:uid="{00000000-0005-0000-0000-00007F360000}"/>
    <cellStyle name="Currency 5 2 4 2 2 4 8" xfId="15336" xr:uid="{00000000-0005-0000-0000-000080360000}"/>
    <cellStyle name="Currency 5 2 4 2 2 4 8 2" xfId="15337" xr:uid="{00000000-0005-0000-0000-000081360000}"/>
    <cellStyle name="Currency 5 2 4 2 2 4 8 2 2" xfId="15338" xr:uid="{00000000-0005-0000-0000-000082360000}"/>
    <cellStyle name="Currency 5 2 4 2 2 4 8 3" xfId="15339" xr:uid="{00000000-0005-0000-0000-000083360000}"/>
    <cellStyle name="Currency 5 2 4 2 2 4 9" xfId="15340" xr:uid="{00000000-0005-0000-0000-000084360000}"/>
    <cellStyle name="Currency 5 2 4 2 2 4 9 2" xfId="15341" xr:uid="{00000000-0005-0000-0000-000085360000}"/>
    <cellStyle name="Currency 5 2 4 2 2 5" xfId="1316" xr:uid="{00000000-0005-0000-0000-000086360000}"/>
    <cellStyle name="Currency 5 2 4 2 2 5 2" xfId="15343" xr:uid="{00000000-0005-0000-0000-000087360000}"/>
    <cellStyle name="Currency 5 2 4 2 2 5 2 2" xfId="15344" xr:uid="{00000000-0005-0000-0000-000088360000}"/>
    <cellStyle name="Currency 5 2 4 2 2 5 2 2 2" xfId="15345" xr:uid="{00000000-0005-0000-0000-000089360000}"/>
    <cellStyle name="Currency 5 2 4 2 2 5 2 2 2 2" xfId="15346" xr:uid="{00000000-0005-0000-0000-00008A360000}"/>
    <cellStyle name="Currency 5 2 4 2 2 5 2 2 3" xfId="15347" xr:uid="{00000000-0005-0000-0000-00008B360000}"/>
    <cellStyle name="Currency 5 2 4 2 2 5 2 3" xfId="15348" xr:uid="{00000000-0005-0000-0000-00008C360000}"/>
    <cellStyle name="Currency 5 2 4 2 2 5 2 3 2" xfId="15349" xr:uid="{00000000-0005-0000-0000-00008D360000}"/>
    <cellStyle name="Currency 5 2 4 2 2 5 2 4" xfId="15350" xr:uid="{00000000-0005-0000-0000-00008E360000}"/>
    <cellStyle name="Currency 5 2 4 2 2 5 3" xfId="15351" xr:uid="{00000000-0005-0000-0000-00008F360000}"/>
    <cellStyle name="Currency 5 2 4 2 2 5 3 2" xfId="15352" xr:uid="{00000000-0005-0000-0000-000090360000}"/>
    <cellStyle name="Currency 5 2 4 2 2 5 3 2 2" xfId="15353" xr:uid="{00000000-0005-0000-0000-000091360000}"/>
    <cellStyle name="Currency 5 2 4 2 2 5 3 2 2 2" xfId="15354" xr:uid="{00000000-0005-0000-0000-000092360000}"/>
    <cellStyle name="Currency 5 2 4 2 2 5 3 2 3" xfId="15355" xr:uid="{00000000-0005-0000-0000-000093360000}"/>
    <cellStyle name="Currency 5 2 4 2 2 5 3 3" xfId="15356" xr:uid="{00000000-0005-0000-0000-000094360000}"/>
    <cellStyle name="Currency 5 2 4 2 2 5 3 3 2" xfId="15357" xr:uid="{00000000-0005-0000-0000-000095360000}"/>
    <cellStyle name="Currency 5 2 4 2 2 5 3 4" xfId="15358" xr:uid="{00000000-0005-0000-0000-000096360000}"/>
    <cellStyle name="Currency 5 2 4 2 2 5 4" xfId="15359" xr:uid="{00000000-0005-0000-0000-000097360000}"/>
    <cellStyle name="Currency 5 2 4 2 2 5 4 2" xfId="15360" xr:uid="{00000000-0005-0000-0000-000098360000}"/>
    <cellStyle name="Currency 5 2 4 2 2 5 4 2 2" xfId="15361" xr:uid="{00000000-0005-0000-0000-000099360000}"/>
    <cellStyle name="Currency 5 2 4 2 2 5 4 3" xfId="15362" xr:uid="{00000000-0005-0000-0000-00009A360000}"/>
    <cellStyle name="Currency 5 2 4 2 2 5 5" xfId="15363" xr:uid="{00000000-0005-0000-0000-00009B360000}"/>
    <cellStyle name="Currency 5 2 4 2 2 5 5 2" xfId="15364" xr:uid="{00000000-0005-0000-0000-00009C360000}"/>
    <cellStyle name="Currency 5 2 4 2 2 5 6" xfId="15365" xr:uid="{00000000-0005-0000-0000-00009D360000}"/>
    <cellStyle name="Currency 5 2 4 2 2 5 7" xfId="15342" xr:uid="{00000000-0005-0000-0000-00009E360000}"/>
    <cellStyle name="Currency 5 2 4 2 2 6" xfId="15366" xr:uid="{00000000-0005-0000-0000-00009F360000}"/>
    <cellStyle name="Currency 5 2 4 2 2 6 2" xfId="15367" xr:uid="{00000000-0005-0000-0000-0000A0360000}"/>
    <cellStyle name="Currency 5 2 4 2 2 6 2 2" xfId="15368" xr:uid="{00000000-0005-0000-0000-0000A1360000}"/>
    <cellStyle name="Currency 5 2 4 2 2 6 2 2 2" xfId="15369" xr:uid="{00000000-0005-0000-0000-0000A2360000}"/>
    <cellStyle name="Currency 5 2 4 2 2 6 2 2 2 2" xfId="15370" xr:uid="{00000000-0005-0000-0000-0000A3360000}"/>
    <cellStyle name="Currency 5 2 4 2 2 6 2 2 3" xfId="15371" xr:uid="{00000000-0005-0000-0000-0000A4360000}"/>
    <cellStyle name="Currency 5 2 4 2 2 6 2 3" xfId="15372" xr:uid="{00000000-0005-0000-0000-0000A5360000}"/>
    <cellStyle name="Currency 5 2 4 2 2 6 2 3 2" xfId="15373" xr:uid="{00000000-0005-0000-0000-0000A6360000}"/>
    <cellStyle name="Currency 5 2 4 2 2 6 2 4" xfId="15374" xr:uid="{00000000-0005-0000-0000-0000A7360000}"/>
    <cellStyle name="Currency 5 2 4 2 2 6 3" xfId="15375" xr:uid="{00000000-0005-0000-0000-0000A8360000}"/>
    <cellStyle name="Currency 5 2 4 2 2 6 3 2" xfId="15376" xr:uid="{00000000-0005-0000-0000-0000A9360000}"/>
    <cellStyle name="Currency 5 2 4 2 2 6 3 2 2" xfId="15377" xr:uid="{00000000-0005-0000-0000-0000AA360000}"/>
    <cellStyle name="Currency 5 2 4 2 2 6 3 3" xfId="15378" xr:uid="{00000000-0005-0000-0000-0000AB360000}"/>
    <cellStyle name="Currency 5 2 4 2 2 6 4" xfId="15379" xr:uid="{00000000-0005-0000-0000-0000AC360000}"/>
    <cellStyle name="Currency 5 2 4 2 2 6 4 2" xfId="15380" xr:uid="{00000000-0005-0000-0000-0000AD360000}"/>
    <cellStyle name="Currency 5 2 4 2 2 6 5" xfId="15381" xr:uid="{00000000-0005-0000-0000-0000AE360000}"/>
    <cellStyle name="Currency 5 2 4 2 2 7" xfId="15382" xr:uid="{00000000-0005-0000-0000-0000AF360000}"/>
    <cellStyle name="Currency 5 2 4 2 2 7 2" xfId="15383" xr:uid="{00000000-0005-0000-0000-0000B0360000}"/>
    <cellStyle name="Currency 5 2 4 2 2 7 2 2" xfId="15384" xr:uid="{00000000-0005-0000-0000-0000B1360000}"/>
    <cellStyle name="Currency 5 2 4 2 2 7 2 2 2" xfId="15385" xr:uid="{00000000-0005-0000-0000-0000B2360000}"/>
    <cellStyle name="Currency 5 2 4 2 2 7 2 2 2 2" xfId="15386" xr:uid="{00000000-0005-0000-0000-0000B3360000}"/>
    <cellStyle name="Currency 5 2 4 2 2 7 2 2 3" xfId="15387" xr:uid="{00000000-0005-0000-0000-0000B4360000}"/>
    <cellStyle name="Currency 5 2 4 2 2 7 2 3" xfId="15388" xr:uid="{00000000-0005-0000-0000-0000B5360000}"/>
    <cellStyle name="Currency 5 2 4 2 2 7 2 3 2" xfId="15389" xr:uid="{00000000-0005-0000-0000-0000B6360000}"/>
    <cellStyle name="Currency 5 2 4 2 2 7 2 4" xfId="15390" xr:uid="{00000000-0005-0000-0000-0000B7360000}"/>
    <cellStyle name="Currency 5 2 4 2 2 7 3" xfId="15391" xr:uid="{00000000-0005-0000-0000-0000B8360000}"/>
    <cellStyle name="Currency 5 2 4 2 2 7 3 2" xfId="15392" xr:uid="{00000000-0005-0000-0000-0000B9360000}"/>
    <cellStyle name="Currency 5 2 4 2 2 7 3 2 2" xfId="15393" xr:uid="{00000000-0005-0000-0000-0000BA360000}"/>
    <cellStyle name="Currency 5 2 4 2 2 7 3 3" xfId="15394" xr:uid="{00000000-0005-0000-0000-0000BB360000}"/>
    <cellStyle name="Currency 5 2 4 2 2 7 4" xfId="15395" xr:uid="{00000000-0005-0000-0000-0000BC360000}"/>
    <cellStyle name="Currency 5 2 4 2 2 7 4 2" xfId="15396" xr:uid="{00000000-0005-0000-0000-0000BD360000}"/>
    <cellStyle name="Currency 5 2 4 2 2 7 5" xfId="15397" xr:uid="{00000000-0005-0000-0000-0000BE360000}"/>
    <cellStyle name="Currency 5 2 4 2 2 8" xfId="15398" xr:uid="{00000000-0005-0000-0000-0000BF360000}"/>
    <cellStyle name="Currency 5 2 4 2 2 8 2" xfId="15399" xr:uid="{00000000-0005-0000-0000-0000C0360000}"/>
    <cellStyle name="Currency 5 2 4 2 2 8 2 2" xfId="15400" xr:uid="{00000000-0005-0000-0000-0000C1360000}"/>
    <cellStyle name="Currency 5 2 4 2 2 8 2 2 2" xfId="15401" xr:uid="{00000000-0005-0000-0000-0000C2360000}"/>
    <cellStyle name="Currency 5 2 4 2 2 8 2 3" xfId="15402" xr:uid="{00000000-0005-0000-0000-0000C3360000}"/>
    <cellStyle name="Currency 5 2 4 2 2 8 3" xfId="15403" xr:uid="{00000000-0005-0000-0000-0000C4360000}"/>
    <cellStyle name="Currency 5 2 4 2 2 8 3 2" xfId="15404" xr:uid="{00000000-0005-0000-0000-0000C5360000}"/>
    <cellStyle name="Currency 5 2 4 2 2 8 4" xfId="15405" xr:uid="{00000000-0005-0000-0000-0000C6360000}"/>
    <cellStyle name="Currency 5 2 4 2 2 9" xfId="15406" xr:uid="{00000000-0005-0000-0000-0000C7360000}"/>
    <cellStyle name="Currency 5 2 4 2 2 9 2" xfId="15407" xr:uid="{00000000-0005-0000-0000-0000C8360000}"/>
    <cellStyle name="Currency 5 2 4 2 2 9 2 2" xfId="15408" xr:uid="{00000000-0005-0000-0000-0000C9360000}"/>
    <cellStyle name="Currency 5 2 4 2 2 9 2 2 2" xfId="15409" xr:uid="{00000000-0005-0000-0000-0000CA360000}"/>
    <cellStyle name="Currency 5 2 4 2 2 9 2 3" xfId="15410" xr:uid="{00000000-0005-0000-0000-0000CB360000}"/>
    <cellStyle name="Currency 5 2 4 2 2 9 3" xfId="15411" xr:uid="{00000000-0005-0000-0000-0000CC360000}"/>
    <cellStyle name="Currency 5 2 4 2 2 9 3 2" xfId="15412" xr:uid="{00000000-0005-0000-0000-0000CD360000}"/>
    <cellStyle name="Currency 5 2 4 2 2 9 4" xfId="15413" xr:uid="{00000000-0005-0000-0000-0000CE360000}"/>
    <cellStyle name="Currency 5 2 4 2 3" xfId="344" xr:uid="{00000000-0005-0000-0000-0000CF360000}"/>
    <cellStyle name="Currency 5 2 4 2 3 10" xfId="15415" xr:uid="{00000000-0005-0000-0000-0000D0360000}"/>
    <cellStyle name="Currency 5 2 4 2 3 10 2" xfId="15416" xr:uid="{00000000-0005-0000-0000-0000D1360000}"/>
    <cellStyle name="Currency 5 2 4 2 3 10 2 2" xfId="15417" xr:uid="{00000000-0005-0000-0000-0000D2360000}"/>
    <cellStyle name="Currency 5 2 4 2 3 10 3" xfId="15418" xr:uid="{00000000-0005-0000-0000-0000D3360000}"/>
    <cellStyle name="Currency 5 2 4 2 3 11" xfId="15419" xr:uid="{00000000-0005-0000-0000-0000D4360000}"/>
    <cellStyle name="Currency 5 2 4 2 3 11 2" xfId="15420" xr:uid="{00000000-0005-0000-0000-0000D5360000}"/>
    <cellStyle name="Currency 5 2 4 2 3 11 2 2" xfId="15421" xr:uid="{00000000-0005-0000-0000-0000D6360000}"/>
    <cellStyle name="Currency 5 2 4 2 3 11 3" xfId="15422" xr:uid="{00000000-0005-0000-0000-0000D7360000}"/>
    <cellStyle name="Currency 5 2 4 2 3 12" xfId="15423" xr:uid="{00000000-0005-0000-0000-0000D8360000}"/>
    <cellStyle name="Currency 5 2 4 2 3 12 2" xfId="15424" xr:uid="{00000000-0005-0000-0000-0000D9360000}"/>
    <cellStyle name="Currency 5 2 4 2 3 13" xfId="15425" xr:uid="{00000000-0005-0000-0000-0000DA360000}"/>
    <cellStyle name="Currency 5 2 4 2 3 14" xfId="15426" xr:uid="{00000000-0005-0000-0000-0000DB360000}"/>
    <cellStyle name="Currency 5 2 4 2 3 15" xfId="15414" xr:uid="{00000000-0005-0000-0000-0000DC360000}"/>
    <cellStyle name="Currency 5 2 4 2 3 2" xfId="902" xr:uid="{00000000-0005-0000-0000-0000DD360000}"/>
    <cellStyle name="Currency 5 2 4 2 3 2 10" xfId="15428" xr:uid="{00000000-0005-0000-0000-0000DE360000}"/>
    <cellStyle name="Currency 5 2 4 2 3 2 11" xfId="15427" xr:uid="{00000000-0005-0000-0000-0000DF360000}"/>
    <cellStyle name="Currency 5 2 4 2 3 2 2" xfId="1643" xr:uid="{00000000-0005-0000-0000-0000E0360000}"/>
    <cellStyle name="Currency 5 2 4 2 3 2 2 2" xfId="15430" xr:uid="{00000000-0005-0000-0000-0000E1360000}"/>
    <cellStyle name="Currency 5 2 4 2 3 2 2 2 2" xfId="15431" xr:uid="{00000000-0005-0000-0000-0000E2360000}"/>
    <cellStyle name="Currency 5 2 4 2 3 2 2 2 2 2" xfId="15432" xr:uid="{00000000-0005-0000-0000-0000E3360000}"/>
    <cellStyle name="Currency 5 2 4 2 3 2 2 2 2 2 2" xfId="15433" xr:uid="{00000000-0005-0000-0000-0000E4360000}"/>
    <cellStyle name="Currency 5 2 4 2 3 2 2 2 2 3" xfId="15434" xr:uid="{00000000-0005-0000-0000-0000E5360000}"/>
    <cellStyle name="Currency 5 2 4 2 3 2 2 2 3" xfId="15435" xr:uid="{00000000-0005-0000-0000-0000E6360000}"/>
    <cellStyle name="Currency 5 2 4 2 3 2 2 2 3 2" xfId="15436" xr:uid="{00000000-0005-0000-0000-0000E7360000}"/>
    <cellStyle name="Currency 5 2 4 2 3 2 2 2 4" xfId="15437" xr:uid="{00000000-0005-0000-0000-0000E8360000}"/>
    <cellStyle name="Currency 5 2 4 2 3 2 2 3" xfId="15438" xr:uid="{00000000-0005-0000-0000-0000E9360000}"/>
    <cellStyle name="Currency 5 2 4 2 3 2 2 3 2" xfId="15439" xr:uid="{00000000-0005-0000-0000-0000EA360000}"/>
    <cellStyle name="Currency 5 2 4 2 3 2 2 3 2 2" xfId="15440" xr:uid="{00000000-0005-0000-0000-0000EB360000}"/>
    <cellStyle name="Currency 5 2 4 2 3 2 2 3 2 2 2" xfId="15441" xr:uid="{00000000-0005-0000-0000-0000EC360000}"/>
    <cellStyle name="Currency 5 2 4 2 3 2 2 3 2 3" xfId="15442" xr:uid="{00000000-0005-0000-0000-0000ED360000}"/>
    <cellStyle name="Currency 5 2 4 2 3 2 2 3 3" xfId="15443" xr:uid="{00000000-0005-0000-0000-0000EE360000}"/>
    <cellStyle name="Currency 5 2 4 2 3 2 2 3 3 2" xfId="15444" xr:uid="{00000000-0005-0000-0000-0000EF360000}"/>
    <cellStyle name="Currency 5 2 4 2 3 2 2 3 4" xfId="15445" xr:uid="{00000000-0005-0000-0000-0000F0360000}"/>
    <cellStyle name="Currency 5 2 4 2 3 2 2 4" xfId="15446" xr:uid="{00000000-0005-0000-0000-0000F1360000}"/>
    <cellStyle name="Currency 5 2 4 2 3 2 2 4 2" xfId="15447" xr:uid="{00000000-0005-0000-0000-0000F2360000}"/>
    <cellStyle name="Currency 5 2 4 2 3 2 2 4 2 2" xfId="15448" xr:uid="{00000000-0005-0000-0000-0000F3360000}"/>
    <cellStyle name="Currency 5 2 4 2 3 2 2 4 3" xfId="15449" xr:uid="{00000000-0005-0000-0000-0000F4360000}"/>
    <cellStyle name="Currency 5 2 4 2 3 2 2 5" xfId="15450" xr:uid="{00000000-0005-0000-0000-0000F5360000}"/>
    <cellStyle name="Currency 5 2 4 2 3 2 2 5 2" xfId="15451" xr:uid="{00000000-0005-0000-0000-0000F6360000}"/>
    <cellStyle name="Currency 5 2 4 2 3 2 2 6" xfId="15452" xr:uid="{00000000-0005-0000-0000-0000F7360000}"/>
    <cellStyle name="Currency 5 2 4 2 3 2 2 7" xfId="15429" xr:uid="{00000000-0005-0000-0000-0000F8360000}"/>
    <cellStyle name="Currency 5 2 4 2 3 2 3" xfId="15453" xr:uid="{00000000-0005-0000-0000-0000F9360000}"/>
    <cellStyle name="Currency 5 2 4 2 3 2 3 2" xfId="15454" xr:uid="{00000000-0005-0000-0000-0000FA360000}"/>
    <cellStyle name="Currency 5 2 4 2 3 2 3 2 2" xfId="15455" xr:uid="{00000000-0005-0000-0000-0000FB360000}"/>
    <cellStyle name="Currency 5 2 4 2 3 2 3 2 2 2" xfId="15456" xr:uid="{00000000-0005-0000-0000-0000FC360000}"/>
    <cellStyle name="Currency 5 2 4 2 3 2 3 2 2 2 2" xfId="15457" xr:uid="{00000000-0005-0000-0000-0000FD360000}"/>
    <cellStyle name="Currency 5 2 4 2 3 2 3 2 2 3" xfId="15458" xr:uid="{00000000-0005-0000-0000-0000FE360000}"/>
    <cellStyle name="Currency 5 2 4 2 3 2 3 2 3" xfId="15459" xr:uid="{00000000-0005-0000-0000-0000FF360000}"/>
    <cellStyle name="Currency 5 2 4 2 3 2 3 2 3 2" xfId="15460" xr:uid="{00000000-0005-0000-0000-000000370000}"/>
    <cellStyle name="Currency 5 2 4 2 3 2 3 2 4" xfId="15461" xr:uid="{00000000-0005-0000-0000-000001370000}"/>
    <cellStyle name="Currency 5 2 4 2 3 2 3 3" xfId="15462" xr:uid="{00000000-0005-0000-0000-000002370000}"/>
    <cellStyle name="Currency 5 2 4 2 3 2 3 3 2" xfId="15463" xr:uid="{00000000-0005-0000-0000-000003370000}"/>
    <cellStyle name="Currency 5 2 4 2 3 2 3 3 2 2" xfId="15464" xr:uid="{00000000-0005-0000-0000-000004370000}"/>
    <cellStyle name="Currency 5 2 4 2 3 2 3 3 3" xfId="15465" xr:uid="{00000000-0005-0000-0000-000005370000}"/>
    <cellStyle name="Currency 5 2 4 2 3 2 3 4" xfId="15466" xr:uid="{00000000-0005-0000-0000-000006370000}"/>
    <cellStyle name="Currency 5 2 4 2 3 2 3 4 2" xfId="15467" xr:uid="{00000000-0005-0000-0000-000007370000}"/>
    <cellStyle name="Currency 5 2 4 2 3 2 3 5" xfId="15468" xr:uid="{00000000-0005-0000-0000-000008370000}"/>
    <cellStyle name="Currency 5 2 4 2 3 2 4" xfId="15469" xr:uid="{00000000-0005-0000-0000-000009370000}"/>
    <cellStyle name="Currency 5 2 4 2 3 2 4 2" xfId="15470" xr:uid="{00000000-0005-0000-0000-00000A370000}"/>
    <cellStyle name="Currency 5 2 4 2 3 2 4 2 2" xfId="15471" xr:uid="{00000000-0005-0000-0000-00000B370000}"/>
    <cellStyle name="Currency 5 2 4 2 3 2 4 2 2 2" xfId="15472" xr:uid="{00000000-0005-0000-0000-00000C370000}"/>
    <cellStyle name="Currency 5 2 4 2 3 2 4 2 2 2 2" xfId="15473" xr:uid="{00000000-0005-0000-0000-00000D370000}"/>
    <cellStyle name="Currency 5 2 4 2 3 2 4 2 2 3" xfId="15474" xr:uid="{00000000-0005-0000-0000-00000E370000}"/>
    <cellStyle name="Currency 5 2 4 2 3 2 4 2 3" xfId="15475" xr:uid="{00000000-0005-0000-0000-00000F370000}"/>
    <cellStyle name="Currency 5 2 4 2 3 2 4 2 3 2" xfId="15476" xr:uid="{00000000-0005-0000-0000-000010370000}"/>
    <cellStyle name="Currency 5 2 4 2 3 2 4 2 4" xfId="15477" xr:uid="{00000000-0005-0000-0000-000011370000}"/>
    <cellStyle name="Currency 5 2 4 2 3 2 4 3" xfId="15478" xr:uid="{00000000-0005-0000-0000-000012370000}"/>
    <cellStyle name="Currency 5 2 4 2 3 2 4 3 2" xfId="15479" xr:uid="{00000000-0005-0000-0000-000013370000}"/>
    <cellStyle name="Currency 5 2 4 2 3 2 4 3 2 2" xfId="15480" xr:uid="{00000000-0005-0000-0000-000014370000}"/>
    <cellStyle name="Currency 5 2 4 2 3 2 4 3 3" xfId="15481" xr:uid="{00000000-0005-0000-0000-000015370000}"/>
    <cellStyle name="Currency 5 2 4 2 3 2 4 4" xfId="15482" xr:uid="{00000000-0005-0000-0000-000016370000}"/>
    <cellStyle name="Currency 5 2 4 2 3 2 4 4 2" xfId="15483" xr:uid="{00000000-0005-0000-0000-000017370000}"/>
    <cellStyle name="Currency 5 2 4 2 3 2 4 5" xfId="15484" xr:uid="{00000000-0005-0000-0000-000018370000}"/>
    <cellStyle name="Currency 5 2 4 2 3 2 5" xfId="15485" xr:uid="{00000000-0005-0000-0000-000019370000}"/>
    <cellStyle name="Currency 5 2 4 2 3 2 5 2" xfId="15486" xr:uid="{00000000-0005-0000-0000-00001A370000}"/>
    <cellStyle name="Currency 5 2 4 2 3 2 5 2 2" xfId="15487" xr:uid="{00000000-0005-0000-0000-00001B370000}"/>
    <cellStyle name="Currency 5 2 4 2 3 2 5 2 2 2" xfId="15488" xr:uid="{00000000-0005-0000-0000-00001C370000}"/>
    <cellStyle name="Currency 5 2 4 2 3 2 5 2 3" xfId="15489" xr:uid="{00000000-0005-0000-0000-00001D370000}"/>
    <cellStyle name="Currency 5 2 4 2 3 2 5 3" xfId="15490" xr:uid="{00000000-0005-0000-0000-00001E370000}"/>
    <cellStyle name="Currency 5 2 4 2 3 2 5 3 2" xfId="15491" xr:uid="{00000000-0005-0000-0000-00001F370000}"/>
    <cellStyle name="Currency 5 2 4 2 3 2 5 4" xfId="15492" xr:uid="{00000000-0005-0000-0000-000020370000}"/>
    <cellStyle name="Currency 5 2 4 2 3 2 6" xfId="15493" xr:uid="{00000000-0005-0000-0000-000021370000}"/>
    <cellStyle name="Currency 5 2 4 2 3 2 6 2" xfId="15494" xr:uid="{00000000-0005-0000-0000-000022370000}"/>
    <cellStyle name="Currency 5 2 4 2 3 2 6 2 2" xfId="15495" xr:uid="{00000000-0005-0000-0000-000023370000}"/>
    <cellStyle name="Currency 5 2 4 2 3 2 6 2 2 2" xfId="15496" xr:uid="{00000000-0005-0000-0000-000024370000}"/>
    <cellStyle name="Currency 5 2 4 2 3 2 6 2 3" xfId="15497" xr:uid="{00000000-0005-0000-0000-000025370000}"/>
    <cellStyle name="Currency 5 2 4 2 3 2 6 3" xfId="15498" xr:uid="{00000000-0005-0000-0000-000026370000}"/>
    <cellStyle name="Currency 5 2 4 2 3 2 6 3 2" xfId="15499" xr:uid="{00000000-0005-0000-0000-000027370000}"/>
    <cellStyle name="Currency 5 2 4 2 3 2 6 4" xfId="15500" xr:uid="{00000000-0005-0000-0000-000028370000}"/>
    <cellStyle name="Currency 5 2 4 2 3 2 7" xfId="15501" xr:uid="{00000000-0005-0000-0000-000029370000}"/>
    <cellStyle name="Currency 5 2 4 2 3 2 7 2" xfId="15502" xr:uid="{00000000-0005-0000-0000-00002A370000}"/>
    <cellStyle name="Currency 5 2 4 2 3 2 7 2 2" xfId="15503" xr:uid="{00000000-0005-0000-0000-00002B370000}"/>
    <cellStyle name="Currency 5 2 4 2 3 2 7 2 2 2" xfId="15504" xr:uid="{00000000-0005-0000-0000-00002C370000}"/>
    <cellStyle name="Currency 5 2 4 2 3 2 7 2 3" xfId="15505" xr:uid="{00000000-0005-0000-0000-00002D370000}"/>
    <cellStyle name="Currency 5 2 4 2 3 2 7 3" xfId="15506" xr:uid="{00000000-0005-0000-0000-00002E370000}"/>
    <cellStyle name="Currency 5 2 4 2 3 2 7 3 2" xfId="15507" xr:uid="{00000000-0005-0000-0000-00002F370000}"/>
    <cellStyle name="Currency 5 2 4 2 3 2 7 4" xfId="15508" xr:uid="{00000000-0005-0000-0000-000030370000}"/>
    <cellStyle name="Currency 5 2 4 2 3 2 8" xfId="15509" xr:uid="{00000000-0005-0000-0000-000031370000}"/>
    <cellStyle name="Currency 5 2 4 2 3 2 8 2" xfId="15510" xr:uid="{00000000-0005-0000-0000-000032370000}"/>
    <cellStyle name="Currency 5 2 4 2 3 2 8 2 2" xfId="15511" xr:uid="{00000000-0005-0000-0000-000033370000}"/>
    <cellStyle name="Currency 5 2 4 2 3 2 8 3" xfId="15512" xr:uid="{00000000-0005-0000-0000-000034370000}"/>
    <cellStyle name="Currency 5 2 4 2 3 2 9" xfId="15513" xr:uid="{00000000-0005-0000-0000-000035370000}"/>
    <cellStyle name="Currency 5 2 4 2 3 2 9 2" xfId="15514" xr:uid="{00000000-0005-0000-0000-000036370000}"/>
    <cellStyle name="Currency 5 2 4 2 3 3" xfId="1318" xr:uid="{00000000-0005-0000-0000-000037370000}"/>
    <cellStyle name="Currency 5 2 4 2 3 3 2" xfId="15516" xr:uid="{00000000-0005-0000-0000-000038370000}"/>
    <cellStyle name="Currency 5 2 4 2 3 3 2 2" xfId="15517" xr:uid="{00000000-0005-0000-0000-000039370000}"/>
    <cellStyle name="Currency 5 2 4 2 3 3 2 2 2" xfId="15518" xr:uid="{00000000-0005-0000-0000-00003A370000}"/>
    <cellStyle name="Currency 5 2 4 2 3 3 2 2 2 2" xfId="15519" xr:uid="{00000000-0005-0000-0000-00003B370000}"/>
    <cellStyle name="Currency 5 2 4 2 3 3 2 2 3" xfId="15520" xr:uid="{00000000-0005-0000-0000-00003C370000}"/>
    <cellStyle name="Currency 5 2 4 2 3 3 2 3" xfId="15521" xr:uid="{00000000-0005-0000-0000-00003D370000}"/>
    <cellStyle name="Currency 5 2 4 2 3 3 2 3 2" xfId="15522" xr:uid="{00000000-0005-0000-0000-00003E370000}"/>
    <cellStyle name="Currency 5 2 4 2 3 3 2 4" xfId="15523" xr:uid="{00000000-0005-0000-0000-00003F370000}"/>
    <cellStyle name="Currency 5 2 4 2 3 3 3" xfId="15524" xr:uid="{00000000-0005-0000-0000-000040370000}"/>
    <cellStyle name="Currency 5 2 4 2 3 3 3 2" xfId="15525" xr:uid="{00000000-0005-0000-0000-000041370000}"/>
    <cellStyle name="Currency 5 2 4 2 3 3 3 2 2" xfId="15526" xr:uid="{00000000-0005-0000-0000-000042370000}"/>
    <cellStyle name="Currency 5 2 4 2 3 3 3 2 2 2" xfId="15527" xr:uid="{00000000-0005-0000-0000-000043370000}"/>
    <cellStyle name="Currency 5 2 4 2 3 3 3 2 3" xfId="15528" xr:uid="{00000000-0005-0000-0000-000044370000}"/>
    <cellStyle name="Currency 5 2 4 2 3 3 3 3" xfId="15529" xr:uid="{00000000-0005-0000-0000-000045370000}"/>
    <cellStyle name="Currency 5 2 4 2 3 3 3 3 2" xfId="15530" xr:uid="{00000000-0005-0000-0000-000046370000}"/>
    <cellStyle name="Currency 5 2 4 2 3 3 3 4" xfId="15531" xr:uid="{00000000-0005-0000-0000-000047370000}"/>
    <cellStyle name="Currency 5 2 4 2 3 3 4" xfId="15532" xr:uid="{00000000-0005-0000-0000-000048370000}"/>
    <cellStyle name="Currency 5 2 4 2 3 3 4 2" xfId="15533" xr:uid="{00000000-0005-0000-0000-000049370000}"/>
    <cellStyle name="Currency 5 2 4 2 3 3 4 2 2" xfId="15534" xr:uid="{00000000-0005-0000-0000-00004A370000}"/>
    <cellStyle name="Currency 5 2 4 2 3 3 4 3" xfId="15535" xr:uid="{00000000-0005-0000-0000-00004B370000}"/>
    <cellStyle name="Currency 5 2 4 2 3 3 5" xfId="15536" xr:uid="{00000000-0005-0000-0000-00004C370000}"/>
    <cellStyle name="Currency 5 2 4 2 3 3 5 2" xfId="15537" xr:uid="{00000000-0005-0000-0000-00004D370000}"/>
    <cellStyle name="Currency 5 2 4 2 3 3 6" xfId="15538" xr:uid="{00000000-0005-0000-0000-00004E370000}"/>
    <cellStyle name="Currency 5 2 4 2 3 3 7" xfId="15515" xr:uid="{00000000-0005-0000-0000-00004F370000}"/>
    <cellStyle name="Currency 5 2 4 2 3 4" xfId="15539" xr:uid="{00000000-0005-0000-0000-000050370000}"/>
    <cellStyle name="Currency 5 2 4 2 3 4 2" xfId="15540" xr:uid="{00000000-0005-0000-0000-000051370000}"/>
    <cellStyle name="Currency 5 2 4 2 3 4 2 2" xfId="15541" xr:uid="{00000000-0005-0000-0000-000052370000}"/>
    <cellStyle name="Currency 5 2 4 2 3 4 2 2 2" xfId="15542" xr:uid="{00000000-0005-0000-0000-000053370000}"/>
    <cellStyle name="Currency 5 2 4 2 3 4 2 2 2 2" xfId="15543" xr:uid="{00000000-0005-0000-0000-000054370000}"/>
    <cellStyle name="Currency 5 2 4 2 3 4 2 2 3" xfId="15544" xr:uid="{00000000-0005-0000-0000-000055370000}"/>
    <cellStyle name="Currency 5 2 4 2 3 4 2 3" xfId="15545" xr:uid="{00000000-0005-0000-0000-000056370000}"/>
    <cellStyle name="Currency 5 2 4 2 3 4 2 3 2" xfId="15546" xr:uid="{00000000-0005-0000-0000-000057370000}"/>
    <cellStyle name="Currency 5 2 4 2 3 4 2 4" xfId="15547" xr:uid="{00000000-0005-0000-0000-000058370000}"/>
    <cellStyle name="Currency 5 2 4 2 3 4 3" xfId="15548" xr:uid="{00000000-0005-0000-0000-000059370000}"/>
    <cellStyle name="Currency 5 2 4 2 3 4 3 2" xfId="15549" xr:uid="{00000000-0005-0000-0000-00005A370000}"/>
    <cellStyle name="Currency 5 2 4 2 3 4 3 2 2" xfId="15550" xr:uid="{00000000-0005-0000-0000-00005B370000}"/>
    <cellStyle name="Currency 5 2 4 2 3 4 3 3" xfId="15551" xr:uid="{00000000-0005-0000-0000-00005C370000}"/>
    <cellStyle name="Currency 5 2 4 2 3 4 4" xfId="15552" xr:uid="{00000000-0005-0000-0000-00005D370000}"/>
    <cellStyle name="Currency 5 2 4 2 3 4 4 2" xfId="15553" xr:uid="{00000000-0005-0000-0000-00005E370000}"/>
    <cellStyle name="Currency 5 2 4 2 3 4 5" xfId="15554" xr:uid="{00000000-0005-0000-0000-00005F370000}"/>
    <cellStyle name="Currency 5 2 4 2 3 5" xfId="15555" xr:uid="{00000000-0005-0000-0000-000060370000}"/>
    <cellStyle name="Currency 5 2 4 2 3 5 2" xfId="15556" xr:uid="{00000000-0005-0000-0000-000061370000}"/>
    <cellStyle name="Currency 5 2 4 2 3 5 2 2" xfId="15557" xr:uid="{00000000-0005-0000-0000-000062370000}"/>
    <cellStyle name="Currency 5 2 4 2 3 5 2 2 2" xfId="15558" xr:uid="{00000000-0005-0000-0000-000063370000}"/>
    <cellStyle name="Currency 5 2 4 2 3 5 2 2 2 2" xfId="15559" xr:uid="{00000000-0005-0000-0000-000064370000}"/>
    <cellStyle name="Currency 5 2 4 2 3 5 2 2 3" xfId="15560" xr:uid="{00000000-0005-0000-0000-000065370000}"/>
    <cellStyle name="Currency 5 2 4 2 3 5 2 3" xfId="15561" xr:uid="{00000000-0005-0000-0000-000066370000}"/>
    <cellStyle name="Currency 5 2 4 2 3 5 2 3 2" xfId="15562" xr:uid="{00000000-0005-0000-0000-000067370000}"/>
    <cellStyle name="Currency 5 2 4 2 3 5 2 4" xfId="15563" xr:uid="{00000000-0005-0000-0000-000068370000}"/>
    <cellStyle name="Currency 5 2 4 2 3 5 3" xfId="15564" xr:uid="{00000000-0005-0000-0000-000069370000}"/>
    <cellStyle name="Currency 5 2 4 2 3 5 3 2" xfId="15565" xr:uid="{00000000-0005-0000-0000-00006A370000}"/>
    <cellStyle name="Currency 5 2 4 2 3 5 3 2 2" xfId="15566" xr:uid="{00000000-0005-0000-0000-00006B370000}"/>
    <cellStyle name="Currency 5 2 4 2 3 5 3 3" xfId="15567" xr:uid="{00000000-0005-0000-0000-00006C370000}"/>
    <cellStyle name="Currency 5 2 4 2 3 5 4" xfId="15568" xr:uid="{00000000-0005-0000-0000-00006D370000}"/>
    <cellStyle name="Currency 5 2 4 2 3 5 4 2" xfId="15569" xr:uid="{00000000-0005-0000-0000-00006E370000}"/>
    <cellStyle name="Currency 5 2 4 2 3 5 5" xfId="15570" xr:uid="{00000000-0005-0000-0000-00006F370000}"/>
    <cellStyle name="Currency 5 2 4 2 3 6" xfId="15571" xr:uid="{00000000-0005-0000-0000-000070370000}"/>
    <cellStyle name="Currency 5 2 4 2 3 6 2" xfId="15572" xr:uid="{00000000-0005-0000-0000-000071370000}"/>
    <cellStyle name="Currency 5 2 4 2 3 6 2 2" xfId="15573" xr:uid="{00000000-0005-0000-0000-000072370000}"/>
    <cellStyle name="Currency 5 2 4 2 3 6 2 2 2" xfId="15574" xr:uid="{00000000-0005-0000-0000-000073370000}"/>
    <cellStyle name="Currency 5 2 4 2 3 6 2 3" xfId="15575" xr:uid="{00000000-0005-0000-0000-000074370000}"/>
    <cellStyle name="Currency 5 2 4 2 3 6 3" xfId="15576" xr:uid="{00000000-0005-0000-0000-000075370000}"/>
    <cellStyle name="Currency 5 2 4 2 3 6 3 2" xfId="15577" xr:uid="{00000000-0005-0000-0000-000076370000}"/>
    <cellStyle name="Currency 5 2 4 2 3 6 4" xfId="15578" xr:uid="{00000000-0005-0000-0000-000077370000}"/>
    <cellStyle name="Currency 5 2 4 2 3 7" xfId="15579" xr:uid="{00000000-0005-0000-0000-000078370000}"/>
    <cellStyle name="Currency 5 2 4 2 3 7 2" xfId="15580" xr:uid="{00000000-0005-0000-0000-000079370000}"/>
    <cellStyle name="Currency 5 2 4 2 3 7 2 2" xfId="15581" xr:uid="{00000000-0005-0000-0000-00007A370000}"/>
    <cellStyle name="Currency 5 2 4 2 3 7 2 2 2" xfId="15582" xr:uid="{00000000-0005-0000-0000-00007B370000}"/>
    <cellStyle name="Currency 5 2 4 2 3 7 2 3" xfId="15583" xr:uid="{00000000-0005-0000-0000-00007C370000}"/>
    <cellStyle name="Currency 5 2 4 2 3 7 3" xfId="15584" xr:uid="{00000000-0005-0000-0000-00007D370000}"/>
    <cellStyle name="Currency 5 2 4 2 3 7 3 2" xfId="15585" xr:uid="{00000000-0005-0000-0000-00007E370000}"/>
    <cellStyle name="Currency 5 2 4 2 3 7 4" xfId="15586" xr:uid="{00000000-0005-0000-0000-00007F370000}"/>
    <cellStyle name="Currency 5 2 4 2 3 8" xfId="15587" xr:uid="{00000000-0005-0000-0000-000080370000}"/>
    <cellStyle name="Currency 5 2 4 2 3 8 2" xfId="15588" xr:uid="{00000000-0005-0000-0000-000081370000}"/>
    <cellStyle name="Currency 5 2 4 2 3 8 2 2" xfId="15589" xr:uid="{00000000-0005-0000-0000-000082370000}"/>
    <cellStyle name="Currency 5 2 4 2 3 8 2 2 2" xfId="15590" xr:uid="{00000000-0005-0000-0000-000083370000}"/>
    <cellStyle name="Currency 5 2 4 2 3 8 2 3" xfId="15591" xr:uid="{00000000-0005-0000-0000-000084370000}"/>
    <cellStyle name="Currency 5 2 4 2 3 8 3" xfId="15592" xr:uid="{00000000-0005-0000-0000-000085370000}"/>
    <cellStyle name="Currency 5 2 4 2 3 8 3 2" xfId="15593" xr:uid="{00000000-0005-0000-0000-000086370000}"/>
    <cellStyle name="Currency 5 2 4 2 3 8 4" xfId="15594" xr:uid="{00000000-0005-0000-0000-000087370000}"/>
    <cellStyle name="Currency 5 2 4 2 3 9" xfId="15595" xr:uid="{00000000-0005-0000-0000-000088370000}"/>
    <cellStyle name="Currency 5 2 4 2 3 9 2" xfId="15596" xr:uid="{00000000-0005-0000-0000-000089370000}"/>
    <cellStyle name="Currency 5 2 4 2 3 9 2 2" xfId="15597" xr:uid="{00000000-0005-0000-0000-00008A370000}"/>
    <cellStyle name="Currency 5 2 4 2 3 9 3" xfId="15598" xr:uid="{00000000-0005-0000-0000-00008B370000}"/>
    <cellStyle name="Currency 5 2 4 2 4" xfId="345" xr:uid="{00000000-0005-0000-0000-00008C370000}"/>
    <cellStyle name="Currency 5 2 4 2 5" xfId="899" xr:uid="{00000000-0005-0000-0000-00008D370000}"/>
    <cellStyle name="Currency 5 2 4 2 5 10" xfId="15600" xr:uid="{00000000-0005-0000-0000-00008E370000}"/>
    <cellStyle name="Currency 5 2 4 2 5 11" xfId="15599" xr:uid="{00000000-0005-0000-0000-00008F370000}"/>
    <cellStyle name="Currency 5 2 4 2 5 2" xfId="1640" xr:uid="{00000000-0005-0000-0000-000090370000}"/>
    <cellStyle name="Currency 5 2 4 2 5 2 2" xfId="15602" xr:uid="{00000000-0005-0000-0000-000091370000}"/>
    <cellStyle name="Currency 5 2 4 2 5 2 2 2" xfId="15603" xr:uid="{00000000-0005-0000-0000-000092370000}"/>
    <cellStyle name="Currency 5 2 4 2 5 2 2 2 2" xfId="15604" xr:uid="{00000000-0005-0000-0000-000093370000}"/>
    <cellStyle name="Currency 5 2 4 2 5 2 2 2 2 2" xfId="15605" xr:uid="{00000000-0005-0000-0000-000094370000}"/>
    <cellStyle name="Currency 5 2 4 2 5 2 2 2 3" xfId="15606" xr:uid="{00000000-0005-0000-0000-000095370000}"/>
    <cellStyle name="Currency 5 2 4 2 5 2 2 3" xfId="15607" xr:uid="{00000000-0005-0000-0000-000096370000}"/>
    <cellStyle name="Currency 5 2 4 2 5 2 2 3 2" xfId="15608" xr:uid="{00000000-0005-0000-0000-000097370000}"/>
    <cellStyle name="Currency 5 2 4 2 5 2 2 4" xfId="15609" xr:uid="{00000000-0005-0000-0000-000098370000}"/>
    <cellStyle name="Currency 5 2 4 2 5 2 3" xfId="15610" xr:uid="{00000000-0005-0000-0000-000099370000}"/>
    <cellStyle name="Currency 5 2 4 2 5 2 3 2" xfId="15611" xr:uid="{00000000-0005-0000-0000-00009A370000}"/>
    <cellStyle name="Currency 5 2 4 2 5 2 3 2 2" xfId="15612" xr:uid="{00000000-0005-0000-0000-00009B370000}"/>
    <cellStyle name="Currency 5 2 4 2 5 2 3 2 2 2" xfId="15613" xr:uid="{00000000-0005-0000-0000-00009C370000}"/>
    <cellStyle name="Currency 5 2 4 2 5 2 3 2 3" xfId="15614" xr:uid="{00000000-0005-0000-0000-00009D370000}"/>
    <cellStyle name="Currency 5 2 4 2 5 2 3 3" xfId="15615" xr:uid="{00000000-0005-0000-0000-00009E370000}"/>
    <cellStyle name="Currency 5 2 4 2 5 2 3 3 2" xfId="15616" xr:uid="{00000000-0005-0000-0000-00009F370000}"/>
    <cellStyle name="Currency 5 2 4 2 5 2 3 4" xfId="15617" xr:uid="{00000000-0005-0000-0000-0000A0370000}"/>
    <cellStyle name="Currency 5 2 4 2 5 2 4" xfId="15618" xr:uid="{00000000-0005-0000-0000-0000A1370000}"/>
    <cellStyle name="Currency 5 2 4 2 5 2 4 2" xfId="15619" xr:uid="{00000000-0005-0000-0000-0000A2370000}"/>
    <cellStyle name="Currency 5 2 4 2 5 2 4 2 2" xfId="15620" xr:uid="{00000000-0005-0000-0000-0000A3370000}"/>
    <cellStyle name="Currency 5 2 4 2 5 2 4 3" xfId="15621" xr:uid="{00000000-0005-0000-0000-0000A4370000}"/>
    <cellStyle name="Currency 5 2 4 2 5 2 5" xfId="15622" xr:uid="{00000000-0005-0000-0000-0000A5370000}"/>
    <cellStyle name="Currency 5 2 4 2 5 2 5 2" xfId="15623" xr:uid="{00000000-0005-0000-0000-0000A6370000}"/>
    <cellStyle name="Currency 5 2 4 2 5 2 6" xfId="15624" xr:uid="{00000000-0005-0000-0000-0000A7370000}"/>
    <cellStyle name="Currency 5 2 4 2 5 2 7" xfId="15601" xr:uid="{00000000-0005-0000-0000-0000A8370000}"/>
    <cellStyle name="Currency 5 2 4 2 5 3" xfId="15625" xr:uid="{00000000-0005-0000-0000-0000A9370000}"/>
    <cellStyle name="Currency 5 2 4 2 5 3 2" xfId="15626" xr:uid="{00000000-0005-0000-0000-0000AA370000}"/>
    <cellStyle name="Currency 5 2 4 2 5 3 2 2" xfId="15627" xr:uid="{00000000-0005-0000-0000-0000AB370000}"/>
    <cellStyle name="Currency 5 2 4 2 5 3 2 2 2" xfId="15628" xr:uid="{00000000-0005-0000-0000-0000AC370000}"/>
    <cellStyle name="Currency 5 2 4 2 5 3 2 2 2 2" xfId="15629" xr:uid="{00000000-0005-0000-0000-0000AD370000}"/>
    <cellStyle name="Currency 5 2 4 2 5 3 2 2 3" xfId="15630" xr:uid="{00000000-0005-0000-0000-0000AE370000}"/>
    <cellStyle name="Currency 5 2 4 2 5 3 2 3" xfId="15631" xr:uid="{00000000-0005-0000-0000-0000AF370000}"/>
    <cellStyle name="Currency 5 2 4 2 5 3 2 3 2" xfId="15632" xr:uid="{00000000-0005-0000-0000-0000B0370000}"/>
    <cellStyle name="Currency 5 2 4 2 5 3 2 4" xfId="15633" xr:uid="{00000000-0005-0000-0000-0000B1370000}"/>
    <cellStyle name="Currency 5 2 4 2 5 3 3" xfId="15634" xr:uid="{00000000-0005-0000-0000-0000B2370000}"/>
    <cellStyle name="Currency 5 2 4 2 5 3 3 2" xfId="15635" xr:uid="{00000000-0005-0000-0000-0000B3370000}"/>
    <cellStyle name="Currency 5 2 4 2 5 3 3 2 2" xfId="15636" xr:uid="{00000000-0005-0000-0000-0000B4370000}"/>
    <cellStyle name="Currency 5 2 4 2 5 3 3 3" xfId="15637" xr:uid="{00000000-0005-0000-0000-0000B5370000}"/>
    <cellStyle name="Currency 5 2 4 2 5 3 4" xfId="15638" xr:uid="{00000000-0005-0000-0000-0000B6370000}"/>
    <cellStyle name="Currency 5 2 4 2 5 3 4 2" xfId="15639" xr:uid="{00000000-0005-0000-0000-0000B7370000}"/>
    <cellStyle name="Currency 5 2 4 2 5 3 5" xfId="15640" xr:uid="{00000000-0005-0000-0000-0000B8370000}"/>
    <cellStyle name="Currency 5 2 4 2 5 4" xfId="15641" xr:uid="{00000000-0005-0000-0000-0000B9370000}"/>
    <cellStyle name="Currency 5 2 4 2 5 4 2" xfId="15642" xr:uid="{00000000-0005-0000-0000-0000BA370000}"/>
    <cellStyle name="Currency 5 2 4 2 5 4 2 2" xfId="15643" xr:uid="{00000000-0005-0000-0000-0000BB370000}"/>
    <cellStyle name="Currency 5 2 4 2 5 4 2 2 2" xfId="15644" xr:uid="{00000000-0005-0000-0000-0000BC370000}"/>
    <cellStyle name="Currency 5 2 4 2 5 4 2 2 2 2" xfId="15645" xr:uid="{00000000-0005-0000-0000-0000BD370000}"/>
    <cellStyle name="Currency 5 2 4 2 5 4 2 2 3" xfId="15646" xr:uid="{00000000-0005-0000-0000-0000BE370000}"/>
    <cellStyle name="Currency 5 2 4 2 5 4 2 3" xfId="15647" xr:uid="{00000000-0005-0000-0000-0000BF370000}"/>
    <cellStyle name="Currency 5 2 4 2 5 4 2 3 2" xfId="15648" xr:uid="{00000000-0005-0000-0000-0000C0370000}"/>
    <cellStyle name="Currency 5 2 4 2 5 4 2 4" xfId="15649" xr:uid="{00000000-0005-0000-0000-0000C1370000}"/>
    <cellStyle name="Currency 5 2 4 2 5 4 3" xfId="15650" xr:uid="{00000000-0005-0000-0000-0000C2370000}"/>
    <cellStyle name="Currency 5 2 4 2 5 4 3 2" xfId="15651" xr:uid="{00000000-0005-0000-0000-0000C3370000}"/>
    <cellStyle name="Currency 5 2 4 2 5 4 3 2 2" xfId="15652" xr:uid="{00000000-0005-0000-0000-0000C4370000}"/>
    <cellStyle name="Currency 5 2 4 2 5 4 3 3" xfId="15653" xr:uid="{00000000-0005-0000-0000-0000C5370000}"/>
    <cellStyle name="Currency 5 2 4 2 5 4 4" xfId="15654" xr:uid="{00000000-0005-0000-0000-0000C6370000}"/>
    <cellStyle name="Currency 5 2 4 2 5 4 4 2" xfId="15655" xr:uid="{00000000-0005-0000-0000-0000C7370000}"/>
    <cellStyle name="Currency 5 2 4 2 5 4 5" xfId="15656" xr:uid="{00000000-0005-0000-0000-0000C8370000}"/>
    <cellStyle name="Currency 5 2 4 2 5 5" xfId="15657" xr:uid="{00000000-0005-0000-0000-0000C9370000}"/>
    <cellStyle name="Currency 5 2 4 2 5 5 2" xfId="15658" xr:uid="{00000000-0005-0000-0000-0000CA370000}"/>
    <cellStyle name="Currency 5 2 4 2 5 5 2 2" xfId="15659" xr:uid="{00000000-0005-0000-0000-0000CB370000}"/>
    <cellStyle name="Currency 5 2 4 2 5 5 2 2 2" xfId="15660" xr:uid="{00000000-0005-0000-0000-0000CC370000}"/>
    <cellStyle name="Currency 5 2 4 2 5 5 2 3" xfId="15661" xr:uid="{00000000-0005-0000-0000-0000CD370000}"/>
    <cellStyle name="Currency 5 2 4 2 5 5 3" xfId="15662" xr:uid="{00000000-0005-0000-0000-0000CE370000}"/>
    <cellStyle name="Currency 5 2 4 2 5 5 3 2" xfId="15663" xr:uid="{00000000-0005-0000-0000-0000CF370000}"/>
    <cellStyle name="Currency 5 2 4 2 5 5 4" xfId="15664" xr:uid="{00000000-0005-0000-0000-0000D0370000}"/>
    <cellStyle name="Currency 5 2 4 2 5 6" xfId="15665" xr:uid="{00000000-0005-0000-0000-0000D1370000}"/>
    <cellStyle name="Currency 5 2 4 2 5 6 2" xfId="15666" xr:uid="{00000000-0005-0000-0000-0000D2370000}"/>
    <cellStyle name="Currency 5 2 4 2 5 6 2 2" xfId="15667" xr:uid="{00000000-0005-0000-0000-0000D3370000}"/>
    <cellStyle name="Currency 5 2 4 2 5 6 2 2 2" xfId="15668" xr:uid="{00000000-0005-0000-0000-0000D4370000}"/>
    <cellStyle name="Currency 5 2 4 2 5 6 2 3" xfId="15669" xr:uid="{00000000-0005-0000-0000-0000D5370000}"/>
    <cellStyle name="Currency 5 2 4 2 5 6 3" xfId="15670" xr:uid="{00000000-0005-0000-0000-0000D6370000}"/>
    <cellStyle name="Currency 5 2 4 2 5 6 3 2" xfId="15671" xr:uid="{00000000-0005-0000-0000-0000D7370000}"/>
    <cellStyle name="Currency 5 2 4 2 5 6 4" xfId="15672" xr:uid="{00000000-0005-0000-0000-0000D8370000}"/>
    <cellStyle name="Currency 5 2 4 2 5 7" xfId="15673" xr:uid="{00000000-0005-0000-0000-0000D9370000}"/>
    <cellStyle name="Currency 5 2 4 2 5 7 2" xfId="15674" xr:uid="{00000000-0005-0000-0000-0000DA370000}"/>
    <cellStyle name="Currency 5 2 4 2 5 7 2 2" xfId="15675" xr:uid="{00000000-0005-0000-0000-0000DB370000}"/>
    <cellStyle name="Currency 5 2 4 2 5 7 2 2 2" xfId="15676" xr:uid="{00000000-0005-0000-0000-0000DC370000}"/>
    <cellStyle name="Currency 5 2 4 2 5 7 2 3" xfId="15677" xr:uid="{00000000-0005-0000-0000-0000DD370000}"/>
    <cellStyle name="Currency 5 2 4 2 5 7 3" xfId="15678" xr:uid="{00000000-0005-0000-0000-0000DE370000}"/>
    <cellStyle name="Currency 5 2 4 2 5 7 3 2" xfId="15679" xr:uid="{00000000-0005-0000-0000-0000DF370000}"/>
    <cellStyle name="Currency 5 2 4 2 5 7 4" xfId="15680" xr:uid="{00000000-0005-0000-0000-0000E0370000}"/>
    <cellStyle name="Currency 5 2 4 2 5 8" xfId="15681" xr:uid="{00000000-0005-0000-0000-0000E1370000}"/>
    <cellStyle name="Currency 5 2 4 2 5 8 2" xfId="15682" xr:uid="{00000000-0005-0000-0000-0000E2370000}"/>
    <cellStyle name="Currency 5 2 4 2 5 8 2 2" xfId="15683" xr:uid="{00000000-0005-0000-0000-0000E3370000}"/>
    <cellStyle name="Currency 5 2 4 2 5 8 3" xfId="15684" xr:uid="{00000000-0005-0000-0000-0000E4370000}"/>
    <cellStyle name="Currency 5 2 4 2 5 9" xfId="15685" xr:uid="{00000000-0005-0000-0000-0000E5370000}"/>
    <cellStyle name="Currency 5 2 4 2 5 9 2" xfId="15686" xr:uid="{00000000-0005-0000-0000-0000E6370000}"/>
    <cellStyle name="Currency 5 2 4 2 6" xfId="1315" xr:uid="{00000000-0005-0000-0000-0000E7370000}"/>
    <cellStyle name="Currency 5 2 4 2 6 2" xfId="15688" xr:uid="{00000000-0005-0000-0000-0000E8370000}"/>
    <cellStyle name="Currency 5 2 4 2 6 2 2" xfId="15689" xr:uid="{00000000-0005-0000-0000-0000E9370000}"/>
    <cellStyle name="Currency 5 2 4 2 6 2 2 2" xfId="15690" xr:uid="{00000000-0005-0000-0000-0000EA370000}"/>
    <cellStyle name="Currency 5 2 4 2 6 2 2 2 2" xfId="15691" xr:uid="{00000000-0005-0000-0000-0000EB370000}"/>
    <cellStyle name="Currency 5 2 4 2 6 2 2 3" xfId="15692" xr:uid="{00000000-0005-0000-0000-0000EC370000}"/>
    <cellStyle name="Currency 5 2 4 2 6 2 3" xfId="15693" xr:uid="{00000000-0005-0000-0000-0000ED370000}"/>
    <cellStyle name="Currency 5 2 4 2 6 2 3 2" xfId="15694" xr:uid="{00000000-0005-0000-0000-0000EE370000}"/>
    <cellStyle name="Currency 5 2 4 2 6 2 4" xfId="15695" xr:uid="{00000000-0005-0000-0000-0000EF370000}"/>
    <cellStyle name="Currency 5 2 4 2 6 3" xfId="15696" xr:uid="{00000000-0005-0000-0000-0000F0370000}"/>
    <cellStyle name="Currency 5 2 4 2 6 3 2" xfId="15697" xr:uid="{00000000-0005-0000-0000-0000F1370000}"/>
    <cellStyle name="Currency 5 2 4 2 6 3 2 2" xfId="15698" xr:uid="{00000000-0005-0000-0000-0000F2370000}"/>
    <cellStyle name="Currency 5 2 4 2 6 3 2 2 2" xfId="15699" xr:uid="{00000000-0005-0000-0000-0000F3370000}"/>
    <cellStyle name="Currency 5 2 4 2 6 3 2 3" xfId="15700" xr:uid="{00000000-0005-0000-0000-0000F4370000}"/>
    <cellStyle name="Currency 5 2 4 2 6 3 3" xfId="15701" xr:uid="{00000000-0005-0000-0000-0000F5370000}"/>
    <cellStyle name="Currency 5 2 4 2 6 3 3 2" xfId="15702" xr:uid="{00000000-0005-0000-0000-0000F6370000}"/>
    <cellStyle name="Currency 5 2 4 2 6 3 4" xfId="15703" xr:uid="{00000000-0005-0000-0000-0000F7370000}"/>
    <cellStyle name="Currency 5 2 4 2 6 4" xfId="15704" xr:uid="{00000000-0005-0000-0000-0000F8370000}"/>
    <cellStyle name="Currency 5 2 4 2 6 4 2" xfId="15705" xr:uid="{00000000-0005-0000-0000-0000F9370000}"/>
    <cellStyle name="Currency 5 2 4 2 6 4 2 2" xfId="15706" xr:uid="{00000000-0005-0000-0000-0000FA370000}"/>
    <cellStyle name="Currency 5 2 4 2 6 4 3" xfId="15707" xr:uid="{00000000-0005-0000-0000-0000FB370000}"/>
    <cellStyle name="Currency 5 2 4 2 6 5" xfId="15708" xr:uid="{00000000-0005-0000-0000-0000FC370000}"/>
    <cellStyle name="Currency 5 2 4 2 6 5 2" xfId="15709" xr:uid="{00000000-0005-0000-0000-0000FD370000}"/>
    <cellStyle name="Currency 5 2 4 2 6 6" xfId="15710" xr:uid="{00000000-0005-0000-0000-0000FE370000}"/>
    <cellStyle name="Currency 5 2 4 2 6 7" xfId="15687" xr:uid="{00000000-0005-0000-0000-0000FF370000}"/>
    <cellStyle name="Currency 5 2 4 2 7" xfId="15711" xr:uid="{00000000-0005-0000-0000-000000380000}"/>
    <cellStyle name="Currency 5 2 4 2 7 2" xfId="15712" xr:uid="{00000000-0005-0000-0000-000001380000}"/>
    <cellStyle name="Currency 5 2 4 2 7 2 2" xfId="15713" xr:uid="{00000000-0005-0000-0000-000002380000}"/>
    <cellStyle name="Currency 5 2 4 2 7 2 2 2" xfId="15714" xr:uid="{00000000-0005-0000-0000-000003380000}"/>
    <cellStyle name="Currency 5 2 4 2 7 2 2 2 2" xfId="15715" xr:uid="{00000000-0005-0000-0000-000004380000}"/>
    <cellStyle name="Currency 5 2 4 2 7 2 2 3" xfId="15716" xr:uid="{00000000-0005-0000-0000-000005380000}"/>
    <cellStyle name="Currency 5 2 4 2 7 2 3" xfId="15717" xr:uid="{00000000-0005-0000-0000-000006380000}"/>
    <cellStyle name="Currency 5 2 4 2 7 2 3 2" xfId="15718" xr:uid="{00000000-0005-0000-0000-000007380000}"/>
    <cellStyle name="Currency 5 2 4 2 7 2 4" xfId="15719" xr:uid="{00000000-0005-0000-0000-000008380000}"/>
    <cellStyle name="Currency 5 2 4 2 7 3" xfId="15720" xr:uid="{00000000-0005-0000-0000-000009380000}"/>
    <cellStyle name="Currency 5 2 4 2 7 3 2" xfId="15721" xr:uid="{00000000-0005-0000-0000-00000A380000}"/>
    <cellStyle name="Currency 5 2 4 2 7 3 2 2" xfId="15722" xr:uid="{00000000-0005-0000-0000-00000B380000}"/>
    <cellStyle name="Currency 5 2 4 2 7 3 3" xfId="15723" xr:uid="{00000000-0005-0000-0000-00000C380000}"/>
    <cellStyle name="Currency 5 2 4 2 7 4" xfId="15724" xr:uid="{00000000-0005-0000-0000-00000D380000}"/>
    <cellStyle name="Currency 5 2 4 2 7 4 2" xfId="15725" xr:uid="{00000000-0005-0000-0000-00000E380000}"/>
    <cellStyle name="Currency 5 2 4 2 7 5" xfId="15726" xr:uid="{00000000-0005-0000-0000-00000F380000}"/>
    <cellStyle name="Currency 5 2 4 2 8" xfId="15727" xr:uid="{00000000-0005-0000-0000-000010380000}"/>
    <cellStyle name="Currency 5 2 4 2 8 2" xfId="15728" xr:uid="{00000000-0005-0000-0000-000011380000}"/>
    <cellStyle name="Currency 5 2 4 2 8 2 2" xfId="15729" xr:uid="{00000000-0005-0000-0000-000012380000}"/>
    <cellStyle name="Currency 5 2 4 2 8 2 2 2" xfId="15730" xr:uid="{00000000-0005-0000-0000-000013380000}"/>
    <cellStyle name="Currency 5 2 4 2 8 2 2 2 2" xfId="15731" xr:uid="{00000000-0005-0000-0000-000014380000}"/>
    <cellStyle name="Currency 5 2 4 2 8 2 2 3" xfId="15732" xr:uid="{00000000-0005-0000-0000-000015380000}"/>
    <cellStyle name="Currency 5 2 4 2 8 2 3" xfId="15733" xr:uid="{00000000-0005-0000-0000-000016380000}"/>
    <cellStyle name="Currency 5 2 4 2 8 2 3 2" xfId="15734" xr:uid="{00000000-0005-0000-0000-000017380000}"/>
    <cellStyle name="Currency 5 2 4 2 8 2 4" xfId="15735" xr:uid="{00000000-0005-0000-0000-000018380000}"/>
    <cellStyle name="Currency 5 2 4 2 8 3" xfId="15736" xr:uid="{00000000-0005-0000-0000-000019380000}"/>
    <cellStyle name="Currency 5 2 4 2 8 3 2" xfId="15737" xr:uid="{00000000-0005-0000-0000-00001A380000}"/>
    <cellStyle name="Currency 5 2 4 2 8 3 2 2" xfId="15738" xr:uid="{00000000-0005-0000-0000-00001B380000}"/>
    <cellStyle name="Currency 5 2 4 2 8 3 3" xfId="15739" xr:uid="{00000000-0005-0000-0000-00001C380000}"/>
    <cellStyle name="Currency 5 2 4 2 8 4" xfId="15740" xr:uid="{00000000-0005-0000-0000-00001D380000}"/>
    <cellStyle name="Currency 5 2 4 2 8 4 2" xfId="15741" xr:uid="{00000000-0005-0000-0000-00001E380000}"/>
    <cellStyle name="Currency 5 2 4 2 8 5" xfId="15742" xr:uid="{00000000-0005-0000-0000-00001F380000}"/>
    <cellStyle name="Currency 5 2 4 2 9" xfId="15743" xr:uid="{00000000-0005-0000-0000-000020380000}"/>
    <cellStyle name="Currency 5 2 4 2 9 2" xfId="15744" xr:uid="{00000000-0005-0000-0000-000021380000}"/>
    <cellStyle name="Currency 5 2 4 2 9 2 2" xfId="15745" xr:uid="{00000000-0005-0000-0000-000022380000}"/>
    <cellStyle name="Currency 5 2 4 2 9 2 2 2" xfId="15746" xr:uid="{00000000-0005-0000-0000-000023380000}"/>
    <cellStyle name="Currency 5 2 4 2 9 2 3" xfId="15747" xr:uid="{00000000-0005-0000-0000-000024380000}"/>
    <cellStyle name="Currency 5 2 4 2 9 3" xfId="15748" xr:uid="{00000000-0005-0000-0000-000025380000}"/>
    <cellStyle name="Currency 5 2 4 2 9 3 2" xfId="15749" xr:uid="{00000000-0005-0000-0000-000026380000}"/>
    <cellStyle name="Currency 5 2 4 2 9 4" xfId="15750" xr:uid="{00000000-0005-0000-0000-000027380000}"/>
    <cellStyle name="Currency 5 2 4 3" xfId="346" xr:uid="{00000000-0005-0000-0000-000028380000}"/>
    <cellStyle name="Currency 5 2 4 3 10" xfId="15752" xr:uid="{00000000-0005-0000-0000-000029380000}"/>
    <cellStyle name="Currency 5 2 4 3 10 2" xfId="15753" xr:uid="{00000000-0005-0000-0000-00002A380000}"/>
    <cellStyle name="Currency 5 2 4 3 10 2 2" xfId="15754" xr:uid="{00000000-0005-0000-0000-00002B380000}"/>
    <cellStyle name="Currency 5 2 4 3 10 2 2 2" xfId="15755" xr:uid="{00000000-0005-0000-0000-00002C380000}"/>
    <cellStyle name="Currency 5 2 4 3 10 2 3" xfId="15756" xr:uid="{00000000-0005-0000-0000-00002D380000}"/>
    <cellStyle name="Currency 5 2 4 3 10 3" xfId="15757" xr:uid="{00000000-0005-0000-0000-00002E380000}"/>
    <cellStyle name="Currency 5 2 4 3 10 3 2" xfId="15758" xr:uid="{00000000-0005-0000-0000-00002F380000}"/>
    <cellStyle name="Currency 5 2 4 3 10 4" xfId="15759" xr:uid="{00000000-0005-0000-0000-000030380000}"/>
    <cellStyle name="Currency 5 2 4 3 11" xfId="15760" xr:uid="{00000000-0005-0000-0000-000031380000}"/>
    <cellStyle name="Currency 5 2 4 3 11 2" xfId="15761" xr:uid="{00000000-0005-0000-0000-000032380000}"/>
    <cellStyle name="Currency 5 2 4 3 11 2 2" xfId="15762" xr:uid="{00000000-0005-0000-0000-000033380000}"/>
    <cellStyle name="Currency 5 2 4 3 11 3" xfId="15763" xr:uid="{00000000-0005-0000-0000-000034380000}"/>
    <cellStyle name="Currency 5 2 4 3 12" xfId="15764" xr:uid="{00000000-0005-0000-0000-000035380000}"/>
    <cellStyle name="Currency 5 2 4 3 12 2" xfId="15765" xr:uid="{00000000-0005-0000-0000-000036380000}"/>
    <cellStyle name="Currency 5 2 4 3 12 2 2" xfId="15766" xr:uid="{00000000-0005-0000-0000-000037380000}"/>
    <cellStyle name="Currency 5 2 4 3 12 3" xfId="15767" xr:uid="{00000000-0005-0000-0000-000038380000}"/>
    <cellStyle name="Currency 5 2 4 3 13" xfId="15768" xr:uid="{00000000-0005-0000-0000-000039380000}"/>
    <cellStyle name="Currency 5 2 4 3 13 2" xfId="15769" xr:uid="{00000000-0005-0000-0000-00003A380000}"/>
    <cellStyle name="Currency 5 2 4 3 13 2 2" xfId="15770" xr:uid="{00000000-0005-0000-0000-00003B380000}"/>
    <cellStyle name="Currency 5 2 4 3 13 3" xfId="15771" xr:uid="{00000000-0005-0000-0000-00003C380000}"/>
    <cellStyle name="Currency 5 2 4 3 14" xfId="15772" xr:uid="{00000000-0005-0000-0000-00003D380000}"/>
    <cellStyle name="Currency 5 2 4 3 14 2" xfId="15773" xr:uid="{00000000-0005-0000-0000-00003E380000}"/>
    <cellStyle name="Currency 5 2 4 3 15" xfId="15774" xr:uid="{00000000-0005-0000-0000-00003F380000}"/>
    <cellStyle name="Currency 5 2 4 3 16" xfId="15775" xr:uid="{00000000-0005-0000-0000-000040380000}"/>
    <cellStyle name="Currency 5 2 4 3 17" xfId="15751" xr:uid="{00000000-0005-0000-0000-000041380000}"/>
    <cellStyle name="Currency 5 2 4 3 2" xfId="347" xr:uid="{00000000-0005-0000-0000-000042380000}"/>
    <cellStyle name="Currency 5 2 4 3 2 10" xfId="15777" xr:uid="{00000000-0005-0000-0000-000043380000}"/>
    <cellStyle name="Currency 5 2 4 3 2 10 2" xfId="15778" xr:uid="{00000000-0005-0000-0000-000044380000}"/>
    <cellStyle name="Currency 5 2 4 3 2 10 2 2" xfId="15779" xr:uid="{00000000-0005-0000-0000-000045380000}"/>
    <cellStyle name="Currency 5 2 4 3 2 10 3" xfId="15780" xr:uid="{00000000-0005-0000-0000-000046380000}"/>
    <cellStyle name="Currency 5 2 4 3 2 11" xfId="15781" xr:uid="{00000000-0005-0000-0000-000047380000}"/>
    <cellStyle name="Currency 5 2 4 3 2 11 2" xfId="15782" xr:uid="{00000000-0005-0000-0000-000048380000}"/>
    <cellStyle name="Currency 5 2 4 3 2 11 2 2" xfId="15783" xr:uid="{00000000-0005-0000-0000-000049380000}"/>
    <cellStyle name="Currency 5 2 4 3 2 11 3" xfId="15784" xr:uid="{00000000-0005-0000-0000-00004A380000}"/>
    <cellStyle name="Currency 5 2 4 3 2 12" xfId="15785" xr:uid="{00000000-0005-0000-0000-00004B380000}"/>
    <cellStyle name="Currency 5 2 4 3 2 12 2" xfId="15786" xr:uid="{00000000-0005-0000-0000-00004C380000}"/>
    <cellStyle name="Currency 5 2 4 3 2 13" xfId="15787" xr:uid="{00000000-0005-0000-0000-00004D380000}"/>
    <cellStyle name="Currency 5 2 4 3 2 14" xfId="15788" xr:uid="{00000000-0005-0000-0000-00004E380000}"/>
    <cellStyle name="Currency 5 2 4 3 2 15" xfId="15776" xr:uid="{00000000-0005-0000-0000-00004F380000}"/>
    <cellStyle name="Currency 5 2 4 3 2 2" xfId="904" xr:uid="{00000000-0005-0000-0000-000050380000}"/>
    <cellStyle name="Currency 5 2 4 3 2 2 10" xfId="15790" xr:uid="{00000000-0005-0000-0000-000051380000}"/>
    <cellStyle name="Currency 5 2 4 3 2 2 11" xfId="15789" xr:uid="{00000000-0005-0000-0000-000052380000}"/>
    <cellStyle name="Currency 5 2 4 3 2 2 2" xfId="1645" xr:uid="{00000000-0005-0000-0000-000053380000}"/>
    <cellStyle name="Currency 5 2 4 3 2 2 2 2" xfId="15792" xr:uid="{00000000-0005-0000-0000-000054380000}"/>
    <cellStyle name="Currency 5 2 4 3 2 2 2 2 2" xfId="15793" xr:uid="{00000000-0005-0000-0000-000055380000}"/>
    <cellStyle name="Currency 5 2 4 3 2 2 2 2 2 2" xfId="15794" xr:uid="{00000000-0005-0000-0000-000056380000}"/>
    <cellStyle name="Currency 5 2 4 3 2 2 2 2 2 2 2" xfId="15795" xr:uid="{00000000-0005-0000-0000-000057380000}"/>
    <cellStyle name="Currency 5 2 4 3 2 2 2 2 2 3" xfId="15796" xr:uid="{00000000-0005-0000-0000-000058380000}"/>
    <cellStyle name="Currency 5 2 4 3 2 2 2 2 3" xfId="15797" xr:uid="{00000000-0005-0000-0000-000059380000}"/>
    <cellStyle name="Currency 5 2 4 3 2 2 2 2 3 2" xfId="15798" xr:uid="{00000000-0005-0000-0000-00005A380000}"/>
    <cellStyle name="Currency 5 2 4 3 2 2 2 2 4" xfId="15799" xr:uid="{00000000-0005-0000-0000-00005B380000}"/>
    <cellStyle name="Currency 5 2 4 3 2 2 2 3" xfId="15800" xr:uid="{00000000-0005-0000-0000-00005C380000}"/>
    <cellStyle name="Currency 5 2 4 3 2 2 2 3 2" xfId="15801" xr:uid="{00000000-0005-0000-0000-00005D380000}"/>
    <cellStyle name="Currency 5 2 4 3 2 2 2 3 2 2" xfId="15802" xr:uid="{00000000-0005-0000-0000-00005E380000}"/>
    <cellStyle name="Currency 5 2 4 3 2 2 2 3 2 2 2" xfId="15803" xr:uid="{00000000-0005-0000-0000-00005F380000}"/>
    <cellStyle name="Currency 5 2 4 3 2 2 2 3 2 3" xfId="15804" xr:uid="{00000000-0005-0000-0000-000060380000}"/>
    <cellStyle name="Currency 5 2 4 3 2 2 2 3 3" xfId="15805" xr:uid="{00000000-0005-0000-0000-000061380000}"/>
    <cellStyle name="Currency 5 2 4 3 2 2 2 3 3 2" xfId="15806" xr:uid="{00000000-0005-0000-0000-000062380000}"/>
    <cellStyle name="Currency 5 2 4 3 2 2 2 3 4" xfId="15807" xr:uid="{00000000-0005-0000-0000-000063380000}"/>
    <cellStyle name="Currency 5 2 4 3 2 2 2 4" xfId="15808" xr:uid="{00000000-0005-0000-0000-000064380000}"/>
    <cellStyle name="Currency 5 2 4 3 2 2 2 4 2" xfId="15809" xr:uid="{00000000-0005-0000-0000-000065380000}"/>
    <cellStyle name="Currency 5 2 4 3 2 2 2 4 2 2" xfId="15810" xr:uid="{00000000-0005-0000-0000-000066380000}"/>
    <cellStyle name="Currency 5 2 4 3 2 2 2 4 3" xfId="15811" xr:uid="{00000000-0005-0000-0000-000067380000}"/>
    <cellStyle name="Currency 5 2 4 3 2 2 2 5" xfId="15812" xr:uid="{00000000-0005-0000-0000-000068380000}"/>
    <cellStyle name="Currency 5 2 4 3 2 2 2 5 2" xfId="15813" xr:uid="{00000000-0005-0000-0000-000069380000}"/>
    <cellStyle name="Currency 5 2 4 3 2 2 2 6" xfId="15814" xr:uid="{00000000-0005-0000-0000-00006A380000}"/>
    <cellStyle name="Currency 5 2 4 3 2 2 2 7" xfId="15791" xr:uid="{00000000-0005-0000-0000-00006B380000}"/>
    <cellStyle name="Currency 5 2 4 3 2 2 3" xfId="15815" xr:uid="{00000000-0005-0000-0000-00006C380000}"/>
    <cellStyle name="Currency 5 2 4 3 2 2 3 2" xfId="15816" xr:uid="{00000000-0005-0000-0000-00006D380000}"/>
    <cellStyle name="Currency 5 2 4 3 2 2 3 2 2" xfId="15817" xr:uid="{00000000-0005-0000-0000-00006E380000}"/>
    <cellStyle name="Currency 5 2 4 3 2 2 3 2 2 2" xfId="15818" xr:uid="{00000000-0005-0000-0000-00006F380000}"/>
    <cellStyle name="Currency 5 2 4 3 2 2 3 2 2 2 2" xfId="15819" xr:uid="{00000000-0005-0000-0000-000070380000}"/>
    <cellStyle name="Currency 5 2 4 3 2 2 3 2 2 3" xfId="15820" xr:uid="{00000000-0005-0000-0000-000071380000}"/>
    <cellStyle name="Currency 5 2 4 3 2 2 3 2 3" xfId="15821" xr:uid="{00000000-0005-0000-0000-000072380000}"/>
    <cellStyle name="Currency 5 2 4 3 2 2 3 2 3 2" xfId="15822" xr:uid="{00000000-0005-0000-0000-000073380000}"/>
    <cellStyle name="Currency 5 2 4 3 2 2 3 2 4" xfId="15823" xr:uid="{00000000-0005-0000-0000-000074380000}"/>
    <cellStyle name="Currency 5 2 4 3 2 2 3 3" xfId="15824" xr:uid="{00000000-0005-0000-0000-000075380000}"/>
    <cellStyle name="Currency 5 2 4 3 2 2 3 3 2" xfId="15825" xr:uid="{00000000-0005-0000-0000-000076380000}"/>
    <cellStyle name="Currency 5 2 4 3 2 2 3 3 2 2" xfId="15826" xr:uid="{00000000-0005-0000-0000-000077380000}"/>
    <cellStyle name="Currency 5 2 4 3 2 2 3 3 3" xfId="15827" xr:uid="{00000000-0005-0000-0000-000078380000}"/>
    <cellStyle name="Currency 5 2 4 3 2 2 3 4" xfId="15828" xr:uid="{00000000-0005-0000-0000-000079380000}"/>
    <cellStyle name="Currency 5 2 4 3 2 2 3 4 2" xfId="15829" xr:uid="{00000000-0005-0000-0000-00007A380000}"/>
    <cellStyle name="Currency 5 2 4 3 2 2 3 5" xfId="15830" xr:uid="{00000000-0005-0000-0000-00007B380000}"/>
    <cellStyle name="Currency 5 2 4 3 2 2 4" xfId="15831" xr:uid="{00000000-0005-0000-0000-00007C380000}"/>
    <cellStyle name="Currency 5 2 4 3 2 2 4 2" xfId="15832" xr:uid="{00000000-0005-0000-0000-00007D380000}"/>
    <cellStyle name="Currency 5 2 4 3 2 2 4 2 2" xfId="15833" xr:uid="{00000000-0005-0000-0000-00007E380000}"/>
    <cellStyle name="Currency 5 2 4 3 2 2 4 2 2 2" xfId="15834" xr:uid="{00000000-0005-0000-0000-00007F380000}"/>
    <cellStyle name="Currency 5 2 4 3 2 2 4 2 2 2 2" xfId="15835" xr:uid="{00000000-0005-0000-0000-000080380000}"/>
    <cellStyle name="Currency 5 2 4 3 2 2 4 2 2 3" xfId="15836" xr:uid="{00000000-0005-0000-0000-000081380000}"/>
    <cellStyle name="Currency 5 2 4 3 2 2 4 2 3" xfId="15837" xr:uid="{00000000-0005-0000-0000-000082380000}"/>
    <cellStyle name="Currency 5 2 4 3 2 2 4 2 3 2" xfId="15838" xr:uid="{00000000-0005-0000-0000-000083380000}"/>
    <cellStyle name="Currency 5 2 4 3 2 2 4 2 4" xfId="15839" xr:uid="{00000000-0005-0000-0000-000084380000}"/>
    <cellStyle name="Currency 5 2 4 3 2 2 4 3" xfId="15840" xr:uid="{00000000-0005-0000-0000-000085380000}"/>
    <cellStyle name="Currency 5 2 4 3 2 2 4 3 2" xfId="15841" xr:uid="{00000000-0005-0000-0000-000086380000}"/>
    <cellStyle name="Currency 5 2 4 3 2 2 4 3 2 2" xfId="15842" xr:uid="{00000000-0005-0000-0000-000087380000}"/>
    <cellStyle name="Currency 5 2 4 3 2 2 4 3 3" xfId="15843" xr:uid="{00000000-0005-0000-0000-000088380000}"/>
    <cellStyle name="Currency 5 2 4 3 2 2 4 4" xfId="15844" xr:uid="{00000000-0005-0000-0000-000089380000}"/>
    <cellStyle name="Currency 5 2 4 3 2 2 4 4 2" xfId="15845" xr:uid="{00000000-0005-0000-0000-00008A380000}"/>
    <cellStyle name="Currency 5 2 4 3 2 2 4 5" xfId="15846" xr:uid="{00000000-0005-0000-0000-00008B380000}"/>
    <cellStyle name="Currency 5 2 4 3 2 2 5" xfId="15847" xr:uid="{00000000-0005-0000-0000-00008C380000}"/>
    <cellStyle name="Currency 5 2 4 3 2 2 5 2" xfId="15848" xr:uid="{00000000-0005-0000-0000-00008D380000}"/>
    <cellStyle name="Currency 5 2 4 3 2 2 5 2 2" xfId="15849" xr:uid="{00000000-0005-0000-0000-00008E380000}"/>
    <cellStyle name="Currency 5 2 4 3 2 2 5 2 2 2" xfId="15850" xr:uid="{00000000-0005-0000-0000-00008F380000}"/>
    <cellStyle name="Currency 5 2 4 3 2 2 5 2 3" xfId="15851" xr:uid="{00000000-0005-0000-0000-000090380000}"/>
    <cellStyle name="Currency 5 2 4 3 2 2 5 3" xfId="15852" xr:uid="{00000000-0005-0000-0000-000091380000}"/>
    <cellStyle name="Currency 5 2 4 3 2 2 5 3 2" xfId="15853" xr:uid="{00000000-0005-0000-0000-000092380000}"/>
    <cellStyle name="Currency 5 2 4 3 2 2 5 4" xfId="15854" xr:uid="{00000000-0005-0000-0000-000093380000}"/>
    <cellStyle name="Currency 5 2 4 3 2 2 6" xfId="15855" xr:uid="{00000000-0005-0000-0000-000094380000}"/>
    <cellStyle name="Currency 5 2 4 3 2 2 6 2" xfId="15856" xr:uid="{00000000-0005-0000-0000-000095380000}"/>
    <cellStyle name="Currency 5 2 4 3 2 2 6 2 2" xfId="15857" xr:uid="{00000000-0005-0000-0000-000096380000}"/>
    <cellStyle name="Currency 5 2 4 3 2 2 6 2 2 2" xfId="15858" xr:uid="{00000000-0005-0000-0000-000097380000}"/>
    <cellStyle name="Currency 5 2 4 3 2 2 6 2 3" xfId="15859" xr:uid="{00000000-0005-0000-0000-000098380000}"/>
    <cellStyle name="Currency 5 2 4 3 2 2 6 3" xfId="15860" xr:uid="{00000000-0005-0000-0000-000099380000}"/>
    <cellStyle name="Currency 5 2 4 3 2 2 6 3 2" xfId="15861" xr:uid="{00000000-0005-0000-0000-00009A380000}"/>
    <cellStyle name="Currency 5 2 4 3 2 2 6 4" xfId="15862" xr:uid="{00000000-0005-0000-0000-00009B380000}"/>
    <cellStyle name="Currency 5 2 4 3 2 2 7" xfId="15863" xr:uid="{00000000-0005-0000-0000-00009C380000}"/>
    <cellStyle name="Currency 5 2 4 3 2 2 7 2" xfId="15864" xr:uid="{00000000-0005-0000-0000-00009D380000}"/>
    <cellStyle name="Currency 5 2 4 3 2 2 7 2 2" xfId="15865" xr:uid="{00000000-0005-0000-0000-00009E380000}"/>
    <cellStyle name="Currency 5 2 4 3 2 2 7 2 2 2" xfId="15866" xr:uid="{00000000-0005-0000-0000-00009F380000}"/>
    <cellStyle name="Currency 5 2 4 3 2 2 7 2 3" xfId="15867" xr:uid="{00000000-0005-0000-0000-0000A0380000}"/>
    <cellStyle name="Currency 5 2 4 3 2 2 7 3" xfId="15868" xr:uid="{00000000-0005-0000-0000-0000A1380000}"/>
    <cellStyle name="Currency 5 2 4 3 2 2 7 3 2" xfId="15869" xr:uid="{00000000-0005-0000-0000-0000A2380000}"/>
    <cellStyle name="Currency 5 2 4 3 2 2 7 4" xfId="15870" xr:uid="{00000000-0005-0000-0000-0000A3380000}"/>
    <cellStyle name="Currency 5 2 4 3 2 2 8" xfId="15871" xr:uid="{00000000-0005-0000-0000-0000A4380000}"/>
    <cellStyle name="Currency 5 2 4 3 2 2 8 2" xfId="15872" xr:uid="{00000000-0005-0000-0000-0000A5380000}"/>
    <cellStyle name="Currency 5 2 4 3 2 2 8 2 2" xfId="15873" xr:uid="{00000000-0005-0000-0000-0000A6380000}"/>
    <cellStyle name="Currency 5 2 4 3 2 2 8 3" xfId="15874" xr:uid="{00000000-0005-0000-0000-0000A7380000}"/>
    <cellStyle name="Currency 5 2 4 3 2 2 9" xfId="15875" xr:uid="{00000000-0005-0000-0000-0000A8380000}"/>
    <cellStyle name="Currency 5 2 4 3 2 2 9 2" xfId="15876" xr:uid="{00000000-0005-0000-0000-0000A9380000}"/>
    <cellStyle name="Currency 5 2 4 3 2 3" xfId="1320" xr:uid="{00000000-0005-0000-0000-0000AA380000}"/>
    <cellStyle name="Currency 5 2 4 3 2 3 2" xfId="15878" xr:uid="{00000000-0005-0000-0000-0000AB380000}"/>
    <cellStyle name="Currency 5 2 4 3 2 3 2 2" xfId="15879" xr:uid="{00000000-0005-0000-0000-0000AC380000}"/>
    <cellStyle name="Currency 5 2 4 3 2 3 2 2 2" xfId="15880" xr:uid="{00000000-0005-0000-0000-0000AD380000}"/>
    <cellStyle name="Currency 5 2 4 3 2 3 2 2 2 2" xfId="15881" xr:uid="{00000000-0005-0000-0000-0000AE380000}"/>
    <cellStyle name="Currency 5 2 4 3 2 3 2 2 3" xfId="15882" xr:uid="{00000000-0005-0000-0000-0000AF380000}"/>
    <cellStyle name="Currency 5 2 4 3 2 3 2 3" xfId="15883" xr:uid="{00000000-0005-0000-0000-0000B0380000}"/>
    <cellStyle name="Currency 5 2 4 3 2 3 2 3 2" xfId="15884" xr:uid="{00000000-0005-0000-0000-0000B1380000}"/>
    <cellStyle name="Currency 5 2 4 3 2 3 2 4" xfId="15885" xr:uid="{00000000-0005-0000-0000-0000B2380000}"/>
    <cellStyle name="Currency 5 2 4 3 2 3 3" xfId="15886" xr:uid="{00000000-0005-0000-0000-0000B3380000}"/>
    <cellStyle name="Currency 5 2 4 3 2 3 3 2" xfId="15887" xr:uid="{00000000-0005-0000-0000-0000B4380000}"/>
    <cellStyle name="Currency 5 2 4 3 2 3 3 2 2" xfId="15888" xr:uid="{00000000-0005-0000-0000-0000B5380000}"/>
    <cellStyle name="Currency 5 2 4 3 2 3 3 2 2 2" xfId="15889" xr:uid="{00000000-0005-0000-0000-0000B6380000}"/>
    <cellStyle name="Currency 5 2 4 3 2 3 3 2 3" xfId="15890" xr:uid="{00000000-0005-0000-0000-0000B7380000}"/>
    <cellStyle name="Currency 5 2 4 3 2 3 3 3" xfId="15891" xr:uid="{00000000-0005-0000-0000-0000B8380000}"/>
    <cellStyle name="Currency 5 2 4 3 2 3 3 3 2" xfId="15892" xr:uid="{00000000-0005-0000-0000-0000B9380000}"/>
    <cellStyle name="Currency 5 2 4 3 2 3 3 4" xfId="15893" xr:uid="{00000000-0005-0000-0000-0000BA380000}"/>
    <cellStyle name="Currency 5 2 4 3 2 3 4" xfId="15894" xr:uid="{00000000-0005-0000-0000-0000BB380000}"/>
    <cellStyle name="Currency 5 2 4 3 2 3 4 2" xfId="15895" xr:uid="{00000000-0005-0000-0000-0000BC380000}"/>
    <cellStyle name="Currency 5 2 4 3 2 3 4 2 2" xfId="15896" xr:uid="{00000000-0005-0000-0000-0000BD380000}"/>
    <cellStyle name="Currency 5 2 4 3 2 3 4 3" xfId="15897" xr:uid="{00000000-0005-0000-0000-0000BE380000}"/>
    <cellStyle name="Currency 5 2 4 3 2 3 5" xfId="15898" xr:uid="{00000000-0005-0000-0000-0000BF380000}"/>
    <cellStyle name="Currency 5 2 4 3 2 3 5 2" xfId="15899" xr:uid="{00000000-0005-0000-0000-0000C0380000}"/>
    <cellStyle name="Currency 5 2 4 3 2 3 6" xfId="15900" xr:uid="{00000000-0005-0000-0000-0000C1380000}"/>
    <cellStyle name="Currency 5 2 4 3 2 3 7" xfId="15877" xr:uid="{00000000-0005-0000-0000-0000C2380000}"/>
    <cellStyle name="Currency 5 2 4 3 2 4" xfId="15901" xr:uid="{00000000-0005-0000-0000-0000C3380000}"/>
    <cellStyle name="Currency 5 2 4 3 2 4 2" xfId="15902" xr:uid="{00000000-0005-0000-0000-0000C4380000}"/>
    <cellStyle name="Currency 5 2 4 3 2 4 2 2" xfId="15903" xr:uid="{00000000-0005-0000-0000-0000C5380000}"/>
    <cellStyle name="Currency 5 2 4 3 2 4 2 2 2" xfId="15904" xr:uid="{00000000-0005-0000-0000-0000C6380000}"/>
    <cellStyle name="Currency 5 2 4 3 2 4 2 2 2 2" xfId="15905" xr:uid="{00000000-0005-0000-0000-0000C7380000}"/>
    <cellStyle name="Currency 5 2 4 3 2 4 2 2 3" xfId="15906" xr:uid="{00000000-0005-0000-0000-0000C8380000}"/>
    <cellStyle name="Currency 5 2 4 3 2 4 2 3" xfId="15907" xr:uid="{00000000-0005-0000-0000-0000C9380000}"/>
    <cellStyle name="Currency 5 2 4 3 2 4 2 3 2" xfId="15908" xr:uid="{00000000-0005-0000-0000-0000CA380000}"/>
    <cellStyle name="Currency 5 2 4 3 2 4 2 4" xfId="15909" xr:uid="{00000000-0005-0000-0000-0000CB380000}"/>
    <cellStyle name="Currency 5 2 4 3 2 4 3" xfId="15910" xr:uid="{00000000-0005-0000-0000-0000CC380000}"/>
    <cellStyle name="Currency 5 2 4 3 2 4 3 2" xfId="15911" xr:uid="{00000000-0005-0000-0000-0000CD380000}"/>
    <cellStyle name="Currency 5 2 4 3 2 4 3 2 2" xfId="15912" xr:uid="{00000000-0005-0000-0000-0000CE380000}"/>
    <cellStyle name="Currency 5 2 4 3 2 4 3 3" xfId="15913" xr:uid="{00000000-0005-0000-0000-0000CF380000}"/>
    <cellStyle name="Currency 5 2 4 3 2 4 4" xfId="15914" xr:uid="{00000000-0005-0000-0000-0000D0380000}"/>
    <cellStyle name="Currency 5 2 4 3 2 4 4 2" xfId="15915" xr:uid="{00000000-0005-0000-0000-0000D1380000}"/>
    <cellStyle name="Currency 5 2 4 3 2 4 5" xfId="15916" xr:uid="{00000000-0005-0000-0000-0000D2380000}"/>
    <cellStyle name="Currency 5 2 4 3 2 5" xfId="15917" xr:uid="{00000000-0005-0000-0000-0000D3380000}"/>
    <cellStyle name="Currency 5 2 4 3 2 5 2" xfId="15918" xr:uid="{00000000-0005-0000-0000-0000D4380000}"/>
    <cellStyle name="Currency 5 2 4 3 2 5 2 2" xfId="15919" xr:uid="{00000000-0005-0000-0000-0000D5380000}"/>
    <cellStyle name="Currency 5 2 4 3 2 5 2 2 2" xfId="15920" xr:uid="{00000000-0005-0000-0000-0000D6380000}"/>
    <cellStyle name="Currency 5 2 4 3 2 5 2 2 2 2" xfId="15921" xr:uid="{00000000-0005-0000-0000-0000D7380000}"/>
    <cellStyle name="Currency 5 2 4 3 2 5 2 2 3" xfId="15922" xr:uid="{00000000-0005-0000-0000-0000D8380000}"/>
    <cellStyle name="Currency 5 2 4 3 2 5 2 3" xfId="15923" xr:uid="{00000000-0005-0000-0000-0000D9380000}"/>
    <cellStyle name="Currency 5 2 4 3 2 5 2 3 2" xfId="15924" xr:uid="{00000000-0005-0000-0000-0000DA380000}"/>
    <cellStyle name="Currency 5 2 4 3 2 5 2 4" xfId="15925" xr:uid="{00000000-0005-0000-0000-0000DB380000}"/>
    <cellStyle name="Currency 5 2 4 3 2 5 3" xfId="15926" xr:uid="{00000000-0005-0000-0000-0000DC380000}"/>
    <cellStyle name="Currency 5 2 4 3 2 5 3 2" xfId="15927" xr:uid="{00000000-0005-0000-0000-0000DD380000}"/>
    <cellStyle name="Currency 5 2 4 3 2 5 3 2 2" xfId="15928" xr:uid="{00000000-0005-0000-0000-0000DE380000}"/>
    <cellStyle name="Currency 5 2 4 3 2 5 3 3" xfId="15929" xr:uid="{00000000-0005-0000-0000-0000DF380000}"/>
    <cellStyle name="Currency 5 2 4 3 2 5 4" xfId="15930" xr:uid="{00000000-0005-0000-0000-0000E0380000}"/>
    <cellStyle name="Currency 5 2 4 3 2 5 4 2" xfId="15931" xr:uid="{00000000-0005-0000-0000-0000E1380000}"/>
    <cellStyle name="Currency 5 2 4 3 2 5 5" xfId="15932" xr:uid="{00000000-0005-0000-0000-0000E2380000}"/>
    <cellStyle name="Currency 5 2 4 3 2 6" xfId="15933" xr:uid="{00000000-0005-0000-0000-0000E3380000}"/>
    <cellStyle name="Currency 5 2 4 3 2 6 2" xfId="15934" xr:uid="{00000000-0005-0000-0000-0000E4380000}"/>
    <cellStyle name="Currency 5 2 4 3 2 6 2 2" xfId="15935" xr:uid="{00000000-0005-0000-0000-0000E5380000}"/>
    <cellStyle name="Currency 5 2 4 3 2 6 2 2 2" xfId="15936" xr:uid="{00000000-0005-0000-0000-0000E6380000}"/>
    <cellStyle name="Currency 5 2 4 3 2 6 2 3" xfId="15937" xr:uid="{00000000-0005-0000-0000-0000E7380000}"/>
    <cellStyle name="Currency 5 2 4 3 2 6 3" xfId="15938" xr:uid="{00000000-0005-0000-0000-0000E8380000}"/>
    <cellStyle name="Currency 5 2 4 3 2 6 3 2" xfId="15939" xr:uid="{00000000-0005-0000-0000-0000E9380000}"/>
    <cellStyle name="Currency 5 2 4 3 2 6 4" xfId="15940" xr:uid="{00000000-0005-0000-0000-0000EA380000}"/>
    <cellStyle name="Currency 5 2 4 3 2 7" xfId="15941" xr:uid="{00000000-0005-0000-0000-0000EB380000}"/>
    <cellStyle name="Currency 5 2 4 3 2 7 2" xfId="15942" xr:uid="{00000000-0005-0000-0000-0000EC380000}"/>
    <cellStyle name="Currency 5 2 4 3 2 7 2 2" xfId="15943" xr:uid="{00000000-0005-0000-0000-0000ED380000}"/>
    <cellStyle name="Currency 5 2 4 3 2 7 2 2 2" xfId="15944" xr:uid="{00000000-0005-0000-0000-0000EE380000}"/>
    <cellStyle name="Currency 5 2 4 3 2 7 2 3" xfId="15945" xr:uid="{00000000-0005-0000-0000-0000EF380000}"/>
    <cellStyle name="Currency 5 2 4 3 2 7 3" xfId="15946" xr:uid="{00000000-0005-0000-0000-0000F0380000}"/>
    <cellStyle name="Currency 5 2 4 3 2 7 3 2" xfId="15947" xr:uid="{00000000-0005-0000-0000-0000F1380000}"/>
    <cellStyle name="Currency 5 2 4 3 2 7 4" xfId="15948" xr:uid="{00000000-0005-0000-0000-0000F2380000}"/>
    <cellStyle name="Currency 5 2 4 3 2 8" xfId="15949" xr:uid="{00000000-0005-0000-0000-0000F3380000}"/>
    <cellStyle name="Currency 5 2 4 3 2 8 2" xfId="15950" xr:uid="{00000000-0005-0000-0000-0000F4380000}"/>
    <cellStyle name="Currency 5 2 4 3 2 8 2 2" xfId="15951" xr:uid="{00000000-0005-0000-0000-0000F5380000}"/>
    <cellStyle name="Currency 5 2 4 3 2 8 2 2 2" xfId="15952" xr:uid="{00000000-0005-0000-0000-0000F6380000}"/>
    <cellStyle name="Currency 5 2 4 3 2 8 2 3" xfId="15953" xr:uid="{00000000-0005-0000-0000-0000F7380000}"/>
    <cellStyle name="Currency 5 2 4 3 2 8 3" xfId="15954" xr:uid="{00000000-0005-0000-0000-0000F8380000}"/>
    <cellStyle name="Currency 5 2 4 3 2 8 3 2" xfId="15955" xr:uid="{00000000-0005-0000-0000-0000F9380000}"/>
    <cellStyle name="Currency 5 2 4 3 2 8 4" xfId="15956" xr:uid="{00000000-0005-0000-0000-0000FA380000}"/>
    <cellStyle name="Currency 5 2 4 3 2 9" xfId="15957" xr:uid="{00000000-0005-0000-0000-0000FB380000}"/>
    <cellStyle name="Currency 5 2 4 3 2 9 2" xfId="15958" xr:uid="{00000000-0005-0000-0000-0000FC380000}"/>
    <cellStyle name="Currency 5 2 4 3 2 9 2 2" xfId="15959" xr:uid="{00000000-0005-0000-0000-0000FD380000}"/>
    <cellStyle name="Currency 5 2 4 3 2 9 3" xfId="15960" xr:uid="{00000000-0005-0000-0000-0000FE380000}"/>
    <cellStyle name="Currency 5 2 4 3 3" xfId="348" xr:uid="{00000000-0005-0000-0000-0000FF380000}"/>
    <cellStyle name="Currency 5 2 4 3 4" xfId="903" xr:uid="{00000000-0005-0000-0000-000000390000}"/>
    <cellStyle name="Currency 5 2 4 3 4 10" xfId="15962" xr:uid="{00000000-0005-0000-0000-000001390000}"/>
    <cellStyle name="Currency 5 2 4 3 4 11" xfId="15961" xr:uid="{00000000-0005-0000-0000-000002390000}"/>
    <cellStyle name="Currency 5 2 4 3 4 2" xfId="1644" xr:uid="{00000000-0005-0000-0000-000003390000}"/>
    <cellStyle name="Currency 5 2 4 3 4 2 2" xfId="15964" xr:uid="{00000000-0005-0000-0000-000004390000}"/>
    <cellStyle name="Currency 5 2 4 3 4 2 2 2" xfId="15965" xr:uid="{00000000-0005-0000-0000-000005390000}"/>
    <cellStyle name="Currency 5 2 4 3 4 2 2 2 2" xfId="15966" xr:uid="{00000000-0005-0000-0000-000006390000}"/>
    <cellStyle name="Currency 5 2 4 3 4 2 2 2 2 2" xfId="15967" xr:uid="{00000000-0005-0000-0000-000007390000}"/>
    <cellStyle name="Currency 5 2 4 3 4 2 2 2 3" xfId="15968" xr:uid="{00000000-0005-0000-0000-000008390000}"/>
    <cellStyle name="Currency 5 2 4 3 4 2 2 3" xfId="15969" xr:uid="{00000000-0005-0000-0000-000009390000}"/>
    <cellStyle name="Currency 5 2 4 3 4 2 2 3 2" xfId="15970" xr:uid="{00000000-0005-0000-0000-00000A390000}"/>
    <cellStyle name="Currency 5 2 4 3 4 2 2 4" xfId="15971" xr:uid="{00000000-0005-0000-0000-00000B390000}"/>
    <cellStyle name="Currency 5 2 4 3 4 2 3" xfId="15972" xr:uid="{00000000-0005-0000-0000-00000C390000}"/>
    <cellStyle name="Currency 5 2 4 3 4 2 3 2" xfId="15973" xr:uid="{00000000-0005-0000-0000-00000D390000}"/>
    <cellStyle name="Currency 5 2 4 3 4 2 3 2 2" xfId="15974" xr:uid="{00000000-0005-0000-0000-00000E390000}"/>
    <cellStyle name="Currency 5 2 4 3 4 2 3 2 2 2" xfId="15975" xr:uid="{00000000-0005-0000-0000-00000F390000}"/>
    <cellStyle name="Currency 5 2 4 3 4 2 3 2 3" xfId="15976" xr:uid="{00000000-0005-0000-0000-000010390000}"/>
    <cellStyle name="Currency 5 2 4 3 4 2 3 3" xfId="15977" xr:uid="{00000000-0005-0000-0000-000011390000}"/>
    <cellStyle name="Currency 5 2 4 3 4 2 3 3 2" xfId="15978" xr:uid="{00000000-0005-0000-0000-000012390000}"/>
    <cellStyle name="Currency 5 2 4 3 4 2 3 4" xfId="15979" xr:uid="{00000000-0005-0000-0000-000013390000}"/>
    <cellStyle name="Currency 5 2 4 3 4 2 4" xfId="15980" xr:uid="{00000000-0005-0000-0000-000014390000}"/>
    <cellStyle name="Currency 5 2 4 3 4 2 4 2" xfId="15981" xr:uid="{00000000-0005-0000-0000-000015390000}"/>
    <cellStyle name="Currency 5 2 4 3 4 2 4 2 2" xfId="15982" xr:uid="{00000000-0005-0000-0000-000016390000}"/>
    <cellStyle name="Currency 5 2 4 3 4 2 4 3" xfId="15983" xr:uid="{00000000-0005-0000-0000-000017390000}"/>
    <cellStyle name="Currency 5 2 4 3 4 2 5" xfId="15984" xr:uid="{00000000-0005-0000-0000-000018390000}"/>
    <cellStyle name="Currency 5 2 4 3 4 2 5 2" xfId="15985" xr:uid="{00000000-0005-0000-0000-000019390000}"/>
    <cellStyle name="Currency 5 2 4 3 4 2 6" xfId="15986" xr:uid="{00000000-0005-0000-0000-00001A390000}"/>
    <cellStyle name="Currency 5 2 4 3 4 2 7" xfId="15963" xr:uid="{00000000-0005-0000-0000-00001B390000}"/>
    <cellStyle name="Currency 5 2 4 3 4 3" xfId="15987" xr:uid="{00000000-0005-0000-0000-00001C390000}"/>
    <cellStyle name="Currency 5 2 4 3 4 3 2" xfId="15988" xr:uid="{00000000-0005-0000-0000-00001D390000}"/>
    <cellStyle name="Currency 5 2 4 3 4 3 2 2" xfId="15989" xr:uid="{00000000-0005-0000-0000-00001E390000}"/>
    <cellStyle name="Currency 5 2 4 3 4 3 2 2 2" xfId="15990" xr:uid="{00000000-0005-0000-0000-00001F390000}"/>
    <cellStyle name="Currency 5 2 4 3 4 3 2 2 2 2" xfId="15991" xr:uid="{00000000-0005-0000-0000-000020390000}"/>
    <cellStyle name="Currency 5 2 4 3 4 3 2 2 3" xfId="15992" xr:uid="{00000000-0005-0000-0000-000021390000}"/>
    <cellStyle name="Currency 5 2 4 3 4 3 2 3" xfId="15993" xr:uid="{00000000-0005-0000-0000-000022390000}"/>
    <cellStyle name="Currency 5 2 4 3 4 3 2 3 2" xfId="15994" xr:uid="{00000000-0005-0000-0000-000023390000}"/>
    <cellStyle name="Currency 5 2 4 3 4 3 2 4" xfId="15995" xr:uid="{00000000-0005-0000-0000-000024390000}"/>
    <cellStyle name="Currency 5 2 4 3 4 3 3" xfId="15996" xr:uid="{00000000-0005-0000-0000-000025390000}"/>
    <cellStyle name="Currency 5 2 4 3 4 3 3 2" xfId="15997" xr:uid="{00000000-0005-0000-0000-000026390000}"/>
    <cellStyle name="Currency 5 2 4 3 4 3 3 2 2" xfId="15998" xr:uid="{00000000-0005-0000-0000-000027390000}"/>
    <cellStyle name="Currency 5 2 4 3 4 3 3 3" xfId="15999" xr:uid="{00000000-0005-0000-0000-000028390000}"/>
    <cellStyle name="Currency 5 2 4 3 4 3 4" xfId="16000" xr:uid="{00000000-0005-0000-0000-000029390000}"/>
    <cellStyle name="Currency 5 2 4 3 4 3 4 2" xfId="16001" xr:uid="{00000000-0005-0000-0000-00002A390000}"/>
    <cellStyle name="Currency 5 2 4 3 4 3 5" xfId="16002" xr:uid="{00000000-0005-0000-0000-00002B390000}"/>
    <cellStyle name="Currency 5 2 4 3 4 4" xfId="16003" xr:uid="{00000000-0005-0000-0000-00002C390000}"/>
    <cellStyle name="Currency 5 2 4 3 4 4 2" xfId="16004" xr:uid="{00000000-0005-0000-0000-00002D390000}"/>
    <cellStyle name="Currency 5 2 4 3 4 4 2 2" xfId="16005" xr:uid="{00000000-0005-0000-0000-00002E390000}"/>
    <cellStyle name="Currency 5 2 4 3 4 4 2 2 2" xfId="16006" xr:uid="{00000000-0005-0000-0000-00002F390000}"/>
    <cellStyle name="Currency 5 2 4 3 4 4 2 2 2 2" xfId="16007" xr:uid="{00000000-0005-0000-0000-000030390000}"/>
    <cellStyle name="Currency 5 2 4 3 4 4 2 2 3" xfId="16008" xr:uid="{00000000-0005-0000-0000-000031390000}"/>
    <cellStyle name="Currency 5 2 4 3 4 4 2 3" xfId="16009" xr:uid="{00000000-0005-0000-0000-000032390000}"/>
    <cellStyle name="Currency 5 2 4 3 4 4 2 3 2" xfId="16010" xr:uid="{00000000-0005-0000-0000-000033390000}"/>
    <cellStyle name="Currency 5 2 4 3 4 4 2 4" xfId="16011" xr:uid="{00000000-0005-0000-0000-000034390000}"/>
    <cellStyle name="Currency 5 2 4 3 4 4 3" xfId="16012" xr:uid="{00000000-0005-0000-0000-000035390000}"/>
    <cellStyle name="Currency 5 2 4 3 4 4 3 2" xfId="16013" xr:uid="{00000000-0005-0000-0000-000036390000}"/>
    <cellStyle name="Currency 5 2 4 3 4 4 3 2 2" xfId="16014" xr:uid="{00000000-0005-0000-0000-000037390000}"/>
    <cellStyle name="Currency 5 2 4 3 4 4 3 3" xfId="16015" xr:uid="{00000000-0005-0000-0000-000038390000}"/>
    <cellStyle name="Currency 5 2 4 3 4 4 4" xfId="16016" xr:uid="{00000000-0005-0000-0000-000039390000}"/>
    <cellStyle name="Currency 5 2 4 3 4 4 4 2" xfId="16017" xr:uid="{00000000-0005-0000-0000-00003A390000}"/>
    <cellStyle name="Currency 5 2 4 3 4 4 5" xfId="16018" xr:uid="{00000000-0005-0000-0000-00003B390000}"/>
    <cellStyle name="Currency 5 2 4 3 4 5" xfId="16019" xr:uid="{00000000-0005-0000-0000-00003C390000}"/>
    <cellStyle name="Currency 5 2 4 3 4 5 2" xfId="16020" xr:uid="{00000000-0005-0000-0000-00003D390000}"/>
    <cellStyle name="Currency 5 2 4 3 4 5 2 2" xfId="16021" xr:uid="{00000000-0005-0000-0000-00003E390000}"/>
    <cellStyle name="Currency 5 2 4 3 4 5 2 2 2" xfId="16022" xr:uid="{00000000-0005-0000-0000-00003F390000}"/>
    <cellStyle name="Currency 5 2 4 3 4 5 2 3" xfId="16023" xr:uid="{00000000-0005-0000-0000-000040390000}"/>
    <cellStyle name="Currency 5 2 4 3 4 5 3" xfId="16024" xr:uid="{00000000-0005-0000-0000-000041390000}"/>
    <cellStyle name="Currency 5 2 4 3 4 5 3 2" xfId="16025" xr:uid="{00000000-0005-0000-0000-000042390000}"/>
    <cellStyle name="Currency 5 2 4 3 4 5 4" xfId="16026" xr:uid="{00000000-0005-0000-0000-000043390000}"/>
    <cellStyle name="Currency 5 2 4 3 4 6" xfId="16027" xr:uid="{00000000-0005-0000-0000-000044390000}"/>
    <cellStyle name="Currency 5 2 4 3 4 6 2" xfId="16028" xr:uid="{00000000-0005-0000-0000-000045390000}"/>
    <cellStyle name="Currency 5 2 4 3 4 6 2 2" xfId="16029" xr:uid="{00000000-0005-0000-0000-000046390000}"/>
    <cellStyle name="Currency 5 2 4 3 4 6 2 2 2" xfId="16030" xr:uid="{00000000-0005-0000-0000-000047390000}"/>
    <cellStyle name="Currency 5 2 4 3 4 6 2 3" xfId="16031" xr:uid="{00000000-0005-0000-0000-000048390000}"/>
    <cellStyle name="Currency 5 2 4 3 4 6 3" xfId="16032" xr:uid="{00000000-0005-0000-0000-000049390000}"/>
    <cellStyle name="Currency 5 2 4 3 4 6 3 2" xfId="16033" xr:uid="{00000000-0005-0000-0000-00004A390000}"/>
    <cellStyle name="Currency 5 2 4 3 4 6 4" xfId="16034" xr:uid="{00000000-0005-0000-0000-00004B390000}"/>
    <cellStyle name="Currency 5 2 4 3 4 7" xfId="16035" xr:uid="{00000000-0005-0000-0000-00004C390000}"/>
    <cellStyle name="Currency 5 2 4 3 4 7 2" xfId="16036" xr:uid="{00000000-0005-0000-0000-00004D390000}"/>
    <cellStyle name="Currency 5 2 4 3 4 7 2 2" xfId="16037" xr:uid="{00000000-0005-0000-0000-00004E390000}"/>
    <cellStyle name="Currency 5 2 4 3 4 7 2 2 2" xfId="16038" xr:uid="{00000000-0005-0000-0000-00004F390000}"/>
    <cellStyle name="Currency 5 2 4 3 4 7 2 3" xfId="16039" xr:uid="{00000000-0005-0000-0000-000050390000}"/>
    <cellStyle name="Currency 5 2 4 3 4 7 3" xfId="16040" xr:uid="{00000000-0005-0000-0000-000051390000}"/>
    <cellStyle name="Currency 5 2 4 3 4 7 3 2" xfId="16041" xr:uid="{00000000-0005-0000-0000-000052390000}"/>
    <cellStyle name="Currency 5 2 4 3 4 7 4" xfId="16042" xr:uid="{00000000-0005-0000-0000-000053390000}"/>
    <cellStyle name="Currency 5 2 4 3 4 8" xfId="16043" xr:uid="{00000000-0005-0000-0000-000054390000}"/>
    <cellStyle name="Currency 5 2 4 3 4 8 2" xfId="16044" xr:uid="{00000000-0005-0000-0000-000055390000}"/>
    <cellStyle name="Currency 5 2 4 3 4 8 2 2" xfId="16045" xr:uid="{00000000-0005-0000-0000-000056390000}"/>
    <cellStyle name="Currency 5 2 4 3 4 8 3" xfId="16046" xr:uid="{00000000-0005-0000-0000-000057390000}"/>
    <cellStyle name="Currency 5 2 4 3 4 9" xfId="16047" xr:uid="{00000000-0005-0000-0000-000058390000}"/>
    <cellStyle name="Currency 5 2 4 3 4 9 2" xfId="16048" xr:uid="{00000000-0005-0000-0000-000059390000}"/>
    <cellStyle name="Currency 5 2 4 3 5" xfId="1319" xr:uid="{00000000-0005-0000-0000-00005A390000}"/>
    <cellStyle name="Currency 5 2 4 3 5 2" xfId="16050" xr:uid="{00000000-0005-0000-0000-00005B390000}"/>
    <cellStyle name="Currency 5 2 4 3 5 2 2" xfId="16051" xr:uid="{00000000-0005-0000-0000-00005C390000}"/>
    <cellStyle name="Currency 5 2 4 3 5 2 2 2" xfId="16052" xr:uid="{00000000-0005-0000-0000-00005D390000}"/>
    <cellStyle name="Currency 5 2 4 3 5 2 2 2 2" xfId="16053" xr:uid="{00000000-0005-0000-0000-00005E390000}"/>
    <cellStyle name="Currency 5 2 4 3 5 2 2 3" xfId="16054" xr:uid="{00000000-0005-0000-0000-00005F390000}"/>
    <cellStyle name="Currency 5 2 4 3 5 2 3" xfId="16055" xr:uid="{00000000-0005-0000-0000-000060390000}"/>
    <cellStyle name="Currency 5 2 4 3 5 2 3 2" xfId="16056" xr:uid="{00000000-0005-0000-0000-000061390000}"/>
    <cellStyle name="Currency 5 2 4 3 5 2 4" xfId="16057" xr:uid="{00000000-0005-0000-0000-000062390000}"/>
    <cellStyle name="Currency 5 2 4 3 5 3" xfId="16058" xr:uid="{00000000-0005-0000-0000-000063390000}"/>
    <cellStyle name="Currency 5 2 4 3 5 3 2" xfId="16059" xr:uid="{00000000-0005-0000-0000-000064390000}"/>
    <cellStyle name="Currency 5 2 4 3 5 3 2 2" xfId="16060" xr:uid="{00000000-0005-0000-0000-000065390000}"/>
    <cellStyle name="Currency 5 2 4 3 5 3 2 2 2" xfId="16061" xr:uid="{00000000-0005-0000-0000-000066390000}"/>
    <cellStyle name="Currency 5 2 4 3 5 3 2 3" xfId="16062" xr:uid="{00000000-0005-0000-0000-000067390000}"/>
    <cellStyle name="Currency 5 2 4 3 5 3 3" xfId="16063" xr:uid="{00000000-0005-0000-0000-000068390000}"/>
    <cellStyle name="Currency 5 2 4 3 5 3 3 2" xfId="16064" xr:uid="{00000000-0005-0000-0000-000069390000}"/>
    <cellStyle name="Currency 5 2 4 3 5 3 4" xfId="16065" xr:uid="{00000000-0005-0000-0000-00006A390000}"/>
    <cellStyle name="Currency 5 2 4 3 5 4" xfId="16066" xr:uid="{00000000-0005-0000-0000-00006B390000}"/>
    <cellStyle name="Currency 5 2 4 3 5 4 2" xfId="16067" xr:uid="{00000000-0005-0000-0000-00006C390000}"/>
    <cellStyle name="Currency 5 2 4 3 5 4 2 2" xfId="16068" xr:uid="{00000000-0005-0000-0000-00006D390000}"/>
    <cellStyle name="Currency 5 2 4 3 5 4 3" xfId="16069" xr:uid="{00000000-0005-0000-0000-00006E390000}"/>
    <cellStyle name="Currency 5 2 4 3 5 5" xfId="16070" xr:uid="{00000000-0005-0000-0000-00006F390000}"/>
    <cellStyle name="Currency 5 2 4 3 5 5 2" xfId="16071" xr:uid="{00000000-0005-0000-0000-000070390000}"/>
    <cellStyle name="Currency 5 2 4 3 5 6" xfId="16072" xr:uid="{00000000-0005-0000-0000-000071390000}"/>
    <cellStyle name="Currency 5 2 4 3 5 7" xfId="16049" xr:uid="{00000000-0005-0000-0000-000072390000}"/>
    <cellStyle name="Currency 5 2 4 3 6" xfId="16073" xr:uid="{00000000-0005-0000-0000-000073390000}"/>
    <cellStyle name="Currency 5 2 4 3 6 2" xfId="16074" xr:uid="{00000000-0005-0000-0000-000074390000}"/>
    <cellStyle name="Currency 5 2 4 3 6 2 2" xfId="16075" xr:uid="{00000000-0005-0000-0000-000075390000}"/>
    <cellStyle name="Currency 5 2 4 3 6 2 2 2" xfId="16076" xr:uid="{00000000-0005-0000-0000-000076390000}"/>
    <cellStyle name="Currency 5 2 4 3 6 2 2 2 2" xfId="16077" xr:uid="{00000000-0005-0000-0000-000077390000}"/>
    <cellStyle name="Currency 5 2 4 3 6 2 2 3" xfId="16078" xr:uid="{00000000-0005-0000-0000-000078390000}"/>
    <cellStyle name="Currency 5 2 4 3 6 2 3" xfId="16079" xr:uid="{00000000-0005-0000-0000-000079390000}"/>
    <cellStyle name="Currency 5 2 4 3 6 2 3 2" xfId="16080" xr:uid="{00000000-0005-0000-0000-00007A390000}"/>
    <cellStyle name="Currency 5 2 4 3 6 2 4" xfId="16081" xr:uid="{00000000-0005-0000-0000-00007B390000}"/>
    <cellStyle name="Currency 5 2 4 3 6 3" xfId="16082" xr:uid="{00000000-0005-0000-0000-00007C390000}"/>
    <cellStyle name="Currency 5 2 4 3 6 3 2" xfId="16083" xr:uid="{00000000-0005-0000-0000-00007D390000}"/>
    <cellStyle name="Currency 5 2 4 3 6 3 2 2" xfId="16084" xr:uid="{00000000-0005-0000-0000-00007E390000}"/>
    <cellStyle name="Currency 5 2 4 3 6 3 3" xfId="16085" xr:uid="{00000000-0005-0000-0000-00007F390000}"/>
    <cellStyle name="Currency 5 2 4 3 6 4" xfId="16086" xr:uid="{00000000-0005-0000-0000-000080390000}"/>
    <cellStyle name="Currency 5 2 4 3 6 4 2" xfId="16087" xr:uid="{00000000-0005-0000-0000-000081390000}"/>
    <cellStyle name="Currency 5 2 4 3 6 5" xfId="16088" xr:uid="{00000000-0005-0000-0000-000082390000}"/>
    <cellStyle name="Currency 5 2 4 3 7" xfId="16089" xr:uid="{00000000-0005-0000-0000-000083390000}"/>
    <cellStyle name="Currency 5 2 4 3 7 2" xfId="16090" xr:uid="{00000000-0005-0000-0000-000084390000}"/>
    <cellStyle name="Currency 5 2 4 3 7 2 2" xfId="16091" xr:uid="{00000000-0005-0000-0000-000085390000}"/>
    <cellStyle name="Currency 5 2 4 3 7 2 2 2" xfId="16092" xr:uid="{00000000-0005-0000-0000-000086390000}"/>
    <cellStyle name="Currency 5 2 4 3 7 2 2 2 2" xfId="16093" xr:uid="{00000000-0005-0000-0000-000087390000}"/>
    <cellStyle name="Currency 5 2 4 3 7 2 2 3" xfId="16094" xr:uid="{00000000-0005-0000-0000-000088390000}"/>
    <cellStyle name="Currency 5 2 4 3 7 2 3" xfId="16095" xr:uid="{00000000-0005-0000-0000-000089390000}"/>
    <cellStyle name="Currency 5 2 4 3 7 2 3 2" xfId="16096" xr:uid="{00000000-0005-0000-0000-00008A390000}"/>
    <cellStyle name="Currency 5 2 4 3 7 2 4" xfId="16097" xr:uid="{00000000-0005-0000-0000-00008B390000}"/>
    <cellStyle name="Currency 5 2 4 3 7 3" xfId="16098" xr:uid="{00000000-0005-0000-0000-00008C390000}"/>
    <cellStyle name="Currency 5 2 4 3 7 3 2" xfId="16099" xr:uid="{00000000-0005-0000-0000-00008D390000}"/>
    <cellStyle name="Currency 5 2 4 3 7 3 2 2" xfId="16100" xr:uid="{00000000-0005-0000-0000-00008E390000}"/>
    <cellStyle name="Currency 5 2 4 3 7 3 3" xfId="16101" xr:uid="{00000000-0005-0000-0000-00008F390000}"/>
    <cellStyle name="Currency 5 2 4 3 7 4" xfId="16102" xr:uid="{00000000-0005-0000-0000-000090390000}"/>
    <cellStyle name="Currency 5 2 4 3 7 4 2" xfId="16103" xr:uid="{00000000-0005-0000-0000-000091390000}"/>
    <cellStyle name="Currency 5 2 4 3 7 5" xfId="16104" xr:uid="{00000000-0005-0000-0000-000092390000}"/>
    <cellStyle name="Currency 5 2 4 3 8" xfId="16105" xr:uid="{00000000-0005-0000-0000-000093390000}"/>
    <cellStyle name="Currency 5 2 4 3 8 2" xfId="16106" xr:uid="{00000000-0005-0000-0000-000094390000}"/>
    <cellStyle name="Currency 5 2 4 3 8 2 2" xfId="16107" xr:uid="{00000000-0005-0000-0000-000095390000}"/>
    <cellStyle name="Currency 5 2 4 3 8 2 2 2" xfId="16108" xr:uid="{00000000-0005-0000-0000-000096390000}"/>
    <cellStyle name="Currency 5 2 4 3 8 2 3" xfId="16109" xr:uid="{00000000-0005-0000-0000-000097390000}"/>
    <cellStyle name="Currency 5 2 4 3 8 3" xfId="16110" xr:uid="{00000000-0005-0000-0000-000098390000}"/>
    <cellStyle name="Currency 5 2 4 3 8 3 2" xfId="16111" xr:uid="{00000000-0005-0000-0000-000099390000}"/>
    <cellStyle name="Currency 5 2 4 3 8 4" xfId="16112" xr:uid="{00000000-0005-0000-0000-00009A390000}"/>
    <cellStyle name="Currency 5 2 4 3 9" xfId="16113" xr:uid="{00000000-0005-0000-0000-00009B390000}"/>
    <cellStyle name="Currency 5 2 4 3 9 2" xfId="16114" xr:uid="{00000000-0005-0000-0000-00009C390000}"/>
    <cellStyle name="Currency 5 2 4 3 9 2 2" xfId="16115" xr:uid="{00000000-0005-0000-0000-00009D390000}"/>
    <cellStyle name="Currency 5 2 4 3 9 2 2 2" xfId="16116" xr:uid="{00000000-0005-0000-0000-00009E390000}"/>
    <cellStyle name="Currency 5 2 4 3 9 2 3" xfId="16117" xr:uid="{00000000-0005-0000-0000-00009F390000}"/>
    <cellStyle name="Currency 5 2 4 3 9 3" xfId="16118" xr:uid="{00000000-0005-0000-0000-0000A0390000}"/>
    <cellStyle name="Currency 5 2 4 3 9 3 2" xfId="16119" xr:uid="{00000000-0005-0000-0000-0000A1390000}"/>
    <cellStyle name="Currency 5 2 4 3 9 4" xfId="16120" xr:uid="{00000000-0005-0000-0000-0000A2390000}"/>
    <cellStyle name="Currency 5 2 4 4" xfId="349" xr:uid="{00000000-0005-0000-0000-0000A3390000}"/>
    <cellStyle name="Currency 5 2 4 4 10" xfId="16122" xr:uid="{00000000-0005-0000-0000-0000A4390000}"/>
    <cellStyle name="Currency 5 2 4 4 10 2" xfId="16123" xr:uid="{00000000-0005-0000-0000-0000A5390000}"/>
    <cellStyle name="Currency 5 2 4 4 10 2 2" xfId="16124" xr:uid="{00000000-0005-0000-0000-0000A6390000}"/>
    <cellStyle name="Currency 5 2 4 4 10 3" xfId="16125" xr:uid="{00000000-0005-0000-0000-0000A7390000}"/>
    <cellStyle name="Currency 5 2 4 4 11" xfId="16126" xr:uid="{00000000-0005-0000-0000-0000A8390000}"/>
    <cellStyle name="Currency 5 2 4 4 11 2" xfId="16127" xr:uid="{00000000-0005-0000-0000-0000A9390000}"/>
    <cellStyle name="Currency 5 2 4 4 11 2 2" xfId="16128" xr:uid="{00000000-0005-0000-0000-0000AA390000}"/>
    <cellStyle name="Currency 5 2 4 4 11 3" xfId="16129" xr:uid="{00000000-0005-0000-0000-0000AB390000}"/>
    <cellStyle name="Currency 5 2 4 4 12" xfId="16130" xr:uid="{00000000-0005-0000-0000-0000AC390000}"/>
    <cellStyle name="Currency 5 2 4 4 12 2" xfId="16131" xr:uid="{00000000-0005-0000-0000-0000AD390000}"/>
    <cellStyle name="Currency 5 2 4 4 13" xfId="16132" xr:uid="{00000000-0005-0000-0000-0000AE390000}"/>
    <cellStyle name="Currency 5 2 4 4 14" xfId="16133" xr:uid="{00000000-0005-0000-0000-0000AF390000}"/>
    <cellStyle name="Currency 5 2 4 4 15" xfId="16121" xr:uid="{00000000-0005-0000-0000-0000B0390000}"/>
    <cellStyle name="Currency 5 2 4 4 2" xfId="905" xr:uid="{00000000-0005-0000-0000-0000B1390000}"/>
    <cellStyle name="Currency 5 2 4 4 2 10" xfId="16135" xr:uid="{00000000-0005-0000-0000-0000B2390000}"/>
    <cellStyle name="Currency 5 2 4 4 2 11" xfId="16134" xr:uid="{00000000-0005-0000-0000-0000B3390000}"/>
    <cellStyle name="Currency 5 2 4 4 2 2" xfId="1646" xr:uid="{00000000-0005-0000-0000-0000B4390000}"/>
    <cellStyle name="Currency 5 2 4 4 2 2 2" xfId="16137" xr:uid="{00000000-0005-0000-0000-0000B5390000}"/>
    <cellStyle name="Currency 5 2 4 4 2 2 2 2" xfId="16138" xr:uid="{00000000-0005-0000-0000-0000B6390000}"/>
    <cellStyle name="Currency 5 2 4 4 2 2 2 2 2" xfId="16139" xr:uid="{00000000-0005-0000-0000-0000B7390000}"/>
    <cellStyle name="Currency 5 2 4 4 2 2 2 2 2 2" xfId="16140" xr:uid="{00000000-0005-0000-0000-0000B8390000}"/>
    <cellStyle name="Currency 5 2 4 4 2 2 2 2 3" xfId="16141" xr:uid="{00000000-0005-0000-0000-0000B9390000}"/>
    <cellStyle name="Currency 5 2 4 4 2 2 2 3" xfId="16142" xr:uid="{00000000-0005-0000-0000-0000BA390000}"/>
    <cellStyle name="Currency 5 2 4 4 2 2 2 3 2" xfId="16143" xr:uid="{00000000-0005-0000-0000-0000BB390000}"/>
    <cellStyle name="Currency 5 2 4 4 2 2 2 4" xfId="16144" xr:uid="{00000000-0005-0000-0000-0000BC390000}"/>
    <cellStyle name="Currency 5 2 4 4 2 2 3" xfId="16145" xr:uid="{00000000-0005-0000-0000-0000BD390000}"/>
    <cellStyle name="Currency 5 2 4 4 2 2 3 2" xfId="16146" xr:uid="{00000000-0005-0000-0000-0000BE390000}"/>
    <cellStyle name="Currency 5 2 4 4 2 2 3 2 2" xfId="16147" xr:uid="{00000000-0005-0000-0000-0000BF390000}"/>
    <cellStyle name="Currency 5 2 4 4 2 2 3 2 2 2" xfId="16148" xr:uid="{00000000-0005-0000-0000-0000C0390000}"/>
    <cellStyle name="Currency 5 2 4 4 2 2 3 2 3" xfId="16149" xr:uid="{00000000-0005-0000-0000-0000C1390000}"/>
    <cellStyle name="Currency 5 2 4 4 2 2 3 3" xfId="16150" xr:uid="{00000000-0005-0000-0000-0000C2390000}"/>
    <cellStyle name="Currency 5 2 4 4 2 2 3 3 2" xfId="16151" xr:uid="{00000000-0005-0000-0000-0000C3390000}"/>
    <cellStyle name="Currency 5 2 4 4 2 2 3 4" xfId="16152" xr:uid="{00000000-0005-0000-0000-0000C4390000}"/>
    <cellStyle name="Currency 5 2 4 4 2 2 4" xfId="16153" xr:uid="{00000000-0005-0000-0000-0000C5390000}"/>
    <cellStyle name="Currency 5 2 4 4 2 2 4 2" xfId="16154" xr:uid="{00000000-0005-0000-0000-0000C6390000}"/>
    <cellStyle name="Currency 5 2 4 4 2 2 4 2 2" xfId="16155" xr:uid="{00000000-0005-0000-0000-0000C7390000}"/>
    <cellStyle name="Currency 5 2 4 4 2 2 4 3" xfId="16156" xr:uid="{00000000-0005-0000-0000-0000C8390000}"/>
    <cellStyle name="Currency 5 2 4 4 2 2 5" xfId="16157" xr:uid="{00000000-0005-0000-0000-0000C9390000}"/>
    <cellStyle name="Currency 5 2 4 4 2 2 5 2" xfId="16158" xr:uid="{00000000-0005-0000-0000-0000CA390000}"/>
    <cellStyle name="Currency 5 2 4 4 2 2 6" xfId="16159" xr:uid="{00000000-0005-0000-0000-0000CB390000}"/>
    <cellStyle name="Currency 5 2 4 4 2 2 7" xfId="16136" xr:uid="{00000000-0005-0000-0000-0000CC390000}"/>
    <cellStyle name="Currency 5 2 4 4 2 3" xfId="16160" xr:uid="{00000000-0005-0000-0000-0000CD390000}"/>
    <cellStyle name="Currency 5 2 4 4 2 3 2" xfId="16161" xr:uid="{00000000-0005-0000-0000-0000CE390000}"/>
    <cellStyle name="Currency 5 2 4 4 2 3 2 2" xfId="16162" xr:uid="{00000000-0005-0000-0000-0000CF390000}"/>
    <cellStyle name="Currency 5 2 4 4 2 3 2 2 2" xfId="16163" xr:uid="{00000000-0005-0000-0000-0000D0390000}"/>
    <cellStyle name="Currency 5 2 4 4 2 3 2 2 2 2" xfId="16164" xr:uid="{00000000-0005-0000-0000-0000D1390000}"/>
    <cellStyle name="Currency 5 2 4 4 2 3 2 2 3" xfId="16165" xr:uid="{00000000-0005-0000-0000-0000D2390000}"/>
    <cellStyle name="Currency 5 2 4 4 2 3 2 3" xfId="16166" xr:uid="{00000000-0005-0000-0000-0000D3390000}"/>
    <cellStyle name="Currency 5 2 4 4 2 3 2 3 2" xfId="16167" xr:uid="{00000000-0005-0000-0000-0000D4390000}"/>
    <cellStyle name="Currency 5 2 4 4 2 3 2 4" xfId="16168" xr:uid="{00000000-0005-0000-0000-0000D5390000}"/>
    <cellStyle name="Currency 5 2 4 4 2 3 3" xfId="16169" xr:uid="{00000000-0005-0000-0000-0000D6390000}"/>
    <cellStyle name="Currency 5 2 4 4 2 3 3 2" xfId="16170" xr:uid="{00000000-0005-0000-0000-0000D7390000}"/>
    <cellStyle name="Currency 5 2 4 4 2 3 3 2 2" xfId="16171" xr:uid="{00000000-0005-0000-0000-0000D8390000}"/>
    <cellStyle name="Currency 5 2 4 4 2 3 3 3" xfId="16172" xr:uid="{00000000-0005-0000-0000-0000D9390000}"/>
    <cellStyle name="Currency 5 2 4 4 2 3 4" xfId="16173" xr:uid="{00000000-0005-0000-0000-0000DA390000}"/>
    <cellStyle name="Currency 5 2 4 4 2 3 4 2" xfId="16174" xr:uid="{00000000-0005-0000-0000-0000DB390000}"/>
    <cellStyle name="Currency 5 2 4 4 2 3 5" xfId="16175" xr:uid="{00000000-0005-0000-0000-0000DC390000}"/>
    <cellStyle name="Currency 5 2 4 4 2 4" xfId="16176" xr:uid="{00000000-0005-0000-0000-0000DD390000}"/>
    <cellStyle name="Currency 5 2 4 4 2 4 2" xfId="16177" xr:uid="{00000000-0005-0000-0000-0000DE390000}"/>
    <cellStyle name="Currency 5 2 4 4 2 4 2 2" xfId="16178" xr:uid="{00000000-0005-0000-0000-0000DF390000}"/>
    <cellStyle name="Currency 5 2 4 4 2 4 2 2 2" xfId="16179" xr:uid="{00000000-0005-0000-0000-0000E0390000}"/>
    <cellStyle name="Currency 5 2 4 4 2 4 2 2 2 2" xfId="16180" xr:uid="{00000000-0005-0000-0000-0000E1390000}"/>
    <cellStyle name="Currency 5 2 4 4 2 4 2 2 3" xfId="16181" xr:uid="{00000000-0005-0000-0000-0000E2390000}"/>
    <cellStyle name="Currency 5 2 4 4 2 4 2 3" xfId="16182" xr:uid="{00000000-0005-0000-0000-0000E3390000}"/>
    <cellStyle name="Currency 5 2 4 4 2 4 2 3 2" xfId="16183" xr:uid="{00000000-0005-0000-0000-0000E4390000}"/>
    <cellStyle name="Currency 5 2 4 4 2 4 2 4" xfId="16184" xr:uid="{00000000-0005-0000-0000-0000E5390000}"/>
    <cellStyle name="Currency 5 2 4 4 2 4 3" xfId="16185" xr:uid="{00000000-0005-0000-0000-0000E6390000}"/>
    <cellStyle name="Currency 5 2 4 4 2 4 3 2" xfId="16186" xr:uid="{00000000-0005-0000-0000-0000E7390000}"/>
    <cellStyle name="Currency 5 2 4 4 2 4 3 2 2" xfId="16187" xr:uid="{00000000-0005-0000-0000-0000E8390000}"/>
    <cellStyle name="Currency 5 2 4 4 2 4 3 3" xfId="16188" xr:uid="{00000000-0005-0000-0000-0000E9390000}"/>
    <cellStyle name="Currency 5 2 4 4 2 4 4" xfId="16189" xr:uid="{00000000-0005-0000-0000-0000EA390000}"/>
    <cellStyle name="Currency 5 2 4 4 2 4 4 2" xfId="16190" xr:uid="{00000000-0005-0000-0000-0000EB390000}"/>
    <cellStyle name="Currency 5 2 4 4 2 4 5" xfId="16191" xr:uid="{00000000-0005-0000-0000-0000EC390000}"/>
    <cellStyle name="Currency 5 2 4 4 2 5" xfId="16192" xr:uid="{00000000-0005-0000-0000-0000ED390000}"/>
    <cellStyle name="Currency 5 2 4 4 2 5 2" xfId="16193" xr:uid="{00000000-0005-0000-0000-0000EE390000}"/>
    <cellStyle name="Currency 5 2 4 4 2 5 2 2" xfId="16194" xr:uid="{00000000-0005-0000-0000-0000EF390000}"/>
    <cellStyle name="Currency 5 2 4 4 2 5 2 2 2" xfId="16195" xr:uid="{00000000-0005-0000-0000-0000F0390000}"/>
    <cellStyle name="Currency 5 2 4 4 2 5 2 3" xfId="16196" xr:uid="{00000000-0005-0000-0000-0000F1390000}"/>
    <cellStyle name="Currency 5 2 4 4 2 5 3" xfId="16197" xr:uid="{00000000-0005-0000-0000-0000F2390000}"/>
    <cellStyle name="Currency 5 2 4 4 2 5 3 2" xfId="16198" xr:uid="{00000000-0005-0000-0000-0000F3390000}"/>
    <cellStyle name="Currency 5 2 4 4 2 5 4" xfId="16199" xr:uid="{00000000-0005-0000-0000-0000F4390000}"/>
    <cellStyle name="Currency 5 2 4 4 2 6" xfId="16200" xr:uid="{00000000-0005-0000-0000-0000F5390000}"/>
    <cellStyle name="Currency 5 2 4 4 2 6 2" xfId="16201" xr:uid="{00000000-0005-0000-0000-0000F6390000}"/>
    <cellStyle name="Currency 5 2 4 4 2 6 2 2" xfId="16202" xr:uid="{00000000-0005-0000-0000-0000F7390000}"/>
    <cellStyle name="Currency 5 2 4 4 2 6 2 2 2" xfId="16203" xr:uid="{00000000-0005-0000-0000-0000F8390000}"/>
    <cellStyle name="Currency 5 2 4 4 2 6 2 3" xfId="16204" xr:uid="{00000000-0005-0000-0000-0000F9390000}"/>
    <cellStyle name="Currency 5 2 4 4 2 6 3" xfId="16205" xr:uid="{00000000-0005-0000-0000-0000FA390000}"/>
    <cellStyle name="Currency 5 2 4 4 2 6 3 2" xfId="16206" xr:uid="{00000000-0005-0000-0000-0000FB390000}"/>
    <cellStyle name="Currency 5 2 4 4 2 6 4" xfId="16207" xr:uid="{00000000-0005-0000-0000-0000FC390000}"/>
    <cellStyle name="Currency 5 2 4 4 2 7" xfId="16208" xr:uid="{00000000-0005-0000-0000-0000FD390000}"/>
    <cellStyle name="Currency 5 2 4 4 2 7 2" xfId="16209" xr:uid="{00000000-0005-0000-0000-0000FE390000}"/>
    <cellStyle name="Currency 5 2 4 4 2 7 2 2" xfId="16210" xr:uid="{00000000-0005-0000-0000-0000FF390000}"/>
    <cellStyle name="Currency 5 2 4 4 2 7 2 2 2" xfId="16211" xr:uid="{00000000-0005-0000-0000-0000003A0000}"/>
    <cellStyle name="Currency 5 2 4 4 2 7 2 3" xfId="16212" xr:uid="{00000000-0005-0000-0000-0000013A0000}"/>
    <cellStyle name="Currency 5 2 4 4 2 7 3" xfId="16213" xr:uid="{00000000-0005-0000-0000-0000023A0000}"/>
    <cellStyle name="Currency 5 2 4 4 2 7 3 2" xfId="16214" xr:uid="{00000000-0005-0000-0000-0000033A0000}"/>
    <cellStyle name="Currency 5 2 4 4 2 7 4" xfId="16215" xr:uid="{00000000-0005-0000-0000-0000043A0000}"/>
    <cellStyle name="Currency 5 2 4 4 2 8" xfId="16216" xr:uid="{00000000-0005-0000-0000-0000053A0000}"/>
    <cellStyle name="Currency 5 2 4 4 2 8 2" xfId="16217" xr:uid="{00000000-0005-0000-0000-0000063A0000}"/>
    <cellStyle name="Currency 5 2 4 4 2 8 2 2" xfId="16218" xr:uid="{00000000-0005-0000-0000-0000073A0000}"/>
    <cellStyle name="Currency 5 2 4 4 2 8 3" xfId="16219" xr:uid="{00000000-0005-0000-0000-0000083A0000}"/>
    <cellStyle name="Currency 5 2 4 4 2 9" xfId="16220" xr:uid="{00000000-0005-0000-0000-0000093A0000}"/>
    <cellStyle name="Currency 5 2 4 4 2 9 2" xfId="16221" xr:uid="{00000000-0005-0000-0000-00000A3A0000}"/>
    <cellStyle name="Currency 5 2 4 4 3" xfId="1321" xr:uid="{00000000-0005-0000-0000-00000B3A0000}"/>
    <cellStyle name="Currency 5 2 4 4 3 2" xfId="16223" xr:uid="{00000000-0005-0000-0000-00000C3A0000}"/>
    <cellStyle name="Currency 5 2 4 4 3 2 2" xfId="16224" xr:uid="{00000000-0005-0000-0000-00000D3A0000}"/>
    <cellStyle name="Currency 5 2 4 4 3 2 2 2" xfId="16225" xr:uid="{00000000-0005-0000-0000-00000E3A0000}"/>
    <cellStyle name="Currency 5 2 4 4 3 2 2 2 2" xfId="16226" xr:uid="{00000000-0005-0000-0000-00000F3A0000}"/>
    <cellStyle name="Currency 5 2 4 4 3 2 2 3" xfId="16227" xr:uid="{00000000-0005-0000-0000-0000103A0000}"/>
    <cellStyle name="Currency 5 2 4 4 3 2 3" xfId="16228" xr:uid="{00000000-0005-0000-0000-0000113A0000}"/>
    <cellStyle name="Currency 5 2 4 4 3 2 3 2" xfId="16229" xr:uid="{00000000-0005-0000-0000-0000123A0000}"/>
    <cellStyle name="Currency 5 2 4 4 3 2 4" xfId="16230" xr:uid="{00000000-0005-0000-0000-0000133A0000}"/>
    <cellStyle name="Currency 5 2 4 4 3 3" xfId="16231" xr:uid="{00000000-0005-0000-0000-0000143A0000}"/>
    <cellStyle name="Currency 5 2 4 4 3 3 2" xfId="16232" xr:uid="{00000000-0005-0000-0000-0000153A0000}"/>
    <cellStyle name="Currency 5 2 4 4 3 3 2 2" xfId="16233" xr:uid="{00000000-0005-0000-0000-0000163A0000}"/>
    <cellStyle name="Currency 5 2 4 4 3 3 2 2 2" xfId="16234" xr:uid="{00000000-0005-0000-0000-0000173A0000}"/>
    <cellStyle name="Currency 5 2 4 4 3 3 2 3" xfId="16235" xr:uid="{00000000-0005-0000-0000-0000183A0000}"/>
    <cellStyle name="Currency 5 2 4 4 3 3 3" xfId="16236" xr:uid="{00000000-0005-0000-0000-0000193A0000}"/>
    <cellStyle name="Currency 5 2 4 4 3 3 3 2" xfId="16237" xr:uid="{00000000-0005-0000-0000-00001A3A0000}"/>
    <cellStyle name="Currency 5 2 4 4 3 3 4" xfId="16238" xr:uid="{00000000-0005-0000-0000-00001B3A0000}"/>
    <cellStyle name="Currency 5 2 4 4 3 4" xfId="16239" xr:uid="{00000000-0005-0000-0000-00001C3A0000}"/>
    <cellStyle name="Currency 5 2 4 4 3 4 2" xfId="16240" xr:uid="{00000000-0005-0000-0000-00001D3A0000}"/>
    <cellStyle name="Currency 5 2 4 4 3 4 2 2" xfId="16241" xr:uid="{00000000-0005-0000-0000-00001E3A0000}"/>
    <cellStyle name="Currency 5 2 4 4 3 4 3" xfId="16242" xr:uid="{00000000-0005-0000-0000-00001F3A0000}"/>
    <cellStyle name="Currency 5 2 4 4 3 5" xfId="16243" xr:uid="{00000000-0005-0000-0000-0000203A0000}"/>
    <cellStyle name="Currency 5 2 4 4 3 5 2" xfId="16244" xr:uid="{00000000-0005-0000-0000-0000213A0000}"/>
    <cellStyle name="Currency 5 2 4 4 3 6" xfId="16245" xr:uid="{00000000-0005-0000-0000-0000223A0000}"/>
    <cellStyle name="Currency 5 2 4 4 3 7" xfId="16222" xr:uid="{00000000-0005-0000-0000-0000233A0000}"/>
    <cellStyle name="Currency 5 2 4 4 4" xfId="16246" xr:uid="{00000000-0005-0000-0000-0000243A0000}"/>
    <cellStyle name="Currency 5 2 4 4 4 2" xfId="16247" xr:uid="{00000000-0005-0000-0000-0000253A0000}"/>
    <cellStyle name="Currency 5 2 4 4 4 2 2" xfId="16248" xr:uid="{00000000-0005-0000-0000-0000263A0000}"/>
    <cellStyle name="Currency 5 2 4 4 4 2 2 2" xfId="16249" xr:uid="{00000000-0005-0000-0000-0000273A0000}"/>
    <cellStyle name="Currency 5 2 4 4 4 2 2 2 2" xfId="16250" xr:uid="{00000000-0005-0000-0000-0000283A0000}"/>
    <cellStyle name="Currency 5 2 4 4 4 2 2 3" xfId="16251" xr:uid="{00000000-0005-0000-0000-0000293A0000}"/>
    <cellStyle name="Currency 5 2 4 4 4 2 3" xfId="16252" xr:uid="{00000000-0005-0000-0000-00002A3A0000}"/>
    <cellStyle name="Currency 5 2 4 4 4 2 3 2" xfId="16253" xr:uid="{00000000-0005-0000-0000-00002B3A0000}"/>
    <cellStyle name="Currency 5 2 4 4 4 2 4" xfId="16254" xr:uid="{00000000-0005-0000-0000-00002C3A0000}"/>
    <cellStyle name="Currency 5 2 4 4 4 3" xfId="16255" xr:uid="{00000000-0005-0000-0000-00002D3A0000}"/>
    <cellStyle name="Currency 5 2 4 4 4 3 2" xfId="16256" xr:uid="{00000000-0005-0000-0000-00002E3A0000}"/>
    <cellStyle name="Currency 5 2 4 4 4 3 2 2" xfId="16257" xr:uid="{00000000-0005-0000-0000-00002F3A0000}"/>
    <cellStyle name="Currency 5 2 4 4 4 3 3" xfId="16258" xr:uid="{00000000-0005-0000-0000-0000303A0000}"/>
    <cellStyle name="Currency 5 2 4 4 4 4" xfId="16259" xr:uid="{00000000-0005-0000-0000-0000313A0000}"/>
    <cellStyle name="Currency 5 2 4 4 4 4 2" xfId="16260" xr:uid="{00000000-0005-0000-0000-0000323A0000}"/>
    <cellStyle name="Currency 5 2 4 4 4 5" xfId="16261" xr:uid="{00000000-0005-0000-0000-0000333A0000}"/>
    <cellStyle name="Currency 5 2 4 4 5" xfId="16262" xr:uid="{00000000-0005-0000-0000-0000343A0000}"/>
    <cellStyle name="Currency 5 2 4 4 5 2" xfId="16263" xr:uid="{00000000-0005-0000-0000-0000353A0000}"/>
    <cellStyle name="Currency 5 2 4 4 5 2 2" xfId="16264" xr:uid="{00000000-0005-0000-0000-0000363A0000}"/>
    <cellStyle name="Currency 5 2 4 4 5 2 2 2" xfId="16265" xr:uid="{00000000-0005-0000-0000-0000373A0000}"/>
    <cellStyle name="Currency 5 2 4 4 5 2 2 2 2" xfId="16266" xr:uid="{00000000-0005-0000-0000-0000383A0000}"/>
    <cellStyle name="Currency 5 2 4 4 5 2 2 3" xfId="16267" xr:uid="{00000000-0005-0000-0000-0000393A0000}"/>
    <cellStyle name="Currency 5 2 4 4 5 2 3" xfId="16268" xr:uid="{00000000-0005-0000-0000-00003A3A0000}"/>
    <cellStyle name="Currency 5 2 4 4 5 2 3 2" xfId="16269" xr:uid="{00000000-0005-0000-0000-00003B3A0000}"/>
    <cellStyle name="Currency 5 2 4 4 5 2 4" xfId="16270" xr:uid="{00000000-0005-0000-0000-00003C3A0000}"/>
    <cellStyle name="Currency 5 2 4 4 5 3" xfId="16271" xr:uid="{00000000-0005-0000-0000-00003D3A0000}"/>
    <cellStyle name="Currency 5 2 4 4 5 3 2" xfId="16272" xr:uid="{00000000-0005-0000-0000-00003E3A0000}"/>
    <cellStyle name="Currency 5 2 4 4 5 3 2 2" xfId="16273" xr:uid="{00000000-0005-0000-0000-00003F3A0000}"/>
    <cellStyle name="Currency 5 2 4 4 5 3 3" xfId="16274" xr:uid="{00000000-0005-0000-0000-0000403A0000}"/>
    <cellStyle name="Currency 5 2 4 4 5 4" xfId="16275" xr:uid="{00000000-0005-0000-0000-0000413A0000}"/>
    <cellStyle name="Currency 5 2 4 4 5 4 2" xfId="16276" xr:uid="{00000000-0005-0000-0000-0000423A0000}"/>
    <cellStyle name="Currency 5 2 4 4 5 5" xfId="16277" xr:uid="{00000000-0005-0000-0000-0000433A0000}"/>
    <cellStyle name="Currency 5 2 4 4 6" xfId="16278" xr:uid="{00000000-0005-0000-0000-0000443A0000}"/>
    <cellStyle name="Currency 5 2 4 4 6 2" xfId="16279" xr:uid="{00000000-0005-0000-0000-0000453A0000}"/>
    <cellStyle name="Currency 5 2 4 4 6 2 2" xfId="16280" xr:uid="{00000000-0005-0000-0000-0000463A0000}"/>
    <cellStyle name="Currency 5 2 4 4 6 2 2 2" xfId="16281" xr:uid="{00000000-0005-0000-0000-0000473A0000}"/>
    <cellStyle name="Currency 5 2 4 4 6 2 3" xfId="16282" xr:uid="{00000000-0005-0000-0000-0000483A0000}"/>
    <cellStyle name="Currency 5 2 4 4 6 3" xfId="16283" xr:uid="{00000000-0005-0000-0000-0000493A0000}"/>
    <cellStyle name="Currency 5 2 4 4 6 3 2" xfId="16284" xr:uid="{00000000-0005-0000-0000-00004A3A0000}"/>
    <cellStyle name="Currency 5 2 4 4 6 4" xfId="16285" xr:uid="{00000000-0005-0000-0000-00004B3A0000}"/>
    <cellStyle name="Currency 5 2 4 4 7" xfId="16286" xr:uid="{00000000-0005-0000-0000-00004C3A0000}"/>
    <cellStyle name="Currency 5 2 4 4 7 2" xfId="16287" xr:uid="{00000000-0005-0000-0000-00004D3A0000}"/>
    <cellStyle name="Currency 5 2 4 4 7 2 2" xfId="16288" xr:uid="{00000000-0005-0000-0000-00004E3A0000}"/>
    <cellStyle name="Currency 5 2 4 4 7 2 2 2" xfId="16289" xr:uid="{00000000-0005-0000-0000-00004F3A0000}"/>
    <cellStyle name="Currency 5 2 4 4 7 2 3" xfId="16290" xr:uid="{00000000-0005-0000-0000-0000503A0000}"/>
    <cellStyle name="Currency 5 2 4 4 7 3" xfId="16291" xr:uid="{00000000-0005-0000-0000-0000513A0000}"/>
    <cellStyle name="Currency 5 2 4 4 7 3 2" xfId="16292" xr:uid="{00000000-0005-0000-0000-0000523A0000}"/>
    <cellStyle name="Currency 5 2 4 4 7 4" xfId="16293" xr:uid="{00000000-0005-0000-0000-0000533A0000}"/>
    <cellStyle name="Currency 5 2 4 4 8" xfId="16294" xr:uid="{00000000-0005-0000-0000-0000543A0000}"/>
    <cellStyle name="Currency 5 2 4 4 8 2" xfId="16295" xr:uid="{00000000-0005-0000-0000-0000553A0000}"/>
    <cellStyle name="Currency 5 2 4 4 8 2 2" xfId="16296" xr:uid="{00000000-0005-0000-0000-0000563A0000}"/>
    <cellStyle name="Currency 5 2 4 4 8 2 2 2" xfId="16297" xr:uid="{00000000-0005-0000-0000-0000573A0000}"/>
    <cellStyle name="Currency 5 2 4 4 8 2 3" xfId="16298" xr:uid="{00000000-0005-0000-0000-0000583A0000}"/>
    <cellStyle name="Currency 5 2 4 4 8 3" xfId="16299" xr:uid="{00000000-0005-0000-0000-0000593A0000}"/>
    <cellStyle name="Currency 5 2 4 4 8 3 2" xfId="16300" xr:uid="{00000000-0005-0000-0000-00005A3A0000}"/>
    <cellStyle name="Currency 5 2 4 4 8 4" xfId="16301" xr:uid="{00000000-0005-0000-0000-00005B3A0000}"/>
    <cellStyle name="Currency 5 2 4 4 9" xfId="16302" xr:uid="{00000000-0005-0000-0000-00005C3A0000}"/>
    <cellStyle name="Currency 5 2 4 4 9 2" xfId="16303" xr:uid="{00000000-0005-0000-0000-00005D3A0000}"/>
    <cellStyle name="Currency 5 2 4 4 9 2 2" xfId="16304" xr:uid="{00000000-0005-0000-0000-00005E3A0000}"/>
    <cellStyle name="Currency 5 2 4 4 9 3" xfId="16305" xr:uid="{00000000-0005-0000-0000-00005F3A0000}"/>
    <cellStyle name="Currency 5 2 4 5" xfId="350" xr:uid="{00000000-0005-0000-0000-0000603A0000}"/>
    <cellStyle name="Currency 5 2 4 6" xfId="898" xr:uid="{00000000-0005-0000-0000-0000613A0000}"/>
    <cellStyle name="Currency 5 2 4 6 10" xfId="16307" xr:uid="{00000000-0005-0000-0000-0000623A0000}"/>
    <cellStyle name="Currency 5 2 4 6 11" xfId="16306" xr:uid="{00000000-0005-0000-0000-0000633A0000}"/>
    <cellStyle name="Currency 5 2 4 6 2" xfId="1639" xr:uid="{00000000-0005-0000-0000-0000643A0000}"/>
    <cellStyle name="Currency 5 2 4 6 2 2" xfId="16309" xr:uid="{00000000-0005-0000-0000-0000653A0000}"/>
    <cellStyle name="Currency 5 2 4 6 2 2 2" xfId="16310" xr:uid="{00000000-0005-0000-0000-0000663A0000}"/>
    <cellStyle name="Currency 5 2 4 6 2 2 2 2" xfId="16311" xr:uid="{00000000-0005-0000-0000-0000673A0000}"/>
    <cellStyle name="Currency 5 2 4 6 2 2 2 2 2" xfId="16312" xr:uid="{00000000-0005-0000-0000-0000683A0000}"/>
    <cellStyle name="Currency 5 2 4 6 2 2 2 3" xfId="16313" xr:uid="{00000000-0005-0000-0000-0000693A0000}"/>
    <cellStyle name="Currency 5 2 4 6 2 2 3" xfId="16314" xr:uid="{00000000-0005-0000-0000-00006A3A0000}"/>
    <cellStyle name="Currency 5 2 4 6 2 2 3 2" xfId="16315" xr:uid="{00000000-0005-0000-0000-00006B3A0000}"/>
    <cellStyle name="Currency 5 2 4 6 2 2 4" xfId="16316" xr:uid="{00000000-0005-0000-0000-00006C3A0000}"/>
    <cellStyle name="Currency 5 2 4 6 2 3" xfId="16317" xr:uid="{00000000-0005-0000-0000-00006D3A0000}"/>
    <cellStyle name="Currency 5 2 4 6 2 3 2" xfId="16318" xr:uid="{00000000-0005-0000-0000-00006E3A0000}"/>
    <cellStyle name="Currency 5 2 4 6 2 3 2 2" xfId="16319" xr:uid="{00000000-0005-0000-0000-00006F3A0000}"/>
    <cellStyle name="Currency 5 2 4 6 2 3 2 2 2" xfId="16320" xr:uid="{00000000-0005-0000-0000-0000703A0000}"/>
    <cellStyle name="Currency 5 2 4 6 2 3 2 3" xfId="16321" xr:uid="{00000000-0005-0000-0000-0000713A0000}"/>
    <cellStyle name="Currency 5 2 4 6 2 3 3" xfId="16322" xr:uid="{00000000-0005-0000-0000-0000723A0000}"/>
    <cellStyle name="Currency 5 2 4 6 2 3 3 2" xfId="16323" xr:uid="{00000000-0005-0000-0000-0000733A0000}"/>
    <cellStyle name="Currency 5 2 4 6 2 3 4" xfId="16324" xr:uid="{00000000-0005-0000-0000-0000743A0000}"/>
    <cellStyle name="Currency 5 2 4 6 2 4" xfId="16325" xr:uid="{00000000-0005-0000-0000-0000753A0000}"/>
    <cellStyle name="Currency 5 2 4 6 2 4 2" xfId="16326" xr:uid="{00000000-0005-0000-0000-0000763A0000}"/>
    <cellStyle name="Currency 5 2 4 6 2 4 2 2" xfId="16327" xr:uid="{00000000-0005-0000-0000-0000773A0000}"/>
    <cellStyle name="Currency 5 2 4 6 2 4 3" xfId="16328" xr:uid="{00000000-0005-0000-0000-0000783A0000}"/>
    <cellStyle name="Currency 5 2 4 6 2 5" xfId="16329" xr:uid="{00000000-0005-0000-0000-0000793A0000}"/>
    <cellStyle name="Currency 5 2 4 6 2 5 2" xfId="16330" xr:uid="{00000000-0005-0000-0000-00007A3A0000}"/>
    <cellStyle name="Currency 5 2 4 6 2 6" xfId="16331" xr:uid="{00000000-0005-0000-0000-00007B3A0000}"/>
    <cellStyle name="Currency 5 2 4 6 2 7" xfId="16308" xr:uid="{00000000-0005-0000-0000-00007C3A0000}"/>
    <cellStyle name="Currency 5 2 4 6 3" xfId="16332" xr:uid="{00000000-0005-0000-0000-00007D3A0000}"/>
    <cellStyle name="Currency 5 2 4 6 3 2" xfId="16333" xr:uid="{00000000-0005-0000-0000-00007E3A0000}"/>
    <cellStyle name="Currency 5 2 4 6 3 2 2" xfId="16334" xr:uid="{00000000-0005-0000-0000-00007F3A0000}"/>
    <cellStyle name="Currency 5 2 4 6 3 2 2 2" xfId="16335" xr:uid="{00000000-0005-0000-0000-0000803A0000}"/>
    <cellStyle name="Currency 5 2 4 6 3 2 2 2 2" xfId="16336" xr:uid="{00000000-0005-0000-0000-0000813A0000}"/>
    <cellStyle name="Currency 5 2 4 6 3 2 2 3" xfId="16337" xr:uid="{00000000-0005-0000-0000-0000823A0000}"/>
    <cellStyle name="Currency 5 2 4 6 3 2 3" xfId="16338" xr:uid="{00000000-0005-0000-0000-0000833A0000}"/>
    <cellStyle name="Currency 5 2 4 6 3 2 3 2" xfId="16339" xr:uid="{00000000-0005-0000-0000-0000843A0000}"/>
    <cellStyle name="Currency 5 2 4 6 3 2 4" xfId="16340" xr:uid="{00000000-0005-0000-0000-0000853A0000}"/>
    <cellStyle name="Currency 5 2 4 6 3 3" xfId="16341" xr:uid="{00000000-0005-0000-0000-0000863A0000}"/>
    <cellStyle name="Currency 5 2 4 6 3 3 2" xfId="16342" xr:uid="{00000000-0005-0000-0000-0000873A0000}"/>
    <cellStyle name="Currency 5 2 4 6 3 3 2 2" xfId="16343" xr:uid="{00000000-0005-0000-0000-0000883A0000}"/>
    <cellStyle name="Currency 5 2 4 6 3 3 3" xfId="16344" xr:uid="{00000000-0005-0000-0000-0000893A0000}"/>
    <cellStyle name="Currency 5 2 4 6 3 4" xfId="16345" xr:uid="{00000000-0005-0000-0000-00008A3A0000}"/>
    <cellStyle name="Currency 5 2 4 6 3 4 2" xfId="16346" xr:uid="{00000000-0005-0000-0000-00008B3A0000}"/>
    <cellStyle name="Currency 5 2 4 6 3 5" xfId="16347" xr:uid="{00000000-0005-0000-0000-00008C3A0000}"/>
    <cellStyle name="Currency 5 2 4 6 4" xfId="16348" xr:uid="{00000000-0005-0000-0000-00008D3A0000}"/>
    <cellStyle name="Currency 5 2 4 6 4 2" xfId="16349" xr:uid="{00000000-0005-0000-0000-00008E3A0000}"/>
    <cellStyle name="Currency 5 2 4 6 4 2 2" xfId="16350" xr:uid="{00000000-0005-0000-0000-00008F3A0000}"/>
    <cellStyle name="Currency 5 2 4 6 4 2 2 2" xfId="16351" xr:uid="{00000000-0005-0000-0000-0000903A0000}"/>
    <cellStyle name="Currency 5 2 4 6 4 2 2 2 2" xfId="16352" xr:uid="{00000000-0005-0000-0000-0000913A0000}"/>
    <cellStyle name="Currency 5 2 4 6 4 2 2 3" xfId="16353" xr:uid="{00000000-0005-0000-0000-0000923A0000}"/>
    <cellStyle name="Currency 5 2 4 6 4 2 3" xfId="16354" xr:uid="{00000000-0005-0000-0000-0000933A0000}"/>
    <cellStyle name="Currency 5 2 4 6 4 2 3 2" xfId="16355" xr:uid="{00000000-0005-0000-0000-0000943A0000}"/>
    <cellStyle name="Currency 5 2 4 6 4 2 4" xfId="16356" xr:uid="{00000000-0005-0000-0000-0000953A0000}"/>
    <cellStyle name="Currency 5 2 4 6 4 3" xfId="16357" xr:uid="{00000000-0005-0000-0000-0000963A0000}"/>
    <cellStyle name="Currency 5 2 4 6 4 3 2" xfId="16358" xr:uid="{00000000-0005-0000-0000-0000973A0000}"/>
    <cellStyle name="Currency 5 2 4 6 4 3 2 2" xfId="16359" xr:uid="{00000000-0005-0000-0000-0000983A0000}"/>
    <cellStyle name="Currency 5 2 4 6 4 3 3" xfId="16360" xr:uid="{00000000-0005-0000-0000-0000993A0000}"/>
    <cellStyle name="Currency 5 2 4 6 4 4" xfId="16361" xr:uid="{00000000-0005-0000-0000-00009A3A0000}"/>
    <cellStyle name="Currency 5 2 4 6 4 4 2" xfId="16362" xr:uid="{00000000-0005-0000-0000-00009B3A0000}"/>
    <cellStyle name="Currency 5 2 4 6 4 5" xfId="16363" xr:uid="{00000000-0005-0000-0000-00009C3A0000}"/>
    <cellStyle name="Currency 5 2 4 6 5" xfId="16364" xr:uid="{00000000-0005-0000-0000-00009D3A0000}"/>
    <cellStyle name="Currency 5 2 4 6 5 2" xfId="16365" xr:uid="{00000000-0005-0000-0000-00009E3A0000}"/>
    <cellStyle name="Currency 5 2 4 6 5 2 2" xfId="16366" xr:uid="{00000000-0005-0000-0000-00009F3A0000}"/>
    <cellStyle name="Currency 5 2 4 6 5 2 2 2" xfId="16367" xr:uid="{00000000-0005-0000-0000-0000A03A0000}"/>
    <cellStyle name="Currency 5 2 4 6 5 2 3" xfId="16368" xr:uid="{00000000-0005-0000-0000-0000A13A0000}"/>
    <cellStyle name="Currency 5 2 4 6 5 3" xfId="16369" xr:uid="{00000000-0005-0000-0000-0000A23A0000}"/>
    <cellStyle name="Currency 5 2 4 6 5 3 2" xfId="16370" xr:uid="{00000000-0005-0000-0000-0000A33A0000}"/>
    <cellStyle name="Currency 5 2 4 6 5 4" xfId="16371" xr:uid="{00000000-0005-0000-0000-0000A43A0000}"/>
    <cellStyle name="Currency 5 2 4 6 6" xfId="16372" xr:uid="{00000000-0005-0000-0000-0000A53A0000}"/>
    <cellStyle name="Currency 5 2 4 6 6 2" xfId="16373" xr:uid="{00000000-0005-0000-0000-0000A63A0000}"/>
    <cellStyle name="Currency 5 2 4 6 6 2 2" xfId="16374" xr:uid="{00000000-0005-0000-0000-0000A73A0000}"/>
    <cellStyle name="Currency 5 2 4 6 6 2 2 2" xfId="16375" xr:uid="{00000000-0005-0000-0000-0000A83A0000}"/>
    <cellStyle name="Currency 5 2 4 6 6 2 3" xfId="16376" xr:uid="{00000000-0005-0000-0000-0000A93A0000}"/>
    <cellStyle name="Currency 5 2 4 6 6 3" xfId="16377" xr:uid="{00000000-0005-0000-0000-0000AA3A0000}"/>
    <cellStyle name="Currency 5 2 4 6 6 3 2" xfId="16378" xr:uid="{00000000-0005-0000-0000-0000AB3A0000}"/>
    <cellStyle name="Currency 5 2 4 6 6 4" xfId="16379" xr:uid="{00000000-0005-0000-0000-0000AC3A0000}"/>
    <cellStyle name="Currency 5 2 4 6 7" xfId="16380" xr:uid="{00000000-0005-0000-0000-0000AD3A0000}"/>
    <cellStyle name="Currency 5 2 4 6 7 2" xfId="16381" xr:uid="{00000000-0005-0000-0000-0000AE3A0000}"/>
    <cellStyle name="Currency 5 2 4 6 7 2 2" xfId="16382" xr:uid="{00000000-0005-0000-0000-0000AF3A0000}"/>
    <cellStyle name="Currency 5 2 4 6 7 2 2 2" xfId="16383" xr:uid="{00000000-0005-0000-0000-0000B03A0000}"/>
    <cellStyle name="Currency 5 2 4 6 7 2 3" xfId="16384" xr:uid="{00000000-0005-0000-0000-0000B13A0000}"/>
    <cellStyle name="Currency 5 2 4 6 7 3" xfId="16385" xr:uid="{00000000-0005-0000-0000-0000B23A0000}"/>
    <cellStyle name="Currency 5 2 4 6 7 3 2" xfId="16386" xr:uid="{00000000-0005-0000-0000-0000B33A0000}"/>
    <cellStyle name="Currency 5 2 4 6 7 4" xfId="16387" xr:uid="{00000000-0005-0000-0000-0000B43A0000}"/>
    <cellStyle name="Currency 5 2 4 6 8" xfId="16388" xr:uid="{00000000-0005-0000-0000-0000B53A0000}"/>
    <cellStyle name="Currency 5 2 4 6 8 2" xfId="16389" xr:uid="{00000000-0005-0000-0000-0000B63A0000}"/>
    <cellStyle name="Currency 5 2 4 6 8 2 2" xfId="16390" xr:uid="{00000000-0005-0000-0000-0000B73A0000}"/>
    <cellStyle name="Currency 5 2 4 6 8 3" xfId="16391" xr:uid="{00000000-0005-0000-0000-0000B83A0000}"/>
    <cellStyle name="Currency 5 2 4 6 9" xfId="16392" xr:uid="{00000000-0005-0000-0000-0000B93A0000}"/>
    <cellStyle name="Currency 5 2 4 6 9 2" xfId="16393" xr:uid="{00000000-0005-0000-0000-0000BA3A0000}"/>
    <cellStyle name="Currency 5 2 4 7" xfId="1314" xr:uid="{00000000-0005-0000-0000-0000BB3A0000}"/>
    <cellStyle name="Currency 5 2 4 7 2" xfId="16395" xr:uid="{00000000-0005-0000-0000-0000BC3A0000}"/>
    <cellStyle name="Currency 5 2 4 7 2 2" xfId="16396" xr:uid="{00000000-0005-0000-0000-0000BD3A0000}"/>
    <cellStyle name="Currency 5 2 4 7 2 2 2" xfId="16397" xr:uid="{00000000-0005-0000-0000-0000BE3A0000}"/>
    <cellStyle name="Currency 5 2 4 7 2 2 2 2" xfId="16398" xr:uid="{00000000-0005-0000-0000-0000BF3A0000}"/>
    <cellStyle name="Currency 5 2 4 7 2 2 3" xfId="16399" xr:uid="{00000000-0005-0000-0000-0000C03A0000}"/>
    <cellStyle name="Currency 5 2 4 7 2 3" xfId="16400" xr:uid="{00000000-0005-0000-0000-0000C13A0000}"/>
    <cellStyle name="Currency 5 2 4 7 2 3 2" xfId="16401" xr:uid="{00000000-0005-0000-0000-0000C23A0000}"/>
    <cellStyle name="Currency 5 2 4 7 2 4" xfId="16402" xr:uid="{00000000-0005-0000-0000-0000C33A0000}"/>
    <cellStyle name="Currency 5 2 4 7 3" xfId="16403" xr:uid="{00000000-0005-0000-0000-0000C43A0000}"/>
    <cellStyle name="Currency 5 2 4 7 3 2" xfId="16404" xr:uid="{00000000-0005-0000-0000-0000C53A0000}"/>
    <cellStyle name="Currency 5 2 4 7 3 2 2" xfId="16405" xr:uid="{00000000-0005-0000-0000-0000C63A0000}"/>
    <cellStyle name="Currency 5 2 4 7 3 2 2 2" xfId="16406" xr:uid="{00000000-0005-0000-0000-0000C73A0000}"/>
    <cellStyle name="Currency 5 2 4 7 3 2 3" xfId="16407" xr:uid="{00000000-0005-0000-0000-0000C83A0000}"/>
    <cellStyle name="Currency 5 2 4 7 3 3" xfId="16408" xr:uid="{00000000-0005-0000-0000-0000C93A0000}"/>
    <cellStyle name="Currency 5 2 4 7 3 3 2" xfId="16409" xr:uid="{00000000-0005-0000-0000-0000CA3A0000}"/>
    <cellStyle name="Currency 5 2 4 7 3 4" xfId="16410" xr:uid="{00000000-0005-0000-0000-0000CB3A0000}"/>
    <cellStyle name="Currency 5 2 4 7 4" xfId="16411" xr:uid="{00000000-0005-0000-0000-0000CC3A0000}"/>
    <cellStyle name="Currency 5 2 4 7 4 2" xfId="16412" xr:uid="{00000000-0005-0000-0000-0000CD3A0000}"/>
    <cellStyle name="Currency 5 2 4 7 4 2 2" xfId="16413" xr:uid="{00000000-0005-0000-0000-0000CE3A0000}"/>
    <cellStyle name="Currency 5 2 4 7 4 3" xfId="16414" xr:uid="{00000000-0005-0000-0000-0000CF3A0000}"/>
    <cellStyle name="Currency 5 2 4 7 5" xfId="16415" xr:uid="{00000000-0005-0000-0000-0000D03A0000}"/>
    <cellStyle name="Currency 5 2 4 7 5 2" xfId="16416" xr:uid="{00000000-0005-0000-0000-0000D13A0000}"/>
    <cellStyle name="Currency 5 2 4 7 6" xfId="16417" xr:uid="{00000000-0005-0000-0000-0000D23A0000}"/>
    <cellStyle name="Currency 5 2 4 7 7" xfId="16394" xr:uid="{00000000-0005-0000-0000-0000D33A0000}"/>
    <cellStyle name="Currency 5 2 4 8" xfId="16418" xr:uid="{00000000-0005-0000-0000-0000D43A0000}"/>
    <cellStyle name="Currency 5 2 4 8 2" xfId="16419" xr:uid="{00000000-0005-0000-0000-0000D53A0000}"/>
    <cellStyle name="Currency 5 2 4 8 2 2" xfId="16420" xr:uid="{00000000-0005-0000-0000-0000D63A0000}"/>
    <cellStyle name="Currency 5 2 4 8 2 2 2" xfId="16421" xr:uid="{00000000-0005-0000-0000-0000D73A0000}"/>
    <cellStyle name="Currency 5 2 4 8 2 2 2 2" xfId="16422" xr:uid="{00000000-0005-0000-0000-0000D83A0000}"/>
    <cellStyle name="Currency 5 2 4 8 2 2 3" xfId="16423" xr:uid="{00000000-0005-0000-0000-0000D93A0000}"/>
    <cellStyle name="Currency 5 2 4 8 2 3" xfId="16424" xr:uid="{00000000-0005-0000-0000-0000DA3A0000}"/>
    <cellStyle name="Currency 5 2 4 8 2 3 2" xfId="16425" xr:uid="{00000000-0005-0000-0000-0000DB3A0000}"/>
    <cellStyle name="Currency 5 2 4 8 2 4" xfId="16426" xr:uid="{00000000-0005-0000-0000-0000DC3A0000}"/>
    <cellStyle name="Currency 5 2 4 8 3" xfId="16427" xr:uid="{00000000-0005-0000-0000-0000DD3A0000}"/>
    <cellStyle name="Currency 5 2 4 8 3 2" xfId="16428" xr:uid="{00000000-0005-0000-0000-0000DE3A0000}"/>
    <cellStyle name="Currency 5 2 4 8 3 2 2" xfId="16429" xr:uid="{00000000-0005-0000-0000-0000DF3A0000}"/>
    <cellStyle name="Currency 5 2 4 8 3 3" xfId="16430" xr:uid="{00000000-0005-0000-0000-0000E03A0000}"/>
    <cellStyle name="Currency 5 2 4 8 4" xfId="16431" xr:uid="{00000000-0005-0000-0000-0000E13A0000}"/>
    <cellStyle name="Currency 5 2 4 8 4 2" xfId="16432" xr:uid="{00000000-0005-0000-0000-0000E23A0000}"/>
    <cellStyle name="Currency 5 2 4 8 5" xfId="16433" xr:uid="{00000000-0005-0000-0000-0000E33A0000}"/>
    <cellStyle name="Currency 5 2 4 9" xfId="16434" xr:uid="{00000000-0005-0000-0000-0000E43A0000}"/>
    <cellStyle name="Currency 5 2 4 9 2" xfId="16435" xr:uid="{00000000-0005-0000-0000-0000E53A0000}"/>
    <cellStyle name="Currency 5 2 4 9 2 2" xfId="16436" xr:uid="{00000000-0005-0000-0000-0000E63A0000}"/>
    <cellStyle name="Currency 5 2 4 9 2 2 2" xfId="16437" xr:uid="{00000000-0005-0000-0000-0000E73A0000}"/>
    <cellStyle name="Currency 5 2 4 9 2 2 2 2" xfId="16438" xr:uid="{00000000-0005-0000-0000-0000E83A0000}"/>
    <cellStyle name="Currency 5 2 4 9 2 2 3" xfId="16439" xr:uid="{00000000-0005-0000-0000-0000E93A0000}"/>
    <cellStyle name="Currency 5 2 4 9 2 3" xfId="16440" xr:uid="{00000000-0005-0000-0000-0000EA3A0000}"/>
    <cellStyle name="Currency 5 2 4 9 2 3 2" xfId="16441" xr:uid="{00000000-0005-0000-0000-0000EB3A0000}"/>
    <cellStyle name="Currency 5 2 4 9 2 4" xfId="16442" xr:uid="{00000000-0005-0000-0000-0000EC3A0000}"/>
    <cellStyle name="Currency 5 2 4 9 3" xfId="16443" xr:uid="{00000000-0005-0000-0000-0000ED3A0000}"/>
    <cellStyle name="Currency 5 2 4 9 3 2" xfId="16444" xr:uid="{00000000-0005-0000-0000-0000EE3A0000}"/>
    <cellStyle name="Currency 5 2 4 9 3 2 2" xfId="16445" xr:uid="{00000000-0005-0000-0000-0000EF3A0000}"/>
    <cellStyle name="Currency 5 2 4 9 3 3" xfId="16446" xr:uid="{00000000-0005-0000-0000-0000F03A0000}"/>
    <cellStyle name="Currency 5 2 4 9 4" xfId="16447" xr:uid="{00000000-0005-0000-0000-0000F13A0000}"/>
    <cellStyle name="Currency 5 2 4 9 4 2" xfId="16448" xr:uid="{00000000-0005-0000-0000-0000F23A0000}"/>
    <cellStyle name="Currency 5 2 4 9 5" xfId="16449" xr:uid="{00000000-0005-0000-0000-0000F33A0000}"/>
    <cellStyle name="Currency 5 2 5" xfId="351" xr:uid="{00000000-0005-0000-0000-0000F43A0000}"/>
    <cellStyle name="Currency 5 2 5 10" xfId="16451" xr:uid="{00000000-0005-0000-0000-0000F53A0000}"/>
    <cellStyle name="Currency 5 2 5 10 2" xfId="16452" xr:uid="{00000000-0005-0000-0000-0000F63A0000}"/>
    <cellStyle name="Currency 5 2 5 10 2 2" xfId="16453" xr:uid="{00000000-0005-0000-0000-0000F73A0000}"/>
    <cellStyle name="Currency 5 2 5 10 2 2 2" xfId="16454" xr:uid="{00000000-0005-0000-0000-0000F83A0000}"/>
    <cellStyle name="Currency 5 2 5 10 2 3" xfId="16455" xr:uid="{00000000-0005-0000-0000-0000F93A0000}"/>
    <cellStyle name="Currency 5 2 5 10 3" xfId="16456" xr:uid="{00000000-0005-0000-0000-0000FA3A0000}"/>
    <cellStyle name="Currency 5 2 5 10 3 2" xfId="16457" xr:uid="{00000000-0005-0000-0000-0000FB3A0000}"/>
    <cellStyle name="Currency 5 2 5 10 4" xfId="16458" xr:uid="{00000000-0005-0000-0000-0000FC3A0000}"/>
    <cellStyle name="Currency 5 2 5 11" xfId="16459" xr:uid="{00000000-0005-0000-0000-0000FD3A0000}"/>
    <cellStyle name="Currency 5 2 5 11 2" xfId="16460" xr:uid="{00000000-0005-0000-0000-0000FE3A0000}"/>
    <cellStyle name="Currency 5 2 5 11 2 2" xfId="16461" xr:uid="{00000000-0005-0000-0000-0000FF3A0000}"/>
    <cellStyle name="Currency 5 2 5 11 2 2 2" xfId="16462" xr:uid="{00000000-0005-0000-0000-0000003B0000}"/>
    <cellStyle name="Currency 5 2 5 11 2 3" xfId="16463" xr:uid="{00000000-0005-0000-0000-0000013B0000}"/>
    <cellStyle name="Currency 5 2 5 11 3" xfId="16464" xr:uid="{00000000-0005-0000-0000-0000023B0000}"/>
    <cellStyle name="Currency 5 2 5 11 3 2" xfId="16465" xr:uid="{00000000-0005-0000-0000-0000033B0000}"/>
    <cellStyle name="Currency 5 2 5 11 4" xfId="16466" xr:uid="{00000000-0005-0000-0000-0000043B0000}"/>
    <cellStyle name="Currency 5 2 5 12" xfId="16467" xr:uid="{00000000-0005-0000-0000-0000053B0000}"/>
    <cellStyle name="Currency 5 2 5 12 2" xfId="16468" xr:uid="{00000000-0005-0000-0000-0000063B0000}"/>
    <cellStyle name="Currency 5 2 5 12 2 2" xfId="16469" xr:uid="{00000000-0005-0000-0000-0000073B0000}"/>
    <cellStyle name="Currency 5 2 5 12 3" xfId="16470" xr:uid="{00000000-0005-0000-0000-0000083B0000}"/>
    <cellStyle name="Currency 5 2 5 13" xfId="16471" xr:uid="{00000000-0005-0000-0000-0000093B0000}"/>
    <cellStyle name="Currency 5 2 5 13 2" xfId="16472" xr:uid="{00000000-0005-0000-0000-00000A3B0000}"/>
    <cellStyle name="Currency 5 2 5 13 2 2" xfId="16473" xr:uid="{00000000-0005-0000-0000-00000B3B0000}"/>
    <cellStyle name="Currency 5 2 5 13 3" xfId="16474" xr:uid="{00000000-0005-0000-0000-00000C3B0000}"/>
    <cellStyle name="Currency 5 2 5 14" xfId="16475" xr:uid="{00000000-0005-0000-0000-00000D3B0000}"/>
    <cellStyle name="Currency 5 2 5 14 2" xfId="16476" xr:uid="{00000000-0005-0000-0000-00000E3B0000}"/>
    <cellStyle name="Currency 5 2 5 14 2 2" xfId="16477" xr:uid="{00000000-0005-0000-0000-00000F3B0000}"/>
    <cellStyle name="Currency 5 2 5 14 3" xfId="16478" xr:uid="{00000000-0005-0000-0000-0000103B0000}"/>
    <cellStyle name="Currency 5 2 5 15" xfId="16479" xr:uid="{00000000-0005-0000-0000-0000113B0000}"/>
    <cellStyle name="Currency 5 2 5 15 2" xfId="16480" xr:uid="{00000000-0005-0000-0000-0000123B0000}"/>
    <cellStyle name="Currency 5 2 5 16" xfId="16481" xr:uid="{00000000-0005-0000-0000-0000133B0000}"/>
    <cellStyle name="Currency 5 2 5 17" xfId="16482" xr:uid="{00000000-0005-0000-0000-0000143B0000}"/>
    <cellStyle name="Currency 5 2 5 18" xfId="16450" xr:uid="{00000000-0005-0000-0000-0000153B0000}"/>
    <cellStyle name="Currency 5 2 5 2" xfId="352" xr:uid="{00000000-0005-0000-0000-0000163B0000}"/>
    <cellStyle name="Currency 5 2 5 2 10" xfId="16484" xr:uid="{00000000-0005-0000-0000-0000173B0000}"/>
    <cellStyle name="Currency 5 2 5 2 10 2" xfId="16485" xr:uid="{00000000-0005-0000-0000-0000183B0000}"/>
    <cellStyle name="Currency 5 2 5 2 10 2 2" xfId="16486" xr:uid="{00000000-0005-0000-0000-0000193B0000}"/>
    <cellStyle name="Currency 5 2 5 2 10 2 2 2" xfId="16487" xr:uid="{00000000-0005-0000-0000-00001A3B0000}"/>
    <cellStyle name="Currency 5 2 5 2 10 2 3" xfId="16488" xr:uid="{00000000-0005-0000-0000-00001B3B0000}"/>
    <cellStyle name="Currency 5 2 5 2 10 3" xfId="16489" xr:uid="{00000000-0005-0000-0000-00001C3B0000}"/>
    <cellStyle name="Currency 5 2 5 2 10 3 2" xfId="16490" xr:uid="{00000000-0005-0000-0000-00001D3B0000}"/>
    <cellStyle name="Currency 5 2 5 2 10 4" xfId="16491" xr:uid="{00000000-0005-0000-0000-00001E3B0000}"/>
    <cellStyle name="Currency 5 2 5 2 11" xfId="16492" xr:uid="{00000000-0005-0000-0000-00001F3B0000}"/>
    <cellStyle name="Currency 5 2 5 2 11 2" xfId="16493" xr:uid="{00000000-0005-0000-0000-0000203B0000}"/>
    <cellStyle name="Currency 5 2 5 2 11 2 2" xfId="16494" xr:uid="{00000000-0005-0000-0000-0000213B0000}"/>
    <cellStyle name="Currency 5 2 5 2 11 3" xfId="16495" xr:uid="{00000000-0005-0000-0000-0000223B0000}"/>
    <cellStyle name="Currency 5 2 5 2 12" xfId="16496" xr:uid="{00000000-0005-0000-0000-0000233B0000}"/>
    <cellStyle name="Currency 5 2 5 2 12 2" xfId="16497" xr:uid="{00000000-0005-0000-0000-0000243B0000}"/>
    <cellStyle name="Currency 5 2 5 2 12 2 2" xfId="16498" xr:uid="{00000000-0005-0000-0000-0000253B0000}"/>
    <cellStyle name="Currency 5 2 5 2 12 3" xfId="16499" xr:uid="{00000000-0005-0000-0000-0000263B0000}"/>
    <cellStyle name="Currency 5 2 5 2 13" xfId="16500" xr:uid="{00000000-0005-0000-0000-0000273B0000}"/>
    <cellStyle name="Currency 5 2 5 2 13 2" xfId="16501" xr:uid="{00000000-0005-0000-0000-0000283B0000}"/>
    <cellStyle name="Currency 5 2 5 2 13 2 2" xfId="16502" xr:uid="{00000000-0005-0000-0000-0000293B0000}"/>
    <cellStyle name="Currency 5 2 5 2 13 3" xfId="16503" xr:uid="{00000000-0005-0000-0000-00002A3B0000}"/>
    <cellStyle name="Currency 5 2 5 2 14" xfId="16504" xr:uid="{00000000-0005-0000-0000-00002B3B0000}"/>
    <cellStyle name="Currency 5 2 5 2 14 2" xfId="16505" xr:uid="{00000000-0005-0000-0000-00002C3B0000}"/>
    <cellStyle name="Currency 5 2 5 2 15" xfId="16506" xr:uid="{00000000-0005-0000-0000-00002D3B0000}"/>
    <cellStyle name="Currency 5 2 5 2 16" xfId="16507" xr:uid="{00000000-0005-0000-0000-00002E3B0000}"/>
    <cellStyle name="Currency 5 2 5 2 17" xfId="16483" xr:uid="{00000000-0005-0000-0000-00002F3B0000}"/>
    <cellStyle name="Currency 5 2 5 2 2" xfId="353" xr:uid="{00000000-0005-0000-0000-0000303B0000}"/>
    <cellStyle name="Currency 5 2 5 2 2 10" xfId="16509" xr:uid="{00000000-0005-0000-0000-0000313B0000}"/>
    <cellStyle name="Currency 5 2 5 2 2 10 2" xfId="16510" xr:uid="{00000000-0005-0000-0000-0000323B0000}"/>
    <cellStyle name="Currency 5 2 5 2 2 10 2 2" xfId="16511" xr:uid="{00000000-0005-0000-0000-0000333B0000}"/>
    <cellStyle name="Currency 5 2 5 2 2 10 3" xfId="16512" xr:uid="{00000000-0005-0000-0000-0000343B0000}"/>
    <cellStyle name="Currency 5 2 5 2 2 11" xfId="16513" xr:uid="{00000000-0005-0000-0000-0000353B0000}"/>
    <cellStyle name="Currency 5 2 5 2 2 11 2" xfId="16514" xr:uid="{00000000-0005-0000-0000-0000363B0000}"/>
    <cellStyle name="Currency 5 2 5 2 2 11 2 2" xfId="16515" xr:uid="{00000000-0005-0000-0000-0000373B0000}"/>
    <cellStyle name="Currency 5 2 5 2 2 11 3" xfId="16516" xr:uid="{00000000-0005-0000-0000-0000383B0000}"/>
    <cellStyle name="Currency 5 2 5 2 2 12" xfId="16517" xr:uid="{00000000-0005-0000-0000-0000393B0000}"/>
    <cellStyle name="Currency 5 2 5 2 2 12 2" xfId="16518" xr:uid="{00000000-0005-0000-0000-00003A3B0000}"/>
    <cellStyle name="Currency 5 2 5 2 2 13" xfId="16519" xr:uid="{00000000-0005-0000-0000-00003B3B0000}"/>
    <cellStyle name="Currency 5 2 5 2 2 14" xfId="16520" xr:uid="{00000000-0005-0000-0000-00003C3B0000}"/>
    <cellStyle name="Currency 5 2 5 2 2 15" xfId="16508" xr:uid="{00000000-0005-0000-0000-00003D3B0000}"/>
    <cellStyle name="Currency 5 2 5 2 2 2" xfId="908" xr:uid="{00000000-0005-0000-0000-00003E3B0000}"/>
    <cellStyle name="Currency 5 2 5 2 2 2 10" xfId="16522" xr:uid="{00000000-0005-0000-0000-00003F3B0000}"/>
    <cellStyle name="Currency 5 2 5 2 2 2 11" xfId="16521" xr:uid="{00000000-0005-0000-0000-0000403B0000}"/>
    <cellStyle name="Currency 5 2 5 2 2 2 2" xfId="1649" xr:uid="{00000000-0005-0000-0000-0000413B0000}"/>
    <cellStyle name="Currency 5 2 5 2 2 2 2 2" xfId="16524" xr:uid="{00000000-0005-0000-0000-0000423B0000}"/>
    <cellStyle name="Currency 5 2 5 2 2 2 2 2 2" xfId="16525" xr:uid="{00000000-0005-0000-0000-0000433B0000}"/>
    <cellStyle name="Currency 5 2 5 2 2 2 2 2 2 2" xfId="16526" xr:uid="{00000000-0005-0000-0000-0000443B0000}"/>
    <cellStyle name="Currency 5 2 5 2 2 2 2 2 2 2 2" xfId="16527" xr:uid="{00000000-0005-0000-0000-0000453B0000}"/>
    <cellStyle name="Currency 5 2 5 2 2 2 2 2 2 3" xfId="16528" xr:uid="{00000000-0005-0000-0000-0000463B0000}"/>
    <cellStyle name="Currency 5 2 5 2 2 2 2 2 3" xfId="16529" xr:uid="{00000000-0005-0000-0000-0000473B0000}"/>
    <cellStyle name="Currency 5 2 5 2 2 2 2 2 3 2" xfId="16530" xr:uid="{00000000-0005-0000-0000-0000483B0000}"/>
    <cellStyle name="Currency 5 2 5 2 2 2 2 2 4" xfId="16531" xr:uid="{00000000-0005-0000-0000-0000493B0000}"/>
    <cellStyle name="Currency 5 2 5 2 2 2 2 3" xfId="16532" xr:uid="{00000000-0005-0000-0000-00004A3B0000}"/>
    <cellStyle name="Currency 5 2 5 2 2 2 2 3 2" xfId="16533" xr:uid="{00000000-0005-0000-0000-00004B3B0000}"/>
    <cellStyle name="Currency 5 2 5 2 2 2 2 3 2 2" xfId="16534" xr:uid="{00000000-0005-0000-0000-00004C3B0000}"/>
    <cellStyle name="Currency 5 2 5 2 2 2 2 3 2 2 2" xfId="16535" xr:uid="{00000000-0005-0000-0000-00004D3B0000}"/>
    <cellStyle name="Currency 5 2 5 2 2 2 2 3 2 3" xfId="16536" xr:uid="{00000000-0005-0000-0000-00004E3B0000}"/>
    <cellStyle name="Currency 5 2 5 2 2 2 2 3 3" xfId="16537" xr:uid="{00000000-0005-0000-0000-00004F3B0000}"/>
    <cellStyle name="Currency 5 2 5 2 2 2 2 3 3 2" xfId="16538" xr:uid="{00000000-0005-0000-0000-0000503B0000}"/>
    <cellStyle name="Currency 5 2 5 2 2 2 2 3 4" xfId="16539" xr:uid="{00000000-0005-0000-0000-0000513B0000}"/>
    <cellStyle name="Currency 5 2 5 2 2 2 2 4" xfId="16540" xr:uid="{00000000-0005-0000-0000-0000523B0000}"/>
    <cellStyle name="Currency 5 2 5 2 2 2 2 4 2" xfId="16541" xr:uid="{00000000-0005-0000-0000-0000533B0000}"/>
    <cellStyle name="Currency 5 2 5 2 2 2 2 4 2 2" xfId="16542" xr:uid="{00000000-0005-0000-0000-0000543B0000}"/>
    <cellStyle name="Currency 5 2 5 2 2 2 2 4 3" xfId="16543" xr:uid="{00000000-0005-0000-0000-0000553B0000}"/>
    <cellStyle name="Currency 5 2 5 2 2 2 2 5" xfId="16544" xr:uid="{00000000-0005-0000-0000-0000563B0000}"/>
    <cellStyle name="Currency 5 2 5 2 2 2 2 5 2" xfId="16545" xr:uid="{00000000-0005-0000-0000-0000573B0000}"/>
    <cellStyle name="Currency 5 2 5 2 2 2 2 6" xfId="16546" xr:uid="{00000000-0005-0000-0000-0000583B0000}"/>
    <cellStyle name="Currency 5 2 5 2 2 2 2 7" xfId="16523" xr:uid="{00000000-0005-0000-0000-0000593B0000}"/>
    <cellStyle name="Currency 5 2 5 2 2 2 3" xfId="16547" xr:uid="{00000000-0005-0000-0000-00005A3B0000}"/>
    <cellStyle name="Currency 5 2 5 2 2 2 3 2" xfId="16548" xr:uid="{00000000-0005-0000-0000-00005B3B0000}"/>
    <cellStyle name="Currency 5 2 5 2 2 2 3 2 2" xfId="16549" xr:uid="{00000000-0005-0000-0000-00005C3B0000}"/>
    <cellStyle name="Currency 5 2 5 2 2 2 3 2 2 2" xfId="16550" xr:uid="{00000000-0005-0000-0000-00005D3B0000}"/>
    <cellStyle name="Currency 5 2 5 2 2 2 3 2 2 2 2" xfId="16551" xr:uid="{00000000-0005-0000-0000-00005E3B0000}"/>
    <cellStyle name="Currency 5 2 5 2 2 2 3 2 2 3" xfId="16552" xr:uid="{00000000-0005-0000-0000-00005F3B0000}"/>
    <cellStyle name="Currency 5 2 5 2 2 2 3 2 3" xfId="16553" xr:uid="{00000000-0005-0000-0000-0000603B0000}"/>
    <cellStyle name="Currency 5 2 5 2 2 2 3 2 3 2" xfId="16554" xr:uid="{00000000-0005-0000-0000-0000613B0000}"/>
    <cellStyle name="Currency 5 2 5 2 2 2 3 2 4" xfId="16555" xr:uid="{00000000-0005-0000-0000-0000623B0000}"/>
    <cellStyle name="Currency 5 2 5 2 2 2 3 3" xfId="16556" xr:uid="{00000000-0005-0000-0000-0000633B0000}"/>
    <cellStyle name="Currency 5 2 5 2 2 2 3 3 2" xfId="16557" xr:uid="{00000000-0005-0000-0000-0000643B0000}"/>
    <cellStyle name="Currency 5 2 5 2 2 2 3 3 2 2" xfId="16558" xr:uid="{00000000-0005-0000-0000-0000653B0000}"/>
    <cellStyle name="Currency 5 2 5 2 2 2 3 3 3" xfId="16559" xr:uid="{00000000-0005-0000-0000-0000663B0000}"/>
    <cellStyle name="Currency 5 2 5 2 2 2 3 4" xfId="16560" xr:uid="{00000000-0005-0000-0000-0000673B0000}"/>
    <cellStyle name="Currency 5 2 5 2 2 2 3 4 2" xfId="16561" xr:uid="{00000000-0005-0000-0000-0000683B0000}"/>
    <cellStyle name="Currency 5 2 5 2 2 2 3 5" xfId="16562" xr:uid="{00000000-0005-0000-0000-0000693B0000}"/>
    <cellStyle name="Currency 5 2 5 2 2 2 4" xfId="16563" xr:uid="{00000000-0005-0000-0000-00006A3B0000}"/>
    <cellStyle name="Currency 5 2 5 2 2 2 4 2" xfId="16564" xr:uid="{00000000-0005-0000-0000-00006B3B0000}"/>
    <cellStyle name="Currency 5 2 5 2 2 2 4 2 2" xfId="16565" xr:uid="{00000000-0005-0000-0000-00006C3B0000}"/>
    <cellStyle name="Currency 5 2 5 2 2 2 4 2 2 2" xfId="16566" xr:uid="{00000000-0005-0000-0000-00006D3B0000}"/>
    <cellStyle name="Currency 5 2 5 2 2 2 4 2 2 2 2" xfId="16567" xr:uid="{00000000-0005-0000-0000-00006E3B0000}"/>
    <cellStyle name="Currency 5 2 5 2 2 2 4 2 2 3" xfId="16568" xr:uid="{00000000-0005-0000-0000-00006F3B0000}"/>
    <cellStyle name="Currency 5 2 5 2 2 2 4 2 3" xfId="16569" xr:uid="{00000000-0005-0000-0000-0000703B0000}"/>
    <cellStyle name="Currency 5 2 5 2 2 2 4 2 3 2" xfId="16570" xr:uid="{00000000-0005-0000-0000-0000713B0000}"/>
    <cellStyle name="Currency 5 2 5 2 2 2 4 2 4" xfId="16571" xr:uid="{00000000-0005-0000-0000-0000723B0000}"/>
    <cellStyle name="Currency 5 2 5 2 2 2 4 3" xfId="16572" xr:uid="{00000000-0005-0000-0000-0000733B0000}"/>
    <cellStyle name="Currency 5 2 5 2 2 2 4 3 2" xfId="16573" xr:uid="{00000000-0005-0000-0000-0000743B0000}"/>
    <cellStyle name="Currency 5 2 5 2 2 2 4 3 2 2" xfId="16574" xr:uid="{00000000-0005-0000-0000-0000753B0000}"/>
    <cellStyle name="Currency 5 2 5 2 2 2 4 3 3" xfId="16575" xr:uid="{00000000-0005-0000-0000-0000763B0000}"/>
    <cellStyle name="Currency 5 2 5 2 2 2 4 4" xfId="16576" xr:uid="{00000000-0005-0000-0000-0000773B0000}"/>
    <cellStyle name="Currency 5 2 5 2 2 2 4 4 2" xfId="16577" xr:uid="{00000000-0005-0000-0000-0000783B0000}"/>
    <cellStyle name="Currency 5 2 5 2 2 2 4 5" xfId="16578" xr:uid="{00000000-0005-0000-0000-0000793B0000}"/>
    <cellStyle name="Currency 5 2 5 2 2 2 5" xfId="16579" xr:uid="{00000000-0005-0000-0000-00007A3B0000}"/>
    <cellStyle name="Currency 5 2 5 2 2 2 5 2" xfId="16580" xr:uid="{00000000-0005-0000-0000-00007B3B0000}"/>
    <cellStyle name="Currency 5 2 5 2 2 2 5 2 2" xfId="16581" xr:uid="{00000000-0005-0000-0000-00007C3B0000}"/>
    <cellStyle name="Currency 5 2 5 2 2 2 5 2 2 2" xfId="16582" xr:uid="{00000000-0005-0000-0000-00007D3B0000}"/>
    <cellStyle name="Currency 5 2 5 2 2 2 5 2 3" xfId="16583" xr:uid="{00000000-0005-0000-0000-00007E3B0000}"/>
    <cellStyle name="Currency 5 2 5 2 2 2 5 3" xfId="16584" xr:uid="{00000000-0005-0000-0000-00007F3B0000}"/>
    <cellStyle name="Currency 5 2 5 2 2 2 5 3 2" xfId="16585" xr:uid="{00000000-0005-0000-0000-0000803B0000}"/>
    <cellStyle name="Currency 5 2 5 2 2 2 5 4" xfId="16586" xr:uid="{00000000-0005-0000-0000-0000813B0000}"/>
    <cellStyle name="Currency 5 2 5 2 2 2 6" xfId="16587" xr:uid="{00000000-0005-0000-0000-0000823B0000}"/>
    <cellStyle name="Currency 5 2 5 2 2 2 6 2" xfId="16588" xr:uid="{00000000-0005-0000-0000-0000833B0000}"/>
    <cellStyle name="Currency 5 2 5 2 2 2 6 2 2" xfId="16589" xr:uid="{00000000-0005-0000-0000-0000843B0000}"/>
    <cellStyle name="Currency 5 2 5 2 2 2 6 2 2 2" xfId="16590" xr:uid="{00000000-0005-0000-0000-0000853B0000}"/>
    <cellStyle name="Currency 5 2 5 2 2 2 6 2 3" xfId="16591" xr:uid="{00000000-0005-0000-0000-0000863B0000}"/>
    <cellStyle name="Currency 5 2 5 2 2 2 6 3" xfId="16592" xr:uid="{00000000-0005-0000-0000-0000873B0000}"/>
    <cellStyle name="Currency 5 2 5 2 2 2 6 3 2" xfId="16593" xr:uid="{00000000-0005-0000-0000-0000883B0000}"/>
    <cellStyle name="Currency 5 2 5 2 2 2 6 4" xfId="16594" xr:uid="{00000000-0005-0000-0000-0000893B0000}"/>
    <cellStyle name="Currency 5 2 5 2 2 2 7" xfId="16595" xr:uid="{00000000-0005-0000-0000-00008A3B0000}"/>
    <cellStyle name="Currency 5 2 5 2 2 2 7 2" xfId="16596" xr:uid="{00000000-0005-0000-0000-00008B3B0000}"/>
    <cellStyle name="Currency 5 2 5 2 2 2 7 2 2" xfId="16597" xr:uid="{00000000-0005-0000-0000-00008C3B0000}"/>
    <cellStyle name="Currency 5 2 5 2 2 2 7 2 2 2" xfId="16598" xr:uid="{00000000-0005-0000-0000-00008D3B0000}"/>
    <cellStyle name="Currency 5 2 5 2 2 2 7 2 3" xfId="16599" xr:uid="{00000000-0005-0000-0000-00008E3B0000}"/>
    <cellStyle name="Currency 5 2 5 2 2 2 7 3" xfId="16600" xr:uid="{00000000-0005-0000-0000-00008F3B0000}"/>
    <cellStyle name="Currency 5 2 5 2 2 2 7 3 2" xfId="16601" xr:uid="{00000000-0005-0000-0000-0000903B0000}"/>
    <cellStyle name="Currency 5 2 5 2 2 2 7 4" xfId="16602" xr:uid="{00000000-0005-0000-0000-0000913B0000}"/>
    <cellStyle name="Currency 5 2 5 2 2 2 8" xfId="16603" xr:uid="{00000000-0005-0000-0000-0000923B0000}"/>
    <cellStyle name="Currency 5 2 5 2 2 2 8 2" xfId="16604" xr:uid="{00000000-0005-0000-0000-0000933B0000}"/>
    <cellStyle name="Currency 5 2 5 2 2 2 8 2 2" xfId="16605" xr:uid="{00000000-0005-0000-0000-0000943B0000}"/>
    <cellStyle name="Currency 5 2 5 2 2 2 8 3" xfId="16606" xr:uid="{00000000-0005-0000-0000-0000953B0000}"/>
    <cellStyle name="Currency 5 2 5 2 2 2 9" xfId="16607" xr:uid="{00000000-0005-0000-0000-0000963B0000}"/>
    <cellStyle name="Currency 5 2 5 2 2 2 9 2" xfId="16608" xr:uid="{00000000-0005-0000-0000-0000973B0000}"/>
    <cellStyle name="Currency 5 2 5 2 2 3" xfId="1324" xr:uid="{00000000-0005-0000-0000-0000983B0000}"/>
    <cellStyle name="Currency 5 2 5 2 2 3 2" xfId="16610" xr:uid="{00000000-0005-0000-0000-0000993B0000}"/>
    <cellStyle name="Currency 5 2 5 2 2 3 2 2" xfId="16611" xr:uid="{00000000-0005-0000-0000-00009A3B0000}"/>
    <cellStyle name="Currency 5 2 5 2 2 3 2 2 2" xfId="16612" xr:uid="{00000000-0005-0000-0000-00009B3B0000}"/>
    <cellStyle name="Currency 5 2 5 2 2 3 2 2 2 2" xfId="16613" xr:uid="{00000000-0005-0000-0000-00009C3B0000}"/>
    <cellStyle name="Currency 5 2 5 2 2 3 2 2 3" xfId="16614" xr:uid="{00000000-0005-0000-0000-00009D3B0000}"/>
    <cellStyle name="Currency 5 2 5 2 2 3 2 3" xfId="16615" xr:uid="{00000000-0005-0000-0000-00009E3B0000}"/>
    <cellStyle name="Currency 5 2 5 2 2 3 2 3 2" xfId="16616" xr:uid="{00000000-0005-0000-0000-00009F3B0000}"/>
    <cellStyle name="Currency 5 2 5 2 2 3 2 4" xfId="16617" xr:uid="{00000000-0005-0000-0000-0000A03B0000}"/>
    <cellStyle name="Currency 5 2 5 2 2 3 3" xfId="16618" xr:uid="{00000000-0005-0000-0000-0000A13B0000}"/>
    <cellStyle name="Currency 5 2 5 2 2 3 3 2" xfId="16619" xr:uid="{00000000-0005-0000-0000-0000A23B0000}"/>
    <cellStyle name="Currency 5 2 5 2 2 3 3 2 2" xfId="16620" xr:uid="{00000000-0005-0000-0000-0000A33B0000}"/>
    <cellStyle name="Currency 5 2 5 2 2 3 3 2 2 2" xfId="16621" xr:uid="{00000000-0005-0000-0000-0000A43B0000}"/>
    <cellStyle name="Currency 5 2 5 2 2 3 3 2 3" xfId="16622" xr:uid="{00000000-0005-0000-0000-0000A53B0000}"/>
    <cellStyle name="Currency 5 2 5 2 2 3 3 3" xfId="16623" xr:uid="{00000000-0005-0000-0000-0000A63B0000}"/>
    <cellStyle name="Currency 5 2 5 2 2 3 3 3 2" xfId="16624" xr:uid="{00000000-0005-0000-0000-0000A73B0000}"/>
    <cellStyle name="Currency 5 2 5 2 2 3 3 4" xfId="16625" xr:uid="{00000000-0005-0000-0000-0000A83B0000}"/>
    <cellStyle name="Currency 5 2 5 2 2 3 4" xfId="16626" xr:uid="{00000000-0005-0000-0000-0000A93B0000}"/>
    <cellStyle name="Currency 5 2 5 2 2 3 4 2" xfId="16627" xr:uid="{00000000-0005-0000-0000-0000AA3B0000}"/>
    <cellStyle name="Currency 5 2 5 2 2 3 4 2 2" xfId="16628" xr:uid="{00000000-0005-0000-0000-0000AB3B0000}"/>
    <cellStyle name="Currency 5 2 5 2 2 3 4 3" xfId="16629" xr:uid="{00000000-0005-0000-0000-0000AC3B0000}"/>
    <cellStyle name="Currency 5 2 5 2 2 3 5" xfId="16630" xr:uid="{00000000-0005-0000-0000-0000AD3B0000}"/>
    <cellStyle name="Currency 5 2 5 2 2 3 5 2" xfId="16631" xr:uid="{00000000-0005-0000-0000-0000AE3B0000}"/>
    <cellStyle name="Currency 5 2 5 2 2 3 6" xfId="16632" xr:uid="{00000000-0005-0000-0000-0000AF3B0000}"/>
    <cellStyle name="Currency 5 2 5 2 2 3 7" xfId="16609" xr:uid="{00000000-0005-0000-0000-0000B03B0000}"/>
    <cellStyle name="Currency 5 2 5 2 2 4" xfId="16633" xr:uid="{00000000-0005-0000-0000-0000B13B0000}"/>
    <cellStyle name="Currency 5 2 5 2 2 4 2" xfId="16634" xr:uid="{00000000-0005-0000-0000-0000B23B0000}"/>
    <cellStyle name="Currency 5 2 5 2 2 4 2 2" xfId="16635" xr:uid="{00000000-0005-0000-0000-0000B33B0000}"/>
    <cellStyle name="Currency 5 2 5 2 2 4 2 2 2" xfId="16636" xr:uid="{00000000-0005-0000-0000-0000B43B0000}"/>
    <cellStyle name="Currency 5 2 5 2 2 4 2 2 2 2" xfId="16637" xr:uid="{00000000-0005-0000-0000-0000B53B0000}"/>
    <cellStyle name="Currency 5 2 5 2 2 4 2 2 3" xfId="16638" xr:uid="{00000000-0005-0000-0000-0000B63B0000}"/>
    <cellStyle name="Currency 5 2 5 2 2 4 2 3" xfId="16639" xr:uid="{00000000-0005-0000-0000-0000B73B0000}"/>
    <cellStyle name="Currency 5 2 5 2 2 4 2 3 2" xfId="16640" xr:uid="{00000000-0005-0000-0000-0000B83B0000}"/>
    <cellStyle name="Currency 5 2 5 2 2 4 2 4" xfId="16641" xr:uid="{00000000-0005-0000-0000-0000B93B0000}"/>
    <cellStyle name="Currency 5 2 5 2 2 4 3" xfId="16642" xr:uid="{00000000-0005-0000-0000-0000BA3B0000}"/>
    <cellStyle name="Currency 5 2 5 2 2 4 3 2" xfId="16643" xr:uid="{00000000-0005-0000-0000-0000BB3B0000}"/>
    <cellStyle name="Currency 5 2 5 2 2 4 3 2 2" xfId="16644" xr:uid="{00000000-0005-0000-0000-0000BC3B0000}"/>
    <cellStyle name="Currency 5 2 5 2 2 4 3 3" xfId="16645" xr:uid="{00000000-0005-0000-0000-0000BD3B0000}"/>
    <cellStyle name="Currency 5 2 5 2 2 4 4" xfId="16646" xr:uid="{00000000-0005-0000-0000-0000BE3B0000}"/>
    <cellStyle name="Currency 5 2 5 2 2 4 4 2" xfId="16647" xr:uid="{00000000-0005-0000-0000-0000BF3B0000}"/>
    <cellStyle name="Currency 5 2 5 2 2 4 5" xfId="16648" xr:uid="{00000000-0005-0000-0000-0000C03B0000}"/>
    <cellStyle name="Currency 5 2 5 2 2 5" xfId="16649" xr:uid="{00000000-0005-0000-0000-0000C13B0000}"/>
    <cellStyle name="Currency 5 2 5 2 2 5 2" xfId="16650" xr:uid="{00000000-0005-0000-0000-0000C23B0000}"/>
    <cellStyle name="Currency 5 2 5 2 2 5 2 2" xfId="16651" xr:uid="{00000000-0005-0000-0000-0000C33B0000}"/>
    <cellStyle name="Currency 5 2 5 2 2 5 2 2 2" xfId="16652" xr:uid="{00000000-0005-0000-0000-0000C43B0000}"/>
    <cellStyle name="Currency 5 2 5 2 2 5 2 2 2 2" xfId="16653" xr:uid="{00000000-0005-0000-0000-0000C53B0000}"/>
    <cellStyle name="Currency 5 2 5 2 2 5 2 2 3" xfId="16654" xr:uid="{00000000-0005-0000-0000-0000C63B0000}"/>
    <cellStyle name="Currency 5 2 5 2 2 5 2 3" xfId="16655" xr:uid="{00000000-0005-0000-0000-0000C73B0000}"/>
    <cellStyle name="Currency 5 2 5 2 2 5 2 3 2" xfId="16656" xr:uid="{00000000-0005-0000-0000-0000C83B0000}"/>
    <cellStyle name="Currency 5 2 5 2 2 5 2 4" xfId="16657" xr:uid="{00000000-0005-0000-0000-0000C93B0000}"/>
    <cellStyle name="Currency 5 2 5 2 2 5 3" xfId="16658" xr:uid="{00000000-0005-0000-0000-0000CA3B0000}"/>
    <cellStyle name="Currency 5 2 5 2 2 5 3 2" xfId="16659" xr:uid="{00000000-0005-0000-0000-0000CB3B0000}"/>
    <cellStyle name="Currency 5 2 5 2 2 5 3 2 2" xfId="16660" xr:uid="{00000000-0005-0000-0000-0000CC3B0000}"/>
    <cellStyle name="Currency 5 2 5 2 2 5 3 3" xfId="16661" xr:uid="{00000000-0005-0000-0000-0000CD3B0000}"/>
    <cellStyle name="Currency 5 2 5 2 2 5 4" xfId="16662" xr:uid="{00000000-0005-0000-0000-0000CE3B0000}"/>
    <cellStyle name="Currency 5 2 5 2 2 5 4 2" xfId="16663" xr:uid="{00000000-0005-0000-0000-0000CF3B0000}"/>
    <cellStyle name="Currency 5 2 5 2 2 5 5" xfId="16664" xr:uid="{00000000-0005-0000-0000-0000D03B0000}"/>
    <cellStyle name="Currency 5 2 5 2 2 6" xfId="16665" xr:uid="{00000000-0005-0000-0000-0000D13B0000}"/>
    <cellStyle name="Currency 5 2 5 2 2 6 2" xfId="16666" xr:uid="{00000000-0005-0000-0000-0000D23B0000}"/>
    <cellStyle name="Currency 5 2 5 2 2 6 2 2" xfId="16667" xr:uid="{00000000-0005-0000-0000-0000D33B0000}"/>
    <cellStyle name="Currency 5 2 5 2 2 6 2 2 2" xfId="16668" xr:uid="{00000000-0005-0000-0000-0000D43B0000}"/>
    <cellStyle name="Currency 5 2 5 2 2 6 2 3" xfId="16669" xr:uid="{00000000-0005-0000-0000-0000D53B0000}"/>
    <cellStyle name="Currency 5 2 5 2 2 6 3" xfId="16670" xr:uid="{00000000-0005-0000-0000-0000D63B0000}"/>
    <cellStyle name="Currency 5 2 5 2 2 6 3 2" xfId="16671" xr:uid="{00000000-0005-0000-0000-0000D73B0000}"/>
    <cellStyle name="Currency 5 2 5 2 2 6 4" xfId="16672" xr:uid="{00000000-0005-0000-0000-0000D83B0000}"/>
    <cellStyle name="Currency 5 2 5 2 2 7" xfId="16673" xr:uid="{00000000-0005-0000-0000-0000D93B0000}"/>
    <cellStyle name="Currency 5 2 5 2 2 7 2" xfId="16674" xr:uid="{00000000-0005-0000-0000-0000DA3B0000}"/>
    <cellStyle name="Currency 5 2 5 2 2 7 2 2" xfId="16675" xr:uid="{00000000-0005-0000-0000-0000DB3B0000}"/>
    <cellStyle name="Currency 5 2 5 2 2 7 2 2 2" xfId="16676" xr:uid="{00000000-0005-0000-0000-0000DC3B0000}"/>
    <cellStyle name="Currency 5 2 5 2 2 7 2 3" xfId="16677" xr:uid="{00000000-0005-0000-0000-0000DD3B0000}"/>
    <cellStyle name="Currency 5 2 5 2 2 7 3" xfId="16678" xr:uid="{00000000-0005-0000-0000-0000DE3B0000}"/>
    <cellStyle name="Currency 5 2 5 2 2 7 3 2" xfId="16679" xr:uid="{00000000-0005-0000-0000-0000DF3B0000}"/>
    <cellStyle name="Currency 5 2 5 2 2 7 4" xfId="16680" xr:uid="{00000000-0005-0000-0000-0000E03B0000}"/>
    <cellStyle name="Currency 5 2 5 2 2 8" xfId="16681" xr:uid="{00000000-0005-0000-0000-0000E13B0000}"/>
    <cellStyle name="Currency 5 2 5 2 2 8 2" xfId="16682" xr:uid="{00000000-0005-0000-0000-0000E23B0000}"/>
    <cellStyle name="Currency 5 2 5 2 2 8 2 2" xfId="16683" xr:uid="{00000000-0005-0000-0000-0000E33B0000}"/>
    <cellStyle name="Currency 5 2 5 2 2 8 2 2 2" xfId="16684" xr:uid="{00000000-0005-0000-0000-0000E43B0000}"/>
    <cellStyle name="Currency 5 2 5 2 2 8 2 3" xfId="16685" xr:uid="{00000000-0005-0000-0000-0000E53B0000}"/>
    <cellStyle name="Currency 5 2 5 2 2 8 3" xfId="16686" xr:uid="{00000000-0005-0000-0000-0000E63B0000}"/>
    <cellStyle name="Currency 5 2 5 2 2 8 3 2" xfId="16687" xr:uid="{00000000-0005-0000-0000-0000E73B0000}"/>
    <cellStyle name="Currency 5 2 5 2 2 8 4" xfId="16688" xr:uid="{00000000-0005-0000-0000-0000E83B0000}"/>
    <cellStyle name="Currency 5 2 5 2 2 9" xfId="16689" xr:uid="{00000000-0005-0000-0000-0000E93B0000}"/>
    <cellStyle name="Currency 5 2 5 2 2 9 2" xfId="16690" xr:uid="{00000000-0005-0000-0000-0000EA3B0000}"/>
    <cellStyle name="Currency 5 2 5 2 2 9 2 2" xfId="16691" xr:uid="{00000000-0005-0000-0000-0000EB3B0000}"/>
    <cellStyle name="Currency 5 2 5 2 2 9 3" xfId="16692" xr:uid="{00000000-0005-0000-0000-0000EC3B0000}"/>
    <cellStyle name="Currency 5 2 5 2 3" xfId="354" xr:uid="{00000000-0005-0000-0000-0000ED3B0000}"/>
    <cellStyle name="Currency 5 2 5 2 4" xfId="907" xr:uid="{00000000-0005-0000-0000-0000EE3B0000}"/>
    <cellStyle name="Currency 5 2 5 2 4 10" xfId="16694" xr:uid="{00000000-0005-0000-0000-0000EF3B0000}"/>
    <cellStyle name="Currency 5 2 5 2 4 11" xfId="16693" xr:uid="{00000000-0005-0000-0000-0000F03B0000}"/>
    <cellStyle name="Currency 5 2 5 2 4 2" xfId="1648" xr:uid="{00000000-0005-0000-0000-0000F13B0000}"/>
    <cellStyle name="Currency 5 2 5 2 4 2 2" xfId="16696" xr:uid="{00000000-0005-0000-0000-0000F23B0000}"/>
    <cellStyle name="Currency 5 2 5 2 4 2 2 2" xfId="16697" xr:uid="{00000000-0005-0000-0000-0000F33B0000}"/>
    <cellStyle name="Currency 5 2 5 2 4 2 2 2 2" xfId="16698" xr:uid="{00000000-0005-0000-0000-0000F43B0000}"/>
    <cellStyle name="Currency 5 2 5 2 4 2 2 2 2 2" xfId="16699" xr:uid="{00000000-0005-0000-0000-0000F53B0000}"/>
    <cellStyle name="Currency 5 2 5 2 4 2 2 2 3" xfId="16700" xr:uid="{00000000-0005-0000-0000-0000F63B0000}"/>
    <cellStyle name="Currency 5 2 5 2 4 2 2 3" xfId="16701" xr:uid="{00000000-0005-0000-0000-0000F73B0000}"/>
    <cellStyle name="Currency 5 2 5 2 4 2 2 3 2" xfId="16702" xr:uid="{00000000-0005-0000-0000-0000F83B0000}"/>
    <cellStyle name="Currency 5 2 5 2 4 2 2 4" xfId="16703" xr:uid="{00000000-0005-0000-0000-0000F93B0000}"/>
    <cellStyle name="Currency 5 2 5 2 4 2 3" xfId="16704" xr:uid="{00000000-0005-0000-0000-0000FA3B0000}"/>
    <cellStyle name="Currency 5 2 5 2 4 2 3 2" xfId="16705" xr:uid="{00000000-0005-0000-0000-0000FB3B0000}"/>
    <cellStyle name="Currency 5 2 5 2 4 2 3 2 2" xfId="16706" xr:uid="{00000000-0005-0000-0000-0000FC3B0000}"/>
    <cellStyle name="Currency 5 2 5 2 4 2 3 2 2 2" xfId="16707" xr:uid="{00000000-0005-0000-0000-0000FD3B0000}"/>
    <cellStyle name="Currency 5 2 5 2 4 2 3 2 3" xfId="16708" xr:uid="{00000000-0005-0000-0000-0000FE3B0000}"/>
    <cellStyle name="Currency 5 2 5 2 4 2 3 3" xfId="16709" xr:uid="{00000000-0005-0000-0000-0000FF3B0000}"/>
    <cellStyle name="Currency 5 2 5 2 4 2 3 3 2" xfId="16710" xr:uid="{00000000-0005-0000-0000-0000003C0000}"/>
    <cellStyle name="Currency 5 2 5 2 4 2 3 4" xfId="16711" xr:uid="{00000000-0005-0000-0000-0000013C0000}"/>
    <cellStyle name="Currency 5 2 5 2 4 2 4" xfId="16712" xr:uid="{00000000-0005-0000-0000-0000023C0000}"/>
    <cellStyle name="Currency 5 2 5 2 4 2 4 2" xfId="16713" xr:uid="{00000000-0005-0000-0000-0000033C0000}"/>
    <cellStyle name="Currency 5 2 5 2 4 2 4 2 2" xfId="16714" xr:uid="{00000000-0005-0000-0000-0000043C0000}"/>
    <cellStyle name="Currency 5 2 5 2 4 2 4 3" xfId="16715" xr:uid="{00000000-0005-0000-0000-0000053C0000}"/>
    <cellStyle name="Currency 5 2 5 2 4 2 5" xfId="16716" xr:uid="{00000000-0005-0000-0000-0000063C0000}"/>
    <cellStyle name="Currency 5 2 5 2 4 2 5 2" xfId="16717" xr:uid="{00000000-0005-0000-0000-0000073C0000}"/>
    <cellStyle name="Currency 5 2 5 2 4 2 6" xfId="16718" xr:uid="{00000000-0005-0000-0000-0000083C0000}"/>
    <cellStyle name="Currency 5 2 5 2 4 2 7" xfId="16695" xr:uid="{00000000-0005-0000-0000-0000093C0000}"/>
    <cellStyle name="Currency 5 2 5 2 4 3" xfId="16719" xr:uid="{00000000-0005-0000-0000-00000A3C0000}"/>
    <cellStyle name="Currency 5 2 5 2 4 3 2" xfId="16720" xr:uid="{00000000-0005-0000-0000-00000B3C0000}"/>
    <cellStyle name="Currency 5 2 5 2 4 3 2 2" xfId="16721" xr:uid="{00000000-0005-0000-0000-00000C3C0000}"/>
    <cellStyle name="Currency 5 2 5 2 4 3 2 2 2" xfId="16722" xr:uid="{00000000-0005-0000-0000-00000D3C0000}"/>
    <cellStyle name="Currency 5 2 5 2 4 3 2 2 2 2" xfId="16723" xr:uid="{00000000-0005-0000-0000-00000E3C0000}"/>
    <cellStyle name="Currency 5 2 5 2 4 3 2 2 3" xfId="16724" xr:uid="{00000000-0005-0000-0000-00000F3C0000}"/>
    <cellStyle name="Currency 5 2 5 2 4 3 2 3" xfId="16725" xr:uid="{00000000-0005-0000-0000-0000103C0000}"/>
    <cellStyle name="Currency 5 2 5 2 4 3 2 3 2" xfId="16726" xr:uid="{00000000-0005-0000-0000-0000113C0000}"/>
    <cellStyle name="Currency 5 2 5 2 4 3 2 4" xfId="16727" xr:uid="{00000000-0005-0000-0000-0000123C0000}"/>
    <cellStyle name="Currency 5 2 5 2 4 3 3" xfId="16728" xr:uid="{00000000-0005-0000-0000-0000133C0000}"/>
    <cellStyle name="Currency 5 2 5 2 4 3 3 2" xfId="16729" xr:uid="{00000000-0005-0000-0000-0000143C0000}"/>
    <cellStyle name="Currency 5 2 5 2 4 3 3 2 2" xfId="16730" xr:uid="{00000000-0005-0000-0000-0000153C0000}"/>
    <cellStyle name="Currency 5 2 5 2 4 3 3 3" xfId="16731" xr:uid="{00000000-0005-0000-0000-0000163C0000}"/>
    <cellStyle name="Currency 5 2 5 2 4 3 4" xfId="16732" xr:uid="{00000000-0005-0000-0000-0000173C0000}"/>
    <cellStyle name="Currency 5 2 5 2 4 3 4 2" xfId="16733" xr:uid="{00000000-0005-0000-0000-0000183C0000}"/>
    <cellStyle name="Currency 5 2 5 2 4 3 5" xfId="16734" xr:uid="{00000000-0005-0000-0000-0000193C0000}"/>
    <cellStyle name="Currency 5 2 5 2 4 4" xfId="16735" xr:uid="{00000000-0005-0000-0000-00001A3C0000}"/>
    <cellStyle name="Currency 5 2 5 2 4 4 2" xfId="16736" xr:uid="{00000000-0005-0000-0000-00001B3C0000}"/>
    <cellStyle name="Currency 5 2 5 2 4 4 2 2" xfId="16737" xr:uid="{00000000-0005-0000-0000-00001C3C0000}"/>
    <cellStyle name="Currency 5 2 5 2 4 4 2 2 2" xfId="16738" xr:uid="{00000000-0005-0000-0000-00001D3C0000}"/>
    <cellStyle name="Currency 5 2 5 2 4 4 2 2 2 2" xfId="16739" xr:uid="{00000000-0005-0000-0000-00001E3C0000}"/>
    <cellStyle name="Currency 5 2 5 2 4 4 2 2 3" xfId="16740" xr:uid="{00000000-0005-0000-0000-00001F3C0000}"/>
    <cellStyle name="Currency 5 2 5 2 4 4 2 3" xfId="16741" xr:uid="{00000000-0005-0000-0000-0000203C0000}"/>
    <cellStyle name="Currency 5 2 5 2 4 4 2 3 2" xfId="16742" xr:uid="{00000000-0005-0000-0000-0000213C0000}"/>
    <cellStyle name="Currency 5 2 5 2 4 4 2 4" xfId="16743" xr:uid="{00000000-0005-0000-0000-0000223C0000}"/>
    <cellStyle name="Currency 5 2 5 2 4 4 3" xfId="16744" xr:uid="{00000000-0005-0000-0000-0000233C0000}"/>
    <cellStyle name="Currency 5 2 5 2 4 4 3 2" xfId="16745" xr:uid="{00000000-0005-0000-0000-0000243C0000}"/>
    <cellStyle name="Currency 5 2 5 2 4 4 3 2 2" xfId="16746" xr:uid="{00000000-0005-0000-0000-0000253C0000}"/>
    <cellStyle name="Currency 5 2 5 2 4 4 3 3" xfId="16747" xr:uid="{00000000-0005-0000-0000-0000263C0000}"/>
    <cellStyle name="Currency 5 2 5 2 4 4 4" xfId="16748" xr:uid="{00000000-0005-0000-0000-0000273C0000}"/>
    <cellStyle name="Currency 5 2 5 2 4 4 4 2" xfId="16749" xr:uid="{00000000-0005-0000-0000-0000283C0000}"/>
    <cellStyle name="Currency 5 2 5 2 4 4 5" xfId="16750" xr:uid="{00000000-0005-0000-0000-0000293C0000}"/>
    <cellStyle name="Currency 5 2 5 2 4 5" xfId="16751" xr:uid="{00000000-0005-0000-0000-00002A3C0000}"/>
    <cellStyle name="Currency 5 2 5 2 4 5 2" xfId="16752" xr:uid="{00000000-0005-0000-0000-00002B3C0000}"/>
    <cellStyle name="Currency 5 2 5 2 4 5 2 2" xfId="16753" xr:uid="{00000000-0005-0000-0000-00002C3C0000}"/>
    <cellStyle name="Currency 5 2 5 2 4 5 2 2 2" xfId="16754" xr:uid="{00000000-0005-0000-0000-00002D3C0000}"/>
    <cellStyle name="Currency 5 2 5 2 4 5 2 3" xfId="16755" xr:uid="{00000000-0005-0000-0000-00002E3C0000}"/>
    <cellStyle name="Currency 5 2 5 2 4 5 3" xfId="16756" xr:uid="{00000000-0005-0000-0000-00002F3C0000}"/>
    <cellStyle name="Currency 5 2 5 2 4 5 3 2" xfId="16757" xr:uid="{00000000-0005-0000-0000-0000303C0000}"/>
    <cellStyle name="Currency 5 2 5 2 4 5 4" xfId="16758" xr:uid="{00000000-0005-0000-0000-0000313C0000}"/>
    <cellStyle name="Currency 5 2 5 2 4 6" xfId="16759" xr:uid="{00000000-0005-0000-0000-0000323C0000}"/>
    <cellStyle name="Currency 5 2 5 2 4 6 2" xfId="16760" xr:uid="{00000000-0005-0000-0000-0000333C0000}"/>
    <cellStyle name="Currency 5 2 5 2 4 6 2 2" xfId="16761" xr:uid="{00000000-0005-0000-0000-0000343C0000}"/>
    <cellStyle name="Currency 5 2 5 2 4 6 2 2 2" xfId="16762" xr:uid="{00000000-0005-0000-0000-0000353C0000}"/>
    <cellStyle name="Currency 5 2 5 2 4 6 2 3" xfId="16763" xr:uid="{00000000-0005-0000-0000-0000363C0000}"/>
    <cellStyle name="Currency 5 2 5 2 4 6 3" xfId="16764" xr:uid="{00000000-0005-0000-0000-0000373C0000}"/>
    <cellStyle name="Currency 5 2 5 2 4 6 3 2" xfId="16765" xr:uid="{00000000-0005-0000-0000-0000383C0000}"/>
    <cellStyle name="Currency 5 2 5 2 4 6 4" xfId="16766" xr:uid="{00000000-0005-0000-0000-0000393C0000}"/>
    <cellStyle name="Currency 5 2 5 2 4 7" xfId="16767" xr:uid="{00000000-0005-0000-0000-00003A3C0000}"/>
    <cellStyle name="Currency 5 2 5 2 4 7 2" xfId="16768" xr:uid="{00000000-0005-0000-0000-00003B3C0000}"/>
    <cellStyle name="Currency 5 2 5 2 4 7 2 2" xfId="16769" xr:uid="{00000000-0005-0000-0000-00003C3C0000}"/>
    <cellStyle name="Currency 5 2 5 2 4 7 2 2 2" xfId="16770" xr:uid="{00000000-0005-0000-0000-00003D3C0000}"/>
    <cellStyle name="Currency 5 2 5 2 4 7 2 3" xfId="16771" xr:uid="{00000000-0005-0000-0000-00003E3C0000}"/>
    <cellStyle name="Currency 5 2 5 2 4 7 3" xfId="16772" xr:uid="{00000000-0005-0000-0000-00003F3C0000}"/>
    <cellStyle name="Currency 5 2 5 2 4 7 3 2" xfId="16773" xr:uid="{00000000-0005-0000-0000-0000403C0000}"/>
    <cellStyle name="Currency 5 2 5 2 4 7 4" xfId="16774" xr:uid="{00000000-0005-0000-0000-0000413C0000}"/>
    <cellStyle name="Currency 5 2 5 2 4 8" xfId="16775" xr:uid="{00000000-0005-0000-0000-0000423C0000}"/>
    <cellStyle name="Currency 5 2 5 2 4 8 2" xfId="16776" xr:uid="{00000000-0005-0000-0000-0000433C0000}"/>
    <cellStyle name="Currency 5 2 5 2 4 8 2 2" xfId="16777" xr:uid="{00000000-0005-0000-0000-0000443C0000}"/>
    <cellStyle name="Currency 5 2 5 2 4 8 3" xfId="16778" xr:uid="{00000000-0005-0000-0000-0000453C0000}"/>
    <cellStyle name="Currency 5 2 5 2 4 9" xfId="16779" xr:uid="{00000000-0005-0000-0000-0000463C0000}"/>
    <cellStyle name="Currency 5 2 5 2 4 9 2" xfId="16780" xr:uid="{00000000-0005-0000-0000-0000473C0000}"/>
    <cellStyle name="Currency 5 2 5 2 5" xfId="1323" xr:uid="{00000000-0005-0000-0000-0000483C0000}"/>
    <cellStyle name="Currency 5 2 5 2 5 2" xfId="16782" xr:uid="{00000000-0005-0000-0000-0000493C0000}"/>
    <cellStyle name="Currency 5 2 5 2 5 2 2" xfId="16783" xr:uid="{00000000-0005-0000-0000-00004A3C0000}"/>
    <cellStyle name="Currency 5 2 5 2 5 2 2 2" xfId="16784" xr:uid="{00000000-0005-0000-0000-00004B3C0000}"/>
    <cellStyle name="Currency 5 2 5 2 5 2 2 2 2" xfId="16785" xr:uid="{00000000-0005-0000-0000-00004C3C0000}"/>
    <cellStyle name="Currency 5 2 5 2 5 2 2 3" xfId="16786" xr:uid="{00000000-0005-0000-0000-00004D3C0000}"/>
    <cellStyle name="Currency 5 2 5 2 5 2 3" xfId="16787" xr:uid="{00000000-0005-0000-0000-00004E3C0000}"/>
    <cellStyle name="Currency 5 2 5 2 5 2 3 2" xfId="16788" xr:uid="{00000000-0005-0000-0000-00004F3C0000}"/>
    <cellStyle name="Currency 5 2 5 2 5 2 4" xfId="16789" xr:uid="{00000000-0005-0000-0000-0000503C0000}"/>
    <cellStyle name="Currency 5 2 5 2 5 3" xfId="16790" xr:uid="{00000000-0005-0000-0000-0000513C0000}"/>
    <cellStyle name="Currency 5 2 5 2 5 3 2" xfId="16791" xr:uid="{00000000-0005-0000-0000-0000523C0000}"/>
    <cellStyle name="Currency 5 2 5 2 5 3 2 2" xfId="16792" xr:uid="{00000000-0005-0000-0000-0000533C0000}"/>
    <cellStyle name="Currency 5 2 5 2 5 3 2 2 2" xfId="16793" xr:uid="{00000000-0005-0000-0000-0000543C0000}"/>
    <cellStyle name="Currency 5 2 5 2 5 3 2 3" xfId="16794" xr:uid="{00000000-0005-0000-0000-0000553C0000}"/>
    <cellStyle name="Currency 5 2 5 2 5 3 3" xfId="16795" xr:uid="{00000000-0005-0000-0000-0000563C0000}"/>
    <cellStyle name="Currency 5 2 5 2 5 3 3 2" xfId="16796" xr:uid="{00000000-0005-0000-0000-0000573C0000}"/>
    <cellStyle name="Currency 5 2 5 2 5 3 4" xfId="16797" xr:uid="{00000000-0005-0000-0000-0000583C0000}"/>
    <cellStyle name="Currency 5 2 5 2 5 4" xfId="16798" xr:uid="{00000000-0005-0000-0000-0000593C0000}"/>
    <cellStyle name="Currency 5 2 5 2 5 4 2" xfId="16799" xr:uid="{00000000-0005-0000-0000-00005A3C0000}"/>
    <cellStyle name="Currency 5 2 5 2 5 4 2 2" xfId="16800" xr:uid="{00000000-0005-0000-0000-00005B3C0000}"/>
    <cellStyle name="Currency 5 2 5 2 5 4 3" xfId="16801" xr:uid="{00000000-0005-0000-0000-00005C3C0000}"/>
    <cellStyle name="Currency 5 2 5 2 5 5" xfId="16802" xr:uid="{00000000-0005-0000-0000-00005D3C0000}"/>
    <cellStyle name="Currency 5 2 5 2 5 5 2" xfId="16803" xr:uid="{00000000-0005-0000-0000-00005E3C0000}"/>
    <cellStyle name="Currency 5 2 5 2 5 6" xfId="16804" xr:uid="{00000000-0005-0000-0000-00005F3C0000}"/>
    <cellStyle name="Currency 5 2 5 2 5 7" xfId="16781" xr:uid="{00000000-0005-0000-0000-0000603C0000}"/>
    <cellStyle name="Currency 5 2 5 2 6" xfId="16805" xr:uid="{00000000-0005-0000-0000-0000613C0000}"/>
    <cellStyle name="Currency 5 2 5 2 6 2" xfId="16806" xr:uid="{00000000-0005-0000-0000-0000623C0000}"/>
    <cellStyle name="Currency 5 2 5 2 6 2 2" xfId="16807" xr:uid="{00000000-0005-0000-0000-0000633C0000}"/>
    <cellStyle name="Currency 5 2 5 2 6 2 2 2" xfId="16808" xr:uid="{00000000-0005-0000-0000-0000643C0000}"/>
    <cellStyle name="Currency 5 2 5 2 6 2 2 2 2" xfId="16809" xr:uid="{00000000-0005-0000-0000-0000653C0000}"/>
    <cellStyle name="Currency 5 2 5 2 6 2 2 3" xfId="16810" xr:uid="{00000000-0005-0000-0000-0000663C0000}"/>
    <cellStyle name="Currency 5 2 5 2 6 2 3" xfId="16811" xr:uid="{00000000-0005-0000-0000-0000673C0000}"/>
    <cellStyle name="Currency 5 2 5 2 6 2 3 2" xfId="16812" xr:uid="{00000000-0005-0000-0000-0000683C0000}"/>
    <cellStyle name="Currency 5 2 5 2 6 2 4" xfId="16813" xr:uid="{00000000-0005-0000-0000-0000693C0000}"/>
    <cellStyle name="Currency 5 2 5 2 6 3" xfId="16814" xr:uid="{00000000-0005-0000-0000-00006A3C0000}"/>
    <cellStyle name="Currency 5 2 5 2 6 3 2" xfId="16815" xr:uid="{00000000-0005-0000-0000-00006B3C0000}"/>
    <cellStyle name="Currency 5 2 5 2 6 3 2 2" xfId="16816" xr:uid="{00000000-0005-0000-0000-00006C3C0000}"/>
    <cellStyle name="Currency 5 2 5 2 6 3 3" xfId="16817" xr:uid="{00000000-0005-0000-0000-00006D3C0000}"/>
    <cellStyle name="Currency 5 2 5 2 6 4" xfId="16818" xr:uid="{00000000-0005-0000-0000-00006E3C0000}"/>
    <cellStyle name="Currency 5 2 5 2 6 4 2" xfId="16819" xr:uid="{00000000-0005-0000-0000-00006F3C0000}"/>
    <cellStyle name="Currency 5 2 5 2 6 5" xfId="16820" xr:uid="{00000000-0005-0000-0000-0000703C0000}"/>
    <cellStyle name="Currency 5 2 5 2 7" xfId="16821" xr:uid="{00000000-0005-0000-0000-0000713C0000}"/>
    <cellStyle name="Currency 5 2 5 2 7 2" xfId="16822" xr:uid="{00000000-0005-0000-0000-0000723C0000}"/>
    <cellStyle name="Currency 5 2 5 2 7 2 2" xfId="16823" xr:uid="{00000000-0005-0000-0000-0000733C0000}"/>
    <cellStyle name="Currency 5 2 5 2 7 2 2 2" xfId="16824" xr:uid="{00000000-0005-0000-0000-0000743C0000}"/>
    <cellStyle name="Currency 5 2 5 2 7 2 2 2 2" xfId="16825" xr:uid="{00000000-0005-0000-0000-0000753C0000}"/>
    <cellStyle name="Currency 5 2 5 2 7 2 2 3" xfId="16826" xr:uid="{00000000-0005-0000-0000-0000763C0000}"/>
    <cellStyle name="Currency 5 2 5 2 7 2 3" xfId="16827" xr:uid="{00000000-0005-0000-0000-0000773C0000}"/>
    <cellStyle name="Currency 5 2 5 2 7 2 3 2" xfId="16828" xr:uid="{00000000-0005-0000-0000-0000783C0000}"/>
    <cellStyle name="Currency 5 2 5 2 7 2 4" xfId="16829" xr:uid="{00000000-0005-0000-0000-0000793C0000}"/>
    <cellStyle name="Currency 5 2 5 2 7 3" xfId="16830" xr:uid="{00000000-0005-0000-0000-00007A3C0000}"/>
    <cellStyle name="Currency 5 2 5 2 7 3 2" xfId="16831" xr:uid="{00000000-0005-0000-0000-00007B3C0000}"/>
    <cellStyle name="Currency 5 2 5 2 7 3 2 2" xfId="16832" xr:uid="{00000000-0005-0000-0000-00007C3C0000}"/>
    <cellStyle name="Currency 5 2 5 2 7 3 3" xfId="16833" xr:uid="{00000000-0005-0000-0000-00007D3C0000}"/>
    <cellStyle name="Currency 5 2 5 2 7 4" xfId="16834" xr:uid="{00000000-0005-0000-0000-00007E3C0000}"/>
    <cellStyle name="Currency 5 2 5 2 7 4 2" xfId="16835" xr:uid="{00000000-0005-0000-0000-00007F3C0000}"/>
    <cellStyle name="Currency 5 2 5 2 7 5" xfId="16836" xr:uid="{00000000-0005-0000-0000-0000803C0000}"/>
    <cellStyle name="Currency 5 2 5 2 8" xfId="16837" xr:uid="{00000000-0005-0000-0000-0000813C0000}"/>
    <cellStyle name="Currency 5 2 5 2 8 2" xfId="16838" xr:uid="{00000000-0005-0000-0000-0000823C0000}"/>
    <cellStyle name="Currency 5 2 5 2 8 2 2" xfId="16839" xr:uid="{00000000-0005-0000-0000-0000833C0000}"/>
    <cellStyle name="Currency 5 2 5 2 8 2 2 2" xfId="16840" xr:uid="{00000000-0005-0000-0000-0000843C0000}"/>
    <cellStyle name="Currency 5 2 5 2 8 2 3" xfId="16841" xr:uid="{00000000-0005-0000-0000-0000853C0000}"/>
    <cellStyle name="Currency 5 2 5 2 8 3" xfId="16842" xr:uid="{00000000-0005-0000-0000-0000863C0000}"/>
    <cellStyle name="Currency 5 2 5 2 8 3 2" xfId="16843" xr:uid="{00000000-0005-0000-0000-0000873C0000}"/>
    <cellStyle name="Currency 5 2 5 2 8 4" xfId="16844" xr:uid="{00000000-0005-0000-0000-0000883C0000}"/>
    <cellStyle name="Currency 5 2 5 2 9" xfId="16845" xr:uid="{00000000-0005-0000-0000-0000893C0000}"/>
    <cellStyle name="Currency 5 2 5 2 9 2" xfId="16846" xr:uid="{00000000-0005-0000-0000-00008A3C0000}"/>
    <cellStyle name="Currency 5 2 5 2 9 2 2" xfId="16847" xr:uid="{00000000-0005-0000-0000-00008B3C0000}"/>
    <cellStyle name="Currency 5 2 5 2 9 2 2 2" xfId="16848" xr:uid="{00000000-0005-0000-0000-00008C3C0000}"/>
    <cellStyle name="Currency 5 2 5 2 9 2 3" xfId="16849" xr:uid="{00000000-0005-0000-0000-00008D3C0000}"/>
    <cellStyle name="Currency 5 2 5 2 9 3" xfId="16850" xr:uid="{00000000-0005-0000-0000-00008E3C0000}"/>
    <cellStyle name="Currency 5 2 5 2 9 3 2" xfId="16851" xr:uid="{00000000-0005-0000-0000-00008F3C0000}"/>
    <cellStyle name="Currency 5 2 5 2 9 4" xfId="16852" xr:uid="{00000000-0005-0000-0000-0000903C0000}"/>
    <cellStyle name="Currency 5 2 5 3" xfId="355" xr:uid="{00000000-0005-0000-0000-0000913C0000}"/>
    <cellStyle name="Currency 5 2 5 3 10" xfId="16854" xr:uid="{00000000-0005-0000-0000-0000923C0000}"/>
    <cellStyle name="Currency 5 2 5 3 10 2" xfId="16855" xr:uid="{00000000-0005-0000-0000-0000933C0000}"/>
    <cellStyle name="Currency 5 2 5 3 10 2 2" xfId="16856" xr:uid="{00000000-0005-0000-0000-0000943C0000}"/>
    <cellStyle name="Currency 5 2 5 3 10 3" xfId="16857" xr:uid="{00000000-0005-0000-0000-0000953C0000}"/>
    <cellStyle name="Currency 5 2 5 3 11" xfId="16858" xr:uid="{00000000-0005-0000-0000-0000963C0000}"/>
    <cellStyle name="Currency 5 2 5 3 11 2" xfId="16859" xr:uid="{00000000-0005-0000-0000-0000973C0000}"/>
    <cellStyle name="Currency 5 2 5 3 11 2 2" xfId="16860" xr:uid="{00000000-0005-0000-0000-0000983C0000}"/>
    <cellStyle name="Currency 5 2 5 3 11 3" xfId="16861" xr:uid="{00000000-0005-0000-0000-0000993C0000}"/>
    <cellStyle name="Currency 5 2 5 3 12" xfId="16862" xr:uid="{00000000-0005-0000-0000-00009A3C0000}"/>
    <cellStyle name="Currency 5 2 5 3 12 2" xfId="16863" xr:uid="{00000000-0005-0000-0000-00009B3C0000}"/>
    <cellStyle name="Currency 5 2 5 3 13" xfId="16864" xr:uid="{00000000-0005-0000-0000-00009C3C0000}"/>
    <cellStyle name="Currency 5 2 5 3 14" xfId="16865" xr:uid="{00000000-0005-0000-0000-00009D3C0000}"/>
    <cellStyle name="Currency 5 2 5 3 15" xfId="16853" xr:uid="{00000000-0005-0000-0000-00009E3C0000}"/>
    <cellStyle name="Currency 5 2 5 3 2" xfId="909" xr:uid="{00000000-0005-0000-0000-00009F3C0000}"/>
    <cellStyle name="Currency 5 2 5 3 2 10" xfId="16867" xr:uid="{00000000-0005-0000-0000-0000A03C0000}"/>
    <cellStyle name="Currency 5 2 5 3 2 11" xfId="16866" xr:uid="{00000000-0005-0000-0000-0000A13C0000}"/>
    <cellStyle name="Currency 5 2 5 3 2 2" xfId="1650" xr:uid="{00000000-0005-0000-0000-0000A23C0000}"/>
    <cellStyle name="Currency 5 2 5 3 2 2 2" xfId="16869" xr:uid="{00000000-0005-0000-0000-0000A33C0000}"/>
    <cellStyle name="Currency 5 2 5 3 2 2 2 2" xfId="16870" xr:uid="{00000000-0005-0000-0000-0000A43C0000}"/>
    <cellStyle name="Currency 5 2 5 3 2 2 2 2 2" xfId="16871" xr:uid="{00000000-0005-0000-0000-0000A53C0000}"/>
    <cellStyle name="Currency 5 2 5 3 2 2 2 2 2 2" xfId="16872" xr:uid="{00000000-0005-0000-0000-0000A63C0000}"/>
    <cellStyle name="Currency 5 2 5 3 2 2 2 2 3" xfId="16873" xr:uid="{00000000-0005-0000-0000-0000A73C0000}"/>
    <cellStyle name="Currency 5 2 5 3 2 2 2 3" xfId="16874" xr:uid="{00000000-0005-0000-0000-0000A83C0000}"/>
    <cellStyle name="Currency 5 2 5 3 2 2 2 3 2" xfId="16875" xr:uid="{00000000-0005-0000-0000-0000A93C0000}"/>
    <cellStyle name="Currency 5 2 5 3 2 2 2 4" xfId="16876" xr:uid="{00000000-0005-0000-0000-0000AA3C0000}"/>
    <cellStyle name="Currency 5 2 5 3 2 2 3" xfId="16877" xr:uid="{00000000-0005-0000-0000-0000AB3C0000}"/>
    <cellStyle name="Currency 5 2 5 3 2 2 3 2" xfId="16878" xr:uid="{00000000-0005-0000-0000-0000AC3C0000}"/>
    <cellStyle name="Currency 5 2 5 3 2 2 3 2 2" xfId="16879" xr:uid="{00000000-0005-0000-0000-0000AD3C0000}"/>
    <cellStyle name="Currency 5 2 5 3 2 2 3 2 2 2" xfId="16880" xr:uid="{00000000-0005-0000-0000-0000AE3C0000}"/>
    <cellStyle name="Currency 5 2 5 3 2 2 3 2 3" xfId="16881" xr:uid="{00000000-0005-0000-0000-0000AF3C0000}"/>
    <cellStyle name="Currency 5 2 5 3 2 2 3 3" xfId="16882" xr:uid="{00000000-0005-0000-0000-0000B03C0000}"/>
    <cellStyle name="Currency 5 2 5 3 2 2 3 3 2" xfId="16883" xr:uid="{00000000-0005-0000-0000-0000B13C0000}"/>
    <cellStyle name="Currency 5 2 5 3 2 2 3 4" xfId="16884" xr:uid="{00000000-0005-0000-0000-0000B23C0000}"/>
    <cellStyle name="Currency 5 2 5 3 2 2 4" xfId="16885" xr:uid="{00000000-0005-0000-0000-0000B33C0000}"/>
    <cellStyle name="Currency 5 2 5 3 2 2 4 2" xfId="16886" xr:uid="{00000000-0005-0000-0000-0000B43C0000}"/>
    <cellStyle name="Currency 5 2 5 3 2 2 4 2 2" xfId="16887" xr:uid="{00000000-0005-0000-0000-0000B53C0000}"/>
    <cellStyle name="Currency 5 2 5 3 2 2 4 3" xfId="16888" xr:uid="{00000000-0005-0000-0000-0000B63C0000}"/>
    <cellStyle name="Currency 5 2 5 3 2 2 5" xfId="16889" xr:uid="{00000000-0005-0000-0000-0000B73C0000}"/>
    <cellStyle name="Currency 5 2 5 3 2 2 5 2" xfId="16890" xr:uid="{00000000-0005-0000-0000-0000B83C0000}"/>
    <cellStyle name="Currency 5 2 5 3 2 2 6" xfId="16891" xr:uid="{00000000-0005-0000-0000-0000B93C0000}"/>
    <cellStyle name="Currency 5 2 5 3 2 2 7" xfId="16868" xr:uid="{00000000-0005-0000-0000-0000BA3C0000}"/>
    <cellStyle name="Currency 5 2 5 3 2 3" xfId="16892" xr:uid="{00000000-0005-0000-0000-0000BB3C0000}"/>
    <cellStyle name="Currency 5 2 5 3 2 3 2" xfId="16893" xr:uid="{00000000-0005-0000-0000-0000BC3C0000}"/>
    <cellStyle name="Currency 5 2 5 3 2 3 2 2" xfId="16894" xr:uid="{00000000-0005-0000-0000-0000BD3C0000}"/>
    <cellStyle name="Currency 5 2 5 3 2 3 2 2 2" xfId="16895" xr:uid="{00000000-0005-0000-0000-0000BE3C0000}"/>
    <cellStyle name="Currency 5 2 5 3 2 3 2 2 2 2" xfId="16896" xr:uid="{00000000-0005-0000-0000-0000BF3C0000}"/>
    <cellStyle name="Currency 5 2 5 3 2 3 2 2 3" xfId="16897" xr:uid="{00000000-0005-0000-0000-0000C03C0000}"/>
    <cellStyle name="Currency 5 2 5 3 2 3 2 3" xfId="16898" xr:uid="{00000000-0005-0000-0000-0000C13C0000}"/>
    <cellStyle name="Currency 5 2 5 3 2 3 2 3 2" xfId="16899" xr:uid="{00000000-0005-0000-0000-0000C23C0000}"/>
    <cellStyle name="Currency 5 2 5 3 2 3 2 4" xfId="16900" xr:uid="{00000000-0005-0000-0000-0000C33C0000}"/>
    <cellStyle name="Currency 5 2 5 3 2 3 3" xfId="16901" xr:uid="{00000000-0005-0000-0000-0000C43C0000}"/>
    <cellStyle name="Currency 5 2 5 3 2 3 3 2" xfId="16902" xr:uid="{00000000-0005-0000-0000-0000C53C0000}"/>
    <cellStyle name="Currency 5 2 5 3 2 3 3 2 2" xfId="16903" xr:uid="{00000000-0005-0000-0000-0000C63C0000}"/>
    <cellStyle name="Currency 5 2 5 3 2 3 3 3" xfId="16904" xr:uid="{00000000-0005-0000-0000-0000C73C0000}"/>
    <cellStyle name="Currency 5 2 5 3 2 3 4" xfId="16905" xr:uid="{00000000-0005-0000-0000-0000C83C0000}"/>
    <cellStyle name="Currency 5 2 5 3 2 3 4 2" xfId="16906" xr:uid="{00000000-0005-0000-0000-0000C93C0000}"/>
    <cellStyle name="Currency 5 2 5 3 2 3 5" xfId="16907" xr:uid="{00000000-0005-0000-0000-0000CA3C0000}"/>
    <cellStyle name="Currency 5 2 5 3 2 4" xfId="16908" xr:uid="{00000000-0005-0000-0000-0000CB3C0000}"/>
    <cellStyle name="Currency 5 2 5 3 2 4 2" xfId="16909" xr:uid="{00000000-0005-0000-0000-0000CC3C0000}"/>
    <cellStyle name="Currency 5 2 5 3 2 4 2 2" xfId="16910" xr:uid="{00000000-0005-0000-0000-0000CD3C0000}"/>
    <cellStyle name="Currency 5 2 5 3 2 4 2 2 2" xfId="16911" xr:uid="{00000000-0005-0000-0000-0000CE3C0000}"/>
    <cellStyle name="Currency 5 2 5 3 2 4 2 2 2 2" xfId="16912" xr:uid="{00000000-0005-0000-0000-0000CF3C0000}"/>
    <cellStyle name="Currency 5 2 5 3 2 4 2 2 3" xfId="16913" xr:uid="{00000000-0005-0000-0000-0000D03C0000}"/>
    <cellStyle name="Currency 5 2 5 3 2 4 2 3" xfId="16914" xr:uid="{00000000-0005-0000-0000-0000D13C0000}"/>
    <cellStyle name="Currency 5 2 5 3 2 4 2 3 2" xfId="16915" xr:uid="{00000000-0005-0000-0000-0000D23C0000}"/>
    <cellStyle name="Currency 5 2 5 3 2 4 2 4" xfId="16916" xr:uid="{00000000-0005-0000-0000-0000D33C0000}"/>
    <cellStyle name="Currency 5 2 5 3 2 4 3" xfId="16917" xr:uid="{00000000-0005-0000-0000-0000D43C0000}"/>
    <cellStyle name="Currency 5 2 5 3 2 4 3 2" xfId="16918" xr:uid="{00000000-0005-0000-0000-0000D53C0000}"/>
    <cellStyle name="Currency 5 2 5 3 2 4 3 2 2" xfId="16919" xr:uid="{00000000-0005-0000-0000-0000D63C0000}"/>
    <cellStyle name="Currency 5 2 5 3 2 4 3 3" xfId="16920" xr:uid="{00000000-0005-0000-0000-0000D73C0000}"/>
    <cellStyle name="Currency 5 2 5 3 2 4 4" xfId="16921" xr:uid="{00000000-0005-0000-0000-0000D83C0000}"/>
    <cellStyle name="Currency 5 2 5 3 2 4 4 2" xfId="16922" xr:uid="{00000000-0005-0000-0000-0000D93C0000}"/>
    <cellStyle name="Currency 5 2 5 3 2 4 5" xfId="16923" xr:uid="{00000000-0005-0000-0000-0000DA3C0000}"/>
    <cellStyle name="Currency 5 2 5 3 2 5" xfId="16924" xr:uid="{00000000-0005-0000-0000-0000DB3C0000}"/>
    <cellStyle name="Currency 5 2 5 3 2 5 2" xfId="16925" xr:uid="{00000000-0005-0000-0000-0000DC3C0000}"/>
    <cellStyle name="Currency 5 2 5 3 2 5 2 2" xfId="16926" xr:uid="{00000000-0005-0000-0000-0000DD3C0000}"/>
    <cellStyle name="Currency 5 2 5 3 2 5 2 2 2" xfId="16927" xr:uid="{00000000-0005-0000-0000-0000DE3C0000}"/>
    <cellStyle name="Currency 5 2 5 3 2 5 2 3" xfId="16928" xr:uid="{00000000-0005-0000-0000-0000DF3C0000}"/>
    <cellStyle name="Currency 5 2 5 3 2 5 3" xfId="16929" xr:uid="{00000000-0005-0000-0000-0000E03C0000}"/>
    <cellStyle name="Currency 5 2 5 3 2 5 3 2" xfId="16930" xr:uid="{00000000-0005-0000-0000-0000E13C0000}"/>
    <cellStyle name="Currency 5 2 5 3 2 5 4" xfId="16931" xr:uid="{00000000-0005-0000-0000-0000E23C0000}"/>
    <cellStyle name="Currency 5 2 5 3 2 6" xfId="16932" xr:uid="{00000000-0005-0000-0000-0000E33C0000}"/>
    <cellStyle name="Currency 5 2 5 3 2 6 2" xfId="16933" xr:uid="{00000000-0005-0000-0000-0000E43C0000}"/>
    <cellStyle name="Currency 5 2 5 3 2 6 2 2" xfId="16934" xr:uid="{00000000-0005-0000-0000-0000E53C0000}"/>
    <cellStyle name="Currency 5 2 5 3 2 6 2 2 2" xfId="16935" xr:uid="{00000000-0005-0000-0000-0000E63C0000}"/>
    <cellStyle name="Currency 5 2 5 3 2 6 2 3" xfId="16936" xr:uid="{00000000-0005-0000-0000-0000E73C0000}"/>
    <cellStyle name="Currency 5 2 5 3 2 6 3" xfId="16937" xr:uid="{00000000-0005-0000-0000-0000E83C0000}"/>
    <cellStyle name="Currency 5 2 5 3 2 6 3 2" xfId="16938" xr:uid="{00000000-0005-0000-0000-0000E93C0000}"/>
    <cellStyle name="Currency 5 2 5 3 2 6 4" xfId="16939" xr:uid="{00000000-0005-0000-0000-0000EA3C0000}"/>
    <cellStyle name="Currency 5 2 5 3 2 7" xfId="16940" xr:uid="{00000000-0005-0000-0000-0000EB3C0000}"/>
    <cellStyle name="Currency 5 2 5 3 2 7 2" xfId="16941" xr:uid="{00000000-0005-0000-0000-0000EC3C0000}"/>
    <cellStyle name="Currency 5 2 5 3 2 7 2 2" xfId="16942" xr:uid="{00000000-0005-0000-0000-0000ED3C0000}"/>
    <cellStyle name="Currency 5 2 5 3 2 7 2 2 2" xfId="16943" xr:uid="{00000000-0005-0000-0000-0000EE3C0000}"/>
    <cellStyle name="Currency 5 2 5 3 2 7 2 3" xfId="16944" xr:uid="{00000000-0005-0000-0000-0000EF3C0000}"/>
    <cellStyle name="Currency 5 2 5 3 2 7 3" xfId="16945" xr:uid="{00000000-0005-0000-0000-0000F03C0000}"/>
    <cellStyle name="Currency 5 2 5 3 2 7 3 2" xfId="16946" xr:uid="{00000000-0005-0000-0000-0000F13C0000}"/>
    <cellStyle name="Currency 5 2 5 3 2 7 4" xfId="16947" xr:uid="{00000000-0005-0000-0000-0000F23C0000}"/>
    <cellStyle name="Currency 5 2 5 3 2 8" xfId="16948" xr:uid="{00000000-0005-0000-0000-0000F33C0000}"/>
    <cellStyle name="Currency 5 2 5 3 2 8 2" xfId="16949" xr:uid="{00000000-0005-0000-0000-0000F43C0000}"/>
    <cellStyle name="Currency 5 2 5 3 2 8 2 2" xfId="16950" xr:uid="{00000000-0005-0000-0000-0000F53C0000}"/>
    <cellStyle name="Currency 5 2 5 3 2 8 3" xfId="16951" xr:uid="{00000000-0005-0000-0000-0000F63C0000}"/>
    <cellStyle name="Currency 5 2 5 3 2 9" xfId="16952" xr:uid="{00000000-0005-0000-0000-0000F73C0000}"/>
    <cellStyle name="Currency 5 2 5 3 2 9 2" xfId="16953" xr:uid="{00000000-0005-0000-0000-0000F83C0000}"/>
    <cellStyle name="Currency 5 2 5 3 3" xfId="1325" xr:uid="{00000000-0005-0000-0000-0000F93C0000}"/>
    <cellStyle name="Currency 5 2 5 3 3 2" xfId="16955" xr:uid="{00000000-0005-0000-0000-0000FA3C0000}"/>
    <cellStyle name="Currency 5 2 5 3 3 2 2" xfId="16956" xr:uid="{00000000-0005-0000-0000-0000FB3C0000}"/>
    <cellStyle name="Currency 5 2 5 3 3 2 2 2" xfId="16957" xr:uid="{00000000-0005-0000-0000-0000FC3C0000}"/>
    <cellStyle name="Currency 5 2 5 3 3 2 2 2 2" xfId="16958" xr:uid="{00000000-0005-0000-0000-0000FD3C0000}"/>
    <cellStyle name="Currency 5 2 5 3 3 2 2 3" xfId="16959" xr:uid="{00000000-0005-0000-0000-0000FE3C0000}"/>
    <cellStyle name="Currency 5 2 5 3 3 2 3" xfId="16960" xr:uid="{00000000-0005-0000-0000-0000FF3C0000}"/>
    <cellStyle name="Currency 5 2 5 3 3 2 3 2" xfId="16961" xr:uid="{00000000-0005-0000-0000-0000003D0000}"/>
    <cellStyle name="Currency 5 2 5 3 3 2 4" xfId="16962" xr:uid="{00000000-0005-0000-0000-0000013D0000}"/>
    <cellStyle name="Currency 5 2 5 3 3 3" xfId="16963" xr:uid="{00000000-0005-0000-0000-0000023D0000}"/>
    <cellStyle name="Currency 5 2 5 3 3 3 2" xfId="16964" xr:uid="{00000000-0005-0000-0000-0000033D0000}"/>
    <cellStyle name="Currency 5 2 5 3 3 3 2 2" xfId="16965" xr:uid="{00000000-0005-0000-0000-0000043D0000}"/>
    <cellStyle name="Currency 5 2 5 3 3 3 2 2 2" xfId="16966" xr:uid="{00000000-0005-0000-0000-0000053D0000}"/>
    <cellStyle name="Currency 5 2 5 3 3 3 2 3" xfId="16967" xr:uid="{00000000-0005-0000-0000-0000063D0000}"/>
    <cellStyle name="Currency 5 2 5 3 3 3 3" xfId="16968" xr:uid="{00000000-0005-0000-0000-0000073D0000}"/>
    <cellStyle name="Currency 5 2 5 3 3 3 3 2" xfId="16969" xr:uid="{00000000-0005-0000-0000-0000083D0000}"/>
    <cellStyle name="Currency 5 2 5 3 3 3 4" xfId="16970" xr:uid="{00000000-0005-0000-0000-0000093D0000}"/>
    <cellStyle name="Currency 5 2 5 3 3 4" xfId="16971" xr:uid="{00000000-0005-0000-0000-00000A3D0000}"/>
    <cellStyle name="Currency 5 2 5 3 3 4 2" xfId="16972" xr:uid="{00000000-0005-0000-0000-00000B3D0000}"/>
    <cellStyle name="Currency 5 2 5 3 3 4 2 2" xfId="16973" xr:uid="{00000000-0005-0000-0000-00000C3D0000}"/>
    <cellStyle name="Currency 5 2 5 3 3 4 3" xfId="16974" xr:uid="{00000000-0005-0000-0000-00000D3D0000}"/>
    <cellStyle name="Currency 5 2 5 3 3 5" xfId="16975" xr:uid="{00000000-0005-0000-0000-00000E3D0000}"/>
    <cellStyle name="Currency 5 2 5 3 3 5 2" xfId="16976" xr:uid="{00000000-0005-0000-0000-00000F3D0000}"/>
    <cellStyle name="Currency 5 2 5 3 3 6" xfId="16977" xr:uid="{00000000-0005-0000-0000-0000103D0000}"/>
    <cellStyle name="Currency 5 2 5 3 3 7" xfId="16954" xr:uid="{00000000-0005-0000-0000-0000113D0000}"/>
    <cellStyle name="Currency 5 2 5 3 4" xfId="16978" xr:uid="{00000000-0005-0000-0000-0000123D0000}"/>
    <cellStyle name="Currency 5 2 5 3 4 2" xfId="16979" xr:uid="{00000000-0005-0000-0000-0000133D0000}"/>
    <cellStyle name="Currency 5 2 5 3 4 2 2" xfId="16980" xr:uid="{00000000-0005-0000-0000-0000143D0000}"/>
    <cellStyle name="Currency 5 2 5 3 4 2 2 2" xfId="16981" xr:uid="{00000000-0005-0000-0000-0000153D0000}"/>
    <cellStyle name="Currency 5 2 5 3 4 2 2 2 2" xfId="16982" xr:uid="{00000000-0005-0000-0000-0000163D0000}"/>
    <cellStyle name="Currency 5 2 5 3 4 2 2 3" xfId="16983" xr:uid="{00000000-0005-0000-0000-0000173D0000}"/>
    <cellStyle name="Currency 5 2 5 3 4 2 3" xfId="16984" xr:uid="{00000000-0005-0000-0000-0000183D0000}"/>
    <cellStyle name="Currency 5 2 5 3 4 2 3 2" xfId="16985" xr:uid="{00000000-0005-0000-0000-0000193D0000}"/>
    <cellStyle name="Currency 5 2 5 3 4 2 4" xfId="16986" xr:uid="{00000000-0005-0000-0000-00001A3D0000}"/>
    <cellStyle name="Currency 5 2 5 3 4 3" xfId="16987" xr:uid="{00000000-0005-0000-0000-00001B3D0000}"/>
    <cellStyle name="Currency 5 2 5 3 4 3 2" xfId="16988" xr:uid="{00000000-0005-0000-0000-00001C3D0000}"/>
    <cellStyle name="Currency 5 2 5 3 4 3 2 2" xfId="16989" xr:uid="{00000000-0005-0000-0000-00001D3D0000}"/>
    <cellStyle name="Currency 5 2 5 3 4 3 3" xfId="16990" xr:uid="{00000000-0005-0000-0000-00001E3D0000}"/>
    <cellStyle name="Currency 5 2 5 3 4 4" xfId="16991" xr:uid="{00000000-0005-0000-0000-00001F3D0000}"/>
    <cellStyle name="Currency 5 2 5 3 4 4 2" xfId="16992" xr:uid="{00000000-0005-0000-0000-0000203D0000}"/>
    <cellStyle name="Currency 5 2 5 3 4 5" xfId="16993" xr:uid="{00000000-0005-0000-0000-0000213D0000}"/>
    <cellStyle name="Currency 5 2 5 3 5" xfId="16994" xr:uid="{00000000-0005-0000-0000-0000223D0000}"/>
    <cellStyle name="Currency 5 2 5 3 5 2" xfId="16995" xr:uid="{00000000-0005-0000-0000-0000233D0000}"/>
    <cellStyle name="Currency 5 2 5 3 5 2 2" xfId="16996" xr:uid="{00000000-0005-0000-0000-0000243D0000}"/>
    <cellStyle name="Currency 5 2 5 3 5 2 2 2" xfId="16997" xr:uid="{00000000-0005-0000-0000-0000253D0000}"/>
    <cellStyle name="Currency 5 2 5 3 5 2 2 2 2" xfId="16998" xr:uid="{00000000-0005-0000-0000-0000263D0000}"/>
    <cellStyle name="Currency 5 2 5 3 5 2 2 3" xfId="16999" xr:uid="{00000000-0005-0000-0000-0000273D0000}"/>
    <cellStyle name="Currency 5 2 5 3 5 2 3" xfId="17000" xr:uid="{00000000-0005-0000-0000-0000283D0000}"/>
    <cellStyle name="Currency 5 2 5 3 5 2 3 2" xfId="17001" xr:uid="{00000000-0005-0000-0000-0000293D0000}"/>
    <cellStyle name="Currency 5 2 5 3 5 2 4" xfId="17002" xr:uid="{00000000-0005-0000-0000-00002A3D0000}"/>
    <cellStyle name="Currency 5 2 5 3 5 3" xfId="17003" xr:uid="{00000000-0005-0000-0000-00002B3D0000}"/>
    <cellStyle name="Currency 5 2 5 3 5 3 2" xfId="17004" xr:uid="{00000000-0005-0000-0000-00002C3D0000}"/>
    <cellStyle name="Currency 5 2 5 3 5 3 2 2" xfId="17005" xr:uid="{00000000-0005-0000-0000-00002D3D0000}"/>
    <cellStyle name="Currency 5 2 5 3 5 3 3" xfId="17006" xr:uid="{00000000-0005-0000-0000-00002E3D0000}"/>
    <cellStyle name="Currency 5 2 5 3 5 4" xfId="17007" xr:uid="{00000000-0005-0000-0000-00002F3D0000}"/>
    <cellStyle name="Currency 5 2 5 3 5 4 2" xfId="17008" xr:uid="{00000000-0005-0000-0000-0000303D0000}"/>
    <cellStyle name="Currency 5 2 5 3 5 5" xfId="17009" xr:uid="{00000000-0005-0000-0000-0000313D0000}"/>
    <cellStyle name="Currency 5 2 5 3 6" xfId="17010" xr:uid="{00000000-0005-0000-0000-0000323D0000}"/>
    <cellStyle name="Currency 5 2 5 3 6 2" xfId="17011" xr:uid="{00000000-0005-0000-0000-0000333D0000}"/>
    <cellStyle name="Currency 5 2 5 3 6 2 2" xfId="17012" xr:uid="{00000000-0005-0000-0000-0000343D0000}"/>
    <cellStyle name="Currency 5 2 5 3 6 2 2 2" xfId="17013" xr:uid="{00000000-0005-0000-0000-0000353D0000}"/>
    <cellStyle name="Currency 5 2 5 3 6 2 3" xfId="17014" xr:uid="{00000000-0005-0000-0000-0000363D0000}"/>
    <cellStyle name="Currency 5 2 5 3 6 3" xfId="17015" xr:uid="{00000000-0005-0000-0000-0000373D0000}"/>
    <cellStyle name="Currency 5 2 5 3 6 3 2" xfId="17016" xr:uid="{00000000-0005-0000-0000-0000383D0000}"/>
    <cellStyle name="Currency 5 2 5 3 6 4" xfId="17017" xr:uid="{00000000-0005-0000-0000-0000393D0000}"/>
    <cellStyle name="Currency 5 2 5 3 7" xfId="17018" xr:uid="{00000000-0005-0000-0000-00003A3D0000}"/>
    <cellStyle name="Currency 5 2 5 3 7 2" xfId="17019" xr:uid="{00000000-0005-0000-0000-00003B3D0000}"/>
    <cellStyle name="Currency 5 2 5 3 7 2 2" xfId="17020" xr:uid="{00000000-0005-0000-0000-00003C3D0000}"/>
    <cellStyle name="Currency 5 2 5 3 7 2 2 2" xfId="17021" xr:uid="{00000000-0005-0000-0000-00003D3D0000}"/>
    <cellStyle name="Currency 5 2 5 3 7 2 3" xfId="17022" xr:uid="{00000000-0005-0000-0000-00003E3D0000}"/>
    <cellStyle name="Currency 5 2 5 3 7 3" xfId="17023" xr:uid="{00000000-0005-0000-0000-00003F3D0000}"/>
    <cellStyle name="Currency 5 2 5 3 7 3 2" xfId="17024" xr:uid="{00000000-0005-0000-0000-0000403D0000}"/>
    <cellStyle name="Currency 5 2 5 3 7 4" xfId="17025" xr:uid="{00000000-0005-0000-0000-0000413D0000}"/>
    <cellStyle name="Currency 5 2 5 3 8" xfId="17026" xr:uid="{00000000-0005-0000-0000-0000423D0000}"/>
    <cellStyle name="Currency 5 2 5 3 8 2" xfId="17027" xr:uid="{00000000-0005-0000-0000-0000433D0000}"/>
    <cellStyle name="Currency 5 2 5 3 8 2 2" xfId="17028" xr:uid="{00000000-0005-0000-0000-0000443D0000}"/>
    <cellStyle name="Currency 5 2 5 3 8 2 2 2" xfId="17029" xr:uid="{00000000-0005-0000-0000-0000453D0000}"/>
    <cellStyle name="Currency 5 2 5 3 8 2 3" xfId="17030" xr:uid="{00000000-0005-0000-0000-0000463D0000}"/>
    <cellStyle name="Currency 5 2 5 3 8 3" xfId="17031" xr:uid="{00000000-0005-0000-0000-0000473D0000}"/>
    <cellStyle name="Currency 5 2 5 3 8 3 2" xfId="17032" xr:uid="{00000000-0005-0000-0000-0000483D0000}"/>
    <cellStyle name="Currency 5 2 5 3 8 4" xfId="17033" xr:uid="{00000000-0005-0000-0000-0000493D0000}"/>
    <cellStyle name="Currency 5 2 5 3 9" xfId="17034" xr:uid="{00000000-0005-0000-0000-00004A3D0000}"/>
    <cellStyle name="Currency 5 2 5 3 9 2" xfId="17035" xr:uid="{00000000-0005-0000-0000-00004B3D0000}"/>
    <cellStyle name="Currency 5 2 5 3 9 2 2" xfId="17036" xr:uid="{00000000-0005-0000-0000-00004C3D0000}"/>
    <cellStyle name="Currency 5 2 5 3 9 3" xfId="17037" xr:uid="{00000000-0005-0000-0000-00004D3D0000}"/>
    <cellStyle name="Currency 5 2 5 4" xfId="356" xr:uid="{00000000-0005-0000-0000-00004E3D0000}"/>
    <cellStyle name="Currency 5 2 5 5" xfId="906" xr:uid="{00000000-0005-0000-0000-00004F3D0000}"/>
    <cellStyle name="Currency 5 2 5 5 10" xfId="17039" xr:uid="{00000000-0005-0000-0000-0000503D0000}"/>
    <cellStyle name="Currency 5 2 5 5 11" xfId="17038" xr:uid="{00000000-0005-0000-0000-0000513D0000}"/>
    <cellStyle name="Currency 5 2 5 5 2" xfId="1647" xr:uid="{00000000-0005-0000-0000-0000523D0000}"/>
    <cellStyle name="Currency 5 2 5 5 2 2" xfId="17041" xr:uid="{00000000-0005-0000-0000-0000533D0000}"/>
    <cellStyle name="Currency 5 2 5 5 2 2 2" xfId="17042" xr:uid="{00000000-0005-0000-0000-0000543D0000}"/>
    <cellStyle name="Currency 5 2 5 5 2 2 2 2" xfId="17043" xr:uid="{00000000-0005-0000-0000-0000553D0000}"/>
    <cellStyle name="Currency 5 2 5 5 2 2 2 2 2" xfId="17044" xr:uid="{00000000-0005-0000-0000-0000563D0000}"/>
    <cellStyle name="Currency 5 2 5 5 2 2 2 3" xfId="17045" xr:uid="{00000000-0005-0000-0000-0000573D0000}"/>
    <cellStyle name="Currency 5 2 5 5 2 2 3" xfId="17046" xr:uid="{00000000-0005-0000-0000-0000583D0000}"/>
    <cellStyle name="Currency 5 2 5 5 2 2 3 2" xfId="17047" xr:uid="{00000000-0005-0000-0000-0000593D0000}"/>
    <cellStyle name="Currency 5 2 5 5 2 2 4" xfId="17048" xr:uid="{00000000-0005-0000-0000-00005A3D0000}"/>
    <cellStyle name="Currency 5 2 5 5 2 3" xfId="17049" xr:uid="{00000000-0005-0000-0000-00005B3D0000}"/>
    <cellStyle name="Currency 5 2 5 5 2 3 2" xfId="17050" xr:uid="{00000000-0005-0000-0000-00005C3D0000}"/>
    <cellStyle name="Currency 5 2 5 5 2 3 2 2" xfId="17051" xr:uid="{00000000-0005-0000-0000-00005D3D0000}"/>
    <cellStyle name="Currency 5 2 5 5 2 3 2 2 2" xfId="17052" xr:uid="{00000000-0005-0000-0000-00005E3D0000}"/>
    <cellStyle name="Currency 5 2 5 5 2 3 2 3" xfId="17053" xr:uid="{00000000-0005-0000-0000-00005F3D0000}"/>
    <cellStyle name="Currency 5 2 5 5 2 3 3" xfId="17054" xr:uid="{00000000-0005-0000-0000-0000603D0000}"/>
    <cellStyle name="Currency 5 2 5 5 2 3 3 2" xfId="17055" xr:uid="{00000000-0005-0000-0000-0000613D0000}"/>
    <cellStyle name="Currency 5 2 5 5 2 3 4" xfId="17056" xr:uid="{00000000-0005-0000-0000-0000623D0000}"/>
    <cellStyle name="Currency 5 2 5 5 2 4" xfId="17057" xr:uid="{00000000-0005-0000-0000-0000633D0000}"/>
    <cellStyle name="Currency 5 2 5 5 2 4 2" xfId="17058" xr:uid="{00000000-0005-0000-0000-0000643D0000}"/>
    <cellStyle name="Currency 5 2 5 5 2 4 2 2" xfId="17059" xr:uid="{00000000-0005-0000-0000-0000653D0000}"/>
    <cellStyle name="Currency 5 2 5 5 2 4 3" xfId="17060" xr:uid="{00000000-0005-0000-0000-0000663D0000}"/>
    <cellStyle name="Currency 5 2 5 5 2 5" xfId="17061" xr:uid="{00000000-0005-0000-0000-0000673D0000}"/>
    <cellStyle name="Currency 5 2 5 5 2 5 2" xfId="17062" xr:uid="{00000000-0005-0000-0000-0000683D0000}"/>
    <cellStyle name="Currency 5 2 5 5 2 6" xfId="17063" xr:uid="{00000000-0005-0000-0000-0000693D0000}"/>
    <cellStyle name="Currency 5 2 5 5 2 7" xfId="17040" xr:uid="{00000000-0005-0000-0000-00006A3D0000}"/>
    <cellStyle name="Currency 5 2 5 5 3" xfId="17064" xr:uid="{00000000-0005-0000-0000-00006B3D0000}"/>
    <cellStyle name="Currency 5 2 5 5 3 2" xfId="17065" xr:uid="{00000000-0005-0000-0000-00006C3D0000}"/>
    <cellStyle name="Currency 5 2 5 5 3 2 2" xfId="17066" xr:uid="{00000000-0005-0000-0000-00006D3D0000}"/>
    <cellStyle name="Currency 5 2 5 5 3 2 2 2" xfId="17067" xr:uid="{00000000-0005-0000-0000-00006E3D0000}"/>
    <cellStyle name="Currency 5 2 5 5 3 2 2 2 2" xfId="17068" xr:uid="{00000000-0005-0000-0000-00006F3D0000}"/>
    <cellStyle name="Currency 5 2 5 5 3 2 2 3" xfId="17069" xr:uid="{00000000-0005-0000-0000-0000703D0000}"/>
    <cellStyle name="Currency 5 2 5 5 3 2 3" xfId="17070" xr:uid="{00000000-0005-0000-0000-0000713D0000}"/>
    <cellStyle name="Currency 5 2 5 5 3 2 3 2" xfId="17071" xr:uid="{00000000-0005-0000-0000-0000723D0000}"/>
    <cellStyle name="Currency 5 2 5 5 3 2 4" xfId="17072" xr:uid="{00000000-0005-0000-0000-0000733D0000}"/>
    <cellStyle name="Currency 5 2 5 5 3 3" xfId="17073" xr:uid="{00000000-0005-0000-0000-0000743D0000}"/>
    <cellStyle name="Currency 5 2 5 5 3 3 2" xfId="17074" xr:uid="{00000000-0005-0000-0000-0000753D0000}"/>
    <cellStyle name="Currency 5 2 5 5 3 3 2 2" xfId="17075" xr:uid="{00000000-0005-0000-0000-0000763D0000}"/>
    <cellStyle name="Currency 5 2 5 5 3 3 3" xfId="17076" xr:uid="{00000000-0005-0000-0000-0000773D0000}"/>
    <cellStyle name="Currency 5 2 5 5 3 4" xfId="17077" xr:uid="{00000000-0005-0000-0000-0000783D0000}"/>
    <cellStyle name="Currency 5 2 5 5 3 4 2" xfId="17078" xr:uid="{00000000-0005-0000-0000-0000793D0000}"/>
    <cellStyle name="Currency 5 2 5 5 3 5" xfId="17079" xr:uid="{00000000-0005-0000-0000-00007A3D0000}"/>
    <cellStyle name="Currency 5 2 5 5 4" xfId="17080" xr:uid="{00000000-0005-0000-0000-00007B3D0000}"/>
    <cellStyle name="Currency 5 2 5 5 4 2" xfId="17081" xr:uid="{00000000-0005-0000-0000-00007C3D0000}"/>
    <cellStyle name="Currency 5 2 5 5 4 2 2" xfId="17082" xr:uid="{00000000-0005-0000-0000-00007D3D0000}"/>
    <cellStyle name="Currency 5 2 5 5 4 2 2 2" xfId="17083" xr:uid="{00000000-0005-0000-0000-00007E3D0000}"/>
    <cellStyle name="Currency 5 2 5 5 4 2 2 2 2" xfId="17084" xr:uid="{00000000-0005-0000-0000-00007F3D0000}"/>
    <cellStyle name="Currency 5 2 5 5 4 2 2 3" xfId="17085" xr:uid="{00000000-0005-0000-0000-0000803D0000}"/>
    <cellStyle name="Currency 5 2 5 5 4 2 3" xfId="17086" xr:uid="{00000000-0005-0000-0000-0000813D0000}"/>
    <cellStyle name="Currency 5 2 5 5 4 2 3 2" xfId="17087" xr:uid="{00000000-0005-0000-0000-0000823D0000}"/>
    <cellStyle name="Currency 5 2 5 5 4 2 4" xfId="17088" xr:uid="{00000000-0005-0000-0000-0000833D0000}"/>
    <cellStyle name="Currency 5 2 5 5 4 3" xfId="17089" xr:uid="{00000000-0005-0000-0000-0000843D0000}"/>
    <cellStyle name="Currency 5 2 5 5 4 3 2" xfId="17090" xr:uid="{00000000-0005-0000-0000-0000853D0000}"/>
    <cellStyle name="Currency 5 2 5 5 4 3 2 2" xfId="17091" xr:uid="{00000000-0005-0000-0000-0000863D0000}"/>
    <cellStyle name="Currency 5 2 5 5 4 3 3" xfId="17092" xr:uid="{00000000-0005-0000-0000-0000873D0000}"/>
    <cellStyle name="Currency 5 2 5 5 4 4" xfId="17093" xr:uid="{00000000-0005-0000-0000-0000883D0000}"/>
    <cellStyle name="Currency 5 2 5 5 4 4 2" xfId="17094" xr:uid="{00000000-0005-0000-0000-0000893D0000}"/>
    <cellStyle name="Currency 5 2 5 5 4 5" xfId="17095" xr:uid="{00000000-0005-0000-0000-00008A3D0000}"/>
    <cellStyle name="Currency 5 2 5 5 5" xfId="17096" xr:uid="{00000000-0005-0000-0000-00008B3D0000}"/>
    <cellStyle name="Currency 5 2 5 5 5 2" xfId="17097" xr:uid="{00000000-0005-0000-0000-00008C3D0000}"/>
    <cellStyle name="Currency 5 2 5 5 5 2 2" xfId="17098" xr:uid="{00000000-0005-0000-0000-00008D3D0000}"/>
    <cellStyle name="Currency 5 2 5 5 5 2 2 2" xfId="17099" xr:uid="{00000000-0005-0000-0000-00008E3D0000}"/>
    <cellStyle name="Currency 5 2 5 5 5 2 3" xfId="17100" xr:uid="{00000000-0005-0000-0000-00008F3D0000}"/>
    <cellStyle name="Currency 5 2 5 5 5 3" xfId="17101" xr:uid="{00000000-0005-0000-0000-0000903D0000}"/>
    <cellStyle name="Currency 5 2 5 5 5 3 2" xfId="17102" xr:uid="{00000000-0005-0000-0000-0000913D0000}"/>
    <cellStyle name="Currency 5 2 5 5 5 4" xfId="17103" xr:uid="{00000000-0005-0000-0000-0000923D0000}"/>
    <cellStyle name="Currency 5 2 5 5 6" xfId="17104" xr:uid="{00000000-0005-0000-0000-0000933D0000}"/>
    <cellStyle name="Currency 5 2 5 5 6 2" xfId="17105" xr:uid="{00000000-0005-0000-0000-0000943D0000}"/>
    <cellStyle name="Currency 5 2 5 5 6 2 2" xfId="17106" xr:uid="{00000000-0005-0000-0000-0000953D0000}"/>
    <cellStyle name="Currency 5 2 5 5 6 2 2 2" xfId="17107" xr:uid="{00000000-0005-0000-0000-0000963D0000}"/>
    <cellStyle name="Currency 5 2 5 5 6 2 3" xfId="17108" xr:uid="{00000000-0005-0000-0000-0000973D0000}"/>
    <cellStyle name="Currency 5 2 5 5 6 3" xfId="17109" xr:uid="{00000000-0005-0000-0000-0000983D0000}"/>
    <cellStyle name="Currency 5 2 5 5 6 3 2" xfId="17110" xr:uid="{00000000-0005-0000-0000-0000993D0000}"/>
    <cellStyle name="Currency 5 2 5 5 6 4" xfId="17111" xr:uid="{00000000-0005-0000-0000-00009A3D0000}"/>
    <cellStyle name="Currency 5 2 5 5 7" xfId="17112" xr:uid="{00000000-0005-0000-0000-00009B3D0000}"/>
    <cellStyle name="Currency 5 2 5 5 7 2" xfId="17113" xr:uid="{00000000-0005-0000-0000-00009C3D0000}"/>
    <cellStyle name="Currency 5 2 5 5 7 2 2" xfId="17114" xr:uid="{00000000-0005-0000-0000-00009D3D0000}"/>
    <cellStyle name="Currency 5 2 5 5 7 2 2 2" xfId="17115" xr:uid="{00000000-0005-0000-0000-00009E3D0000}"/>
    <cellStyle name="Currency 5 2 5 5 7 2 3" xfId="17116" xr:uid="{00000000-0005-0000-0000-00009F3D0000}"/>
    <cellStyle name="Currency 5 2 5 5 7 3" xfId="17117" xr:uid="{00000000-0005-0000-0000-0000A03D0000}"/>
    <cellStyle name="Currency 5 2 5 5 7 3 2" xfId="17118" xr:uid="{00000000-0005-0000-0000-0000A13D0000}"/>
    <cellStyle name="Currency 5 2 5 5 7 4" xfId="17119" xr:uid="{00000000-0005-0000-0000-0000A23D0000}"/>
    <cellStyle name="Currency 5 2 5 5 8" xfId="17120" xr:uid="{00000000-0005-0000-0000-0000A33D0000}"/>
    <cellStyle name="Currency 5 2 5 5 8 2" xfId="17121" xr:uid="{00000000-0005-0000-0000-0000A43D0000}"/>
    <cellStyle name="Currency 5 2 5 5 8 2 2" xfId="17122" xr:uid="{00000000-0005-0000-0000-0000A53D0000}"/>
    <cellStyle name="Currency 5 2 5 5 8 3" xfId="17123" xr:uid="{00000000-0005-0000-0000-0000A63D0000}"/>
    <cellStyle name="Currency 5 2 5 5 9" xfId="17124" xr:uid="{00000000-0005-0000-0000-0000A73D0000}"/>
    <cellStyle name="Currency 5 2 5 5 9 2" xfId="17125" xr:uid="{00000000-0005-0000-0000-0000A83D0000}"/>
    <cellStyle name="Currency 5 2 5 6" xfId="1322" xr:uid="{00000000-0005-0000-0000-0000A93D0000}"/>
    <cellStyle name="Currency 5 2 5 6 2" xfId="17127" xr:uid="{00000000-0005-0000-0000-0000AA3D0000}"/>
    <cellStyle name="Currency 5 2 5 6 2 2" xfId="17128" xr:uid="{00000000-0005-0000-0000-0000AB3D0000}"/>
    <cellStyle name="Currency 5 2 5 6 2 2 2" xfId="17129" xr:uid="{00000000-0005-0000-0000-0000AC3D0000}"/>
    <cellStyle name="Currency 5 2 5 6 2 2 2 2" xfId="17130" xr:uid="{00000000-0005-0000-0000-0000AD3D0000}"/>
    <cellStyle name="Currency 5 2 5 6 2 2 3" xfId="17131" xr:uid="{00000000-0005-0000-0000-0000AE3D0000}"/>
    <cellStyle name="Currency 5 2 5 6 2 3" xfId="17132" xr:uid="{00000000-0005-0000-0000-0000AF3D0000}"/>
    <cellStyle name="Currency 5 2 5 6 2 3 2" xfId="17133" xr:uid="{00000000-0005-0000-0000-0000B03D0000}"/>
    <cellStyle name="Currency 5 2 5 6 2 4" xfId="17134" xr:uid="{00000000-0005-0000-0000-0000B13D0000}"/>
    <cellStyle name="Currency 5 2 5 6 3" xfId="17135" xr:uid="{00000000-0005-0000-0000-0000B23D0000}"/>
    <cellStyle name="Currency 5 2 5 6 3 2" xfId="17136" xr:uid="{00000000-0005-0000-0000-0000B33D0000}"/>
    <cellStyle name="Currency 5 2 5 6 3 2 2" xfId="17137" xr:uid="{00000000-0005-0000-0000-0000B43D0000}"/>
    <cellStyle name="Currency 5 2 5 6 3 2 2 2" xfId="17138" xr:uid="{00000000-0005-0000-0000-0000B53D0000}"/>
    <cellStyle name="Currency 5 2 5 6 3 2 3" xfId="17139" xr:uid="{00000000-0005-0000-0000-0000B63D0000}"/>
    <cellStyle name="Currency 5 2 5 6 3 3" xfId="17140" xr:uid="{00000000-0005-0000-0000-0000B73D0000}"/>
    <cellStyle name="Currency 5 2 5 6 3 3 2" xfId="17141" xr:uid="{00000000-0005-0000-0000-0000B83D0000}"/>
    <cellStyle name="Currency 5 2 5 6 3 4" xfId="17142" xr:uid="{00000000-0005-0000-0000-0000B93D0000}"/>
    <cellStyle name="Currency 5 2 5 6 4" xfId="17143" xr:uid="{00000000-0005-0000-0000-0000BA3D0000}"/>
    <cellStyle name="Currency 5 2 5 6 4 2" xfId="17144" xr:uid="{00000000-0005-0000-0000-0000BB3D0000}"/>
    <cellStyle name="Currency 5 2 5 6 4 2 2" xfId="17145" xr:uid="{00000000-0005-0000-0000-0000BC3D0000}"/>
    <cellStyle name="Currency 5 2 5 6 4 3" xfId="17146" xr:uid="{00000000-0005-0000-0000-0000BD3D0000}"/>
    <cellStyle name="Currency 5 2 5 6 5" xfId="17147" xr:uid="{00000000-0005-0000-0000-0000BE3D0000}"/>
    <cellStyle name="Currency 5 2 5 6 5 2" xfId="17148" xr:uid="{00000000-0005-0000-0000-0000BF3D0000}"/>
    <cellStyle name="Currency 5 2 5 6 6" xfId="17149" xr:uid="{00000000-0005-0000-0000-0000C03D0000}"/>
    <cellStyle name="Currency 5 2 5 6 7" xfId="17126" xr:uid="{00000000-0005-0000-0000-0000C13D0000}"/>
    <cellStyle name="Currency 5 2 5 7" xfId="17150" xr:uid="{00000000-0005-0000-0000-0000C23D0000}"/>
    <cellStyle name="Currency 5 2 5 7 2" xfId="17151" xr:uid="{00000000-0005-0000-0000-0000C33D0000}"/>
    <cellStyle name="Currency 5 2 5 7 2 2" xfId="17152" xr:uid="{00000000-0005-0000-0000-0000C43D0000}"/>
    <cellStyle name="Currency 5 2 5 7 2 2 2" xfId="17153" xr:uid="{00000000-0005-0000-0000-0000C53D0000}"/>
    <cellStyle name="Currency 5 2 5 7 2 2 2 2" xfId="17154" xr:uid="{00000000-0005-0000-0000-0000C63D0000}"/>
    <cellStyle name="Currency 5 2 5 7 2 2 3" xfId="17155" xr:uid="{00000000-0005-0000-0000-0000C73D0000}"/>
    <cellStyle name="Currency 5 2 5 7 2 3" xfId="17156" xr:uid="{00000000-0005-0000-0000-0000C83D0000}"/>
    <cellStyle name="Currency 5 2 5 7 2 3 2" xfId="17157" xr:uid="{00000000-0005-0000-0000-0000C93D0000}"/>
    <cellStyle name="Currency 5 2 5 7 2 4" xfId="17158" xr:uid="{00000000-0005-0000-0000-0000CA3D0000}"/>
    <cellStyle name="Currency 5 2 5 7 3" xfId="17159" xr:uid="{00000000-0005-0000-0000-0000CB3D0000}"/>
    <cellStyle name="Currency 5 2 5 7 3 2" xfId="17160" xr:uid="{00000000-0005-0000-0000-0000CC3D0000}"/>
    <cellStyle name="Currency 5 2 5 7 3 2 2" xfId="17161" xr:uid="{00000000-0005-0000-0000-0000CD3D0000}"/>
    <cellStyle name="Currency 5 2 5 7 3 3" xfId="17162" xr:uid="{00000000-0005-0000-0000-0000CE3D0000}"/>
    <cellStyle name="Currency 5 2 5 7 4" xfId="17163" xr:uid="{00000000-0005-0000-0000-0000CF3D0000}"/>
    <cellStyle name="Currency 5 2 5 7 4 2" xfId="17164" xr:uid="{00000000-0005-0000-0000-0000D03D0000}"/>
    <cellStyle name="Currency 5 2 5 7 5" xfId="17165" xr:uid="{00000000-0005-0000-0000-0000D13D0000}"/>
    <cellStyle name="Currency 5 2 5 8" xfId="17166" xr:uid="{00000000-0005-0000-0000-0000D23D0000}"/>
    <cellStyle name="Currency 5 2 5 8 2" xfId="17167" xr:uid="{00000000-0005-0000-0000-0000D33D0000}"/>
    <cellStyle name="Currency 5 2 5 8 2 2" xfId="17168" xr:uid="{00000000-0005-0000-0000-0000D43D0000}"/>
    <cellStyle name="Currency 5 2 5 8 2 2 2" xfId="17169" xr:uid="{00000000-0005-0000-0000-0000D53D0000}"/>
    <cellStyle name="Currency 5 2 5 8 2 2 2 2" xfId="17170" xr:uid="{00000000-0005-0000-0000-0000D63D0000}"/>
    <cellStyle name="Currency 5 2 5 8 2 2 3" xfId="17171" xr:uid="{00000000-0005-0000-0000-0000D73D0000}"/>
    <cellStyle name="Currency 5 2 5 8 2 3" xfId="17172" xr:uid="{00000000-0005-0000-0000-0000D83D0000}"/>
    <cellStyle name="Currency 5 2 5 8 2 3 2" xfId="17173" xr:uid="{00000000-0005-0000-0000-0000D93D0000}"/>
    <cellStyle name="Currency 5 2 5 8 2 4" xfId="17174" xr:uid="{00000000-0005-0000-0000-0000DA3D0000}"/>
    <cellStyle name="Currency 5 2 5 8 3" xfId="17175" xr:uid="{00000000-0005-0000-0000-0000DB3D0000}"/>
    <cellStyle name="Currency 5 2 5 8 3 2" xfId="17176" xr:uid="{00000000-0005-0000-0000-0000DC3D0000}"/>
    <cellStyle name="Currency 5 2 5 8 3 2 2" xfId="17177" xr:uid="{00000000-0005-0000-0000-0000DD3D0000}"/>
    <cellStyle name="Currency 5 2 5 8 3 3" xfId="17178" xr:uid="{00000000-0005-0000-0000-0000DE3D0000}"/>
    <cellStyle name="Currency 5 2 5 8 4" xfId="17179" xr:uid="{00000000-0005-0000-0000-0000DF3D0000}"/>
    <cellStyle name="Currency 5 2 5 8 4 2" xfId="17180" xr:uid="{00000000-0005-0000-0000-0000E03D0000}"/>
    <cellStyle name="Currency 5 2 5 8 5" xfId="17181" xr:uid="{00000000-0005-0000-0000-0000E13D0000}"/>
    <cellStyle name="Currency 5 2 5 9" xfId="17182" xr:uid="{00000000-0005-0000-0000-0000E23D0000}"/>
    <cellStyle name="Currency 5 2 5 9 2" xfId="17183" xr:uid="{00000000-0005-0000-0000-0000E33D0000}"/>
    <cellStyle name="Currency 5 2 5 9 2 2" xfId="17184" xr:uid="{00000000-0005-0000-0000-0000E43D0000}"/>
    <cellStyle name="Currency 5 2 5 9 2 2 2" xfId="17185" xr:uid="{00000000-0005-0000-0000-0000E53D0000}"/>
    <cellStyle name="Currency 5 2 5 9 2 3" xfId="17186" xr:uid="{00000000-0005-0000-0000-0000E63D0000}"/>
    <cellStyle name="Currency 5 2 5 9 3" xfId="17187" xr:uid="{00000000-0005-0000-0000-0000E73D0000}"/>
    <cellStyle name="Currency 5 2 5 9 3 2" xfId="17188" xr:uid="{00000000-0005-0000-0000-0000E83D0000}"/>
    <cellStyle name="Currency 5 2 5 9 4" xfId="17189" xr:uid="{00000000-0005-0000-0000-0000E93D0000}"/>
    <cellStyle name="Currency 5 2 6" xfId="357" xr:uid="{00000000-0005-0000-0000-0000EA3D0000}"/>
    <cellStyle name="Currency 5 2 6 10" xfId="17191" xr:uid="{00000000-0005-0000-0000-0000EB3D0000}"/>
    <cellStyle name="Currency 5 2 6 10 2" xfId="17192" xr:uid="{00000000-0005-0000-0000-0000EC3D0000}"/>
    <cellStyle name="Currency 5 2 6 10 2 2" xfId="17193" xr:uid="{00000000-0005-0000-0000-0000ED3D0000}"/>
    <cellStyle name="Currency 5 2 6 10 2 2 2" xfId="17194" xr:uid="{00000000-0005-0000-0000-0000EE3D0000}"/>
    <cellStyle name="Currency 5 2 6 10 2 3" xfId="17195" xr:uid="{00000000-0005-0000-0000-0000EF3D0000}"/>
    <cellStyle name="Currency 5 2 6 10 3" xfId="17196" xr:uid="{00000000-0005-0000-0000-0000F03D0000}"/>
    <cellStyle name="Currency 5 2 6 10 3 2" xfId="17197" xr:uid="{00000000-0005-0000-0000-0000F13D0000}"/>
    <cellStyle name="Currency 5 2 6 10 4" xfId="17198" xr:uid="{00000000-0005-0000-0000-0000F23D0000}"/>
    <cellStyle name="Currency 5 2 6 11" xfId="17199" xr:uid="{00000000-0005-0000-0000-0000F33D0000}"/>
    <cellStyle name="Currency 5 2 6 11 2" xfId="17200" xr:uid="{00000000-0005-0000-0000-0000F43D0000}"/>
    <cellStyle name="Currency 5 2 6 11 2 2" xfId="17201" xr:uid="{00000000-0005-0000-0000-0000F53D0000}"/>
    <cellStyle name="Currency 5 2 6 11 3" xfId="17202" xr:uid="{00000000-0005-0000-0000-0000F63D0000}"/>
    <cellStyle name="Currency 5 2 6 12" xfId="17203" xr:uid="{00000000-0005-0000-0000-0000F73D0000}"/>
    <cellStyle name="Currency 5 2 6 12 2" xfId="17204" xr:uid="{00000000-0005-0000-0000-0000F83D0000}"/>
    <cellStyle name="Currency 5 2 6 12 2 2" xfId="17205" xr:uid="{00000000-0005-0000-0000-0000F93D0000}"/>
    <cellStyle name="Currency 5 2 6 12 3" xfId="17206" xr:uid="{00000000-0005-0000-0000-0000FA3D0000}"/>
    <cellStyle name="Currency 5 2 6 13" xfId="17207" xr:uid="{00000000-0005-0000-0000-0000FB3D0000}"/>
    <cellStyle name="Currency 5 2 6 13 2" xfId="17208" xr:uid="{00000000-0005-0000-0000-0000FC3D0000}"/>
    <cellStyle name="Currency 5 2 6 13 2 2" xfId="17209" xr:uid="{00000000-0005-0000-0000-0000FD3D0000}"/>
    <cellStyle name="Currency 5 2 6 13 3" xfId="17210" xr:uid="{00000000-0005-0000-0000-0000FE3D0000}"/>
    <cellStyle name="Currency 5 2 6 14" xfId="17211" xr:uid="{00000000-0005-0000-0000-0000FF3D0000}"/>
    <cellStyle name="Currency 5 2 6 14 2" xfId="17212" xr:uid="{00000000-0005-0000-0000-0000003E0000}"/>
    <cellStyle name="Currency 5 2 6 15" xfId="17213" xr:uid="{00000000-0005-0000-0000-0000013E0000}"/>
    <cellStyle name="Currency 5 2 6 16" xfId="17214" xr:uid="{00000000-0005-0000-0000-0000023E0000}"/>
    <cellStyle name="Currency 5 2 6 17" xfId="17190" xr:uid="{00000000-0005-0000-0000-0000033E0000}"/>
    <cellStyle name="Currency 5 2 6 2" xfId="358" xr:uid="{00000000-0005-0000-0000-0000043E0000}"/>
    <cellStyle name="Currency 5 2 6 2 10" xfId="17216" xr:uid="{00000000-0005-0000-0000-0000053E0000}"/>
    <cellStyle name="Currency 5 2 6 2 10 2" xfId="17217" xr:uid="{00000000-0005-0000-0000-0000063E0000}"/>
    <cellStyle name="Currency 5 2 6 2 10 2 2" xfId="17218" xr:uid="{00000000-0005-0000-0000-0000073E0000}"/>
    <cellStyle name="Currency 5 2 6 2 10 3" xfId="17219" xr:uid="{00000000-0005-0000-0000-0000083E0000}"/>
    <cellStyle name="Currency 5 2 6 2 11" xfId="17220" xr:uid="{00000000-0005-0000-0000-0000093E0000}"/>
    <cellStyle name="Currency 5 2 6 2 11 2" xfId="17221" xr:uid="{00000000-0005-0000-0000-00000A3E0000}"/>
    <cellStyle name="Currency 5 2 6 2 11 2 2" xfId="17222" xr:uid="{00000000-0005-0000-0000-00000B3E0000}"/>
    <cellStyle name="Currency 5 2 6 2 11 3" xfId="17223" xr:uid="{00000000-0005-0000-0000-00000C3E0000}"/>
    <cellStyle name="Currency 5 2 6 2 12" xfId="17224" xr:uid="{00000000-0005-0000-0000-00000D3E0000}"/>
    <cellStyle name="Currency 5 2 6 2 12 2" xfId="17225" xr:uid="{00000000-0005-0000-0000-00000E3E0000}"/>
    <cellStyle name="Currency 5 2 6 2 13" xfId="17226" xr:uid="{00000000-0005-0000-0000-00000F3E0000}"/>
    <cellStyle name="Currency 5 2 6 2 14" xfId="17227" xr:uid="{00000000-0005-0000-0000-0000103E0000}"/>
    <cellStyle name="Currency 5 2 6 2 15" xfId="17215" xr:uid="{00000000-0005-0000-0000-0000113E0000}"/>
    <cellStyle name="Currency 5 2 6 2 2" xfId="911" xr:uid="{00000000-0005-0000-0000-0000123E0000}"/>
    <cellStyle name="Currency 5 2 6 2 2 10" xfId="17229" xr:uid="{00000000-0005-0000-0000-0000133E0000}"/>
    <cellStyle name="Currency 5 2 6 2 2 11" xfId="17228" xr:uid="{00000000-0005-0000-0000-0000143E0000}"/>
    <cellStyle name="Currency 5 2 6 2 2 2" xfId="1652" xr:uid="{00000000-0005-0000-0000-0000153E0000}"/>
    <cellStyle name="Currency 5 2 6 2 2 2 2" xfId="17231" xr:uid="{00000000-0005-0000-0000-0000163E0000}"/>
    <cellStyle name="Currency 5 2 6 2 2 2 2 2" xfId="17232" xr:uid="{00000000-0005-0000-0000-0000173E0000}"/>
    <cellStyle name="Currency 5 2 6 2 2 2 2 2 2" xfId="17233" xr:uid="{00000000-0005-0000-0000-0000183E0000}"/>
    <cellStyle name="Currency 5 2 6 2 2 2 2 2 2 2" xfId="17234" xr:uid="{00000000-0005-0000-0000-0000193E0000}"/>
    <cellStyle name="Currency 5 2 6 2 2 2 2 2 3" xfId="17235" xr:uid="{00000000-0005-0000-0000-00001A3E0000}"/>
    <cellStyle name="Currency 5 2 6 2 2 2 2 3" xfId="17236" xr:uid="{00000000-0005-0000-0000-00001B3E0000}"/>
    <cellStyle name="Currency 5 2 6 2 2 2 2 3 2" xfId="17237" xr:uid="{00000000-0005-0000-0000-00001C3E0000}"/>
    <cellStyle name="Currency 5 2 6 2 2 2 2 4" xfId="17238" xr:uid="{00000000-0005-0000-0000-00001D3E0000}"/>
    <cellStyle name="Currency 5 2 6 2 2 2 3" xfId="17239" xr:uid="{00000000-0005-0000-0000-00001E3E0000}"/>
    <cellStyle name="Currency 5 2 6 2 2 2 3 2" xfId="17240" xr:uid="{00000000-0005-0000-0000-00001F3E0000}"/>
    <cellStyle name="Currency 5 2 6 2 2 2 3 2 2" xfId="17241" xr:uid="{00000000-0005-0000-0000-0000203E0000}"/>
    <cellStyle name="Currency 5 2 6 2 2 2 3 2 2 2" xfId="17242" xr:uid="{00000000-0005-0000-0000-0000213E0000}"/>
    <cellStyle name="Currency 5 2 6 2 2 2 3 2 3" xfId="17243" xr:uid="{00000000-0005-0000-0000-0000223E0000}"/>
    <cellStyle name="Currency 5 2 6 2 2 2 3 3" xfId="17244" xr:uid="{00000000-0005-0000-0000-0000233E0000}"/>
    <cellStyle name="Currency 5 2 6 2 2 2 3 3 2" xfId="17245" xr:uid="{00000000-0005-0000-0000-0000243E0000}"/>
    <cellStyle name="Currency 5 2 6 2 2 2 3 4" xfId="17246" xr:uid="{00000000-0005-0000-0000-0000253E0000}"/>
    <cellStyle name="Currency 5 2 6 2 2 2 4" xfId="17247" xr:uid="{00000000-0005-0000-0000-0000263E0000}"/>
    <cellStyle name="Currency 5 2 6 2 2 2 4 2" xfId="17248" xr:uid="{00000000-0005-0000-0000-0000273E0000}"/>
    <cellStyle name="Currency 5 2 6 2 2 2 4 2 2" xfId="17249" xr:uid="{00000000-0005-0000-0000-0000283E0000}"/>
    <cellStyle name="Currency 5 2 6 2 2 2 4 3" xfId="17250" xr:uid="{00000000-0005-0000-0000-0000293E0000}"/>
    <cellStyle name="Currency 5 2 6 2 2 2 5" xfId="17251" xr:uid="{00000000-0005-0000-0000-00002A3E0000}"/>
    <cellStyle name="Currency 5 2 6 2 2 2 5 2" xfId="17252" xr:uid="{00000000-0005-0000-0000-00002B3E0000}"/>
    <cellStyle name="Currency 5 2 6 2 2 2 6" xfId="17253" xr:uid="{00000000-0005-0000-0000-00002C3E0000}"/>
    <cellStyle name="Currency 5 2 6 2 2 2 7" xfId="17230" xr:uid="{00000000-0005-0000-0000-00002D3E0000}"/>
    <cellStyle name="Currency 5 2 6 2 2 3" xfId="17254" xr:uid="{00000000-0005-0000-0000-00002E3E0000}"/>
    <cellStyle name="Currency 5 2 6 2 2 3 2" xfId="17255" xr:uid="{00000000-0005-0000-0000-00002F3E0000}"/>
    <cellStyle name="Currency 5 2 6 2 2 3 2 2" xfId="17256" xr:uid="{00000000-0005-0000-0000-0000303E0000}"/>
    <cellStyle name="Currency 5 2 6 2 2 3 2 2 2" xfId="17257" xr:uid="{00000000-0005-0000-0000-0000313E0000}"/>
    <cellStyle name="Currency 5 2 6 2 2 3 2 2 2 2" xfId="17258" xr:uid="{00000000-0005-0000-0000-0000323E0000}"/>
    <cellStyle name="Currency 5 2 6 2 2 3 2 2 3" xfId="17259" xr:uid="{00000000-0005-0000-0000-0000333E0000}"/>
    <cellStyle name="Currency 5 2 6 2 2 3 2 3" xfId="17260" xr:uid="{00000000-0005-0000-0000-0000343E0000}"/>
    <cellStyle name="Currency 5 2 6 2 2 3 2 3 2" xfId="17261" xr:uid="{00000000-0005-0000-0000-0000353E0000}"/>
    <cellStyle name="Currency 5 2 6 2 2 3 2 4" xfId="17262" xr:uid="{00000000-0005-0000-0000-0000363E0000}"/>
    <cellStyle name="Currency 5 2 6 2 2 3 3" xfId="17263" xr:uid="{00000000-0005-0000-0000-0000373E0000}"/>
    <cellStyle name="Currency 5 2 6 2 2 3 3 2" xfId="17264" xr:uid="{00000000-0005-0000-0000-0000383E0000}"/>
    <cellStyle name="Currency 5 2 6 2 2 3 3 2 2" xfId="17265" xr:uid="{00000000-0005-0000-0000-0000393E0000}"/>
    <cellStyle name="Currency 5 2 6 2 2 3 3 3" xfId="17266" xr:uid="{00000000-0005-0000-0000-00003A3E0000}"/>
    <cellStyle name="Currency 5 2 6 2 2 3 4" xfId="17267" xr:uid="{00000000-0005-0000-0000-00003B3E0000}"/>
    <cellStyle name="Currency 5 2 6 2 2 3 4 2" xfId="17268" xr:uid="{00000000-0005-0000-0000-00003C3E0000}"/>
    <cellStyle name="Currency 5 2 6 2 2 3 5" xfId="17269" xr:uid="{00000000-0005-0000-0000-00003D3E0000}"/>
    <cellStyle name="Currency 5 2 6 2 2 4" xfId="17270" xr:uid="{00000000-0005-0000-0000-00003E3E0000}"/>
    <cellStyle name="Currency 5 2 6 2 2 4 2" xfId="17271" xr:uid="{00000000-0005-0000-0000-00003F3E0000}"/>
    <cellStyle name="Currency 5 2 6 2 2 4 2 2" xfId="17272" xr:uid="{00000000-0005-0000-0000-0000403E0000}"/>
    <cellStyle name="Currency 5 2 6 2 2 4 2 2 2" xfId="17273" xr:uid="{00000000-0005-0000-0000-0000413E0000}"/>
    <cellStyle name="Currency 5 2 6 2 2 4 2 2 2 2" xfId="17274" xr:uid="{00000000-0005-0000-0000-0000423E0000}"/>
    <cellStyle name="Currency 5 2 6 2 2 4 2 2 3" xfId="17275" xr:uid="{00000000-0005-0000-0000-0000433E0000}"/>
    <cellStyle name="Currency 5 2 6 2 2 4 2 3" xfId="17276" xr:uid="{00000000-0005-0000-0000-0000443E0000}"/>
    <cellStyle name="Currency 5 2 6 2 2 4 2 3 2" xfId="17277" xr:uid="{00000000-0005-0000-0000-0000453E0000}"/>
    <cellStyle name="Currency 5 2 6 2 2 4 2 4" xfId="17278" xr:uid="{00000000-0005-0000-0000-0000463E0000}"/>
    <cellStyle name="Currency 5 2 6 2 2 4 3" xfId="17279" xr:uid="{00000000-0005-0000-0000-0000473E0000}"/>
    <cellStyle name="Currency 5 2 6 2 2 4 3 2" xfId="17280" xr:uid="{00000000-0005-0000-0000-0000483E0000}"/>
    <cellStyle name="Currency 5 2 6 2 2 4 3 2 2" xfId="17281" xr:uid="{00000000-0005-0000-0000-0000493E0000}"/>
    <cellStyle name="Currency 5 2 6 2 2 4 3 3" xfId="17282" xr:uid="{00000000-0005-0000-0000-00004A3E0000}"/>
    <cellStyle name="Currency 5 2 6 2 2 4 4" xfId="17283" xr:uid="{00000000-0005-0000-0000-00004B3E0000}"/>
    <cellStyle name="Currency 5 2 6 2 2 4 4 2" xfId="17284" xr:uid="{00000000-0005-0000-0000-00004C3E0000}"/>
    <cellStyle name="Currency 5 2 6 2 2 4 5" xfId="17285" xr:uid="{00000000-0005-0000-0000-00004D3E0000}"/>
    <cellStyle name="Currency 5 2 6 2 2 5" xfId="17286" xr:uid="{00000000-0005-0000-0000-00004E3E0000}"/>
    <cellStyle name="Currency 5 2 6 2 2 5 2" xfId="17287" xr:uid="{00000000-0005-0000-0000-00004F3E0000}"/>
    <cellStyle name="Currency 5 2 6 2 2 5 2 2" xfId="17288" xr:uid="{00000000-0005-0000-0000-0000503E0000}"/>
    <cellStyle name="Currency 5 2 6 2 2 5 2 2 2" xfId="17289" xr:uid="{00000000-0005-0000-0000-0000513E0000}"/>
    <cellStyle name="Currency 5 2 6 2 2 5 2 3" xfId="17290" xr:uid="{00000000-0005-0000-0000-0000523E0000}"/>
    <cellStyle name="Currency 5 2 6 2 2 5 3" xfId="17291" xr:uid="{00000000-0005-0000-0000-0000533E0000}"/>
    <cellStyle name="Currency 5 2 6 2 2 5 3 2" xfId="17292" xr:uid="{00000000-0005-0000-0000-0000543E0000}"/>
    <cellStyle name="Currency 5 2 6 2 2 5 4" xfId="17293" xr:uid="{00000000-0005-0000-0000-0000553E0000}"/>
    <cellStyle name="Currency 5 2 6 2 2 6" xfId="17294" xr:uid="{00000000-0005-0000-0000-0000563E0000}"/>
    <cellStyle name="Currency 5 2 6 2 2 6 2" xfId="17295" xr:uid="{00000000-0005-0000-0000-0000573E0000}"/>
    <cellStyle name="Currency 5 2 6 2 2 6 2 2" xfId="17296" xr:uid="{00000000-0005-0000-0000-0000583E0000}"/>
    <cellStyle name="Currency 5 2 6 2 2 6 2 2 2" xfId="17297" xr:uid="{00000000-0005-0000-0000-0000593E0000}"/>
    <cellStyle name="Currency 5 2 6 2 2 6 2 3" xfId="17298" xr:uid="{00000000-0005-0000-0000-00005A3E0000}"/>
    <cellStyle name="Currency 5 2 6 2 2 6 3" xfId="17299" xr:uid="{00000000-0005-0000-0000-00005B3E0000}"/>
    <cellStyle name="Currency 5 2 6 2 2 6 3 2" xfId="17300" xr:uid="{00000000-0005-0000-0000-00005C3E0000}"/>
    <cellStyle name="Currency 5 2 6 2 2 6 4" xfId="17301" xr:uid="{00000000-0005-0000-0000-00005D3E0000}"/>
    <cellStyle name="Currency 5 2 6 2 2 7" xfId="17302" xr:uid="{00000000-0005-0000-0000-00005E3E0000}"/>
    <cellStyle name="Currency 5 2 6 2 2 7 2" xfId="17303" xr:uid="{00000000-0005-0000-0000-00005F3E0000}"/>
    <cellStyle name="Currency 5 2 6 2 2 7 2 2" xfId="17304" xr:uid="{00000000-0005-0000-0000-0000603E0000}"/>
    <cellStyle name="Currency 5 2 6 2 2 7 2 2 2" xfId="17305" xr:uid="{00000000-0005-0000-0000-0000613E0000}"/>
    <cellStyle name="Currency 5 2 6 2 2 7 2 3" xfId="17306" xr:uid="{00000000-0005-0000-0000-0000623E0000}"/>
    <cellStyle name="Currency 5 2 6 2 2 7 3" xfId="17307" xr:uid="{00000000-0005-0000-0000-0000633E0000}"/>
    <cellStyle name="Currency 5 2 6 2 2 7 3 2" xfId="17308" xr:uid="{00000000-0005-0000-0000-0000643E0000}"/>
    <cellStyle name="Currency 5 2 6 2 2 7 4" xfId="17309" xr:uid="{00000000-0005-0000-0000-0000653E0000}"/>
    <cellStyle name="Currency 5 2 6 2 2 8" xfId="17310" xr:uid="{00000000-0005-0000-0000-0000663E0000}"/>
    <cellStyle name="Currency 5 2 6 2 2 8 2" xfId="17311" xr:uid="{00000000-0005-0000-0000-0000673E0000}"/>
    <cellStyle name="Currency 5 2 6 2 2 8 2 2" xfId="17312" xr:uid="{00000000-0005-0000-0000-0000683E0000}"/>
    <cellStyle name="Currency 5 2 6 2 2 8 3" xfId="17313" xr:uid="{00000000-0005-0000-0000-0000693E0000}"/>
    <cellStyle name="Currency 5 2 6 2 2 9" xfId="17314" xr:uid="{00000000-0005-0000-0000-00006A3E0000}"/>
    <cellStyle name="Currency 5 2 6 2 2 9 2" xfId="17315" xr:uid="{00000000-0005-0000-0000-00006B3E0000}"/>
    <cellStyle name="Currency 5 2 6 2 3" xfId="1327" xr:uid="{00000000-0005-0000-0000-00006C3E0000}"/>
    <cellStyle name="Currency 5 2 6 2 3 2" xfId="17317" xr:uid="{00000000-0005-0000-0000-00006D3E0000}"/>
    <cellStyle name="Currency 5 2 6 2 3 2 2" xfId="17318" xr:uid="{00000000-0005-0000-0000-00006E3E0000}"/>
    <cellStyle name="Currency 5 2 6 2 3 2 2 2" xfId="17319" xr:uid="{00000000-0005-0000-0000-00006F3E0000}"/>
    <cellStyle name="Currency 5 2 6 2 3 2 2 2 2" xfId="17320" xr:uid="{00000000-0005-0000-0000-0000703E0000}"/>
    <cellStyle name="Currency 5 2 6 2 3 2 2 3" xfId="17321" xr:uid="{00000000-0005-0000-0000-0000713E0000}"/>
    <cellStyle name="Currency 5 2 6 2 3 2 3" xfId="17322" xr:uid="{00000000-0005-0000-0000-0000723E0000}"/>
    <cellStyle name="Currency 5 2 6 2 3 2 3 2" xfId="17323" xr:uid="{00000000-0005-0000-0000-0000733E0000}"/>
    <cellStyle name="Currency 5 2 6 2 3 2 4" xfId="17324" xr:uid="{00000000-0005-0000-0000-0000743E0000}"/>
    <cellStyle name="Currency 5 2 6 2 3 3" xfId="17325" xr:uid="{00000000-0005-0000-0000-0000753E0000}"/>
    <cellStyle name="Currency 5 2 6 2 3 3 2" xfId="17326" xr:uid="{00000000-0005-0000-0000-0000763E0000}"/>
    <cellStyle name="Currency 5 2 6 2 3 3 2 2" xfId="17327" xr:uid="{00000000-0005-0000-0000-0000773E0000}"/>
    <cellStyle name="Currency 5 2 6 2 3 3 2 2 2" xfId="17328" xr:uid="{00000000-0005-0000-0000-0000783E0000}"/>
    <cellStyle name="Currency 5 2 6 2 3 3 2 3" xfId="17329" xr:uid="{00000000-0005-0000-0000-0000793E0000}"/>
    <cellStyle name="Currency 5 2 6 2 3 3 3" xfId="17330" xr:uid="{00000000-0005-0000-0000-00007A3E0000}"/>
    <cellStyle name="Currency 5 2 6 2 3 3 3 2" xfId="17331" xr:uid="{00000000-0005-0000-0000-00007B3E0000}"/>
    <cellStyle name="Currency 5 2 6 2 3 3 4" xfId="17332" xr:uid="{00000000-0005-0000-0000-00007C3E0000}"/>
    <cellStyle name="Currency 5 2 6 2 3 4" xfId="17333" xr:uid="{00000000-0005-0000-0000-00007D3E0000}"/>
    <cellStyle name="Currency 5 2 6 2 3 4 2" xfId="17334" xr:uid="{00000000-0005-0000-0000-00007E3E0000}"/>
    <cellStyle name="Currency 5 2 6 2 3 4 2 2" xfId="17335" xr:uid="{00000000-0005-0000-0000-00007F3E0000}"/>
    <cellStyle name="Currency 5 2 6 2 3 4 3" xfId="17336" xr:uid="{00000000-0005-0000-0000-0000803E0000}"/>
    <cellStyle name="Currency 5 2 6 2 3 5" xfId="17337" xr:uid="{00000000-0005-0000-0000-0000813E0000}"/>
    <cellStyle name="Currency 5 2 6 2 3 5 2" xfId="17338" xr:uid="{00000000-0005-0000-0000-0000823E0000}"/>
    <cellStyle name="Currency 5 2 6 2 3 6" xfId="17339" xr:uid="{00000000-0005-0000-0000-0000833E0000}"/>
    <cellStyle name="Currency 5 2 6 2 3 7" xfId="17316" xr:uid="{00000000-0005-0000-0000-0000843E0000}"/>
    <cellStyle name="Currency 5 2 6 2 4" xfId="17340" xr:uid="{00000000-0005-0000-0000-0000853E0000}"/>
    <cellStyle name="Currency 5 2 6 2 4 2" xfId="17341" xr:uid="{00000000-0005-0000-0000-0000863E0000}"/>
    <cellStyle name="Currency 5 2 6 2 4 2 2" xfId="17342" xr:uid="{00000000-0005-0000-0000-0000873E0000}"/>
    <cellStyle name="Currency 5 2 6 2 4 2 2 2" xfId="17343" xr:uid="{00000000-0005-0000-0000-0000883E0000}"/>
    <cellStyle name="Currency 5 2 6 2 4 2 2 2 2" xfId="17344" xr:uid="{00000000-0005-0000-0000-0000893E0000}"/>
    <cellStyle name="Currency 5 2 6 2 4 2 2 3" xfId="17345" xr:uid="{00000000-0005-0000-0000-00008A3E0000}"/>
    <cellStyle name="Currency 5 2 6 2 4 2 3" xfId="17346" xr:uid="{00000000-0005-0000-0000-00008B3E0000}"/>
    <cellStyle name="Currency 5 2 6 2 4 2 3 2" xfId="17347" xr:uid="{00000000-0005-0000-0000-00008C3E0000}"/>
    <cellStyle name="Currency 5 2 6 2 4 2 4" xfId="17348" xr:uid="{00000000-0005-0000-0000-00008D3E0000}"/>
    <cellStyle name="Currency 5 2 6 2 4 3" xfId="17349" xr:uid="{00000000-0005-0000-0000-00008E3E0000}"/>
    <cellStyle name="Currency 5 2 6 2 4 3 2" xfId="17350" xr:uid="{00000000-0005-0000-0000-00008F3E0000}"/>
    <cellStyle name="Currency 5 2 6 2 4 3 2 2" xfId="17351" xr:uid="{00000000-0005-0000-0000-0000903E0000}"/>
    <cellStyle name="Currency 5 2 6 2 4 3 3" xfId="17352" xr:uid="{00000000-0005-0000-0000-0000913E0000}"/>
    <cellStyle name="Currency 5 2 6 2 4 4" xfId="17353" xr:uid="{00000000-0005-0000-0000-0000923E0000}"/>
    <cellStyle name="Currency 5 2 6 2 4 4 2" xfId="17354" xr:uid="{00000000-0005-0000-0000-0000933E0000}"/>
    <cellStyle name="Currency 5 2 6 2 4 5" xfId="17355" xr:uid="{00000000-0005-0000-0000-0000943E0000}"/>
    <cellStyle name="Currency 5 2 6 2 5" xfId="17356" xr:uid="{00000000-0005-0000-0000-0000953E0000}"/>
    <cellStyle name="Currency 5 2 6 2 5 2" xfId="17357" xr:uid="{00000000-0005-0000-0000-0000963E0000}"/>
    <cellStyle name="Currency 5 2 6 2 5 2 2" xfId="17358" xr:uid="{00000000-0005-0000-0000-0000973E0000}"/>
    <cellStyle name="Currency 5 2 6 2 5 2 2 2" xfId="17359" xr:uid="{00000000-0005-0000-0000-0000983E0000}"/>
    <cellStyle name="Currency 5 2 6 2 5 2 2 2 2" xfId="17360" xr:uid="{00000000-0005-0000-0000-0000993E0000}"/>
    <cellStyle name="Currency 5 2 6 2 5 2 2 3" xfId="17361" xr:uid="{00000000-0005-0000-0000-00009A3E0000}"/>
    <cellStyle name="Currency 5 2 6 2 5 2 3" xfId="17362" xr:uid="{00000000-0005-0000-0000-00009B3E0000}"/>
    <cellStyle name="Currency 5 2 6 2 5 2 3 2" xfId="17363" xr:uid="{00000000-0005-0000-0000-00009C3E0000}"/>
    <cellStyle name="Currency 5 2 6 2 5 2 4" xfId="17364" xr:uid="{00000000-0005-0000-0000-00009D3E0000}"/>
    <cellStyle name="Currency 5 2 6 2 5 3" xfId="17365" xr:uid="{00000000-0005-0000-0000-00009E3E0000}"/>
    <cellStyle name="Currency 5 2 6 2 5 3 2" xfId="17366" xr:uid="{00000000-0005-0000-0000-00009F3E0000}"/>
    <cellStyle name="Currency 5 2 6 2 5 3 2 2" xfId="17367" xr:uid="{00000000-0005-0000-0000-0000A03E0000}"/>
    <cellStyle name="Currency 5 2 6 2 5 3 3" xfId="17368" xr:uid="{00000000-0005-0000-0000-0000A13E0000}"/>
    <cellStyle name="Currency 5 2 6 2 5 4" xfId="17369" xr:uid="{00000000-0005-0000-0000-0000A23E0000}"/>
    <cellStyle name="Currency 5 2 6 2 5 4 2" xfId="17370" xr:uid="{00000000-0005-0000-0000-0000A33E0000}"/>
    <cellStyle name="Currency 5 2 6 2 5 5" xfId="17371" xr:uid="{00000000-0005-0000-0000-0000A43E0000}"/>
    <cellStyle name="Currency 5 2 6 2 6" xfId="17372" xr:uid="{00000000-0005-0000-0000-0000A53E0000}"/>
    <cellStyle name="Currency 5 2 6 2 6 2" xfId="17373" xr:uid="{00000000-0005-0000-0000-0000A63E0000}"/>
    <cellStyle name="Currency 5 2 6 2 6 2 2" xfId="17374" xr:uid="{00000000-0005-0000-0000-0000A73E0000}"/>
    <cellStyle name="Currency 5 2 6 2 6 2 2 2" xfId="17375" xr:uid="{00000000-0005-0000-0000-0000A83E0000}"/>
    <cellStyle name="Currency 5 2 6 2 6 2 3" xfId="17376" xr:uid="{00000000-0005-0000-0000-0000A93E0000}"/>
    <cellStyle name="Currency 5 2 6 2 6 3" xfId="17377" xr:uid="{00000000-0005-0000-0000-0000AA3E0000}"/>
    <cellStyle name="Currency 5 2 6 2 6 3 2" xfId="17378" xr:uid="{00000000-0005-0000-0000-0000AB3E0000}"/>
    <cellStyle name="Currency 5 2 6 2 6 4" xfId="17379" xr:uid="{00000000-0005-0000-0000-0000AC3E0000}"/>
    <cellStyle name="Currency 5 2 6 2 7" xfId="17380" xr:uid="{00000000-0005-0000-0000-0000AD3E0000}"/>
    <cellStyle name="Currency 5 2 6 2 7 2" xfId="17381" xr:uid="{00000000-0005-0000-0000-0000AE3E0000}"/>
    <cellStyle name="Currency 5 2 6 2 7 2 2" xfId="17382" xr:uid="{00000000-0005-0000-0000-0000AF3E0000}"/>
    <cellStyle name="Currency 5 2 6 2 7 2 2 2" xfId="17383" xr:uid="{00000000-0005-0000-0000-0000B03E0000}"/>
    <cellStyle name="Currency 5 2 6 2 7 2 3" xfId="17384" xr:uid="{00000000-0005-0000-0000-0000B13E0000}"/>
    <cellStyle name="Currency 5 2 6 2 7 3" xfId="17385" xr:uid="{00000000-0005-0000-0000-0000B23E0000}"/>
    <cellStyle name="Currency 5 2 6 2 7 3 2" xfId="17386" xr:uid="{00000000-0005-0000-0000-0000B33E0000}"/>
    <cellStyle name="Currency 5 2 6 2 7 4" xfId="17387" xr:uid="{00000000-0005-0000-0000-0000B43E0000}"/>
    <cellStyle name="Currency 5 2 6 2 8" xfId="17388" xr:uid="{00000000-0005-0000-0000-0000B53E0000}"/>
    <cellStyle name="Currency 5 2 6 2 8 2" xfId="17389" xr:uid="{00000000-0005-0000-0000-0000B63E0000}"/>
    <cellStyle name="Currency 5 2 6 2 8 2 2" xfId="17390" xr:uid="{00000000-0005-0000-0000-0000B73E0000}"/>
    <cellStyle name="Currency 5 2 6 2 8 2 2 2" xfId="17391" xr:uid="{00000000-0005-0000-0000-0000B83E0000}"/>
    <cellStyle name="Currency 5 2 6 2 8 2 3" xfId="17392" xr:uid="{00000000-0005-0000-0000-0000B93E0000}"/>
    <cellStyle name="Currency 5 2 6 2 8 3" xfId="17393" xr:uid="{00000000-0005-0000-0000-0000BA3E0000}"/>
    <cellStyle name="Currency 5 2 6 2 8 3 2" xfId="17394" xr:uid="{00000000-0005-0000-0000-0000BB3E0000}"/>
    <cellStyle name="Currency 5 2 6 2 8 4" xfId="17395" xr:uid="{00000000-0005-0000-0000-0000BC3E0000}"/>
    <cellStyle name="Currency 5 2 6 2 9" xfId="17396" xr:uid="{00000000-0005-0000-0000-0000BD3E0000}"/>
    <cellStyle name="Currency 5 2 6 2 9 2" xfId="17397" xr:uid="{00000000-0005-0000-0000-0000BE3E0000}"/>
    <cellStyle name="Currency 5 2 6 2 9 2 2" xfId="17398" xr:uid="{00000000-0005-0000-0000-0000BF3E0000}"/>
    <cellStyle name="Currency 5 2 6 2 9 3" xfId="17399" xr:uid="{00000000-0005-0000-0000-0000C03E0000}"/>
    <cellStyle name="Currency 5 2 6 3" xfId="359" xr:uid="{00000000-0005-0000-0000-0000C13E0000}"/>
    <cellStyle name="Currency 5 2 6 4" xfId="910" xr:uid="{00000000-0005-0000-0000-0000C23E0000}"/>
    <cellStyle name="Currency 5 2 6 4 10" xfId="17401" xr:uid="{00000000-0005-0000-0000-0000C33E0000}"/>
    <cellStyle name="Currency 5 2 6 4 11" xfId="17400" xr:uid="{00000000-0005-0000-0000-0000C43E0000}"/>
    <cellStyle name="Currency 5 2 6 4 2" xfId="1651" xr:uid="{00000000-0005-0000-0000-0000C53E0000}"/>
    <cellStyle name="Currency 5 2 6 4 2 2" xfId="17403" xr:uid="{00000000-0005-0000-0000-0000C63E0000}"/>
    <cellStyle name="Currency 5 2 6 4 2 2 2" xfId="17404" xr:uid="{00000000-0005-0000-0000-0000C73E0000}"/>
    <cellStyle name="Currency 5 2 6 4 2 2 2 2" xfId="17405" xr:uid="{00000000-0005-0000-0000-0000C83E0000}"/>
    <cellStyle name="Currency 5 2 6 4 2 2 2 2 2" xfId="17406" xr:uid="{00000000-0005-0000-0000-0000C93E0000}"/>
    <cellStyle name="Currency 5 2 6 4 2 2 2 3" xfId="17407" xr:uid="{00000000-0005-0000-0000-0000CA3E0000}"/>
    <cellStyle name="Currency 5 2 6 4 2 2 3" xfId="17408" xr:uid="{00000000-0005-0000-0000-0000CB3E0000}"/>
    <cellStyle name="Currency 5 2 6 4 2 2 3 2" xfId="17409" xr:uid="{00000000-0005-0000-0000-0000CC3E0000}"/>
    <cellStyle name="Currency 5 2 6 4 2 2 4" xfId="17410" xr:uid="{00000000-0005-0000-0000-0000CD3E0000}"/>
    <cellStyle name="Currency 5 2 6 4 2 3" xfId="17411" xr:uid="{00000000-0005-0000-0000-0000CE3E0000}"/>
    <cellStyle name="Currency 5 2 6 4 2 3 2" xfId="17412" xr:uid="{00000000-0005-0000-0000-0000CF3E0000}"/>
    <cellStyle name="Currency 5 2 6 4 2 3 2 2" xfId="17413" xr:uid="{00000000-0005-0000-0000-0000D03E0000}"/>
    <cellStyle name="Currency 5 2 6 4 2 3 2 2 2" xfId="17414" xr:uid="{00000000-0005-0000-0000-0000D13E0000}"/>
    <cellStyle name="Currency 5 2 6 4 2 3 2 3" xfId="17415" xr:uid="{00000000-0005-0000-0000-0000D23E0000}"/>
    <cellStyle name="Currency 5 2 6 4 2 3 3" xfId="17416" xr:uid="{00000000-0005-0000-0000-0000D33E0000}"/>
    <cellStyle name="Currency 5 2 6 4 2 3 3 2" xfId="17417" xr:uid="{00000000-0005-0000-0000-0000D43E0000}"/>
    <cellStyle name="Currency 5 2 6 4 2 3 4" xfId="17418" xr:uid="{00000000-0005-0000-0000-0000D53E0000}"/>
    <cellStyle name="Currency 5 2 6 4 2 4" xfId="17419" xr:uid="{00000000-0005-0000-0000-0000D63E0000}"/>
    <cellStyle name="Currency 5 2 6 4 2 4 2" xfId="17420" xr:uid="{00000000-0005-0000-0000-0000D73E0000}"/>
    <cellStyle name="Currency 5 2 6 4 2 4 2 2" xfId="17421" xr:uid="{00000000-0005-0000-0000-0000D83E0000}"/>
    <cellStyle name="Currency 5 2 6 4 2 4 3" xfId="17422" xr:uid="{00000000-0005-0000-0000-0000D93E0000}"/>
    <cellStyle name="Currency 5 2 6 4 2 5" xfId="17423" xr:uid="{00000000-0005-0000-0000-0000DA3E0000}"/>
    <cellStyle name="Currency 5 2 6 4 2 5 2" xfId="17424" xr:uid="{00000000-0005-0000-0000-0000DB3E0000}"/>
    <cellStyle name="Currency 5 2 6 4 2 6" xfId="17425" xr:uid="{00000000-0005-0000-0000-0000DC3E0000}"/>
    <cellStyle name="Currency 5 2 6 4 2 7" xfId="17402" xr:uid="{00000000-0005-0000-0000-0000DD3E0000}"/>
    <cellStyle name="Currency 5 2 6 4 3" xfId="17426" xr:uid="{00000000-0005-0000-0000-0000DE3E0000}"/>
    <cellStyle name="Currency 5 2 6 4 3 2" xfId="17427" xr:uid="{00000000-0005-0000-0000-0000DF3E0000}"/>
    <cellStyle name="Currency 5 2 6 4 3 2 2" xfId="17428" xr:uid="{00000000-0005-0000-0000-0000E03E0000}"/>
    <cellStyle name="Currency 5 2 6 4 3 2 2 2" xfId="17429" xr:uid="{00000000-0005-0000-0000-0000E13E0000}"/>
    <cellStyle name="Currency 5 2 6 4 3 2 2 2 2" xfId="17430" xr:uid="{00000000-0005-0000-0000-0000E23E0000}"/>
    <cellStyle name="Currency 5 2 6 4 3 2 2 3" xfId="17431" xr:uid="{00000000-0005-0000-0000-0000E33E0000}"/>
    <cellStyle name="Currency 5 2 6 4 3 2 3" xfId="17432" xr:uid="{00000000-0005-0000-0000-0000E43E0000}"/>
    <cellStyle name="Currency 5 2 6 4 3 2 3 2" xfId="17433" xr:uid="{00000000-0005-0000-0000-0000E53E0000}"/>
    <cellStyle name="Currency 5 2 6 4 3 2 4" xfId="17434" xr:uid="{00000000-0005-0000-0000-0000E63E0000}"/>
    <cellStyle name="Currency 5 2 6 4 3 3" xfId="17435" xr:uid="{00000000-0005-0000-0000-0000E73E0000}"/>
    <cellStyle name="Currency 5 2 6 4 3 3 2" xfId="17436" xr:uid="{00000000-0005-0000-0000-0000E83E0000}"/>
    <cellStyle name="Currency 5 2 6 4 3 3 2 2" xfId="17437" xr:uid="{00000000-0005-0000-0000-0000E93E0000}"/>
    <cellStyle name="Currency 5 2 6 4 3 3 3" xfId="17438" xr:uid="{00000000-0005-0000-0000-0000EA3E0000}"/>
    <cellStyle name="Currency 5 2 6 4 3 4" xfId="17439" xr:uid="{00000000-0005-0000-0000-0000EB3E0000}"/>
    <cellStyle name="Currency 5 2 6 4 3 4 2" xfId="17440" xr:uid="{00000000-0005-0000-0000-0000EC3E0000}"/>
    <cellStyle name="Currency 5 2 6 4 3 5" xfId="17441" xr:uid="{00000000-0005-0000-0000-0000ED3E0000}"/>
    <cellStyle name="Currency 5 2 6 4 4" xfId="17442" xr:uid="{00000000-0005-0000-0000-0000EE3E0000}"/>
    <cellStyle name="Currency 5 2 6 4 4 2" xfId="17443" xr:uid="{00000000-0005-0000-0000-0000EF3E0000}"/>
    <cellStyle name="Currency 5 2 6 4 4 2 2" xfId="17444" xr:uid="{00000000-0005-0000-0000-0000F03E0000}"/>
    <cellStyle name="Currency 5 2 6 4 4 2 2 2" xfId="17445" xr:uid="{00000000-0005-0000-0000-0000F13E0000}"/>
    <cellStyle name="Currency 5 2 6 4 4 2 2 2 2" xfId="17446" xr:uid="{00000000-0005-0000-0000-0000F23E0000}"/>
    <cellStyle name="Currency 5 2 6 4 4 2 2 3" xfId="17447" xr:uid="{00000000-0005-0000-0000-0000F33E0000}"/>
    <cellStyle name="Currency 5 2 6 4 4 2 3" xfId="17448" xr:uid="{00000000-0005-0000-0000-0000F43E0000}"/>
    <cellStyle name="Currency 5 2 6 4 4 2 3 2" xfId="17449" xr:uid="{00000000-0005-0000-0000-0000F53E0000}"/>
    <cellStyle name="Currency 5 2 6 4 4 2 4" xfId="17450" xr:uid="{00000000-0005-0000-0000-0000F63E0000}"/>
    <cellStyle name="Currency 5 2 6 4 4 3" xfId="17451" xr:uid="{00000000-0005-0000-0000-0000F73E0000}"/>
    <cellStyle name="Currency 5 2 6 4 4 3 2" xfId="17452" xr:uid="{00000000-0005-0000-0000-0000F83E0000}"/>
    <cellStyle name="Currency 5 2 6 4 4 3 2 2" xfId="17453" xr:uid="{00000000-0005-0000-0000-0000F93E0000}"/>
    <cellStyle name="Currency 5 2 6 4 4 3 3" xfId="17454" xr:uid="{00000000-0005-0000-0000-0000FA3E0000}"/>
    <cellStyle name="Currency 5 2 6 4 4 4" xfId="17455" xr:uid="{00000000-0005-0000-0000-0000FB3E0000}"/>
    <cellStyle name="Currency 5 2 6 4 4 4 2" xfId="17456" xr:uid="{00000000-0005-0000-0000-0000FC3E0000}"/>
    <cellStyle name="Currency 5 2 6 4 4 5" xfId="17457" xr:uid="{00000000-0005-0000-0000-0000FD3E0000}"/>
    <cellStyle name="Currency 5 2 6 4 5" xfId="17458" xr:uid="{00000000-0005-0000-0000-0000FE3E0000}"/>
    <cellStyle name="Currency 5 2 6 4 5 2" xfId="17459" xr:uid="{00000000-0005-0000-0000-0000FF3E0000}"/>
    <cellStyle name="Currency 5 2 6 4 5 2 2" xfId="17460" xr:uid="{00000000-0005-0000-0000-0000003F0000}"/>
    <cellStyle name="Currency 5 2 6 4 5 2 2 2" xfId="17461" xr:uid="{00000000-0005-0000-0000-0000013F0000}"/>
    <cellStyle name="Currency 5 2 6 4 5 2 3" xfId="17462" xr:uid="{00000000-0005-0000-0000-0000023F0000}"/>
    <cellStyle name="Currency 5 2 6 4 5 3" xfId="17463" xr:uid="{00000000-0005-0000-0000-0000033F0000}"/>
    <cellStyle name="Currency 5 2 6 4 5 3 2" xfId="17464" xr:uid="{00000000-0005-0000-0000-0000043F0000}"/>
    <cellStyle name="Currency 5 2 6 4 5 4" xfId="17465" xr:uid="{00000000-0005-0000-0000-0000053F0000}"/>
    <cellStyle name="Currency 5 2 6 4 6" xfId="17466" xr:uid="{00000000-0005-0000-0000-0000063F0000}"/>
    <cellStyle name="Currency 5 2 6 4 6 2" xfId="17467" xr:uid="{00000000-0005-0000-0000-0000073F0000}"/>
    <cellStyle name="Currency 5 2 6 4 6 2 2" xfId="17468" xr:uid="{00000000-0005-0000-0000-0000083F0000}"/>
    <cellStyle name="Currency 5 2 6 4 6 2 2 2" xfId="17469" xr:uid="{00000000-0005-0000-0000-0000093F0000}"/>
    <cellStyle name="Currency 5 2 6 4 6 2 3" xfId="17470" xr:uid="{00000000-0005-0000-0000-00000A3F0000}"/>
    <cellStyle name="Currency 5 2 6 4 6 3" xfId="17471" xr:uid="{00000000-0005-0000-0000-00000B3F0000}"/>
    <cellStyle name="Currency 5 2 6 4 6 3 2" xfId="17472" xr:uid="{00000000-0005-0000-0000-00000C3F0000}"/>
    <cellStyle name="Currency 5 2 6 4 6 4" xfId="17473" xr:uid="{00000000-0005-0000-0000-00000D3F0000}"/>
    <cellStyle name="Currency 5 2 6 4 7" xfId="17474" xr:uid="{00000000-0005-0000-0000-00000E3F0000}"/>
    <cellStyle name="Currency 5 2 6 4 7 2" xfId="17475" xr:uid="{00000000-0005-0000-0000-00000F3F0000}"/>
    <cellStyle name="Currency 5 2 6 4 7 2 2" xfId="17476" xr:uid="{00000000-0005-0000-0000-0000103F0000}"/>
    <cellStyle name="Currency 5 2 6 4 7 2 2 2" xfId="17477" xr:uid="{00000000-0005-0000-0000-0000113F0000}"/>
    <cellStyle name="Currency 5 2 6 4 7 2 3" xfId="17478" xr:uid="{00000000-0005-0000-0000-0000123F0000}"/>
    <cellStyle name="Currency 5 2 6 4 7 3" xfId="17479" xr:uid="{00000000-0005-0000-0000-0000133F0000}"/>
    <cellStyle name="Currency 5 2 6 4 7 3 2" xfId="17480" xr:uid="{00000000-0005-0000-0000-0000143F0000}"/>
    <cellStyle name="Currency 5 2 6 4 7 4" xfId="17481" xr:uid="{00000000-0005-0000-0000-0000153F0000}"/>
    <cellStyle name="Currency 5 2 6 4 8" xfId="17482" xr:uid="{00000000-0005-0000-0000-0000163F0000}"/>
    <cellStyle name="Currency 5 2 6 4 8 2" xfId="17483" xr:uid="{00000000-0005-0000-0000-0000173F0000}"/>
    <cellStyle name="Currency 5 2 6 4 8 2 2" xfId="17484" xr:uid="{00000000-0005-0000-0000-0000183F0000}"/>
    <cellStyle name="Currency 5 2 6 4 8 3" xfId="17485" xr:uid="{00000000-0005-0000-0000-0000193F0000}"/>
    <cellStyle name="Currency 5 2 6 4 9" xfId="17486" xr:uid="{00000000-0005-0000-0000-00001A3F0000}"/>
    <cellStyle name="Currency 5 2 6 4 9 2" xfId="17487" xr:uid="{00000000-0005-0000-0000-00001B3F0000}"/>
    <cellStyle name="Currency 5 2 6 5" xfId="1326" xr:uid="{00000000-0005-0000-0000-00001C3F0000}"/>
    <cellStyle name="Currency 5 2 6 5 2" xfId="17489" xr:uid="{00000000-0005-0000-0000-00001D3F0000}"/>
    <cellStyle name="Currency 5 2 6 5 2 2" xfId="17490" xr:uid="{00000000-0005-0000-0000-00001E3F0000}"/>
    <cellStyle name="Currency 5 2 6 5 2 2 2" xfId="17491" xr:uid="{00000000-0005-0000-0000-00001F3F0000}"/>
    <cellStyle name="Currency 5 2 6 5 2 2 2 2" xfId="17492" xr:uid="{00000000-0005-0000-0000-0000203F0000}"/>
    <cellStyle name="Currency 5 2 6 5 2 2 3" xfId="17493" xr:uid="{00000000-0005-0000-0000-0000213F0000}"/>
    <cellStyle name="Currency 5 2 6 5 2 3" xfId="17494" xr:uid="{00000000-0005-0000-0000-0000223F0000}"/>
    <cellStyle name="Currency 5 2 6 5 2 3 2" xfId="17495" xr:uid="{00000000-0005-0000-0000-0000233F0000}"/>
    <cellStyle name="Currency 5 2 6 5 2 4" xfId="17496" xr:uid="{00000000-0005-0000-0000-0000243F0000}"/>
    <cellStyle name="Currency 5 2 6 5 3" xfId="17497" xr:uid="{00000000-0005-0000-0000-0000253F0000}"/>
    <cellStyle name="Currency 5 2 6 5 3 2" xfId="17498" xr:uid="{00000000-0005-0000-0000-0000263F0000}"/>
    <cellStyle name="Currency 5 2 6 5 3 2 2" xfId="17499" xr:uid="{00000000-0005-0000-0000-0000273F0000}"/>
    <cellStyle name="Currency 5 2 6 5 3 2 2 2" xfId="17500" xr:uid="{00000000-0005-0000-0000-0000283F0000}"/>
    <cellStyle name="Currency 5 2 6 5 3 2 3" xfId="17501" xr:uid="{00000000-0005-0000-0000-0000293F0000}"/>
    <cellStyle name="Currency 5 2 6 5 3 3" xfId="17502" xr:uid="{00000000-0005-0000-0000-00002A3F0000}"/>
    <cellStyle name="Currency 5 2 6 5 3 3 2" xfId="17503" xr:uid="{00000000-0005-0000-0000-00002B3F0000}"/>
    <cellStyle name="Currency 5 2 6 5 3 4" xfId="17504" xr:uid="{00000000-0005-0000-0000-00002C3F0000}"/>
    <cellStyle name="Currency 5 2 6 5 4" xfId="17505" xr:uid="{00000000-0005-0000-0000-00002D3F0000}"/>
    <cellStyle name="Currency 5 2 6 5 4 2" xfId="17506" xr:uid="{00000000-0005-0000-0000-00002E3F0000}"/>
    <cellStyle name="Currency 5 2 6 5 4 2 2" xfId="17507" xr:uid="{00000000-0005-0000-0000-00002F3F0000}"/>
    <cellStyle name="Currency 5 2 6 5 4 3" xfId="17508" xr:uid="{00000000-0005-0000-0000-0000303F0000}"/>
    <cellStyle name="Currency 5 2 6 5 5" xfId="17509" xr:uid="{00000000-0005-0000-0000-0000313F0000}"/>
    <cellStyle name="Currency 5 2 6 5 5 2" xfId="17510" xr:uid="{00000000-0005-0000-0000-0000323F0000}"/>
    <cellStyle name="Currency 5 2 6 5 6" xfId="17511" xr:uid="{00000000-0005-0000-0000-0000333F0000}"/>
    <cellStyle name="Currency 5 2 6 5 7" xfId="17488" xr:uid="{00000000-0005-0000-0000-0000343F0000}"/>
    <cellStyle name="Currency 5 2 6 6" xfId="17512" xr:uid="{00000000-0005-0000-0000-0000353F0000}"/>
    <cellStyle name="Currency 5 2 6 6 2" xfId="17513" xr:uid="{00000000-0005-0000-0000-0000363F0000}"/>
    <cellStyle name="Currency 5 2 6 6 2 2" xfId="17514" xr:uid="{00000000-0005-0000-0000-0000373F0000}"/>
    <cellStyle name="Currency 5 2 6 6 2 2 2" xfId="17515" xr:uid="{00000000-0005-0000-0000-0000383F0000}"/>
    <cellStyle name="Currency 5 2 6 6 2 2 2 2" xfId="17516" xr:uid="{00000000-0005-0000-0000-0000393F0000}"/>
    <cellStyle name="Currency 5 2 6 6 2 2 3" xfId="17517" xr:uid="{00000000-0005-0000-0000-00003A3F0000}"/>
    <cellStyle name="Currency 5 2 6 6 2 3" xfId="17518" xr:uid="{00000000-0005-0000-0000-00003B3F0000}"/>
    <cellStyle name="Currency 5 2 6 6 2 3 2" xfId="17519" xr:uid="{00000000-0005-0000-0000-00003C3F0000}"/>
    <cellStyle name="Currency 5 2 6 6 2 4" xfId="17520" xr:uid="{00000000-0005-0000-0000-00003D3F0000}"/>
    <cellStyle name="Currency 5 2 6 6 3" xfId="17521" xr:uid="{00000000-0005-0000-0000-00003E3F0000}"/>
    <cellStyle name="Currency 5 2 6 6 3 2" xfId="17522" xr:uid="{00000000-0005-0000-0000-00003F3F0000}"/>
    <cellStyle name="Currency 5 2 6 6 3 2 2" xfId="17523" xr:uid="{00000000-0005-0000-0000-0000403F0000}"/>
    <cellStyle name="Currency 5 2 6 6 3 3" xfId="17524" xr:uid="{00000000-0005-0000-0000-0000413F0000}"/>
    <cellStyle name="Currency 5 2 6 6 4" xfId="17525" xr:uid="{00000000-0005-0000-0000-0000423F0000}"/>
    <cellStyle name="Currency 5 2 6 6 4 2" xfId="17526" xr:uid="{00000000-0005-0000-0000-0000433F0000}"/>
    <cellStyle name="Currency 5 2 6 6 5" xfId="17527" xr:uid="{00000000-0005-0000-0000-0000443F0000}"/>
    <cellStyle name="Currency 5 2 6 7" xfId="17528" xr:uid="{00000000-0005-0000-0000-0000453F0000}"/>
    <cellStyle name="Currency 5 2 6 7 2" xfId="17529" xr:uid="{00000000-0005-0000-0000-0000463F0000}"/>
    <cellStyle name="Currency 5 2 6 7 2 2" xfId="17530" xr:uid="{00000000-0005-0000-0000-0000473F0000}"/>
    <cellStyle name="Currency 5 2 6 7 2 2 2" xfId="17531" xr:uid="{00000000-0005-0000-0000-0000483F0000}"/>
    <cellStyle name="Currency 5 2 6 7 2 2 2 2" xfId="17532" xr:uid="{00000000-0005-0000-0000-0000493F0000}"/>
    <cellStyle name="Currency 5 2 6 7 2 2 3" xfId="17533" xr:uid="{00000000-0005-0000-0000-00004A3F0000}"/>
    <cellStyle name="Currency 5 2 6 7 2 3" xfId="17534" xr:uid="{00000000-0005-0000-0000-00004B3F0000}"/>
    <cellStyle name="Currency 5 2 6 7 2 3 2" xfId="17535" xr:uid="{00000000-0005-0000-0000-00004C3F0000}"/>
    <cellStyle name="Currency 5 2 6 7 2 4" xfId="17536" xr:uid="{00000000-0005-0000-0000-00004D3F0000}"/>
    <cellStyle name="Currency 5 2 6 7 3" xfId="17537" xr:uid="{00000000-0005-0000-0000-00004E3F0000}"/>
    <cellStyle name="Currency 5 2 6 7 3 2" xfId="17538" xr:uid="{00000000-0005-0000-0000-00004F3F0000}"/>
    <cellStyle name="Currency 5 2 6 7 3 2 2" xfId="17539" xr:uid="{00000000-0005-0000-0000-0000503F0000}"/>
    <cellStyle name="Currency 5 2 6 7 3 3" xfId="17540" xr:uid="{00000000-0005-0000-0000-0000513F0000}"/>
    <cellStyle name="Currency 5 2 6 7 4" xfId="17541" xr:uid="{00000000-0005-0000-0000-0000523F0000}"/>
    <cellStyle name="Currency 5 2 6 7 4 2" xfId="17542" xr:uid="{00000000-0005-0000-0000-0000533F0000}"/>
    <cellStyle name="Currency 5 2 6 7 5" xfId="17543" xr:uid="{00000000-0005-0000-0000-0000543F0000}"/>
    <cellStyle name="Currency 5 2 6 8" xfId="17544" xr:uid="{00000000-0005-0000-0000-0000553F0000}"/>
    <cellStyle name="Currency 5 2 6 8 2" xfId="17545" xr:uid="{00000000-0005-0000-0000-0000563F0000}"/>
    <cellStyle name="Currency 5 2 6 8 2 2" xfId="17546" xr:uid="{00000000-0005-0000-0000-0000573F0000}"/>
    <cellStyle name="Currency 5 2 6 8 2 2 2" xfId="17547" xr:uid="{00000000-0005-0000-0000-0000583F0000}"/>
    <cellStyle name="Currency 5 2 6 8 2 3" xfId="17548" xr:uid="{00000000-0005-0000-0000-0000593F0000}"/>
    <cellStyle name="Currency 5 2 6 8 3" xfId="17549" xr:uid="{00000000-0005-0000-0000-00005A3F0000}"/>
    <cellStyle name="Currency 5 2 6 8 3 2" xfId="17550" xr:uid="{00000000-0005-0000-0000-00005B3F0000}"/>
    <cellStyle name="Currency 5 2 6 8 4" xfId="17551" xr:uid="{00000000-0005-0000-0000-00005C3F0000}"/>
    <cellStyle name="Currency 5 2 6 9" xfId="17552" xr:uid="{00000000-0005-0000-0000-00005D3F0000}"/>
    <cellStyle name="Currency 5 2 6 9 2" xfId="17553" xr:uid="{00000000-0005-0000-0000-00005E3F0000}"/>
    <cellStyle name="Currency 5 2 6 9 2 2" xfId="17554" xr:uid="{00000000-0005-0000-0000-00005F3F0000}"/>
    <cellStyle name="Currency 5 2 6 9 2 2 2" xfId="17555" xr:uid="{00000000-0005-0000-0000-0000603F0000}"/>
    <cellStyle name="Currency 5 2 6 9 2 3" xfId="17556" xr:uid="{00000000-0005-0000-0000-0000613F0000}"/>
    <cellStyle name="Currency 5 2 6 9 3" xfId="17557" xr:uid="{00000000-0005-0000-0000-0000623F0000}"/>
    <cellStyle name="Currency 5 2 6 9 3 2" xfId="17558" xr:uid="{00000000-0005-0000-0000-0000633F0000}"/>
    <cellStyle name="Currency 5 2 6 9 4" xfId="17559" xr:uid="{00000000-0005-0000-0000-0000643F0000}"/>
    <cellStyle name="Currency 5 2 7" xfId="360" xr:uid="{00000000-0005-0000-0000-0000653F0000}"/>
    <cellStyle name="Currency 5 2 7 10" xfId="17561" xr:uid="{00000000-0005-0000-0000-0000663F0000}"/>
    <cellStyle name="Currency 5 2 7 10 2" xfId="17562" xr:uid="{00000000-0005-0000-0000-0000673F0000}"/>
    <cellStyle name="Currency 5 2 7 10 2 2" xfId="17563" xr:uid="{00000000-0005-0000-0000-0000683F0000}"/>
    <cellStyle name="Currency 5 2 7 10 3" xfId="17564" xr:uid="{00000000-0005-0000-0000-0000693F0000}"/>
    <cellStyle name="Currency 5 2 7 11" xfId="17565" xr:uid="{00000000-0005-0000-0000-00006A3F0000}"/>
    <cellStyle name="Currency 5 2 7 11 2" xfId="17566" xr:uid="{00000000-0005-0000-0000-00006B3F0000}"/>
    <cellStyle name="Currency 5 2 7 11 2 2" xfId="17567" xr:uid="{00000000-0005-0000-0000-00006C3F0000}"/>
    <cellStyle name="Currency 5 2 7 11 3" xfId="17568" xr:uid="{00000000-0005-0000-0000-00006D3F0000}"/>
    <cellStyle name="Currency 5 2 7 12" xfId="17569" xr:uid="{00000000-0005-0000-0000-00006E3F0000}"/>
    <cellStyle name="Currency 5 2 7 12 2" xfId="17570" xr:uid="{00000000-0005-0000-0000-00006F3F0000}"/>
    <cellStyle name="Currency 5 2 7 13" xfId="17571" xr:uid="{00000000-0005-0000-0000-0000703F0000}"/>
    <cellStyle name="Currency 5 2 7 14" xfId="17572" xr:uid="{00000000-0005-0000-0000-0000713F0000}"/>
    <cellStyle name="Currency 5 2 7 15" xfId="17560" xr:uid="{00000000-0005-0000-0000-0000723F0000}"/>
    <cellStyle name="Currency 5 2 7 2" xfId="912" xr:uid="{00000000-0005-0000-0000-0000733F0000}"/>
    <cellStyle name="Currency 5 2 7 2 10" xfId="17574" xr:uid="{00000000-0005-0000-0000-0000743F0000}"/>
    <cellStyle name="Currency 5 2 7 2 11" xfId="17573" xr:uid="{00000000-0005-0000-0000-0000753F0000}"/>
    <cellStyle name="Currency 5 2 7 2 2" xfId="1653" xr:uid="{00000000-0005-0000-0000-0000763F0000}"/>
    <cellStyle name="Currency 5 2 7 2 2 2" xfId="17576" xr:uid="{00000000-0005-0000-0000-0000773F0000}"/>
    <cellStyle name="Currency 5 2 7 2 2 2 2" xfId="17577" xr:uid="{00000000-0005-0000-0000-0000783F0000}"/>
    <cellStyle name="Currency 5 2 7 2 2 2 2 2" xfId="17578" xr:uid="{00000000-0005-0000-0000-0000793F0000}"/>
    <cellStyle name="Currency 5 2 7 2 2 2 2 2 2" xfId="17579" xr:uid="{00000000-0005-0000-0000-00007A3F0000}"/>
    <cellStyle name="Currency 5 2 7 2 2 2 2 3" xfId="17580" xr:uid="{00000000-0005-0000-0000-00007B3F0000}"/>
    <cellStyle name="Currency 5 2 7 2 2 2 3" xfId="17581" xr:uid="{00000000-0005-0000-0000-00007C3F0000}"/>
    <cellStyle name="Currency 5 2 7 2 2 2 3 2" xfId="17582" xr:uid="{00000000-0005-0000-0000-00007D3F0000}"/>
    <cellStyle name="Currency 5 2 7 2 2 2 4" xfId="17583" xr:uid="{00000000-0005-0000-0000-00007E3F0000}"/>
    <cellStyle name="Currency 5 2 7 2 2 3" xfId="17584" xr:uid="{00000000-0005-0000-0000-00007F3F0000}"/>
    <cellStyle name="Currency 5 2 7 2 2 3 2" xfId="17585" xr:uid="{00000000-0005-0000-0000-0000803F0000}"/>
    <cellStyle name="Currency 5 2 7 2 2 3 2 2" xfId="17586" xr:uid="{00000000-0005-0000-0000-0000813F0000}"/>
    <cellStyle name="Currency 5 2 7 2 2 3 2 2 2" xfId="17587" xr:uid="{00000000-0005-0000-0000-0000823F0000}"/>
    <cellStyle name="Currency 5 2 7 2 2 3 2 3" xfId="17588" xr:uid="{00000000-0005-0000-0000-0000833F0000}"/>
    <cellStyle name="Currency 5 2 7 2 2 3 3" xfId="17589" xr:uid="{00000000-0005-0000-0000-0000843F0000}"/>
    <cellStyle name="Currency 5 2 7 2 2 3 3 2" xfId="17590" xr:uid="{00000000-0005-0000-0000-0000853F0000}"/>
    <cellStyle name="Currency 5 2 7 2 2 3 4" xfId="17591" xr:uid="{00000000-0005-0000-0000-0000863F0000}"/>
    <cellStyle name="Currency 5 2 7 2 2 4" xfId="17592" xr:uid="{00000000-0005-0000-0000-0000873F0000}"/>
    <cellStyle name="Currency 5 2 7 2 2 4 2" xfId="17593" xr:uid="{00000000-0005-0000-0000-0000883F0000}"/>
    <cellStyle name="Currency 5 2 7 2 2 4 2 2" xfId="17594" xr:uid="{00000000-0005-0000-0000-0000893F0000}"/>
    <cellStyle name="Currency 5 2 7 2 2 4 3" xfId="17595" xr:uid="{00000000-0005-0000-0000-00008A3F0000}"/>
    <cellStyle name="Currency 5 2 7 2 2 5" xfId="17596" xr:uid="{00000000-0005-0000-0000-00008B3F0000}"/>
    <cellStyle name="Currency 5 2 7 2 2 5 2" xfId="17597" xr:uid="{00000000-0005-0000-0000-00008C3F0000}"/>
    <cellStyle name="Currency 5 2 7 2 2 6" xfId="17598" xr:uid="{00000000-0005-0000-0000-00008D3F0000}"/>
    <cellStyle name="Currency 5 2 7 2 2 7" xfId="17575" xr:uid="{00000000-0005-0000-0000-00008E3F0000}"/>
    <cellStyle name="Currency 5 2 7 2 3" xfId="17599" xr:uid="{00000000-0005-0000-0000-00008F3F0000}"/>
    <cellStyle name="Currency 5 2 7 2 3 2" xfId="17600" xr:uid="{00000000-0005-0000-0000-0000903F0000}"/>
    <cellStyle name="Currency 5 2 7 2 3 2 2" xfId="17601" xr:uid="{00000000-0005-0000-0000-0000913F0000}"/>
    <cellStyle name="Currency 5 2 7 2 3 2 2 2" xfId="17602" xr:uid="{00000000-0005-0000-0000-0000923F0000}"/>
    <cellStyle name="Currency 5 2 7 2 3 2 2 2 2" xfId="17603" xr:uid="{00000000-0005-0000-0000-0000933F0000}"/>
    <cellStyle name="Currency 5 2 7 2 3 2 2 3" xfId="17604" xr:uid="{00000000-0005-0000-0000-0000943F0000}"/>
    <cellStyle name="Currency 5 2 7 2 3 2 3" xfId="17605" xr:uid="{00000000-0005-0000-0000-0000953F0000}"/>
    <cellStyle name="Currency 5 2 7 2 3 2 3 2" xfId="17606" xr:uid="{00000000-0005-0000-0000-0000963F0000}"/>
    <cellStyle name="Currency 5 2 7 2 3 2 4" xfId="17607" xr:uid="{00000000-0005-0000-0000-0000973F0000}"/>
    <cellStyle name="Currency 5 2 7 2 3 3" xfId="17608" xr:uid="{00000000-0005-0000-0000-0000983F0000}"/>
    <cellStyle name="Currency 5 2 7 2 3 3 2" xfId="17609" xr:uid="{00000000-0005-0000-0000-0000993F0000}"/>
    <cellStyle name="Currency 5 2 7 2 3 3 2 2" xfId="17610" xr:uid="{00000000-0005-0000-0000-00009A3F0000}"/>
    <cellStyle name="Currency 5 2 7 2 3 3 3" xfId="17611" xr:uid="{00000000-0005-0000-0000-00009B3F0000}"/>
    <cellStyle name="Currency 5 2 7 2 3 4" xfId="17612" xr:uid="{00000000-0005-0000-0000-00009C3F0000}"/>
    <cellStyle name="Currency 5 2 7 2 3 4 2" xfId="17613" xr:uid="{00000000-0005-0000-0000-00009D3F0000}"/>
    <cellStyle name="Currency 5 2 7 2 3 5" xfId="17614" xr:uid="{00000000-0005-0000-0000-00009E3F0000}"/>
    <cellStyle name="Currency 5 2 7 2 4" xfId="17615" xr:uid="{00000000-0005-0000-0000-00009F3F0000}"/>
    <cellStyle name="Currency 5 2 7 2 4 2" xfId="17616" xr:uid="{00000000-0005-0000-0000-0000A03F0000}"/>
    <cellStyle name="Currency 5 2 7 2 4 2 2" xfId="17617" xr:uid="{00000000-0005-0000-0000-0000A13F0000}"/>
    <cellStyle name="Currency 5 2 7 2 4 2 2 2" xfId="17618" xr:uid="{00000000-0005-0000-0000-0000A23F0000}"/>
    <cellStyle name="Currency 5 2 7 2 4 2 2 2 2" xfId="17619" xr:uid="{00000000-0005-0000-0000-0000A33F0000}"/>
    <cellStyle name="Currency 5 2 7 2 4 2 2 3" xfId="17620" xr:uid="{00000000-0005-0000-0000-0000A43F0000}"/>
    <cellStyle name="Currency 5 2 7 2 4 2 3" xfId="17621" xr:uid="{00000000-0005-0000-0000-0000A53F0000}"/>
    <cellStyle name="Currency 5 2 7 2 4 2 3 2" xfId="17622" xr:uid="{00000000-0005-0000-0000-0000A63F0000}"/>
    <cellStyle name="Currency 5 2 7 2 4 2 4" xfId="17623" xr:uid="{00000000-0005-0000-0000-0000A73F0000}"/>
    <cellStyle name="Currency 5 2 7 2 4 3" xfId="17624" xr:uid="{00000000-0005-0000-0000-0000A83F0000}"/>
    <cellStyle name="Currency 5 2 7 2 4 3 2" xfId="17625" xr:uid="{00000000-0005-0000-0000-0000A93F0000}"/>
    <cellStyle name="Currency 5 2 7 2 4 3 2 2" xfId="17626" xr:uid="{00000000-0005-0000-0000-0000AA3F0000}"/>
    <cellStyle name="Currency 5 2 7 2 4 3 3" xfId="17627" xr:uid="{00000000-0005-0000-0000-0000AB3F0000}"/>
    <cellStyle name="Currency 5 2 7 2 4 4" xfId="17628" xr:uid="{00000000-0005-0000-0000-0000AC3F0000}"/>
    <cellStyle name="Currency 5 2 7 2 4 4 2" xfId="17629" xr:uid="{00000000-0005-0000-0000-0000AD3F0000}"/>
    <cellStyle name="Currency 5 2 7 2 4 5" xfId="17630" xr:uid="{00000000-0005-0000-0000-0000AE3F0000}"/>
    <cellStyle name="Currency 5 2 7 2 5" xfId="17631" xr:uid="{00000000-0005-0000-0000-0000AF3F0000}"/>
    <cellStyle name="Currency 5 2 7 2 5 2" xfId="17632" xr:uid="{00000000-0005-0000-0000-0000B03F0000}"/>
    <cellStyle name="Currency 5 2 7 2 5 2 2" xfId="17633" xr:uid="{00000000-0005-0000-0000-0000B13F0000}"/>
    <cellStyle name="Currency 5 2 7 2 5 2 2 2" xfId="17634" xr:uid="{00000000-0005-0000-0000-0000B23F0000}"/>
    <cellStyle name="Currency 5 2 7 2 5 2 3" xfId="17635" xr:uid="{00000000-0005-0000-0000-0000B33F0000}"/>
    <cellStyle name="Currency 5 2 7 2 5 3" xfId="17636" xr:uid="{00000000-0005-0000-0000-0000B43F0000}"/>
    <cellStyle name="Currency 5 2 7 2 5 3 2" xfId="17637" xr:uid="{00000000-0005-0000-0000-0000B53F0000}"/>
    <cellStyle name="Currency 5 2 7 2 5 4" xfId="17638" xr:uid="{00000000-0005-0000-0000-0000B63F0000}"/>
    <cellStyle name="Currency 5 2 7 2 6" xfId="17639" xr:uid="{00000000-0005-0000-0000-0000B73F0000}"/>
    <cellStyle name="Currency 5 2 7 2 6 2" xfId="17640" xr:uid="{00000000-0005-0000-0000-0000B83F0000}"/>
    <cellStyle name="Currency 5 2 7 2 6 2 2" xfId="17641" xr:uid="{00000000-0005-0000-0000-0000B93F0000}"/>
    <cellStyle name="Currency 5 2 7 2 6 2 2 2" xfId="17642" xr:uid="{00000000-0005-0000-0000-0000BA3F0000}"/>
    <cellStyle name="Currency 5 2 7 2 6 2 3" xfId="17643" xr:uid="{00000000-0005-0000-0000-0000BB3F0000}"/>
    <cellStyle name="Currency 5 2 7 2 6 3" xfId="17644" xr:uid="{00000000-0005-0000-0000-0000BC3F0000}"/>
    <cellStyle name="Currency 5 2 7 2 6 3 2" xfId="17645" xr:uid="{00000000-0005-0000-0000-0000BD3F0000}"/>
    <cellStyle name="Currency 5 2 7 2 6 4" xfId="17646" xr:uid="{00000000-0005-0000-0000-0000BE3F0000}"/>
    <cellStyle name="Currency 5 2 7 2 7" xfId="17647" xr:uid="{00000000-0005-0000-0000-0000BF3F0000}"/>
    <cellStyle name="Currency 5 2 7 2 7 2" xfId="17648" xr:uid="{00000000-0005-0000-0000-0000C03F0000}"/>
    <cellStyle name="Currency 5 2 7 2 7 2 2" xfId="17649" xr:uid="{00000000-0005-0000-0000-0000C13F0000}"/>
    <cellStyle name="Currency 5 2 7 2 7 2 2 2" xfId="17650" xr:uid="{00000000-0005-0000-0000-0000C23F0000}"/>
    <cellStyle name="Currency 5 2 7 2 7 2 3" xfId="17651" xr:uid="{00000000-0005-0000-0000-0000C33F0000}"/>
    <cellStyle name="Currency 5 2 7 2 7 3" xfId="17652" xr:uid="{00000000-0005-0000-0000-0000C43F0000}"/>
    <cellStyle name="Currency 5 2 7 2 7 3 2" xfId="17653" xr:uid="{00000000-0005-0000-0000-0000C53F0000}"/>
    <cellStyle name="Currency 5 2 7 2 7 4" xfId="17654" xr:uid="{00000000-0005-0000-0000-0000C63F0000}"/>
    <cellStyle name="Currency 5 2 7 2 8" xfId="17655" xr:uid="{00000000-0005-0000-0000-0000C73F0000}"/>
    <cellStyle name="Currency 5 2 7 2 8 2" xfId="17656" xr:uid="{00000000-0005-0000-0000-0000C83F0000}"/>
    <cellStyle name="Currency 5 2 7 2 8 2 2" xfId="17657" xr:uid="{00000000-0005-0000-0000-0000C93F0000}"/>
    <cellStyle name="Currency 5 2 7 2 8 3" xfId="17658" xr:uid="{00000000-0005-0000-0000-0000CA3F0000}"/>
    <cellStyle name="Currency 5 2 7 2 9" xfId="17659" xr:uid="{00000000-0005-0000-0000-0000CB3F0000}"/>
    <cellStyle name="Currency 5 2 7 2 9 2" xfId="17660" xr:uid="{00000000-0005-0000-0000-0000CC3F0000}"/>
    <cellStyle name="Currency 5 2 7 3" xfId="1328" xr:uid="{00000000-0005-0000-0000-0000CD3F0000}"/>
    <cellStyle name="Currency 5 2 7 3 2" xfId="17662" xr:uid="{00000000-0005-0000-0000-0000CE3F0000}"/>
    <cellStyle name="Currency 5 2 7 3 2 2" xfId="17663" xr:uid="{00000000-0005-0000-0000-0000CF3F0000}"/>
    <cellStyle name="Currency 5 2 7 3 2 2 2" xfId="17664" xr:uid="{00000000-0005-0000-0000-0000D03F0000}"/>
    <cellStyle name="Currency 5 2 7 3 2 2 2 2" xfId="17665" xr:uid="{00000000-0005-0000-0000-0000D13F0000}"/>
    <cellStyle name="Currency 5 2 7 3 2 2 3" xfId="17666" xr:uid="{00000000-0005-0000-0000-0000D23F0000}"/>
    <cellStyle name="Currency 5 2 7 3 2 3" xfId="17667" xr:uid="{00000000-0005-0000-0000-0000D33F0000}"/>
    <cellStyle name="Currency 5 2 7 3 2 3 2" xfId="17668" xr:uid="{00000000-0005-0000-0000-0000D43F0000}"/>
    <cellStyle name="Currency 5 2 7 3 2 4" xfId="17669" xr:uid="{00000000-0005-0000-0000-0000D53F0000}"/>
    <cellStyle name="Currency 5 2 7 3 3" xfId="17670" xr:uid="{00000000-0005-0000-0000-0000D63F0000}"/>
    <cellStyle name="Currency 5 2 7 3 3 2" xfId="17671" xr:uid="{00000000-0005-0000-0000-0000D73F0000}"/>
    <cellStyle name="Currency 5 2 7 3 3 2 2" xfId="17672" xr:uid="{00000000-0005-0000-0000-0000D83F0000}"/>
    <cellStyle name="Currency 5 2 7 3 3 2 2 2" xfId="17673" xr:uid="{00000000-0005-0000-0000-0000D93F0000}"/>
    <cellStyle name="Currency 5 2 7 3 3 2 3" xfId="17674" xr:uid="{00000000-0005-0000-0000-0000DA3F0000}"/>
    <cellStyle name="Currency 5 2 7 3 3 3" xfId="17675" xr:uid="{00000000-0005-0000-0000-0000DB3F0000}"/>
    <cellStyle name="Currency 5 2 7 3 3 3 2" xfId="17676" xr:uid="{00000000-0005-0000-0000-0000DC3F0000}"/>
    <cellStyle name="Currency 5 2 7 3 3 4" xfId="17677" xr:uid="{00000000-0005-0000-0000-0000DD3F0000}"/>
    <cellStyle name="Currency 5 2 7 3 4" xfId="17678" xr:uid="{00000000-0005-0000-0000-0000DE3F0000}"/>
    <cellStyle name="Currency 5 2 7 3 4 2" xfId="17679" xr:uid="{00000000-0005-0000-0000-0000DF3F0000}"/>
    <cellStyle name="Currency 5 2 7 3 4 2 2" xfId="17680" xr:uid="{00000000-0005-0000-0000-0000E03F0000}"/>
    <cellStyle name="Currency 5 2 7 3 4 3" xfId="17681" xr:uid="{00000000-0005-0000-0000-0000E13F0000}"/>
    <cellStyle name="Currency 5 2 7 3 5" xfId="17682" xr:uid="{00000000-0005-0000-0000-0000E23F0000}"/>
    <cellStyle name="Currency 5 2 7 3 5 2" xfId="17683" xr:uid="{00000000-0005-0000-0000-0000E33F0000}"/>
    <cellStyle name="Currency 5 2 7 3 6" xfId="17684" xr:uid="{00000000-0005-0000-0000-0000E43F0000}"/>
    <cellStyle name="Currency 5 2 7 3 7" xfId="17661" xr:uid="{00000000-0005-0000-0000-0000E53F0000}"/>
    <cellStyle name="Currency 5 2 7 4" xfId="17685" xr:uid="{00000000-0005-0000-0000-0000E63F0000}"/>
    <cellStyle name="Currency 5 2 7 4 2" xfId="17686" xr:uid="{00000000-0005-0000-0000-0000E73F0000}"/>
    <cellStyle name="Currency 5 2 7 4 2 2" xfId="17687" xr:uid="{00000000-0005-0000-0000-0000E83F0000}"/>
    <cellStyle name="Currency 5 2 7 4 2 2 2" xfId="17688" xr:uid="{00000000-0005-0000-0000-0000E93F0000}"/>
    <cellStyle name="Currency 5 2 7 4 2 2 2 2" xfId="17689" xr:uid="{00000000-0005-0000-0000-0000EA3F0000}"/>
    <cellStyle name="Currency 5 2 7 4 2 2 3" xfId="17690" xr:uid="{00000000-0005-0000-0000-0000EB3F0000}"/>
    <cellStyle name="Currency 5 2 7 4 2 3" xfId="17691" xr:uid="{00000000-0005-0000-0000-0000EC3F0000}"/>
    <cellStyle name="Currency 5 2 7 4 2 3 2" xfId="17692" xr:uid="{00000000-0005-0000-0000-0000ED3F0000}"/>
    <cellStyle name="Currency 5 2 7 4 2 4" xfId="17693" xr:uid="{00000000-0005-0000-0000-0000EE3F0000}"/>
    <cellStyle name="Currency 5 2 7 4 3" xfId="17694" xr:uid="{00000000-0005-0000-0000-0000EF3F0000}"/>
    <cellStyle name="Currency 5 2 7 4 3 2" xfId="17695" xr:uid="{00000000-0005-0000-0000-0000F03F0000}"/>
    <cellStyle name="Currency 5 2 7 4 3 2 2" xfId="17696" xr:uid="{00000000-0005-0000-0000-0000F13F0000}"/>
    <cellStyle name="Currency 5 2 7 4 3 3" xfId="17697" xr:uid="{00000000-0005-0000-0000-0000F23F0000}"/>
    <cellStyle name="Currency 5 2 7 4 4" xfId="17698" xr:uid="{00000000-0005-0000-0000-0000F33F0000}"/>
    <cellStyle name="Currency 5 2 7 4 4 2" xfId="17699" xr:uid="{00000000-0005-0000-0000-0000F43F0000}"/>
    <cellStyle name="Currency 5 2 7 4 5" xfId="17700" xr:uid="{00000000-0005-0000-0000-0000F53F0000}"/>
    <cellStyle name="Currency 5 2 7 5" xfId="17701" xr:uid="{00000000-0005-0000-0000-0000F63F0000}"/>
    <cellStyle name="Currency 5 2 7 5 2" xfId="17702" xr:uid="{00000000-0005-0000-0000-0000F73F0000}"/>
    <cellStyle name="Currency 5 2 7 5 2 2" xfId="17703" xr:uid="{00000000-0005-0000-0000-0000F83F0000}"/>
    <cellStyle name="Currency 5 2 7 5 2 2 2" xfId="17704" xr:uid="{00000000-0005-0000-0000-0000F93F0000}"/>
    <cellStyle name="Currency 5 2 7 5 2 2 2 2" xfId="17705" xr:uid="{00000000-0005-0000-0000-0000FA3F0000}"/>
    <cellStyle name="Currency 5 2 7 5 2 2 3" xfId="17706" xr:uid="{00000000-0005-0000-0000-0000FB3F0000}"/>
    <cellStyle name="Currency 5 2 7 5 2 3" xfId="17707" xr:uid="{00000000-0005-0000-0000-0000FC3F0000}"/>
    <cellStyle name="Currency 5 2 7 5 2 3 2" xfId="17708" xr:uid="{00000000-0005-0000-0000-0000FD3F0000}"/>
    <cellStyle name="Currency 5 2 7 5 2 4" xfId="17709" xr:uid="{00000000-0005-0000-0000-0000FE3F0000}"/>
    <cellStyle name="Currency 5 2 7 5 3" xfId="17710" xr:uid="{00000000-0005-0000-0000-0000FF3F0000}"/>
    <cellStyle name="Currency 5 2 7 5 3 2" xfId="17711" xr:uid="{00000000-0005-0000-0000-000000400000}"/>
    <cellStyle name="Currency 5 2 7 5 3 2 2" xfId="17712" xr:uid="{00000000-0005-0000-0000-000001400000}"/>
    <cellStyle name="Currency 5 2 7 5 3 3" xfId="17713" xr:uid="{00000000-0005-0000-0000-000002400000}"/>
    <cellStyle name="Currency 5 2 7 5 4" xfId="17714" xr:uid="{00000000-0005-0000-0000-000003400000}"/>
    <cellStyle name="Currency 5 2 7 5 4 2" xfId="17715" xr:uid="{00000000-0005-0000-0000-000004400000}"/>
    <cellStyle name="Currency 5 2 7 5 5" xfId="17716" xr:uid="{00000000-0005-0000-0000-000005400000}"/>
    <cellStyle name="Currency 5 2 7 6" xfId="17717" xr:uid="{00000000-0005-0000-0000-000006400000}"/>
    <cellStyle name="Currency 5 2 7 6 2" xfId="17718" xr:uid="{00000000-0005-0000-0000-000007400000}"/>
    <cellStyle name="Currency 5 2 7 6 2 2" xfId="17719" xr:uid="{00000000-0005-0000-0000-000008400000}"/>
    <cellStyle name="Currency 5 2 7 6 2 2 2" xfId="17720" xr:uid="{00000000-0005-0000-0000-000009400000}"/>
    <cellStyle name="Currency 5 2 7 6 2 3" xfId="17721" xr:uid="{00000000-0005-0000-0000-00000A400000}"/>
    <cellStyle name="Currency 5 2 7 6 3" xfId="17722" xr:uid="{00000000-0005-0000-0000-00000B400000}"/>
    <cellStyle name="Currency 5 2 7 6 3 2" xfId="17723" xr:uid="{00000000-0005-0000-0000-00000C400000}"/>
    <cellStyle name="Currency 5 2 7 6 4" xfId="17724" xr:uid="{00000000-0005-0000-0000-00000D400000}"/>
    <cellStyle name="Currency 5 2 7 7" xfId="17725" xr:uid="{00000000-0005-0000-0000-00000E400000}"/>
    <cellStyle name="Currency 5 2 7 7 2" xfId="17726" xr:uid="{00000000-0005-0000-0000-00000F400000}"/>
    <cellStyle name="Currency 5 2 7 7 2 2" xfId="17727" xr:uid="{00000000-0005-0000-0000-000010400000}"/>
    <cellStyle name="Currency 5 2 7 7 2 2 2" xfId="17728" xr:uid="{00000000-0005-0000-0000-000011400000}"/>
    <cellStyle name="Currency 5 2 7 7 2 3" xfId="17729" xr:uid="{00000000-0005-0000-0000-000012400000}"/>
    <cellStyle name="Currency 5 2 7 7 3" xfId="17730" xr:uid="{00000000-0005-0000-0000-000013400000}"/>
    <cellStyle name="Currency 5 2 7 7 3 2" xfId="17731" xr:uid="{00000000-0005-0000-0000-000014400000}"/>
    <cellStyle name="Currency 5 2 7 7 4" xfId="17732" xr:uid="{00000000-0005-0000-0000-000015400000}"/>
    <cellStyle name="Currency 5 2 7 8" xfId="17733" xr:uid="{00000000-0005-0000-0000-000016400000}"/>
    <cellStyle name="Currency 5 2 7 8 2" xfId="17734" xr:uid="{00000000-0005-0000-0000-000017400000}"/>
    <cellStyle name="Currency 5 2 7 8 2 2" xfId="17735" xr:uid="{00000000-0005-0000-0000-000018400000}"/>
    <cellStyle name="Currency 5 2 7 8 2 2 2" xfId="17736" xr:uid="{00000000-0005-0000-0000-000019400000}"/>
    <cellStyle name="Currency 5 2 7 8 2 3" xfId="17737" xr:uid="{00000000-0005-0000-0000-00001A400000}"/>
    <cellStyle name="Currency 5 2 7 8 3" xfId="17738" xr:uid="{00000000-0005-0000-0000-00001B400000}"/>
    <cellStyle name="Currency 5 2 7 8 3 2" xfId="17739" xr:uid="{00000000-0005-0000-0000-00001C400000}"/>
    <cellStyle name="Currency 5 2 7 8 4" xfId="17740" xr:uid="{00000000-0005-0000-0000-00001D400000}"/>
    <cellStyle name="Currency 5 2 7 9" xfId="17741" xr:uid="{00000000-0005-0000-0000-00001E400000}"/>
    <cellStyle name="Currency 5 2 7 9 2" xfId="17742" xr:uid="{00000000-0005-0000-0000-00001F400000}"/>
    <cellStyle name="Currency 5 2 7 9 2 2" xfId="17743" xr:uid="{00000000-0005-0000-0000-000020400000}"/>
    <cellStyle name="Currency 5 2 7 9 3" xfId="17744" xr:uid="{00000000-0005-0000-0000-000021400000}"/>
    <cellStyle name="Currency 5 2 8" xfId="361" xr:uid="{00000000-0005-0000-0000-000022400000}"/>
    <cellStyle name="Currency 5 2 9" xfId="865" xr:uid="{00000000-0005-0000-0000-000023400000}"/>
    <cellStyle name="Currency 5 2 9 10" xfId="17746" xr:uid="{00000000-0005-0000-0000-000024400000}"/>
    <cellStyle name="Currency 5 2 9 11" xfId="17745" xr:uid="{00000000-0005-0000-0000-000025400000}"/>
    <cellStyle name="Currency 5 2 9 2" xfId="1606" xr:uid="{00000000-0005-0000-0000-000026400000}"/>
    <cellStyle name="Currency 5 2 9 2 2" xfId="17748" xr:uid="{00000000-0005-0000-0000-000027400000}"/>
    <cellStyle name="Currency 5 2 9 2 2 2" xfId="17749" xr:uid="{00000000-0005-0000-0000-000028400000}"/>
    <cellStyle name="Currency 5 2 9 2 2 2 2" xfId="17750" xr:uid="{00000000-0005-0000-0000-000029400000}"/>
    <cellStyle name="Currency 5 2 9 2 2 2 2 2" xfId="17751" xr:uid="{00000000-0005-0000-0000-00002A400000}"/>
    <cellStyle name="Currency 5 2 9 2 2 2 3" xfId="17752" xr:uid="{00000000-0005-0000-0000-00002B400000}"/>
    <cellStyle name="Currency 5 2 9 2 2 3" xfId="17753" xr:uid="{00000000-0005-0000-0000-00002C400000}"/>
    <cellStyle name="Currency 5 2 9 2 2 3 2" xfId="17754" xr:uid="{00000000-0005-0000-0000-00002D400000}"/>
    <cellStyle name="Currency 5 2 9 2 2 4" xfId="17755" xr:uid="{00000000-0005-0000-0000-00002E400000}"/>
    <cellStyle name="Currency 5 2 9 2 3" xfId="17756" xr:uid="{00000000-0005-0000-0000-00002F400000}"/>
    <cellStyle name="Currency 5 2 9 2 3 2" xfId="17757" xr:uid="{00000000-0005-0000-0000-000030400000}"/>
    <cellStyle name="Currency 5 2 9 2 3 2 2" xfId="17758" xr:uid="{00000000-0005-0000-0000-000031400000}"/>
    <cellStyle name="Currency 5 2 9 2 3 2 2 2" xfId="17759" xr:uid="{00000000-0005-0000-0000-000032400000}"/>
    <cellStyle name="Currency 5 2 9 2 3 2 3" xfId="17760" xr:uid="{00000000-0005-0000-0000-000033400000}"/>
    <cellStyle name="Currency 5 2 9 2 3 3" xfId="17761" xr:uid="{00000000-0005-0000-0000-000034400000}"/>
    <cellStyle name="Currency 5 2 9 2 3 3 2" xfId="17762" xr:uid="{00000000-0005-0000-0000-000035400000}"/>
    <cellStyle name="Currency 5 2 9 2 3 4" xfId="17763" xr:uid="{00000000-0005-0000-0000-000036400000}"/>
    <cellStyle name="Currency 5 2 9 2 4" xfId="17764" xr:uid="{00000000-0005-0000-0000-000037400000}"/>
    <cellStyle name="Currency 5 2 9 2 4 2" xfId="17765" xr:uid="{00000000-0005-0000-0000-000038400000}"/>
    <cellStyle name="Currency 5 2 9 2 4 2 2" xfId="17766" xr:uid="{00000000-0005-0000-0000-000039400000}"/>
    <cellStyle name="Currency 5 2 9 2 4 3" xfId="17767" xr:uid="{00000000-0005-0000-0000-00003A400000}"/>
    <cellStyle name="Currency 5 2 9 2 5" xfId="17768" xr:uid="{00000000-0005-0000-0000-00003B400000}"/>
    <cellStyle name="Currency 5 2 9 2 5 2" xfId="17769" xr:uid="{00000000-0005-0000-0000-00003C400000}"/>
    <cellStyle name="Currency 5 2 9 2 6" xfId="17770" xr:uid="{00000000-0005-0000-0000-00003D400000}"/>
    <cellStyle name="Currency 5 2 9 2 7" xfId="17747" xr:uid="{00000000-0005-0000-0000-00003E400000}"/>
    <cellStyle name="Currency 5 2 9 3" xfId="17771" xr:uid="{00000000-0005-0000-0000-00003F400000}"/>
    <cellStyle name="Currency 5 2 9 3 2" xfId="17772" xr:uid="{00000000-0005-0000-0000-000040400000}"/>
    <cellStyle name="Currency 5 2 9 3 2 2" xfId="17773" xr:uid="{00000000-0005-0000-0000-000041400000}"/>
    <cellStyle name="Currency 5 2 9 3 2 2 2" xfId="17774" xr:uid="{00000000-0005-0000-0000-000042400000}"/>
    <cellStyle name="Currency 5 2 9 3 2 2 2 2" xfId="17775" xr:uid="{00000000-0005-0000-0000-000043400000}"/>
    <cellStyle name="Currency 5 2 9 3 2 2 3" xfId="17776" xr:uid="{00000000-0005-0000-0000-000044400000}"/>
    <cellStyle name="Currency 5 2 9 3 2 3" xfId="17777" xr:uid="{00000000-0005-0000-0000-000045400000}"/>
    <cellStyle name="Currency 5 2 9 3 2 3 2" xfId="17778" xr:uid="{00000000-0005-0000-0000-000046400000}"/>
    <cellStyle name="Currency 5 2 9 3 2 4" xfId="17779" xr:uid="{00000000-0005-0000-0000-000047400000}"/>
    <cellStyle name="Currency 5 2 9 3 3" xfId="17780" xr:uid="{00000000-0005-0000-0000-000048400000}"/>
    <cellStyle name="Currency 5 2 9 3 3 2" xfId="17781" xr:uid="{00000000-0005-0000-0000-000049400000}"/>
    <cellStyle name="Currency 5 2 9 3 3 2 2" xfId="17782" xr:uid="{00000000-0005-0000-0000-00004A400000}"/>
    <cellStyle name="Currency 5 2 9 3 3 3" xfId="17783" xr:uid="{00000000-0005-0000-0000-00004B400000}"/>
    <cellStyle name="Currency 5 2 9 3 4" xfId="17784" xr:uid="{00000000-0005-0000-0000-00004C400000}"/>
    <cellStyle name="Currency 5 2 9 3 4 2" xfId="17785" xr:uid="{00000000-0005-0000-0000-00004D400000}"/>
    <cellStyle name="Currency 5 2 9 3 5" xfId="17786" xr:uid="{00000000-0005-0000-0000-00004E400000}"/>
    <cellStyle name="Currency 5 2 9 4" xfId="17787" xr:uid="{00000000-0005-0000-0000-00004F400000}"/>
    <cellStyle name="Currency 5 2 9 4 2" xfId="17788" xr:uid="{00000000-0005-0000-0000-000050400000}"/>
    <cellStyle name="Currency 5 2 9 4 2 2" xfId="17789" xr:uid="{00000000-0005-0000-0000-000051400000}"/>
    <cellStyle name="Currency 5 2 9 4 2 2 2" xfId="17790" xr:uid="{00000000-0005-0000-0000-000052400000}"/>
    <cellStyle name="Currency 5 2 9 4 2 2 2 2" xfId="17791" xr:uid="{00000000-0005-0000-0000-000053400000}"/>
    <cellStyle name="Currency 5 2 9 4 2 2 3" xfId="17792" xr:uid="{00000000-0005-0000-0000-000054400000}"/>
    <cellStyle name="Currency 5 2 9 4 2 3" xfId="17793" xr:uid="{00000000-0005-0000-0000-000055400000}"/>
    <cellStyle name="Currency 5 2 9 4 2 3 2" xfId="17794" xr:uid="{00000000-0005-0000-0000-000056400000}"/>
    <cellStyle name="Currency 5 2 9 4 2 4" xfId="17795" xr:uid="{00000000-0005-0000-0000-000057400000}"/>
    <cellStyle name="Currency 5 2 9 4 3" xfId="17796" xr:uid="{00000000-0005-0000-0000-000058400000}"/>
    <cellStyle name="Currency 5 2 9 4 3 2" xfId="17797" xr:uid="{00000000-0005-0000-0000-000059400000}"/>
    <cellStyle name="Currency 5 2 9 4 3 2 2" xfId="17798" xr:uid="{00000000-0005-0000-0000-00005A400000}"/>
    <cellStyle name="Currency 5 2 9 4 3 3" xfId="17799" xr:uid="{00000000-0005-0000-0000-00005B400000}"/>
    <cellStyle name="Currency 5 2 9 4 4" xfId="17800" xr:uid="{00000000-0005-0000-0000-00005C400000}"/>
    <cellStyle name="Currency 5 2 9 4 4 2" xfId="17801" xr:uid="{00000000-0005-0000-0000-00005D400000}"/>
    <cellStyle name="Currency 5 2 9 4 5" xfId="17802" xr:uid="{00000000-0005-0000-0000-00005E400000}"/>
    <cellStyle name="Currency 5 2 9 5" xfId="17803" xr:uid="{00000000-0005-0000-0000-00005F400000}"/>
    <cellStyle name="Currency 5 2 9 5 2" xfId="17804" xr:uid="{00000000-0005-0000-0000-000060400000}"/>
    <cellStyle name="Currency 5 2 9 5 2 2" xfId="17805" xr:uid="{00000000-0005-0000-0000-000061400000}"/>
    <cellStyle name="Currency 5 2 9 5 2 2 2" xfId="17806" xr:uid="{00000000-0005-0000-0000-000062400000}"/>
    <cellStyle name="Currency 5 2 9 5 2 3" xfId="17807" xr:uid="{00000000-0005-0000-0000-000063400000}"/>
    <cellStyle name="Currency 5 2 9 5 3" xfId="17808" xr:uid="{00000000-0005-0000-0000-000064400000}"/>
    <cellStyle name="Currency 5 2 9 5 3 2" xfId="17809" xr:uid="{00000000-0005-0000-0000-000065400000}"/>
    <cellStyle name="Currency 5 2 9 5 4" xfId="17810" xr:uid="{00000000-0005-0000-0000-000066400000}"/>
    <cellStyle name="Currency 5 2 9 6" xfId="17811" xr:uid="{00000000-0005-0000-0000-000067400000}"/>
    <cellStyle name="Currency 5 2 9 6 2" xfId="17812" xr:uid="{00000000-0005-0000-0000-000068400000}"/>
    <cellStyle name="Currency 5 2 9 6 2 2" xfId="17813" xr:uid="{00000000-0005-0000-0000-000069400000}"/>
    <cellStyle name="Currency 5 2 9 6 2 2 2" xfId="17814" xr:uid="{00000000-0005-0000-0000-00006A400000}"/>
    <cellStyle name="Currency 5 2 9 6 2 3" xfId="17815" xr:uid="{00000000-0005-0000-0000-00006B400000}"/>
    <cellStyle name="Currency 5 2 9 6 3" xfId="17816" xr:uid="{00000000-0005-0000-0000-00006C400000}"/>
    <cellStyle name="Currency 5 2 9 6 3 2" xfId="17817" xr:uid="{00000000-0005-0000-0000-00006D400000}"/>
    <cellStyle name="Currency 5 2 9 6 4" xfId="17818" xr:uid="{00000000-0005-0000-0000-00006E400000}"/>
    <cellStyle name="Currency 5 2 9 7" xfId="17819" xr:uid="{00000000-0005-0000-0000-00006F400000}"/>
    <cellStyle name="Currency 5 2 9 7 2" xfId="17820" xr:uid="{00000000-0005-0000-0000-000070400000}"/>
    <cellStyle name="Currency 5 2 9 7 2 2" xfId="17821" xr:uid="{00000000-0005-0000-0000-000071400000}"/>
    <cellStyle name="Currency 5 2 9 7 2 2 2" xfId="17822" xr:uid="{00000000-0005-0000-0000-000072400000}"/>
    <cellStyle name="Currency 5 2 9 7 2 3" xfId="17823" xr:uid="{00000000-0005-0000-0000-000073400000}"/>
    <cellStyle name="Currency 5 2 9 7 3" xfId="17824" xr:uid="{00000000-0005-0000-0000-000074400000}"/>
    <cellStyle name="Currency 5 2 9 7 3 2" xfId="17825" xr:uid="{00000000-0005-0000-0000-000075400000}"/>
    <cellStyle name="Currency 5 2 9 7 4" xfId="17826" xr:uid="{00000000-0005-0000-0000-000076400000}"/>
    <cellStyle name="Currency 5 2 9 8" xfId="17827" xr:uid="{00000000-0005-0000-0000-000077400000}"/>
    <cellStyle name="Currency 5 2 9 8 2" xfId="17828" xr:uid="{00000000-0005-0000-0000-000078400000}"/>
    <cellStyle name="Currency 5 2 9 8 2 2" xfId="17829" xr:uid="{00000000-0005-0000-0000-000079400000}"/>
    <cellStyle name="Currency 5 2 9 8 3" xfId="17830" xr:uid="{00000000-0005-0000-0000-00007A400000}"/>
    <cellStyle name="Currency 5 2 9 9" xfId="17831" xr:uid="{00000000-0005-0000-0000-00007B400000}"/>
    <cellStyle name="Currency 5 2 9 9 2" xfId="17832" xr:uid="{00000000-0005-0000-0000-00007C400000}"/>
    <cellStyle name="Currency 5 20" xfId="17833" xr:uid="{00000000-0005-0000-0000-00007D400000}"/>
    <cellStyle name="Currency 5 20 2" xfId="17834" xr:uid="{00000000-0005-0000-0000-00007E400000}"/>
    <cellStyle name="Currency 5 21" xfId="17835" xr:uid="{00000000-0005-0000-0000-00007F400000}"/>
    <cellStyle name="Currency 5 22" xfId="17836" xr:uid="{00000000-0005-0000-0000-000080400000}"/>
    <cellStyle name="Currency 5 23" xfId="1927" xr:uid="{00000000-0005-0000-0000-000081400000}"/>
    <cellStyle name="Currency 5 3" xfId="362" xr:uid="{00000000-0005-0000-0000-000082400000}"/>
    <cellStyle name="Currency 5 3 10" xfId="17838" xr:uid="{00000000-0005-0000-0000-000083400000}"/>
    <cellStyle name="Currency 5 3 10 2" xfId="17839" xr:uid="{00000000-0005-0000-0000-000084400000}"/>
    <cellStyle name="Currency 5 3 10 2 2" xfId="17840" xr:uid="{00000000-0005-0000-0000-000085400000}"/>
    <cellStyle name="Currency 5 3 10 2 2 2" xfId="17841" xr:uid="{00000000-0005-0000-0000-000086400000}"/>
    <cellStyle name="Currency 5 3 10 2 2 2 2" xfId="17842" xr:uid="{00000000-0005-0000-0000-000087400000}"/>
    <cellStyle name="Currency 5 3 10 2 2 3" xfId="17843" xr:uid="{00000000-0005-0000-0000-000088400000}"/>
    <cellStyle name="Currency 5 3 10 2 3" xfId="17844" xr:uid="{00000000-0005-0000-0000-000089400000}"/>
    <cellStyle name="Currency 5 3 10 2 3 2" xfId="17845" xr:uid="{00000000-0005-0000-0000-00008A400000}"/>
    <cellStyle name="Currency 5 3 10 2 4" xfId="17846" xr:uid="{00000000-0005-0000-0000-00008B400000}"/>
    <cellStyle name="Currency 5 3 10 3" xfId="17847" xr:uid="{00000000-0005-0000-0000-00008C400000}"/>
    <cellStyle name="Currency 5 3 10 3 2" xfId="17848" xr:uid="{00000000-0005-0000-0000-00008D400000}"/>
    <cellStyle name="Currency 5 3 10 3 2 2" xfId="17849" xr:uid="{00000000-0005-0000-0000-00008E400000}"/>
    <cellStyle name="Currency 5 3 10 3 3" xfId="17850" xr:uid="{00000000-0005-0000-0000-00008F400000}"/>
    <cellStyle name="Currency 5 3 10 4" xfId="17851" xr:uid="{00000000-0005-0000-0000-000090400000}"/>
    <cellStyle name="Currency 5 3 10 4 2" xfId="17852" xr:uid="{00000000-0005-0000-0000-000091400000}"/>
    <cellStyle name="Currency 5 3 10 5" xfId="17853" xr:uid="{00000000-0005-0000-0000-000092400000}"/>
    <cellStyle name="Currency 5 3 11" xfId="17854" xr:uid="{00000000-0005-0000-0000-000093400000}"/>
    <cellStyle name="Currency 5 3 11 2" xfId="17855" xr:uid="{00000000-0005-0000-0000-000094400000}"/>
    <cellStyle name="Currency 5 3 11 2 2" xfId="17856" xr:uid="{00000000-0005-0000-0000-000095400000}"/>
    <cellStyle name="Currency 5 3 11 2 2 2" xfId="17857" xr:uid="{00000000-0005-0000-0000-000096400000}"/>
    <cellStyle name="Currency 5 3 11 2 3" xfId="17858" xr:uid="{00000000-0005-0000-0000-000097400000}"/>
    <cellStyle name="Currency 5 3 11 3" xfId="17859" xr:uid="{00000000-0005-0000-0000-000098400000}"/>
    <cellStyle name="Currency 5 3 11 3 2" xfId="17860" xr:uid="{00000000-0005-0000-0000-000099400000}"/>
    <cellStyle name="Currency 5 3 11 4" xfId="17861" xr:uid="{00000000-0005-0000-0000-00009A400000}"/>
    <cellStyle name="Currency 5 3 12" xfId="17862" xr:uid="{00000000-0005-0000-0000-00009B400000}"/>
    <cellStyle name="Currency 5 3 12 2" xfId="17863" xr:uid="{00000000-0005-0000-0000-00009C400000}"/>
    <cellStyle name="Currency 5 3 12 2 2" xfId="17864" xr:uid="{00000000-0005-0000-0000-00009D400000}"/>
    <cellStyle name="Currency 5 3 12 2 2 2" xfId="17865" xr:uid="{00000000-0005-0000-0000-00009E400000}"/>
    <cellStyle name="Currency 5 3 12 2 3" xfId="17866" xr:uid="{00000000-0005-0000-0000-00009F400000}"/>
    <cellStyle name="Currency 5 3 12 3" xfId="17867" xr:uid="{00000000-0005-0000-0000-0000A0400000}"/>
    <cellStyle name="Currency 5 3 12 3 2" xfId="17868" xr:uid="{00000000-0005-0000-0000-0000A1400000}"/>
    <cellStyle name="Currency 5 3 12 4" xfId="17869" xr:uid="{00000000-0005-0000-0000-0000A2400000}"/>
    <cellStyle name="Currency 5 3 13" xfId="17870" xr:uid="{00000000-0005-0000-0000-0000A3400000}"/>
    <cellStyle name="Currency 5 3 13 2" xfId="17871" xr:uid="{00000000-0005-0000-0000-0000A4400000}"/>
    <cellStyle name="Currency 5 3 13 2 2" xfId="17872" xr:uid="{00000000-0005-0000-0000-0000A5400000}"/>
    <cellStyle name="Currency 5 3 13 2 2 2" xfId="17873" xr:uid="{00000000-0005-0000-0000-0000A6400000}"/>
    <cellStyle name="Currency 5 3 13 2 3" xfId="17874" xr:uid="{00000000-0005-0000-0000-0000A7400000}"/>
    <cellStyle name="Currency 5 3 13 3" xfId="17875" xr:uid="{00000000-0005-0000-0000-0000A8400000}"/>
    <cellStyle name="Currency 5 3 13 3 2" xfId="17876" xr:uid="{00000000-0005-0000-0000-0000A9400000}"/>
    <cellStyle name="Currency 5 3 13 4" xfId="17877" xr:uid="{00000000-0005-0000-0000-0000AA400000}"/>
    <cellStyle name="Currency 5 3 14" xfId="17878" xr:uid="{00000000-0005-0000-0000-0000AB400000}"/>
    <cellStyle name="Currency 5 3 14 2" xfId="17879" xr:uid="{00000000-0005-0000-0000-0000AC400000}"/>
    <cellStyle name="Currency 5 3 14 2 2" xfId="17880" xr:uid="{00000000-0005-0000-0000-0000AD400000}"/>
    <cellStyle name="Currency 5 3 14 3" xfId="17881" xr:uid="{00000000-0005-0000-0000-0000AE400000}"/>
    <cellStyle name="Currency 5 3 15" xfId="17882" xr:uid="{00000000-0005-0000-0000-0000AF400000}"/>
    <cellStyle name="Currency 5 3 15 2" xfId="17883" xr:uid="{00000000-0005-0000-0000-0000B0400000}"/>
    <cellStyle name="Currency 5 3 15 2 2" xfId="17884" xr:uid="{00000000-0005-0000-0000-0000B1400000}"/>
    <cellStyle name="Currency 5 3 15 3" xfId="17885" xr:uid="{00000000-0005-0000-0000-0000B2400000}"/>
    <cellStyle name="Currency 5 3 16" xfId="17886" xr:uid="{00000000-0005-0000-0000-0000B3400000}"/>
    <cellStyle name="Currency 5 3 16 2" xfId="17887" xr:uid="{00000000-0005-0000-0000-0000B4400000}"/>
    <cellStyle name="Currency 5 3 16 2 2" xfId="17888" xr:uid="{00000000-0005-0000-0000-0000B5400000}"/>
    <cellStyle name="Currency 5 3 16 3" xfId="17889" xr:uid="{00000000-0005-0000-0000-0000B6400000}"/>
    <cellStyle name="Currency 5 3 17" xfId="17890" xr:uid="{00000000-0005-0000-0000-0000B7400000}"/>
    <cellStyle name="Currency 5 3 17 2" xfId="17891" xr:uid="{00000000-0005-0000-0000-0000B8400000}"/>
    <cellStyle name="Currency 5 3 18" xfId="17892" xr:uid="{00000000-0005-0000-0000-0000B9400000}"/>
    <cellStyle name="Currency 5 3 19" xfId="17893" xr:uid="{00000000-0005-0000-0000-0000BA400000}"/>
    <cellStyle name="Currency 5 3 2" xfId="363" xr:uid="{00000000-0005-0000-0000-0000BB400000}"/>
    <cellStyle name="Currency 5 3 2 10" xfId="17895" xr:uid="{00000000-0005-0000-0000-0000BC400000}"/>
    <cellStyle name="Currency 5 3 2 10 2" xfId="17896" xr:uid="{00000000-0005-0000-0000-0000BD400000}"/>
    <cellStyle name="Currency 5 3 2 10 2 2" xfId="17897" xr:uid="{00000000-0005-0000-0000-0000BE400000}"/>
    <cellStyle name="Currency 5 3 2 10 2 2 2" xfId="17898" xr:uid="{00000000-0005-0000-0000-0000BF400000}"/>
    <cellStyle name="Currency 5 3 2 10 2 3" xfId="17899" xr:uid="{00000000-0005-0000-0000-0000C0400000}"/>
    <cellStyle name="Currency 5 3 2 10 3" xfId="17900" xr:uid="{00000000-0005-0000-0000-0000C1400000}"/>
    <cellStyle name="Currency 5 3 2 10 3 2" xfId="17901" xr:uid="{00000000-0005-0000-0000-0000C2400000}"/>
    <cellStyle name="Currency 5 3 2 10 4" xfId="17902" xr:uid="{00000000-0005-0000-0000-0000C3400000}"/>
    <cellStyle name="Currency 5 3 2 11" xfId="17903" xr:uid="{00000000-0005-0000-0000-0000C4400000}"/>
    <cellStyle name="Currency 5 3 2 11 2" xfId="17904" xr:uid="{00000000-0005-0000-0000-0000C5400000}"/>
    <cellStyle name="Currency 5 3 2 11 2 2" xfId="17905" xr:uid="{00000000-0005-0000-0000-0000C6400000}"/>
    <cellStyle name="Currency 5 3 2 11 2 2 2" xfId="17906" xr:uid="{00000000-0005-0000-0000-0000C7400000}"/>
    <cellStyle name="Currency 5 3 2 11 2 3" xfId="17907" xr:uid="{00000000-0005-0000-0000-0000C8400000}"/>
    <cellStyle name="Currency 5 3 2 11 3" xfId="17908" xr:uid="{00000000-0005-0000-0000-0000C9400000}"/>
    <cellStyle name="Currency 5 3 2 11 3 2" xfId="17909" xr:uid="{00000000-0005-0000-0000-0000CA400000}"/>
    <cellStyle name="Currency 5 3 2 11 4" xfId="17910" xr:uid="{00000000-0005-0000-0000-0000CB400000}"/>
    <cellStyle name="Currency 5 3 2 12" xfId="17911" xr:uid="{00000000-0005-0000-0000-0000CC400000}"/>
    <cellStyle name="Currency 5 3 2 12 2" xfId="17912" xr:uid="{00000000-0005-0000-0000-0000CD400000}"/>
    <cellStyle name="Currency 5 3 2 12 2 2" xfId="17913" xr:uid="{00000000-0005-0000-0000-0000CE400000}"/>
    <cellStyle name="Currency 5 3 2 12 2 2 2" xfId="17914" xr:uid="{00000000-0005-0000-0000-0000CF400000}"/>
    <cellStyle name="Currency 5 3 2 12 2 3" xfId="17915" xr:uid="{00000000-0005-0000-0000-0000D0400000}"/>
    <cellStyle name="Currency 5 3 2 12 3" xfId="17916" xr:uid="{00000000-0005-0000-0000-0000D1400000}"/>
    <cellStyle name="Currency 5 3 2 12 3 2" xfId="17917" xr:uid="{00000000-0005-0000-0000-0000D2400000}"/>
    <cellStyle name="Currency 5 3 2 12 4" xfId="17918" xr:uid="{00000000-0005-0000-0000-0000D3400000}"/>
    <cellStyle name="Currency 5 3 2 13" xfId="17919" xr:uid="{00000000-0005-0000-0000-0000D4400000}"/>
    <cellStyle name="Currency 5 3 2 13 2" xfId="17920" xr:uid="{00000000-0005-0000-0000-0000D5400000}"/>
    <cellStyle name="Currency 5 3 2 13 2 2" xfId="17921" xr:uid="{00000000-0005-0000-0000-0000D6400000}"/>
    <cellStyle name="Currency 5 3 2 13 3" xfId="17922" xr:uid="{00000000-0005-0000-0000-0000D7400000}"/>
    <cellStyle name="Currency 5 3 2 14" xfId="17923" xr:uid="{00000000-0005-0000-0000-0000D8400000}"/>
    <cellStyle name="Currency 5 3 2 14 2" xfId="17924" xr:uid="{00000000-0005-0000-0000-0000D9400000}"/>
    <cellStyle name="Currency 5 3 2 14 2 2" xfId="17925" xr:uid="{00000000-0005-0000-0000-0000DA400000}"/>
    <cellStyle name="Currency 5 3 2 14 3" xfId="17926" xr:uid="{00000000-0005-0000-0000-0000DB400000}"/>
    <cellStyle name="Currency 5 3 2 15" xfId="17927" xr:uid="{00000000-0005-0000-0000-0000DC400000}"/>
    <cellStyle name="Currency 5 3 2 15 2" xfId="17928" xr:uid="{00000000-0005-0000-0000-0000DD400000}"/>
    <cellStyle name="Currency 5 3 2 15 2 2" xfId="17929" xr:uid="{00000000-0005-0000-0000-0000DE400000}"/>
    <cellStyle name="Currency 5 3 2 15 3" xfId="17930" xr:uid="{00000000-0005-0000-0000-0000DF400000}"/>
    <cellStyle name="Currency 5 3 2 16" xfId="17931" xr:uid="{00000000-0005-0000-0000-0000E0400000}"/>
    <cellStyle name="Currency 5 3 2 16 2" xfId="17932" xr:uid="{00000000-0005-0000-0000-0000E1400000}"/>
    <cellStyle name="Currency 5 3 2 17" xfId="17933" xr:uid="{00000000-0005-0000-0000-0000E2400000}"/>
    <cellStyle name="Currency 5 3 2 18" xfId="17934" xr:uid="{00000000-0005-0000-0000-0000E3400000}"/>
    <cellStyle name="Currency 5 3 2 19" xfId="17894" xr:uid="{00000000-0005-0000-0000-0000E4400000}"/>
    <cellStyle name="Currency 5 3 2 2" xfId="364" xr:uid="{00000000-0005-0000-0000-0000E5400000}"/>
    <cellStyle name="Currency 5 3 2 2 10" xfId="17936" xr:uid="{00000000-0005-0000-0000-0000E6400000}"/>
    <cellStyle name="Currency 5 3 2 2 10 2" xfId="17937" xr:uid="{00000000-0005-0000-0000-0000E7400000}"/>
    <cellStyle name="Currency 5 3 2 2 10 2 2" xfId="17938" xr:uid="{00000000-0005-0000-0000-0000E8400000}"/>
    <cellStyle name="Currency 5 3 2 2 10 2 2 2" xfId="17939" xr:uid="{00000000-0005-0000-0000-0000E9400000}"/>
    <cellStyle name="Currency 5 3 2 2 10 2 3" xfId="17940" xr:uid="{00000000-0005-0000-0000-0000EA400000}"/>
    <cellStyle name="Currency 5 3 2 2 10 3" xfId="17941" xr:uid="{00000000-0005-0000-0000-0000EB400000}"/>
    <cellStyle name="Currency 5 3 2 2 10 3 2" xfId="17942" xr:uid="{00000000-0005-0000-0000-0000EC400000}"/>
    <cellStyle name="Currency 5 3 2 2 10 4" xfId="17943" xr:uid="{00000000-0005-0000-0000-0000ED400000}"/>
    <cellStyle name="Currency 5 3 2 2 11" xfId="17944" xr:uid="{00000000-0005-0000-0000-0000EE400000}"/>
    <cellStyle name="Currency 5 3 2 2 11 2" xfId="17945" xr:uid="{00000000-0005-0000-0000-0000EF400000}"/>
    <cellStyle name="Currency 5 3 2 2 11 2 2" xfId="17946" xr:uid="{00000000-0005-0000-0000-0000F0400000}"/>
    <cellStyle name="Currency 5 3 2 2 11 2 2 2" xfId="17947" xr:uid="{00000000-0005-0000-0000-0000F1400000}"/>
    <cellStyle name="Currency 5 3 2 2 11 2 3" xfId="17948" xr:uid="{00000000-0005-0000-0000-0000F2400000}"/>
    <cellStyle name="Currency 5 3 2 2 11 3" xfId="17949" xr:uid="{00000000-0005-0000-0000-0000F3400000}"/>
    <cellStyle name="Currency 5 3 2 2 11 3 2" xfId="17950" xr:uid="{00000000-0005-0000-0000-0000F4400000}"/>
    <cellStyle name="Currency 5 3 2 2 11 4" xfId="17951" xr:uid="{00000000-0005-0000-0000-0000F5400000}"/>
    <cellStyle name="Currency 5 3 2 2 12" xfId="17952" xr:uid="{00000000-0005-0000-0000-0000F6400000}"/>
    <cellStyle name="Currency 5 3 2 2 12 2" xfId="17953" xr:uid="{00000000-0005-0000-0000-0000F7400000}"/>
    <cellStyle name="Currency 5 3 2 2 12 2 2" xfId="17954" xr:uid="{00000000-0005-0000-0000-0000F8400000}"/>
    <cellStyle name="Currency 5 3 2 2 12 3" xfId="17955" xr:uid="{00000000-0005-0000-0000-0000F9400000}"/>
    <cellStyle name="Currency 5 3 2 2 13" xfId="17956" xr:uid="{00000000-0005-0000-0000-0000FA400000}"/>
    <cellStyle name="Currency 5 3 2 2 13 2" xfId="17957" xr:uid="{00000000-0005-0000-0000-0000FB400000}"/>
    <cellStyle name="Currency 5 3 2 2 13 2 2" xfId="17958" xr:uid="{00000000-0005-0000-0000-0000FC400000}"/>
    <cellStyle name="Currency 5 3 2 2 13 3" xfId="17959" xr:uid="{00000000-0005-0000-0000-0000FD400000}"/>
    <cellStyle name="Currency 5 3 2 2 14" xfId="17960" xr:uid="{00000000-0005-0000-0000-0000FE400000}"/>
    <cellStyle name="Currency 5 3 2 2 14 2" xfId="17961" xr:uid="{00000000-0005-0000-0000-0000FF400000}"/>
    <cellStyle name="Currency 5 3 2 2 14 2 2" xfId="17962" xr:uid="{00000000-0005-0000-0000-000000410000}"/>
    <cellStyle name="Currency 5 3 2 2 14 3" xfId="17963" xr:uid="{00000000-0005-0000-0000-000001410000}"/>
    <cellStyle name="Currency 5 3 2 2 15" xfId="17964" xr:uid="{00000000-0005-0000-0000-000002410000}"/>
    <cellStyle name="Currency 5 3 2 2 15 2" xfId="17965" xr:uid="{00000000-0005-0000-0000-000003410000}"/>
    <cellStyle name="Currency 5 3 2 2 16" xfId="17966" xr:uid="{00000000-0005-0000-0000-000004410000}"/>
    <cellStyle name="Currency 5 3 2 2 17" xfId="17967" xr:uid="{00000000-0005-0000-0000-000005410000}"/>
    <cellStyle name="Currency 5 3 2 2 18" xfId="17935" xr:uid="{00000000-0005-0000-0000-000006410000}"/>
    <cellStyle name="Currency 5 3 2 2 2" xfId="365" xr:uid="{00000000-0005-0000-0000-000007410000}"/>
    <cellStyle name="Currency 5 3 2 2 2 10" xfId="17969" xr:uid="{00000000-0005-0000-0000-000008410000}"/>
    <cellStyle name="Currency 5 3 2 2 2 10 2" xfId="17970" xr:uid="{00000000-0005-0000-0000-000009410000}"/>
    <cellStyle name="Currency 5 3 2 2 2 10 2 2" xfId="17971" xr:uid="{00000000-0005-0000-0000-00000A410000}"/>
    <cellStyle name="Currency 5 3 2 2 2 10 2 2 2" xfId="17972" xr:uid="{00000000-0005-0000-0000-00000B410000}"/>
    <cellStyle name="Currency 5 3 2 2 2 10 2 3" xfId="17973" xr:uid="{00000000-0005-0000-0000-00000C410000}"/>
    <cellStyle name="Currency 5 3 2 2 2 10 3" xfId="17974" xr:uid="{00000000-0005-0000-0000-00000D410000}"/>
    <cellStyle name="Currency 5 3 2 2 2 10 3 2" xfId="17975" xr:uid="{00000000-0005-0000-0000-00000E410000}"/>
    <cellStyle name="Currency 5 3 2 2 2 10 4" xfId="17976" xr:uid="{00000000-0005-0000-0000-00000F410000}"/>
    <cellStyle name="Currency 5 3 2 2 2 11" xfId="17977" xr:uid="{00000000-0005-0000-0000-000010410000}"/>
    <cellStyle name="Currency 5 3 2 2 2 11 2" xfId="17978" xr:uid="{00000000-0005-0000-0000-000011410000}"/>
    <cellStyle name="Currency 5 3 2 2 2 11 2 2" xfId="17979" xr:uid="{00000000-0005-0000-0000-000012410000}"/>
    <cellStyle name="Currency 5 3 2 2 2 11 3" xfId="17980" xr:uid="{00000000-0005-0000-0000-000013410000}"/>
    <cellStyle name="Currency 5 3 2 2 2 12" xfId="17981" xr:uid="{00000000-0005-0000-0000-000014410000}"/>
    <cellStyle name="Currency 5 3 2 2 2 12 2" xfId="17982" xr:uid="{00000000-0005-0000-0000-000015410000}"/>
    <cellStyle name="Currency 5 3 2 2 2 12 2 2" xfId="17983" xr:uid="{00000000-0005-0000-0000-000016410000}"/>
    <cellStyle name="Currency 5 3 2 2 2 12 3" xfId="17984" xr:uid="{00000000-0005-0000-0000-000017410000}"/>
    <cellStyle name="Currency 5 3 2 2 2 13" xfId="17985" xr:uid="{00000000-0005-0000-0000-000018410000}"/>
    <cellStyle name="Currency 5 3 2 2 2 13 2" xfId="17986" xr:uid="{00000000-0005-0000-0000-000019410000}"/>
    <cellStyle name="Currency 5 3 2 2 2 13 2 2" xfId="17987" xr:uid="{00000000-0005-0000-0000-00001A410000}"/>
    <cellStyle name="Currency 5 3 2 2 2 13 3" xfId="17988" xr:uid="{00000000-0005-0000-0000-00001B410000}"/>
    <cellStyle name="Currency 5 3 2 2 2 14" xfId="17989" xr:uid="{00000000-0005-0000-0000-00001C410000}"/>
    <cellStyle name="Currency 5 3 2 2 2 14 2" xfId="17990" xr:uid="{00000000-0005-0000-0000-00001D410000}"/>
    <cellStyle name="Currency 5 3 2 2 2 15" xfId="17991" xr:uid="{00000000-0005-0000-0000-00001E410000}"/>
    <cellStyle name="Currency 5 3 2 2 2 16" xfId="17992" xr:uid="{00000000-0005-0000-0000-00001F410000}"/>
    <cellStyle name="Currency 5 3 2 2 2 17" xfId="17968" xr:uid="{00000000-0005-0000-0000-000020410000}"/>
    <cellStyle name="Currency 5 3 2 2 2 2" xfId="366" xr:uid="{00000000-0005-0000-0000-000021410000}"/>
    <cellStyle name="Currency 5 3 2 2 2 2 10" xfId="17994" xr:uid="{00000000-0005-0000-0000-000022410000}"/>
    <cellStyle name="Currency 5 3 2 2 2 2 10 2" xfId="17995" xr:uid="{00000000-0005-0000-0000-000023410000}"/>
    <cellStyle name="Currency 5 3 2 2 2 2 10 2 2" xfId="17996" xr:uid="{00000000-0005-0000-0000-000024410000}"/>
    <cellStyle name="Currency 5 3 2 2 2 2 10 3" xfId="17997" xr:uid="{00000000-0005-0000-0000-000025410000}"/>
    <cellStyle name="Currency 5 3 2 2 2 2 11" xfId="17998" xr:uid="{00000000-0005-0000-0000-000026410000}"/>
    <cellStyle name="Currency 5 3 2 2 2 2 11 2" xfId="17999" xr:uid="{00000000-0005-0000-0000-000027410000}"/>
    <cellStyle name="Currency 5 3 2 2 2 2 11 2 2" xfId="18000" xr:uid="{00000000-0005-0000-0000-000028410000}"/>
    <cellStyle name="Currency 5 3 2 2 2 2 11 3" xfId="18001" xr:uid="{00000000-0005-0000-0000-000029410000}"/>
    <cellStyle name="Currency 5 3 2 2 2 2 12" xfId="18002" xr:uid="{00000000-0005-0000-0000-00002A410000}"/>
    <cellStyle name="Currency 5 3 2 2 2 2 12 2" xfId="18003" xr:uid="{00000000-0005-0000-0000-00002B410000}"/>
    <cellStyle name="Currency 5 3 2 2 2 2 13" xfId="18004" xr:uid="{00000000-0005-0000-0000-00002C410000}"/>
    <cellStyle name="Currency 5 3 2 2 2 2 14" xfId="18005" xr:uid="{00000000-0005-0000-0000-00002D410000}"/>
    <cellStyle name="Currency 5 3 2 2 2 2 15" xfId="17993" xr:uid="{00000000-0005-0000-0000-00002E410000}"/>
    <cellStyle name="Currency 5 3 2 2 2 2 2" xfId="917" xr:uid="{00000000-0005-0000-0000-00002F410000}"/>
    <cellStyle name="Currency 5 3 2 2 2 2 2 10" xfId="18007" xr:uid="{00000000-0005-0000-0000-000030410000}"/>
    <cellStyle name="Currency 5 3 2 2 2 2 2 11" xfId="18006" xr:uid="{00000000-0005-0000-0000-000031410000}"/>
    <cellStyle name="Currency 5 3 2 2 2 2 2 2" xfId="1658" xr:uid="{00000000-0005-0000-0000-000032410000}"/>
    <cellStyle name="Currency 5 3 2 2 2 2 2 2 2" xfId="18009" xr:uid="{00000000-0005-0000-0000-000033410000}"/>
    <cellStyle name="Currency 5 3 2 2 2 2 2 2 2 2" xfId="18010" xr:uid="{00000000-0005-0000-0000-000034410000}"/>
    <cellStyle name="Currency 5 3 2 2 2 2 2 2 2 2 2" xfId="18011" xr:uid="{00000000-0005-0000-0000-000035410000}"/>
    <cellStyle name="Currency 5 3 2 2 2 2 2 2 2 2 2 2" xfId="18012" xr:uid="{00000000-0005-0000-0000-000036410000}"/>
    <cellStyle name="Currency 5 3 2 2 2 2 2 2 2 2 3" xfId="18013" xr:uid="{00000000-0005-0000-0000-000037410000}"/>
    <cellStyle name="Currency 5 3 2 2 2 2 2 2 2 3" xfId="18014" xr:uid="{00000000-0005-0000-0000-000038410000}"/>
    <cellStyle name="Currency 5 3 2 2 2 2 2 2 2 3 2" xfId="18015" xr:uid="{00000000-0005-0000-0000-000039410000}"/>
    <cellStyle name="Currency 5 3 2 2 2 2 2 2 2 4" xfId="18016" xr:uid="{00000000-0005-0000-0000-00003A410000}"/>
    <cellStyle name="Currency 5 3 2 2 2 2 2 2 3" xfId="18017" xr:uid="{00000000-0005-0000-0000-00003B410000}"/>
    <cellStyle name="Currency 5 3 2 2 2 2 2 2 3 2" xfId="18018" xr:uid="{00000000-0005-0000-0000-00003C410000}"/>
    <cellStyle name="Currency 5 3 2 2 2 2 2 2 3 2 2" xfId="18019" xr:uid="{00000000-0005-0000-0000-00003D410000}"/>
    <cellStyle name="Currency 5 3 2 2 2 2 2 2 3 2 2 2" xfId="18020" xr:uid="{00000000-0005-0000-0000-00003E410000}"/>
    <cellStyle name="Currency 5 3 2 2 2 2 2 2 3 2 3" xfId="18021" xr:uid="{00000000-0005-0000-0000-00003F410000}"/>
    <cellStyle name="Currency 5 3 2 2 2 2 2 2 3 3" xfId="18022" xr:uid="{00000000-0005-0000-0000-000040410000}"/>
    <cellStyle name="Currency 5 3 2 2 2 2 2 2 3 3 2" xfId="18023" xr:uid="{00000000-0005-0000-0000-000041410000}"/>
    <cellStyle name="Currency 5 3 2 2 2 2 2 2 3 4" xfId="18024" xr:uid="{00000000-0005-0000-0000-000042410000}"/>
    <cellStyle name="Currency 5 3 2 2 2 2 2 2 4" xfId="18025" xr:uid="{00000000-0005-0000-0000-000043410000}"/>
    <cellStyle name="Currency 5 3 2 2 2 2 2 2 4 2" xfId="18026" xr:uid="{00000000-0005-0000-0000-000044410000}"/>
    <cellStyle name="Currency 5 3 2 2 2 2 2 2 4 2 2" xfId="18027" xr:uid="{00000000-0005-0000-0000-000045410000}"/>
    <cellStyle name="Currency 5 3 2 2 2 2 2 2 4 3" xfId="18028" xr:uid="{00000000-0005-0000-0000-000046410000}"/>
    <cellStyle name="Currency 5 3 2 2 2 2 2 2 5" xfId="18029" xr:uid="{00000000-0005-0000-0000-000047410000}"/>
    <cellStyle name="Currency 5 3 2 2 2 2 2 2 5 2" xfId="18030" xr:uid="{00000000-0005-0000-0000-000048410000}"/>
    <cellStyle name="Currency 5 3 2 2 2 2 2 2 6" xfId="18031" xr:uid="{00000000-0005-0000-0000-000049410000}"/>
    <cellStyle name="Currency 5 3 2 2 2 2 2 2 7" xfId="18008" xr:uid="{00000000-0005-0000-0000-00004A410000}"/>
    <cellStyle name="Currency 5 3 2 2 2 2 2 3" xfId="18032" xr:uid="{00000000-0005-0000-0000-00004B410000}"/>
    <cellStyle name="Currency 5 3 2 2 2 2 2 3 2" xfId="18033" xr:uid="{00000000-0005-0000-0000-00004C410000}"/>
    <cellStyle name="Currency 5 3 2 2 2 2 2 3 2 2" xfId="18034" xr:uid="{00000000-0005-0000-0000-00004D410000}"/>
    <cellStyle name="Currency 5 3 2 2 2 2 2 3 2 2 2" xfId="18035" xr:uid="{00000000-0005-0000-0000-00004E410000}"/>
    <cellStyle name="Currency 5 3 2 2 2 2 2 3 2 2 2 2" xfId="18036" xr:uid="{00000000-0005-0000-0000-00004F410000}"/>
    <cellStyle name="Currency 5 3 2 2 2 2 2 3 2 2 3" xfId="18037" xr:uid="{00000000-0005-0000-0000-000050410000}"/>
    <cellStyle name="Currency 5 3 2 2 2 2 2 3 2 3" xfId="18038" xr:uid="{00000000-0005-0000-0000-000051410000}"/>
    <cellStyle name="Currency 5 3 2 2 2 2 2 3 2 3 2" xfId="18039" xr:uid="{00000000-0005-0000-0000-000052410000}"/>
    <cellStyle name="Currency 5 3 2 2 2 2 2 3 2 4" xfId="18040" xr:uid="{00000000-0005-0000-0000-000053410000}"/>
    <cellStyle name="Currency 5 3 2 2 2 2 2 3 3" xfId="18041" xr:uid="{00000000-0005-0000-0000-000054410000}"/>
    <cellStyle name="Currency 5 3 2 2 2 2 2 3 3 2" xfId="18042" xr:uid="{00000000-0005-0000-0000-000055410000}"/>
    <cellStyle name="Currency 5 3 2 2 2 2 2 3 3 2 2" xfId="18043" xr:uid="{00000000-0005-0000-0000-000056410000}"/>
    <cellStyle name="Currency 5 3 2 2 2 2 2 3 3 3" xfId="18044" xr:uid="{00000000-0005-0000-0000-000057410000}"/>
    <cellStyle name="Currency 5 3 2 2 2 2 2 3 4" xfId="18045" xr:uid="{00000000-0005-0000-0000-000058410000}"/>
    <cellStyle name="Currency 5 3 2 2 2 2 2 3 4 2" xfId="18046" xr:uid="{00000000-0005-0000-0000-000059410000}"/>
    <cellStyle name="Currency 5 3 2 2 2 2 2 3 5" xfId="18047" xr:uid="{00000000-0005-0000-0000-00005A410000}"/>
    <cellStyle name="Currency 5 3 2 2 2 2 2 4" xfId="18048" xr:uid="{00000000-0005-0000-0000-00005B410000}"/>
    <cellStyle name="Currency 5 3 2 2 2 2 2 4 2" xfId="18049" xr:uid="{00000000-0005-0000-0000-00005C410000}"/>
    <cellStyle name="Currency 5 3 2 2 2 2 2 4 2 2" xfId="18050" xr:uid="{00000000-0005-0000-0000-00005D410000}"/>
    <cellStyle name="Currency 5 3 2 2 2 2 2 4 2 2 2" xfId="18051" xr:uid="{00000000-0005-0000-0000-00005E410000}"/>
    <cellStyle name="Currency 5 3 2 2 2 2 2 4 2 2 2 2" xfId="18052" xr:uid="{00000000-0005-0000-0000-00005F410000}"/>
    <cellStyle name="Currency 5 3 2 2 2 2 2 4 2 2 3" xfId="18053" xr:uid="{00000000-0005-0000-0000-000060410000}"/>
    <cellStyle name="Currency 5 3 2 2 2 2 2 4 2 3" xfId="18054" xr:uid="{00000000-0005-0000-0000-000061410000}"/>
    <cellStyle name="Currency 5 3 2 2 2 2 2 4 2 3 2" xfId="18055" xr:uid="{00000000-0005-0000-0000-000062410000}"/>
    <cellStyle name="Currency 5 3 2 2 2 2 2 4 2 4" xfId="18056" xr:uid="{00000000-0005-0000-0000-000063410000}"/>
    <cellStyle name="Currency 5 3 2 2 2 2 2 4 3" xfId="18057" xr:uid="{00000000-0005-0000-0000-000064410000}"/>
    <cellStyle name="Currency 5 3 2 2 2 2 2 4 3 2" xfId="18058" xr:uid="{00000000-0005-0000-0000-000065410000}"/>
    <cellStyle name="Currency 5 3 2 2 2 2 2 4 3 2 2" xfId="18059" xr:uid="{00000000-0005-0000-0000-000066410000}"/>
    <cellStyle name="Currency 5 3 2 2 2 2 2 4 3 3" xfId="18060" xr:uid="{00000000-0005-0000-0000-000067410000}"/>
    <cellStyle name="Currency 5 3 2 2 2 2 2 4 4" xfId="18061" xr:uid="{00000000-0005-0000-0000-000068410000}"/>
    <cellStyle name="Currency 5 3 2 2 2 2 2 4 4 2" xfId="18062" xr:uid="{00000000-0005-0000-0000-000069410000}"/>
    <cellStyle name="Currency 5 3 2 2 2 2 2 4 5" xfId="18063" xr:uid="{00000000-0005-0000-0000-00006A410000}"/>
    <cellStyle name="Currency 5 3 2 2 2 2 2 5" xfId="18064" xr:uid="{00000000-0005-0000-0000-00006B410000}"/>
    <cellStyle name="Currency 5 3 2 2 2 2 2 5 2" xfId="18065" xr:uid="{00000000-0005-0000-0000-00006C410000}"/>
    <cellStyle name="Currency 5 3 2 2 2 2 2 5 2 2" xfId="18066" xr:uid="{00000000-0005-0000-0000-00006D410000}"/>
    <cellStyle name="Currency 5 3 2 2 2 2 2 5 2 2 2" xfId="18067" xr:uid="{00000000-0005-0000-0000-00006E410000}"/>
    <cellStyle name="Currency 5 3 2 2 2 2 2 5 2 3" xfId="18068" xr:uid="{00000000-0005-0000-0000-00006F410000}"/>
    <cellStyle name="Currency 5 3 2 2 2 2 2 5 3" xfId="18069" xr:uid="{00000000-0005-0000-0000-000070410000}"/>
    <cellStyle name="Currency 5 3 2 2 2 2 2 5 3 2" xfId="18070" xr:uid="{00000000-0005-0000-0000-000071410000}"/>
    <cellStyle name="Currency 5 3 2 2 2 2 2 5 4" xfId="18071" xr:uid="{00000000-0005-0000-0000-000072410000}"/>
    <cellStyle name="Currency 5 3 2 2 2 2 2 6" xfId="18072" xr:uid="{00000000-0005-0000-0000-000073410000}"/>
    <cellStyle name="Currency 5 3 2 2 2 2 2 6 2" xfId="18073" xr:uid="{00000000-0005-0000-0000-000074410000}"/>
    <cellStyle name="Currency 5 3 2 2 2 2 2 6 2 2" xfId="18074" xr:uid="{00000000-0005-0000-0000-000075410000}"/>
    <cellStyle name="Currency 5 3 2 2 2 2 2 6 2 2 2" xfId="18075" xr:uid="{00000000-0005-0000-0000-000076410000}"/>
    <cellStyle name="Currency 5 3 2 2 2 2 2 6 2 3" xfId="18076" xr:uid="{00000000-0005-0000-0000-000077410000}"/>
    <cellStyle name="Currency 5 3 2 2 2 2 2 6 3" xfId="18077" xr:uid="{00000000-0005-0000-0000-000078410000}"/>
    <cellStyle name="Currency 5 3 2 2 2 2 2 6 3 2" xfId="18078" xr:uid="{00000000-0005-0000-0000-000079410000}"/>
    <cellStyle name="Currency 5 3 2 2 2 2 2 6 4" xfId="18079" xr:uid="{00000000-0005-0000-0000-00007A410000}"/>
    <cellStyle name="Currency 5 3 2 2 2 2 2 7" xfId="18080" xr:uid="{00000000-0005-0000-0000-00007B410000}"/>
    <cellStyle name="Currency 5 3 2 2 2 2 2 7 2" xfId="18081" xr:uid="{00000000-0005-0000-0000-00007C410000}"/>
    <cellStyle name="Currency 5 3 2 2 2 2 2 7 2 2" xfId="18082" xr:uid="{00000000-0005-0000-0000-00007D410000}"/>
    <cellStyle name="Currency 5 3 2 2 2 2 2 7 2 2 2" xfId="18083" xr:uid="{00000000-0005-0000-0000-00007E410000}"/>
    <cellStyle name="Currency 5 3 2 2 2 2 2 7 2 3" xfId="18084" xr:uid="{00000000-0005-0000-0000-00007F410000}"/>
    <cellStyle name="Currency 5 3 2 2 2 2 2 7 3" xfId="18085" xr:uid="{00000000-0005-0000-0000-000080410000}"/>
    <cellStyle name="Currency 5 3 2 2 2 2 2 7 3 2" xfId="18086" xr:uid="{00000000-0005-0000-0000-000081410000}"/>
    <cellStyle name="Currency 5 3 2 2 2 2 2 7 4" xfId="18087" xr:uid="{00000000-0005-0000-0000-000082410000}"/>
    <cellStyle name="Currency 5 3 2 2 2 2 2 8" xfId="18088" xr:uid="{00000000-0005-0000-0000-000083410000}"/>
    <cellStyle name="Currency 5 3 2 2 2 2 2 8 2" xfId="18089" xr:uid="{00000000-0005-0000-0000-000084410000}"/>
    <cellStyle name="Currency 5 3 2 2 2 2 2 8 2 2" xfId="18090" xr:uid="{00000000-0005-0000-0000-000085410000}"/>
    <cellStyle name="Currency 5 3 2 2 2 2 2 8 3" xfId="18091" xr:uid="{00000000-0005-0000-0000-000086410000}"/>
    <cellStyle name="Currency 5 3 2 2 2 2 2 9" xfId="18092" xr:uid="{00000000-0005-0000-0000-000087410000}"/>
    <cellStyle name="Currency 5 3 2 2 2 2 2 9 2" xfId="18093" xr:uid="{00000000-0005-0000-0000-000088410000}"/>
    <cellStyle name="Currency 5 3 2 2 2 2 3" xfId="1333" xr:uid="{00000000-0005-0000-0000-000089410000}"/>
    <cellStyle name="Currency 5 3 2 2 2 2 3 2" xfId="18095" xr:uid="{00000000-0005-0000-0000-00008A410000}"/>
    <cellStyle name="Currency 5 3 2 2 2 2 3 2 2" xfId="18096" xr:uid="{00000000-0005-0000-0000-00008B410000}"/>
    <cellStyle name="Currency 5 3 2 2 2 2 3 2 2 2" xfId="18097" xr:uid="{00000000-0005-0000-0000-00008C410000}"/>
    <cellStyle name="Currency 5 3 2 2 2 2 3 2 2 2 2" xfId="18098" xr:uid="{00000000-0005-0000-0000-00008D410000}"/>
    <cellStyle name="Currency 5 3 2 2 2 2 3 2 2 3" xfId="18099" xr:uid="{00000000-0005-0000-0000-00008E410000}"/>
    <cellStyle name="Currency 5 3 2 2 2 2 3 2 3" xfId="18100" xr:uid="{00000000-0005-0000-0000-00008F410000}"/>
    <cellStyle name="Currency 5 3 2 2 2 2 3 2 3 2" xfId="18101" xr:uid="{00000000-0005-0000-0000-000090410000}"/>
    <cellStyle name="Currency 5 3 2 2 2 2 3 2 4" xfId="18102" xr:uid="{00000000-0005-0000-0000-000091410000}"/>
    <cellStyle name="Currency 5 3 2 2 2 2 3 3" xfId="18103" xr:uid="{00000000-0005-0000-0000-000092410000}"/>
    <cellStyle name="Currency 5 3 2 2 2 2 3 3 2" xfId="18104" xr:uid="{00000000-0005-0000-0000-000093410000}"/>
    <cellStyle name="Currency 5 3 2 2 2 2 3 3 2 2" xfId="18105" xr:uid="{00000000-0005-0000-0000-000094410000}"/>
    <cellStyle name="Currency 5 3 2 2 2 2 3 3 2 2 2" xfId="18106" xr:uid="{00000000-0005-0000-0000-000095410000}"/>
    <cellStyle name="Currency 5 3 2 2 2 2 3 3 2 3" xfId="18107" xr:uid="{00000000-0005-0000-0000-000096410000}"/>
    <cellStyle name="Currency 5 3 2 2 2 2 3 3 3" xfId="18108" xr:uid="{00000000-0005-0000-0000-000097410000}"/>
    <cellStyle name="Currency 5 3 2 2 2 2 3 3 3 2" xfId="18109" xr:uid="{00000000-0005-0000-0000-000098410000}"/>
    <cellStyle name="Currency 5 3 2 2 2 2 3 3 4" xfId="18110" xr:uid="{00000000-0005-0000-0000-000099410000}"/>
    <cellStyle name="Currency 5 3 2 2 2 2 3 4" xfId="18111" xr:uid="{00000000-0005-0000-0000-00009A410000}"/>
    <cellStyle name="Currency 5 3 2 2 2 2 3 4 2" xfId="18112" xr:uid="{00000000-0005-0000-0000-00009B410000}"/>
    <cellStyle name="Currency 5 3 2 2 2 2 3 4 2 2" xfId="18113" xr:uid="{00000000-0005-0000-0000-00009C410000}"/>
    <cellStyle name="Currency 5 3 2 2 2 2 3 4 3" xfId="18114" xr:uid="{00000000-0005-0000-0000-00009D410000}"/>
    <cellStyle name="Currency 5 3 2 2 2 2 3 5" xfId="18115" xr:uid="{00000000-0005-0000-0000-00009E410000}"/>
    <cellStyle name="Currency 5 3 2 2 2 2 3 5 2" xfId="18116" xr:uid="{00000000-0005-0000-0000-00009F410000}"/>
    <cellStyle name="Currency 5 3 2 2 2 2 3 6" xfId="18117" xr:uid="{00000000-0005-0000-0000-0000A0410000}"/>
    <cellStyle name="Currency 5 3 2 2 2 2 3 7" xfId="18094" xr:uid="{00000000-0005-0000-0000-0000A1410000}"/>
    <cellStyle name="Currency 5 3 2 2 2 2 4" xfId="18118" xr:uid="{00000000-0005-0000-0000-0000A2410000}"/>
    <cellStyle name="Currency 5 3 2 2 2 2 4 2" xfId="18119" xr:uid="{00000000-0005-0000-0000-0000A3410000}"/>
    <cellStyle name="Currency 5 3 2 2 2 2 4 2 2" xfId="18120" xr:uid="{00000000-0005-0000-0000-0000A4410000}"/>
    <cellStyle name="Currency 5 3 2 2 2 2 4 2 2 2" xfId="18121" xr:uid="{00000000-0005-0000-0000-0000A5410000}"/>
    <cellStyle name="Currency 5 3 2 2 2 2 4 2 2 2 2" xfId="18122" xr:uid="{00000000-0005-0000-0000-0000A6410000}"/>
    <cellStyle name="Currency 5 3 2 2 2 2 4 2 2 3" xfId="18123" xr:uid="{00000000-0005-0000-0000-0000A7410000}"/>
    <cellStyle name="Currency 5 3 2 2 2 2 4 2 3" xfId="18124" xr:uid="{00000000-0005-0000-0000-0000A8410000}"/>
    <cellStyle name="Currency 5 3 2 2 2 2 4 2 3 2" xfId="18125" xr:uid="{00000000-0005-0000-0000-0000A9410000}"/>
    <cellStyle name="Currency 5 3 2 2 2 2 4 2 4" xfId="18126" xr:uid="{00000000-0005-0000-0000-0000AA410000}"/>
    <cellStyle name="Currency 5 3 2 2 2 2 4 3" xfId="18127" xr:uid="{00000000-0005-0000-0000-0000AB410000}"/>
    <cellStyle name="Currency 5 3 2 2 2 2 4 3 2" xfId="18128" xr:uid="{00000000-0005-0000-0000-0000AC410000}"/>
    <cellStyle name="Currency 5 3 2 2 2 2 4 3 2 2" xfId="18129" xr:uid="{00000000-0005-0000-0000-0000AD410000}"/>
    <cellStyle name="Currency 5 3 2 2 2 2 4 3 3" xfId="18130" xr:uid="{00000000-0005-0000-0000-0000AE410000}"/>
    <cellStyle name="Currency 5 3 2 2 2 2 4 4" xfId="18131" xr:uid="{00000000-0005-0000-0000-0000AF410000}"/>
    <cellStyle name="Currency 5 3 2 2 2 2 4 4 2" xfId="18132" xr:uid="{00000000-0005-0000-0000-0000B0410000}"/>
    <cellStyle name="Currency 5 3 2 2 2 2 4 5" xfId="18133" xr:uid="{00000000-0005-0000-0000-0000B1410000}"/>
    <cellStyle name="Currency 5 3 2 2 2 2 5" xfId="18134" xr:uid="{00000000-0005-0000-0000-0000B2410000}"/>
    <cellStyle name="Currency 5 3 2 2 2 2 5 2" xfId="18135" xr:uid="{00000000-0005-0000-0000-0000B3410000}"/>
    <cellStyle name="Currency 5 3 2 2 2 2 5 2 2" xfId="18136" xr:uid="{00000000-0005-0000-0000-0000B4410000}"/>
    <cellStyle name="Currency 5 3 2 2 2 2 5 2 2 2" xfId="18137" xr:uid="{00000000-0005-0000-0000-0000B5410000}"/>
    <cellStyle name="Currency 5 3 2 2 2 2 5 2 2 2 2" xfId="18138" xr:uid="{00000000-0005-0000-0000-0000B6410000}"/>
    <cellStyle name="Currency 5 3 2 2 2 2 5 2 2 3" xfId="18139" xr:uid="{00000000-0005-0000-0000-0000B7410000}"/>
    <cellStyle name="Currency 5 3 2 2 2 2 5 2 3" xfId="18140" xr:uid="{00000000-0005-0000-0000-0000B8410000}"/>
    <cellStyle name="Currency 5 3 2 2 2 2 5 2 3 2" xfId="18141" xr:uid="{00000000-0005-0000-0000-0000B9410000}"/>
    <cellStyle name="Currency 5 3 2 2 2 2 5 2 4" xfId="18142" xr:uid="{00000000-0005-0000-0000-0000BA410000}"/>
    <cellStyle name="Currency 5 3 2 2 2 2 5 3" xfId="18143" xr:uid="{00000000-0005-0000-0000-0000BB410000}"/>
    <cellStyle name="Currency 5 3 2 2 2 2 5 3 2" xfId="18144" xr:uid="{00000000-0005-0000-0000-0000BC410000}"/>
    <cellStyle name="Currency 5 3 2 2 2 2 5 3 2 2" xfId="18145" xr:uid="{00000000-0005-0000-0000-0000BD410000}"/>
    <cellStyle name="Currency 5 3 2 2 2 2 5 3 3" xfId="18146" xr:uid="{00000000-0005-0000-0000-0000BE410000}"/>
    <cellStyle name="Currency 5 3 2 2 2 2 5 4" xfId="18147" xr:uid="{00000000-0005-0000-0000-0000BF410000}"/>
    <cellStyle name="Currency 5 3 2 2 2 2 5 4 2" xfId="18148" xr:uid="{00000000-0005-0000-0000-0000C0410000}"/>
    <cellStyle name="Currency 5 3 2 2 2 2 5 5" xfId="18149" xr:uid="{00000000-0005-0000-0000-0000C1410000}"/>
    <cellStyle name="Currency 5 3 2 2 2 2 6" xfId="18150" xr:uid="{00000000-0005-0000-0000-0000C2410000}"/>
    <cellStyle name="Currency 5 3 2 2 2 2 6 2" xfId="18151" xr:uid="{00000000-0005-0000-0000-0000C3410000}"/>
    <cellStyle name="Currency 5 3 2 2 2 2 6 2 2" xfId="18152" xr:uid="{00000000-0005-0000-0000-0000C4410000}"/>
    <cellStyle name="Currency 5 3 2 2 2 2 6 2 2 2" xfId="18153" xr:uid="{00000000-0005-0000-0000-0000C5410000}"/>
    <cellStyle name="Currency 5 3 2 2 2 2 6 2 3" xfId="18154" xr:uid="{00000000-0005-0000-0000-0000C6410000}"/>
    <cellStyle name="Currency 5 3 2 2 2 2 6 3" xfId="18155" xr:uid="{00000000-0005-0000-0000-0000C7410000}"/>
    <cellStyle name="Currency 5 3 2 2 2 2 6 3 2" xfId="18156" xr:uid="{00000000-0005-0000-0000-0000C8410000}"/>
    <cellStyle name="Currency 5 3 2 2 2 2 6 4" xfId="18157" xr:uid="{00000000-0005-0000-0000-0000C9410000}"/>
    <cellStyle name="Currency 5 3 2 2 2 2 7" xfId="18158" xr:uid="{00000000-0005-0000-0000-0000CA410000}"/>
    <cellStyle name="Currency 5 3 2 2 2 2 7 2" xfId="18159" xr:uid="{00000000-0005-0000-0000-0000CB410000}"/>
    <cellStyle name="Currency 5 3 2 2 2 2 7 2 2" xfId="18160" xr:uid="{00000000-0005-0000-0000-0000CC410000}"/>
    <cellStyle name="Currency 5 3 2 2 2 2 7 2 2 2" xfId="18161" xr:uid="{00000000-0005-0000-0000-0000CD410000}"/>
    <cellStyle name="Currency 5 3 2 2 2 2 7 2 3" xfId="18162" xr:uid="{00000000-0005-0000-0000-0000CE410000}"/>
    <cellStyle name="Currency 5 3 2 2 2 2 7 3" xfId="18163" xr:uid="{00000000-0005-0000-0000-0000CF410000}"/>
    <cellStyle name="Currency 5 3 2 2 2 2 7 3 2" xfId="18164" xr:uid="{00000000-0005-0000-0000-0000D0410000}"/>
    <cellStyle name="Currency 5 3 2 2 2 2 7 4" xfId="18165" xr:uid="{00000000-0005-0000-0000-0000D1410000}"/>
    <cellStyle name="Currency 5 3 2 2 2 2 8" xfId="18166" xr:uid="{00000000-0005-0000-0000-0000D2410000}"/>
    <cellStyle name="Currency 5 3 2 2 2 2 8 2" xfId="18167" xr:uid="{00000000-0005-0000-0000-0000D3410000}"/>
    <cellStyle name="Currency 5 3 2 2 2 2 8 2 2" xfId="18168" xr:uid="{00000000-0005-0000-0000-0000D4410000}"/>
    <cellStyle name="Currency 5 3 2 2 2 2 8 2 2 2" xfId="18169" xr:uid="{00000000-0005-0000-0000-0000D5410000}"/>
    <cellStyle name="Currency 5 3 2 2 2 2 8 2 3" xfId="18170" xr:uid="{00000000-0005-0000-0000-0000D6410000}"/>
    <cellStyle name="Currency 5 3 2 2 2 2 8 3" xfId="18171" xr:uid="{00000000-0005-0000-0000-0000D7410000}"/>
    <cellStyle name="Currency 5 3 2 2 2 2 8 3 2" xfId="18172" xr:uid="{00000000-0005-0000-0000-0000D8410000}"/>
    <cellStyle name="Currency 5 3 2 2 2 2 8 4" xfId="18173" xr:uid="{00000000-0005-0000-0000-0000D9410000}"/>
    <cellStyle name="Currency 5 3 2 2 2 2 9" xfId="18174" xr:uid="{00000000-0005-0000-0000-0000DA410000}"/>
    <cellStyle name="Currency 5 3 2 2 2 2 9 2" xfId="18175" xr:uid="{00000000-0005-0000-0000-0000DB410000}"/>
    <cellStyle name="Currency 5 3 2 2 2 2 9 2 2" xfId="18176" xr:uid="{00000000-0005-0000-0000-0000DC410000}"/>
    <cellStyle name="Currency 5 3 2 2 2 2 9 3" xfId="18177" xr:uid="{00000000-0005-0000-0000-0000DD410000}"/>
    <cellStyle name="Currency 5 3 2 2 2 3" xfId="367" xr:uid="{00000000-0005-0000-0000-0000DE410000}"/>
    <cellStyle name="Currency 5 3 2 2 2 4" xfId="916" xr:uid="{00000000-0005-0000-0000-0000DF410000}"/>
    <cellStyle name="Currency 5 3 2 2 2 4 10" xfId="18179" xr:uid="{00000000-0005-0000-0000-0000E0410000}"/>
    <cellStyle name="Currency 5 3 2 2 2 4 11" xfId="18178" xr:uid="{00000000-0005-0000-0000-0000E1410000}"/>
    <cellStyle name="Currency 5 3 2 2 2 4 2" xfId="1657" xr:uid="{00000000-0005-0000-0000-0000E2410000}"/>
    <cellStyle name="Currency 5 3 2 2 2 4 2 2" xfId="18181" xr:uid="{00000000-0005-0000-0000-0000E3410000}"/>
    <cellStyle name="Currency 5 3 2 2 2 4 2 2 2" xfId="18182" xr:uid="{00000000-0005-0000-0000-0000E4410000}"/>
    <cellStyle name="Currency 5 3 2 2 2 4 2 2 2 2" xfId="18183" xr:uid="{00000000-0005-0000-0000-0000E5410000}"/>
    <cellStyle name="Currency 5 3 2 2 2 4 2 2 2 2 2" xfId="18184" xr:uid="{00000000-0005-0000-0000-0000E6410000}"/>
    <cellStyle name="Currency 5 3 2 2 2 4 2 2 2 3" xfId="18185" xr:uid="{00000000-0005-0000-0000-0000E7410000}"/>
    <cellStyle name="Currency 5 3 2 2 2 4 2 2 3" xfId="18186" xr:uid="{00000000-0005-0000-0000-0000E8410000}"/>
    <cellStyle name="Currency 5 3 2 2 2 4 2 2 3 2" xfId="18187" xr:uid="{00000000-0005-0000-0000-0000E9410000}"/>
    <cellStyle name="Currency 5 3 2 2 2 4 2 2 4" xfId="18188" xr:uid="{00000000-0005-0000-0000-0000EA410000}"/>
    <cellStyle name="Currency 5 3 2 2 2 4 2 3" xfId="18189" xr:uid="{00000000-0005-0000-0000-0000EB410000}"/>
    <cellStyle name="Currency 5 3 2 2 2 4 2 3 2" xfId="18190" xr:uid="{00000000-0005-0000-0000-0000EC410000}"/>
    <cellStyle name="Currency 5 3 2 2 2 4 2 3 2 2" xfId="18191" xr:uid="{00000000-0005-0000-0000-0000ED410000}"/>
    <cellStyle name="Currency 5 3 2 2 2 4 2 3 2 2 2" xfId="18192" xr:uid="{00000000-0005-0000-0000-0000EE410000}"/>
    <cellStyle name="Currency 5 3 2 2 2 4 2 3 2 3" xfId="18193" xr:uid="{00000000-0005-0000-0000-0000EF410000}"/>
    <cellStyle name="Currency 5 3 2 2 2 4 2 3 3" xfId="18194" xr:uid="{00000000-0005-0000-0000-0000F0410000}"/>
    <cellStyle name="Currency 5 3 2 2 2 4 2 3 3 2" xfId="18195" xr:uid="{00000000-0005-0000-0000-0000F1410000}"/>
    <cellStyle name="Currency 5 3 2 2 2 4 2 3 4" xfId="18196" xr:uid="{00000000-0005-0000-0000-0000F2410000}"/>
    <cellStyle name="Currency 5 3 2 2 2 4 2 4" xfId="18197" xr:uid="{00000000-0005-0000-0000-0000F3410000}"/>
    <cellStyle name="Currency 5 3 2 2 2 4 2 4 2" xfId="18198" xr:uid="{00000000-0005-0000-0000-0000F4410000}"/>
    <cellStyle name="Currency 5 3 2 2 2 4 2 4 2 2" xfId="18199" xr:uid="{00000000-0005-0000-0000-0000F5410000}"/>
    <cellStyle name="Currency 5 3 2 2 2 4 2 4 3" xfId="18200" xr:uid="{00000000-0005-0000-0000-0000F6410000}"/>
    <cellStyle name="Currency 5 3 2 2 2 4 2 5" xfId="18201" xr:uid="{00000000-0005-0000-0000-0000F7410000}"/>
    <cellStyle name="Currency 5 3 2 2 2 4 2 5 2" xfId="18202" xr:uid="{00000000-0005-0000-0000-0000F8410000}"/>
    <cellStyle name="Currency 5 3 2 2 2 4 2 6" xfId="18203" xr:uid="{00000000-0005-0000-0000-0000F9410000}"/>
    <cellStyle name="Currency 5 3 2 2 2 4 2 7" xfId="18180" xr:uid="{00000000-0005-0000-0000-0000FA410000}"/>
    <cellStyle name="Currency 5 3 2 2 2 4 3" xfId="18204" xr:uid="{00000000-0005-0000-0000-0000FB410000}"/>
    <cellStyle name="Currency 5 3 2 2 2 4 3 2" xfId="18205" xr:uid="{00000000-0005-0000-0000-0000FC410000}"/>
    <cellStyle name="Currency 5 3 2 2 2 4 3 2 2" xfId="18206" xr:uid="{00000000-0005-0000-0000-0000FD410000}"/>
    <cellStyle name="Currency 5 3 2 2 2 4 3 2 2 2" xfId="18207" xr:uid="{00000000-0005-0000-0000-0000FE410000}"/>
    <cellStyle name="Currency 5 3 2 2 2 4 3 2 2 2 2" xfId="18208" xr:uid="{00000000-0005-0000-0000-0000FF410000}"/>
    <cellStyle name="Currency 5 3 2 2 2 4 3 2 2 3" xfId="18209" xr:uid="{00000000-0005-0000-0000-000000420000}"/>
    <cellStyle name="Currency 5 3 2 2 2 4 3 2 3" xfId="18210" xr:uid="{00000000-0005-0000-0000-000001420000}"/>
    <cellStyle name="Currency 5 3 2 2 2 4 3 2 3 2" xfId="18211" xr:uid="{00000000-0005-0000-0000-000002420000}"/>
    <cellStyle name="Currency 5 3 2 2 2 4 3 2 4" xfId="18212" xr:uid="{00000000-0005-0000-0000-000003420000}"/>
    <cellStyle name="Currency 5 3 2 2 2 4 3 3" xfId="18213" xr:uid="{00000000-0005-0000-0000-000004420000}"/>
    <cellStyle name="Currency 5 3 2 2 2 4 3 3 2" xfId="18214" xr:uid="{00000000-0005-0000-0000-000005420000}"/>
    <cellStyle name="Currency 5 3 2 2 2 4 3 3 2 2" xfId="18215" xr:uid="{00000000-0005-0000-0000-000006420000}"/>
    <cellStyle name="Currency 5 3 2 2 2 4 3 3 3" xfId="18216" xr:uid="{00000000-0005-0000-0000-000007420000}"/>
    <cellStyle name="Currency 5 3 2 2 2 4 3 4" xfId="18217" xr:uid="{00000000-0005-0000-0000-000008420000}"/>
    <cellStyle name="Currency 5 3 2 2 2 4 3 4 2" xfId="18218" xr:uid="{00000000-0005-0000-0000-000009420000}"/>
    <cellStyle name="Currency 5 3 2 2 2 4 3 5" xfId="18219" xr:uid="{00000000-0005-0000-0000-00000A420000}"/>
    <cellStyle name="Currency 5 3 2 2 2 4 4" xfId="18220" xr:uid="{00000000-0005-0000-0000-00000B420000}"/>
    <cellStyle name="Currency 5 3 2 2 2 4 4 2" xfId="18221" xr:uid="{00000000-0005-0000-0000-00000C420000}"/>
    <cellStyle name="Currency 5 3 2 2 2 4 4 2 2" xfId="18222" xr:uid="{00000000-0005-0000-0000-00000D420000}"/>
    <cellStyle name="Currency 5 3 2 2 2 4 4 2 2 2" xfId="18223" xr:uid="{00000000-0005-0000-0000-00000E420000}"/>
    <cellStyle name="Currency 5 3 2 2 2 4 4 2 2 2 2" xfId="18224" xr:uid="{00000000-0005-0000-0000-00000F420000}"/>
    <cellStyle name="Currency 5 3 2 2 2 4 4 2 2 3" xfId="18225" xr:uid="{00000000-0005-0000-0000-000010420000}"/>
    <cellStyle name="Currency 5 3 2 2 2 4 4 2 3" xfId="18226" xr:uid="{00000000-0005-0000-0000-000011420000}"/>
    <cellStyle name="Currency 5 3 2 2 2 4 4 2 3 2" xfId="18227" xr:uid="{00000000-0005-0000-0000-000012420000}"/>
    <cellStyle name="Currency 5 3 2 2 2 4 4 2 4" xfId="18228" xr:uid="{00000000-0005-0000-0000-000013420000}"/>
    <cellStyle name="Currency 5 3 2 2 2 4 4 3" xfId="18229" xr:uid="{00000000-0005-0000-0000-000014420000}"/>
    <cellStyle name="Currency 5 3 2 2 2 4 4 3 2" xfId="18230" xr:uid="{00000000-0005-0000-0000-000015420000}"/>
    <cellStyle name="Currency 5 3 2 2 2 4 4 3 2 2" xfId="18231" xr:uid="{00000000-0005-0000-0000-000016420000}"/>
    <cellStyle name="Currency 5 3 2 2 2 4 4 3 3" xfId="18232" xr:uid="{00000000-0005-0000-0000-000017420000}"/>
    <cellStyle name="Currency 5 3 2 2 2 4 4 4" xfId="18233" xr:uid="{00000000-0005-0000-0000-000018420000}"/>
    <cellStyle name="Currency 5 3 2 2 2 4 4 4 2" xfId="18234" xr:uid="{00000000-0005-0000-0000-000019420000}"/>
    <cellStyle name="Currency 5 3 2 2 2 4 4 5" xfId="18235" xr:uid="{00000000-0005-0000-0000-00001A420000}"/>
    <cellStyle name="Currency 5 3 2 2 2 4 5" xfId="18236" xr:uid="{00000000-0005-0000-0000-00001B420000}"/>
    <cellStyle name="Currency 5 3 2 2 2 4 5 2" xfId="18237" xr:uid="{00000000-0005-0000-0000-00001C420000}"/>
    <cellStyle name="Currency 5 3 2 2 2 4 5 2 2" xfId="18238" xr:uid="{00000000-0005-0000-0000-00001D420000}"/>
    <cellStyle name="Currency 5 3 2 2 2 4 5 2 2 2" xfId="18239" xr:uid="{00000000-0005-0000-0000-00001E420000}"/>
    <cellStyle name="Currency 5 3 2 2 2 4 5 2 3" xfId="18240" xr:uid="{00000000-0005-0000-0000-00001F420000}"/>
    <cellStyle name="Currency 5 3 2 2 2 4 5 3" xfId="18241" xr:uid="{00000000-0005-0000-0000-000020420000}"/>
    <cellStyle name="Currency 5 3 2 2 2 4 5 3 2" xfId="18242" xr:uid="{00000000-0005-0000-0000-000021420000}"/>
    <cellStyle name="Currency 5 3 2 2 2 4 5 4" xfId="18243" xr:uid="{00000000-0005-0000-0000-000022420000}"/>
    <cellStyle name="Currency 5 3 2 2 2 4 6" xfId="18244" xr:uid="{00000000-0005-0000-0000-000023420000}"/>
    <cellStyle name="Currency 5 3 2 2 2 4 6 2" xfId="18245" xr:uid="{00000000-0005-0000-0000-000024420000}"/>
    <cellStyle name="Currency 5 3 2 2 2 4 6 2 2" xfId="18246" xr:uid="{00000000-0005-0000-0000-000025420000}"/>
    <cellStyle name="Currency 5 3 2 2 2 4 6 2 2 2" xfId="18247" xr:uid="{00000000-0005-0000-0000-000026420000}"/>
    <cellStyle name="Currency 5 3 2 2 2 4 6 2 3" xfId="18248" xr:uid="{00000000-0005-0000-0000-000027420000}"/>
    <cellStyle name="Currency 5 3 2 2 2 4 6 3" xfId="18249" xr:uid="{00000000-0005-0000-0000-000028420000}"/>
    <cellStyle name="Currency 5 3 2 2 2 4 6 3 2" xfId="18250" xr:uid="{00000000-0005-0000-0000-000029420000}"/>
    <cellStyle name="Currency 5 3 2 2 2 4 6 4" xfId="18251" xr:uid="{00000000-0005-0000-0000-00002A420000}"/>
    <cellStyle name="Currency 5 3 2 2 2 4 7" xfId="18252" xr:uid="{00000000-0005-0000-0000-00002B420000}"/>
    <cellStyle name="Currency 5 3 2 2 2 4 7 2" xfId="18253" xr:uid="{00000000-0005-0000-0000-00002C420000}"/>
    <cellStyle name="Currency 5 3 2 2 2 4 7 2 2" xfId="18254" xr:uid="{00000000-0005-0000-0000-00002D420000}"/>
    <cellStyle name="Currency 5 3 2 2 2 4 7 2 2 2" xfId="18255" xr:uid="{00000000-0005-0000-0000-00002E420000}"/>
    <cellStyle name="Currency 5 3 2 2 2 4 7 2 3" xfId="18256" xr:uid="{00000000-0005-0000-0000-00002F420000}"/>
    <cellStyle name="Currency 5 3 2 2 2 4 7 3" xfId="18257" xr:uid="{00000000-0005-0000-0000-000030420000}"/>
    <cellStyle name="Currency 5 3 2 2 2 4 7 3 2" xfId="18258" xr:uid="{00000000-0005-0000-0000-000031420000}"/>
    <cellStyle name="Currency 5 3 2 2 2 4 7 4" xfId="18259" xr:uid="{00000000-0005-0000-0000-000032420000}"/>
    <cellStyle name="Currency 5 3 2 2 2 4 8" xfId="18260" xr:uid="{00000000-0005-0000-0000-000033420000}"/>
    <cellStyle name="Currency 5 3 2 2 2 4 8 2" xfId="18261" xr:uid="{00000000-0005-0000-0000-000034420000}"/>
    <cellStyle name="Currency 5 3 2 2 2 4 8 2 2" xfId="18262" xr:uid="{00000000-0005-0000-0000-000035420000}"/>
    <cellStyle name="Currency 5 3 2 2 2 4 8 3" xfId="18263" xr:uid="{00000000-0005-0000-0000-000036420000}"/>
    <cellStyle name="Currency 5 3 2 2 2 4 9" xfId="18264" xr:uid="{00000000-0005-0000-0000-000037420000}"/>
    <cellStyle name="Currency 5 3 2 2 2 4 9 2" xfId="18265" xr:uid="{00000000-0005-0000-0000-000038420000}"/>
    <cellStyle name="Currency 5 3 2 2 2 5" xfId="1332" xr:uid="{00000000-0005-0000-0000-000039420000}"/>
    <cellStyle name="Currency 5 3 2 2 2 5 2" xfId="18267" xr:uid="{00000000-0005-0000-0000-00003A420000}"/>
    <cellStyle name="Currency 5 3 2 2 2 5 2 2" xfId="18268" xr:uid="{00000000-0005-0000-0000-00003B420000}"/>
    <cellStyle name="Currency 5 3 2 2 2 5 2 2 2" xfId="18269" xr:uid="{00000000-0005-0000-0000-00003C420000}"/>
    <cellStyle name="Currency 5 3 2 2 2 5 2 2 2 2" xfId="18270" xr:uid="{00000000-0005-0000-0000-00003D420000}"/>
    <cellStyle name="Currency 5 3 2 2 2 5 2 2 3" xfId="18271" xr:uid="{00000000-0005-0000-0000-00003E420000}"/>
    <cellStyle name="Currency 5 3 2 2 2 5 2 3" xfId="18272" xr:uid="{00000000-0005-0000-0000-00003F420000}"/>
    <cellStyle name="Currency 5 3 2 2 2 5 2 3 2" xfId="18273" xr:uid="{00000000-0005-0000-0000-000040420000}"/>
    <cellStyle name="Currency 5 3 2 2 2 5 2 4" xfId="18274" xr:uid="{00000000-0005-0000-0000-000041420000}"/>
    <cellStyle name="Currency 5 3 2 2 2 5 3" xfId="18275" xr:uid="{00000000-0005-0000-0000-000042420000}"/>
    <cellStyle name="Currency 5 3 2 2 2 5 3 2" xfId="18276" xr:uid="{00000000-0005-0000-0000-000043420000}"/>
    <cellStyle name="Currency 5 3 2 2 2 5 3 2 2" xfId="18277" xr:uid="{00000000-0005-0000-0000-000044420000}"/>
    <cellStyle name="Currency 5 3 2 2 2 5 3 2 2 2" xfId="18278" xr:uid="{00000000-0005-0000-0000-000045420000}"/>
    <cellStyle name="Currency 5 3 2 2 2 5 3 2 3" xfId="18279" xr:uid="{00000000-0005-0000-0000-000046420000}"/>
    <cellStyle name="Currency 5 3 2 2 2 5 3 3" xfId="18280" xr:uid="{00000000-0005-0000-0000-000047420000}"/>
    <cellStyle name="Currency 5 3 2 2 2 5 3 3 2" xfId="18281" xr:uid="{00000000-0005-0000-0000-000048420000}"/>
    <cellStyle name="Currency 5 3 2 2 2 5 3 4" xfId="18282" xr:uid="{00000000-0005-0000-0000-000049420000}"/>
    <cellStyle name="Currency 5 3 2 2 2 5 4" xfId="18283" xr:uid="{00000000-0005-0000-0000-00004A420000}"/>
    <cellStyle name="Currency 5 3 2 2 2 5 4 2" xfId="18284" xr:uid="{00000000-0005-0000-0000-00004B420000}"/>
    <cellStyle name="Currency 5 3 2 2 2 5 4 2 2" xfId="18285" xr:uid="{00000000-0005-0000-0000-00004C420000}"/>
    <cellStyle name="Currency 5 3 2 2 2 5 4 3" xfId="18286" xr:uid="{00000000-0005-0000-0000-00004D420000}"/>
    <cellStyle name="Currency 5 3 2 2 2 5 5" xfId="18287" xr:uid="{00000000-0005-0000-0000-00004E420000}"/>
    <cellStyle name="Currency 5 3 2 2 2 5 5 2" xfId="18288" xr:uid="{00000000-0005-0000-0000-00004F420000}"/>
    <cellStyle name="Currency 5 3 2 2 2 5 6" xfId="18289" xr:uid="{00000000-0005-0000-0000-000050420000}"/>
    <cellStyle name="Currency 5 3 2 2 2 5 7" xfId="18266" xr:uid="{00000000-0005-0000-0000-000051420000}"/>
    <cellStyle name="Currency 5 3 2 2 2 6" xfId="18290" xr:uid="{00000000-0005-0000-0000-000052420000}"/>
    <cellStyle name="Currency 5 3 2 2 2 6 2" xfId="18291" xr:uid="{00000000-0005-0000-0000-000053420000}"/>
    <cellStyle name="Currency 5 3 2 2 2 6 2 2" xfId="18292" xr:uid="{00000000-0005-0000-0000-000054420000}"/>
    <cellStyle name="Currency 5 3 2 2 2 6 2 2 2" xfId="18293" xr:uid="{00000000-0005-0000-0000-000055420000}"/>
    <cellStyle name="Currency 5 3 2 2 2 6 2 2 2 2" xfId="18294" xr:uid="{00000000-0005-0000-0000-000056420000}"/>
    <cellStyle name="Currency 5 3 2 2 2 6 2 2 3" xfId="18295" xr:uid="{00000000-0005-0000-0000-000057420000}"/>
    <cellStyle name="Currency 5 3 2 2 2 6 2 3" xfId="18296" xr:uid="{00000000-0005-0000-0000-000058420000}"/>
    <cellStyle name="Currency 5 3 2 2 2 6 2 3 2" xfId="18297" xr:uid="{00000000-0005-0000-0000-000059420000}"/>
    <cellStyle name="Currency 5 3 2 2 2 6 2 4" xfId="18298" xr:uid="{00000000-0005-0000-0000-00005A420000}"/>
    <cellStyle name="Currency 5 3 2 2 2 6 3" xfId="18299" xr:uid="{00000000-0005-0000-0000-00005B420000}"/>
    <cellStyle name="Currency 5 3 2 2 2 6 3 2" xfId="18300" xr:uid="{00000000-0005-0000-0000-00005C420000}"/>
    <cellStyle name="Currency 5 3 2 2 2 6 3 2 2" xfId="18301" xr:uid="{00000000-0005-0000-0000-00005D420000}"/>
    <cellStyle name="Currency 5 3 2 2 2 6 3 3" xfId="18302" xr:uid="{00000000-0005-0000-0000-00005E420000}"/>
    <cellStyle name="Currency 5 3 2 2 2 6 4" xfId="18303" xr:uid="{00000000-0005-0000-0000-00005F420000}"/>
    <cellStyle name="Currency 5 3 2 2 2 6 4 2" xfId="18304" xr:uid="{00000000-0005-0000-0000-000060420000}"/>
    <cellStyle name="Currency 5 3 2 2 2 6 5" xfId="18305" xr:uid="{00000000-0005-0000-0000-000061420000}"/>
    <cellStyle name="Currency 5 3 2 2 2 7" xfId="18306" xr:uid="{00000000-0005-0000-0000-000062420000}"/>
    <cellStyle name="Currency 5 3 2 2 2 7 2" xfId="18307" xr:uid="{00000000-0005-0000-0000-000063420000}"/>
    <cellStyle name="Currency 5 3 2 2 2 7 2 2" xfId="18308" xr:uid="{00000000-0005-0000-0000-000064420000}"/>
    <cellStyle name="Currency 5 3 2 2 2 7 2 2 2" xfId="18309" xr:uid="{00000000-0005-0000-0000-000065420000}"/>
    <cellStyle name="Currency 5 3 2 2 2 7 2 2 2 2" xfId="18310" xr:uid="{00000000-0005-0000-0000-000066420000}"/>
    <cellStyle name="Currency 5 3 2 2 2 7 2 2 3" xfId="18311" xr:uid="{00000000-0005-0000-0000-000067420000}"/>
    <cellStyle name="Currency 5 3 2 2 2 7 2 3" xfId="18312" xr:uid="{00000000-0005-0000-0000-000068420000}"/>
    <cellStyle name="Currency 5 3 2 2 2 7 2 3 2" xfId="18313" xr:uid="{00000000-0005-0000-0000-000069420000}"/>
    <cellStyle name="Currency 5 3 2 2 2 7 2 4" xfId="18314" xr:uid="{00000000-0005-0000-0000-00006A420000}"/>
    <cellStyle name="Currency 5 3 2 2 2 7 3" xfId="18315" xr:uid="{00000000-0005-0000-0000-00006B420000}"/>
    <cellStyle name="Currency 5 3 2 2 2 7 3 2" xfId="18316" xr:uid="{00000000-0005-0000-0000-00006C420000}"/>
    <cellStyle name="Currency 5 3 2 2 2 7 3 2 2" xfId="18317" xr:uid="{00000000-0005-0000-0000-00006D420000}"/>
    <cellStyle name="Currency 5 3 2 2 2 7 3 3" xfId="18318" xr:uid="{00000000-0005-0000-0000-00006E420000}"/>
    <cellStyle name="Currency 5 3 2 2 2 7 4" xfId="18319" xr:uid="{00000000-0005-0000-0000-00006F420000}"/>
    <cellStyle name="Currency 5 3 2 2 2 7 4 2" xfId="18320" xr:uid="{00000000-0005-0000-0000-000070420000}"/>
    <cellStyle name="Currency 5 3 2 2 2 7 5" xfId="18321" xr:uid="{00000000-0005-0000-0000-000071420000}"/>
    <cellStyle name="Currency 5 3 2 2 2 8" xfId="18322" xr:uid="{00000000-0005-0000-0000-000072420000}"/>
    <cellStyle name="Currency 5 3 2 2 2 8 2" xfId="18323" xr:uid="{00000000-0005-0000-0000-000073420000}"/>
    <cellStyle name="Currency 5 3 2 2 2 8 2 2" xfId="18324" xr:uid="{00000000-0005-0000-0000-000074420000}"/>
    <cellStyle name="Currency 5 3 2 2 2 8 2 2 2" xfId="18325" xr:uid="{00000000-0005-0000-0000-000075420000}"/>
    <cellStyle name="Currency 5 3 2 2 2 8 2 3" xfId="18326" xr:uid="{00000000-0005-0000-0000-000076420000}"/>
    <cellStyle name="Currency 5 3 2 2 2 8 3" xfId="18327" xr:uid="{00000000-0005-0000-0000-000077420000}"/>
    <cellStyle name="Currency 5 3 2 2 2 8 3 2" xfId="18328" xr:uid="{00000000-0005-0000-0000-000078420000}"/>
    <cellStyle name="Currency 5 3 2 2 2 8 4" xfId="18329" xr:uid="{00000000-0005-0000-0000-000079420000}"/>
    <cellStyle name="Currency 5 3 2 2 2 9" xfId="18330" xr:uid="{00000000-0005-0000-0000-00007A420000}"/>
    <cellStyle name="Currency 5 3 2 2 2 9 2" xfId="18331" xr:uid="{00000000-0005-0000-0000-00007B420000}"/>
    <cellStyle name="Currency 5 3 2 2 2 9 2 2" xfId="18332" xr:uid="{00000000-0005-0000-0000-00007C420000}"/>
    <cellStyle name="Currency 5 3 2 2 2 9 2 2 2" xfId="18333" xr:uid="{00000000-0005-0000-0000-00007D420000}"/>
    <cellStyle name="Currency 5 3 2 2 2 9 2 3" xfId="18334" xr:uid="{00000000-0005-0000-0000-00007E420000}"/>
    <cellStyle name="Currency 5 3 2 2 2 9 3" xfId="18335" xr:uid="{00000000-0005-0000-0000-00007F420000}"/>
    <cellStyle name="Currency 5 3 2 2 2 9 3 2" xfId="18336" xr:uid="{00000000-0005-0000-0000-000080420000}"/>
    <cellStyle name="Currency 5 3 2 2 2 9 4" xfId="18337" xr:uid="{00000000-0005-0000-0000-000081420000}"/>
    <cellStyle name="Currency 5 3 2 2 3" xfId="368" xr:uid="{00000000-0005-0000-0000-000082420000}"/>
    <cellStyle name="Currency 5 3 2 2 3 10" xfId="18339" xr:uid="{00000000-0005-0000-0000-000083420000}"/>
    <cellStyle name="Currency 5 3 2 2 3 10 2" xfId="18340" xr:uid="{00000000-0005-0000-0000-000084420000}"/>
    <cellStyle name="Currency 5 3 2 2 3 10 2 2" xfId="18341" xr:uid="{00000000-0005-0000-0000-000085420000}"/>
    <cellStyle name="Currency 5 3 2 2 3 10 3" xfId="18342" xr:uid="{00000000-0005-0000-0000-000086420000}"/>
    <cellStyle name="Currency 5 3 2 2 3 11" xfId="18343" xr:uid="{00000000-0005-0000-0000-000087420000}"/>
    <cellStyle name="Currency 5 3 2 2 3 11 2" xfId="18344" xr:uid="{00000000-0005-0000-0000-000088420000}"/>
    <cellStyle name="Currency 5 3 2 2 3 11 2 2" xfId="18345" xr:uid="{00000000-0005-0000-0000-000089420000}"/>
    <cellStyle name="Currency 5 3 2 2 3 11 3" xfId="18346" xr:uid="{00000000-0005-0000-0000-00008A420000}"/>
    <cellStyle name="Currency 5 3 2 2 3 12" xfId="18347" xr:uid="{00000000-0005-0000-0000-00008B420000}"/>
    <cellStyle name="Currency 5 3 2 2 3 12 2" xfId="18348" xr:uid="{00000000-0005-0000-0000-00008C420000}"/>
    <cellStyle name="Currency 5 3 2 2 3 13" xfId="18349" xr:uid="{00000000-0005-0000-0000-00008D420000}"/>
    <cellStyle name="Currency 5 3 2 2 3 14" xfId="18350" xr:uid="{00000000-0005-0000-0000-00008E420000}"/>
    <cellStyle name="Currency 5 3 2 2 3 15" xfId="18338" xr:uid="{00000000-0005-0000-0000-00008F420000}"/>
    <cellStyle name="Currency 5 3 2 2 3 2" xfId="918" xr:uid="{00000000-0005-0000-0000-000090420000}"/>
    <cellStyle name="Currency 5 3 2 2 3 2 10" xfId="18352" xr:uid="{00000000-0005-0000-0000-000091420000}"/>
    <cellStyle name="Currency 5 3 2 2 3 2 11" xfId="18351" xr:uid="{00000000-0005-0000-0000-000092420000}"/>
    <cellStyle name="Currency 5 3 2 2 3 2 2" xfId="1659" xr:uid="{00000000-0005-0000-0000-000093420000}"/>
    <cellStyle name="Currency 5 3 2 2 3 2 2 2" xfId="18354" xr:uid="{00000000-0005-0000-0000-000094420000}"/>
    <cellStyle name="Currency 5 3 2 2 3 2 2 2 2" xfId="18355" xr:uid="{00000000-0005-0000-0000-000095420000}"/>
    <cellStyle name="Currency 5 3 2 2 3 2 2 2 2 2" xfId="18356" xr:uid="{00000000-0005-0000-0000-000096420000}"/>
    <cellStyle name="Currency 5 3 2 2 3 2 2 2 2 2 2" xfId="18357" xr:uid="{00000000-0005-0000-0000-000097420000}"/>
    <cellStyle name="Currency 5 3 2 2 3 2 2 2 2 3" xfId="18358" xr:uid="{00000000-0005-0000-0000-000098420000}"/>
    <cellStyle name="Currency 5 3 2 2 3 2 2 2 3" xfId="18359" xr:uid="{00000000-0005-0000-0000-000099420000}"/>
    <cellStyle name="Currency 5 3 2 2 3 2 2 2 3 2" xfId="18360" xr:uid="{00000000-0005-0000-0000-00009A420000}"/>
    <cellStyle name="Currency 5 3 2 2 3 2 2 2 4" xfId="18361" xr:uid="{00000000-0005-0000-0000-00009B420000}"/>
    <cellStyle name="Currency 5 3 2 2 3 2 2 3" xfId="18362" xr:uid="{00000000-0005-0000-0000-00009C420000}"/>
    <cellStyle name="Currency 5 3 2 2 3 2 2 3 2" xfId="18363" xr:uid="{00000000-0005-0000-0000-00009D420000}"/>
    <cellStyle name="Currency 5 3 2 2 3 2 2 3 2 2" xfId="18364" xr:uid="{00000000-0005-0000-0000-00009E420000}"/>
    <cellStyle name="Currency 5 3 2 2 3 2 2 3 2 2 2" xfId="18365" xr:uid="{00000000-0005-0000-0000-00009F420000}"/>
    <cellStyle name="Currency 5 3 2 2 3 2 2 3 2 3" xfId="18366" xr:uid="{00000000-0005-0000-0000-0000A0420000}"/>
    <cellStyle name="Currency 5 3 2 2 3 2 2 3 3" xfId="18367" xr:uid="{00000000-0005-0000-0000-0000A1420000}"/>
    <cellStyle name="Currency 5 3 2 2 3 2 2 3 3 2" xfId="18368" xr:uid="{00000000-0005-0000-0000-0000A2420000}"/>
    <cellStyle name="Currency 5 3 2 2 3 2 2 3 4" xfId="18369" xr:uid="{00000000-0005-0000-0000-0000A3420000}"/>
    <cellStyle name="Currency 5 3 2 2 3 2 2 4" xfId="18370" xr:uid="{00000000-0005-0000-0000-0000A4420000}"/>
    <cellStyle name="Currency 5 3 2 2 3 2 2 4 2" xfId="18371" xr:uid="{00000000-0005-0000-0000-0000A5420000}"/>
    <cellStyle name="Currency 5 3 2 2 3 2 2 4 2 2" xfId="18372" xr:uid="{00000000-0005-0000-0000-0000A6420000}"/>
    <cellStyle name="Currency 5 3 2 2 3 2 2 4 3" xfId="18373" xr:uid="{00000000-0005-0000-0000-0000A7420000}"/>
    <cellStyle name="Currency 5 3 2 2 3 2 2 5" xfId="18374" xr:uid="{00000000-0005-0000-0000-0000A8420000}"/>
    <cellStyle name="Currency 5 3 2 2 3 2 2 5 2" xfId="18375" xr:uid="{00000000-0005-0000-0000-0000A9420000}"/>
    <cellStyle name="Currency 5 3 2 2 3 2 2 6" xfId="18376" xr:uid="{00000000-0005-0000-0000-0000AA420000}"/>
    <cellStyle name="Currency 5 3 2 2 3 2 2 7" xfId="18353" xr:uid="{00000000-0005-0000-0000-0000AB420000}"/>
    <cellStyle name="Currency 5 3 2 2 3 2 3" xfId="18377" xr:uid="{00000000-0005-0000-0000-0000AC420000}"/>
    <cellStyle name="Currency 5 3 2 2 3 2 3 2" xfId="18378" xr:uid="{00000000-0005-0000-0000-0000AD420000}"/>
    <cellStyle name="Currency 5 3 2 2 3 2 3 2 2" xfId="18379" xr:uid="{00000000-0005-0000-0000-0000AE420000}"/>
    <cellStyle name="Currency 5 3 2 2 3 2 3 2 2 2" xfId="18380" xr:uid="{00000000-0005-0000-0000-0000AF420000}"/>
    <cellStyle name="Currency 5 3 2 2 3 2 3 2 2 2 2" xfId="18381" xr:uid="{00000000-0005-0000-0000-0000B0420000}"/>
    <cellStyle name="Currency 5 3 2 2 3 2 3 2 2 3" xfId="18382" xr:uid="{00000000-0005-0000-0000-0000B1420000}"/>
    <cellStyle name="Currency 5 3 2 2 3 2 3 2 3" xfId="18383" xr:uid="{00000000-0005-0000-0000-0000B2420000}"/>
    <cellStyle name="Currency 5 3 2 2 3 2 3 2 3 2" xfId="18384" xr:uid="{00000000-0005-0000-0000-0000B3420000}"/>
    <cellStyle name="Currency 5 3 2 2 3 2 3 2 4" xfId="18385" xr:uid="{00000000-0005-0000-0000-0000B4420000}"/>
    <cellStyle name="Currency 5 3 2 2 3 2 3 3" xfId="18386" xr:uid="{00000000-0005-0000-0000-0000B5420000}"/>
    <cellStyle name="Currency 5 3 2 2 3 2 3 3 2" xfId="18387" xr:uid="{00000000-0005-0000-0000-0000B6420000}"/>
    <cellStyle name="Currency 5 3 2 2 3 2 3 3 2 2" xfId="18388" xr:uid="{00000000-0005-0000-0000-0000B7420000}"/>
    <cellStyle name="Currency 5 3 2 2 3 2 3 3 3" xfId="18389" xr:uid="{00000000-0005-0000-0000-0000B8420000}"/>
    <cellStyle name="Currency 5 3 2 2 3 2 3 4" xfId="18390" xr:uid="{00000000-0005-0000-0000-0000B9420000}"/>
    <cellStyle name="Currency 5 3 2 2 3 2 3 4 2" xfId="18391" xr:uid="{00000000-0005-0000-0000-0000BA420000}"/>
    <cellStyle name="Currency 5 3 2 2 3 2 3 5" xfId="18392" xr:uid="{00000000-0005-0000-0000-0000BB420000}"/>
    <cellStyle name="Currency 5 3 2 2 3 2 4" xfId="18393" xr:uid="{00000000-0005-0000-0000-0000BC420000}"/>
    <cellStyle name="Currency 5 3 2 2 3 2 4 2" xfId="18394" xr:uid="{00000000-0005-0000-0000-0000BD420000}"/>
    <cellStyle name="Currency 5 3 2 2 3 2 4 2 2" xfId="18395" xr:uid="{00000000-0005-0000-0000-0000BE420000}"/>
    <cellStyle name="Currency 5 3 2 2 3 2 4 2 2 2" xfId="18396" xr:uid="{00000000-0005-0000-0000-0000BF420000}"/>
    <cellStyle name="Currency 5 3 2 2 3 2 4 2 2 2 2" xfId="18397" xr:uid="{00000000-0005-0000-0000-0000C0420000}"/>
    <cellStyle name="Currency 5 3 2 2 3 2 4 2 2 3" xfId="18398" xr:uid="{00000000-0005-0000-0000-0000C1420000}"/>
    <cellStyle name="Currency 5 3 2 2 3 2 4 2 3" xfId="18399" xr:uid="{00000000-0005-0000-0000-0000C2420000}"/>
    <cellStyle name="Currency 5 3 2 2 3 2 4 2 3 2" xfId="18400" xr:uid="{00000000-0005-0000-0000-0000C3420000}"/>
    <cellStyle name="Currency 5 3 2 2 3 2 4 2 4" xfId="18401" xr:uid="{00000000-0005-0000-0000-0000C4420000}"/>
    <cellStyle name="Currency 5 3 2 2 3 2 4 3" xfId="18402" xr:uid="{00000000-0005-0000-0000-0000C5420000}"/>
    <cellStyle name="Currency 5 3 2 2 3 2 4 3 2" xfId="18403" xr:uid="{00000000-0005-0000-0000-0000C6420000}"/>
    <cellStyle name="Currency 5 3 2 2 3 2 4 3 2 2" xfId="18404" xr:uid="{00000000-0005-0000-0000-0000C7420000}"/>
    <cellStyle name="Currency 5 3 2 2 3 2 4 3 3" xfId="18405" xr:uid="{00000000-0005-0000-0000-0000C8420000}"/>
    <cellStyle name="Currency 5 3 2 2 3 2 4 4" xfId="18406" xr:uid="{00000000-0005-0000-0000-0000C9420000}"/>
    <cellStyle name="Currency 5 3 2 2 3 2 4 4 2" xfId="18407" xr:uid="{00000000-0005-0000-0000-0000CA420000}"/>
    <cellStyle name="Currency 5 3 2 2 3 2 4 5" xfId="18408" xr:uid="{00000000-0005-0000-0000-0000CB420000}"/>
    <cellStyle name="Currency 5 3 2 2 3 2 5" xfId="18409" xr:uid="{00000000-0005-0000-0000-0000CC420000}"/>
    <cellStyle name="Currency 5 3 2 2 3 2 5 2" xfId="18410" xr:uid="{00000000-0005-0000-0000-0000CD420000}"/>
    <cellStyle name="Currency 5 3 2 2 3 2 5 2 2" xfId="18411" xr:uid="{00000000-0005-0000-0000-0000CE420000}"/>
    <cellStyle name="Currency 5 3 2 2 3 2 5 2 2 2" xfId="18412" xr:uid="{00000000-0005-0000-0000-0000CF420000}"/>
    <cellStyle name="Currency 5 3 2 2 3 2 5 2 3" xfId="18413" xr:uid="{00000000-0005-0000-0000-0000D0420000}"/>
    <cellStyle name="Currency 5 3 2 2 3 2 5 3" xfId="18414" xr:uid="{00000000-0005-0000-0000-0000D1420000}"/>
    <cellStyle name="Currency 5 3 2 2 3 2 5 3 2" xfId="18415" xr:uid="{00000000-0005-0000-0000-0000D2420000}"/>
    <cellStyle name="Currency 5 3 2 2 3 2 5 4" xfId="18416" xr:uid="{00000000-0005-0000-0000-0000D3420000}"/>
    <cellStyle name="Currency 5 3 2 2 3 2 6" xfId="18417" xr:uid="{00000000-0005-0000-0000-0000D4420000}"/>
    <cellStyle name="Currency 5 3 2 2 3 2 6 2" xfId="18418" xr:uid="{00000000-0005-0000-0000-0000D5420000}"/>
    <cellStyle name="Currency 5 3 2 2 3 2 6 2 2" xfId="18419" xr:uid="{00000000-0005-0000-0000-0000D6420000}"/>
    <cellStyle name="Currency 5 3 2 2 3 2 6 2 2 2" xfId="18420" xr:uid="{00000000-0005-0000-0000-0000D7420000}"/>
    <cellStyle name="Currency 5 3 2 2 3 2 6 2 3" xfId="18421" xr:uid="{00000000-0005-0000-0000-0000D8420000}"/>
    <cellStyle name="Currency 5 3 2 2 3 2 6 3" xfId="18422" xr:uid="{00000000-0005-0000-0000-0000D9420000}"/>
    <cellStyle name="Currency 5 3 2 2 3 2 6 3 2" xfId="18423" xr:uid="{00000000-0005-0000-0000-0000DA420000}"/>
    <cellStyle name="Currency 5 3 2 2 3 2 6 4" xfId="18424" xr:uid="{00000000-0005-0000-0000-0000DB420000}"/>
    <cellStyle name="Currency 5 3 2 2 3 2 7" xfId="18425" xr:uid="{00000000-0005-0000-0000-0000DC420000}"/>
    <cellStyle name="Currency 5 3 2 2 3 2 7 2" xfId="18426" xr:uid="{00000000-0005-0000-0000-0000DD420000}"/>
    <cellStyle name="Currency 5 3 2 2 3 2 7 2 2" xfId="18427" xr:uid="{00000000-0005-0000-0000-0000DE420000}"/>
    <cellStyle name="Currency 5 3 2 2 3 2 7 2 2 2" xfId="18428" xr:uid="{00000000-0005-0000-0000-0000DF420000}"/>
    <cellStyle name="Currency 5 3 2 2 3 2 7 2 3" xfId="18429" xr:uid="{00000000-0005-0000-0000-0000E0420000}"/>
    <cellStyle name="Currency 5 3 2 2 3 2 7 3" xfId="18430" xr:uid="{00000000-0005-0000-0000-0000E1420000}"/>
    <cellStyle name="Currency 5 3 2 2 3 2 7 3 2" xfId="18431" xr:uid="{00000000-0005-0000-0000-0000E2420000}"/>
    <cellStyle name="Currency 5 3 2 2 3 2 7 4" xfId="18432" xr:uid="{00000000-0005-0000-0000-0000E3420000}"/>
    <cellStyle name="Currency 5 3 2 2 3 2 8" xfId="18433" xr:uid="{00000000-0005-0000-0000-0000E4420000}"/>
    <cellStyle name="Currency 5 3 2 2 3 2 8 2" xfId="18434" xr:uid="{00000000-0005-0000-0000-0000E5420000}"/>
    <cellStyle name="Currency 5 3 2 2 3 2 8 2 2" xfId="18435" xr:uid="{00000000-0005-0000-0000-0000E6420000}"/>
    <cellStyle name="Currency 5 3 2 2 3 2 8 3" xfId="18436" xr:uid="{00000000-0005-0000-0000-0000E7420000}"/>
    <cellStyle name="Currency 5 3 2 2 3 2 9" xfId="18437" xr:uid="{00000000-0005-0000-0000-0000E8420000}"/>
    <cellStyle name="Currency 5 3 2 2 3 2 9 2" xfId="18438" xr:uid="{00000000-0005-0000-0000-0000E9420000}"/>
    <cellStyle name="Currency 5 3 2 2 3 3" xfId="1334" xr:uid="{00000000-0005-0000-0000-0000EA420000}"/>
    <cellStyle name="Currency 5 3 2 2 3 3 2" xfId="18440" xr:uid="{00000000-0005-0000-0000-0000EB420000}"/>
    <cellStyle name="Currency 5 3 2 2 3 3 2 2" xfId="18441" xr:uid="{00000000-0005-0000-0000-0000EC420000}"/>
    <cellStyle name="Currency 5 3 2 2 3 3 2 2 2" xfId="18442" xr:uid="{00000000-0005-0000-0000-0000ED420000}"/>
    <cellStyle name="Currency 5 3 2 2 3 3 2 2 2 2" xfId="18443" xr:uid="{00000000-0005-0000-0000-0000EE420000}"/>
    <cellStyle name="Currency 5 3 2 2 3 3 2 2 3" xfId="18444" xr:uid="{00000000-0005-0000-0000-0000EF420000}"/>
    <cellStyle name="Currency 5 3 2 2 3 3 2 3" xfId="18445" xr:uid="{00000000-0005-0000-0000-0000F0420000}"/>
    <cellStyle name="Currency 5 3 2 2 3 3 2 3 2" xfId="18446" xr:uid="{00000000-0005-0000-0000-0000F1420000}"/>
    <cellStyle name="Currency 5 3 2 2 3 3 2 4" xfId="18447" xr:uid="{00000000-0005-0000-0000-0000F2420000}"/>
    <cellStyle name="Currency 5 3 2 2 3 3 3" xfId="18448" xr:uid="{00000000-0005-0000-0000-0000F3420000}"/>
    <cellStyle name="Currency 5 3 2 2 3 3 3 2" xfId="18449" xr:uid="{00000000-0005-0000-0000-0000F4420000}"/>
    <cellStyle name="Currency 5 3 2 2 3 3 3 2 2" xfId="18450" xr:uid="{00000000-0005-0000-0000-0000F5420000}"/>
    <cellStyle name="Currency 5 3 2 2 3 3 3 2 2 2" xfId="18451" xr:uid="{00000000-0005-0000-0000-0000F6420000}"/>
    <cellStyle name="Currency 5 3 2 2 3 3 3 2 3" xfId="18452" xr:uid="{00000000-0005-0000-0000-0000F7420000}"/>
    <cellStyle name="Currency 5 3 2 2 3 3 3 3" xfId="18453" xr:uid="{00000000-0005-0000-0000-0000F8420000}"/>
    <cellStyle name="Currency 5 3 2 2 3 3 3 3 2" xfId="18454" xr:uid="{00000000-0005-0000-0000-0000F9420000}"/>
    <cellStyle name="Currency 5 3 2 2 3 3 3 4" xfId="18455" xr:uid="{00000000-0005-0000-0000-0000FA420000}"/>
    <cellStyle name="Currency 5 3 2 2 3 3 4" xfId="18456" xr:uid="{00000000-0005-0000-0000-0000FB420000}"/>
    <cellStyle name="Currency 5 3 2 2 3 3 4 2" xfId="18457" xr:uid="{00000000-0005-0000-0000-0000FC420000}"/>
    <cellStyle name="Currency 5 3 2 2 3 3 4 2 2" xfId="18458" xr:uid="{00000000-0005-0000-0000-0000FD420000}"/>
    <cellStyle name="Currency 5 3 2 2 3 3 4 3" xfId="18459" xr:uid="{00000000-0005-0000-0000-0000FE420000}"/>
    <cellStyle name="Currency 5 3 2 2 3 3 5" xfId="18460" xr:uid="{00000000-0005-0000-0000-0000FF420000}"/>
    <cellStyle name="Currency 5 3 2 2 3 3 5 2" xfId="18461" xr:uid="{00000000-0005-0000-0000-000000430000}"/>
    <cellStyle name="Currency 5 3 2 2 3 3 6" xfId="18462" xr:uid="{00000000-0005-0000-0000-000001430000}"/>
    <cellStyle name="Currency 5 3 2 2 3 3 7" xfId="18439" xr:uid="{00000000-0005-0000-0000-000002430000}"/>
    <cellStyle name="Currency 5 3 2 2 3 4" xfId="18463" xr:uid="{00000000-0005-0000-0000-000003430000}"/>
    <cellStyle name="Currency 5 3 2 2 3 4 2" xfId="18464" xr:uid="{00000000-0005-0000-0000-000004430000}"/>
    <cellStyle name="Currency 5 3 2 2 3 4 2 2" xfId="18465" xr:uid="{00000000-0005-0000-0000-000005430000}"/>
    <cellStyle name="Currency 5 3 2 2 3 4 2 2 2" xfId="18466" xr:uid="{00000000-0005-0000-0000-000006430000}"/>
    <cellStyle name="Currency 5 3 2 2 3 4 2 2 2 2" xfId="18467" xr:uid="{00000000-0005-0000-0000-000007430000}"/>
    <cellStyle name="Currency 5 3 2 2 3 4 2 2 3" xfId="18468" xr:uid="{00000000-0005-0000-0000-000008430000}"/>
    <cellStyle name="Currency 5 3 2 2 3 4 2 3" xfId="18469" xr:uid="{00000000-0005-0000-0000-000009430000}"/>
    <cellStyle name="Currency 5 3 2 2 3 4 2 3 2" xfId="18470" xr:uid="{00000000-0005-0000-0000-00000A430000}"/>
    <cellStyle name="Currency 5 3 2 2 3 4 2 4" xfId="18471" xr:uid="{00000000-0005-0000-0000-00000B430000}"/>
    <cellStyle name="Currency 5 3 2 2 3 4 3" xfId="18472" xr:uid="{00000000-0005-0000-0000-00000C430000}"/>
    <cellStyle name="Currency 5 3 2 2 3 4 3 2" xfId="18473" xr:uid="{00000000-0005-0000-0000-00000D430000}"/>
    <cellStyle name="Currency 5 3 2 2 3 4 3 2 2" xfId="18474" xr:uid="{00000000-0005-0000-0000-00000E430000}"/>
    <cellStyle name="Currency 5 3 2 2 3 4 3 3" xfId="18475" xr:uid="{00000000-0005-0000-0000-00000F430000}"/>
    <cellStyle name="Currency 5 3 2 2 3 4 4" xfId="18476" xr:uid="{00000000-0005-0000-0000-000010430000}"/>
    <cellStyle name="Currency 5 3 2 2 3 4 4 2" xfId="18477" xr:uid="{00000000-0005-0000-0000-000011430000}"/>
    <cellStyle name="Currency 5 3 2 2 3 4 5" xfId="18478" xr:uid="{00000000-0005-0000-0000-000012430000}"/>
    <cellStyle name="Currency 5 3 2 2 3 5" xfId="18479" xr:uid="{00000000-0005-0000-0000-000013430000}"/>
    <cellStyle name="Currency 5 3 2 2 3 5 2" xfId="18480" xr:uid="{00000000-0005-0000-0000-000014430000}"/>
    <cellStyle name="Currency 5 3 2 2 3 5 2 2" xfId="18481" xr:uid="{00000000-0005-0000-0000-000015430000}"/>
    <cellStyle name="Currency 5 3 2 2 3 5 2 2 2" xfId="18482" xr:uid="{00000000-0005-0000-0000-000016430000}"/>
    <cellStyle name="Currency 5 3 2 2 3 5 2 2 2 2" xfId="18483" xr:uid="{00000000-0005-0000-0000-000017430000}"/>
    <cellStyle name="Currency 5 3 2 2 3 5 2 2 3" xfId="18484" xr:uid="{00000000-0005-0000-0000-000018430000}"/>
    <cellStyle name="Currency 5 3 2 2 3 5 2 3" xfId="18485" xr:uid="{00000000-0005-0000-0000-000019430000}"/>
    <cellStyle name="Currency 5 3 2 2 3 5 2 3 2" xfId="18486" xr:uid="{00000000-0005-0000-0000-00001A430000}"/>
    <cellStyle name="Currency 5 3 2 2 3 5 2 4" xfId="18487" xr:uid="{00000000-0005-0000-0000-00001B430000}"/>
    <cellStyle name="Currency 5 3 2 2 3 5 3" xfId="18488" xr:uid="{00000000-0005-0000-0000-00001C430000}"/>
    <cellStyle name="Currency 5 3 2 2 3 5 3 2" xfId="18489" xr:uid="{00000000-0005-0000-0000-00001D430000}"/>
    <cellStyle name="Currency 5 3 2 2 3 5 3 2 2" xfId="18490" xr:uid="{00000000-0005-0000-0000-00001E430000}"/>
    <cellStyle name="Currency 5 3 2 2 3 5 3 3" xfId="18491" xr:uid="{00000000-0005-0000-0000-00001F430000}"/>
    <cellStyle name="Currency 5 3 2 2 3 5 4" xfId="18492" xr:uid="{00000000-0005-0000-0000-000020430000}"/>
    <cellStyle name="Currency 5 3 2 2 3 5 4 2" xfId="18493" xr:uid="{00000000-0005-0000-0000-000021430000}"/>
    <cellStyle name="Currency 5 3 2 2 3 5 5" xfId="18494" xr:uid="{00000000-0005-0000-0000-000022430000}"/>
    <cellStyle name="Currency 5 3 2 2 3 6" xfId="18495" xr:uid="{00000000-0005-0000-0000-000023430000}"/>
    <cellStyle name="Currency 5 3 2 2 3 6 2" xfId="18496" xr:uid="{00000000-0005-0000-0000-000024430000}"/>
    <cellStyle name="Currency 5 3 2 2 3 6 2 2" xfId="18497" xr:uid="{00000000-0005-0000-0000-000025430000}"/>
    <cellStyle name="Currency 5 3 2 2 3 6 2 2 2" xfId="18498" xr:uid="{00000000-0005-0000-0000-000026430000}"/>
    <cellStyle name="Currency 5 3 2 2 3 6 2 3" xfId="18499" xr:uid="{00000000-0005-0000-0000-000027430000}"/>
    <cellStyle name="Currency 5 3 2 2 3 6 3" xfId="18500" xr:uid="{00000000-0005-0000-0000-000028430000}"/>
    <cellStyle name="Currency 5 3 2 2 3 6 3 2" xfId="18501" xr:uid="{00000000-0005-0000-0000-000029430000}"/>
    <cellStyle name="Currency 5 3 2 2 3 6 4" xfId="18502" xr:uid="{00000000-0005-0000-0000-00002A430000}"/>
    <cellStyle name="Currency 5 3 2 2 3 7" xfId="18503" xr:uid="{00000000-0005-0000-0000-00002B430000}"/>
    <cellStyle name="Currency 5 3 2 2 3 7 2" xfId="18504" xr:uid="{00000000-0005-0000-0000-00002C430000}"/>
    <cellStyle name="Currency 5 3 2 2 3 7 2 2" xfId="18505" xr:uid="{00000000-0005-0000-0000-00002D430000}"/>
    <cellStyle name="Currency 5 3 2 2 3 7 2 2 2" xfId="18506" xr:uid="{00000000-0005-0000-0000-00002E430000}"/>
    <cellStyle name="Currency 5 3 2 2 3 7 2 3" xfId="18507" xr:uid="{00000000-0005-0000-0000-00002F430000}"/>
    <cellStyle name="Currency 5 3 2 2 3 7 3" xfId="18508" xr:uid="{00000000-0005-0000-0000-000030430000}"/>
    <cellStyle name="Currency 5 3 2 2 3 7 3 2" xfId="18509" xr:uid="{00000000-0005-0000-0000-000031430000}"/>
    <cellStyle name="Currency 5 3 2 2 3 7 4" xfId="18510" xr:uid="{00000000-0005-0000-0000-000032430000}"/>
    <cellStyle name="Currency 5 3 2 2 3 8" xfId="18511" xr:uid="{00000000-0005-0000-0000-000033430000}"/>
    <cellStyle name="Currency 5 3 2 2 3 8 2" xfId="18512" xr:uid="{00000000-0005-0000-0000-000034430000}"/>
    <cellStyle name="Currency 5 3 2 2 3 8 2 2" xfId="18513" xr:uid="{00000000-0005-0000-0000-000035430000}"/>
    <cellStyle name="Currency 5 3 2 2 3 8 2 2 2" xfId="18514" xr:uid="{00000000-0005-0000-0000-000036430000}"/>
    <cellStyle name="Currency 5 3 2 2 3 8 2 3" xfId="18515" xr:uid="{00000000-0005-0000-0000-000037430000}"/>
    <cellStyle name="Currency 5 3 2 2 3 8 3" xfId="18516" xr:uid="{00000000-0005-0000-0000-000038430000}"/>
    <cellStyle name="Currency 5 3 2 2 3 8 3 2" xfId="18517" xr:uid="{00000000-0005-0000-0000-000039430000}"/>
    <cellStyle name="Currency 5 3 2 2 3 8 4" xfId="18518" xr:uid="{00000000-0005-0000-0000-00003A430000}"/>
    <cellStyle name="Currency 5 3 2 2 3 9" xfId="18519" xr:uid="{00000000-0005-0000-0000-00003B430000}"/>
    <cellStyle name="Currency 5 3 2 2 3 9 2" xfId="18520" xr:uid="{00000000-0005-0000-0000-00003C430000}"/>
    <cellStyle name="Currency 5 3 2 2 3 9 2 2" xfId="18521" xr:uid="{00000000-0005-0000-0000-00003D430000}"/>
    <cellStyle name="Currency 5 3 2 2 3 9 3" xfId="18522" xr:uid="{00000000-0005-0000-0000-00003E430000}"/>
    <cellStyle name="Currency 5 3 2 2 4" xfId="369" xr:uid="{00000000-0005-0000-0000-00003F430000}"/>
    <cellStyle name="Currency 5 3 2 2 5" xfId="915" xr:uid="{00000000-0005-0000-0000-000040430000}"/>
    <cellStyle name="Currency 5 3 2 2 5 10" xfId="18524" xr:uid="{00000000-0005-0000-0000-000041430000}"/>
    <cellStyle name="Currency 5 3 2 2 5 11" xfId="18523" xr:uid="{00000000-0005-0000-0000-000042430000}"/>
    <cellStyle name="Currency 5 3 2 2 5 2" xfId="1656" xr:uid="{00000000-0005-0000-0000-000043430000}"/>
    <cellStyle name="Currency 5 3 2 2 5 2 2" xfId="18526" xr:uid="{00000000-0005-0000-0000-000044430000}"/>
    <cellStyle name="Currency 5 3 2 2 5 2 2 2" xfId="18527" xr:uid="{00000000-0005-0000-0000-000045430000}"/>
    <cellStyle name="Currency 5 3 2 2 5 2 2 2 2" xfId="18528" xr:uid="{00000000-0005-0000-0000-000046430000}"/>
    <cellStyle name="Currency 5 3 2 2 5 2 2 2 2 2" xfId="18529" xr:uid="{00000000-0005-0000-0000-000047430000}"/>
    <cellStyle name="Currency 5 3 2 2 5 2 2 2 3" xfId="18530" xr:uid="{00000000-0005-0000-0000-000048430000}"/>
    <cellStyle name="Currency 5 3 2 2 5 2 2 3" xfId="18531" xr:uid="{00000000-0005-0000-0000-000049430000}"/>
    <cellStyle name="Currency 5 3 2 2 5 2 2 3 2" xfId="18532" xr:uid="{00000000-0005-0000-0000-00004A430000}"/>
    <cellStyle name="Currency 5 3 2 2 5 2 2 4" xfId="18533" xr:uid="{00000000-0005-0000-0000-00004B430000}"/>
    <cellStyle name="Currency 5 3 2 2 5 2 3" xfId="18534" xr:uid="{00000000-0005-0000-0000-00004C430000}"/>
    <cellStyle name="Currency 5 3 2 2 5 2 3 2" xfId="18535" xr:uid="{00000000-0005-0000-0000-00004D430000}"/>
    <cellStyle name="Currency 5 3 2 2 5 2 3 2 2" xfId="18536" xr:uid="{00000000-0005-0000-0000-00004E430000}"/>
    <cellStyle name="Currency 5 3 2 2 5 2 3 2 2 2" xfId="18537" xr:uid="{00000000-0005-0000-0000-00004F430000}"/>
    <cellStyle name="Currency 5 3 2 2 5 2 3 2 3" xfId="18538" xr:uid="{00000000-0005-0000-0000-000050430000}"/>
    <cellStyle name="Currency 5 3 2 2 5 2 3 3" xfId="18539" xr:uid="{00000000-0005-0000-0000-000051430000}"/>
    <cellStyle name="Currency 5 3 2 2 5 2 3 3 2" xfId="18540" xr:uid="{00000000-0005-0000-0000-000052430000}"/>
    <cellStyle name="Currency 5 3 2 2 5 2 3 4" xfId="18541" xr:uid="{00000000-0005-0000-0000-000053430000}"/>
    <cellStyle name="Currency 5 3 2 2 5 2 4" xfId="18542" xr:uid="{00000000-0005-0000-0000-000054430000}"/>
    <cellStyle name="Currency 5 3 2 2 5 2 4 2" xfId="18543" xr:uid="{00000000-0005-0000-0000-000055430000}"/>
    <cellStyle name="Currency 5 3 2 2 5 2 4 2 2" xfId="18544" xr:uid="{00000000-0005-0000-0000-000056430000}"/>
    <cellStyle name="Currency 5 3 2 2 5 2 4 3" xfId="18545" xr:uid="{00000000-0005-0000-0000-000057430000}"/>
    <cellStyle name="Currency 5 3 2 2 5 2 5" xfId="18546" xr:uid="{00000000-0005-0000-0000-000058430000}"/>
    <cellStyle name="Currency 5 3 2 2 5 2 5 2" xfId="18547" xr:uid="{00000000-0005-0000-0000-000059430000}"/>
    <cellStyle name="Currency 5 3 2 2 5 2 6" xfId="18548" xr:uid="{00000000-0005-0000-0000-00005A430000}"/>
    <cellStyle name="Currency 5 3 2 2 5 2 7" xfId="18525" xr:uid="{00000000-0005-0000-0000-00005B430000}"/>
    <cellStyle name="Currency 5 3 2 2 5 3" xfId="18549" xr:uid="{00000000-0005-0000-0000-00005C430000}"/>
    <cellStyle name="Currency 5 3 2 2 5 3 2" xfId="18550" xr:uid="{00000000-0005-0000-0000-00005D430000}"/>
    <cellStyle name="Currency 5 3 2 2 5 3 2 2" xfId="18551" xr:uid="{00000000-0005-0000-0000-00005E430000}"/>
    <cellStyle name="Currency 5 3 2 2 5 3 2 2 2" xfId="18552" xr:uid="{00000000-0005-0000-0000-00005F430000}"/>
    <cellStyle name="Currency 5 3 2 2 5 3 2 2 2 2" xfId="18553" xr:uid="{00000000-0005-0000-0000-000060430000}"/>
    <cellStyle name="Currency 5 3 2 2 5 3 2 2 3" xfId="18554" xr:uid="{00000000-0005-0000-0000-000061430000}"/>
    <cellStyle name="Currency 5 3 2 2 5 3 2 3" xfId="18555" xr:uid="{00000000-0005-0000-0000-000062430000}"/>
    <cellStyle name="Currency 5 3 2 2 5 3 2 3 2" xfId="18556" xr:uid="{00000000-0005-0000-0000-000063430000}"/>
    <cellStyle name="Currency 5 3 2 2 5 3 2 4" xfId="18557" xr:uid="{00000000-0005-0000-0000-000064430000}"/>
    <cellStyle name="Currency 5 3 2 2 5 3 3" xfId="18558" xr:uid="{00000000-0005-0000-0000-000065430000}"/>
    <cellStyle name="Currency 5 3 2 2 5 3 3 2" xfId="18559" xr:uid="{00000000-0005-0000-0000-000066430000}"/>
    <cellStyle name="Currency 5 3 2 2 5 3 3 2 2" xfId="18560" xr:uid="{00000000-0005-0000-0000-000067430000}"/>
    <cellStyle name="Currency 5 3 2 2 5 3 3 3" xfId="18561" xr:uid="{00000000-0005-0000-0000-000068430000}"/>
    <cellStyle name="Currency 5 3 2 2 5 3 4" xfId="18562" xr:uid="{00000000-0005-0000-0000-000069430000}"/>
    <cellStyle name="Currency 5 3 2 2 5 3 4 2" xfId="18563" xr:uid="{00000000-0005-0000-0000-00006A430000}"/>
    <cellStyle name="Currency 5 3 2 2 5 3 5" xfId="18564" xr:uid="{00000000-0005-0000-0000-00006B430000}"/>
    <cellStyle name="Currency 5 3 2 2 5 4" xfId="18565" xr:uid="{00000000-0005-0000-0000-00006C430000}"/>
    <cellStyle name="Currency 5 3 2 2 5 4 2" xfId="18566" xr:uid="{00000000-0005-0000-0000-00006D430000}"/>
    <cellStyle name="Currency 5 3 2 2 5 4 2 2" xfId="18567" xr:uid="{00000000-0005-0000-0000-00006E430000}"/>
    <cellStyle name="Currency 5 3 2 2 5 4 2 2 2" xfId="18568" xr:uid="{00000000-0005-0000-0000-00006F430000}"/>
    <cellStyle name="Currency 5 3 2 2 5 4 2 2 2 2" xfId="18569" xr:uid="{00000000-0005-0000-0000-000070430000}"/>
    <cellStyle name="Currency 5 3 2 2 5 4 2 2 3" xfId="18570" xr:uid="{00000000-0005-0000-0000-000071430000}"/>
    <cellStyle name="Currency 5 3 2 2 5 4 2 3" xfId="18571" xr:uid="{00000000-0005-0000-0000-000072430000}"/>
    <cellStyle name="Currency 5 3 2 2 5 4 2 3 2" xfId="18572" xr:uid="{00000000-0005-0000-0000-000073430000}"/>
    <cellStyle name="Currency 5 3 2 2 5 4 2 4" xfId="18573" xr:uid="{00000000-0005-0000-0000-000074430000}"/>
    <cellStyle name="Currency 5 3 2 2 5 4 3" xfId="18574" xr:uid="{00000000-0005-0000-0000-000075430000}"/>
    <cellStyle name="Currency 5 3 2 2 5 4 3 2" xfId="18575" xr:uid="{00000000-0005-0000-0000-000076430000}"/>
    <cellStyle name="Currency 5 3 2 2 5 4 3 2 2" xfId="18576" xr:uid="{00000000-0005-0000-0000-000077430000}"/>
    <cellStyle name="Currency 5 3 2 2 5 4 3 3" xfId="18577" xr:uid="{00000000-0005-0000-0000-000078430000}"/>
    <cellStyle name="Currency 5 3 2 2 5 4 4" xfId="18578" xr:uid="{00000000-0005-0000-0000-000079430000}"/>
    <cellStyle name="Currency 5 3 2 2 5 4 4 2" xfId="18579" xr:uid="{00000000-0005-0000-0000-00007A430000}"/>
    <cellStyle name="Currency 5 3 2 2 5 4 5" xfId="18580" xr:uid="{00000000-0005-0000-0000-00007B430000}"/>
    <cellStyle name="Currency 5 3 2 2 5 5" xfId="18581" xr:uid="{00000000-0005-0000-0000-00007C430000}"/>
    <cellStyle name="Currency 5 3 2 2 5 5 2" xfId="18582" xr:uid="{00000000-0005-0000-0000-00007D430000}"/>
    <cellStyle name="Currency 5 3 2 2 5 5 2 2" xfId="18583" xr:uid="{00000000-0005-0000-0000-00007E430000}"/>
    <cellStyle name="Currency 5 3 2 2 5 5 2 2 2" xfId="18584" xr:uid="{00000000-0005-0000-0000-00007F430000}"/>
    <cellStyle name="Currency 5 3 2 2 5 5 2 3" xfId="18585" xr:uid="{00000000-0005-0000-0000-000080430000}"/>
    <cellStyle name="Currency 5 3 2 2 5 5 3" xfId="18586" xr:uid="{00000000-0005-0000-0000-000081430000}"/>
    <cellStyle name="Currency 5 3 2 2 5 5 3 2" xfId="18587" xr:uid="{00000000-0005-0000-0000-000082430000}"/>
    <cellStyle name="Currency 5 3 2 2 5 5 4" xfId="18588" xr:uid="{00000000-0005-0000-0000-000083430000}"/>
    <cellStyle name="Currency 5 3 2 2 5 6" xfId="18589" xr:uid="{00000000-0005-0000-0000-000084430000}"/>
    <cellStyle name="Currency 5 3 2 2 5 6 2" xfId="18590" xr:uid="{00000000-0005-0000-0000-000085430000}"/>
    <cellStyle name="Currency 5 3 2 2 5 6 2 2" xfId="18591" xr:uid="{00000000-0005-0000-0000-000086430000}"/>
    <cellStyle name="Currency 5 3 2 2 5 6 2 2 2" xfId="18592" xr:uid="{00000000-0005-0000-0000-000087430000}"/>
    <cellStyle name="Currency 5 3 2 2 5 6 2 3" xfId="18593" xr:uid="{00000000-0005-0000-0000-000088430000}"/>
    <cellStyle name="Currency 5 3 2 2 5 6 3" xfId="18594" xr:uid="{00000000-0005-0000-0000-000089430000}"/>
    <cellStyle name="Currency 5 3 2 2 5 6 3 2" xfId="18595" xr:uid="{00000000-0005-0000-0000-00008A430000}"/>
    <cellStyle name="Currency 5 3 2 2 5 6 4" xfId="18596" xr:uid="{00000000-0005-0000-0000-00008B430000}"/>
    <cellStyle name="Currency 5 3 2 2 5 7" xfId="18597" xr:uid="{00000000-0005-0000-0000-00008C430000}"/>
    <cellStyle name="Currency 5 3 2 2 5 7 2" xfId="18598" xr:uid="{00000000-0005-0000-0000-00008D430000}"/>
    <cellStyle name="Currency 5 3 2 2 5 7 2 2" xfId="18599" xr:uid="{00000000-0005-0000-0000-00008E430000}"/>
    <cellStyle name="Currency 5 3 2 2 5 7 2 2 2" xfId="18600" xr:uid="{00000000-0005-0000-0000-00008F430000}"/>
    <cellStyle name="Currency 5 3 2 2 5 7 2 3" xfId="18601" xr:uid="{00000000-0005-0000-0000-000090430000}"/>
    <cellStyle name="Currency 5 3 2 2 5 7 3" xfId="18602" xr:uid="{00000000-0005-0000-0000-000091430000}"/>
    <cellStyle name="Currency 5 3 2 2 5 7 3 2" xfId="18603" xr:uid="{00000000-0005-0000-0000-000092430000}"/>
    <cellStyle name="Currency 5 3 2 2 5 7 4" xfId="18604" xr:uid="{00000000-0005-0000-0000-000093430000}"/>
    <cellStyle name="Currency 5 3 2 2 5 8" xfId="18605" xr:uid="{00000000-0005-0000-0000-000094430000}"/>
    <cellStyle name="Currency 5 3 2 2 5 8 2" xfId="18606" xr:uid="{00000000-0005-0000-0000-000095430000}"/>
    <cellStyle name="Currency 5 3 2 2 5 8 2 2" xfId="18607" xr:uid="{00000000-0005-0000-0000-000096430000}"/>
    <cellStyle name="Currency 5 3 2 2 5 8 3" xfId="18608" xr:uid="{00000000-0005-0000-0000-000097430000}"/>
    <cellStyle name="Currency 5 3 2 2 5 9" xfId="18609" xr:uid="{00000000-0005-0000-0000-000098430000}"/>
    <cellStyle name="Currency 5 3 2 2 5 9 2" xfId="18610" xr:uid="{00000000-0005-0000-0000-000099430000}"/>
    <cellStyle name="Currency 5 3 2 2 6" xfId="1331" xr:uid="{00000000-0005-0000-0000-00009A430000}"/>
    <cellStyle name="Currency 5 3 2 2 6 2" xfId="18612" xr:uid="{00000000-0005-0000-0000-00009B430000}"/>
    <cellStyle name="Currency 5 3 2 2 6 2 2" xfId="18613" xr:uid="{00000000-0005-0000-0000-00009C430000}"/>
    <cellStyle name="Currency 5 3 2 2 6 2 2 2" xfId="18614" xr:uid="{00000000-0005-0000-0000-00009D430000}"/>
    <cellStyle name="Currency 5 3 2 2 6 2 2 2 2" xfId="18615" xr:uid="{00000000-0005-0000-0000-00009E430000}"/>
    <cellStyle name="Currency 5 3 2 2 6 2 2 3" xfId="18616" xr:uid="{00000000-0005-0000-0000-00009F430000}"/>
    <cellStyle name="Currency 5 3 2 2 6 2 3" xfId="18617" xr:uid="{00000000-0005-0000-0000-0000A0430000}"/>
    <cellStyle name="Currency 5 3 2 2 6 2 3 2" xfId="18618" xr:uid="{00000000-0005-0000-0000-0000A1430000}"/>
    <cellStyle name="Currency 5 3 2 2 6 2 4" xfId="18619" xr:uid="{00000000-0005-0000-0000-0000A2430000}"/>
    <cellStyle name="Currency 5 3 2 2 6 3" xfId="18620" xr:uid="{00000000-0005-0000-0000-0000A3430000}"/>
    <cellStyle name="Currency 5 3 2 2 6 3 2" xfId="18621" xr:uid="{00000000-0005-0000-0000-0000A4430000}"/>
    <cellStyle name="Currency 5 3 2 2 6 3 2 2" xfId="18622" xr:uid="{00000000-0005-0000-0000-0000A5430000}"/>
    <cellStyle name="Currency 5 3 2 2 6 3 2 2 2" xfId="18623" xr:uid="{00000000-0005-0000-0000-0000A6430000}"/>
    <cellStyle name="Currency 5 3 2 2 6 3 2 3" xfId="18624" xr:uid="{00000000-0005-0000-0000-0000A7430000}"/>
    <cellStyle name="Currency 5 3 2 2 6 3 3" xfId="18625" xr:uid="{00000000-0005-0000-0000-0000A8430000}"/>
    <cellStyle name="Currency 5 3 2 2 6 3 3 2" xfId="18626" xr:uid="{00000000-0005-0000-0000-0000A9430000}"/>
    <cellStyle name="Currency 5 3 2 2 6 3 4" xfId="18627" xr:uid="{00000000-0005-0000-0000-0000AA430000}"/>
    <cellStyle name="Currency 5 3 2 2 6 4" xfId="18628" xr:uid="{00000000-0005-0000-0000-0000AB430000}"/>
    <cellStyle name="Currency 5 3 2 2 6 4 2" xfId="18629" xr:uid="{00000000-0005-0000-0000-0000AC430000}"/>
    <cellStyle name="Currency 5 3 2 2 6 4 2 2" xfId="18630" xr:uid="{00000000-0005-0000-0000-0000AD430000}"/>
    <cellStyle name="Currency 5 3 2 2 6 4 3" xfId="18631" xr:uid="{00000000-0005-0000-0000-0000AE430000}"/>
    <cellStyle name="Currency 5 3 2 2 6 5" xfId="18632" xr:uid="{00000000-0005-0000-0000-0000AF430000}"/>
    <cellStyle name="Currency 5 3 2 2 6 5 2" xfId="18633" xr:uid="{00000000-0005-0000-0000-0000B0430000}"/>
    <cellStyle name="Currency 5 3 2 2 6 6" xfId="18634" xr:uid="{00000000-0005-0000-0000-0000B1430000}"/>
    <cellStyle name="Currency 5 3 2 2 6 7" xfId="18611" xr:uid="{00000000-0005-0000-0000-0000B2430000}"/>
    <cellStyle name="Currency 5 3 2 2 7" xfId="18635" xr:uid="{00000000-0005-0000-0000-0000B3430000}"/>
    <cellStyle name="Currency 5 3 2 2 7 2" xfId="18636" xr:uid="{00000000-0005-0000-0000-0000B4430000}"/>
    <cellStyle name="Currency 5 3 2 2 7 2 2" xfId="18637" xr:uid="{00000000-0005-0000-0000-0000B5430000}"/>
    <cellStyle name="Currency 5 3 2 2 7 2 2 2" xfId="18638" xr:uid="{00000000-0005-0000-0000-0000B6430000}"/>
    <cellStyle name="Currency 5 3 2 2 7 2 2 2 2" xfId="18639" xr:uid="{00000000-0005-0000-0000-0000B7430000}"/>
    <cellStyle name="Currency 5 3 2 2 7 2 2 3" xfId="18640" xr:uid="{00000000-0005-0000-0000-0000B8430000}"/>
    <cellStyle name="Currency 5 3 2 2 7 2 3" xfId="18641" xr:uid="{00000000-0005-0000-0000-0000B9430000}"/>
    <cellStyle name="Currency 5 3 2 2 7 2 3 2" xfId="18642" xr:uid="{00000000-0005-0000-0000-0000BA430000}"/>
    <cellStyle name="Currency 5 3 2 2 7 2 4" xfId="18643" xr:uid="{00000000-0005-0000-0000-0000BB430000}"/>
    <cellStyle name="Currency 5 3 2 2 7 3" xfId="18644" xr:uid="{00000000-0005-0000-0000-0000BC430000}"/>
    <cellStyle name="Currency 5 3 2 2 7 3 2" xfId="18645" xr:uid="{00000000-0005-0000-0000-0000BD430000}"/>
    <cellStyle name="Currency 5 3 2 2 7 3 2 2" xfId="18646" xr:uid="{00000000-0005-0000-0000-0000BE430000}"/>
    <cellStyle name="Currency 5 3 2 2 7 3 3" xfId="18647" xr:uid="{00000000-0005-0000-0000-0000BF430000}"/>
    <cellStyle name="Currency 5 3 2 2 7 4" xfId="18648" xr:uid="{00000000-0005-0000-0000-0000C0430000}"/>
    <cellStyle name="Currency 5 3 2 2 7 4 2" xfId="18649" xr:uid="{00000000-0005-0000-0000-0000C1430000}"/>
    <cellStyle name="Currency 5 3 2 2 7 5" xfId="18650" xr:uid="{00000000-0005-0000-0000-0000C2430000}"/>
    <cellStyle name="Currency 5 3 2 2 8" xfId="18651" xr:uid="{00000000-0005-0000-0000-0000C3430000}"/>
    <cellStyle name="Currency 5 3 2 2 8 2" xfId="18652" xr:uid="{00000000-0005-0000-0000-0000C4430000}"/>
    <cellStyle name="Currency 5 3 2 2 8 2 2" xfId="18653" xr:uid="{00000000-0005-0000-0000-0000C5430000}"/>
    <cellStyle name="Currency 5 3 2 2 8 2 2 2" xfId="18654" xr:uid="{00000000-0005-0000-0000-0000C6430000}"/>
    <cellStyle name="Currency 5 3 2 2 8 2 2 2 2" xfId="18655" xr:uid="{00000000-0005-0000-0000-0000C7430000}"/>
    <cellStyle name="Currency 5 3 2 2 8 2 2 3" xfId="18656" xr:uid="{00000000-0005-0000-0000-0000C8430000}"/>
    <cellStyle name="Currency 5 3 2 2 8 2 3" xfId="18657" xr:uid="{00000000-0005-0000-0000-0000C9430000}"/>
    <cellStyle name="Currency 5 3 2 2 8 2 3 2" xfId="18658" xr:uid="{00000000-0005-0000-0000-0000CA430000}"/>
    <cellStyle name="Currency 5 3 2 2 8 2 4" xfId="18659" xr:uid="{00000000-0005-0000-0000-0000CB430000}"/>
    <cellStyle name="Currency 5 3 2 2 8 3" xfId="18660" xr:uid="{00000000-0005-0000-0000-0000CC430000}"/>
    <cellStyle name="Currency 5 3 2 2 8 3 2" xfId="18661" xr:uid="{00000000-0005-0000-0000-0000CD430000}"/>
    <cellStyle name="Currency 5 3 2 2 8 3 2 2" xfId="18662" xr:uid="{00000000-0005-0000-0000-0000CE430000}"/>
    <cellStyle name="Currency 5 3 2 2 8 3 3" xfId="18663" xr:uid="{00000000-0005-0000-0000-0000CF430000}"/>
    <cellStyle name="Currency 5 3 2 2 8 4" xfId="18664" xr:uid="{00000000-0005-0000-0000-0000D0430000}"/>
    <cellStyle name="Currency 5 3 2 2 8 4 2" xfId="18665" xr:uid="{00000000-0005-0000-0000-0000D1430000}"/>
    <cellStyle name="Currency 5 3 2 2 8 5" xfId="18666" xr:uid="{00000000-0005-0000-0000-0000D2430000}"/>
    <cellStyle name="Currency 5 3 2 2 9" xfId="18667" xr:uid="{00000000-0005-0000-0000-0000D3430000}"/>
    <cellStyle name="Currency 5 3 2 2 9 2" xfId="18668" xr:uid="{00000000-0005-0000-0000-0000D4430000}"/>
    <cellStyle name="Currency 5 3 2 2 9 2 2" xfId="18669" xr:uid="{00000000-0005-0000-0000-0000D5430000}"/>
    <cellStyle name="Currency 5 3 2 2 9 2 2 2" xfId="18670" xr:uid="{00000000-0005-0000-0000-0000D6430000}"/>
    <cellStyle name="Currency 5 3 2 2 9 2 3" xfId="18671" xr:uid="{00000000-0005-0000-0000-0000D7430000}"/>
    <cellStyle name="Currency 5 3 2 2 9 3" xfId="18672" xr:uid="{00000000-0005-0000-0000-0000D8430000}"/>
    <cellStyle name="Currency 5 3 2 2 9 3 2" xfId="18673" xr:uid="{00000000-0005-0000-0000-0000D9430000}"/>
    <cellStyle name="Currency 5 3 2 2 9 4" xfId="18674" xr:uid="{00000000-0005-0000-0000-0000DA430000}"/>
    <cellStyle name="Currency 5 3 2 3" xfId="370" xr:uid="{00000000-0005-0000-0000-0000DB430000}"/>
    <cellStyle name="Currency 5 3 2 3 10" xfId="18676" xr:uid="{00000000-0005-0000-0000-0000DC430000}"/>
    <cellStyle name="Currency 5 3 2 3 10 2" xfId="18677" xr:uid="{00000000-0005-0000-0000-0000DD430000}"/>
    <cellStyle name="Currency 5 3 2 3 10 2 2" xfId="18678" xr:uid="{00000000-0005-0000-0000-0000DE430000}"/>
    <cellStyle name="Currency 5 3 2 3 10 2 2 2" xfId="18679" xr:uid="{00000000-0005-0000-0000-0000DF430000}"/>
    <cellStyle name="Currency 5 3 2 3 10 2 3" xfId="18680" xr:uid="{00000000-0005-0000-0000-0000E0430000}"/>
    <cellStyle name="Currency 5 3 2 3 10 3" xfId="18681" xr:uid="{00000000-0005-0000-0000-0000E1430000}"/>
    <cellStyle name="Currency 5 3 2 3 10 3 2" xfId="18682" xr:uid="{00000000-0005-0000-0000-0000E2430000}"/>
    <cellStyle name="Currency 5 3 2 3 10 4" xfId="18683" xr:uid="{00000000-0005-0000-0000-0000E3430000}"/>
    <cellStyle name="Currency 5 3 2 3 11" xfId="18684" xr:uid="{00000000-0005-0000-0000-0000E4430000}"/>
    <cellStyle name="Currency 5 3 2 3 11 2" xfId="18685" xr:uid="{00000000-0005-0000-0000-0000E5430000}"/>
    <cellStyle name="Currency 5 3 2 3 11 2 2" xfId="18686" xr:uid="{00000000-0005-0000-0000-0000E6430000}"/>
    <cellStyle name="Currency 5 3 2 3 11 3" xfId="18687" xr:uid="{00000000-0005-0000-0000-0000E7430000}"/>
    <cellStyle name="Currency 5 3 2 3 12" xfId="18688" xr:uid="{00000000-0005-0000-0000-0000E8430000}"/>
    <cellStyle name="Currency 5 3 2 3 12 2" xfId="18689" xr:uid="{00000000-0005-0000-0000-0000E9430000}"/>
    <cellStyle name="Currency 5 3 2 3 12 2 2" xfId="18690" xr:uid="{00000000-0005-0000-0000-0000EA430000}"/>
    <cellStyle name="Currency 5 3 2 3 12 3" xfId="18691" xr:uid="{00000000-0005-0000-0000-0000EB430000}"/>
    <cellStyle name="Currency 5 3 2 3 13" xfId="18692" xr:uid="{00000000-0005-0000-0000-0000EC430000}"/>
    <cellStyle name="Currency 5 3 2 3 13 2" xfId="18693" xr:uid="{00000000-0005-0000-0000-0000ED430000}"/>
    <cellStyle name="Currency 5 3 2 3 13 2 2" xfId="18694" xr:uid="{00000000-0005-0000-0000-0000EE430000}"/>
    <cellStyle name="Currency 5 3 2 3 13 3" xfId="18695" xr:uid="{00000000-0005-0000-0000-0000EF430000}"/>
    <cellStyle name="Currency 5 3 2 3 14" xfId="18696" xr:uid="{00000000-0005-0000-0000-0000F0430000}"/>
    <cellStyle name="Currency 5 3 2 3 14 2" xfId="18697" xr:uid="{00000000-0005-0000-0000-0000F1430000}"/>
    <cellStyle name="Currency 5 3 2 3 15" xfId="18698" xr:uid="{00000000-0005-0000-0000-0000F2430000}"/>
    <cellStyle name="Currency 5 3 2 3 16" xfId="18699" xr:uid="{00000000-0005-0000-0000-0000F3430000}"/>
    <cellStyle name="Currency 5 3 2 3 17" xfId="18675" xr:uid="{00000000-0005-0000-0000-0000F4430000}"/>
    <cellStyle name="Currency 5 3 2 3 2" xfId="371" xr:uid="{00000000-0005-0000-0000-0000F5430000}"/>
    <cellStyle name="Currency 5 3 2 3 2 10" xfId="18701" xr:uid="{00000000-0005-0000-0000-0000F6430000}"/>
    <cellStyle name="Currency 5 3 2 3 2 10 2" xfId="18702" xr:uid="{00000000-0005-0000-0000-0000F7430000}"/>
    <cellStyle name="Currency 5 3 2 3 2 10 2 2" xfId="18703" xr:uid="{00000000-0005-0000-0000-0000F8430000}"/>
    <cellStyle name="Currency 5 3 2 3 2 10 3" xfId="18704" xr:uid="{00000000-0005-0000-0000-0000F9430000}"/>
    <cellStyle name="Currency 5 3 2 3 2 11" xfId="18705" xr:uid="{00000000-0005-0000-0000-0000FA430000}"/>
    <cellStyle name="Currency 5 3 2 3 2 11 2" xfId="18706" xr:uid="{00000000-0005-0000-0000-0000FB430000}"/>
    <cellStyle name="Currency 5 3 2 3 2 11 2 2" xfId="18707" xr:uid="{00000000-0005-0000-0000-0000FC430000}"/>
    <cellStyle name="Currency 5 3 2 3 2 11 3" xfId="18708" xr:uid="{00000000-0005-0000-0000-0000FD430000}"/>
    <cellStyle name="Currency 5 3 2 3 2 12" xfId="18709" xr:uid="{00000000-0005-0000-0000-0000FE430000}"/>
    <cellStyle name="Currency 5 3 2 3 2 12 2" xfId="18710" xr:uid="{00000000-0005-0000-0000-0000FF430000}"/>
    <cellStyle name="Currency 5 3 2 3 2 13" xfId="18711" xr:uid="{00000000-0005-0000-0000-000000440000}"/>
    <cellStyle name="Currency 5 3 2 3 2 14" xfId="18712" xr:uid="{00000000-0005-0000-0000-000001440000}"/>
    <cellStyle name="Currency 5 3 2 3 2 15" xfId="18700" xr:uid="{00000000-0005-0000-0000-000002440000}"/>
    <cellStyle name="Currency 5 3 2 3 2 2" xfId="920" xr:uid="{00000000-0005-0000-0000-000003440000}"/>
    <cellStyle name="Currency 5 3 2 3 2 2 10" xfId="18714" xr:uid="{00000000-0005-0000-0000-000004440000}"/>
    <cellStyle name="Currency 5 3 2 3 2 2 11" xfId="18713" xr:uid="{00000000-0005-0000-0000-000005440000}"/>
    <cellStyle name="Currency 5 3 2 3 2 2 2" xfId="1661" xr:uid="{00000000-0005-0000-0000-000006440000}"/>
    <cellStyle name="Currency 5 3 2 3 2 2 2 2" xfId="18716" xr:uid="{00000000-0005-0000-0000-000007440000}"/>
    <cellStyle name="Currency 5 3 2 3 2 2 2 2 2" xfId="18717" xr:uid="{00000000-0005-0000-0000-000008440000}"/>
    <cellStyle name="Currency 5 3 2 3 2 2 2 2 2 2" xfId="18718" xr:uid="{00000000-0005-0000-0000-000009440000}"/>
    <cellStyle name="Currency 5 3 2 3 2 2 2 2 2 2 2" xfId="18719" xr:uid="{00000000-0005-0000-0000-00000A440000}"/>
    <cellStyle name="Currency 5 3 2 3 2 2 2 2 2 3" xfId="18720" xr:uid="{00000000-0005-0000-0000-00000B440000}"/>
    <cellStyle name="Currency 5 3 2 3 2 2 2 2 3" xfId="18721" xr:uid="{00000000-0005-0000-0000-00000C440000}"/>
    <cellStyle name="Currency 5 3 2 3 2 2 2 2 3 2" xfId="18722" xr:uid="{00000000-0005-0000-0000-00000D440000}"/>
    <cellStyle name="Currency 5 3 2 3 2 2 2 2 4" xfId="18723" xr:uid="{00000000-0005-0000-0000-00000E440000}"/>
    <cellStyle name="Currency 5 3 2 3 2 2 2 3" xfId="18724" xr:uid="{00000000-0005-0000-0000-00000F440000}"/>
    <cellStyle name="Currency 5 3 2 3 2 2 2 3 2" xfId="18725" xr:uid="{00000000-0005-0000-0000-000010440000}"/>
    <cellStyle name="Currency 5 3 2 3 2 2 2 3 2 2" xfId="18726" xr:uid="{00000000-0005-0000-0000-000011440000}"/>
    <cellStyle name="Currency 5 3 2 3 2 2 2 3 2 2 2" xfId="18727" xr:uid="{00000000-0005-0000-0000-000012440000}"/>
    <cellStyle name="Currency 5 3 2 3 2 2 2 3 2 3" xfId="18728" xr:uid="{00000000-0005-0000-0000-000013440000}"/>
    <cellStyle name="Currency 5 3 2 3 2 2 2 3 3" xfId="18729" xr:uid="{00000000-0005-0000-0000-000014440000}"/>
    <cellStyle name="Currency 5 3 2 3 2 2 2 3 3 2" xfId="18730" xr:uid="{00000000-0005-0000-0000-000015440000}"/>
    <cellStyle name="Currency 5 3 2 3 2 2 2 3 4" xfId="18731" xr:uid="{00000000-0005-0000-0000-000016440000}"/>
    <cellStyle name="Currency 5 3 2 3 2 2 2 4" xfId="18732" xr:uid="{00000000-0005-0000-0000-000017440000}"/>
    <cellStyle name="Currency 5 3 2 3 2 2 2 4 2" xfId="18733" xr:uid="{00000000-0005-0000-0000-000018440000}"/>
    <cellStyle name="Currency 5 3 2 3 2 2 2 4 2 2" xfId="18734" xr:uid="{00000000-0005-0000-0000-000019440000}"/>
    <cellStyle name="Currency 5 3 2 3 2 2 2 4 3" xfId="18735" xr:uid="{00000000-0005-0000-0000-00001A440000}"/>
    <cellStyle name="Currency 5 3 2 3 2 2 2 5" xfId="18736" xr:uid="{00000000-0005-0000-0000-00001B440000}"/>
    <cellStyle name="Currency 5 3 2 3 2 2 2 5 2" xfId="18737" xr:uid="{00000000-0005-0000-0000-00001C440000}"/>
    <cellStyle name="Currency 5 3 2 3 2 2 2 6" xfId="18738" xr:uid="{00000000-0005-0000-0000-00001D440000}"/>
    <cellStyle name="Currency 5 3 2 3 2 2 2 7" xfId="18715" xr:uid="{00000000-0005-0000-0000-00001E440000}"/>
    <cellStyle name="Currency 5 3 2 3 2 2 3" xfId="18739" xr:uid="{00000000-0005-0000-0000-00001F440000}"/>
    <cellStyle name="Currency 5 3 2 3 2 2 3 2" xfId="18740" xr:uid="{00000000-0005-0000-0000-000020440000}"/>
    <cellStyle name="Currency 5 3 2 3 2 2 3 2 2" xfId="18741" xr:uid="{00000000-0005-0000-0000-000021440000}"/>
    <cellStyle name="Currency 5 3 2 3 2 2 3 2 2 2" xfId="18742" xr:uid="{00000000-0005-0000-0000-000022440000}"/>
    <cellStyle name="Currency 5 3 2 3 2 2 3 2 2 2 2" xfId="18743" xr:uid="{00000000-0005-0000-0000-000023440000}"/>
    <cellStyle name="Currency 5 3 2 3 2 2 3 2 2 3" xfId="18744" xr:uid="{00000000-0005-0000-0000-000024440000}"/>
    <cellStyle name="Currency 5 3 2 3 2 2 3 2 3" xfId="18745" xr:uid="{00000000-0005-0000-0000-000025440000}"/>
    <cellStyle name="Currency 5 3 2 3 2 2 3 2 3 2" xfId="18746" xr:uid="{00000000-0005-0000-0000-000026440000}"/>
    <cellStyle name="Currency 5 3 2 3 2 2 3 2 4" xfId="18747" xr:uid="{00000000-0005-0000-0000-000027440000}"/>
    <cellStyle name="Currency 5 3 2 3 2 2 3 3" xfId="18748" xr:uid="{00000000-0005-0000-0000-000028440000}"/>
    <cellStyle name="Currency 5 3 2 3 2 2 3 3 2" xfId="18749" xr:uid="{00000000-0005-0000-0000-000029440000}"/>
    <cellStyle name="Currency 5 3 2 3 2 2 3 3 2 2" xfId="18750" xr:uid="{00000000-0005-0000-0000-00002A440000}"/>
    <cellStyle name="Currency 5 3 2 3 2 2 3 3 3" xfId="18751" xr:uid="{00000000-0005-0000-0000-00002B440000}"/>
    <cellStyle name="Currency 5 3 2 3 2 2 3 4" xfId="18752" xr:uid="{00000000-0005-0000-0000-00002C440000}"/>
    <cellStyle name="Currency 5 3 2 3 2 2 3 4 2" xfId="18753" xr:uid="{00000000-0005-0000-0000-00002D440000}"/>
    <cellStyle name="Currency 5 3 2 3 2 2 3 5" xfId="18754" xr:uid="{00000000-0005-0000-0000-00002E440000}"/>
    <cellStyle name="Currency 5 3 2 3 2 2 4" xfId="18755" xr:uid="{00000000-0005-0000-0000-00002F440000}"/>
    <cellStyle name="Currency 5 3 2 3 2 2 4 2" xfId="18756" xr:uid="{00000000-0005-0000-0000-000030440000}"/>
    <cellStyle name="Currency 5 3 2 3 2 2 4 2 2" xfId="18757" xr:uid="{00000000-0005-0000-0000-000031440000}"/>
    <cellStyle name="Currency 5 3 2 3 2 2 4 2 2 2" xfId="18758" xr:uid="{00000000-0005-0000-0000-000032440000}"/>
    <cellStyle name="Currency 5 3 2 3 2 2 4 2 2 2 2" xfId="18759" xr:uid="{00000000-0005-0000-0000-000033440000}"/>
    <cellStyle name="Currency 5 3 2 3 2 2 4 2 2 3" xfId="18760" xr:uid="{00000000-0005-0000-0000-000034440000}"/>
    <cellStyle name="Currency 5 3 2 3 2 2 4 2 3" xfId="18761" xr:uid="{00000000-0005-0000-0000-000035440000}"/>
    <cellStyle name="Currency 5 3 2 3 2 2 4 2 3 2" xfId="18762" xr:uid="{00000000-0005-0000-0000-000036440000}"/>
    <cellStyle name="Currency 5 3 2 3 2 2 4 2 4" xfId="18763" xr:uid="{00000000-0005-0000-0000-000037440000}"/>
    <cellStyle name="Currency 5 3 2 3 2 2 4 3" xfId="18764" xr:uid="{00000000-0005-0000-0000-000038440000}"/>
    <cellStyle name="Currency 5 3 2 3 2 2 4 3 2" xfId="18765" xr:uid="{00000000-0005-0000-0000-000039440000}"/>
    <cellStyle name="Currency 5 3 2 3 2 2 4 3 2 2" xfId="18766" xr:uid="{00000000-0005-0000-0000-00003A440000}"/>
    <cellStyle name="Currency 5 3 2 3 2 2 4 3 3" xfId="18767" xr:uid="{00000000-0005-0000-0000-00003B440000}"/>
    <cellStyle name="Currency 5 3 2 3 2 2 4 4" xfId="18768" xr:uid="{00000000-0005-0000-0000-00003C440000}"/>
    <cellStyle name="Currency 5 3 2 3 2 2 4 4 2" xfId="18769" xr:uid="{00000000-0005-0000-0000-00003D440000}"/>
    <cellStyle name="Currency 5 3 2 3 2 2 4 5" xfId="18770" xr:uid="{00000000-0005-0000-0000-00003E440000}"/>
    <cellStyle name="Currency 5 3 2 3 2 2 5" xfId="18771" xr:uid="{00000000-0005-0000-0000-00003F440000}"/>
    <cellStyle name="Currency 5 3 2 3 2 2 5 2" xfId="18772" xr:uid="{00000000-0005-0000-0000-000040440000}"/>
    <cellStyle name="Currency 5 3 2 3 2 2 5 2 2" xfId="18773" xr:uid="{00000000-0005-0000-0000-000041440000}"/>
    <cellStyle name="Currency 5 3 2 3 2 2 5 2 2 2" xfId="18774" xr:uid="{00000000-0005-0000-0000-000042440000}"/>
    <cellStyle name="Currency 5 3 2 3 2 2 5 2 3" xfId="18775" xr:uid="{00000000-0005-0000-0000-000043440000}"/>
    <cellStyle name="Currency 5 3 2 3 2 2 5 3" xfId="18776" xr:uid="{00000000-0005-0000-0000-000044440000}"/>
    <cellStyle name="Currency 5 3 2 3 2 2 5 3 2" xfId="18777" xr:uid="{00000000-0005-0000-0000-000045440000}"/>
    <cellStyle name="Currency 5 3 2 3 2 2 5 4" xfId="18778" xr:uid="{00000000-0005-0000-0000-000046440000}"/>
    <cellStyle name="Currency 5 3 2 3 2 2 6" xfId="18779" xr:uid="{00000000-0005-0000-0000-000047440000}"/>
    <cellStyle name="Currency 5 3 2 3 2 2 6 2" xfId="18780" xr:uid="{00000000-0005-0000-0000-000048440000}"/>
    <cellStyle name="Currency 5 3 2 3 2 2 6 2 2" xfId="18781" xr:uid="{00000000-0005-0000-0000-000049440000}"/>
    <cellStyle name="Currency 5 3 2 3 2 2 6 2 2 2" xfId="18782" xr:uid="{00000000-0005-0000-0000-00004A440000}"/>
    <cellStyle name="Currency 5 3 2 3 2 2 6 2 3" xfId="18783" xr:uid="{00000000-0005-0000-0000-00004B440000}"/>
    <cellStyle name="Currency 5 3 2 3 2 2 6 3" xfId="18784" xr:uid="{00000000-0005-0000-0000-00004C440000}"/>
    <cellStyle name="Currency 5 3 2 3 2 2 6 3 2" xfId="18785" xr:uid="{00000000-0005-0000-0000-00004D440000}"/>
    <cellStyle name="Currency 5 3 2 3 2 2 6 4" xfId="18786" xr:uid="{00000000-0005-0000-0000-00004E440000}"/>
    <cellStyle name="Currency 5 3 2 3 2 2 7" xfId="18787" xr:uid="{00000000-0005-0000-0000-00004F440000}"/>
    <cellStyle name="Currency 5 3 2 3 2 2 7 2" xfId="18788" xr:uid="{00000000-0005-0000-0000-000050440000}"/>
    <cellStyle name="Currency 5 3 2 3 2 2 7 2 2" xfId="18789" xr:uid="{00000000-0005-0000-0000-000051440000}"/>
    <cellStyle name="Currency 5 3 2 3 2 2 7 2 2 2" xfId="18790" xr:uid="{00000000-0005-0000-0000-000052440000}"/>
    <cellStyle name="Currency 5 3 2 3 2 2 7 2 3" xfId="18791" xr:uid="{00000000-0005-0000-0000-000053440000}"/>
    <cellStyle name="Currency 5 3 2 3 2 2 7 3" xfId="18792" xr:uid="{00000000-0005-0000-0000-000054440000}"/>
    <cellStyle name="Currency 5 3 2 3 2 2 7 3 2" xfId="18793" xr:uid="{00000000-0005-0000-0000-000055440000}"/>
    <cellStyle name="Currency 5 3 2 3 2 2 7 4" xfId="18794" xr:uid="{00000000-0005-0000-0000-000056440000}"/>
    <cellStyle name="Currency 5 3 2 3 2 2 8" xfId="18795" xr:uid="{00000000-0005-0000-0000-000057440000}"/>
    <cellStyle name="Currency 5 3 2 3 2 2 8 2" xfId="18796" xr:uid="{00000000-0005-0000-0000-000058440000}"/>
    <cellStyle name="Currency 5 3 2 3 2 2 8 2 2" xfId="18797" xr:uid="{00000000-0005-0000-0000-000059440000}"/>
    <cellStyle name="Currency 5 3 2 3 2 2 8 3" xfId="18798" xr:uid="{00000000-0005-0000-0000-00005A440000}"/>
    <cellStyle name="Currency 5 3 2 3 2 2 9" xfId="18799" xr:uid="{00000000-0005-0000-0000-00005B440000}"/>
    <cellStyle name="Currency 5 3 2 3 2 2 9 2" xfId="18800" xr:uid="{00000000-0005-0000-0000-00005C440000}"/>
    <cellStyle name="Currency 5 3 2 3 2 3" xfId="1336" xr:uid="{00000000-0005-0000-0000-00005D440000}"/>
    <cellStyle name="Currency 5 3 2 3 2 3 2" xfId="18802" xr:uid="{00000000-0005-0000-0000-00005E440000}"/>
    <cellStyle name="Currency 5 3 2 3 2 3 2 2" xfId="18803" xr:uid="{00000000-0005-0000-0000-00005F440000}"/>
    <cellStyle name="Currency 5 3 2 3 2 3 2 2 2" xfId="18804" xr:uid="{00000000-0005-0000-0000-000060440000}"/>
    <cellStyle name="Currency 5 3 2 3 2 3 2 2 2 2" xfId="18805" xr:uid="{00000000-0005-0000-0000-000061440000}"/>
    <cellStyle name="Currency 5 3 2 3 2 3 2 2 3" xfId="18806" xr:uid="{00000000-0005-0000-0000-000062440000}"/>
    <cellStyle name="Currency 5 3 2 3 2 3 2 3" xfId="18807" xr:uid="{00000000-0005-0000-0000-000063440000}"/>
    <cellStyle name="Currency 5 3 2 3 2 3 2 3 2" xfId="18808" xr:uid="{00000000-0005-0000-0000-000064440000}"/>
    <cellStyle name="Currency 5 3 2 3 2 3 2 4" xfId="18809" xr:uid="{00000000-0005-0000-0000-000065440000}"/>
    <cellStyle name="Currency 5 3 2 3 2 3 3" xfId="18810" xr:uid="{00000000-0005-0000-0000-000066440000}"/>
    <cellStyle name="Currency 5 3 2 3 2 3 3 2" xfId="18811" xr:uid="{00000000-0005-0000-0000-000067440000}"/>
    <cellStyle name="Currency 5 3 2 3 2 3 3 2 2" xfId="18812" xr:uid="{00000000-0005-0000-0000-000068440000}"/>
    <cellStyle name="Currency 5 3 2 3 2 3 3 2 2 2" xfId="18813" xr:uid="{00000000-0005-0000-0000-000069440000}"/>
    <cellStyle name="Currency 5 3 2 3 2 3 3 2 3" xfId="18814" xr:uid="{00000000-0005-0000-0000-00006A440000}"/>
    <cellStyle name="Currency 5 3 2 3 2 3 3 3" xfId="18815" xr:uid="{00000000-0005-0000-0000-00006B440000}"/>
    <cellStyle name="Currency 5 3 2 3 2 3 3 3 2" xfId="18816" xr:uid="{00000000-0005-0000-0000-00006C440000}"/>
    <cellStyle name="Currency 5 3 2 3 2 3 3 4" xfId="18817" xr:uid="{00000000-0005-0000-0000-00006D440000}"/>
    <cellStyle name="Currency 5 3 2 3 2 3 4" xfId="18818" xr:uid="{00000000-0005-0000-0000-00006E440000}"/>
    <cellStyle name="Currency 5 3 2 3 2 3 4 2" xfId="18819" xr:uid="{00000000-0005-0000-0000-00006F440000}"/>
    <cellStyle name="Currency 5 3 2 3 2 3 4 2 2" xfId="18820" xr:uid="{00000000-0005-0000-0000-000070440000}"/>
    <cellStyle name="Currency 5 3 2 3 2 3 4 3" xfId="18821" xr:uid="{00000000-0005-0000-0000-000071440000}"/>
    <cellStyle name="Currency 5 3 2 3 2 3 5" xfId="18822" xr:uid="{00000000-0005-0000-0000-000072440000}"/>
    <cellStyle name="Currency 5 3 2 3 2 3 5 2" xfId="18823" xr:uid="{00000000-0005-0000-0000-000073440000}"/>
    <cellStyle name="Currency 5 3 2 3 2 3 6" xfId="18824" xr:uid="{00000000-0005-0000-0000-000074440000}"/>
    <cellStyle name="Currency 5 3 2 3 2 3 7" xfId="18801" xr:uid="{00000000-0005-0000-0000-000075440000}"/>
    <cellStyle name="Currency 5 3 2 3 2 4" xfId="18825" xr:uid="{00000000-0005-0000-0000-000076440000}"/>
    <cellStyle name="Currency 5 3 2 3 2 4 2" xfId="18826" xr:uid="{00000000-0005-0000-0000-000077440000}"/>
    <cellStyle name="Currency 5 3 2 3 2 4 2 2" xfId="18827" xr:uid="{00000000-0005-0000-0000-000078440000}"/>
    <cellStyle name="Currency 5 3 2 3 2 4 2 2 2" xfId="18828" xr:uid="{00000000-0005-0000-0000-000079440000}"/>
    <cellStyle name="Currency 5 3 2 3 2 4 2 2 2 2" xfId="18829" xr:uid="{00000000-0005-0000-0000-00007A440000}"/>
    <cellStyle name="Currency 5 3 2 3 2 4 2 2 3" xfId="18830" xr:uid="{00000000-0005-0000-0000-00007B440000}"/>
    <cellStyle name="Currency 5 3 2 3 2 4 2 3" xfId="18831" xr:uid="{00000000-0005-0000-0000-00007C440000}"/>
    <cellStyle name="Currency 5 3 2 3 2 4 2 3 2" xfId="18832" xr:uid="{00000000-0005-0000-0000-00007D440000}"/>
    <cellStyle name="Currency 5 3 2 3 2 4 2 4" xfId="18833" xr:uid="{00000000-0005-0000-0000-00007E440000}"/>
    <cellStyle name="Currency 5 3 2 3 2 4 3" xfId="18834" xr:uid="{00000000-0005-0000-0000-00007F440000}"/>
    <cellStyle name="Currency 5 3 2 3 2 4 3 2" xfId="18835" xr:uid="{00000000-0005-0000-0000-000080440000}"/>
    <cellStyle name="Currency 5 3 2 3 2 4 3 2 2" xfId="18836" xr:uid="{00000000-0005-0000-0000-000081440000}"/>
    <cellStyle name="Currency 5 3 2 3 2 4 3 3" xfId="18837" xr:uid="{00000000-0005-0000-0000-000082440000}"/>
    <cellStyle name="Currency 5 3 2 3 2 4 4" xfId="18838" xr:uid="{00000000-0005-0000-0000-000083440000}"/>
    <cellStyle name="Currency 5 3 2 3 2 4 4 2" xfId="18839" xr:uid="{00000000-0005-0000-0000-000084440000}"/>
    <cellStyle name="Currency 5 3 2 3 2 4 5" xfId="18840" xr:uid="{00000000-0005-0000-0000-000085440000}"/>
    <cellStyle name="Currency 5 3 2 3 2 5" xfId="18841" xr:uid="{00000000-0005-0000-0000-000086440000}"/>
    <cellStyle name="Currency 5 3 2 3 2 5 2" xfId="18842" xr:uid="{00000000-0005-0000-0000-000087440000}"/>
    <cellStyle name="Currency 5 3 2 3 2 5 2 2" xfId="18843" xr:uid="{00000000-0005-0000-0000-000088440000}"/>
    <cellStyle name="Currency 5 3 2 3 2 5 2 2 2" xfId="18844" xr:uid="{00000000-0005-0000-0000-000089440000}"/>
    <cellStyle name="Currency 5 3 2 3 2 5 2 2 2 2" xfId="18845" xr:uid="{00000000-0005-0000-0000-00008A440000}"/>
    <cellStyle name="Currency 5 3 2 3 2 5 2 2 3" xfId="18846" xr:uid="{00000000-0005-0000-0000-00008B440000}"/>
    <cellStyle name="Currency 5 3 2 3 2 5 2 3" xfId="18847" xr:uid="{00000000-0005-0000-0000-00008C440000}"/>
    <cellStyle name="Currency 5 3 2 3 2 5 2 3 2" xfId="18848" xr:uid="{00000000-0005-0000-0000-00008D440000}"/>
    <cellStyle name="Currency 5 3 2 3 2 5 2 4" xfId="18849" xr:uid="{00000000-0005-0000-0000-00008E440000}"/>
    <cellStyle name="Currency 5 3 2 3 2 5 3" xfId="18850" xr:uid="{00000000-0005-0000-0000-00008F440000}"/>
    <cellStyle name="Currency 5 3 2 3 2 5 3 2" xfId="18851" xr:uid="{00000000-0005-0000-0000-000090440000}"/>
    <cellStyle name="Currency 5 3 2 3 2 5 3 2 2" xfId="18852" xr:uid="{00000000-0005-0000-0000-000091440000}"/>
    <cellStyle name="Currency 5 3 2 3 2 5 3 3" xfId="18853" xr:uid="{00000000-0005-0000-0000-000092440000}"/>
    <cellStyle name="Currency 5 3 2 3 2 5 4" xfId="18854" xr:uid="{00000000-0005-0000-0000-000093440000}"/>
    <cellStyle name="Currency 5 3 2 3 2 5 4 2" xfId="18855" xr:uid="{00000000-0005-0000-0000-000094440000}"/>
    <cellStyle name="Currency 5 3 2 3 2 5 5" xfId="18856" xr:uid="{00000000-0005-0000-0000-000095440000}"/>
    <cellStyle name="Currency 5 3 2 3 2 6" xfId="18857" xr:uid="{00000000-0005-0000-0000-000096440000}"/>
    <cellStyle name="Currency 5 3 2 3 2 6 2" xfId="18858" xr:uid="{00000000-0005-0000-0000-000097440000}"/>
    <cellStyle name="Currency 5 3 2 3 2 6 2 2" xfId="18859" xr:uid="{00000000-0005-0000-0000-000098440000}"/>
    <cellStyle name="Currency 5 3 2 3 2 6 2 2 2" xfId="18860" xr:uid="{00000000-0005-0000-0000-000099440000}"/>
    <cellStyle name="Currency 5 3 2 3 2 6 2 3" xfId="18861" xr:uid="{00000000-0005-0000-0000-00009A440000}"/>
    <cellStyle name="Currency 5 3 2 3 2 6 3" xfId="18862" xr:uid="{00000000-0005-0000-0000-00009B440000}"/>
    <cellStyle name="Currency 5 3 2 3 2 6 3 2" xfId="18863" xr:uid="{00000000-0005-0000-0000-00009C440000}"/>
    <cellStyle name="Currency 5 3 2 3 2 6 4" xfId="18864" xr:uid="{00000000-0005-0000-0000-00009D440000}"/>
    <cellStyle name="Currency 5 3 2 3 2 7" xfId="18865" xr:uid="{00000000-0005-0000-0000-00009E440000}"/>
    <cellStyle name="Currency 5 3 2 3 2 7 2" xfId="18866" xr:uid="{00000000-0005-0000-0000-00009F440000}"/>
    <cellStyle name="Currency 5 3 2 3 2 7 2 2" xfId="18867" xr:uid="{00000000-0005-0000-0000-0000A0440000}"/>
    <cellStyle name="Currency 5 3 2 3 2 7 2 2 2" xfId="18868" xr:uid="{00000000-0005-0000-0000-0000A1440000}"/>
    <cellStyle name="Currency 5 3 2 3 2 7 2 3" xfId="18869" xr:uid="{00000000-0005-0000-0000-0000A2440000}"/>
    <cellStyle name="Currency 5 3 2 3 2 7 3" xfId="18870" xr:uid="{00000000-0005-0000-0000-0000A3440000}"/>
    <cellStyle name="Currency 5 3 2 3 2 7 3 2" xfId="18871" xr:uid="{00000000-0005-0000-0000-0000A4440000}"/>
    <cellStyle name="Currency 5 3 2 3 2 7 4" xfId="18872" xr:uid="{00000000-0005-0000-0000-0000A5440000}"/>
    <cellStyle name="Currency 5 3 2 3 2 8" xfId="18873" xr:uid="{00000000-0005-0000-0000-0000A6440000}"/>
    <cellStyle name="Currency 5 3 2 3 2 8 2" xfId="18874" xr:uid="{00000000-0005-0000-0000-0000A7440000}"/>
    <cellStyle name="Currency 5 3 2 3 2 8 2 2" xfId="18875" xr:uid="{00000000-0005-0000-0000-0000A8440000}"/>
    <cellStyle name="Currency 5 3 2 3 2 8 2 2 2" xfId="18876" xr:uid="{00000000-0005-0000-0000-0000A9440000}"/>
    <cellStyle name="Currency 5 3 2 3 2 8 2 3" xfId="18877" xr:uid="{00000000-0005-0000-0000-0000AA440000}"/>
    <cellStyle name="Currency 5 3 2 3 2 8 3" xfId="18878" xr:uid="{00000000-0005-0000-0000-0000AB440000}"/>
    <cellStyle name="Currency 5 3 2 3 2 8 3 2" xfId="18879" xr:uid="{00000000-0005-0000-0000-0000AC440000}"/>
    <cellStyle name="Currency 5 3 2 3 2 8 4" xfId="18880" xr:uid="{00000000-0005-0000-0000-0000AD440000}"/>
    <cellStyle name="Currency 5 3 2 3 2 9" xfId="18881" xr:uid="{00000000-0005-0000-0000-0000AE440000}"/>
    <cellStyle name="Currency 5 3 2 3 2 9 2" xfId="18882" xr:uid="{00000000-0005-0000-0000-0000AF440000}"/>
    <cellStyle name="Currency 5 3 2 3 2 9 2 2" xfId="18883" xr:uid="{00000000-0005-0000-0000-0000B0440000}"/>
    <cellStyle name="Currency 5 3 2 3 2 9 3" xfId="18884" xr:uid="{00000000-0005-0000-0000-0000B1440000}"/>
    <cellStyle name="Currency 5 3 2 3 3" xfId="372" xr:uid="{00000000-0005-0000-0000-0000B2440000}"/>
    <cellStyle name="Currency 5 3 2 3 4" xfId="919" xr:uid="{00000000-0005-0000-0000-0000B3440000}"/>
    <cellStyle name="Currency 5 3 2 3 4 10" xfId="18886" xr:uid="{00000000-0005-0000-0000-0000B4440000}"/>
    <cellStyle name="Currency 5 3 2 3 4 11" xfId="18885" xr:uid="{00000000-0005-0000-0000-0000B5440000}"/>
    <cellStyle name="Currency 5 3 2 3 4 2" xfId="1660" xr:uid="{00000000-0005-0000-0000-0000B6440000}"/>
    <cellStyle name="Currency 5 3 2 3 4 2 2" xfId="18888" xr:uid="{00000000-0005-0000-0000-0000B7440000}"/>
    <cellStyle name="Currency 5 3 2 3 4 2 2 2" xfId="18889" xr:uid="{00000000-0005-0000-0000-0000B8440000}"/>
    <cellStyle name="Currency 5 3 2 3 4 2 2 2 2" xfId="18890" xr:uid="{00000000-0005-0000-0000-0000B9440000}"/>
    <cellStyle name="Currency 5 3 2 3 4 2 2 2 2 2" xfId="18891" xr:uid="{00000000-0005-0000-0000-0000BA440000}"/>
    <cellStyle name="Currency 5 3 2 3 4 2 2 2 3" xfId="18892" xr:uid="{00000000-0005-0000-0000-0000BB440000}"/>
    <cellStyle name="Currency 5 3 2 3 4 2 2 3" xfId="18893" xr:uid="{00000000-0005-0000-0000-0000BC440000}"/>
    <cellStyle name="Currency 5 3 2 3 4 2 2 3 2" xfId="18894" xr:uid="{00000000-0005-0000-0000-0000BD440000}"/>
    <cellStyle name="Currency 5 3 2 3 4 2 2 4" xfId="18895" xr:uid="{00000000-0005-0000-0000-0000BE440000}"/>
    <cellStyle name="Currency 5 3 2 3 4 2 3" xfId="18896" xr:uid="{00000000-0005-0000-0000-0000BF440000}"/>
    <cellStyle name="Currency 5 3 2 3 4 2 3 2" xfId="18897" xr:uid="{00000000-0005-0000-0000-0000C0440000}"/>
    <cellStyle name="Currency 5 3 2 3 4 2 3 2 2" xfId="18898" xr:uid="{00000000-0005-0000-0000-0000C1440000}"/>
    <cellStyle name="Currency 5 3 2 3 4 2 3 2 2 2" xfId="18899" xr:uid="{00000000-0005-0000-0000-0000C2440000}"/>
    <cellStyle name="Currency 5 3 2 3 4 2 3 2 3" xfId="18900" xr:uid="{00000000-0005-0000-0000-0000C3440000}"/>
    <cellStyle name="Currency 5 3 2 3 4 2 3 3" xfId="18901" xr:uid="{00000000-0005-0000-0000-0000C4440000}"/>
    <cellStyle name="Currency 5 3 2 3 4 2 3 3 2" xfId="18902" xr:uid="{00000000-0005-0000-0000-0000C5440000}"/>
    <cellStyle name="Currency 5 3 2 3 4 2 3 4" xfId="18903" xr:uid="{00000000-0005-0000-0000-0000C6440000}"/>
    <cellStyle name="Currency 5 3 2 3 4 2 4" xfId="18904" xr:uid="{00000000-0005-0000-0000-0000C7440000}"/>
    <cellStyle name="Currency 5 3 2 3 4 2 4 2" xfId="18905" xr:uid="{00000000-0005-0000-0000-0000C8440000}"/>
    <cellStyle name="Currency 5 3 2 3 4 2 4 2 2" xfId="18906" xr:uid="{00000000-0005-0000-0000-0000C9440000}"/>
    <cellStyle name="Currency 5 3 2 3 4 2 4 3" xfId="18907" xr:uid="{00000000-0005-0000-0000-0000CA440000}"/>
    <cellStyle name="Currency 5 3 2 3 4 2 5" xfId="18908" xr:uid="{00000000-0005-0000-0000-0000CB440000}"/>
    <cellStyle name="Currency 5 3 2 3 4 2 5 2" xfId="18909" xr:uid="{00000000-0005-0000-0000-0000CC440000}"/>
    <cellStyle name="Currency 5 3 2 3 4 2 6" xfId="18910" xr:uid="{00000000-0005-0000-0000-0000CD440000}"/>
    <cellStyle name="Currency 5 3 2 3 4 2 7" xfId="18887" xr:uid="{00000000-0005-0000-0000-0000CE440000}"/>
    <cellStyle name="Currency 5 3 2 3 4 3" xfId="18911" xr:uid="{00000000-0005-0000-0000-0000CF440000}"/>
    <cellStyle name="Currency 5 3 2 3 4 3 2" xfId="18912" xr:uid="{00000000-0005-0000-0000-0000D0440000}"/>
    <cellStyle name="Currency 5 3 2 3 4 3 2 2" xfId="18913" xr:uid="{00000000-0005-0000-0000-0000D1440000}"/>
    <cellStyle name="Currency 5 3 2 3 4 3 2 2 2" xfId="18914" xr:uid="{00000000-0005-0000-0000-0000D2440000}"/>
    <cellStyle name="Currency 5 3 2 3 4 3 2 2 2 2" xfId="18915" xr:uid="{00000000-0005-0000-0000-0000D3440000}"/>
    <cellStyle name="Currency 5 3 2 3 4 3 2 2 3" xfId="18916" xr:uid="{00000000-0005-0000-0000-0000D4440000}"/>
    <cellStyle name="Currency 5 3 2 3 4 3 2 3" xfId="18917" xr:uid="{00000000-0005-0000-0000-0000D5440000}"/>
    <cellStyle name="Currency 5 3 2 3 4 3 2 3 2" xfId="18918" xr:uid="{00000000-0005-0000-0000-0000D6440000}"/>
    <cellStyle name="Currency 5 3 2 3 4 3 2 4" xfId="18919" xr:uid="{00000000-0005-0000-0000-0000D7440000}"/>
    <cellStyle name="Currency 5 3 2 3 4 3 3" xfId="18920" xr:uid="{00000000-0005-0000-0000-0000D8440000}"/>
    <cellStyle name="Currency 5 3 2 3 4 3 3 2" xfId="18921" xr:uid="{00000000-0005-0000-0000-0000D9440000}"/>
    <cellStyle name="Currency 5 3 2 3 4 3 3 2 2" xfId="18922" xr:uid="{00000000-0005-0000-0000-0000DA440000}"/>
    <cellStyle name="Currency 5 3 2 3 4 3 3 3" xfId="18923" xr:uid="{00000000-0005-0000-0000-0000DB440000}"/>
    <cellStyle name="Currency 5 3 2 3 4 3 4" xfId="18924" xr:uid="{00000000-0005-0000-0000-0000DC440000}"/>
    <cellStyle name="Currency 5 3 2 3 4 3 4 2" xfId="18925" xr:uid="{00000000-0005-0000-0000-0000DD440000}"/>
    <cellStyle name="Currency 5 3 2 3 4 3 5" xfId="18926" xr:uid="{00000000-0005-0000-0000-0000DE440000}"/>
    <cellStyle name="Currency 5 3 2 3 4 4" xfId="18927" xr:uid="{00000000-0005-0000-0000-0000DF440000}"/>
    <cellStyle name="Currency 5 3 2 3 4 4 2" xfId="18928" xr:uid="{00000000-0005-0000-0000-0000E0440000}"/>
    <cellStyle name="Currency 5 3 2 3 4 4 2 2" xfId="18929" xr:uid="{00000000-0005-0000-0000-0000E1440000}"/>
    <cellStyle name="Currency 5 3 2 3 4 4 2 2 2" xfId="18930" xr:uid="{00000000-0005-0000-0000-0000E2440000}"/>
    <cellStyle name="Currency 5 3 2 3 4 4 2 2 2 2" xfId="18931" xr:uid="{00000000-0005-0000-0000-0000E3440000}"/>
    <cellStyle name="Currency 5 3 2 3 4 4 2 2 3" xfId="18932" xr:uid="{00000000-0005-0000-0000-0000E4440000}"/>
    <cellStyle name="Currency 5 3 2 3 4 4 2 3" xfId="18933" xr:uid="{00000000-0005-0000-0000-0000E5440000}"/>
    <cellStyle name="Currency 5 3 2 3 4 4 2 3 2" xfId="18934" xr:uid="{00000000-0005-0000-0000-0000E6440000}"/>
    <cellStyle name="Currency 5 3 2 3 4 4 2 4" xfId="18935" xr:uid="{00000000-0005-0000-0000-0000E7440000}"/>
    <cellStyle name="Currency 5 3 2 3 4 4 3" xfId="18936" xr:uid="{00000000-0005-0000-0000-0000E8440000}"/>
    <cellStyle name="Currency 5 3 2 3 4 4 3 2" xfId="18937" xr:uid="{00000000-0005-0000-0000-0000E9440000}"/>
    <cellStyle name="Currency 5 3 2 3 4 4 3 2 2" xfId="18938" xr:uid="{00000000-0005-0000-0000-0000EA440000}"/>
    <cellStyle name="Currency 5 3 2 3 4 4 3 3" xfId="18939" xr:uid="{00000000-0005-0000-0000-0000EB440000}"/>
    <cellStyle name="Currency 5 3 2 3 4 4 4" xfId="18940" xr:uid="{00000000-0005-0000-0000-0000EC440000}"/>
    <cellStyle name="Currency 5 3 2 3 4 4 4 2" xfId="18941" xr:uid="{00000000-0005-0000-0000-0000ED440000}"/>
    <cellStyle name="Currency 5 3 2 3 4 4 5" xfId="18942" xr:uid="{00000000-0005-0000-0000-0000EE440000}"/>
    <cellStyle name="Currency 5 3 2 3 4 5" xfId="18943" xr:uid="{00000000-0005-0000-0000-0000EF440000}"/>
    <cellStyle name="Currency 5 3 2 3 4 5 2" xfId="18944" xr:uid="{00000000-0005-0000-0000-0000F0440000}"/>
    <cellStyle name="Currency 5 3 2 3 4 5 2 2" xfId="18945" xr:uid="{00000000-0005-0000-0000-0000F1440000}"/>
    <cellStyle name="Currency 5 3 2 3 4 5 2 2 2" xfId="18946" xr:uid="{00000000-0005-0000-0000-0000F2440000}"/>
    <cellStyle name="Currency 5 3 2 3 4 5 2 3" xfId="18947" xr:uid="{00000000-0005-0000-0000-0000F3440000}"/>
    <cellStyle name="Currency 5 3 2 3 4 5 3" xfId="18948" xr:uid="{00000000-0005-0000-0000-0000F4440000}"/>
    <cellStyle name="Currency 5 3 2 3 4 5 3 2" xfId="18949" xr:uid="{00000000-0005-0000-0000-0000F5440000}"/>
    <cellStyle name="Currency 5 3 2 3 4 5 4" xfId="18950" xr:uid="{00000000-0005-0000-0000-0000F6440000}"/>
    <cellStyle name="Currency 5 3 2 3 4 6" xfId="18951" xr:uid="{00000000-0005-0000-0000-0000F7440000}"/>
    <cellStyle name="Currency 5 3 2 3 4 6 2" xfId="18952" xr:uid="{00000000-0005-0000-0000-0000F8440000}"/>
    <cellStyle name="Currency 5 3 2 3 4 6 2 2" xfId="18953" xr:uid="{00000000-0005-0000-0000-0000F9440000}"/>
    <cellStyle name="Currency 5 3 2 3 4 6 2 2 2" xfId="18954" xr:uid="{00000000-0005-0000-0000-0000FA440000}"/>
    <cellStyle name="Currency 5 3 2 3 4 6 2 3" xfId="18955" xr:uid="{00000000-0005-0000-0000-0000FB440000}"/>
    <cellStyle name="Currency 5 3 2 3 4 6 3" xfId="18956" xr:uid="{00000000-0005-0000-0000-0000FC440000}"/>
    <cellStyle name="Currency 5 3 2 3 4 6 3 2" xfId="18957" xr:uid="{00000000-0005-0000-0000-0000FD440000}"/>
    <cellStyle name="Currency 5 3 2 3 4 6 4" xfId="18958" xr:uid="{00000000-0005-0000-0000-0000FE440000}"/>
    <cellStyle name="Currency 5 3 2 3 4 7" xfId="18959" xr:uid="{00000000-0005-0000-0000-0000FF440000}"/>
    <cellStyle name="Currency 5 3 2 3 4 7 2" xfId="18960" xr:uid="{00000000-0005-0000-0000-000000450000}"/>
    <cellStyle name="Currency 5 3 2 3 4 7 2 2" xfId="18961" xr:uid="{00000000-0005-0000-0000-000001450000}"/>
    <cellStyle name="Currency 5 3 2 3 4 7 2 2 2" xfId="18962" xr:uid="{00000000-0005-0000-0000-000002450000}"/>
    <cellStyle name="Currency 5 3 2 3 4 7 2 3" xfId="18963" xr:uid="{00000000-0005-0000-0000-000003450000}"/>
    <cellStyle name="Currency 5 3 2 3 4 7 3" xfId="18964" xr:uid="{00000000-0005-0000-0000-000004450000}"/>
    <cellStyle name="Currency 5 3 2 3 4 7 3 2" xfId="18965" xr:uid="{00000000-0005-0000-0000-000005450000}"/>
    <cellStyle name="Currency 5 3 2 3 4 7 4" xfId="18966" xr:uid="{00000000-0005-0000-0000-000006450000}"/>
    <cellStyle name="Currency 5 3 2 3 4 8" xfId="18967" xr:uid="{00000000-0005-0000-0000-000007450000}"/>
    <cellStyle name="Currency 5 3 2 3 4 8 2" xfId="18968" xr:uid="{00000000-0005-0000-0000-000008450000}"/>
    <cellStyle name="Currency 5 3 2 3 4 8 2 2" xfId="18969" xr:uid="{00000000-0005-0000-0000-000009450000}"/>
    <cellStyle name="Currency 5 3 2 3 4 8 3" xfId="18970" xr:uid="{00000000-0005-0000-0000-00000A450000}"/>
    <cellStyle name="Currency 5 3 2 3 4 9" xfId="18971" xr:uid="{00000000-0005-0000-0000-00000B450000}"/>
    <cellStyle name="Currency 5 3 2 3 4 9 2" xfId="18972" xr:uid="{00000000-0005-0000-0000-00000C450000}"/>
    <cellStyle name="Currency 5 3 2 3 5" xfId="1335" xr:uid="{00000000-0005-0000-0000-00000D450000}"/>
    <cellStyle name="Currency 5 3 2 3 5 2" xfId="18974" xr:uid="{00000000-0005-0000-0000-00000E450000}"/>
    <cellStyle name="Currency 5 3 2 3 5 2 2" xfId="18975" xr:uid="{00000000-0005-0000-0000-00000F450000}"/>
    <cellStyle name="Currency 5 3 2 3 5 2 2 2" xfId="18976" xr:uid="{00000000-0005-0000-0000-000010450000}"/>
    <cellStyle name="Currency 5 3 2 3 5 2 2 2 2" xfId="18977" xr:uid="{00000000-0005-0000-0000-000011450000}"/>
    <cellStyle name="Currency 5 3 2 3 5 2 2 3" xfId="18978" xr:uid="{00000000-0005-0000-0000-000012450000}"/>
    <cellStyle name="Currency 5 3 2 3 5 2 3" xfId="18979" xr:uid="{00000000-0005-0000-0000-000013450000}"/>
    <cellStyle name="Currency 5 3 2 3 5 2 3 2" xfId="18980" xr:uid="{00000000-0005-0000-0000-000014450000}"/>
    <cellStyle name="Currency 5 3 2 3 5 2 4" xfId="18981" xr:uid="{00000000-0005-0000-0000-000015450000}"/>
    <cellStyle name="Currency 5 3 2 3 5 3" xfId="18982" xr:uid="{00000000-0005-0000-0000-000016450000}"/>
    <cellStyle name="Currency 5 3 2 3 5 3 2" xfId="18983" xr:uid="{00000000-0005-0000-0000-000017450000}"/>
    <cellStyle name="Currency 5 3 2 3 5 3 2 2" xfId="18984" xr:uid="{00000000-0005-0000-0000-000018450000}"/>
    <cellStyle name="Currency 5 3 2 3 5 3 2 2 2" xfId="18985" xr:uid="{00000000-0005-0000-0000-000019450000}"/>
    <cellStyle name="Currency 5 3 2 3 5 3 2 3" xfId="18986" xr:uid="{00000000-0005-0000-0000-00001A450000}"/>
    <cellStyle name="Currency 5 3 2 3 5 3 3" xfId="18987" xr:uid="{00000000-0005-0000-0000-00001B450000}"/>
    <cellStyle name="Currency 5 3 2 3 5 3 3 2" xfId="18988" xr:uid="{00000000-0005-0000-0000-00001C450000}"/>
    <cellStyle name="Currency 5 3 2 3 5 3 4" xfId="18989" xr:uid="{00000000-0005-0000-0000-00001D450000}"/>
    <cellStyle name="Currency 5 3 2 3 5 4" xfId="18990" xr:uid="{00000000-0005-0000-0000-00001E450000}"/>
    <cellStyle name="Currency 5 3 2 3 5 4 2" xfId="18991" xr:uid="{00000000-0005-0000-0000-00001F450000}"/>
    <cellStyle name="Currency 5 3 2 3 5 4 2 2" xfId="18992" xr:uid="{00000000-0005-0000-0000-000020450000}"/>
    <cellStyle name="Currency 5 3 2 3 5 4 3" xfId="18993" xr:uid="{00000000-0005-0000-0000-000021450000}"/>
    <cellStyle name="Currency 5 3 2 3 5 5" xfId="18994" xr:uid="{00000000-0005-0000-0000-000022450000}"/>
    <cellStyle name="Currency 5 3 2 3 5 5 2" xfId="18995" xr:uid="{00000000-0005-0000-0000-000023450000}"/>
    <cellStyle name="Currency 5 3 2 3 5 6" xfId="18996" xr:uid="{00000000-0005-0000-0000-000024450000}"/>
    <cellStyle name="Currency 5 3 2 3 5 7" xfId="18973" xr:uid="{00000000-0005-0000-0000-000025450000}"/>
    <cellStyle name="Currency 5 3 2 3 6" xfId="18997" xr:uid="{00000000-0005-0000-0000-000026450000}"/>
    <cellStyle name="Currency 5 3 2 3 6 2" xfId="18998" xr:uid="{00000000-0005-0000-0000-000027450000}"/>
    <cellStyle name="Currency 5 3 2 3 6 2 2" xfId="18999" xr:uid="{00000000-0005-0000-0000-000028450000}"/>
    <cellStyle name="Currency 5 3 2 3 6 2 2 2" xfId="19000" xr:uid="{00000000-0005-0000-0000-000029450000}"/>
    <cellStyle name="Currency 5 3 2 3 6 2 2 2 2" xfId="19001" xr:uid="{00000000-0005-0000-0000-00002A450000}"/>
    <cellStyle name="Currency 5 3 2 3 6 2 2 3" xfId="19002" xr:uid="{00000000-0005-0000-0000-00002B450000}"/>
    <cellStyle name="Currency 5 3 2 3 6 2 3" xfId="19003" xr:uid="{00000000-0005-0000-0000-00002C450000}"/>
    <cellStyle name="Currency 5 3 2 3 6 2 3 2" xfId="19004" xr:uid="{00000000-0005-0000-0000-00002D450000}"/>
    <cellStyle name="Currency 5 3 2 3 6 2 4" xfId="19005" xr:uid="{00000000-0005-0000-0000-00002E450000}"/>
    <cellStyle name="Currency 5 3 2 3 6 3" xfId="19006" xr:uid="{00000000-0005-0000-0000-00002F450000}"/>
    <cellStyle name="Currency 5 3 2 3 6 3 2" xfId="19007" xr:uid="{00000000-0005-0000-0000-000030450000}"/>
    <cellStyle name="Currency 5 3 2 3 6 3 2 2" xfId="19008" xr:uid="{00000000-0005-0000-0000-000031450000}"/>
    <cellStyle name="Currency 5 3 2 3 6 3 3" xfId="19009" xr:uid="{00000000-0005-0000-0000-000032450000}"/>
    <cellStyle name="Currency 5 3 2 3 6 4" xfId="19010" xr:uid="{00000000-0005-0000-0000-000033450000}"/>
    <cellStyle name="Currency 5 3 2 3 6 4 2" xfId="19011" xr:uid="{00000000-0005-0000-0000-000034450000}"/>
    <cellStyle name="Currency 5 3 2 3 6 5" xfId="19012" xr:uid="{00000000-0005-0000-0000-000035450000}"/>
    <cellStyle name="Currency 5 3 2 3 7" xfId="19013" xr:uid="{00000000-0005-0000-0000-000036450000}"/>
    <cellStyle name="Currency 5 3 2 3 7 2" xfId="19014" xr:uid="{00000000-0005-0000-0000-000037450000}"/>
    <cellStyle name="Currency 5 3 2 3 7 2 2" xfId="19015" xr:uid="{00000000-0005-0000-0000-000038450000}"/>
    <cellStyle name="Currency 5 3 2 3 7 2 2 2" xfId="19016" xr:uid="{00000000-0005-0000-0000-000039450000}"/>
    <cellStyle name="Currency 5 3 2 3 7 2 2 2 2" xfId="19017" xr:uid="{00000000-0005-0000-0000-00003A450000}"/>
    <cellStyle name="Currency 5 3 2 3 7 2 2 3" xfId="19018" xr:uid="{00000000-0005-0000-0000-00003B450000}"/>
    <cellStyle name="Currency 5 3 2 3 7 2 3" xfId="19019" xr:uid="{00000000-0005-0000-0000-00003C450000}"/>
    <cellStyle name="Currency 5 3 2 3 7 2 3 2" xfId="19020" xr:uid="{00000000-0005-0000-0000-00003D450000}"/>
    <cellStyle name="Currency 5 3 2 3 7 2 4" xfId="19021" xr:uid="{00000000-0005-0000-0000-00003E450000}"/>
    <cellStyle name="Currency 5 3 2 3 7 3" xfId="19022" xr:uid="{00000000-0005-0000-0000-00003F450000}"/>
    <cellStyle name="Currency 5 3 2 3 7 3 2" xfId="19023" xr:uid="{00000000-0005-0000-0000-000040450000}"/>
    <cellStyle name="Currency 5 3 2 3 7 3 2 2" xfId="19024" xr:uid="{00000000-0005-0000-0000-000041450000}"/>
    <cellStyle name="Currency 5 3 2 3 7 3 3" xfId="19025" xr:uid="{00000000-0005-0000-0000-000042450000}"/>
    <cellStyle name="Currency 5 3 2 3 7 4" xfId="19026" xr:uid="{00000000-0005-0000-0000-000043450000}"/>
    <cellStyle name="Currency 5 3 2 3 7 4 2" xfId="19027" xr:uid="{00000000-0005-0000-0000-000044450000}"/>
    <cellStyle name="Currency 5 3 2 3 7 5" xfId="19028" xr:uid="{00000000-0005-0000-0000-000045450000}"/>
    <cellStyle name="Currency 5 3 2 3 8" xfId="19029" xr:uid="{00000000-0005-0000-0000-000046450000}"/>
    <cellStyle name="Currency 5 3 2 3 8 2" xfId="19030" xr:uid="{00000000-0005-0000-0000-000047450000}"/>
    <cellStyle name="Currency 5 3 2 3 8 2 2" xfId="19031" xr:uid="{00000000-0005-0000-0000-000048450000}"/>
    <cellStyle name="Currency 5 3 2 3 8 2 2 2" xfId="19032" xr:uid="{00000000-0005-0000-0000-000049450000}"/>
    <cellStyle name="Currency 5 3 2 3 8 2 3" xfId="19033" xr:uid="{00000000-0005-0000-0000-00004A450000}"/>
    <cellStyle name="Currency 5 3 2 3 8 3" xfId="19034" xr:uid="{00000000-0005-0000-0000-00004B450000}"/>
    <cellStyle name="Currency 5 3 2 3 8 3 2" xfId="19035" xr:uid="{00000000-0005-0000-0000-00004C450000}"/>
    <cellStyle name="Currency 5 3 2 3 8 4" xfId="19036" xr:uid="{00000000-0005-0000-0000-00004D450000}"/>
    <cellStyle name="Currency 5 3 2 3 9" xfId="19037" xr:uid="{00000000-0005-0000-0000-00004E450000}"/>
    <cellStyle name="Currency 5 3 2 3 9 2" xfId="19038" xr:uid="{00000000-0005-0000-0000-00004F450000}"/>
    <cellStyle name="Currency 5 3 2 3 9 2 2" xfId="19039" xr:uid="{00000000-0005-0000-0000-000050450000}"/>
    <cellStyle name="Currency 5 3 2 3 9 2 2 2" xfId="19040" xr:uid="{00000000-0005-0000-0000-000051450000}"/>
    <cellStyle name="Currency 5 3 2 3 9 2 3" xfId="19041" xr:uid="{00000000-0005-0000-0000-000052450000}"/>
    <cellStyle name="Currency 5 3 2 3 9 3" xfId="19042" xr:uid="{00000000-0005-0000-0000-000053450000}"/>
    <cellStyle name="Currency 5 3 2 3 9 3 2" xfId="19043" xr:uid="{00000000-0005-0000-0000-000054450000}"/>
    <cellStyle name="Currency 5 3 2 3 9 4" xfId="19044" xr:uid="{00000000-0005-0000-0000-000055450000}"/>
    <cellStyle name="Currency 5 3 2 4" xfId="373" xr:uid="{00000000-0005-0000-0000-000056450000}"/>
    <cellStyle name="Currency 5 3 2 4 10" xfId="19046" xr:uid="{00000000-0005-0000-0000-000057450000}"/>
    <cellStyle name="Currency 5 3 2 4 10 2" xfId="19047" xr:uid="{00000000-0005-0000-0000-000058450000}"/>
    <cellStyle name="Currency 5 3 2 4 10 2 2" xfId="19048" xr:uid="{00000000-0005-0000-0000-000059450000}"/>
    <cellStyle name="Currency 5 3 2 4 10 3" xfId="19049" xr:uid="{00000000-0005-0000-0000-00005A450000}"/>
    <cellStyle name="Currency 5 3 2 4 11" xfId="19050" xr:uid="{00000000-0005-0000-0000-00005B450000}"/>
    <cellStyle name="Currency 5 3 2 4 11 2" xfId="19051" xr:uid="{00000000-0005-0000-0000-00005C450000}"/>
    <cellStyle name="Currency 5 3 2 4 11 2 2" xfId="19052" xr:uid="{00000000-0005-0000-0000-00005D450000}"/>
    <cellStyle name="Currency 5 3 2 4 11 3" xfId="19053" xr:uid="{00000000-0005-0000-0000-00005E450000}"/>
    <cellStyle name="Currency 5 3 2 4 12" xfId="19054" xr:uid="{00000000-0005-0000-0000-00005F450000}"/>
    <cellStyle name="Currency 5 3 2 4 12 2" xfId="19055" xr:uid="{00000000-0005-0000-0000-000060450000}"/>
    <cellStyle name="Currency 5 3 2 4 13" xfId="19056" xr:uid="{00000000-0005-0000-0000-000061450000}"/>
    <cellStyle name="Currency 5 3 2 4 14" xfId="19057" xr:uid="{00000000-0005-0000-0000-000062450000}"/>
    <cellStyle name="Currency 5 3 2 4 15" xfId="19045" xr:uid="{00000000-0005-0000-0000-000063450000}"/>
    <cellStyle name="Currency 5 3 2 4 2" xfId="921" xr:uid="{00000000-0005-0000-0000-000064450000}"/>
    <cellStyle name="Currency 5 3 2 4 2 10" xfId="19059" xr:uid="{00000000-0005-0000-0000-000065450000}"/>
    <cellStyle name="Currency 5 3 2 4 2 11" xfId="19058" xr:uid="{00000000-0005-0000-0000-000066450000}"/>
    <cellStyle name="Currency 5 3 2 4 2 2" xfId="1662" xr:uid="{00000000-0005-0000-0000-000067450000}"/>
    <cellStyle name="Currency 5 3 2 4 2 2 2" xfId="19061" xr:uid="{00000000-0005-0000-0000-000068450000}"/>
    <cellStyle name="Currency 5 3 2 4 2 2 2 2" xfId="19062" xr:uid="{00000000-0005-0000-0000-000069450000}"/>
    <cellStyle name="Currency 5 3 2 4 2 2 2 2 2" xfId="19063" xr:uid="{00000000-0005-0000-0000-00006A450000}"/>
    <cellStyle name="Currency 5 3 2 4 2 2 2 2 2 2" xfId="19064" xr:uid="{00000000-0005-0000-0000-00006B450000}"/>
    <cellStyle name="Currency 5 3 2 4 2 2 2 2 3" xfId="19065" xr:uid="{00000000-0005-0000-0000-00006C450000}"/>
    <cellStyle name="Currency 5 3 2 4 2 2 2 3" xfId="19066" xr:uid="{00000000-0005-0000-0000-00006D450000}"/>
    <cellStyle name="Currency 5 3 2 4 2 2 2 3 2" xfId="19067" xr:uid="{00000000-0005-0000-0000-00006E450000}"/>
    <cellStyle name="Currency 5 3 2 4 2 2 2 4" xfId="19068" xr:uid="{00000000-0005-0000-0000-00006F450000}"/>
    <cellStyle name="Currency 5 3 2 4 2 2 3" xfId="19069" xr:uid="{00000000-0005-0000-0000-000070450000}"/>
    <cellStyle name="Currency 5 3 2 4 2 2 3 2" xfId="19070" xr:uid="{00000000-0005-0000-0000-000071450000}"/>
    <cellStyle name="Currency 5 3 2 4 2 2 3 2 2" xfId="19071" xr:uid="{00000000-0005-0000-0000-000072450000}"/>
    <cellStyle name="Currency 5 3 2 4 2 2 3 2 2 2" xfId="19072" xr:uid="{00000000-0005-0000-0000-000073450000}"/>
    <cellStyle name="Currency 5 3 2 4 2 2 3 2 3" xfId="19073" xr:uid="{00000000-0005-0000-0000-000074450000}"/>
    <cellStyle name="Currency 5 3 2 4 2 2 3 3" xfId="19074" xr:uid="{00000000-0005-0000-0000-000075450000}"/>
    <cellStyle name="Currency 5 3 2 4 2 2 3 3 2" xfId="19075" xr:uid="{00000000-0005-0000-0000-000076450000}"/>
    <cellStyle name="Currency 5 3 2 4 2 2 3 4" xfId="19076" xr:uid="{00000000-0005-0000-0000-000077450000}"/>
    <cellStyle name="Currency 5 3 2 4 2 2 4" xfId="19077" xr:uid="{00000000-0005-0000-0000-000078450000}"/>
    <cellStyle name="Currency 5 3 2 4 2 2 4 2" xfId="19078" xr:uid="{00000000-0005-0000-0000-000079450000}"/>
    <cellStyle name="Currency 5 3 2 4 2 2 4 2 2" xfId="19079" xr:uid="{00000000-0005-0000-0000-00007A450000}"/>
    <cellStyle name="Currency 5 3 2 4 2 2 4 3" xfId="19080" xr:uid="{00000000-0005-0000-0000-00007B450000}"/>
    <cellStyle name="Currency 5 3 2 4 2 2 5" xfId="19081" xr:uid="{00000000-0005-0000-0000-00007C450000}"/>
    <cellStyle name="Currency 5 3 2 4 2 2 5 2" xfId="19082" xr:uid="{00000000-0005-0000-0000-00007D450000}"/>
    <cellStyle name="Currency 5 3 2 4 2 2 6" xfId="19083" xr:uid="{00000000-0005-0000-0000-00007E450000}"/>
    <cellStyle name="Currency 5 3 2 4 2 2 7" xfId="19060" xr:uid="{00000000-0005-0000-0000-00007F450000}"/>
    <cellStyle name="Currency 5 3 2 4 2 3" xfId="19084" xr:uid="{00000000-0005-0000-0000-000080450000}"/>
    <cellStyle name="Currency 5 3 2 4 2 3 2" xfId="19085" xr:uid="{00000000-0005-0000-0000-000081450000}"/>
    <cellStyle name="Currency 5 3 2 4 2 3 2 2" xfId="19086" xr:uid="{00000000-0005-0000-0000-000082450000}"/>
    <cellStyle name="Currency 5 3 2 4 2 3 2 2 2" xfId="19087" xr:uid="{00000000-0005-0000-0000-000083450000}"/>
    <cellStyle name="Currency 5 3 2 4 2 3 2 2 2 2" xfId="19088" xr:uid="{00000000-0005-0000-0000-000084450000}"/>
    <cellStyle name="Currency 5 3 2 4 2 3 2 2 3" xfId="19089" xr:uid="{00000000-0005-0000-0000-000085450000}"/>
    <cellStyle name="Currency 5 3 2 4 2 3 2 3" xfId="19090" xr:uid="{00000000-0005-0000-0000-000086450000}"/>
    <cellStyle name="Currency 5 3 2 4 2 3 2 3 2" xfId="19091" xr:uid="{00000000-0005-0000-0000-000087450000}"/>
    <cellStyle name="Currency 5 3 2 4 2 3 2 4" xfId="19092" xr:uid="{00000000-0005-0000-0000-000088450000}"/>
    <cellStyle name="Currency 5 3 2 4 2 3 3" xfId="19093" xr:uid="{00000000-0005-0000-0000-000089450000}"/>
    <cellStyle name="Currency 5 3 2 4 2 3 3 2" xfId="19094" xr:uid="{00000000-0005-0000-0000-00008A450000}"/>
    <cellStyle name="Currency 5 3 2 4 2 3 3 2 2" xfId="19095" xr:uid="{00000000-0005-0000-0000-00008B450000}"/>
    <cellStyle name="Currency 5 3 2 4 2 3 3 3" xfId="19096" xr:uid="{00000000-0005-0000-0000-00008C450000}"/>
    <cellStyle name="Currency 5 3 2 4 2 3 4" xfId="19097" xr:uid="{00000000-0005-0000-0000-00008D450000}"/>
    <cellStyle name="Currency 5 3 2 4 2 3 4 2" xfId="19098" xr:uid="{00000000-0005-0000-0000-00008E450000}"/>
    <cellStyle name="Currency 5 3 2 4 2 3 5" xfId="19099" xr:uid="{00000000-0005-0000-0000-00008F450000}"/>
    <cellStyle name="Currency 5 3 2 4 2 4" xfId="19100" xr:uid="{00000000-0005-0000-0000-000090450000}"/>
    <cellStyle name="Currency 5 3 2 4 2 4 2" xfId="19101" xr:uid="{00000000-0005-0000-0000-000091450000}"/>
    <cellStyle name="Currency 5 3 2 4 2 4 2 2" xfId="19102" xr:uid="{00000000-0005-0000-0000-000092450000}"/>
    <cellStyle name="Currency 5 3 2 4 2 4 2 2 2" xfId="19103" xr:uid="{00000000-0005-0000-0000-000093450000}"/>
    <cellStyle name="Currency 5 3 2 4 2 4 2 2 2 2" xfId="19104" xr:uid="{00000000-0005-0000-0000-000094450000}"/>
    <cellStyle name="Currency 5 3 2 4 2 4 2 2 3" xfId="19105" xr:uid="{00000000-0005-0000-0000-000095450000}"/>
    <cellStyle name="Currency 5 3 2 4 2 4 2 3" xfId="19106" xr:uid="{00000000-0005-0000-0000-000096450000}"/>
    <cellStyle name="Currency 5 3 2 4 2 4 2 3 2" xfId="19107" xr:uid="{00000000-0005-0000-0000-000097450000}"/>
    <cellStyle name="Currency 5 3 2 4 2 4 2 4" xfId="19108" xr:uid="{00000000-0005-0000-0000-000098450000}"/>
    <cellStyle name="Currency 5 3 2 4 2 4 3" xfId="19109" xr:uid="{00000000-0005-0000-0000-000099450000}"/>
    <cellStyle name="Currency 5 3 2 4 2 4 3 2" xfId="19110" xr:uid="{00000000-0005-0000-0000-00009A450000}"/>
    <cellStyle name="Currency 5 3 2 4 2 4 3 2 2" xfId="19111" xr:uid="{00000000-0005-0000-0000-00009B450000}"/>
    <cellStyle name="Currency 5 3 2 4 2 4 3 3" xfId="19112" xr:uid="{00000000-0005-0000-0000-00009C450000}"/>
    <cellStyle name="Currency 5 3 2 4 2 4 4" xfId="19113" xr:uid="{00000000-0005-0000-0000-00009D450000}"/>
    <cellStyle name="Currency 5 3 2 4 2 4 4 2" xfId="19114" xr:uid="{00000000-0005-0000-0000-00009E450000}"/>
    <cellStyle name="Currency 5 3 2 4 2 4 5" xfId="19115" xr:uid="{00000000-0005-0000-0000-00009F450000}"/>
    <cellStyle name="Currency 5 3 2 4 2 5" xfId="19116" xr:uid="{00000000-0005-0000-0000-0000A0450000}"/>
    <cellStyle name="Currency 5 3 2 4 2 5 2" xfId="19117" xr:uid="{00000000-0005-0000-0000-0000A1450000}"/>
    <cellStyle name="Currency 5 3 2 4 2 5 2 2" xfId="19118" xr:uid="{00000000-0005-0000-0000-0000A2450000}"/>
    <cellStyle name="Currency 5 3 2 4 2 5 2 2 2" xfId="19119" xr:uid="{00000000-0005-0000-0000-0000A3450000}"/>
    <cellStyle name="Currency 5 3 2 4 2 5 2 3" xfId="19120" xr:uid="{00000000-0005-0000-0000-0000A4450000}"/>
    <cellStyle name="Currency 5 3 2 4 2 5 3" xfId="19121" xr:uid="{00000000-0005-0000-0000-0000A5450000}"/>
    <cellStyle name="Currency 5 3 2 4 2 5 3 2" xfId="19122" xr:uid="{00000000-0005-0000-0000-0000A6450000}"/>
    <cellStyle name="Currency 5 3 2 4 2 5 4" xfId="19123" xr:uid="{00000000-0005-0000-0000-0000A7450000}"/>
    <cellStyle name="Currency 5 3 2 4 2 6" xfId="19124" xr:uid="{00000000-0005-0000-0000-0000A8450000}"/>
    <cellStyle name="Currency 5 3 2 4 2 6 2" xfId="19125" xr:uid="{00000000-0005-0000-0000-0000A9450000}"/>
    <cellStyle name="Currency 5 3 2 4 2 6 2 2" xfId="19126" xr:uid="{00000000-0005-0000-0000-0000AA450000}"/>
    <cellStyle name="Currency 5 3 2 4 2 6 2 2 2" xfId="19127" xr:uid="{00000000-0005-0000-0000-0000AB450000}"/>
    <cellStyle name="Currency 5 3 2 4 2 6 2 3" xfId="19128" xr:uid="{00000000-0005-0000-0000-0000AC450000}"/>
    <cellStyle name="Currency 5 3 2 4 2 6 3" xfId="19129" xr:uid="{00000000-0005-0000-0000-0000AD450000}"/>
    <cellStyle name="Currency 5 3 2 4 2 6 3 2" xfId="19130" xr:uid="{00000000-0005-0000-0000-0000AE450000}"/>
    <cellStyle name="Currency 5 3 2 4 2 6 4" xfId="19131" xr:uid="{00000000-0005-0000-0000-0000AF450000}"/>
    <cellStyle name="Currency 5 3 2 4 2 7" xfId="19132" xr:uid="{00000000-0005-0000-0000-0000B0450000}"/>
    <cellStyle name="Currency 5 3 2 4 2 7 2" xfId="19133" xr:uid="{00000000-0005-0000-0000-0000B1450000}"/>
    <cellStyle name="Currency 5 3 2 4 2 7 2 2" xfId="19134" xr:uid="{00000000-0005-0000-0000-0000B2450000}"/>
    <cellStyle name="Currency 5 3 2 4 2 7 2 2 2" xfId="19135" xr:uid="{00000000-0005-0000-0000-0000B3450000}"/>
    <cellStyle name="Currency 5 3 2 4 2 7 2 3" xfId="19136" xr:uid="{00000000-0005-0000-0000-0000B4450000}"/>
    <cellStyle name="Currency 5 3 2 4 2 7 3" xfId="19137" xr:uid="{00000000-0005-0000-0000-0000B5450000}"/>
    <cellStyle name="Currency 5 3 2 4 2 7 3 2" xfId="19138" xr:uid="{00000000-0005-0000-0000-0000B6450000}"/>
    <cellStyle name="Currency 5 3 2 4 2 7 4" xfId="19139" xr:uid="{00000000-0005-0000-0000-0000B7450000}"/>
    <cellStyle name="Currency 5 3 2 4 2 8" xfId="19140" xr:uid="{00000000-0005-0000-0000-0000B8450000}"/>
    <cellStyle name="Currency 5 3 2 4 2 8 2" xfId="19141" xr:uid="{00000000-0005-0000-0000-0000B9450000}"/>
    <cellStyle name="Currency 5 3 2 4 2 8 2 2" xfId="19142" xr:uid="{00000000-0005-0000-0000-0000BA450000}"/>
    <cellStyle name="Currency 5 3 2 4 2 8 3" xfId="19143" xr:uid="{00000000-0005-0000-0000-0000BB450000}"/>
    <cellStyle name="Currency 5 3 2 4 2 9" xfId="19144" xr:uid="{00000000-0005-0000-0000-0000BC450000}"/>
    <cellStyle name="Currency 5 3 2 4 2 9 2" xfId="19145" xr:uid="{00000000-0005-0000-0000-0000BD450000}"/>
    <cellStyle name="Currency 5 3 2 4 3" xfId="1337" xr:uid="{00000000-0005-0000-0000-0000BE450000}"/>
    <cellStyle name="Currency 5 3 2 4 3 2" xfId="19147" xr:uid="{00000000-0005-0000-0000-0000BF450000}"/>
    <cellStyle name="Currency 5 3 2 4 3 2 2" xfId="19148" xr:uid="{00000000-0005-0000-0000-0000C0450000}"/>
    <cellStyle name="Currency 5 3 2 4 3 2 2 2" xfId="19149" xr:uid="{00000000-0005-0000-0000-0000C1450000}"/>
    <cellStyle name="Currency 5 3 2 4 3 2 2 2 2" xfId="19150" xr:uid="{00000000-0005-0000-0000-0000C2450000}"/>
    <cellStyle name="Currency 5 3 2 4 3 2 2 3" xfId="19151" xr:uid="{00000000-0005-0000-0000-0000C3450000}"/>
    <cellStyle name="Currency 5 3 2 4 3 2 3" xfId="19152" xr:uid="{00000000-0005-0000-0000-0000C4450000}"/>
    <cellStyle name="Currency 5 3 2 4 3 2 3 2" xfId="19153" xr:uid="{00000000-0005-0000-0000-0000C5450000}"/>
    <cellStyle name="Currency 5 3 2 4 3 2 4" xfId="19154" xr:uid="{00000000-0005-0000-0000-0000C6450000}"/>
    <cellStyle name="Currency 5 3 2 4 3 3" xfId="19155" xr:uid="{00000000-0005-0000-0000-0000C7450000}"/>
    <cellStyle name="Currency 5 3 2 4 3 3 2" xfId="19156" xr:uid="{00000000-0005-0000-0000-0000C8450000}"/>
    <cellStyle name="Currency 5 3 2 4 3 3 2 2" xfId="19157" xr:uid="{00000000-0005-0000-0000-0000C9450000}"/>
    <cellStyle name="Currency 5 3 2 4 3 3 2 2 2" xfId="19158" xr:uid="{00000000-0005-0000-0000-0000CA450000}"/>
    <cellStyle name="Currency 5 3 2 4 3 3 2 3" xfId="19159" xr:uid="{00000000-0005-0000-0000-0000CB450000}"/>
    <cellStyle name="Currency 5 3 2 4 3 3 3" xfId="19160" xr:uid="{00000000-0005-0000-0000-0000CC450000}"/>
    <cellStyle name="Currency 5 3 2 4 3 3 3 2" xfId="19161" xr:uid="{00000000-0005-0000-0000-0000CD450000}"/>
    <cellStyle name="Currency 5 3 2 4 3 3 4" xfId="19162" xr:uid="{00000000-0005-0000-0000-0000CE450000}"/>
    <cellStyle name="Currency 5 3 2 4 3 4" xfId="19163" xr:uid="{00000000-0005-0000-0000-0000CF450000}"/>
    <cellStyle name="Currency 5 3 2 4 3 4 2" xfId="19164" xr:uid="{00000000-0005-0000-0000-0000D0450000}"/>
    <cellStyle name="Currency 5 3 2 4 3 4 2 2" xfId="19165" xr:uid="{00000000-0005-0000-0000-0000D1450000}"/>
    <cellStyle name="Currency 5 3 2 4 3 4 3" xfId="19166" xr:uid="{00000000-0005-0000-0000-0000D2450000}"/>
    <cellStyle name="Currency 5 3 2 4 3 5" xfId="19167" xr:uid="{00000000-0005-0000-0000-0000D3450000}"/>
    <cellStyle name="Currency 5 3 2 4 3 5 2" xfId="19168" xr:uid="{00000000-0005-0000-0000-0000D4450000}"/>
    <cellStyle name="Currency 5 3 2 4 3 6" xfId="19169" xr:uid="{00000000-0005-0000-0000-0000D5450000}"/>
    <cellStyle name="Currency 5 3 2 4 3 7" xfId="19146" xr:uid="{00000000-0005-0000-0000-0000D6450000}"/>
    <cellStyle name="Currency 5 3 2 4 4" xfId="19170" xr:uid="{00000000-0005-0000-0000-0000D7450000}"/>
    <cellStyle name="Currency 5 3 2 4 4 2" xfId="19171" xr:uid="{00000000-0005-0000-0000-0000D8450000}"/>
    <cellStyle name="Currency 5 3 2 4 4 2 2" xfId="19172" xr:uid="{00000000-0005-0000-0000-0000D9450000}"/>
    <cellStyle name="Currency 5 3 2 4 4 2 2 2" xfId="19173" xr:uid="{00000000-0005-0000-0000-0000DA450000}"/>
    <cellStyle name="Currency 5 3 2 4 4 2 2 2 2" xfId="19174" xr:uid="{00000000-0005-0000-0000-0000DB450000}"/>
    <cellStyle name="Currency 5 3 2 4 4 2 2 3" xfId="19175" xr:uid="{00000000-0005-0000-0000-0000DC450000}"/>
    <cellStyle name="Currency 5 3 2 4 4 2 3" xfId="19176" xr:uid="{00000000-0005-0000-0000-0000DD450000}"/>
    <cellStyle name="Currency 5 3 2 4 4 2 3 2" xfId="19177" xr:uid="{00000000-0005-0000-0000-0000DE450000}"/>
    <cellStyle name="Currency 5 3 2 4 4 2 4" xfId="19178" xr:uid="{00000000-0005-0000-0000-0000DF450000}"/>
    <cellStyle name="Currency 5 3 2 4 4 3" xfId="19179" xr:uid="{00000000-0005-0000-0000-0000E0450000}"/>
    <cellStyle name="Currency 5 3 2 4 4 3 2" xfId="19180" xr:uid="{00000000-0005-0000-0000-0000E1450000}"/>
    <cellStyle name="Currency 5 3 2 4 4 3 2 2" xfId="19181" xr:uid="{00000000-0005-0000-0000-0000E2450000}"/>
    <cellStyle name="Currency 5 3 2 4 4 3 3" xfId="19182" xr:uid="{00000000-0005-0000-0000-0000E3450000}"/>
    <cellStyle name="Currency 5 3 2 4 4 4" xfId="19183" xr:uid="{00000000-0005-0000-0000-0000E4450000}"/>
    <cellStyle name="Currency 5 3 2 4 4 4 2" xfId="19184" xr:uid="{00000000-0005-0000-0000-0000E5450000}"/>
    <cellStyle name="Currency 5 3 2 4 4 5" xfId="19185" xr:uid="{00000000-0005-0000-0000-0000E6450000}"/>
    <cellStyle name="Currency 5 3 2 4 5" xfId="19186" xr:uid="{00000000-0005-0000-0000-0000E7450000}"/>
    <cellStyle name="Currency 5 3 2 4 5 2" xfId="19187" xr:uid="{00000000-0005-0000-0000-0000E8450000}"/>
    <cellStyle name="Currency 5 3 2 4 5 2 2" xfId="19188" xr:uid="{00000000-0005-0000-0000-0000E9450000}"/>
    <cellStyle name="Currency 5 3 2 4 5 2 2 2" xfId="19189" xr:uid="{00000000-0005-0000-0000-0000EA450000}"/>
    <cellStyle name="Currency 5 3 2 4 5 2 2 2 2" xfId="19190" xr:uid="{00000000-0005-0000-0000-0000EB450000}"/>
    <cellStyle name="Currency 5 3 2 4 5 2 2 3" xfId="19191" xr:uid="{00000000-0005-0000-0000-0000EC450000}"/>
    <cellStyle name="Currency 5 3 2 4 5 2 3" xfId="19192" xr:uid="{00000000-0005-0000-0000-0000ED450000}"/>
    <cellStyle name="Currency 5 3 2 4 5 2 3 2" xfId="19193" xr:uid="{00000000-0005-0000-0000-0000EE450000}"/>
    <cellStyle name="Currency 5 3 2 4 5 2 4" xfId="19194" xr:uid="{00000000-0005-0000-0000-0000EF450000}"/>
    <cellStyle name="Currency 5 3 2 4 5 3" xfId="19195" xr:uid="{00000000-0005-0000-0000-0000F0450000}"/>
    <cellStyle name="Currency 5 3 2 4 5 3 2" xfId="19196" xr:uid="{00000000-0005-0000-0000-0000F1450000}"/>
    <cellStyle name="Currency 5 3 2 4 5 3 2 2" xfId="19197" xr:uid="{00000000-0005-0000-0000-0000F2450000}"/>
    <cellStyle name="Currency 5 3 2 4 5 3 3" xfId="19198" xr:uid="{00000000-0005-0000-0000-0000F3450000}"/>
    <cellStyle name="Currency 5 3 2 4 5 4" xfId="19199" xr:uid="{00000000-0005-0000-0000-0000F4450000}"/>
    <cellStyle name="Currency 5 3 2 4 5 4 2" xfId="19200" xr:uid="{00000000-0005-0000-0000-0000F5450000}"/>
    <cellStyle name="Currency 5 3 2 4 5 5" xfId="19201" xr:uid="{00000000-0005-0000-0000-0000F6450000}"/>
    <cellStyle name="Currency 5 3 2 4 6" xfId="19202" xr:uid="{00000000-0005-0000-0000-0000F7450000}"/>
    <cellStyle name="Currency 5 3 2 4 6 2" xfId="19203" xr:uid="{00000000-0005-0000-0000-0000F8450000}"/>
    <cellStyle name="Currency 5 3 2 4 6 2 2" xfId="19204" xr:uid="{00000000-0005-0000-0000-0000F9450000}"/>
    <cellStyle name="Currency 5 3 2 4 6 2 2 2" xfId="19205" xr:uid="{00000000-0005-0000-0000-0000FA450000}"/>
    <cellStyle name="Currency 5 3 2 4 6 2 3" xfId="19206" xr:uid="{00000000-0005-0000-0000-0000FB450000}"/>
    <cellStyle name="Currency 5 3 2 4 6 3" xfId="19207" xr:uid="{00000000-0005-0000-0000-0000FC450000}"/>
    <cellStyle name="Currency 5 3 2 4 6 3 2" xfId="19208" xr:uid="{00000000-0005-0000-0000-0000FD450000}"/>
    <cellStyle name="Currency 5 3 2 4 6 4" xfId="19209" xr:uid="{00000000-0005-0000-0000-0000FE450000}"/>
    <cellStyle name="Currency 5 3 2 4 7" xfId="19210" xr:uid="{00000000-0005-0000-0000-0000FF450000}"/>
    <cellStyle name="Currency 5 3 2 4 7 2" xfId="19211" xr:uid="{00000000-0005-0000-0000-000000460000}"/>
    <cellStyle name="Currency 5 3 2 4 7 2 2" xfId="19212" xr:uid="{00000000-0005-0000-0000-000001460000}"/>
    <cellStyle name="Currency 5 3 2 4 7 2 2 2" xfId="19213" xr:uid="{00000000-0005-0000-0000-000002460000}"/>
    <cellStyle name="Currency 5 3 2 4 7 2 3" xfId="19214" xr:uid="{00000000-0005-0000-0000-000003460000}"/>
    <cellStyle name="Currency 5 3 2 4 7 3" xfId="19215" xr:uid="{00000000-0005-0000-0000-000004460000}"/>
    <cellStyle name="Currency 5 3 2 4 7 3 2" xfId="19216" xr:uid="{00000000-0005-0000-0000-000005460000}"/>
    <cellStyle name="Currency 5 3 2 4 7 4" xfId="19217" xr:uid="{00000000-0005-0000-0000-000006460000}"/>
    <cellStyle name="Currency 5 3 2 4 8" xfId="19218" xr:uid="{00000000-0005-0000-0000-000007460000}"/>
    <cellStyle name="Currency 5 3 2 4 8 2" xfId="19219" xr:uid="{00000000-0005-0000-0000-000008460000}"/>
    <cellStyle name="Currency 5 3 2 4 8 2 2" xfId="19220" xr:uid="{00000000-0005-0000-0000-000009460000}"/>
    <cellStyle name="Currency 5 3 2 4 8 2 2 2" xfId="19221" xr:uid="{00000000-0005-0000-0000-00000A460000}"/>
    <cellStyle name="Currency 5 3 2 4 8 2 3" xfId="19222" xr:uid="{00000000-0005-0000-0000-00000B460000}"/>
    <cellStyle name="Currency 5 3 2 4 8 3" xfId="19223" xr:uid="{00000000-0005-0000-0000-00000C460000}"/>
    <cellStyle name="Currency 5 3 2 4 8 3 2" xfId="19224" xr:uid="{00000000-0005-0000-0000-00000D460000}"/>
    <cellStyle name="Currency 5 3 2 4 8 4" xfId="19225" xr:uid="{00000000-0005-0000-0000-00000E460000}"/>
    <cellStyle name="Currency 5 3 2 4 9" xfId="19226" xr:uid="{00000000-0005-0000-0000-00000F460000}"/>
    <cellStyle name="Currency 5 3 2 4 9 2" xfId="19227" xr:uid="{00000000-0005-0000-0000-000010460000}"/>
    <cellStyle name="Currency 5 3 2 4 9 2 2" xfId="19228" xr:uid="{00000000-0005-0000-0000-000011460000}"/>
    <cellStyle name="Currency 5 3 2 4 9 3" xfId="19229" xr:uid="{00000000-0005-0000-0000-000012460000}"/>
    <cellStyle name="Currency 5 3 2 5" xfId="374" xr:uid="{00000000-0005-0000-0000-000013460000}"/>
    <cellStyle name="Currency 5 3 2 6" xfId="914" xr:uid="{00000000-0005-0000-0000-000014460000}"/>
    <cellStyle name="Currency 5 3 2 6 10" xfId="19231" xr:uid="{00000000-0005-0000-0000-000015460000}"/>
    <cellStyle name="Currency 5 3 2 6 11" xfId="19230" xr:uid="{00000000-0005-0000-0000-000016460000}"/>
    <cellStyle name="Currency 5 3 2 6 2" xfId="1655" xr:uid="{00000000-0005-0000-0000-000017460000}"/>
    <cellStyle name="Currency 5 3 2 6 2 2" xfId="19233" xr:uid="{00000000-0005-0000-0000-000018460000}"/>
    <cellStyle name="Currency 5 3 2 6 2 2 2" xfId="19234" xr:uid="{00000000-0005-0000-0000-000019460000}"/>
    <cellStyle name="Currency 5 3 2 6 2 2 2 2" xfId="19235" xr:uid="{00000000-0005-0000-0000-00001A460000}"/>
    <cellStyle name="Currency 5 3 2 6 2 2 2 2 2" xfId="19236" xr:uid="{00000000-0005-0000-0000-00001B460000}"/>
    <cellStyle name="Currency 5 3 2 6 2 2 2 3" xfId="19237" xr:uid="{00000000-0005-0000-0000-00001C460000}"/>
    <cellStyle name="Currency 5 3 2 6 2 2 3" xfId="19238" xr:uid="{00000000-0005-0000-0000-00001D460000}"/>
    <cellStyle name="Currency 5 3 2 6 2 2 3 2" xfId="19239" xr:uid="{00000000-0005-0000-0000-00001E460000}"/>
    <cellStyle name="Currency 5 3 2 6 2 2 4" xfId="19240" xr:uid="{00000000-0005-0000-0000-00001F460000}"/>
    <cellStyle name="Currency 5 3 2 6 2 3" xfId="19241" xr:uid="{00000000-0005-0000-0000-000020460000}"/>
    <cellStyle name="Currency 5 3 2 6 2 3 2" xfId="19242" xr:uid="{00000000-0005-0000-0000-000021460000}"/>
    <cellStyle name="Currency 5 3 2 6 2 3 2 2" xfId="19243" xr:uid="{00000000-0005-0000-0000-000022460000}"/>
    <cellStyle name="Currency 5 3 2 6 2 3 2 2 2" xfId="19244" xr:uid="{00000000-0005-0000-0000-000023460000}"/>
    <cellStyle name="Currency 5 3 2 6 2 3 2 3" xfId="19245" xr:uid="{00000000-0005-0000-0000-000024460000}"/>
    <cellStyle name="Currency 5 3 2 6 2 3 3" xfId="19246" xr:uid="{00000000-0005-0000-0000-000025460000}"/>
    <cellStyle name="Currency 5 3 2 6 2 3 3 2" xfId="19247" xr:uid="{00000000-0005-0000-0000-000026460000}"/>
    <cellStyle name="Currency 5 3 2 6 2 3 4" xfId="19248" xr:uid="{00000000-0005-0000-0000-000027460000}"/>
    <cellStyle name="Currency 5 3 2 6 2 4" xfId="19249" xr:uid="{00000000-0005-0000-0000-000028460000}"/>
    <cellStyle name="Currency 5 3 2 6 2 4 2" xfId="19250" xr:uid="{00000000-0005-0000-0000-000029460000}"/>
    <cellStyle name="Currency 5 3 2 6 2 4 2 2" xfId="19251" xr:uid="{00000000-0005-0000-0000-00002A460000}"/>
    <cellStyle name="Currency 5 3 2 6 2 4 3" xfId="19252" xr:uid="{00000000-0005-0000-0000-00002B460000}"/>
    <cellStyle name="Currency 5 3 2 6 2 5" xfId="19253" xr:uid="{00000000-0005-0000-0000-00002C460000}"/>
    <cellStyle name="Currency 5 3 2 6 2 5 2" xfId="19254" xr:uid="{00000000-0005-0000-0000-00002D460000}"/>
    <cellStyle name="Currency 5 3 2 6 2 6" xfId="19255" xr:uid="{00000000-0005-0000-0000-00002E460000}"/>
    <cellStyle name="Currency 5 3 2 6 2 7" xfId="19232" xr:uid="{00000000-0005-0000-0000-00002F460000}"/>
    <cellStyle name="Currency 5 3 2 6 3" xfId="19256" xr:uid="{00000000-0005-0000-0000-000030460000}"/>
    <cellStyle name="Currency 5 3 2 6 3 2" xfId="19257" xr:uid="{00000000-0005-0000-0000-000031460000}"/>
    <cellStyle name="Currency 5 3 2 6 3 2 2" xfId="19258" xr:uid="{00000000-0005-0000-0000-000032460000}"/>
    <cellStyle name="Currency 5 3 2 6 3 2 2 2" xfId="19259" xr:uid="{00000000-0005-0000-0000-000033460000}"/>
    <cellStyle name="Currency 5 3 2 6 3 2 2 2 2" xfId="19260" xr:uid="{00000000-0005-0000-0000-000034460000}"/>
    <cellStyle name="Currency 5 3 2 6 3 2 2 3" xfId="19261" xr:uid="{00000000-0005-0000-0000-000035460000}"/>
    <cellStyle name="Currency 5 3 2 6 3 2 3" xfId="19262" xr:uid="{00000000-0005-0000-0000-000036460000}"/>
    <cellStyle name="Currency 5 3 2 6 3 2 3 2" xfId="19263" xr:uid="{00000000-0005-0000-0000-000037460000}"/>
    <cellStyle name="Currency 5 3 2 6 3 2 4" xfId="19264" xr:uid="{00000000-0005-0000-0000-000038460000}"/>
    <cellStyle name="Currency 5 3 2 6 3 3" xfId="19265" xr:uid="{00000000-0005-0000-0000-000039460000}"/>
    <cellStyle name="Currency 5 3 2 6 3 3 2" xfId="19266" xr:uid="{00000000-0005-0000-0000-00003A460000}"/>
    <cellStyle name="Currency 5 3 2 6 3 3 2 2" xfId="19267" xr:uid="{00000000-0005-0000-0000-00003B460000}"/>
    <cellStyle name="Currency 5 3 2 6 3 3 3" xfId="19268" xr:uid="{00000000-0005-0000-0000-00003C460000}"/>
    <cellStyle name="Currency 5 3 2 6 3 4" xfId="19269" xr:uid="{00000000-0005-0000-0000-00003D460000}"/>
    <cellStyle name="Currency 5 3 2 6 3 4 2" xfId="19270" xr:uid="{00000000-0005-0000-0000-00003E460000}"/>
    <cellStyle name="Currency 5 3 2 6 3 5" xfId="19271" xr:uid="{00000000-0005-0000-0000-00003F460000}"/>
    <cellStyle name="Currency 5 3 2 6 4" xfId="19272" xr:uid="{00000000-0005-0000-0000-000040460000}"/>
    <cellStyle name="Currency 5 3 2 6 4 2" xfId="19273" xr:uid="{00000000-0005-0000-0000-000041460000}"/>
    <cellStyle name="Currency 5 3 2 6 4 2 2" xfId="19274" xr:uid="{00000000-0005-0000-0000-000042460000}"/>
    <cellStyle name="Currency 5 3 2 6 4 2 2 2" xfId="19275" xr:uid="{00000000-0005-0000-0000-000043460000}"/>
    <cellStyle name="Currency 5 3 2 6 4 2 2 2 2" xfId="19276" xr:uid="{00000000-0005-0000-0000-000044460000}"/>
    <cellStyle name="Currency 5 3 2 6 4 2 2 3" xfId="19277" xr:uid="{00000000-0005-0000-0000-000045460000}"/>
    <cellStyle name="Currency 5 3 2 6 4 2 3" xfId="19278" xr:uid="{00000000-0005-0000-0000-000046460000}"/>
    <cellStyle name="Currency 5 3 2 6 4 2 3 2" xfId="19279" xr:uid="{00000000-0005-0000-0000-000047460000}"/>
    <cellStyle name="Currency 5 3 2 6 4 2 4" xfId="19280" xr:uid="{00000000-0005-0000-0000-000048460000}"/>
    <cellStyle name="Currency 5 3 2 6 4 3" xfId="19281" xr:uid="{00000000-0005-0000-0000-000049460000}"/>
    <cellStyle name="Currency 5 3 2 6 4 3 2" xfId="19282" xr:uid="{00000000-0005-0000-0000-00004A460000}"/>
    <cellStyle name="Currency 5 3 2 6 4 3 2 2" xfId="19283" xr:uid="{00000000-0005-0000-0000-00004B460000}"/>
    <cellStyle name="Currency 5 3 2 6 4 3 3" xfId="19284" xr:uid="{00000000-0005-0000-0000-00004C460000}"/>
    <cellStyle name="Currency 5 3 2 6 4 4" xfId="19285" xr:uid="{00000000-0005-0000-0000-00004D460000}"/>
    <cellStyle name="Currency 5 3 2 6 4 4 2" xfId="19286" xr:uid="{00000000-0005-0000-0000-00004E460000}"/>
    <cellStyle name="Currency 5 3 2 6 4 5" xfId="19287" xr:uid="{00000000-0005-0000-0000-00004F460000}"/>
    <cellStyle name="Currency 5 3 2 6 5" xfId="19288" xr:uid="{00000000-0005-0000-0000-000050460000}"/>
    <cellStyle name="Currency 5 3 2 6 5 2" xfId="19289" xr:uid="{00000000-0005-0000-0000-000051460000}"/>
    <cellStyle name="Currency 5 3 2 6 5 2 2" xfId="19290" xr:uid="{00000000-0005-0000-0000-000052460000}"/>
    <cellStyle name="Currency 5 3 2 6 5 2 2 2" xfId="19291" xr:uid="{00000000-0005-0000-0000-000053460000}"/>
    <cellStyle name="Currency 5 3 2 6 5 2 3" xfId="19292" xr:uid="{00000000-0005-0000-0000-000054460000}"/>
    <cellStyle name="Currency 5 3 2 6 5 3" xfId="19293" xr:uid="{00000000-0005-0000-0000-000055460000}"/>
    <cellStyle name="Currency 5 3 2 6 5 3 2" xfId="19294" xr:uid="{00000000-0005-0000-0000-000056460000}"/>
    <cellStyle name="Currency 5 3 2 6 5 4" xfId="19295" xr:uid="{00000000-0005-0000-0000-000057460000}"/>
    <cellStyle name="Currency 5 3 2 6 6" xfId="19296" xr:uid="{00000000-0005-0000-0000-000058460000}"/>
    <cellStyle name="Currency 5 3 2 6 6 2" xfId="19297" xr:uid="{00000000-0005-0000-0000-000059460000}"/>
    <cellStyle name="Currency 5 3 2 6 6 2 2" xfId="19298" xr:uid="{00000000-0005-0000-0000-00005A460000}"/>
    <cellStyle name="Currency 5 3 2 6 6 2 2 2" xfId="19299" xr:uid="{00000000-0005-0000-0000-00005B460000}"/>
    <cellStyle name="Currency 5 3 2 6 6 2 3" xfId="19300" xr:uid="{00000000-0005-0000-0000-00005C460000}"/>
    <cellStyle name="Currency 5 3 2 6 6 3" xfId="19301" xr:uid="{00000000-0005-0000-0000-00005D460000}"/>
    <cellStyle name="Currency 5 3 2 6 6 3 2" xfId="19302" xr:uid="{00000000-0005-0000-0000-00005E460000}"/>
    <cellStyle name="Currency 5 3 2 6 6 4" xfId="19303" xr:uid="{00000000-0005-0000-0000-00005F460000}"/>
    <cellStyle name="Currency 5 3 2 6 7" xfId="19304" xr:uid="{00000000-0005-0000-0000-000060460000}"/>
    <cellStyle name="Currency 5 3 2 6 7 2" xfId="19305" xr:uid="{00000000-0005-0000-0000-000061460000}"/>
    <cellStyle name="Currency 5 3 2 6 7 2 2" xfId="19306" xr:uid="{00000000-0005-0000-0000-000062460000}"/>
    <cellStyle name="Currency 5 3 2 6 7 2 2 2" xfId="19307" xr:uid="{00000000-0005-0000-0000-000063460000}"/>
    <cellStyle name="Currency 5 3 2 6 7 2 3" xfId="19308" xr:uid="{00000000-0005-0000-0000-000064460000}"/>
    <cellStyle name="Currency 5 3 2 6 7 3" xfId="19309" xr:uid="{00000000-0005-0000-0000-000065460000}"/>
    <cellStyle name="Currency 5 3 2 6 7 3 2" xfId="19310" xr:uid="{00000000-0005-0000-0000-000066460000}"/>
    <cellStyle name="Currency 5 3 2 6 7 4" xfId="19311" xr:uid="{00000000-0005-0000-0000-000067460000}"/>
    <cellStyle name="Currency 5 3 2 6 8" xfId="19312" xr:uid="{00000000-0005-0000-0000-000068460000}"/>
    <cellStyle name="Currency 5 3 2 6 8 2" xfId="19313" xr:uid="{00000000-0005-0000-0000-000069460000}"/>
    <cellStyle name="Currency 5 3 2 6 8 2 2" xfId="19314" xr:uid="{00000000-0005-0000-0000-00006A460000}"/>
    <cellStyle name="Currency 5 3 2 6 8 3" xfId="19315" xr:uid="{00000000-0005-0000-0000-00006B460000}"/>
    <cellStyle name="Currency 5 3 2 6 9" xfId="19316" xr:uid="{00000000-0005-0000-0000-00006C460000}"/>
    <cellStyle name="Currency 5 3 2 6 9 2" xfId="19317" xr:uid="{00000000-0005-0000-0000-00006D460000}"/>
    <cellStyle name="Currency 5 3 2 7" xfId="1330" xr:uid="{00000000-0005-0000-0000-00006E460000}"/>
    <cellStyle name="Currency 5 3 2 7 2" xfId="19319" xr:uid="{00000000-0005-0000-0000-00006F460000}"/>
    <cellStyle name="Currency 5 3 2 7 2 2" xfId="19320" xr:uid="{00000000-0005-0000-0000-000070460000}"/>
    <cellStyle name="Currency 5 3 2 7 2 2 2" xfId="19321" xr:uid="{00000000-0005-0000-0000-000071460000}"/>
    <cellStyle name="Currency 5 3 2 7 2 2 2 2" xfId="19322" xr:uid="{00000000-0005-0000-0000-000072460000}"/>
    <cellStyle name="Currency 5 3 2 7 2 2 3" xfId="19323" xr:uid="{00000000-0005-0000-0000-000073460000}"/>
    <cellStyle name="Currency 5 3 2 7 2 3" xfId="19324" xr:uid="{00000000-0005-0000-0000-000074460000}"/>
    <cellStyle name="Currency 5 3 2 7 2 3 2" xfId="19325" xr:uid="{00000000-0005-0000-0000-000075460000}"/>
    <cellStyle name="Currency 5 3 2 7 2 4" xfId="19326" xr:uid="{00000000-0005-0000-0000-000076460000}"/>
    <cellStyle name="Currency 5 3 2 7 3" xfId="19327" xr:uid="{00000000-0005-0000-0000-000077460000}"/>
    <cellStyle name="Currency 5 3 2 7 3 2" xfId="19328" xr:uid="{00000000-0005-0000-0000-000078460000}"/>
    <cellStyle name="Currency 5 3 2 7 3 2 2" xfId="19329" xr:uid="{00000000-0005-0000-0000-000079460000}"/>
    <cellStyle name="Currency 5 3 2 7 3 2 2 2" xfId="19330" xr:uid="{00000000-0005-0000-0000-00007A460000}"/>
    <cellStyle name="Currency 5 3 2 7 3 2 3" xfId="19331" xr:uid="{00000000-0005-0000-0000-00007B460000}"/>
    <cellStyle name="Currency 5 3 2 7 3 3" xfId="19332" xr:uid="{00000000-0005-0000-0000-00007C460000}"/>
    <cellStyle name="Currency 5 3 2 7 3 3 2" xfId="19333" xr:uid="{00000000-0005-0000-0000-00007D460000}"/>
    <cellStyle name="Currency 5 3 2 7 3 4" xfId="19334" xr:uid="{00000000-0005-0000-0000-00007E460000}"/>
    <cellStyle name="Currency 5 3 2 7 4" xfId="19335" xr:uid="{00000000-0005-0000-0000-00007F460000}"/>
    <cellStyle name="Currency 5 3 2 7 4 2" xfId="19336" xr:uid="{00000000-0005-0000-0000-000080460000}"/>
    <cellStyle name="Currency 5 3 2 7 4 2 2" xfId="19337" xr:uid="{00000000-0005-0000-0000-000081460000}"/>
    <cellStyle name="Currency 5 3 2 7 4 3" xfId="19338" xr:uid="{00000000-0005-0000-0000-000082460000}"/>
    <cellStyle name="Currency 5 3 2 7 5" xfId="19339" xr:uid="{00000000-0005-0000-0000-000083460000}"/>
    <cellStyle name="Currency 5 3 2 7 5 2" xfId="19340" xr:uid="{00000000-0005-0000-0000-000084460000}"/>
    <cellStyle name="Currency 5 3 2 7 6" xfId="19341" xr:uid="{00000000-0005-0000-0000-000085460000}"/>
    <cellStyle name="Currency 5 3 2 7 7" xfId="19318" xr:uid="{00000000-0005-0000-0000-000086460000}"/>
    <cellStyle name="Currency 5 3 2 8" xfId="19342" xr:uid="{00000000-0005-0000-0000-000087460000}"/>
    <cellStyle name="Currency 5 3 2 8 2" xfId="19343" xr:uid="{00000000-0005-0000-0000-000088460000}"/>
    <cellStyle name="Currency 5 3 2 8 2 2" xfId="19344" xr:uid="{00000000-0005-0000-0000-000089460000}"/>
    <cellStyle name="Currency 5 3 2 8 2 2 2" xfId="19345" xr:uid="{00000000-0005-0000-0000-00008A460000}"/>
    <cellStyle name="Currency 5 3 2 8 2 2 2 2" xfId="19346" xr:uid="{00000000-0005-0000-0000-00008B460000}"/>
    <cellStyle name="Currency 5 3 2 8 2 2 3" xfId="19347" xr:uid="{00000000-0005-0000-0000-00008C460000}"/>
    <cellStyle name="Currency 5 3 2 8 2 3" xfId="19348" xr:uid="{00000000-0005-0000-0000-00008D460000}"/>
    <cellStyle name="Currency 5 3 2 8 2 3 2" xfId="19349" xr:uid="{00000000-0005-0000-0000-00008E460000}"/>
    <cellStyle name="Currency 5 3 2 8 2 4" xfId="19350" xr:uid="{00000000-0005-0000-0000-00008F460000}"/>
    <cellStyle name="Currency 5 3 2 8 3" xfId="19351" xr:uid="{00000000-0005-0000-0000-000090460000}"/>
    <cellStyle name="Currency 5 3 2 8 3 2" xfId="19352" xr:uid="{00000000-0005-0000-0000-000091460000}"/>
    <cellStyle name="Currency 5 3 2 8 3 2 2" xfId="19353" xr:uid="{00000000-0005-0000-0000-000092460000}"/>
    <cellStyle name="Currency 5 3 2 8 3 3" xfId="19354" xr:uid="{00000000-0005-0000-0000-000093460000}"/>
    <cellStyle name="Currency 5 3 2 8 4" xfId="19355" xr:uid="{00000000-0005-0000-0000-000094460000}"/>
    <cellStyle name="Currency 5 3 2 8 4 2" xfId="19356" xr:uid="{00000000-0005-0000-0000-000095460000}"/>
    <cellStyle name="Currency 5 3 2 8 5" xfId="19357" xr:uid="{00000000-0005-0000-0000-000096460000}"/>
    <cellStyle name="Currency 5 3 2 9" xfId="19358" xr:uid="{00000000-0005-0000-0000-000097460000}"/>
    <cellStyle name="Currency 5 3 2 9 2" xfId="19359" xr:uid="{00000000-0005-0000-0000-000098460000}"/>
    <cellStyle name="Currency 5 3 2 9 2 2" xfId="19360" xr:uid="{00000000-0005-0000-0000-000099460000}"/>
    <cellStyle name="Currency 5 3 2 9 2 2 2" xfId="19361" xr:uid="{00000000-0005-0000-0000-00009A460000}"/>
    <cellStyle name="Currency 5 3 2 9 2 2 2 2" xfId="19362" xr:uid="{00000000-0005-0000-0000-00009B460000}"/>
    <cellStyle name="Currency 5 3 2 9 2 2 3" xfId="19363" xr:uid="{00000000-0005-0000-0000-00009C460000}"/>
    <cellStyle name="Currency 5 3 2 9 2 3" xfId="19364" xr:uid="{00000000-0005-0000-0000-00009D460000}"/>
    <cellStyle name="Currency 5 3 2 9 2 3 2" xfId="19365" xr:uid="{00000000-0005-0000-0000-00009E460000}"/>
    <cellStyle name="Currency 5 3 2 9 2 4" xfId="19366" xr:uid="{00000000-0005-0000-0000-00009F460000}"/>
    <cellStyle name="Currency 5 3 2 9 3" xfId="19367" xr:uid="{00000000-0005-0000-0000-0000A0460000}"/>
    <cellStyle name="Currency 5 3 2 9 3 2" xfId="19368" xr:uid="{00000000-0005-0000-0000-0000A1460000}"/>
    <cellStyle name="Currency 5 3 2 9 3 2 2" xfId="19369" xr:uid="{00000000-0005-0000-0000-0000A2460000}"/>
    <cellStyle name="Currency 5 3 2 9 3 3" xfId="19370" xr:uid="{00000000-0005-0000-0000-0000A3460000}"/>
    <cellStyle name="Currency 5 3 2 9 4" xfId="19371" xr:uid="{00000000-0005-0000-0000-0000A4460000}"/>
    <cellStyle name="Currency 5 3 2 9 4 2" xfId="19372" xr:uid="{00000000-0005-0000-0000-0000A5460000}"/>
    <cellStyle name="Currency 5 3 2 9 5" xfId="19373" xr:uid="{00000000-0005-0000-0000-0000A6460000}"/>
    <cellStyle name="Currency 5 3 20" xfId="17837" xr:uid="{00000000-0005-0000-0000-0000A7460000}"/>
    <cellStyle name="Currency 5 3 3" xfId="375" xr:uid="{00000000-0005-0000-0000-0000A8460000}"/>
    <cellStyle name="Currency 5 3 3 10" xfId="19375" xr:uid="{00000000-0005-0000-0000-0000A9460000}"/>
    <cellStyle name="Currency 5 3 3 10 2" xfId="19376" xr:uid="{00000000-0005-0000-0000-0000AA460000}"/>
    <cellStyle name="Currency 5 3 3 10 2 2" xfId="19377" xr:uid="{00000000-0005-0000-0000-0000AB460000}"/>
    <cellStyle name="Currency 5 3 3 10 2 2 2" xfId="19378" xr:uid="{00000000-0005-0000-0000-0000AC460000}"/>
    <cellStyle name="Currency 5 3 3 10 2 3" xfId="19379" xr:uid="{00000000-0005-0000-0000-0000AD460000}"/>
    <cellStyle name="Currency 5 3 3 10 3" xfId="19380" xr:uid="{00000000-0005-0000-0000-0000AE460000}"/>
    <cellStyle name="Currency 5 3 3 10 3 2" xfId="19381" xr:uid="{00000000-0005-0000-0000-0000AF460000}"/>
    <cellStyle name="Currency 5 3 3 10 4" xfId="19382" xr:uid="{00000000-0005-0000-0000-0000B0460000}"/>
    <cellStyle name="Currency 5 3 3 11" xfId="19383" xr:uid="{00000000-0005-0000-0000-0000B1460000}"/>
    <cellStyle name="Currency 5 3 3 11 2" xfId="19384" xr:uid="{00000000-0005-0000-0000-0000B2460000}"/>
    <cellStyle name="Currency 5 3 3 11 2 2" xfId="19385" xr:uid="{00000000-0005-0000-0000-0000B3460000}"/>
    <cellStyle name="Currency 5 3 3 11 2 2 2" xfId="19386" xr:uid="{00000000-0005-0000-0000-0000B4460000}"/>
    <cellStyle name="Currency 5 3 3 11 2 3" xfId="19387" xr:uid="{00000000-0005-0000-0000-0000B5460000}"/>
    <cellStyle name="Currency 5 3 3 11 3" xfId="19388" xr:uid="{00000000-0005-0000-0000-0000B6460000}"/>
    <cellStyle name="Currency 5 3 3 11 3 2" xfId="19389" xr:uid="{00000000-0005-0000-0000-0000B7460000}"/>
    <cellStyle name="Currency 5 3 3 11 4" xfId="19390" xr:uid="{00000000-0005-0000-0000-0000B8460000}"/>
    <cellStyle name="Currency 5 3 3 12" xfId="19391" xr:uid="{00000000-0005-0000-0000-0000B9460000}"/>
    <cellStyle name="Currency 5 3 3 12 2" xfId="19392" xr:uid="{00000000-0005-0000-0000-0000BA460000}"/>
    <cellStyle name="Currency 5 3 3 12 2 2" xfId="19393" xr:uid="{00000000-0005-0000-0000-0000BB460000}"/>
    <cellStyle name="Currency 5 3 3 12 3" xfId="19394" xr:uid="{00000000-0005-0000-0000-0000BC460000}"/>
    <cellStyle name="Currency 5 3 3 13" xfId="19395" xr:uid="{00000000-0005-0000-0000-0000BD460000}"/>
    <cellStyle name="Currency 5 3 3 13 2" xfId="19396" xr:uid="{00000000-0005-0000-0000-0000BE460000}"/>
    <cellStyle name="Currency 5 3 3 13 2 2" xfId="19397" xr:uid="{00000000-0005-0000-0000-0000BF460000}"/>
    <cellStyle name="Currency 5 3 3 13 3" xfId="19398" xr:uid="{00000000-0005-0000-0000-0000C0460000}"/>
    <cellStyle name="Currency 5 3 3 14" xfId="19399" xr:uid="{00000000-0005-0000-0000-0000C1460000}"/>
    <cellStyle name="Currency 5 3 3 14 2" xfId="19400" xr:uid="{00000000-0005-0000-0000-0000C2460000}"/>
    <cellStyle name="Currency 5 3 3 14 2 2" xfId="19401" xr:uid="{00000000-0005-0000-0000-0000C3460000}"/>
    <cellStyle name="Currency 5 3 3 14 3" xfId="19402" xr:uid="{00000000-0005-0000-0000-0000C4460000}"/>
    <cellStyle name="Currency 5 3 3 15" xfId="19403" xr:uid="{00000000-0005-0000-0000-0000C5460000}"/>
    <cellStyle name="Currency 5 3 3 15 2" xfId="19404" xr:uid="{00000000-0005-0000-0000-0000C6460000}"/>
    <cellStyle name="Currency 5 3 3 16" xfId="19405" xr:uid="{00000000-0005-0000-0000-0000C7460000}"/>
    <cellStyle name="Currency 5 3 3 17" xfId="19406" xr:uid="{00000000-0005-0000-0000-0000C8460000}"/>
    <cellStyle name="Currency 5 3 3 18" xfId="19374" xr:uid="{00000000-0005-0000-0000-0000C9460000}"/>
    <cellStyle name="Currency 5 3 3 2" xfId="376" xr:uid="{00000000-0005-0000-0000-0000CA460000}"/>
    <cellStyle name="Currency 5 3 3 2 10" xfId="19408" xr:uid="{00000000-0005-0000-0000-0000CB460000}"/>
    <cellStyle name="Currency 5 3 3 2 10 2" xfId="19409" xr:uid="{00000000-0005-0000-0000-0000CC460000}"/>
    <cellStyle name="Currency 5 3 3 2 10 2 2" xfId="19410" xr:uid="{00000000-0005-0000-0000-0000CD460000}"/>
    <cellStyle name="Currency 5 3 3 2 10 2 2 2" xfId="19411" xr:uid="{00000000-0005-0000-0000-0000CE460000}"/>
    <cellStyle name="Currency 5 3 3 2 10 2 3" xfId="19412" xr:uid="{00000000-0005-0000-0000-0000CF460000}"/>
    <cellStyle name="Currency 5 3 3 2 10 3" xfId="19413" xr:uid="{00000000-0005-0000-0000-0000D0460000}"/>
    <cellStyle name="Currency 5 3 3 2 10 3 2" xfId="19414" xr:uid="{00000000-0005-0000-0000-0000D1460000}"/>
    <cellStyle name="Currency 5 3 3 2 10 4" xfId="19415" xr:uid="{00000000-0005-0000-0000-0000D2460000}"/>
    <cellStyle name="Currency 5 3 3 2 11" xfId="19416" xr:uid="{00000000-0005-0000-0000-0000D3460000}"/>
    <cellStyle name="Currency 5 3 3 2 11 2" xfId="19417" xr:uid="{00000000-0005-0000-0000-0000D4460000}"/>
    <cellStyle name="Currency 5 3 3 2 11 2 2" xfId="19418" xr:uid="{00000000-0005-0000-0000-0000D5460000}"/>
    <cellStyle name="Currency 5 3 3 2 11 3" xfId="19419" xr:uid="{00000000-0005-0000-0000-0000D6460000}"/>
    <cellStyle name="Currency 5 3 3 2 12" xfId="19420" xr:uid="{00000000-0005-0000-0000-0000D7460000}"/>
    <cellStyle name="Currency 5 3 3 2 12 2" xfId="19421" xr:uid="{00000000-0005-0000-0000-0000D8460000}"/>
    <cellStyle name="Currency 5 3 3 2 12 2 2" xfId="19422" xr:uid="{00000000-0005-0000-0000-0000D9460000}"/>
    <cellStyle name="Currency 5 3 3 2 12 3" xfId="19423" xr:uid="{00000000-0005-0000-0000-0000DA460000}"/>
    <cellStyle name="Currency 5 3 3 2 13" xfId="19424" xr:uid="{00000000-0005-0000-0000-0000DB460000}"/>
    <cellStyle name="Currency 5 3 3 2 13 2" xfId="19425" xr:uid="{00000000-0005-0000-0000-0000DC460000}"/>
    <cellStyle name="Currency 5 3 3 2 13 2 2" xfId="19426" xr:uid="{00000000-0005-0000-0000-0000DD460000}"/>
    <cellStyle name="Currency 5 3 3 2 13 3" xfId="19427" xr:uid="{00000000-0005-0000-0000-0000DE460000}"/>
    <cellStyle name="Currency 5 3 3 2 14" xfId="19428" xr:uid="{00000000-0005-0000-0000-0000DF460000}"/>
    <cellStyle name="Currency 5 3 3 2 14 2" xfId="19429" xr:uid="{00000000-0005-0000-0000-0000E0460000}"/>
    <cellStyle name="Currency 5 3 3 2 15" xfId="19430" xr:uid="{00000000-0005-0000-0000-0000E1460000}"/>
    <cellStyle name="Currency 5 3 3 2 16" xfId="19431" xr:uid="{00000000-0005-0000-0000-0000E2460000}"/>
    <cellStyle name="Currency 5 3 3 2 17" xfId="19407" xr:uid="{00000000-0005-0000-0000-0000E3460000}"/>
    <cellStyle name="Currency 5 3 3 2 2" xfId="377" xr:uid="{00000000-0005-0000-0000-0000E4460000}"/>
    <cellStyle name="Currency 5 3 3 2 2 10" xfId="19433" xr:uid="{00000000-0005-0000-0000-0000E5460000}"/>
    <cellStyle name="Currency 5 3 3 2 2 10 2" xfId="19434" xr:uid="{00000000-0005-0000-0000-0000E6460000}"/>
    <cellStyle name="Currency 5 3 3 2 2 10 2 2" xfId="19435" xr:uid="{00000000-0005-0000-0000-0000E7460000}"/>
    <cellStyle name="Currency 5 3 3 2 2 10 3" xfId="19436" xr:uid="{00000000-0005-0000-0000-0000E8460000}"/>
    <cellStyle name="Currency 5 3 3 2 2 11" xfId="19437" xr:uid="{00000000-0005-0000-0000-0000E9460000}"/>
    <cellStyle name="Currency 5 3 3 2 2 11 2" xfId="19438" xr:uid="{00000000-0005-0000-0000-0000EA460000}"/>
    <cellStyle name="Currency 5 3 3 2 2 11 2 2" xfId="19439" xr:uid="{00000000-0005-0000-0000-0000EB460000}"/>
    <cellStyle name="Currency 5 3 3 2 2 11 3" xfId="19440" xr:uid="{00000000-0005-0000-0000-0000EC460000}"/>
    <cellStyle name="Currency 5 3 3 2 2 12" xfId="19441" xr:uid="{00000000-0005-0000-0000-0000ED460000}"/>
    <cellStyle name="Currency 5 3 3 2 2 12 2" xfId="19442" xr:uid="{00000000-0005-0000-0000-0000EE460000}"/>
    <cellStyle name="Currency 5 3 3 2 2 13" xfId="19443" xr:uid="{00000000-0005-0000-0000-0000EF460000}"/>
    <cellStyle name="Currency 5 3 3 2 2 14" xfId="19444" xr:uid="{00000000-0005-0000-0000-0000F0460000}"/>
    <cellStyle name="Currency 5 3 3 2 2 15" xfId="19432" xr:uid="{00000000-0005-0000-0000-0000F1460000}"/>
    <cellStyle name="Currency 5 3 3 2 2 2" xfId="924" xr:uid="{00000000-0005-0000-0000-0000F2460000}"/>
    <cellStyle name="Currency 5 3 3 2 2 2 10" xfId="19446" xr:uid="{00000000-0005-0000-0000-0000F3460000}"/>
    <cellStyle name="Currency 5 3 3 2 2 2 11" xfId="19445" xr:uid="{00000000-0005-0000-0000-0000F4460000}"/>
    <cellStyle name="Currency 5 3 3 2 2 2 2" xfId="1665" xr:uid="{00000000-0005-0000-0000-0000F5460000}"/>
    <cellStyle name="Currency 5 3 3 2 2 2 2 2" xfId="19448" xr:uid="{00000000-0005-0000-0000-0000F6460000}"/>
    <cellStyle name="Currency 5 3 3 2 2 2 2 2 2" xfId="19449" xr:uid="{00000000-0005-0000-0000-0000F7460000}"/>
    <cellStyle name="Currency 5 3 3 2 2 2 2 2 2 2" xfId="19450" xr:uid="{00000000-0005-0000-0000-0000F8460000}"/>
    <cellStyle name="Currency 5 3 3 2 2 2 2 2 2 2 2" xfId="19451" xr:uid="{00000000-0005-0000-0000-0000F9460000}"/>
    <cellStyle name="Currency 5 3 3 2 2 2 2 2 2 3" xfId="19452" xr:uid="{00000000-0005-0000-0000-0000FA460000}"/>
    <cellStyle name="Currency 5 3 3 2 2 2 2 2 3" xfId="19453" xr:uid="{00000000-0005-0000-0000-0000FB460000}"/>
    <cellStyle name="Currency 5 3 3 2 2 2 2 2 3 2" xfId="19454" xr:uid="{00000000-0005-0000-0000-0000FC460000}"/>
    <cellStyle name="Currency 5 3 3 2 2 2 2 2 4" xfId="19455" xr:uid="{00000000-0005-0000-0000-0000FD460000}"/>
    <cellStyle name="Currency 5 3 3 2 2 2 2 3" xfId="19456" xr:uid="{00000000-0005-0000-0000-0000FE460000}"/>
    <cellStyle name="Currency 5 3 3 2 2 2 2 3 2" xfId="19457" xr:uid="{00000000-0005-0000-0000-0000FF460000}"/>
    <cellStyle name="Currency 5 3 3 2 2 2 2 3 2 2" xfId="19458" xr:uid="{00000000-0005-0000-0000-000000470000}"/>
    <cellStyle name="Currency 5 3 3 2 2 2 2 3 2 2 2" xfId="19459" xr:uid="{00000000-0005-0000-0000-000001470000}"/>
    <cellStyle name="Currency 5 3 3 2 2 2 2 3 2 3" xfId="19460" xr:uid="{00000000-0005-0000-0000-000002470000}"/>
    <cellStyle name="Currency 5 3 3 2 2 2 2 3 3" xfId="19461" xr:uid="{00000000-0005-0000-0000-000003470000}"/>
    <cellStyle name="Currency 5 3 3 2 2 2 2 3 3 2" xfId="19462" xr:uid="{00000000-0005-0000-0000-000004470000}"/>
    <cellStyle name="Currency 5 3 3 2 2 2 2 3 4" xfId="19463" xr:uid="{00000000-0005-0000-0000-000005470000}"/>
    <cellStyle name="Currency 5 3 3 2 2 2 2 4" xfId="19464" xr:uid="{00000000-0005-0000-0000-000006470000}"/>
    <cellStyle name="Currency 5 3 3 2 2 2 2 4 2" xfId="19465" xr:uid="{00000000-0005-0000-0000-000007470000}"/>
    <cellStyle name="Currency 5 3 3 2 2 2 2 4 2 2" xfId="19466" xr:uid="{00000000-0005-0000-0000-000008470000}"/>
    <cellStyle name="Currency 5 3 3 2 2 2 2 4 3" xfId="19467" xr:uid="{00000000-0005-0000-0000-000009470000}"/>
    <cellStyle name="Currency 5 3 3 2 2 2 2 5" xfId="19468" xr:uid="{00000000-0005-0000-0000-00000A470000}"/>
    <cellStyle name="Currency 5 3 3 2 2 2 2 5 2" xfId="19469" xr:uid="{00000000-0005-0000-0000-00000B470000}"/>
    <cellStyle name="Currency 5 3 3 2 2 2 2 6" xfId="19470" xr:uid="{00000000-0005-0000-0000-00000C470000}"/>
    <cellStyle name="Currency 5 3 3 2 2 2 2 7" xfId="19447" xr:uid="{00000000-0005-0000-0000-00000D470000}"/>
    <cellStyle name="Currency 5 3 3 2 2 2 3" xfId="19471" xr:uid="{00000000-0005-0000-0000-00000E470000}"/>
    <cellStyle name="Currency 5 3 3 2 2 2 3 2" xfId="19472" xr:uid="{00000000-0005-0000-0000-00000F470000}"/>
    <cellStyle name="Currency 5 3 3 2 2 2 3 2 2" xfId="19473" xr:uid="{00000000-0005-0000-0000-000010470000}"/>
    <cellStyle name="Currency 5 3 3 2 2 2 3 2 2 2" xfId="19474" xr:uid="{00000000-0005-0000-0000-000011470000}"/>
    <cellStyle name="Currency 5 3 3 2 2 2 3 2 2 2 2" xfId="19475" xr:uid="{00000000-0005-0000-0000-000012470000}"/>
    <cellStyle name="Currency 5 3 3 2 2 2 3 2 2 3" xfId="19476" xr:uid="{00000000-0005-0000-0000-000013470000}"/>
    <cellStyle name="Currency 5 3 3 2 2 2 3 2 3" xfId="19477" xr:uid="{00000000-0005-0000-0000-000014470000}"/>
    <cellStyle name="Currency 5 3 3 2 2 2 3 2 3 2" xfId="19478" xr:uid="{00000000-0005-0000-0000-000015470000}"/>
    <cellStyle name="Currency 5 3 3 2 2 2 3 2 4" xfId="19479" xr:uid="{00000000-0005-0000-0000-000016470000}"/>
    <cellStyle name="Currency 5 3 3 2 2 2 3 3" xfId="19480" xr:uid="{00000000-0005-0000-0000-000017470000}"/>
    <cellStyle name="Currency 5 3 3 2 2 2 3 3 2" xfId="19481" xr:uid="{00000000-0005-0000-0000-000018470000}"/>
    <cellStyle name="Currency 5 3 3 2 2 2 3 3 2 2" xfId="19482" xr:uid="{00000000-0005-0000-0000-000019470000}"/>
    <cellStyle name="Currency 5 3 3 2 2 2 3 3 3" xfId="19483" xr:uid="{00000000-0005-0000-0000-00001A470000}"/>
    <cellStyle name="Currency 5 3 3 2 2 2 3 4" xfId="19484" xr:uid="{00000000-0005-0000-0000-00001B470000}"/>
    <cellStyle name="Currency 5 3 3 2 2 2 3 4 2" xfId="19485" xr:uid="{00000000-0005-0000-0000-00001C470000}"/>
    <cellStyle name="Currency 5 3 3 2 2 2 3 5" xfId="19486" xr:uid="{00000000-0005-0000-0000-00001D470000}"/>
    <cellStyle name="Currency 5 3 3 2 2 2 4" xfId="19487" xr:uid="{00000000-0005-0000-0000-00001E470000}"/>
    <cellStyle name="Currency 5 3 3 2 2 2 4 2" xfId="19488" xr:uid="{00000000-0005-0000-0000-00001F470000}"/>
    <cellStyle name="Currency 5 3 3 2 2 2 4 2 2" xfId="19489" xr:uid="{00000000-0005-0000-0000-000020470000}"/>
    <cellStyle name="Currency 5 3 3 2 2 2 4 2 2 2" xfId="19490" xr:uid="{00000000-0005-0000-0000-000021470000}"/>
    <cellStyle name="Currency 5 3 3 2 2 2 4 2 2 2 2" xfId="19491" xr:uid="{00000000-0005-0000-0000-000022470000}"/>
    <cellStyle name="Currency 5 3 3 2 2 2 4 2 2 3" xfId="19492" xr:uid="{00000000-0005-0000-0000-000023470000}"/>
    <cellStyle name="Currency 5 3 3 2 2 2 4 2 3" xfId="19493" xr:uid="{00000000-0005-0000-0000-000024470000}"/>
    <cellStyle name="Currency 5 3 3 2 2 2 4 2 3 2" xfId="19494" xr:uid="{00000000-0005-0000-0000-000025470000}"/>
    <cellStyle name="Currency 5 3 3 2 2 2 4 2 4" xfId="19495" xr:uid="{00000000-0005-0000-0000-000026470000}"/>
    <cellStyle name="Currency 5 3 3 2 2 2 4 3" xfId="19496" xr:uid="{00000000-0005-0000-0000-000027470000}"/>
    <cellStyle name="Currency 5 3 3 2 2 2 4 3 2" xfId="19497" xr:uid="{00000000-0005-0000-0000-000028470000}"/>
    <cellStyle name="Currency 5 3 3 2 2 2 4 3 2 2" xfId="19498" xr:uid="{00000000-0005-0000-0000-000029470000}"/>
    <cellStyle name="Currency 5 3 3 2 2 2 4 3 3" xfId="19499" xr:uid="{00000000-0005-0000-0000-00002A470000}"/>
    <cellStyle name="Currency 5 3 3 2 2 2 4 4" xfId="19500" xr:uid="{00000000-0005-0000-0000-00002B470000}"/>
    <cellStyle name="Currency 5 3 3 2 2 2 4 4 2" xfId="19501" xr:uid="{00000000-0005-0000-0000-00002C470000}"/>
    <cellStyle name="Currency 5 3 3 2 2 2 4 5" xfId="19502" xr:uid="{00000000-0005-0000-0000-00002D470000}"/>
    <cellStyle name="Currency 5 3 3 2 2 2 5" xfId="19503" xr:uid="{00000000-0005-0000-0000-00002E470000}"/>
    <cellStyle name="Currency 5 3 3 2 2 2 5 2" xfId="19504" xr:uid="{00000000-0005-0000-0000-00002F470000}"/>
    <cellStyle name="Currency 5 3 3 2 2 2 5 2 2" xfId="19505" xr:uid="{00000000-0005-0000-0000-000030470000}"/>
    <cellStyle name="Currency 5 3 3 2 2 2 5 2 2 2" xfId="19506" xr:uid="{00000000-0005-0000-0000-000031470000}"/>
    <cellStyle name="Currency 5 3 3 2 2 2 5 2 3" xfId="19507" xr:uid="{00000000-0005-0000-0000-000032470000}"/>
    <cellStyle name="Currency 5 3 3 2 2 2 5 3" xfId="19508" xr:uid="{00000000-0005-0000-0000-000033470000}"/>
    <cellStyle name="Currency 5 3 3 2 2 2 5 3 2" xfId="19509" xr:uid="{00000000-0005-0000-0000-000034470000}"/>
    <cellStyle name="Currency 5 3 3 2 2 2 5 4" xfId="19510" xr:uid="{00000000-0005-0000-0000-000035470000}"/>
    <cellStyle name="Currency 5 3 3 2 2 2 6" xfId="19511" xr:uid="{00000000-0005-0000-0000-000036470000}"/>
    <cellStyle name="Currency 5 3 3 2 2 2 6 2" xfId="19512" xr:uid="{00000000-0005-0000-0000-000037470000}"/>
    <cellStyle name="Currency 5 3 3 2 2 2 6 2 2" xfId="19513" xr:uid="{00000000-0005-0000-0000-000038470000}"/>
    <cellStyle name="Currency 5 3 3 2 2 2 6 2 2 2" xfId="19514" xr:uid="{00000000-0005-0000-0000-000039470000}"/>
    <cellStyle name="Currency 5 3 3 2 2 2 6 2 3" xfId="19515" xr:uid="{00000000-0005-0000-0000-00003A470000}"/>
    <cellStyle name="Currency 5 3 3 2 2 2 6 3" xfId="19516" xr:uid="{00000000-0005-0000-0000-00003B470000}"/>
    <cellStyle name="Currency 5 3 3 2 2 2 6 3 2" xfId="19517" xr:uid="{00000000-0005-0000-0000-00003C470000}"/>
    <cellStyle name="Currency 5 3 3 2 2 2 6 4" xfId="19518" xr:uid="{00000000-0005-0000-0000-00003D470000}"/>
    <cellStyle name="Currency 5 3 3 2 2 2 7" xfId="19519" xr:uid="{00000000-0005-0000-0000-00003E470000}"/>
    <cellStyle name="Currency 5 3 3 2 2 2 7 2" xfId="19520" xr:uid="{00000000-0005-0000-0000-00003F470000}"/>
    <cellStyle name="Currency 5 3 3 2 2 2 7 2 2" xfId="19521" xr:uid="{00000000-0005-0000-0000-000040470000}"/>
    <cellStyle name="Currency 5 3 3 2 2 2 7 2 2 2" xfId="19522" xr:uid="{00000000-0005-0000-0000-000041470000}"/>
    <cellStyle name="Currency 5 3 3 2 2 2 7 2 3" xfId="19523" xr:uid="{00000000-0005-0000-0000-000042470000}"/>
    <cellStyle name="Currency 5 3 3 2 2 2 7 3" xfId="19524" xr:uid="{00000000-0005-0000-0000-000043470000}"/>
    <cellStyle name="Currency 5 3 3 2 2 2 7 3 2" xfId="19525" xr:uid="{00000000-0005-0000-0000-000044470000}"/>
    <cellStyle name="Currency 5 3 3 2 2 2 7 4" xfId="19526" xr:uid="{00000000-0005-0000-0000-000045470000}"/>
    <cellStyle name="Currency 5 3 3 2 2 2 8" xfId="19527" xr:uid="{00000000-0005-0000-0000-000046470000}"/>
    <cellStyle name="Currency 5 3 3 2 2 2 8 2" xfId="19528" xr:uid="{00000000-0005-0000-0000-000047470000}"/>
    <cellStyle name="Currency 5 3 3 2 2 2 8 2 2" xfId="19529" xr:uid="{00000000-0005-0000-0000-000048470000}"/>
    <cellStyle name="Currency 5 3 3 2 2 2 8 3" xfId="19530" xr:uid="{00000000-0005-0000-0000-000049470000}"/>
    <cellStyle name="Currency 5 3 3 2 2 2 9" xfId="19531" xr:uid="{00000000-0005-0000-0000-00004A470000}"/>
    <cellStyle name="Currency 5 3 3 2 2 2 9 2" xfId="19532" xr:uid="{00000000-0005-0000-0000-00004B470000}"/>
    <cellStyle name="Currency 5 3 3 2 2 3" xfId="1340" xr:uid="{00000000-0005-0000-0000-00004C470000}"/>
    <cellStyle name="Currency 5 3 3 2 2 3 2" xfId="19534" xr:uid="{00000000-0005-0000-0000-00004D470000}"/>
    <cellStyle name="Currency 5 3 3 2 2 3 2 2" xfId="19535" xr:uid="{00000000-0005-0000-0000-00004E470000}"/>
    <cellStyle name="Currency 5 3 3 2 2 3 2 2 2" xfId="19536" xr:uid="{00000000-0005-0000-0000-00004F470000}"/>
    <cellStyle name="Currency 5 3 3 2 2 3 2 2 2 2" xfId="19537" xr:uid="{00000000-0005-0000-0000-000050470000}"/>
    <cellStyle name="Currency 5 3 3 2 2 3 2 2 3" xfId="19538" xr:uid="{00000000-0005-0000-0000-000051470000}"/>
    <cellStyle name="Currency 5 3 3 2 2 3 2 3" xfId="19539" xr:uid="{00000000-0005-0000-0000-000052470000}"/>
    <cellStyle name="Currency 5 3 3 2 2 3 2 3 2" xfId="19540" xr:uid="{00000000-0005-0000-0000-000053470000}"/>
    <cellStyle name="Currency 5 3 3 2 2 3 2 4" xfId="19541" xr:uid="{00000000-0005-0000-0000-000054470000}"/>
    <cellStyle name="Currency 5 3 3 2 2 3 3" xfId="19542" xr:uid="{00000000-0005-0000-0000-000055470000}"/>
    <cellStyle name="Currency 5 3 3 2 2 3 3 2" xfId="19543" xr:uid="{00000000-0005-0000-0000-000056470000}"/>
    <cellStyle name="Currency 5 3 3 2 2 3 3 2 2" xfId="19544" xr:uid="{00000000-0005-0000-0000-000057470000}"/>
    <cellStyle name="Currency 5 3 3 2 2 3 3 2 2 2" xfId="19545" xr:uid="{00000000-0005-0000-0000-000058470000}"/>
    <cellStyle name="Currency 5 3 3 2 2 3 3 2 3" xfId="19546" xr:uid="{00000000-0005-0000-0000-000059470000}"/>
    <cellStyle name="Currency 5 3 3 2 2 3 3 3" xfId="19547" xr:uid="{00000000-0005-0000-0000-00005A470000}"/>
    <cellStyle name="Currency 5 3 3 2 2 3 3 3 2" xfId="19548" xr:uid="{00000000-0005-0000-0000-00005B470000}"/>
    <cellStyle name="Currency 5 3 3 2 2 3 3 4" xfId="19549" xr:uid="{00000000-0005-0000-0000-00005C470000}"/>
    <cellStyle name="Currency 5 3 3 2 2 3 4" xfId="19550" xr:uid="{00000000-0005-0000-0000-00005D470000}"/>
    <cellStyle name="Currency 5 3 3 2 2 3 4 2" xfId="19551" xr:uid="{00000000-0005-0000-0000-00005E470000}"/>
    <cellStyle name="Currency 5 3 3 2 2 3 4 2 2" xfId="19552" xr:uid="{00000000-0005-0000-0000-00005F470000}"/>
    <cellStyle name="Currency 5 3 3 2 2 3 4 3" xfId="19553" xr:uid="{00000000-0005-0000-0000-000060470000}"/>
    <cellStyle name="Currency 5 3 3 2 2 3 5" xfId="19554" xr:uid="{00000000-0005-0000-0000-000061470000}"/>
    <cellStyle name="Currency 5 3 3 2 2 3 5 2" xfId="19555" xr:uid="{00000000-0005-0000-0000-000062470000}"/>
    <cellStyle name="Currency 5 3 3 2 2 3 6" xfId="19556" xr:uid="{00000000-0005-0000-0000-000063470000}"/>
    <cellStyle name="Currency 5 3 3 2 2 3 7" xfId="19533" xr:uid="{00000000-0005-0000-0000-000064470000}"/>
    <cellStyle name="Currency 5 3 3 2 2 4" xfId="19557" xr:uid="{00000000-0005-0000-0000-000065470000}"/>
    <cellStyle name="Currency 5 3 3 2 2 4 2" xfId="19558" xr:uid="{00000000-0005-0000-0000-000066470000}"/>
    <cellStyle name="Currency 5 3 3 2 2 4 2 2" xfId="19559" xr:uid="{00000000-0005-0000-0000-000067470000}"/>
    <cellStyle name="Currency 5 3 3 2 2 4 2 2 2" xfId="19560" xr:uid="{00000000-0005-0000-0000-000068470000}"/>
    <cellStyle name="Currency 5 3 3 2 2 4 2 2 2 2" xfId="19561" xr:uid="{00000000-0005-0000-0000-000069470000}"/>
    <cellStyle name="Currency 5 3 3 2 2 4 2 2 3" xfId="19562" xr:uid="{00000000-0005-0000-0000-00006A470000}"/>
    <cellStyle name="Currency 5 3 3 2 2 4 2 3" xfId="19563" xr:uid="{00000000-0005-0000-0000-00006B470000}"/>
    <cellStyle name="Currency 5 3 3 2 2 4 2 3 2" xfId="19564" xr:uid="{00000000-0005-0000-0000-00006C470000}"/>
    <cellStyle name="Currency 5 3 3 2 2 4 2 4" xfId="19565" xr:uid="{00000000-0005-0000-0000-00006D470000}"/>
    <cellStyle name="Currency 5 3 3 2 2 4 3" xfId="19566" xr:uid="{00000000-0005-0000-0000-00006E470000}"/>
    <cellStyle name="Currency 5 3 3 2 2 4 3 2" xfId="19567" xr:uid="{00000000-0005-0000-0000-00006F470000}"/>
    <cellStyle name="Currency 5 3 3 2 2 4 3 2 2" xfId="19568" xr:uid="{00000000-0005-0000-0000-000070470000}"/>
    <cellStyle name="Currency 5 3 3 2 2 4 3 3" xfId="19569" xr:uid="{00000000-0005-0000-0000-000071470000}"/>
    <cellStyle name="Currency 5 3 3 2 2 4 4" xfId="19570" xr:uid="{00000000-0005-0000-0000-000072470000}"/>
    <cellStyle name="Currency 5 3 3 2 2 4 4 2" xfId="19571" xr:uid="{00000000-0005-0000-0000-000073470000}"/>
    <cellStyle name="Currency 5 3 3 2 2 4 5" xfId="19572" xr:uid="{00000000-0005-0000-0000-000074470000}"/>
    <cellStyle name="Currency 5 3 3 2 2 5" xfId="19573" xr:uid="{00000000-0005-0000-0000-000075470000}"/>
    <cellStyle name="Currency 5 3 3 2 2 5 2" xfId="19574" xr:uid="{00000000-0005-0000-0000-000076470000}"/>
    <cellStyle name="Currency 5 3 3 2 2 5 2 2" xfId="19575" xr:uid="{00000000-0005-0000-0000-000077470000}"/>
    <cellStyle name="Currency 5 3 3 2 2 5 2 2 2" xfId="19576" xr:uid="{00000000-0005-0000-0000-000078470000}"/>
    <cellStyle name="Currency 5 3 3 2 2 5 2 2 2 2" xfId="19577" xr:uid="{00000000-0005-0000-0000-000079470000}"/>
    <cellStyle name="Currency 5 3 3 2 2 5 2 2 3" xfId="19578" xr:uid="{00000000-0005-0000-0000-00007A470000}"/>
    <cellStyle name="Currency 5 3 3 2 2 5 2 3" xfId="19579" xr:uid="{00000000-0005-0000-0000-00007B470000}"/>
    <cellStyle name="Currency 5 3 3 2 2 5 2 3 2" xfId="19580" xr:uid="{00000000-0005-0000-0000-00007C470000}"/>
    <cellStyle name="Currency 5 3 3 2 2 5 2 4" xfId="19581" xr:uid="{00000000-0005-0000-0000-00007D470000}"/>
    <cellStyle name="Currency 5 3 3 2 2 5 3" xfId="19582" xr:uid="{00000000-0005-0000-0000-00007E470000}"/>
    <cellStyle name="Currency 5 3 3 2 2 5 3 2" xfId="19583" xr:uid="{00000000-0005-0000-0000-00007F470000}"/>
    <cellStyle name="Currency 5 3 3 2 2 5 3 2 2" xfId="19584" xr:uid="{00000000-0005-0000-0000-000080470000}"/>
    <cellStyle name="Currency 5 3 3 2 2 5 3 3" xfId="19585" xr:uid="{00000000-0005-0000-0000-000081470000}"/>
    <cellStyle name="Currency 5 3 3 2 2 5 4" xfId="19586" xr:uid="{00000000-0005-0000-0000-000082470000}"/>
    <cellStyle name="Currency 5 3 3 2 2 5 4 2" xfId="19587" xr:uid="{00000000-0005-0000-0000-000083470000}"/>
    <cellStyle name="Currency 5 3 3 2 2 5 5" xfId="19588" xr:uid="{00000000-0005-0000-0000-000084470000}"/>
    <cellStyle name="Currency 5 3 3 2 2 6" xfId="19589" xr:uid="{00000000-0005-0000-0000-000085470000}"/>
    <cellStyle name="Currency 5 3 3 2 2 6 2" xfId="19590" xr:uid="{00000000-0005-0000-0000-000086470000}"/>
    <cellStyle name="Currency 5 3 3 2 2 6 2 2" xfId="19591" xr:uid="{00000000-0005-0000-0000-000087470000}"/>
    <cellStyle name="Currency 5 3 3 2 2 6 2 2 2" xfId="19592" xr:uid="{00000000-0005-0000-0000-000088470000}"/>
    <cellStyle name="Currency 5 3 3 2 2 6 2 3" xfId="19593" xr:uid="{00000000-0005-0000-0000-000089470000}"/>
    <cellStyle name="Currency 5 3 3 2 2 6 3" xfId="19594" xr:uid="{00000000-0005-0000-0000-00008A470000}"/>
    <cellStyle name="Currency 5 3 3 2 2 6 3 2" xfId="19595" xr:uid="{00000000-0005-0000-0000-00008B470000}"/>
    <cellStyle name="Currency 5 3 3 2 2 6 4" xfId="19596" xr:uid="{00000000-0005-0000-0000-00008C470000}"/>
    <cellStyle name="Currency 5 3 3 2 2 7" xfId="19597" xr:uid="{00000000-0005-0000-0000-00008D470000}"/>
    <cellStyle name="Currency 5 3 3 2 2 7 2" xfId="19598" xr:uid="{00000000-0005-0000-0000-00008E470000}"/>
    <cellStyle name="Currency 5 3 3 2 2 7 2 2" xfId="19599" xr:uid="{00000000-0005-0000-0000-00008F470000}"/>
    <cellStyle name="Currency 5 3 3 2 2 7 2 2 2" xfId="19600" xr:uid="{00000000-0005-0000-0000-000090470000}"/>
    <cellStyle name="Currency 5 3 3 2 2 7 2 3" xfId="19601" xr:uid="{00000000-0005-0000-0000-000091470000}"/>
    <cellStyle name="Currency 5 3 3 2 2 7 3" xfId="19602" xr:uid="{00000000-0005-0000-0000-000092470000}"/>
    <cellStyle name="Currency 5 3 3 2 2 7 3 2" xfId="19603" xr:uid="{00000000-0005-0000-0000-000093470000}"/>
    <cellStyle name="Currency 5 3 3 2 2 7 4" xfId="19604" xr:uid="{00000000-0005-0000-0000-000094470000}"/>
    <cellStyle name="Currency 5 3 3 2 2 8" xfId="19605" xr:uid="{00000000-0005-0000-0000-000095470000}"/>
    <cellStyle name="Currency 5 3 3 2 2 8 2" xfId="19606" xr:uid="{00000000-0005-0000-0000-000096470000}"/>
    <cellStyle name="Currency 5 3 3 2 2 8 2 2" xfId="19607" xr:uid="{00000000-0005-0000-0000-000097470000}"/>
    <cellStyle name="Currency 5 3 3 2 2 8 2 2 2" xfId="19608" xr:uid="{00000000-0005-0000-0000-000098470000}"/>
    <cellStyle name="Currency 5 3 3 2 2 8 2 3" xfId="19609" xr:uid="{00000000-0005-0000-0000-000099470000}"/>
    <cellStyle name="Currency 5 3 3 2 2 8 3" xfId="19610" xr:uid="{00000000-0005-0000-0000-00009A470000}"/>
    <cellStyle name="Currency 5 3 3 2 2 8 3 2" xfId="19611" xr:uid="{00000000-0005-0000-0000-00009B470000}"/>
    <cellStyle name="Currency 5 3 3 2 2 8 4" xfId="19612" xr:uid="{00000000-0005-0000-0000-00009C470000}"/>
    <cellStyle name="Currency 5 3 3 2 2 9" xfId="19613" xr:uid="{00000000-0005-0000-0000-00009D470000}"/>
    <cellStyle name="Currency 5 3 3 2 2 9 2" xfId="19614" xr:uid="{00000000-0005-0000-0000-00009E470000}"/>
    <cellStyle name="Currency 5 3 3 2 2 9 2 2" xfId="19615" xr:uid="{00000000-0005-0000-0000-00009F470000}"/>
    <cellStyle name="Currency 5 3 3 2 2 9 3" xfId="19616" xr:uid="{00000000-0005-0000-0000-0000A0470000}"/>
    <cellStyle name="Currency 5 3 3 2 3" xfId="378" xr:uid="{00000000-0005-0000-0000-0000A1470000}"/>
    <cellStyle name="Currency 5 3 3 2 4" xfId="923" xr:uid="{00000000-0005-0000-0000-0000A2470000}"/>
    <cellStyle name="Currency 5 3 3 2 4 10" xfId="19618" xr:uid="{00000000-0005-0000-0000-0000A3470000}"/>
    <cellStyle name="Currency 5 3 3 2 4 11" xfId="19617" xr:uid="{00000000-0005-0000-0000-0000A4470000}"/>
    <cellStyle name="Currency 5 3 3 2 4 2" xfId="1664" xr:uid="{00000000-0005-0000-0000-0000A5470000}"/>
    <cellStyle name="Currency 5 3 3 2 4 2 2" xfId="19620" xr:uid="{00000000-0005-0000-0000-0000A6470000}"/>
    <cellStyle name="Currency 5 3 3 2 4 2 2 2" xfId="19621" xr:uid="{00000000-0005-0000-0000-0000A7470000}"/>
    <cellStyle name="Currency 5 3 3 2 4 2 2 2 2" xfId="19622" xr:uid="{00000000-0005-0000-0000-0000A8470000}"/>
    <cellStyle name="Currency 5 3 3 2 4 2 2 2 2 2" xfId="19623" xr:uid="{00000000-0005-0000-0000-0000A9470000}"/>
    <cellStyle name="Currency 5 3 3 2 4 2 2 2 3" xfId="19624" xr:uid="{00000000-0005-0000-0000-0000AA470000}"/>
    <cellStyle name="Currency 5 3 3 2 4 2 2 3" xfId="19625" xr:uid="{00000000-0005-0000-0000-0000AB470000}"/>
    <cellStyle name="Currency 5 3 3 2 4 2 2 3 2" xfId="19626" xr:uid="{00000000-0005-0000-0000-0000AC470000}"/>
    <cellStyle name="Currency 5 3 3 2 4 2 2 4" xfId="19627" xr:uid="{00000000-0005-0000-0000-0000AD470000}"/>
    <cellStyle name="Currency 5 3 3 2 4 2 3" xfId="19628" xr:uid="{00000000-0005-0000-0000-0000AE470000}"/>
    <cellStyle name="Currency 5 3 3 2 4 2 3 2" xfId="19629" xr:uid="{00000000-0005-0000-0000-0000AF470000}"/>
    <cellStyle name="Currency 5 3 3 2 4 2 3 2 2" xfId="19630" xr:uid="{00000000-0005-0000-0000-0000B0470000}"/>
    <cellStyle name="Currency 5 3 3 2 4 2 3 2 2 2" xfId="19631" xr:uid="{00000000-0005-0000-0000-0000B1470000}"/>
    <cellStyle name="Currency 5 3 3 2 4 2 3 2 3" xfId="19632" xr:uid="{00000000-0005-0000-0000-0000B2470000}"/>
    <cellStyle name="Currency 5 3 3 2 4 2 3 3" xfId="19633" xr:uid="{00000000-0005-0000-0000-0000B3470000}"/>
    <cellStyle name="Currency 5 3 3 2 4 2 3 3 2" xfId="19634" xr:uid="{00000000-0005-0000-0000-0000B4470000}"/>
    <cellStyle name="Currency 5 3 3 2 4 2 3 4" xfId="19635" xr:uid="{00000000-0005-0000-0000-0000B5470000}"/>
    <cellStyle name="Currency 5 3 3 2 4 2 4" xfId="19636" xr:uid="{00000000-0005-0000-0000-0000B6470000}"/>
    <cellStyle name="Currency 5 3 3 2 4 2 4 2" xfId="19637" xr:uid="{00000000-0005-0000-0000-0000B7470000}"/>
    <cellStyle name="Currency 5 3 3 2 4 2 4 2 2" xfId="19638" xr:uid="{00000000-0005-0000-0000-0000B8470000}"/>
    <cellStyle name="Currency 5 3 3 2 4 2 4 3" xfId="19639" xr:uid="{00000000-0005-0000-0000-0000B9470000}"/>
    <cellStyle name="Currency 5 3 3 2 4 2 5" xfId="19640" xr:uid="{00000000-0005-0000-0000-0000BA470000}"/>
    <cellStyle name="Currency 5 3 3 2 4 2 5 2" xfId="19641" xr:uid="{00000000-0005-0000-0000-0000BB470000}"/>
    <cellStyle name="Currency 5 3 3 2 4 2 6" xfId="19642" xr:uid="{00000000-0005-0000-0000-0000BC470000}"/>
    <cellStyle name="Currency 5 3 3 2 4 2 7" xfId="19619" xr:uid="{00000000-0005-0000-0000-0000BD470000}"/>
    <cellStyle name="Currency 5 3 3 2 4 3" xfId="19643" xr:uid="{00000000-0005-0000-0000-0000BE470000}"/>
    <cellStyle name="Currency 5 3 3 2 4 3 2" xfId="19644" xr:uid="{00000000-0005-0000-0000-0000BF470000}"/>
    <cellStyle name="Currency 5 3 3 2 4 3 2 2" xfId="19645" xr:uid="{00000000-0005-0000-0000-0000C0470000}"/>
    <cellStyle name="Currency 5 3 3 2 4 3 2 2 2" xfId="19646" xr:uid="{00000000-0005-0000-0000-0000C1470000}"/>
    <cellStyle name="Currency 5 3 3 2 4 3 2 2 2 2" xfId="19647" xr:uid="{00000000-0005-0000-0000-0000C2470000}"/>
    <cellStyle name="Currency 5 3 3 2 4 3 2 2 3" xfId="19648" xr:uid="{00000000-0005-0000-0000-0000C3470000}"/>
    <cellStyle name="Currency 5 3 3 2 4 3 2 3" xfId="19649" xr:uid="{00000000-0005-0000-0000-0000C4470000}"/>
    <cellStyle name="Currency 5 3 3 2 4 3 2 3 2" xfId="19650" xr:uid="{00000000-0005-0000-0000-0000C5470000}"/>
    <cellStyle name="Currency 5 3 3 2 4 3 2 4" xfId="19651" xr:uid="{00000000-0005-0000-0000-0000C6470000}"/>
    <cellStyle name="Currency 5 3 3 2 4 3 3" xfId="19652" xr:uid="{00000000-0005-0000-0000-0000C7470000}"/>
    <cellStyle name="Currency 5 3 3 2 4 3 3 2" xfId="19653" xr:uid="{00000000-0005-0000-0000-0000C8470000}"/>
    <cellStyle name="Currency 5 3 3 2 4 3 3 2 2" xfId="19654" xr:uid="{00000000-0005-0000-0000-0000C9470000}"/>
    <cellStyle name="Currency 5 3 3 2 4 3 3 3" xfId="19655" xr:uid="{00000000-0005-0000-0000-0000CA470000}"/>
    <cellStyle name="Currency 5 3 3 2 4 3 4" xfId="19656" xr:uid="{00000000-0005-0000-0000-0000CB470000}"/>
    <cellStyle name="Currency 5 3 3 2 4 3 4 2" xfId="19657" xr:uid="{00000000-0005-0000-0000-0000CC470000}"/>
    <cellStyle name="Currency 5 3 3 2 4 3 5" xfId="19658" xr:uid="{00000000-0005-0000-0000-0000CD470000}"/>
    <cellStyle name="Currency 5 3 3 2 4 4" xfId="19659" xr:uid="{00000000-0005-0000-0000-0000CE470000}"/>
    <cellStyle name="Currency 5 3 3 2 4 4 2" xfId="19660" xr:uid="{00000000-0005-0000-0000-0000CF470000}"/>
    <cellStyle name="Currency 5 3 3 2 4 4 2 2" xfId="19661" xr:uid="{00000000-0005-0000-0000-0000D0470000}"/>
    <cellStyle name="Currency 5 3 3 2 4 4 2 2 2" xfId="19662" xr:uid="{00000000-0005-0000-0000-0000D1470000}"/>
    <cellStyle name="Currency 5 3 3 2 4 4 2 2 2 2" xfId="19663" xr:uid="{00000000-0005-0000-0000-0000D2470000}"/>
    <cellStyle name="Currency 5 3 3 2 4 4 2 2 3" xfId="19664" xr:uid="{00000000-0005-0000-0000-0000D3470000}"/>
    <cellStyle name="Currency 5 3 3 2 4 4 2 3" xfId="19665" xr:uid="{00000000-0005-0000-0000-0000D4470000}"/>
    <cellStyle name="Currency 5 3 3 2 4 4 2 3 2" xfId="19666" xr:uid="{00000000-0005-0000-0000-0000D5470000}"/>
    <cellStyle name="Currency 5 3 3 2 4 4 2 4" xfId="19667" xr:uid="{00000000-0005-0000-0000-0000D6470000}"/>
    <cellStyle name="Currency 5 3 3 2 4 4 3" xfId="19668" xr:uid="{00000000-0005-0000-0000-0000D7470000}"/>
    <cellStyle name="Currency 5 3 3 2 4 4 3 2" xfId="19669" xr:uid="{00000000-0005-0000-0000-0000D8470000}"/>
    <cellStyle name="Currency 5 3 3 2 4 4 3 2 2" xfId="19670" xr:uid="{00000000-0005-0000-0000-0000D9470000}"/>
    <cellStyle name="Currency 5 3 3 2 4 4 3 3" xfId="19671" xr:uid="{00000000-0005-0000-0000-0000DA470000}"/>
    <cellStyle name="Currency 5 3 3 2 4 4 4" xfId="19672" xr:uid="{00000000-0005-0000-0000-0000DB470000}"/>
    <cellStyle name="Currency 5 3 3 2 4 4 4 2" xfId="19673" xr:uid="{00000000-0005-0000-0000-0000DC470000}"/>
    <cellStyle name="Currency 5 3 3 2 4 4 5" xfId="19674" xr:uid="{00000000-0005-0000-0000-0000DD470000}"/>
    <cellStyle name="Currency 5 3 3 2 4 5" xfId="19675" xr:uid="{00000000-0005-0000-0000-0000DE470000}"/>
    <cellStyle name="Currency 5 3 3 2 4 5 2" xfId="19676" xr:uid="{00000000-0005-0000-0000-0000DF470000}"/>
    <cellStyle name="Currency 5 3 3 2 4 5 2 2" xfId="19677" xr:uid="{00000000-0005-0000-0000-0000E0470000}"/>
    <cellStyle name="Currency 5 3 3 2 4 5 2 2 2" xfId="19678" xr:uid="{00000000-0005-0000-0000-0000E1470000}"/>
    <cellStyle name="Currency 5 3 3 2 4 5 2 3" xfId="19679" xr:uid="{00000000-0005-0000-0000-0000E2470000}"/>
    <cellStyle name="Currency 5 3 3 2 4 5 3" xfId="19680" xr:uid="{00000000-0005-0000-0000-0000E3470000}"/>
    <cellStyle name="Currency 5 3 3 2 4 5 3 2" xfId="19681" xr:uid="{00000000-0005-0000-0000-0000E4470000}"/>
    <cellStyle name="Currency 5 3 3 2 4 5 4" xfId="19682" xr:uid="{00000000-0005-0000-0000-0000E5470000}"/>
    <cellStyle name="Currency 5 3 3 2 4 6" xfId="19683" xr:uid="{00000000-0005-0000-0000-0000E6470000}"/>
    <cellStyle name="Currency 5 3 3 2 4 6 2" xfId="19684" xr:uid="{00000000-0005-0000-0000-0000E7470000}"/>
    <cellStyle name="Currency 5 3 3 2 4 6 2 2" xfId="19685" xr:uid="{00000000-0005-0000-0000-0000E8470000}"/>
    <cellStyle name="Currency 5 3 3 2 4 6 2 2 2" xfId="19686" xr:uid="{00000000-0005-0000-0000-0000E9470000}"/>
    <cellStyle name="Currency 5 3 3 2 4 6 2 3" xfId="19687" xr:uid="{00000000-0005-0000-0000-0000EA470000}"/>
    <cellStyle name="Currency 5 3 3 2 4 6 3" xfId="19688" xr:uid="{00000000-0005-0000-0000-0000EB470000}"/>
    <cellStyle name="Currency 5 3 3 2 4 6 3 2" xfId="19689" xr:uid="{00000000-0005-0000-0000-0000EC470000}"/>
    <cellStyle name="Currency 5 3 3 2 4 6 4" xfId="19690" xr:uid="{00000000-0005-0000-0000-0000ED470000}"/>
    <cellStyle name="Currency 5 3 3 2 4 7" xfId="19691" xr:uid="{00000000-0005-0000-0000-0000EE470000}"/>
    <cellStyle name="Currency 5 3 3 2 4 7 2" xfId="19692" xr:uid="{00000000-0005-0000-0000-0000EF470000}"/>
    <cellStyle name="Currency 5 3 3 2 4 7 2 2" xfId="19693" xr:uid="{00000000-0005-0000-0000-0000F0470000}"/>
    <cellStyle name="Currency 5 3 3 2 4 7 2 2 2" xfId="19694" xr:uid="{00000000-0005-0000-0000-0000F1470000}"/>
    <cellStyle name="Currency 5 3 3 2 4 7 2 3" xfId="19695" xr:uid="{00000000-0005-0000-0000-0000F2470000}"/>
    <cellStyle name="Currency 5 3 3 2 4 7 3" xfId="19696" xr:uid="{00000000-0005-0000-0000-0000F3470000}"/>
    <cellStyle name="Currency 5 3 3 2 4 7 3 2" xfId="19697" xr:uid="{00000000-0005-0000-0000-0000F4470000}"/>
    <cellStyle name="Currency 5 3 3 2 4 7 4" xfId="19698" xr:uid="{00000000-0005-0000-0000-0000F5470000}"/>
    <cellStyle name="Currency 5 3 3 2 4 8" xfId="19699" xr:uid="{00000000-0005-0000-0000-0000F6470000}"/>
    <cellStyle name="Currency 5 3 3 2 4 8 2" xfId="19700" xr:uid="{00000000-0005-0000-0000-0000F7470000}"/>
    <cellStyle name="Currency 5 3 3 2 4 8 2 2" xfId="19701" xr:uid="{00000000-0005-0000-0000-0000F8470000}"/>
    <cellStyle name="Currency 5 3 3 2 4 8 3" xfId="19702" xr:uid="{00000000-0005-0000-0000-0000F9470000}"/>
    <cellStyle name="Currency 5 3 3 2 4 9" xfId="19703" xr:uid="{00000000-0005-0000-0000-0000FA470000}"/>
    <cellStyle name="Currency 5 3 3 2 4 9 2" xfId="19704" xr:uid="{00000000-0005-0000-0000-0000FB470000}"/>
    <cellStyle name="Currency 5 3 3 2 5" xfId="1339" xr:uid="{00000000-0005-0000-0000-0000FC470000}"/>
    <cellStyle name="Currency 5 3 3 2 5 2" xfId="19706" xr:uid="{00000000-0005-0000-0000-0000FD470000}"/>
    <cellStyle name="Currency 5 3 3 2 5 2 2" xfId="19707" xr:uid="{00000000-0005-0000-0000-0000FE470000}"/>
    <cellStyle name="Currency 5 3 3 2 5 2 2 2" xfId="19708" xr:uid="{00000000-0005-0000-0000-0000FF470000}"/>
    <cellStyle name="Currency 5 3 3 2 5 2 2 2 2" xfId="19709" xr:uid="{00000000-0005-0000-0000-000000480000}"/>
    <cellStyle name="Currency 5 3 3 2 5 2 2 3" xfId="19710" xr:uid="{00000000-0005-0000-0000-000001480000}"/>
    <cellStyle name="Currency 5 3 3 2 5 2 3" xfId="19711" xr:uid="{00000000-0005-0000-0000-000002480000}"/>
    <cellStyle name="Currency 5 3 3 2 5 2 3 2" xfId="19712" xr:uid="{00000000-0005-0000-0000-000003480000}"/>
    <cellStyle name="Currency 5 3 3 2 5 2 4" xfId="19713" xr:uid="{00000000-0005-0000-0000-000004480000}"/>
    <cellStyle name="Currency 5 3 3 2 5 3" xfId="19714" xr:uid="{00000000-0005-0000-0000-000005480000}"/>
    <cellStyle name="Currency 5 3 3 2 5 3 2" xfId="19715" xr:uid="{00000000-0005-0000-0000-000006480000}"/>
    <cellStyle name="Currency 5 3 3 2 5 3 2 2" xfId="19716" xr:uid="{00000000-0005-0000-0000-000007480000}"/>
    <cellStyle name="Currency 5 3 3 2 5 3 2 2 2" xfId="19717" xr:uid="{00000000-0005-0000-0000-000008480000}"/>
    <cellStyle name="Currency 5 3 3 2 5 3 2 3" xfId="19718" xr:uid="{00000000-0005-0000-0000-000009480000}"/>
    <cellStyle name="Currency 5 3 3 2 5 3 3" xfId="19719" xr:uid="{00000000-0005-0000-0000-00000A480000}"/>
    <cellStyle name="Currency 5 3 3 2 5 3 3 2" xfId="19720" xr:uid="{00000000-0005-0000-0000-00000B480000}"/>
    <cellStyle name="Currency 5 3 3 2 5 3 4" xfId="19721" xr:uid="{00000000-0005-0000-0000-00000C480000}"/>
    <cellStyle name="Currency 5 3 3 2 5 4" xfId="19722" xr:uid="{00000000-0005-0000-0000-00000D480000}"/>
    <cellStyle name="Currency 5 3 3 2 5 4 2" xfId="19723" xr:uid="{00000000-0005-0000-0000-00000E480000}"/>
    <cellStyle name="Currency 5 3 3 2 5 4 2 2" xfId="19724" xr:uid="{00000000-0005-0000-0000-00000F480000}"/>
    <cellStyle name="Currency 5 3 3 2 5 4 3" xfId="19725" xr:uid="{00000000-0005-0000-0000-000010480000}"/>
    <cellStyle name="Currency 5 3 3 2 5 5" xfId="19726" xr:uid="{00000000-0005-0000-0000-000011480000}"/>
    <cellStyle name="Currency 5 3 3 2 5 5 2" xfId="19727" xr:uid="{00000000-0005-0000-0000-000012480000}"/>
    <cellStyle name="Currency 5 3 3 2 5 6" xfId="19728" xr:uid="{00000000-0005-0000-0000-000013480000}"/>
    <cellStyle name="Currency 5 3 3 2 5 7" xfId="19705" xr:uid="{00000000-0005-0000-0000-000014480000}"/>
    <cellStyle name="Currency 5 3 3 2 6" xfId="19729" xr:uid="{00000000-0005-0000-0000-000015480000}"/>
    <cellStyle name="Currency 5 3 3 2 6 2" xfId="19730" xr:uid="{00000000-0005-0000-0000-000016480000}"/>
    <cellStyle name="Currency 5 3 3 2 6 2 2" xfId="19731" xr:uid="{00000000-0005-0000-0000-000017480000}"/>
    <cellStyle name="Currency 5 3 3 2 6 2 2 2" xfId="19732" xr:uid="{00000000-0005-0000-0000-000018480000}"/>
    <cellStyle name="Currency 5 3 3 2 6 2 2 2 2" xfId="19733" xr:uid="{00000000-0005-0000-0000-000019480000}"/>
    <cellStyle name="Currency 5 3 3 2 6 2 2 3" xfId="19734" xr:uid="{00000000-0005-0000-0000-00001A480000}"/>
    <cellStyle name="Currency 5 3 3 2 6 2 3" xfId="19735" xr:uid="{00000000-0005-0000-0000-00001B480000}"/>
    <cellStyle name="Currency 5 3 3 2 6 2 3 2" xfId="19736" xr:uid="{00000000-0005-0000-0000-00001C480000}"/>
    <cellStyle name="Currency 5 3 3 2 6 2 4" xfId="19737" xr:uid="{00000000-0005-0000-0000-00001D480000}"/>
    <cellStyle name="Currency 5 3 3 2 6 3" xfId="19738" xr:uid="{00000000-0005-0000-0000-00001E480000}"/>
    <cellStyle name="Currency 5 3 3 2 6 3 2" xfId="19739" xr:uid="{00000000-0005-0000-0000-00001F480000}"/>
    <cellStyle name="Currency 5 3 3 2 6 3 2 2" xfId="19740" xr:uid="{00000000-0005-0000-0000-000020480000}"/>
    <cellStyle name="Currency 5 3 3 2 6 3 3" xfId="19741" xr:uid="{00000000-0005-0000-0000-000021480000}"/>
    <cellStyle name="Currency 5 3 3 2 6 4" xfId="19742" xr:uid="{00000000-0005-0000-0000-000022480000}"/>
    <cellStyle name="Currency 5 3 3 2 6 4 2" xfId="19743" xr:uid="{00000000-0005-0000-0000-000023480000}"/>
    <cellStyle name="Currency 5 3 3 2 6 5" xfId="19744" xr:uid="{00000000-0005-0000-0000-000024480000}"/>
    <cellStyle name="Currency 5 3 3 2 7" xfId="19745" xr:uid="{00000000-0005-0000-0000-000025480000}"/>
    <cellStyle name="Currency 5 3 3 2 7 2" xfId="19746" xr:uid="{00000000-0005-0000-0000-000026480000}"/>
    <cellStyle name="Currency 5 3 3 2 7 2 2" xfId="19747" xr:uid="{00000000-0005-0000-0000-000027480000}"/>
    <cellStyle name="Currency 5 3 3 2 7 2 2 2" xfId="19748" xr:uid="{00000000-0005-0000-0000-000028480000}"/>
    <cellStyle name="Currency 5 3 3 2 7 2 2 2 2" xfId="19749" xr:uid="{00000000-0005-0000-0000-000029480000}"/>
    <cellStyle name="Currency 5 3 3 2 7 2 2 3" xfId="19750" xr:uid="{00000000-0005-0000-0000-00002A480000}"/>
    <cellStyle name="Currency 5 3 3 2 7 2 3" xfId="19751" xr:uid="{00000000-0005-0000-0000-00002B480000}"/>
    <cellStyle name="Currency 5 3 3 2 7 2 3 2" xfId="19752" xr:uid="{00000000-0005-0000-0000-00002C480000}"/>
    <cellStyle name="Currency 5 3 3 2 7 2 4" xfId="19753" xr:uid="{00000000-0005-0000-0000-00002D480000}"/>
    <cellStyle name="Currency 5 3 3 2 7 3" xfId="19754" xr:uid="{00000000-0005-0000-0000-00002E480000}"/>
    <cellStyle name="Currency 5 3 3 2 7 3 2" xfId="19755" xr:uid="{00000000-0005-0000-0000-00002F480000}"/>
    <cellStyle name="Currency 5 3 3 2 7 3 2 2" xfId="19756" xr:uid="{00000000-0005-0000-0000-000030480000}"/>
    <cellStyle name="Currency 5 3 3 2 7 3 3" xfId="19757" xr:uid="{00000000-0005-0000-0000-000031480000}"/>
    <cellStyle name="Currency 5 3 3 2 7 4" xfId="19758" xr:uid="{00000000-0005-0000-0000-000032480000}"/>
    <cellStyle name="Currency 5 3 3 2 7 4 2" xfId="19759" xr:uid="{00000000-0005-0000-0000-000033480000}"/>
    <cellStyle name="Currency 5 3 3 2 7 5" xfId="19760" xr:uid="{00000000-0005-0000-0000-000034480000}"/>
    <cellStyle name="Currency 5 3 3 2 8" xfId="19761" xr:uid="{00000000-0005-0000-0000-000035480000}"/>
    <cellStyle name="Currency 5 3 3 2 8 2" xfId="19762" xr:uid="{00000000-0005-0000-0000-000036480000}"/>
    <cellStyle name="Currency 5 3 3 2 8 2 2" xfId="19763" xr:uid="{00000000-0005-0000-0000-000037480000}"/>
    <cellStyle name="Currency 5 3 3 2 8 2 2 2" xfId="19764" xr:uid="{00000000-0005-0000-0000-000038480000}"/>
    <cellStyle name="Currency 5 3 3 2 8 2 3" xfId="19765" xr:uid="{00000000-0005-0000-0000-000039480000}"/>
    <cellStyle name="Currency 5 3 3 2 8 3" xfId="19766" xr:uid="{00000000-0005-0000-0000-00003A480000}"/>
    <cellStyle name="Currency 5 3 3 2 8 3 2" xfId="19767" xr:uid="{00000000-0005-0000-0000-00003B480000}"/>
    <cellStyle name="Currency 5 3 3 2 8 4" xfId="19768" xr:uid="{00000000-0005-0000-0000-00003C480000}"/>
    <cellStyle name="Currency 5 3 3 2 9" xfId="19769" xr:uid="{00000000-0005-0000-0000-00003D480000}"/>
    <cellStyle name="Currency 5 3 3 2 9 2" xfId="19770" xr:uid="{00000000-0005-0000-0000-00003E480000}"/>
    <cellStyle name="Currency 5 3 3 2 9 2 2" xfId="19771" xr:uid="{00000000-0005-0000-0000-00003F480000}"/>
    <cellStyle name="Currency 5 3 3 2 9 2 2 2" xfId="19772" xr:uid="{00000000-0005-0000-0000-000040480000}"/>
    <cellStyle name="Currency 5 3 3 2 9 2 3" xfId="19773" xr:uid="{00000000-0005-0000-0000-000041480000}"/>
    <cellStyle name="Currency 5 3 3 2 9 3" xfId="19774" xr:uid="{00000000-0005-0000-0000-000042480000}"/>
    <cellStyle name="Currency 5 3 3 2 9 3 2" xfId="19775" xr:uid="{00000000-0005-0000-0000-000043480000}"/>
    <cellStyle name="Currency 5 3 3 2 9 4" xfId="19776" xr:uid="{00000000-0005-0000-0000-000044480000}"/>
    <cellStyle name="Currency 5 3 3 3" xfId="379" xr:uid="{00000000-0005-0000-0000-000045480000}"/>
    <cellStyle name="Currency 5 3 3 3 10" xfId="19778" xr:uid="{00000000-0005-0000-0000-000046480000}"/>
    <cellStyle name="Currency 5 3 3 3 10 2" xfId="19779" xr:uid="{00000000-0005-0000-0000-000047480000}"/>
    <cellStyle name="Currency 5 3 3 3 10 2 2" xfId="19780" xr:uid="{00000000-0005-0000-0000-000048480000}"/>
    <cellStyle name="Currency 5 3 3 3 10 3" xfId="19781" xr:uid="{00000000-0005-0000-0000-000049480000}"/>
    <cellStyle name="Currency 5 3 3 3 11" xfId="19782" xr:uid="{00000000-0005-0000-0000-00004A480000}"/>
    <cellStyle name="Currency 5 3 3 3 11 2" xfId="19783" xr:uid="{00000000-0005-0000-0000-00004B480000}"/>
    <cellStyle name="Currency 5 3 3 3 11 2 2" xfId="19784" xr:uid="{00000000-0005-0000-0000-00004C480000}"/>
    <cellStyle name="Currency 5 3 3 3 11 3" xfId="19785" xr:uid="{00000000-0005-0000-0000-00004D480000}"/>
    <cellStyle name="Currency 5 3 3 3 12" xfId="19786" xr:uid="{00000000-0005-0000-0000-00004E480000}"/>
    <cellStyle name="Currency 5 3 3 3 12 2" xfId="19787" xr:uid="{00000000-0005-0000-0000-00004F480000}"/>
    <cellStyle name="Currency 5 3 3 3 13" xfId="19788" xr:uid="{00000000-0005-0000-0000-000050480000}"/>
    <cellStyle name="Currency 5 3 3 3 14" xfId="19789" xr:uid="{00000000-0005-0000-0000-000051480000}"/>
    <cellStyle name="Currency 5 3 3 3 15" xfId="19777" xr:uid="{00000000-0005-0000-0000-000052480000}"/>
    <cellStyle name="Currency 5 3 3 3 2" xfId="925" xr:uid="{00000000-0005-0000-0000-000053480000}"/>
    <cellStyle name="Currency 5 3 3 3 2 10" xfId="19791" xr:uid="{00000000-0005-0000-0000-000054480000}"/>
    <cellStyle name="Currency 5 3 3 3 2 11" xfId="19790" xr:uid="{00000000-0005-0000-0000-000055480000}"/>
    <cellStyle name="Currency 5 3 3 3 2 2" xfId="1666" xr:uid="{00000000-0005-0000-0000-000056480000}"/>
    <cellStyle name="Currency 5 3 3 3 2 2 2" xfId="19793" xr:uid="{00000000-0005-0000-0000-000057480000}"/>
    <cellStyle name="Currency 5 3 3 3 2 2 2 2" xfId="19794" xr:uid="{00000000-0005-0000-0000-000058480000}"/>
    <cellStyle name="Currency 5 3 3 3 2 2 2 2 2" xfId="19795" xr:uid="{00000000-0005-0000-0000-000059480000}"/>
    <cellStyle name="Currency 5 3 3 3 2 2 2 2 2 2" xfId="19796" xr:uid="{00000000-0005-0000-0000-00005A480000}"/>
    <cellStyle name="Currency 5 3 3 3 2 2 2 2 3" xfId="19797" xr:uid="{00000000-0005-0000-0000-00005B480000}"/>
    <cellStyle name="Currency 5 3 3 3 2 2 2 3" xfId="19798" xr:uid="{00000000-0005-0000-0000-00005C480000}"/>
    <cellStyle name="Currency 5 3 3 3 2 2 2 3 2" xfId="19799" xr:uid="{00000000-0005-0000-0000-00005D480000}"/>
    <cellStyle name="Currency 5 3 3 3 2 2 2 4" xfId="19800" xr:uid="{00000000-0005-0000-0000-00005E480000}"/>
    <cellStyle name="Currency 5 3 3 3 2 2 3" xfId="19801" xr:uid="{00000000-0005-0000-0000-00005F480000}"/>
    <cellStyle name="Currency 5 3 3 3 2 2 3 2" xfId="19802" xr:uid="{00000000-0005-0000-0000-000060480000}"/>
    <cellStyle name="Currency 5 3 3 3 2 2 3 2 2" xfId="19803" xr:uid="{00000000-0005-0000-0000-000061480000}"/>
    <cellStyle name="Currency 5 3 3 3 2 2 3 2 2 2" xfId="19804" xr:uid="{00000000-0005-0000-0000-000062480000}"/>
    <cellStyle name="Currency 5 3 3 3 2 2 3 2 3" xfId="19805" xr:uid="{00000000-0005-0000-0000-000063480000}"/>
    <cellStyle name="Currency 5 3 3 3 2 2 3 3" xfId="19806" xr:uid="{00000000-0005-0000-0000-000064480000}"/>
    <cellStyle name="Currency 5 3 3 3 2 2 3 3 2" xfId="19807" xr:uid="{00000000-0005-0000-0000-000065480000}"/>
    <cellStyle name="Currency 5 3 3 3 2 2 3 4" xfId="19808" xr:uid="{00000000-0005-0000-0000-000066480000}"/>
    <cellStyle name="Currency 5 3 3 3 2 2 4" xfId="19809" xr:uid="{00000000-0005-0000-0000-000067480000}"/>
    <cellStyle name="Currency 5 3 3 3 2 2 4 2" xfId="19810" xr:uid="{00000000-0005-0000-0000-000068480000}"/>
    <cellStyle name="Currency 5 3 3 3 2 2 4 2 2" xfId="19811" xr:uid="{00000000-0005-0000-0000-000069480000}"/>
    <cellStyle name="Currency 5 3 3 3 2 2 4 3" xfId="19812" xr:uid="{00000000-0005-0000-0000-00006A480000}"/>
    <cellStyle name="Currency 5 3 3 3 2 2 5" xfId="19813" xr:uid="{00000000-0005-0000-0000-00006B480000}"/>
    <cellStyle name="Currency 5 3 3 3 2 2 5 2" xfId="19814" xr:uid="{00000000-0005-0000-0000-00006C480000}"/>
    <cellStyle name="Currency 5 3 3 3 2 2 6" xfId="19815" xr:uid="{00000000-0005-0000-0000-00006D480000}"/>
    <cellStyle name="Currency 5 3 3 3 2 2 7" xfId="19792" xr:uid="{00000000-0005-0000-0000-00006E480000}"/>
    <cellStyle name="Currency 5 3 3 3 2 3" xfId="19816" xr:uid="{00000000-0005-0000-0000-00006F480000}"/>
    <cellStyle name="Currency 5 3 3 3 2 3 2" xfId="19817" xr:uid="{00000000-0005-0000-0000-000070480000}"/>
    <cellStyle name="Currency 5 3 3 3 2 3 2 2" xfId="19818" xr:uid="{00000000-0005-0000-0000-000071480000}"/>
    <cellStyle name="Currency 5 3 3 3 2 3 2 2 2" xfId="19819" xr:uid="{00000000-0005-0000-0000-000072480000}"/>
    <cellStyle name="Currency 5 3 3 3 2 3 2 2 2 2" xfId="19820" xr:uid="{00000000-0005-0000-0000-000073480000}"/>
    <cellStyle name="Currency 5 3 3 3 2 3 2 2 3" xfId="19821" xr:uid="{00000000-0005-0000-0000-000074480000}"/>
    <cellStyle name="Currency 5 3 3 3 2 3 2 3" xfId="19822" xr:uid="{00000000-0005-0000-0000-000075480000}"/>
    <cellStyle name="Currency 5 3 3 3 2 3 2 3 2" xfId="19823" xr:uid="{00000000-0005-0000-0000-000076480000}"/>
    <cellStyle name="Currency 5 3 3 3 2 3 2 4" xfId="19824" xr:uid="{00000000-0005-0000-0000-000077480000}"/>
    <cellStyle name="Currency 5 3 3 3 2 3 3" xfId="19825" xr:uid="{00000000-0005-0000-0000-000078480000}"/>
    <cellStyle name="Currency 5 3 3 3 2 3 3 2" xfId="19826" xr:uid="{00000000-0005-0000-0000-000079480000}"/>
    <cellStyle name="Currency 5 3 3 3 2 3 3 2 2" xfId="19827" xr:uid="{00000000-0005-0000-0000-00007A480000}"/>
    <cellStyle name="Currency 5 3 3 3 2 3 3 3" xfId="19828" xr:uid="{00000000-0005-0000-0000-00007B480000}"/>
    <cellStyle name="Currency 5 3 3 3 2 3 4" xfId="19829" xr:uid="{00000000-0005-0000-0000-00007C480000}"/>
    <cellStyle name="Currency 5 3 3 3 2 3 4 2" xfId="19830" xr:uid="{00000000-0005-0000-0000-00007D480000}"/>
    <cellStyle name="Currency 5 3 3 3 2 3 5" xfId="19831" xr:uid="{00000000-0005-0000-0000-00007E480000}"/>
    <cellStyle name="Currency 5 3 3 3 2 4" xfId="19832" xr:uid="{00000000-0005-0000-0000-00007F480000}"/>
    <cellStyle name="Currency 5 3 3 3 2 4 2" xfId="19833" xr:uid="{00000000-0005-0000-0000-000080480000}"/>
    <cellStyle name="Currency 5 3 3 3 2 4 2 2" xfId="19834" xr:uid="{00000000-0005-0000-0000-000081480000}"/>
    <cellStyle name="Currency 5 3 3 3 2 4 2 2 2" xfId="19835" xr:uid="{00000000-0005-0000-0000-000082480000}"/>
    <cellStyle name="Currency 5 3 3 3 2 4 2 2 2 2" xfId="19836" xr:uid="{00000000-0005-0000-0000-000083480000}"/>
    <cellStyle name="Currency 5 3 3 3 2 4 2 2 3" xfId="19837" xr:uid="{00000000-0005-0000-0000-000084480000}"/>
    <cellStyle name="Currency 5 3 3 3 2 4 2 3" xfId="19838" xr:uid="{00000000-0005-0000-0000-000085480000}"/>
    <cellStyle name="Currency 5 3 3 3 2 4 2 3 2" xfId="19839" xr:uid="{00000000-0005-0000-0000-000086480000}"/>
    <cellStyle name="Currency 5 3 3 3 2 4 2 4" xfId="19840" xr:uid="{00000000-0005-0000-0000-000087480000}"/>
    <cellStyle name="Currency 5 3 3 3 2 4 3" xfId="19841" xr:uid="{00000000-0005-0000-0000-000088480000}"/>
    <cellStyle name="Currency 5 3 3 3 2 4 3 2" xfId="19842" xr:uid="{00000000-0005-0000-0000-000089480000}"/>
    <cellStyle name="Currency 5 3 3 3 2 4 3 2 2" xfId="19843" xr:uid="{00000000-0005-0000-0000-00008A480000}"/>
    <cellStyle name="Currency 5 3 3 3 2 4 3 3" xfId="19844" xr:uid="{00000000-0005-0000-0000-00008B480000}"/>
    <cellStyle name="Currency 5 3 3 3 2 4 4" xfId="19845" xr:uid="{00000000-0005-0000-0000-00008C480000}"/>
    <cellStyle name="Currency 5 3 3 3 2 4 4 2" xfId="19846" xr:uid="{00000000-0005-0000-0000-00008D480000}"/>
    <cellStyle name="Currency 5 3 3 3 2 4 5" xfId="19847" xr:uid="{00000000-0005-0000-0000-00008E480000}"/>
    <cellStyle name="Currency 5 3 3 3 2 5" xfId="19848" xr:uid="{00000000-0005-0000-0000-00008F480000}"/>
    <cellStyle name="Currency 5 3 3 3 2 5 2" xfId="19849" xr:uid="{00000000-0005-0000-0000-000090480000}"/>
    <cellStyle name="Currency 5 3 3 3 2 5 2 2" xfId="19850" xr:uid="{00000000-0005-0000-0000-000091480000}"/>
    <cellStyle name="Currency 5 3 3 3 2 5 2 2 2" xfId="19851" xr:uid="{00000000-0005-0000-0000-000092480000}"/>
    <cellStyle name="Currency 5 3 3 3 2 5 2 3" xfId="19852" xr:uid="{00000000-0005-0000-0000-000093480000}"/>
    <cellStyle name="Currency 5 3 3 3 2 5 3" xfId="19853" xr:uid="{00000000-0005-0000-0000-000094480000}"/>
    <cellStyle name="Currency 5 3 3 3 2 5 3 2" xfId="19854" xr:uid="{00000000-0005-0000-0000-000095480000}"/>
    <cellStyle name="Currency 5 3 3 3 2 5 4" xfId="19855" xr:uid="{00000000-0005-0000-0000-000096480000}"/>
    <cellStyle name="Currency 5 3 3 3 2 6" xfId="19856" xr:uid="{00000000-0005-0000-0000-000097480000}"/>
    <cellStyle name="Currency 5 3 3 3 2 6 2" xfId="19857" xr:uid="{00000000-0005-0000-0000-000098480000}"/>
    <cellStyle name="Currency 5 3 3 3 2 6 2 2" xfId="19858" xr:uid="{00000000-0005-0000-0000-000099480000}"/>
    <cellStyle name="Currency 5 3 3 3 2 6 2 2 2" xfId="19859" xr:uid="{00000000-0005-0000-0000-00009A480000}"/>
    <cellStyle name="Currency 5 3 3 3 2 6 2 3" xfId="19860" xr:uid="{00000000-0005-0000-0000-00009B480000}"/>
    <cellStyle name="Currency 5 3 3 3 2 6 3" xfId="19861" xr:uid="{00000000-0005-0000-0000-00009C480000}"/>
    <cellStyle name="Currency 5 3 3 3 2 6 3 2" xfId="19862" xr:uid="{00000000-0005-0000-0000-00009D480000}"/>
    <cellStyle name="Currency 5 3 3 3 2 6 4" xfId="19863" xr:uid="{00000000-0005-0000-0000-00009E480000}"/>
    <cellStyle name="Currency 5 3 3 3 2 7" xfId="19864" xr:uid="{00000000-0005-0000-0000-00009F480000}"/>
    <cellStyle name="Currency 5 3 3 3 2 7 2" xfId="19865" xr:uid="{00000000-0005-0000-0000-0000A0480000}"/>
    <cellStyle name="Currency 5 3 3 3 2 7 2 2" xfId="19866" xr:uid="{00000000-0005-0000-0000-0000A1480000}"/>
    <cellStyle name="Currency 5 3 3 3 2 7 2 2 2" xfId="19867" xr:uid="{00000000-0005-0000-0000-0000A2480000}"/>
    <cellStyle name="Currency 5 3 3 3 2 7 2 3" xfId="19868" xr:uid="{00000000-0005-0000-0000-0000A3480000}"/>
    <cellStyle name="Currency 5 3 3 3 2 7 3" xfId="19869" xr:uid="{00000000-0005-0000-0000-0000A4480000}"/>
    <cellStyle name="Currency 5 3 3 3 2 7 3 2" xfId="19870" xr:uid="{00000000-0005-0000-0000-0000A5480000}"/>
    <cellStyle name="Currency 5 3 3 3 2 7 4" xfId="19871" xr:uid="{00000000-0005-0000-0000-0000A6480000}"/>
    <cellStyle name="Currency 5 3 3 3 2 8" xfId="19872" xr:uid="{00000000-0005-0000-0000-0000A7480000}"/>
    <cellStyle name="Currency 5 3 3 3 2 8 2" xfId="19873" xr:uid="{00000000-0005-0000-0000-0000A8480000}"/>
    <cellStyle name="Currency 5 3 3 3 2 8 2 2" xfId="19874" xr:uid="{00000000-0005-0000-0000-0000A9480000}"/>
    <cellStyle name="Currency 5 3 3 3 2 8 3" xfId="19875" xr:uid="{00000000-0005-0000-0000-0000AA480000}"/>
    <cellStyle name="Currency 5 3 3 3 2 9" xfId="19876" xr:uid="{00000000-0005-0000-0000-0000AB480000}"/>
    <cellStyle name="Currency 5 3 3 3 2 9 2" xfId="19877" xr:uid="{00000000-0005-0000-0000-0000AC480000}"/>
    <cellStyle name="Currency 5 3 3 3 3" xfId="1341" xr:uid="{00000000-0005-0000-0000-0000AD480000}"/>
    <cellStyle name="Currency 5 3 3 3 3 2" xfId="19879" xr:uid="{00000000-0005-0000-0000-0000AE480000}"/>
    <cellStyle name="Currency 5 3 3 3 3 2 2" xfId="19880" xr:uid="{00000000-0005-0000-0000-0000AF480000}"/>
    <cellStyle name="Currency 5 3 3 3 3 2 2 2" xfId="19881" xr:uid="{00000000-0005-0000-0000-0000B0480000}"/>
    <cellStyle name="Currency 5 3 3 3 3 2 2 2 2" xfId="19882" xr:uid="{00000000-0005-0000-0000-0000B1480000}"/>
    <cellStyle name="Currency 5 3 3 3 3 2 2 3" xfId="19883" xr:uid="{00000000-0005-0000-0000-0000B2480000}"/>
    <cellStyle name="Currency 5 3 3 3 3 2 3" xfId="19884" xr:uid="{00000000-0005-0000-0000-0000B3480000}"/>
    <cellStyle name="Currency 5 3 3 3 3 2 3 2" xfId="19885" xr:uid="{00000000-0005-0000-0000-0000B4480000}"/>
    <cellStyle name="Currency 5 3 3 3 3 2 4" xfId="19886" xr:uid="{00000000-0005-0000-0000-0000B5480000}"/>
    <cellStyle name="Currency 5 3 3 3 3 3" xfId="19887" xr:uid="{00000000-0005-0000-0000-0000B6480000}"/>
    <cellStyle name="Currency 5 3 3 3 3 3 2" xfId="19888" xr:uid="{00000000-0005-0000-0000-0000B7480000}"/>
    <cellStyle name="Currency 5 3 3 3 3 3 2 2" xfId="19889" xr:uid="{00000000-0005-0000-0000-0000B8480000}"/>
    <cellStyle name="Currency 5 3 3 3 3 3 2 2 2" xfId="19890" xr:uid="{00000000-0005-0000-0000-0000B9480000}"/>
    <cellStyle name="Currency 5 3 3 3 3 3 2 3" xfId="19891" xr:uid="{00000000-0005-0000-0000-0000BA480000}"/>
    <cellStyle name="Currency 5 3 3 3 3 3 3" xfId="19892" xr:uid="{00000000-0005-0000-0000-0000BB480000}"/>
    <cellStyle name="Currency 5 3 3 3 3 3 3 2" xfId="19893" xr:uid="{00000000-0005-0000-0000-0000BC480000}"/>
    <cellStyle name="Currency 5 3 3 3 3 3 4" xfId="19894" xr:uid="{00000000-0005-0000-0000-0000BD480000}"/>
    <cellStyle name="Currency 5 3 3 3 3 4" xfId="19895" xr:uid="{00000000-0005-0000-0000-0000BE480000}"/>
    <cellStyle name="Currency 5 3 3 3 3 4 2" xfId="19896" xr:uid="{00000000-0005-0000-0000-0000BF480000}"/>
    <cellStyle name="Currency 5 3 3 3 3 4 2 2" xfId="19897" xr:uid="{00000000-0005-0000-0000-0000C0480000}"/>
    <cellStyle name="Currency 5 3 3 3 3 4 3" xfId="19898" xr:uid="{00000000-0005-0000-0000-0000C1480000}"/>
    <cellStyle name="Currency 5 3 3 3 3 5" xfId="19899" xr:uid="{00000000-0005-0000-0000-0000C2480000}"/>
    <cellStyle name="Currency 5 3 3 3 3 5 2" xfId="19900" xr:uid="{00000000-0005-0000-0000-0000C3480000}"/>
    <cellStyle name="Currency 5 3 3 3 3 6" xfId="19901" xr:uid="{00000000-0005-0000-0000-0000C4480000}"/>
    <cellStyle name="Currency 5 3 3 3 3 7" xfId="19878" xr:uid="{00000000-0005-0000-0000-0000C5480000}"/>
    <cellStyle name="Currency 5 3 3 3 4" xfId="19902" xr:uid="{00000000-0005-0000-0000-0000C6480000}"/>
    <cellStyle name="Currency 5 3 3 3 4 2" xfId="19903" xr:uid="{00000000-0005-0000-0000-0000C7480000}"/>
    <cellStyle name="Currency 5 3 3 3 4 2 2" xfId="19904" xr:uid="{00000000-0005-0000-0000-0000C8480000}"/>
    <cellStyle name="Currency 5 3 3 3 4 2 2 2" xfId="19905" xr:uid="{00000000-0005-0000-0000-0000C9480000}"/>
    <cellStyle name="Currency 5 3 3 3 4 2 2 2 2" xfId="19906" xr:uid="{00000000-0005-0000-0000-0000CA480000}"/>
    <cellStyle name="Currency 5 3 3 3 4 2 2 3" xfId="19907" xr:uid="{00000000-0005-0000-0000-0000CB480000}"/>
    <cellStyle name="Currency 5 3 3 3 4 2 3" xfId="19908" xr:uid="{00000000-0005-0000-0000-0000CC480000}"/>
    <cellStyle name="Currency 5 3 3 3 4 2 3 2" xfId="19909" xr:uid="{00000000-0005-0000-0000-0000CD480000}"/>
    <cellStyle name="Currency 5 3 3 3 4 2 4" xfId="19910" xr:uid="{00000000-0005-0000-0000-0000CE480000}"/>
    <cellStyle name="Currency 5 3 3 3 4 3" xfId="19911" xr:uid="{00000000-0005-0000-0000-0000CF480000}"/>
    <cellStyle name="Currency 5 3 3 3 4 3 2" xfId="19912" xr:uid="{00000000-0005-0000-0000-0000D0480000}"/>
    <cellStyle name="Currency 5 3 3 3 4 3 2 2" xfId="19913" xr:uid="{00000000-0005-0000-0000-0000D1480000}"/>
    <cellStyle name="Currency 5 3 3 3 4 3 3" xfId="19914" xr:uid="{00000000-0005-0000-0000-0000D2480000}"/>
    <cellStyle name="Currency 5 3 3 3 4 4" xfId="19915" xr:uid="{00000000-0005-0000-0000-0000D3480000}"/>
    <cellStyle name="Currency 5 3 3 3 4 4 2" xfId="19916" xr:uid="{00000000-0005-0000-0000-0000D4480000}"/>
    <cellStyle name="Currency 5 3 3 3 4 5" xfId="19917" xr:uid="{00000000-0005-0000-0000-0000D5480000}"/>
    <cellStyle name="Currency 5 3 3 3 5" xfId="19918" xr:uid="{00000000-0005-0000-0000-0000D6480000}"/>
    <cellStyle name="Currency 5 3 3 3 5 2" xfId="19919" xr:uid="{00000000-0005-0000-0000-0000D7480000}"/>
    <cellStyle name="Currency 5 3 3 3 5 2 2" xfId="19920" xr:uid="{00000000-0005-0000-0000-0000D8480000}"/>
    <cellStyle name="Currency 5 3 3 3 5 2 2 2" xfId="19921" xr:uid="{00000000-0005-0000-0000-0000D9480000}"/>
    <cellStyle name="Currency 5 3 3 3 5 2 2 2 2" xfId="19922" xr:uid="{00000000-0005-0000-0000-0000DA480000}"/>
    <cellStyle name="Currency 5 3 3 3 5 2 2 3" xfId="19923" xr:uid="{00000000-0005-0000-0000-0000DB480000}"/>
    <cellStyle name="Currency 5 3 3 3 5 2 3" xfId="19924" xr:uid="{00000000-0005-0000-0000-0000DC480000}"/>
    <cellStyle name="Currency 5 3 3 3 5 2 3 2" xfId="19925" xr:uid="{00000000-0005-0000-0000-0000DD480000}"/>
    <cellStyle name="Currency 5 3 3 3 5 2 4" xfId="19926" xr:uid="{00000000-0005-0000-0000-0000DE480000}"/>
    <cellStyle name="Currency 5 3 3 3 5 3" xfId="19927" xr:uid="{00000000-0005-0000-0000-0000DF480000}"/>
    <cellStyle name="Currency 5 3 3 3 5 3 2" xfId="19928" xr:uid="{00000000-0005-0000-0000-0000E0480000}"/>
    <cellStyle name="Currency 5 3 3 3 5 3 2 2" xfId="19929" xr:uid="{00000000-0005-0000-0000-0000E1480000}"/>
    <cellStyle name="Currency 5 3 3 3 5 3 3" xfId="19930" xr:uid="{00000000-0005-0000-0000-0000E2480000}"/>
    <cellStyle name="Currency 5 3 3 3 5 4" xfId="19931" xr:uid="{00000000-0005-0000-0000-0000E3480000}"/>
    <cellStyle name="Currency 5 3 3 3 5 4 2" xfId="19932" xr:uid="{00000000-0005-0000-0000-0000E4480000}"/>
    <cellStyle name="Currency 5 3 3 3 5 5" xfId="19933" xr:uid="{00000000-0005-0000-0000-0000E5480000}"/>
    <cellStyle name="Currency 5 3 3 3 6" xfId="19934" xr:uid="{00000000-0005-0000-0000-0000E6480000}"/>
    <cellStyle name="Currency 5 3 3 3 6 2" xfId="19935" xr:uid="{00000000-0005-0000-0000-0000E7480000}"/>
    <cellStyle name="Currency 5 3 3 3 6 2 2" xfId="19936" xr:uid="{00000000-0005-0000-0000-0000E8480000}"/>
    <cellStyle name="Currency 5 3 3 3 6 2 2 2" xfId="19937" xr:uid="{00000000-0005-0000-0000-0000E9480000}"/>
    <cellStyle name="Currency 5 3 3 3 6 2 3" xfId="19938" xr:uid="{00000000-0005-0000-0000-0000EA480000}"/>
    <cellStyle name="Currency 5 3 3 3 6 3" xfId="19939" xr:uid="{00000000-0005-0000-0000-0000EB480000}"/>
    <cellStyle name="Currency 5 3 3 3 6 3 2" xfId="19940" xr:uid="{00000000-0005-0000-0000-0000EC480000}"/>
    <cellStyle name="Currency 5 3 3 3 6 4" xfId="19941" xr:uid="{00000000-0005-0000-0000-0000ED480000}"/>
    <cellStyle name="Currency 5 3 3 3 7" xfId="19942" xr:uid="{00000000-0005-0000-0000-0000EE480000}"/>
    <cellStyle name="Currency 5 3 3 3 7 2" xfId="19943" xr:uid="{00000000-0005-0000-0000-0000EF480000}"/>
    <cellStyle name="Currency 5 3 3 3 7 2 2" xfId="19944" xr:uid="{00000000-0005-0000-0000-0000F0480000}"/>
    <cellStyle name="Currency 5 3 3 3 7 2 2 2" xfId="19945" xr:uid="{00000000-0005-0000-0000-0000F1480000}"/>
    <cellStyle name="Currency 5 3 3 3 7 2 3" xfId="19946" xr:uid="{00000000-0005-0000-0000-0000F2480000}"/>
    <cellStyle name="Currency 5 3 3 3 7 3" xfId="19947" xr:uid="{00000000-0005-0000-0000-0000F3480000}"/>
    <cellStyle name="Currency 5 3 3 3 7 3 2" xfId="19948" xr:uid="{00000000-0005-0000-0000-0000F4480000}"/>
    <cellStyle name="Currency 5 3 3 3 7 4" xfId="19949" xr:uid="{00000000-0005-0000-0000-0000F5480000}"/>
    <cellStyle name="Currency 5 3 3 3 8" xfId="19950" xr:uid="{00000000-0005-0000-0000-0000F6480000}"/>
    <cellStyle name="Currency 5 3 3 3 8 2" xfId="19951" xr:uid="{00000000-0005-0000-0000-0000F7480000}"/>
    <cellStyle name="Currency 5 3 3 3 8 2 2" xfId="19952" xr:uid="{00000000-0005-0000-0000-0000F8480000}"/>
    <cellStyle name="Currency 5 3 3 3 8 2 2 2" xfId="19953" xr:uid="{00000000-0005-0000-0000-0000F9480000}"/>
    <cellStyle name="Currency 5 3 3 3 8 2 3" xfId="19954" xr:uid="{00000000-0005-0000-0000-0000FA480000}"/>
    <cellStyle name="Currency 5 3 3 3 8 3" xfId="19955" xr:uid="{00000000-0005-0000-0000-0000FB480000}"/>
    <cellStyle name="Currency 5 3 3 3 8 3 2" xfId="19956" xr:uid="{00000000-0005-0000-0000-0000FC480000}"/>
    <cellStyle name="Currency 5 3 3 3 8 4" xfId="19957" xr:uid="{00000000-0005-0000-0000-0000FD480000}"/>
    <cellStyle name="Currency 5 3 3 3 9" xfId="19958" xr:uid="{00000000-0005-0000-0000-0000FE480000}"/>
    <cellStyle name="Currency 5 3 3 3 9 2" xfId="19959" xr:uid="{00000000-0005-0000-0000-0000FF480000}"/>
    <cellStyle name="Currency 5 3 3 3 9 2 2" xfId="19960" xr:uid="{00000000-0005-0000-0000-000000490000}"/>
    <cellStyle name="Currency 5 3 3 3 9 3" xfId="19961" xr:uid="{00000000-0005-0000-0000-000001490000}"/>
    <cellStyle name="Currency 5 3 3 4" xfId="380" xr:uid="{00000000-0005-0000-0000-000002490000}"/>
    <cellStyle name="Currency 5 3 3 5" xfId="922" xr:uid="{00000000-0005-0000-0000-000003490000}"/>
    <cellStyle name="Currency 5 3 3 5 10" xfId="19963" xr:uid="{00000000-0005-0000-0000-000004490000}"/>
    <cellStyle name="Currency 5 3 3 5 11" xfId="19962" xr:uid="{00000000-0005-0000-0000-000005490000}"/>
    <cellStyle name="Currency 5 3 3 5 2" xfId="1663" xr:uid="{00000000-0005-0000-0000-000006490000}"/>
    <cellStyle name="Currency 5 3 3 5 2 2" xfId="19965" xr:uid="{00000000-0005-0000-0000-000007490000}"/>
    <cellStyle name="Currency 5 3 3 5 2 2 2" xfId="19966" xr:uid="{00000000-0005-0000-0000-000008490000}"/>
    <cellStyle name="Currency 5 3 3 5 2 2 2 2" xfId="19967" xr:uid="{00000000-0005-0000-0000-000009490000}"/>
    <cellStyle name="Currency 5 3 3 5 2 2 2 2 2" xfId="19968" xr:uid="{00000000-0005-0000-0000-00000A490000}"/>
    <cellStyle name="Currency 5 3 3 5 2 2 2 3" xfId="19969" xr:uid="{00000000-0005-0000-0000-00000B490000}"/>
    <cellStyle name="Currency 5 3 3 5 2 2 3" xfId="19970" xr:uid="{00000000-0005-0000-0000-00000C490000}"/>
    <cellStyle name="Currency 5 3 3 5 2 2 3 2" xfId="19971" xr:uid="{00000000-0005-0000-0000-00000D490000}"/>
    <cellStyle name="Currency 5 3 3 5 2 2 4" xfId="19972" xr:uid="{00000000-0005-0000-0000-00000E490000}"/>
    <cellStyle name="Currency 5 3 3 5 2 3" xfId="19973" xr:uid="{00000000-0005-0000-0000-00000F490000}"/>
    <cellStyle name="Currency 5 3 3 5 2 3 2" xfId="19974" xr:uid="{00000000-0005-0000-0000-000010490000}"/>
    <cellStyle name="Currency 5 3 3 5 2 3 2 2" xfId="19975" xr:uid="{00000000-0005-0000-0000-000011490000}"/>
    <cellStyle name="Currency 5 3 3 5 2 3 2 2 2" xfId="19976" xr:uid="{00000000-0005-0000-0000-000012490000}"/>
    <cellStyle name="Currency 5 3 3 5 2 3 2 3" xfId="19977" xr:uid="{00000000-0005-0000-0000-000013490000}"/>
    <cellStyle name="Currency 5 3 3 5 2 3 3" xfId="19978" xr:uid="{00000000-0005-0000-0000-000014490000}"/>
    <cellStyle name="Currency 5 3 3 5 2 3 3 2" xfId="19979" xr:uid="{00000000-0005-0000-0000-000015490000}"/>
    <cellStyle name="Currency 5 3 3 5 2 3 4" xfId="19980" xr:uid="{00000000-0005-0000-0000-000016490000}"/>
    <cellStyle name="Currency 5 3 3 5 2 4" xfId="19981" xr:uid="{00000000-0005-0000-0000-000017490000}"/>
    <cellStyle name="Currency 5 3 3 5 2 4 2" xfId="19982" xr:uid="{00000000-0005-0000-0000-000018490000}"/>
    <cellStyle name="Currency 5 3 3 5 2 4 2 2" xfId="19983" xr:uid="{00000000-0005-0000-0000-000019490000}"/>
    <cellStyle name="Currency 5 3 3 5 2 4 3" xfId="19984" xr:uid="{00000000-0005-0000-0000-00001A490000}"/>
    <cellStyle name="Currency 5 3 3 5 2 5" xfId="19985" xr:uid="{00000000-0005-0000-0000-00001B490000}"/>
    <cellStyle name="Currency 5 3 3 5 2 5 2" xfId="19986" xr:uid="{00000000-0005-0000-0000-00001C490000}"/>
    <cellStyle name="Currency 5 3 3 5 2 6" xfId="19987" xr:uid="{00000000-0005-0000-0000-00001D490000}"/>
    <cellStyle name="Currency 5 3 3 5 2 7" xfId="19964" xr:uid="{00000000-0005-0000-0000-00001E490000}"/>
    <cellStyle name="Currency 5 3 3 5 3" xfId="19988" xr:uid="{00000000-0005-0000-0000-00001F490000}"/>
    <cellStyle name="Currency 5 3 3 5 3 2" xfId="19989" xr:uid="{00000000-0005-0000-0000-000020490000}"/>
    <cellStyle name="Currency 5 3 3 5 3 2 2" xfId="19990" xr:uid="{00000000-0005-0000-0000-000021490000}"/>
    <cellStyle name="Currency 5 3 3 5 3 2 2 2" xfId="19991" xr:uid="{00000000-0005-0000-0000-000022490000}"/>
    <cellStyle name="Currency 5 3 3 5 3 2 2 2 2" xfId="19992" xr:uid="{00000000-0005-0000-0000-000023490000}"/>
    <cellStyle name="Currency 5 3 3 5 3 2 2 3" xfId="19993" xr:uid="{00000000-0005-0000-0000-000024490000}"/>
    <cellStyle name="Currency 5 3 3 5 3 2 3" xfId="19994" xr:uid="{00000000-0005-0000-0000-000025490000}"/>
    <cellStyle name="Currency 5 3 3 5 3 2 3 2" xfId="19995" xr:uid="{00000000-0005-0000-0000-000026490000}"/>
    <cellStyle name="Currency 5 3 3 5 3 2 4" xfId="19996" xr:uid="{00000000-0005-0000-0000-000027490000}"/>
    <cellStyle name="Currency 5 3 3 5 3 3" xfId="19997" xr:uid="{00000000-0005-0000-0000-000028490000}"/>
    <cellStyle name="Currency 5 3 3 5 3 3 2" xfId="19998" xr:uid="{00000000-0005-0000-0000-000029490000}"/>
    <cellStyle name="Currency 5 3 3 5 3 3 2 2" xfId="19999" xr:uid="{00000000-0005-0000-0000-00002A490000}"/>
    <cellStyle name="Currency 5 3 3 5 3 3 3" xfId="20000" xr:uid="{00000000-0005-0000-0000-00002B490000}"/>
    <cellStyle name="Currency 5 3 3 5 3 4" xfId="20001" xr:uid="{00000000-0005-0000-0000-00002C490000}"/>
    <cellStyle name="Currency 5 3 3 5 3 4 2" xfId="20002" xr:uid="{00000000-0005-0000-0000-00002D490000}"/>
    <cellStyle name="Currency 5 3 3 5 3 5" xfId="20003" xr:uid="{00000000-0005-0000-0000-00002E490000}"/>
    <cellStyle name="Currency 5 3 3 5 4" xfId="20004" xr:uid="{00000000-0005-0000-0000-00002F490000}"/>
    <cellStyle name="Currency 5 3 3 5 4 2" xfId="20005" xr:uid="{00000000-0005-0000-0000-000030490000}"/>
    <cellStyle name="Currency 5 3 3 5 4 2 2" xfId="20006" xr:uid="{00000000-0005-0000-0000-000031490000}"/>
    <cellStyle name="Currency 5 3 3 5 4 2 2 2" xfId="20007" xr:uid="{00000000-0005-0000-0000-000032490000}"/>
    <cellStyle name="Currency 5 3 3 5 4 2 2 2 2" xfId="20008" xr:uid="{00000000-0005-0000-0000-000033490000}"/>
    <cellStyle name="Currency 5 3 3 5 4 2 2 3" xfId="20009" xr:uid="{00000000-0005-0000-0000-000034490000}"/>
    <cellStyle name="Currency 5 3 3 5 4 2 3" xfId="20010" xr:uid="{00000000-0005-0000-0000-000035490000}"/>
    <cellStyle name="Currency 5 3 3 5 4 2 3 2" xfId="20011" xr:uid="{00000000-0005-0000-0000-000036490000}"/>
    <cellStyle name="Currency 5 3 3 5 4 2 4" xfId="20012" xr:uid="{00000000-0005-0000-0000-000037490000}"/>
    <cellStyle name="Currency 5 3 3 5 4 3" xfId="20013" xr:uid="{00000000-0005-0000-0000-000038490000}"/>
    <cellStyle name="Currency 5 3 3 5 4 3 2" xfId="20014" xr:uid="{00000000-0005-0000-0000-000039490000}"/>
    <cellStyle name="Currency 5 3 3 5 4 3 2 2" xfId="20015" xr:uid="{00000000-0005-0000-0000-00003A490000}"/>
    <cellStyle name="Currency 5 3 3 5 4 3 3" xfId="20016" xr:uid="{00000000-0005-0000-0000-00003B490000}"/>
    <cellStyle name="Currency 5 3 3 5 4 4" xfId="20017" xr:uid="{00000000-0005-0000-0000-00003C490000}"/>
    <cellStyle name="Currency 5 3 3 5 4 4 2" xfId="20018" xr:uid="{00000000-0005-0000-0000-00003D490000}"/>
    <cellStyle name="Currency 5 3 3 5 4 5" xfId="20019" xr:uid="{00000000-0005-0000-0000-00003E490000}"/>
    <cellStyle name="Currency 5 3 3 5 5" xfId="20020" xr:uid="{00000000-0005-0000-0000-00003F490000}"/>
    <cellStyle name="Currency 5 3 3 5 5 2" xfId="20021" xr:uid="{00000000-0005-0000-0000-000040490000}"/>
    <cellStyle name="Currency 5 3 3 5 5 2 2" xfId="20022" xr:uid="{00000000-0005-0000-0000-000041490000}"/>
    <cellStyle name="Currency 5 3 3 5 5 2 2 2" xfId="20023" xr:uid="{00000000-0005-0000-0000-000042490000}"/>
    <cellStyle name="Currency 5 3 3 5 5 2 3" xfId="20024" xr:uid="{00000000-0005-0000-0000-000043490000}"/>
    <cellStyle name="Currency 5 3 3 5 5 3" xfId="20025" xr:uid="{00000000-0005-0000-0000-000044490000}"/>
    <cellStyle name="Currency 5 3 3 5 5 3 2" xfId="20026" xr:uid="{00000000-0005-0000-0000-000045490000}"/>
    <cellStyle name="Currency 5 3 3 5 5 4" xfId="20027" xr:uid="{00000000-0005-0000-0000-000046490000}"/>
    <cellStyle name="Currency 5 3 3 5 6" xfId="20028" xr:uid="{00000000-0005-0000-0000-000047490000}"/>
    <cellStyle name="Currency 5 3 3 5 6 2" xfId="20029" xr:uid="{00000000-0005-0000-0000-000048490000}"/>
    <cellStyle name="Currency 5 3 3 5 6 2 2" xfId="20030" xr:uid="{00000000-0005-0000-0000-000049490000}"/>
    <cellStyle name="Currency 5 3 3 5 6 2 2 2" xfId="20031" xr:uid="{00000000-0005-0000-0000-00004A490000}"/>
    <cellStyle name="Currency 5 3 3 5 6 2 3" xfId="20032" xr:uid="{00000000-0005-0000-0000-00004B490000}"/>
    <cellStyle name="Currency 5 3 3 5 6 3" xfId="20033" xr:uid="{00000000-0005-0000-0000-00004C490000}"/>
    <cellStyle name="Currency 5 3 3 5 6 3 2" xfId="20034" xr:uid="{00000000-0005-0000-0000-00004D490000}"/>
    <cellStyle name="Currency 5 3 3 5 6 4" xfId="20035" xr:uid="{00000000-0005-0000-0000-00004E490000}"/>
    <cellStyle name="Currency 5 3 3 5 7" xfId="20036" xr:uid="{00000000-0005-0000-0000-00004F490000}"/>
    <cellStyle name="Currency 5 3 3 5 7 2" xfId="20037" xr:uid="{00000000-0005-0000-0000-000050490000}"/>
    <cellStyle name="Currency 5 3 3 5 7 2 2" xfId="20038" xr:uid="{00000000-0005-0000-0000-000051490000}"/>
    <cellStyle name="Currency 5 3 3 5 7 2 2 2" xfId="20039" xr:uid="{00000000-0005-0000-0000-000052490000}"/>
    <cellStyle name="Currency 5 3 3 5 7 2 3" xfId="20040" xr:uid="{00000000-0005-0000-0000-000053490000}"/>
    <cellStyle name="Currency 5 3 3 5 7 3" xfId="20041" xr:uid="{00000000-0005-0000-0000-000054490000}"/>
    <cellStyle name="Currency 5 3 3 5 7 3 2" xfId="20042" xr:uid="{00000000-0005-0000-0000-000055490000}"/>
    <cellStyle name="Currency 5 3 3 5 7 4" xfId="20043" xr:uid="{00000000-0005-0000-0000-000056490000}"/>
    <cellStyle name="Currency 5 3 3 5 8" xfId="20044" xr:uid="{00000000-0005-0000-0000-000057490000}"/>
    <cellStyle name="Currency 5 3 3 5 8 2" xfId="20045" xr:uid="{00000000-0005-0000-0000-000058490000}"/>
    <cellStyle name="Currency 5 3 3 5 8 2 2" xfId="20046" xr:uid="{00000000-0005-0000-0000-000059490000}"/>
    <cellStyle name="Currency 5 3 3 5 8 3" xfId="20047" xr:uid="{00000000-0005-0000-0000-00005A490000}"/>
    <cellStyle name="Currency 5 3 3 5 9" xfId="20048" xr:uid="{00000000-0005-0000-0000-00005B490000}"/>
    <cellStyle name="Currency 5 3 3 5 9 2" xfId="20049" xr:uid="{00000000-0005-0000-0000-00005C490000}"/>
    <cellStyle name="Currency 5 3 3 6" xfId="1338" xr:uid="{00000000-0005-0000-0000-00005D490000}"/>
    <cellStyle name="Currency 5 3 3 6 2" xfId="20051" xr:uid="{00000000-0005-0000-0000-00005E490000}"/>
    <cellStyle name="Currency 5 3 3 6 2 2" xfId="20052" xr:uid="{00000000-0005-0000-0000-00005F490000}"/>
    <cellStyle name="Currency 5 3 3 6 2 2 2" xfId="20053" xr:uid="{00000000-0005-0000-0000-000060490000}"/>
    <cellStyle name="Currency 5 3 3 6 2 2 2 2" xfId="20054" xr:uid="{00000000-0005-0000-0000-000061490000}"/>
    <cellStyle name="Currency 5 3 3 6 2 2 3" xfId="20055" xr:uid="{00000000-0005-0000-0000-000062490000}"/>
    <cellStyle name="Currency 5 3 3 6 2 3" xfId="20056" xr:uid="{00000000-0005-0000-0000-000063490000}"/>
    <cellStyle name="Currency 5 3 3 6 2 3 2" xfId="20057" xr:uid="{00000000-0005-0000-0000-000064490000}"/>
    <cellStyle name="Currency 5 3 3 6 2 4" xfId="20058" xr:uid="{00000000-0005-0000-0000-000065490000}"/>
    <cellStyle name="Currency 5 3 3 6 3" xfId="20059" xr:uid="{00000000-0005-0000-0000-000066490000}"/>
    <cellStyle name="Currency 5 3 3 6 3 2" xfId="20060" xr:uid="{00000000-0005-0000-0000-000067490000}"/>
    <cellStyle name="Currency 5 3 3 6 3 2 2" xfId="20061" xr:uid="{00000000-0005-0000-0000-000068490000}"/>
    <cellStyle name="Currency 5 3 3 6 3 2 2 2" xfId="20062" xr:uid="{00000000-0005-0000-0000-000069490000}"/>
    <cellStyle name="Currency 5 3 3 6 3 2 3" xfId="20063" xr:uid="{00000000-0005-0000-0000-00006A490000}"/>
    <cellStyle name="Currency 5 3 3 6 3 3" xfId="20064" xr:uid="{00000000-0005-0000-0000-00006B490000}"/>
    <cellStyle name="Currency 5 3 3 6 3 3 2" xfId="20065" xr:uid="{00000000-0005-0000-0000-00006C490000}"/>
    <cellStyle name="Currency 5 3 3 6 3 4" xfId="20066" xr:uid="{00000000-0005-0000-0000-00006D490000}"/>
    <cellStyle name="Currency 5 3 3 6 4" xfId="20067" xr:uid="{00000000-0005-0000-0000-00006E490000}"/>
    <cellStyle name="Currency 5 3 3 6 4 2" xfId="20068" xr:uid="{00000000-0005-0000-0000-00006F490000}"/>
    <cellStyle name="Currency 5 3 3 6 4 2 2" xfId="20069" xr:uid="{00000000-0005-0000-0000-000070490000}"/>
    <cellStyle name="Currency 5 3 3 6 4 3" xfId="20070" xr:uid="{00000000-0005-0000-0000-000071490000}"/>
    <cellStyle name="Currency 5 3 3 6 5" xfId="20071" xr:uid="{00000000-0005-0000-0000-000072490000}"/>
    <cellStyle name="Currency 5 3 3 6 5 2" xfId="20072" xr:uid="{00000000-0005-0000-0000-000073490000}"/>
    <cellStyle name="Currency 5 3 3 6 6" xfId="20073" xr:uid="{00000000-0005-0000-0000-000074490000}"/>
    <cellStyle name="Currency 5 3 3 6 7" xfId="20050" xr:uid="{00000000-0005-0000-0000-000075490000}"/>
    <cellStyle name="Currency 5 3 3 7" xfId="20074" xr:uid="{00000000-0005-0000-0000-000076490000}"/>
    <cellStyle name="Currency 5 3 3 7 2" xfId="20075" xr:uid="{00000000-0005-0000-0000-000077490000}"/>
    <cellStyle name="Currency 5 3 3 7 2 2" xfId="20076" xr:uid="{00000000-0005-0000-0000-000078490000}"/>
    <cellStyle name="Currency 5 3 3 7 2 2 2" xfId="20077" xr:uid="{00000000-0005-0000-0000-000079490000}"/>
    <cellStyle name="Currency 5 3 3 7 2 2 2 2" xfId="20078" xr:uid="{00000000-0005-0000-0000-00007A490000}"/>
    <cellStyle name="Currency 5 3 3 7 2 2 3" xfId="20079" xr:uid="{00000000-0005-0000-0000-00007B490000}"/>
    <cellStyle name="Currency 5 3 3 7 2 3" xfId="20080" xr:uid="{00000000-0005-0000-0000-00007C490000}"/>
    <cellStyle name="Currency 5 3 3 7 2 3 2" xfId="20081" xr:uid="{00000000-0005-0000-0000-00007D490000}"/>
    <cellStyle name="Currency 5 3 3 7 2 4" xfId="20082" xr:uid="{00000000-0005-0000-0000-00007E490000}"/>
    <cellStyle name="Currency 5 3 3 7 3" xfId="20083" xr:uid="{00000000-0005-0000-0000-00007F490000}"/>
    <cellStyle name="Currency 5 3 3 7 3 2" xfId="20084" xr:uid="{00000000-0005-0000-0000-000080490000}"/>
    <cellStyle name="Currency 5 3 3 7 3 2 2" xfId="20085" xr:uid="{00000000-0005-0000-0000-000081490000}"/>
    <cellStyle name="Currency 5 3 3 7 3 3" xfId="20086" xr:uid="{00000000-0005-0000-0000-000082490000}"/>
    <cellStyle name="Currency 5 3 3 7 4" xfId="20087" xr:uid="{00000000-0005-0000-0000-000083490000}"/>
    <cellStyle name="Currency 5 3 3 7 4 2" xfId="20088" xr:uid="{00000000-0005-0000-0000-000084490000}"/>
    <cellStyle name="Currency 5 3 3 7 5" xfId="20089" xr:uid="{00000000-0005-0000-0000-000085490000}"/>
    <cellStyle name="Currency 5 3 3 8" xfId="20090" xr:uid="{00000000-0005-0000-0000-000086490000}"/>
    <cellStyle name="Currency 5 3 3 8 2" xfId="20091" xr:uid="{00000000-0005-0000-0000-000087490000}"/>
    <cellStyle name="Currency 5 3 3 8 2 2" xfId="20092" xr:uid="{00000000-0005-0000-0000-000088490000}"/>
    <cellStyle name="Currency 5 3 3 8 2 2 2" xfId="20093" xr:uid="{00000000-0005-0000-0000-000089490000}"/>
    <cellStyle name="Currency 5 3 3 8 2 2 2 2" xfId="20094" xr:uid="{00000000-0005-0000-0000-00008A490000}"/>
    <cellStyle name="Currency 5 3 3 8 2 2 3" xfId="20095" xr:uid="{00000000-0005-0000-0000-00008B490000}"/>
    <cellStyle name="Currency 5 3 3 8 2 3" xfId="20096" xr:uid="{00000000-0005-0000-0000-00008C490000}"/>
    <cellStyle name="Currency 5 3 3 8 2 3 2" xfId="20097" xr:uid="{00000000-0005-0000-0000-00008D490000}"/>
    <cellStyle name="Currency 5 3 3 8 2 4" xfId="20098" xr:uid="{00000000-0005-0000-0000-00008E490000}"/>
    <cellStyle name="Currency 5 3 3 8 3" xfId="20099" xr:uid="{00000000-0005-0000-0000-00008F490000}"/>
    <cellStyle name="Currency 5 3 3 8 3 2" xfId="20100" xr:uid="{00000000-0005-0000-0000-000090490000}"/>
    <cellStyle name="Currency 5 3 3 8 3 2 2" xfId="20101" xr:uid="{00000000-0005-0000-0000-000091490000}"/>
    <cellStyle name="Currency 5 3 3 8 3 3" xfId="20102" xr:uid="{00000000-0005-0000-0000-000092490000}"/>
    <cellStyle name="Currency 5 3 3 8 4" xfId="20103" xr:uid="{00000000-0005-0000-0000-000093490000}"/>
    <cellStyle name="Currency 5 3 3 8 4 2" xfId="20104" xr:uid="{00000000-0005-0000-0000-000094490000}"/>
    <cellStyle name="Currency 5 3 3 8 5" xfId="20105" xr:uid="{00000000-0005-0000-0000-000095490000}"/>
    <cellStyle name="Currency 5 3 3 9" xfId="20106" xr:uid="{00000000-0005-0000-0000-000096490000}"/>
    <cellStyle name="Currency 5 3 3 9 2" xfId="20107" xr:uid="{00000000-0005-0000-0000-000097490000}"/>
    <cellStyle name="Currency 5 3 3 9 2 2" xfId="20108" xr:uid="{00000000-0005-0000-0000-000098490000}"/>
    <cellStyle name="Currency 5 3 3 9 2 2 2" xfId="20109" xr:uid="{00000000-0005-0000-0000-000099490000}"/>
    <cellStyle name="Currency 5 3 3 9 2 3" xfId="20110" xr:uid="{00000000-0005-0000-0000-00009A490000}"/>
    <cellStyle name="Currency 5 3 3 9 3" xfId="20111" xr:uid="{00000000-0005-0000-0000-00009B490000}"/>
    <cellStyle name="Currency 5 3 3 9 3 2" xfId="20112" xr:uid="{00000000-0005-0000-0000-00009C490000}"/>
    <cellStyle name="Currency 5 3 3 9 4" xfId="20113" xr:uid="{00000000-0005-0000-0000-00009D490000}"/>
    <cellStyle name="Currency 5 3 4" xfId="381" xr:uid="{00000000-0005-0000-0000-00009E490000}"/>
    <cellStyle name="Currency 5 3 4 10" xfId="20115" xr:uid="{00000000-0005-0000-0000-00009F490000}"/>
    <cellStyle name="Currency 5 3 4 10 2" xfId="20116" xr:uid="{00000000-0005-0000-0000-0000A0490000}"/>
    <cellStyle name="Currency 5 3 4 10 2 2" xfId="20117" xr:uid="{00000000-0005-0000-0000-0000A1490000}"/>
    <cellStyle name="Currency 5 3 4 10 2 2 2" xfId="20118" xr:uid="{00000000-0005-0000-0000-0000A2490000}"/>
    <cellStyle name="Currency 5 3 4 10 2 3" xfId="20119" xr:uid="{00000000-0005-0000-0000-0000A3490000}"/>
    <cellStyle name="Currency 5 3 4 10 3" xfId="20120" xr:uid="{00000000-0005-0000-0000-0000A4490000}"/>
    <cellStyle name="Currency 5 3 4 10 3 2" xfId="20121" xr:uid="{00000000-0005-0000-0000-0000A5490000}"/>
    <cellStyle name="Currency 5 3 4 10 4" xfId="20122" xr:uid="{00000000-0005-0000-0000-0000A6490000}"/>
    <cellStyle name="Currency 5 3 4 11" xfId="20123" xr:uid="{00000000-0005-0000-0000-0000A7490000}"/>
    <cellStyle name="Currency 5 3 4 11 2" xfId="20124" xr:uid="{00000000-0005-0000-0000-0000A8490000}"/>
    <cellStyle name="Currency 5 3 4 11 2 2" xfId="20125" xr:uid="{00000000-0005-0000-0000-0000A9490000}"/>
    <cellStyle name="Currency 5 3 4 11 3" xfId="20126" xr:uid="{00000000-0005-0000-0000-0000AA490000}"/>
    <cellStyle name="Currency 5 3 4 12" xfId="20127" xr:uid="{00000000-0005-0000-0000-0000AB490000}"/>
    <cellStyle name="Currency 5 3 4 12 2" xfId="20128" xr:uid="{00000000-0005-0000-0000-0000AC490000}"/>
    <cellStyle name="Currency 5 3 4 12 2 2" xfId="20129" xr:uid="{00000000-0005-0000-0000-0000AD490000}"/>
    <cellStyle name="Currency 5 3 4 12 3" xfId="20130" xr:uid="{00000000-0005-0000-0000-0000AE490000}"/>
    <cellStyle name="Currency 5 3 4 13" xfId="20131" xr:uid="{00000000-0005-0000-0000-0000AF490000}"/>
    <cellStyle name="Currency 5 3 4 13 2" xfId="20132" xr:uid="{00000000-0005-0000-0000-0000B0490000}"/>
    <cellStyle name="Currency 5 3 4 13 2 2" xfId="20133" xr:uid="{00000000-0005-0000-0000-0000B1490000}"/>
    <cellStyle name="Currency 5 3 4 13 3" xfId="20134" xr:uid="{00000000-0005-0000-0000-0000B2490000}"/>
    <cellStyle name="Currency 5 3 4 14" xfId="20135" xr:uid="{00000000-0005-0000-0000-0000B3490000}"/>
    <cellStyle name="Currency 5 3 4 14 2" xfId="20136" xr:uid="{00000000-0005-0000-0000-0000B4490000}"/>
    <cellStyle name="Currency 5 3 4 15" xfId="20137" xr:uid="{00000000-0005-0000-0000-0000B5490000}"/>
    <cellStyle name="Currency 5 3 4 16" xfId="20138" xr:uid="{00000000-0005-0000-0000-0000B6490000}"/>
    <cellStyle name="Currency 5 3 4 17" xfId="20114" xr:uid="{00000000-0005-0000-0000-0000B7490000}"/>
    <cellStyle name="Currency 5 3 4 2" xfId="382" xr:uid="{00000000-0005-0000-0000-0000B8490000}"/>
    <cellStyle name="Currency 5 3 4 2 10" xfId="20140" xr:uid="{00000000-0005-0000-0000-0000B9490000}"/>
    <cellStyle name="Currency 5 3 4 2 10 2" xfId="20141" xr:uid="{00000000-0005-0000-0000-0000BA490000}"/>
    <cellStyle name="Currency 5 3 4 2 10 2 2" xfId="20142" xr:uid="{00000000-0005-0000-0000-0000BB490000}"/>
    <cellStyle name="Currency 5 3 4 2 10 3" xfId="20143" xr:uid="{00000000-0005-0000-0000-0000BC490000}"/>
    <cellStyle name="Currency 5 3 4 2 11" xfId="20144" xr:uid="{00000000-0005-0000-0000-0000BD490000}"/>
    <cellStyle name="Currency 5 3 4 2 11 2" xfId="20145" xr:uid="{00000000-0005-0000-0000-0000BE490000}"/>
    <cellStyle name="Currency 5 3 4 2 11 2 2" xfId="20146" xr:uid="{00000000-0005-0000-0000-0000BF490000}"/>
    <cellStyle name="Currency 5 3 4 2 11 3" xfId="20147" xr:uid="{00000000-0005-0000-0000-0000C0490000}"/>
    <cellStyle name="Currency 5 3 4 2 12" xfId="20148" xr:uid="{00000000-0005-0000-0000-0000C1490000}"/>
    <cellStyle name="Currency 5 3 4 2 12 2" xfId="20149" xr:uid="{00000000-0005-0000-0000-0000C2490000}"/>
    <cellStyle name="Currency 5 3 4 2 13" xfId="20150" xr:uid="{00000000-0005-0000-0000-0000C3490000}"/>
    <cellStyle name="Currency 5 3 4 2 14" xfId="20151" xr:uid="{00000000-0005-0000-0000-0000C4490000}"/>
    <cellStyle name="Currency 5 3 4 2 15" xfId="20139" xr:uid="{00000000-0005-0000-0000-0000C5490000}"/>
    <cellStyle name="Currency 5 3 4 2 2" xfId="927" xr:uid="{00000000-0005-0000-0000-0000C6490000}"/>
    <cellStyle name="Currency 5 3 4 2 2 10" xfId="20153" xr:uid="{00000000-0005-0000-0000-0000C7490000}"/>
    <cellStyle name="Currency 5 3 4 2 2 11" xfId="20152" xr:uid="{00000000-0005-0000-0000-0000C8490000}"/>
    <cellStyle name="Currency 5 3 4 2 2 2" xfId="1668" xr:uid="{00000000-0005-0000-0000-0000C9490000}"/>
    <cellStyle name="Currency 5 3 4 2 2 2 2" xfId="20155" xr:uid="{00000000-0005-0000-0000-0000CA490000}"/>
    <cellStyle name="Currency 5 3 4 2 2 2 2 2" xfId="20156" xr:uid="{00000000-0005-0000-0000-0000CB490000}"/>
    <cellStyle name="Currency 5 3 4 2 2 2 2 2 2" xfId="20157" xr:uid="{00000000-0005-0000-0000-0000CC490000}"/>
    <cellStyle name="Currency 5 3 4 2 2 2 2 2 2 2" xfId="20158" xr:uid="{00000000-0005-0000-0000-0000CD490000}"/>
    <cellStyle name="Currency 5 3 4 2 2 2 2 2 3" xfId="20159" xr:uid="{00000000-0005-0000-0000-0000CE490000}"/>
    <cellStyle name="Currency 5 3 4 2 2 2 2 3" xfId="20160" xr:uid="{00000000-0005-0000-0000-0000CF490000}"/>
    <cellStyle name="Currency 5 3 4 2 2 2 2 3 2" xfId="20161" xr:uid="{00000000-0005-0000-0000-0000D0490000}"/>
    <cellStyle name="Currency 5 3 4 2 2 2 2 4" xfId="20162" xr:uid="{00000000-0005-0000-0000-0000D1490000}"/>
    <cellStyle name="Currency 5 3 4 2 2 2 3" xfId="20163" xr:uid="{00000000-0005-0000-0000-0000D2490000}"/>
    <cellStyle name="Currency 5 3 4 2 2 2 3 2" xfId="20164" xr:uid="{00000000-0005-0000-0000-0000D3490000}"/>
    <cellStyle name="Currency 5 3 4 2 2 2 3 2 2" xfId="20165" xr:uid="{00000000-0005-0000-0000-0000D4490000}"/>
    <cellStyle name="Currency 5 3 4 2 2 2 3 2 2 2" xfId="20166" xr:uid="{00000000-0005-0000-0000-0000D5490000}"/>
    <cellStyle name="Currency 5 3 4 2 2 2 3 2 3" xfId="20167" xr:uid="{00000000-0005-0000-0000-0000D6490000}"/>
    <cellStyle name="Currency 5 3 4 2 2 2 3 3" xfId="20168" xr:uid="{00000000-0005-0000-0000-0000D7490000}"/>
    <cellStyle name="Currency 5 3 4 2 2 2 3 3 2" xfId="20169" xr:uid="{00000000-0005-0000-0000-0000D8490000}"/>
    <cellStyle name="Currency 5 3 4 2 2 2 3 4" xfId="20170" xr:uid="{00000000-0005-0000-0000-0000D9490000}"/>
    <cellStyle name="Currency 5 3 4 2 2 2 4" xfId="20171" xr:uid="{00000000-0005-0000-0000-0000DA490000}"/>
    <cellStyle name="Currency 5 3 4 2 2 2 4 2" xfId="20172" xr:uid="{00000000-0005-0000-0000-0000DB490000}"/>
    <cellStyle name="Currency 5 3 4 2 2 2 4 2 2" xfId="20173" xr:uid="{00000000-0005-0000-0000-0000DC490000}"/>
    <cellStyle name="Currency 5 3 4 2 2 2 4 3" xfId="20174" xr:uid="{00000000-0005-0000-0000-0000DD490000}"/>
    <cellStyle name="Currency 5 3 4 2 2 2 5" xfId="20175" xr:uid="{00000000-0005-0000-0000-0000DE490000}"/>
    <cellStyle name="Currency 5 3 4 2 2 2 5 2" xfId="20176" xr:uid="{00000000-0005-0000-0000-0000DF490000}"/>
    <cellStyle name="Currency 5 3 4 2 2 2 6" xfId="20177" xr:uid="{00000000-0005-0000-0000-0000E0490000}"/>
    <cellStyle name="Currency 5 3 4 2 2 2 7" xfId="20154" xr:uid="{00000000-0005-0000-0000-0000E1490000}"/>
    <cellStyle name="Currency 5 3 4 2 2 3" xfId="20178" xr:uid="{00000000-0005-0000-0000-0000E2490000}"/>
    <cellStyle name="Currency 5 3 4 2 2 3 2" xfId="20179" xr:uid="{00000000-0005-0000-0000-0000E3490000}"/>
    <cellStyle name="Currency 5 3 4 2 2 3 2 2" xfId="20180" xr:uid="{00000000-0005-0000-0000-0000E4490000}"/>
    <cellStyle name="Currency 5 3 4 2 2 3 2 2 2" xfId="20181" xr:uid="{00000000-0005-0000-0000-0000E5490000}"/>
    <cellStyle name="Currency 5 3 4 2 2 3 2 2 2 2" xfId="20182" xr:uid="{00000000-0005-0000-0000-0000E6490000}"/>
    <cellStyle name="Currency 5 3 4 2 2 3 2 2 3" xfId="20183" xr:uid="{00000000-0005-0000-0000-0000E7490000}"/>
    <cellStyle name="Currency 5 3 4 2 2 3 2 3" xfId="20184" xr:uid="{00000000-0005-0000-0000-0000E8490000}"/>
    <cellStyle name="Currency 5 3 4 2 2 3 2 3 2" xfId="20185" xr:uid="{00000000-0005-0000-0000-0000E9490000}"/>
    <cellStyle name="Currency 5 3 4 2 2 3 2 4" xfId="20186" xr:uid="{00000000-0005-0000-0000-0000EA490000}"/>
    <cellStyle name="Currency 5 3 4 2 2 3 3" xfId="20187" xr:uid="{00000000-0005-0000-0000-0000EB490000}"/>
    <cellStyle name="Currency 5 3 4 2 2 3 3 2" xfId="20188" xr:uid="{00000000-0005-0000-0000-0000EC490000}"/>
    <cellStyle name="Currency 5 3 4 2 2 3 3 2 2" xfId="20189" xr:uid="{00000000-0005-0000-0000-0000ED490000}"/>
    <cellStyle name="Currency 5 3 4 2 2 3 3 3" xfId="20190" xr:uid="{00000000-0005-0000-0000-0000EE490000}"/>
    <cellStyle name="Currency 5 3 4 2 2 3 4" xfId="20191" xr:uid="{00000000-0005-0000-0000-0000EF490000}"/>
    <cellStyle name="Currency 5 3 4 2 2 3 4 2" xfId="20192" xr:uid="{00000000-0005-0000-0000-0000F0490000}"/>
    <cellStyle name="Currency 5 3 4 2 2 3 5" xfId="20193" xr:uid="{00000000-0005-0000-0000-0000F1490000}"/>
    <cellStyle name="Currency 5 3 4 2 2 4" xfId="20194" xr:uid="{00000000-0005-0000-0000-0000F2490000}"/>
    <cellStyle name="Currency 5 3 4 2 2 4 2" xfId="20195" xr:uid="{00000000-0005-0000-0000-0000F3490000}"/>
    <cellStyle name="Currency 5 3 4 2 2 4 2 2" xfId="20196" xr:uid="{00000000-0005-0000-0000-0000F4490000}"/>
    <cellStyle name="Currency 5 3 4 2 2 4 2 2 2" xfId="20197" xr:uid="{00000000-0005-0000-0000-0000F5490000}"/>
    <cellStyle name="Currency 5 3 4 2 2 4 2 2 2 2" xfId="20198" xr:uid="{00000000-0005-0000-0000-0000F6490000}"/>
    <cellStyle name="Currency 5 3 4 2 2 4 2 2 3" xfId="20199" xr:uid="{00000000-0005-0000-0000-0000F7490000}"/>
    <cellStyle name="Currency 5 3 4 2 2 4 2 3" xfId="20200" xr:uid="{00000000-0005-0000-0000-0000F8490000}"/>
    <cellStyle name="Currency 5 3 4 2 2 4 2 3 2" xfId="20201" xr:uid="{00000000-0005-0000-0000-0000F9490000}"/>
    <cellStyle name="Currency 5 3 4 2 2 4 2 4" xfId="20202" xr:uid="{00000000-0005-0000-0000-0000FA490000}"/>
    <cellStyle name="Currency 5 3 4 2 2 4 3" xfId="20203" xr:uid="{00000000-0005-0000-0000-0000FB490000}"/>
    <cellStyle name="Currency 5 3 4 2 2 4 3 2" xfId="20204" xr:uid="{00000000-0005-0000-0000-0000FC490000}"/>
    <cellStyle name="Currency 5 3 4 2 2 4 3 2 2" xfId="20205" xr:uid="{00000000-0005-0000-0000-0000FD490000}"/>
    <cellStyle name="Currency 5 3 4 2 2 4 3 3" xfId="20206" xr:uid="{00000000-0005-0000-0000-0000FE490000}"/>
    <cellStyle name="Currency 5 3 4 2 2 4 4" xfId="20207" xr:uid="{00000000-0005-0000-0000-0000FF490000}"/>
    <cellStyle name="Currency 5 3 4 2 2 4 4 2" xfId="20208" xr:uid="{00000000-0005-0000-0000-0000004A0000}"/>
    <cellStyle name="Currency 5 3 4 2 2 4 5" xfId="20209" xr:uid="{00000000-0005-0000-0000-0000014A0000}"/>
    <cellStyle name="Currency 5 3 4 2 2 5" xfId="20210" xr:uid="{00000000-0005-0000-0000-0000024A0000}"/>
    <cellStyle name="Currency 5 3 4 2 2 5 2" xfId="20211" xr:uid="{00000000-0005-0000-0000-0000034A0000}"/>
    <cellStyle name="Currency 5 3 4 2 2 5 2 2" xfId="20212" xr:uid="{00000000-0005-0000-0000-0000044A0000}"/>
    <cellStyle name="Currency 5 3 4 2 2 5 2 2 2" xfId="20213" xr:uid="{00000000-0005-0000-0000-0000054A0000}"/>
    <cellStyle name="Currency 5 3 4 2 2 5 2 3" xfId="20214" xr:uid="{00000000-0005-0000-0000-0000064A0000}"/>
    <cellStyle name="Currency 5 3 4 2 2 5 3" xfId="20215" xr:uid="{00000000-0005-0000-0000-0000074A0000}"/>
    <cellStyle name="Currency 5 3 4 2 2 5 3 2" xfId="20216" xr:uid="{00000000-0005-0000-0000-0000084A0000}"/>
    <cellStyle name="Currency 5 3 4 2 2 5 4" xfId="20217" xr:uid="{00000000-0005-0000-0000-0000094A0000}"/>
    <cellStyle name="Currency 5 3 4 2 2 6" xfId="20218" xr:uid="{00000000-0005-0000-0000-00000A4A0000}"/>
    <cellStyle name="Currency 5 3 4 2 2 6 2" xfId="20219" xr:uid="{00000000-0005-0000-0000-00000B4A0000}"/>
    <cellStyle name="Currency 5 3 4 2 2 6 2 2" xfId="20220" xr:uid="{00000000-0005-0000-0000-00000C4A0000}"/>
    <cellStyle name="Currency 5 3 4 2 2 6 2 2 2" xfId="20221" xr:uid="{00000000-0005-0000-0000-00000D4A0000}"/>
    <cellStyle name="Currency 5 3 4 2 2 6 2 3" xfId="20222" xr:uid="{00000000-0005-0000-0000-00000E4A0000}"/>
    <cellStyle name="Currency 5 3 4 2 2 6 3" xfId="20223" xr:uid="{00000000-0005-0000-0000-00000F4A0000}"/>
    <cellStyle name="Currency 5 3 4 2 2 6 3 2" xfId="20224" xr:uid="{00000000-0005-0000-0000-0000104A0000}"/>
    <cellStyle name="Currency 5 3 4 2 2 6 4" xfId="20225" xr:uid="{00000000-0005-0000-0000-0000114A0000}"/>
    <cellStyle name="Currency 5 3 4 2 2 7" xfId="20226" xr:uid="{00000000-0005-0000-0000-0000124A0000}"/>
    <cellStyle name="Currency 5 3 4 2 2 7 2" xfId="20227" xr:uid="{00000000-0005-0000-0000-0000134A0000}"/>
    <cellStyle name="Currency 5 3 4 2 2 7 2 2" xfId="20228" xr:uid="{00000000-0005-0000-0000-0000144A0000}"/>
    <cellStyle name="Currency 5 3 4 2 2 7 2 2 2" xfId="20229" xr:uid="{00000000-0005-0000-0000-0000154A0000}"/>
    <cellStyle name="Currency 5 3 4 2 2 7 2 3" xfId="20230" xr:uid="{00000000-0005-0000-0000-0000164A0000}"/>
    <cellStyle name="Currency 5 3 4 2 2 7 3" xfId="20231" xr:uid="{00000000-0005-0000-0000-0000174A0000}"/>
    <cellStyle name="Currency 5 3 4 2 2 7 3 2" xfId="20232" xr:uid="{00000000-0005-0000-0000-0000184A0000}"/>
    <cellStyle name="Currency 5 3 4 2 2 7 4" xfId="20233" xr:uid="{00000000-0005-0000-0000-0000194A0000}"/>
    <cellStyle name="Currency 5 3 4 2 2 8" xfId="20234" xr:uid="{00000000-0005-0000-0000-00001A4A0000}"/>
    <cellStyle name="Currency 5 3 4 2 2 8 2" xfId="20235" xr:uid="{00000000-0005-0000-0000-00001B4A0000}"/>
    <cellStyle name="Currency 5 3 4 2 2 8 2 2" xfId="20236" xr:uid="{00000000-0005-0000-0000-00001C4A0000}"/>
    <cellStyle name="Currency 5 3 4 2 2 8 3" xfId="20237" xr:uid="{00000000-0005-0000-0000-00001D4A0000}"/>
    <cellStyle name="Currency 5 3 4 2 2 9" xfId="20238" xr:uid="{00000000-0005-0000-0000-00001E4A0000}"/>
    <cellStyle name="Currency 5 3 4 2 2 9 2" xfId="20239" xr:uid="{00000000-0005-0000-0000-00001F4A0000}"/>
    <cellStyle name="Currency 5 3 4 2 3" xfId="1343" xr:uid="{00000000-0005-0000-0000-0000204A0000}"/>
    <cellStyle name="Currency 5 3 4 2 3 2" xfId="20241" xr:uid="{00000000-0005-0000-0000-0000214A0000}"/>
    <cellStyle name="Currency 5 3 4 2 3 2 2" xfId="20242" xr:uid="{00000000-0005-0000-0000-0000224A0000}"/>
    <cellStyle name="Currency 5 3 4 2 3 2 2 2" xfId="20243" xr:uid="{00000000-0005-0000-0000-0000234A0000}"/>
    <cellStyle name="Currency 5 3 4 2 3 2 2 2 2" xfId="20244" xr:uid="{00000000-0005-0000-0000-0000244A0000}"/>
    <cellStyle name="Currency 5 3 4 2 3 2 2 3" xfId="20245" xr:uid="{00000000-0005-0000-0000-0000254A0000}"/>
    <cellStyle name="Currency 5 3 4 2 3 2 3" xfId="20246" xr:uid="{00000000-0005-0000-0000-0000264A0000}"/>
    <cellStyle name="Currency 5 3 4 2 3 2 3 2" xfId="20247" xr:uid="{00000000-0005-0000-0000-0000274A0000}"/>
    <cellStyle name="Currency 5 3 4 2 3 2 4" xfId="20248" xr:uid="{00000000-0005-0000-0000-0000284A0000}"/>
    <cellStyle name="Currency 5 3 4 2 3 3" xfId="20249" xr:uid="{00000000-0005-0000-0000-0000294A0000}"/>
    <cellStyle name="Currency 5 3 4 2 3 3 2" xfId="20250" xr:uid="{00000000-0005-0000-0000-00002A4A0000}"/>
    <cellStyle name="Currency 5 3 4 2 3 3 2 2" xfId="20251" xr:uid="{00000000-0005-0000-0000-00002B4A0000}"/>
    <cellStyle name="Currency 5 3 4 2 3 3 2 2 2" xfId="20252" xr:uid="{00000000-0005-0000-0000-00002C4A0000}"/>
    <cellStyle name="Currency 5 3 4 2 3 3 2 3" xfId="20253" xr:uid="{00000000-0005-0000-0000-00002D4A0000}"/>
    <cellStyle name="Currency 5 3 4 2 3 3 3" xfId="20254" xr:uid="{00000000-0005-0000-0000-00002E4A0000}"/>
    <cellStyle name="Currency 5 3 4 2 3 3 3 2" xfId="20255" xr:uid="{00000000-0005-0000-0000-00002F4A0000}"/>
    <cellStyle name="Currency 5 3 4 2 3 3 4" xfId="20256" xr:uid="{00000000-0005-0000-0000-0000304A0000}"/>
    <cellStyle name="Currency 5 3 4 2 3 4" xfId="20257" xr:uid="{00000000-0005-0000-0000-0000314A0000}"/>
    <cellStyle name="Currency 5 3 4 2 3 4 2" xfId="20258" xr:uid="{00000000-0005-0000-0000-0000324A0000}"/>
    <cellStyle name="Currency 5 3 4 2 3 4 2 2" xfId="20259" xr:uid="{00000000-0005-0000-0000-0000334A0000}"/>
    <cellStyle name="Currency 5 3 4 2 3 4 3" xfId="20260" xr:uid="{00000000-0005-0000-0000-0000344A0000}"/>
    <cellStyle name="Currency 5 3 4 2 3 5" xfId="20261" xr:uid="{00000000-0005-0000-0000-0000354A0000}"/>
    <cellStyle name="Currency 5 3 4 2 3 5 2" xfId="20262" xr:uid="{00000000-0005-0000-0000-0000364A0000}"/>
    <cellStyle name="Currency 5 3 4 2 3 6" xfId="20263" xr:uid="{00000000-0005-0000-0000-0000374A0000}"/>
    <cellStyle name="Currency 5 3 4 2 3 7" xfId="20240" xr:uid="{00000000-0005-0000-0000-0000384A0000}"/>
    <cellStyle name="Currency 5 3 4 2 4" xfId="20264" xr:uid="{00000000-0005-0000-0000-0000394A0000}"/>
    <cellStyle name="Currency 5 3 4 2 4 2" xfId="20265" xr:uid="{00000000-0005-0000-0000-00003A4A0000}"/>
    <cellStyle name="Currency 5 3 4 2 4 2 2" xfId="20266" xr:uid="{00000000-0005-0000-0000-00003B4A0000}"/>
    <cellStyle name="Currency 5 3 4 2 4 2 2 2" xfId="20267" xr:uid="{00000000-0005-0000-0000-00003C4A0000}"/>
    <cellStyle name="Currency 5 3 4 2 4 2 2 2 2" xfId="20268" xr:uid="{00000000-0005-0000-0000-00003D4A0000}"/>
    <cellStyle name="Currency 5 3 4 2 4 2 2 3" xfId="20269" xr:uid="{00000000-0005-0000-0000-00003E4A0000}"/>
    <cellStyle name="Currency 5 3 4 2 4 2 3" xfId="20270" xr:uid="{00000000-0005-0000-0000-00003F4A0000}"/>
    <cellStyle name="Currency 5 3 4 2 4 2 3 2" xfId="20271" xr:uid="{00000000-0005-0000-0000-0000404A0000}"/>
    <cellStyle name="Currency 5 3 4 2 4 2 4" xfId="20272" xr:uid="{00000000-0005-0000-0000-0000414A0000}"/>
    <cellStyle name="Currency 5 3 4 2 4 3" xfId="20273" xr:uid="{00000000-0005-0000-0000-0000424A0000}"/>
    <cellStyle name="Currency 5 3 4 2 4 3 2" xfId="20274" xr:uid="{00000000-0005-0000-0000-0000434A0000}"/>
    <cellStyle name="Currency 5 3 4 2 4 3 2 2" xfId="20275" xr:uid="{00000000-0005-0000-0000-0000444A0000}"/>
    <cellStyle name="Currency 5 3 4 2 4 3 3" xfId="20276" xr:uid="{00000000-0005-0000-0000-0000454A0000}"/>
    <cellStyle name="Currency 5 3 4 2 4 4" xfId="20277" xr:uid="{00000000-0005-0000-0000-0000464A0000}"/>
    <cellStyle name="Currency 5 3 4 2 4 4 2" xfId="20278" xr:uid="{00000000-0005-0000-0000-0000474A0000}"/>
    <cellStyle name="Currency 5 3 4 2 4 5" xfId="20279" xr:uid="{00000000-0005-0000-0000-0000484A0000}"/>
    <cellStyle name="Currency 5 3 4 2 5" xfId="20280" xr:uid="{00000000-0005-0000-0000-0000494A0000}"/>
    <cellStyle name="Currency 5 3 4 2 5 2" xfId="20281" xr:uid="{00000000-0005-0000-0000-00004A4A0000}"/>
    <cellStyle name="Currency 5 3 4 2 5 2 2" xfId="20282" xr:uid="{00000000-0005-0000-0000-00004B4A0000}"/>
    <cellStyle name="Currency 5 3 4 2 5 2 2 2" xfId="20283" xr:uid="{00000000-0005-0000-0000-00004C4A0000}"/>
    <cellStyle name="Currency 5 3 4 2 5 2 2 2 2" xfId="20284" xr:uid="{00000000-0005-0000-0000-00004D4A0000}"/>
    <cellStyle name="Currency 5 3 4 2 5 2 2 3" xfId="20285" xr:uid="{00000000-0005-0000-0000-00004E4A0000}"/>
    <cellStyle name="Currency 5 3 4 2 5 2 3" xfId="20286" xr:uid="{00000000-0005-0000-0000-00004F4A0000}"/>
    <cellStyle name="Currency 5 3 4 2 5 2 3 2" xfId="20287" xr:uid="{00000000-0005-0000-0000-0000504A0000}"/>
    <cellStyle name="Currency 5 3 4 2 5 2 4" xfId="20288" xr:uid="{00000000-0005-0000-0000-0000514A0000}"/>
    <cellStyle name="Currency 5 3 4 2 5 3" xfId="20289" xr:uid="{00000000-0005-0000-0000-0000524A0000}"/>
    <cellStyle name="Currency 5 3 4 2 5 3 2" xfId="20290" xr:uid="{00000000-0005-0000-0000-0000534A0000}"/>
    <cellStyle name="Currency 5 3 4 2 5 3 2 2" xfId="20291" xr:uid="{00000000-0005-0000-0000-0000544A0000}"/>
    <cellStyle name="Currency 5 3 4 2 5 3 3" xfId="20292" xr:uid="{00000000-0005-0000-0000-0000554A0000}"/>
    <cellStyle name="Currency 5 3 4 2 5 4" xfId="20293" xr:uid="{00000000-0005-0000-0000-0000564A0000}"/>
    <cellStyle name="Currency 5 3 4 2 5 4 2" xfId="20294" xr:uid="{00000000-0005-0000-0000-0000574A0000}"/>
    <cellStyle name="Currency 5 3 4 2 5 5" xfId="20295" xr:uid="{00000000-0005-0000-0000-0000584A0000}"/>
    <cellStyle name="Currency 5 3 4 2 6" xfId="20296" xr:uid="{00000000-0005-0000-0000-0000594A0000}"/>
    <cellStyle name="Currency 5 3 4 2 6 2" xfId="20297" xr:uid="{00000000-0005-0000-0000-00005A4A0000}"/>
    <cellStyle name="Currency 5 3 4 2 6 2 2" xfId="20298" xr:uid="{00000000-0005-0000-0000-00005B4A0000}"/>
    <cellStyle name="Currency 5 3 4 2 6 2 2 2" xfId="20299" xr:uid="{00000000-0005-0000-0000-00005C4A0000}"/>
    <cellStyle name="Currency 5 3 4 2 6 2 3" xfId="20300" xr:uid="{00000000-0005-0000-0000-00005D4A0000}"/>
    <cellStyle name="Currency 5 3 4 2 6 3" xfId="20301" xr:uid="{00000000-0005-0000-0000-00005E4A0000}"/>
    <cellStyle name="Currency 5 3 4 2 6 3 2" xfId="20302" xr:uid="{00000000-0005-0000-0000-00005F4A0000}"/>
    <cellStyle name="Currency 5 3 4 2 6 4" xfId="20303" xr:uid="{00000000-0005-0000-0000-0000604A0000}"/>
    <cellStyle name="Currency 5 3 4 2 7" xfId="20304" xr:uid="{00000000-0005-0000-0000-0000614A0000}"/>
    <cellStyle name="Currency 5 3 4 2 7 2" xfId="20305" xr:uid="{00000000-0005-0000-0000-0000624A0000}"/>
    <cellStyle name="Currency 5 3 4 2 7 2 2" xfId="20306" xr:uid="{00000000-0005-0000-0000-0000634A0000}"/>
    <cellStyle name="Currency 5 3 4 2 7 2 2 2" xfId="20307" xr:uid="{00000000-0005-0000-0000-0000644A0000}"/>
    <cellStyle name="Currency 5 3 4 2 7 2 3" xfId="20308" xr:uid="{00000000-0005-0000-0000-0000654A0000}"/>
    <cellStyle name="Currency 5 3 4 2 7 3" xfId="20309" xr:uid="{00000000-0005-0000-0000-0000664A0000}"/>
    <cellStyle name="Currency 5 3 4 2 7 3 2" xfId="20310" xr:uid="{00000000-0005-0000-0000-0000674A0000}"/>
    <cellStyle name="Currency 5 3 4 2 7 4" xfId="20311" xr:uid="{00000000-0005-0000-0000-0000684A0000}"/>
    <cellStyle name="Currency 5 3 4 2 8" xfId="20312" xr:uid="{00000000-0005-0000-0000-0000694A0000}"/>
    <cellStyle name="Currency 5 3 4 2 8 2" xfId="20313" xr:uid="{00000000-0005-0000-0000-00006A4A0000}"/>
    <cellStyle name="Currency 5 3 4 2 8 2 2" xfId="20314" xr:uid="{00000000-0005-0000-0000-00006B4A0000}"/>
    <cellStyle name="Currency 5 3 4 2 8 2 2 2" xfId="20315" xr:uid="{00000000-0005-0000-0000-00006C4A0000}"/>
    <cellStyle name="Currency 5 3 4 2 8 2 3" xfId="20316" xr:uid="{00000000-0005-0000-0000-00006D4A0000}"/>
    <cellStyle name="Currency 5 3 4 2 8 3" xfId="20317" xr:uid="{00000000-0005-0000-0000-00006E4A0000}"/>
    <cellStyle name="Currency 5 3 4 2 8 3 2" xfId="20318" xr:uid="{00000000-0005-0000-0000-00006F4A0000}"/>
    <cellStyle name="Currency 5 3 4 2 8 4" xfId="20319" xr:uid="{00000000-0005-0000-0000-0000704A0000}"/>
    <cellStyle name="Currency 5 3 4 2 9" xfId="20320" xr:uid="{00000000-0005-0000-0000-0000714A0000}"/>
    <cellStyle name="Currency 5 3 4 2 9 2" xfId="20321" xr:uid="{00000000-0005-0000-0000-0000724A0000}"/>
    <cellStyle name="Currency 5 3 4 2 9 2 2" xfId="20322" xr:uid="{00000000-0005-0000-0000-0000734A0000}"/>
    <cellStyle name="Currency 5 3 4 2 9 3" xfId="20323" xr:uid="{00000000-0005-0000-0000-0000744A0000}"/>
    <cellStyle name="Currency 5 3 4 3" xfId="383" xr:uid="{00000000-0005-0000-0000-0000754A0000}"/>
    <cellStyle name="Currency 5 3 4 4" xfId="926" xr:uid="{00000000-0005-0000-0000-0000764A0000}"/>
    <cellStyle name="Currency 5 3 4 4 10" xfId="20325" xr:uid="{00000000-0005-0000-0000-0000774A0000}"/>
    <cellStyle name="Currency 5 3 4 4 11" xfId="20324" xr:uid="{00000000-0005-0000-0000-0000784A0000}"/>
    <cellStyle name="Currency 5 3 4 4 2" xfId="1667" xr:uid="{00000000-0005-0000-0000-0000794A0000}"/>
    <cellStyle name="Currency 5 3 4 4 2 2" xfId="20327" xr:uid="{00000000-0005-0000-0000-00007A4A0000}"/>
    <cellStyle name="Currency 5 3 4 4 2 2 2" xfId="20328" xr:uid="{00000000-0005-0000-0000-00007B4A0000}"/>
    <cellStyle name="Currency 5 3 4 4 2 2 2 2" xfId="20329" xr:uid="{00000000-0005-0000-0000-00007C4A0000}"/>
    <cellStyle name="Currency 5 3 4 4 2 2 2 2 2" xfId="20330" xr:uid="{00000000-0005-0000-0000-00007D4A0000}"/>
    <cellStyle name="Currency 5 3 4 4 2 2 2 3" xfId="20331" xr:uid="{00000000-0005-0000-0000-00007E4A0000}"/>
    <cellStyle name="Currency 5 3 4 4 2 2 3" xfId="20332" xr:uid="{00000000-0005-0000-0000-00007F4A0000}"/>
    <cellStyle name="Currency 5 3 4 4 2 2 3 2" xfId="20333" xr:uid="{00000000-0005-0000-0000-0000804A0000}"/>
    <cellStyle name="Currency 5 3 4 4 2 2 4" xfId="20334" xr:uid="{00000000-0005-0000-0000-0000814A0000}"/>
    <cellStyle name="Currency 5 3 4 4 2 3" xfId="20335" xr:uid="{00000000-0005-0000-0000-0000824A0000}"/>
    <cellStyle name="Currency 5 3 4 4 2 3 2" xfId="20336" xr:uid="{00000000-0005-0000-0000-0000834A0000}"/>
    <cellStyle name="Currency 5 3 4 4 2 3 2 2" xfId="20337" xr:uid="{00000000-0005-0000-0000-0000844A0000}"/>
    <cellStyle name="Currency 5 3 4 4 2 3 2 2 2" xfId="20338" xr:uid="{00000000-0005-0000-0000-0000854A0000}"/>
    <cellStyle name="Currency 5 3 4 4 2 3 2 3" xfId="20339" xr:uid="{00000000-0005-0000-0000-0000864A0000}"/>
    <cellStyle name="Currency 5 3 4 4 2 3 3" xfId="20340" xr:uid="{00000000-0005-0000-0000-0000874A0000}"/>
    <cellStyle name="Currency 5 3 4 4 2 3 3 2" xfId="20341" xr:uid="{00000000-0005-0000-0000-0000884A0000}"/>
    <cellStyle name="Currency 5 3 4 4 2 3 4" xfId="20342" xr:uid="{00000000-0005-0000-0000-0000894A0000}"/>
    <cellStyle name="Currency 5 3 4 4 2 4" xfId="20343" xr:uid="{00000000-0005-0000-0000-00008A4A0000}"/>
    <cellStyle name="Currency 5 3 4 4 2 4 2" xfId="20344" xr:uid="{00000000-0005-0000-0000-00008B4A0000}"/>
    <cellStyle name="Currency 5 3 4 4 2 4 2 2" xfId="20345" xr:uid="{00000000-0005-0000-0000-00008C4A0000}"/>
    <cellStyle name="Currency 5 3 4 4 2 4 3" xfId="20346" xr:uid="{00000000-0005-0000-0000-00008D4A0000}"/>
    <cellStyle name="Currency 5 3 4 4 2 5" xfId="20347" xr:uid="{00000000-0005-0000-0000-00008E4A0000}"/>
    <cellStyle name="Currency 5 3 4 4 2 5 2" xfId="20348" xr:uid="{00000000-0005-0000-0000-00008F4A0000}"/>
    <cellStyle name="Currency 5 3 4 4 2 6" xfId="20349" xr:uid="{00000000-0005-0000-0000-0000904A0000}"/>
    <cellStyle name="Currency 5 3 4 4 2 7" xfId="20326" xr:uid="{00000000-0005-0000-0000-0000914A0000}"/>
    <cellStyle name="Currency 5 3 4 4 3" xfId="20350" xr:uid="{00000000-0005-0000-0000-0000924A0000}"/>
    <cellStyle name="Currency 5 3 4 4 3 2" xfId="20351" xr:uid="{00000000-0005-0000-0000-0000934A0000}"/>
    <cellStyle name="Currency 5 3 4 4 3 2 2" xfId="20352" xr:uid="{00000000-0005-0000-0000-0000944A0000}"/>
    <cellStyle name="Currency 5 3 4 4 3 2 2 2" xfId="20353" xr:uid="{00000000-0005-0000-0000-0000954A0000}"/>
    <cellStyle name="Currency 5 3 4 4 3 2 2 2 2" xfId="20354" xr:uid="{00000000-0005-0000-0000-0000964A0000}"/>
    <cellStyle name="Currency 5 3 4 4 3 2 2 3" xfId="20355" xr:uid="{00000000-0005-0000-0000-0000974A0000}"/>
    <cellStyle name="Currency 5 3 4 4 3 2 3" xfId="20356" xr:uid="{00000000-0005-0000-0000-0000984A0000}"/>
    <cellStyle name="Currency 5 3 4 4 3 2 3 2" xfId="20357" xr:uid="{00000000-0005-0000-0000-0000994A0000}"/>
    <cellStyle name="Currency 5 3 4 4 3 2 4" xfId="20358" xr:uid="{00000000-0005-0000-0000-00009A4A0000}"/>
    <cellStyle name="Currency 5 3 4 4 3 3" xfId="20359" xr:uid="{00000000-0005-0000-0000-00009B4A0000}"/>
    <cellStyle name="Currency 5 3 4 4 3 3 2" xfId="20360" xr:uid="{00000000-0005-0000-0000-00009C4A0000}"/>
    <cellStyle name="Currency 5 3 4 4 3 3 2 2" xfId="20361" xr:uid="{00000000-0005-0000-0000-00009D4A0000}"/>
    <cellStyle name="Currency 5 3 4 4 3 3 3" xfId="20362" xr:uid="{00000000-0005-0000-0000-00009E4A0000}"/>
    <cellStyle name="Currency 5 3 4 4 3 4" xfId="20363" xr:uid="{00000000-0005-0000-0000-00009F4A0000}"/>
    <cellStyle name="Currency 5 3 4 4 3 4 2" xfId="20364" xr:uid="{00000000-0005-0000-0000-0000A04A0000}"/>
    <cellStyle name="Currency 5 3 4 4 3 5" xfId="20365" xr:uid="{00000000-0005-0000-0000-0000A14A0000}"/>
    <cellStyle name="Currency 5 3 4 4 4" xfId="20366" xr:uid="{00000000-0005-0000-0000-0000A24A0000}"/>
    <cellStyle name="Currency 5 3 4 4 4 2" xfId="20367" xr:uid="{00000000-0005-0000-0000-0000A34A0000}"/>
    <cellStyle name="Currency 5 3 4 4 4 2 2" xfId="20368" xr:uid="{00000000-0005-0000-0000-0000A44A0000}"/>
    <cellStyle name="Currency 5 3 4 4 4 2 2 2" xfId="20369" xr:uid="{00000000-0005-0000-0000-0000A54A0000}"/>
    <cellStyle name="Currency 5 3 4 4 4 2 2 2 2" xfId="20370" xr:uid="{00000000-0005-0000-0000-0000A64A0000}"/>
    <cellStyle name="Currency 5 3 4 4 4 2 2 3" xfId="20371" xr:uid="{00000000-0005-0000-0000-0000A74A0000}"/>
    <cellStyle name="Currency 5 3 4 4 4 2 3" xfId="20372" xr:uid="{00000000-0005-0000-0000-0000A84A0000}"/>
    <cellStyle name="Currency 5 3 4 4 4 2 3 2" xfId="20373" xr:uid="{00000000-0005-0000-0000-0000A94A0000}"/>
    <cellStyle name="Currency 5 3 4 4 4 2 4" xfId="20374" xr:uid="{00000000-0005-0000-0000-0000AA4A0000}"/>
    <cellStyle name="Currency 5 3 4 4 4 3" xfId="20375" xr:uid="{00000000-0005-0000-0000-0000AB4A0000}"/>
    <cellStyle name="Currency 5 3 4 4 4 3 2" xfId="20376" xr:uid="{00000000-0005-0000-0000-0000AC4A0000}"/>
    <cellStyle name="Currency 5 3 4 4 4 3 2 2" xfId="20377" xr:uid="{00000000-0005-0000-0000-0000AD4A0000}"/>
    <cellStyle name="Currency 5 3 4 4 4 3 3" xfId="20378" xr:uid="{00000000-0005-0000-0000-0000AE4A0000}"/>
    <cellStyle name="Currency 5 3 4 4 4 4" xfId="20379" xr:uid="{00000000-0005-0000-0000-0000AF4A0000}"/>
    <cellStyle name="Currency 5 3 4 4 4 4 2" xfId="20380" xr:uid="{00000000-0005-0000-0000-0000B04A0000}"/>
    <cellStyle name="Currency 5 3 4 4 4 5" xfId="20381" xr:uid="{00000000-0005-0000-0000-0000B14A0000}"/>
    <cellStyle name="Currency 5 3 4 4 5" xfId="20382" xr:uid="{00000000-0005-0000-0000-0000B24A0000}"/>
    <cellStyle name="Currency 5 3 4 4 5 2" xfId="20383" xr:uid="{00000000-0005-0000-0000-0000B34A0000}"/>
    <cellStyle name="Currency 5 3 4 4 5 2 2" xfId="20384" xr:uid="{00000000-0005-0000-0000-0000B44A0000}"/>
    <cellStyle name="Currency 5 3 4 4 5 2 2 2" xfId="20385" xr:uid="{00000000-0005-0000-0000-0000B54A0000}"/>
    <cellStyle name="Currency 5 3 4 4 5 2 3" xfId="20386" xr:uid="{00000000-0005-0000-0000-0000B64A0000}"/>
    <cellStyle name="Currency 5 3 4 4 5 3" xfId="20387" xr:uid="{00000000-0005-0000-0000-0000B74A0000}"/>
    <cellStyle name="Currency 5 3 4 4 5 3 2" xfId="20388" xr:uid="{00000000-0005-0000-0000-0000B84A0000}"/>
    <cellStyle name="Currency 5 3 4 4 5 4" xfId="20389" xr:uid="{00000000-0005-0000-0000-0000B94A0000}"/>
    <cellStyle name="Currency 5 3 4 4 6" xfId="20390" xr:uid="{00000000-0005-0000-0000-0000BA4A0000}"/>
    <cellStyle name="Currency 5 3 4 4 6 2" xfId="20391" xr:uid="{00000000-0005-0000-0000-0000BB4A0000}"/>
    <cellStyle name="Currency 5 3 4 4 6 2 2" xfId="20392" xr:uid="{00000000-0005-0000-0000-0000BC4A0000}"/>
    <cellStyle name="Currency 5 3 4 4 6 2 2 2" xfId="20393" xr:uid="{00000000-0005-0000-0000-0000BD4A0000}"/>
    <cellStyle name="Currency 5 3 4 4 6 2 3" xfId="20394" xr:uid="{00000000-0005-0000-0000-0000BE4A0000}"/>
    <cellStyle name="Currency 5 3 4 4 6 3" xfId="20395" xr:uid="{00000000-0005-0000-0000-0000BF4A0000}"/>
    <cellStyle name="Currency 5 3 4 4 6 3 2" xfId="20396" xr:uid="{00000000-0005-0000-0000-0000C04A0000}"/>
    <cellStyle name="Currency 5 3 4 4 6 4" xfId="20397" xr:uid="{00000000-0005-0000-0000-0000C14A0000}"/>
    <cellStyle name="Currency 5 3 4 4 7" xfId="20398" xr:uid="{00000000-0005-0000-0000-0000C24A0000}"/>
    <cellStyle name="Currency 5 3 4 4 7 2" xfId="20399" xr:uid="{00000000-0005-0000-0000-0000C34A0000}"/>
    <cellStyle name="Currency 5 3 4 4 7 2 2" xfId="20400" xr:uid="{00000000-0005-0000-0000-0000C44A0000}"/>
    <cellStyle name="Currency 5 3 4 4 7 2 2 2" xfId="20401" xr:uid="{00000000-0005-0000-0000-0000C54A0000}"/>
    <cellStyle name="Currency 5 3 4 4 7 2 3" xfId="20402" xr:uid="{00000000-0005-0000-0000-0000C64A0000}"/>
    <cellStyle name="Currency 5 3 4 4 7 3" xfId="20403" xr:uid="{00000000-0005-0000-0000-0000C74A0000}"/>
    <cellStyle name="Currency 5 3 4 4 7 3 2" xfId="20404" xr:uid="{00000000-0005-0000-0000-0000C84A0000}"/>
    <cellStyle name="Currency 5 3 4 4 7 4" xfId="20405" xr:uid="{00000000-0005-0000-0000-0000C94A0000}"/>
    <cellStyle name="Currency 5 3 4 4 8" xfId="20406" xr:uid="{00000000-0005-0000-0000-0000CA4A0000}"/>
    <cellStyle name="Currency 5 3 4 4 8 2" xfId="20407" xr:uid="{00000000-0005-0000-0000-0000CB4A0000}"/>
    <cellStyle name="Currency 5 3 4 4 8 2 2" xfId="20408" xr:uid="{00000000-0005-0000-0000-0000CC4A0000}"/>
    <cellStyle name="Currency 5 3 4 4 8 3" xfId="20409" xr:uid="{00000000-0005-0000-0000-0000CD4A0000}"/>
    <cellStyle name="Currency 5 3 4 4 9" xfId="20410" xr:uid="{00000000-0005-0000-0000-0000CE4A0000}"/>
    <cellStyle name="Currency 5 3 4 4 9 2" xfId="20411" xr:uid="{00000000-0005-0000-0000-0000CF4A0000}"/>
    <cellStyle name="Currency 5 3 4 5" xfId="1342" xr:uid="{00000000-0005-0000-0000-0000D04A0000}"/>
    <cellStyle name="Currency 5 3 4 5 2" xfId="20413" xr:uid="{00000000-0005-0000-0000-0000D14A0000}"/>
    <cellStyle name="Currency 5 3 4 5 2 2" xfId="20414" xr:uid="{00000000-0005-0000-0000-0000D24A0000}"/>
    <cellStyle name="Currency 5 3 4 5 2 2 2" xfId="20415" xr:uid="{00000000-0005-0000-0000-0000D34A0000}"/>
    <cellStyle name="Currency 5 3 4 5 2 2 2 2" xfId="20416" xr:uid="{00000000-0005-0000-0000-0000D44A0000}"/>
    <cellStyle name="Currency 5 3 4 5 2 2 3" xfId="20417" xr:uid="{00000000-0005-0000-0000-0000D54A0000}"/>
    <cellStyle name="Currency 5 3 4 5 2 3" xfId="20418" xr:uid="{00000000-0005-0000-0000-0000D64A0000}"/>
    <cellStyle name="Currency 5 3 4 5 2 3 2" xfId="20419" xr:uid="{00000000-0005-0000-0000-0000D74A0000}"/>
    <cellStyle name="Currency 5 3 4 5 2 4" xfId="20420" xr:uid="{00000000-0005-0000-0000-0000D84A0000}"/>
    <cellStyle name="Currency 5 3 4 5 3" xfId="20421" xr:uid="{00000000-0005-0000-0000-0000D94A0000}"/>
    <cellStyle name="Currency 5 3 4 5 3 2" xfId="20422" xr:uid="{00000000-0005-0000-0000-0000DA4A0000}"/>
    <cellStyle name="Currency 5 3 4 5 3 2 2" xfId="20423" xr:uid="{00000000-0005-0000-0000-0000DB4A0000}"/>
    <cellStyle name="Currency 5 3 4 5 3 2 2 2" xfId="20424" xr:uid="{00000000-0005-0000-0000-0000DC4A0000}"/>
    <cellStyle name="Currency 5 3 4 5 3 2 3" xfId="20425" xr:uid="{00000000-0005-0000-0000-0000DD4A0000}"/>
    <cellStyle name="Currency 5 3 4 5 3 3" xfId="20426" xr:uid="{00000000-0005-0000-0000-0000DE4A0000}"/>
    <cellStyle name="Currency 5 3 4 5 3 3 2" xfId="20427" xr:uid="{00000000-0005-0000-0000-0000DF4A0000}"/>
    <cellStyle name="Currency 5 3 4 5 3 4" xfId="20428" xr:uid="{00000000-0005-0000-0000-0000E04A0000}"/>
    <cellStyle name="Currency 5 3 4 5 4" xfId="20429" xr:uid="{00000000-0005-0000-0000-0000E14A0000}"/>
    <cellStyle name="Currency 5 3 4 5 4 2" xfId="20430" xr:uid="{00000000-0005-0000-0000-0000E24A0000}"/>
    <cellStyle name="Currency 5 3 4 5 4 2 2" xfId="20431" xr:uid="{00000000-0005-0000-0000-0000E34A0000}"/>
    <cellStyle name="Currency 5 3 4 5 4 3" xfId="20432" xr:uid="{00000000-0005-0000-0000-0000E44A0000}"/>
    <cellStyle name="Currency 5 3 4 5 5" xfId="20433" xr:uid="{00000000-0005-0000-0000-0000E54A0000}"/>
    <cellStyle name="Currency 5 3 4 5 5 2" xfId="20434" xr:uid="{00000000-0005-0000-0000-0000E64A0000}"/>
    <cellStyle name="Currency 5 3 4 5 6" xfId="20435" xr:uid="{00000000-0005-0000-0000-0000E74A0000}"/>
    <cellStyle name="Currency 5 3 4 5 7" xfId="20412" xr:uid="{00000000-0005-0000-0000-0000E84A0000}"/>
    <cellStyle name="Currency 5 3 4 6" xfId="20436" xr:uid="{00000000-0005-0000-0000-0000E94A0000}"/>
    <cellStyle name="Currency 5 3 4 6 2" xfId="20437" xr:uid="{00000000-0005-0000-0000-0000EA4A0000}"/>
    <cellStyle name="Currency 5 3 4 6 2 2" xfId="20438" xr:uid="{00000000-0005-0000-0000-0000EB4A0000}"/>
    <cellStyle name="Currency 5 3 4 6 2 2 2" xfId="20439" xr:uid="{00000000-0005-0000-0000-0000EC4A0000}"/>
    <cellStyle name="Currency 5 3 4 6 2 2 2 2" xfId="20440" xr:uid="{00000000-0005-0000-0000-0000ED4A0000}"/>
    <cellStyle name="Currency 5 3 4 6 2 2 3" xfId="20441" xr:uid="{00000000-0005-0000-0000-0000EE4A0000}"/>
    <cellStyle name="Currency 5 3 4 6 2 3" xfId="20442" xr:uid="{00000000-0005-0000-0000-0000EF4A0000}"/>
    <cellStyle name="Currency 5 3 4 6 2 3 2" xfId="20443" xr:uid="{00000000-0005-0000-0000-0000F04A0000}"/>
    <cellStyle name="Currency 5 3 4 6 2 4" xfId="20444" xr:uid="{00000000-0005-0000-0000-0000F14A0000}"/>
    <cellStyle name="Currency 5 3 4 6 3" xfId="20445" xr:uid="{00000000-0005-0000-0000-0000F24A0000}"/>
    <cellStyle name="Currency 5 3 4 6 3 2" xfId="20446" xr:uid="{00000000-0005-0000-0000-0000F34A0000}"/>
    <cellStyle name="Currency 5 3 4 6 3 2 2" xfId="20447" xr:uid="{00000000-0005-0000-0000-0000F44A0000}"/>
    <cellStyle name="Currency 5 3 4 6 3 3" xfId="20448" xr:uid="{00000000-0005-0000-0000-0000F54A0000}"/>
    <cellStyle name="Currency 5 3 4 6 4" xfId="20449" xr:uid="{00000000-0005-0000-0000-0000F64A0000}"/>
    <cellStyle name="Currency 5 3 4 6 4 2" xfId="20450" xr:uid="{00000000-0005-0000-0000-0000F74A0000}"/>
    <cellStyle name="Currency 5 3 4 6 5" xfId="20451" xr:uid="{00000000-0005-0000-0000-0000F84A0000}"/>
    <cellStyle name="Currency 5 3 4 7" xfId="20452" xr:uid="{00000000-0005-0000-0000-0000F94A0000}"/>
    <cellStyle name="Currency 5 3 4 7 2" xfId="20453" xr:uid="{00000000-0005-0000-0000-0000FA4A0000}"/>
    <cellStyle name="Currency 5 3 4 7 2 2" xfId="20454" xr:uid="{00000000-0005-0000-0000-0000FB4A0000}"/>
    <cellStyle name="Currency 5 3 4 7 2 2 2" xfId="20455" xr:uid="{00000000-0005-0000-0000-0000FC4A0000}"/>
    <cellStyle name="Currency 5 3 4 7 2 2 2 2" xfId="20456" xr:uid="{00000000-0005-0000-0000-0000FD4A0000}"/>
    <cellStyle name="Currency 5 3 4 7 2 2 3" xfId="20457" xr:uid="{00000000-0005-0000-0000-0000FE4A0000}"/>
    <cellStyle name="Currency 5 3 4 7 2 3" xfId="20458" xr:uid="{00000000-0005-0000-0000-0000FF4A0000}"/>
    <cellStyle name="Currency 5 3 4 7 2 3 2" xfId="20459" xr:uid="{00000000-0005-0000-0000-0000004B0000}"/>
    <cellStyle name="Currency 5 3 4 7 2 4" xfId="20460" xr:uid="{00000000-0005-0000-0000-0000014B0000}"/>
    <cellStyle name="Currency 5 3 4 7 3" xfId="20461" xr:uid="{00000000-0005-0000-0000-0000024B0000}"/>
    <cellStyle name="Currency 5 3 4 7 3 2" xfId="20462" xr:uid="{00000000-0005-0000-0000-0000034B0000}"/>
    <cellStyle name="Currency 5 3 4 7 3 2 2" xfId="20463" xr:uid="{00000000-0005-0000-0000-0000044B0000}"/>
    <cellStyle name="Currency 5 3 4 7 3 3" xfId="20464" xr:uid="{00000000-0005-0000-0000-0000054B0000}"/>
    <cellStyle name="Currency 5 3 4 7 4" xfId="20465" xr:uid="{00000000-0005-0000-0000-0000064B0000}"/>
    <cellStyle name="Currency 5 3 4 7 4 2" xfId="20466" xr:uid="{00000000-0005-0000-0000-0000074B0000}"/>
    <cellStyle name="Currency 5 3 4 7 5" xfId="20467" xr:uid="{00000000-0005-0000-0000-0000084B0000}"/>
    <cellStyle name="Currency 5 3 4 8" xfId="20468" xr:uid="{00000000-0005-0000-0000-0000094B0000}"/>
    <cellStyle name="Currency 5 3 4 8 2" xfId="20469" xr:uid="{00000000-0005-0000-0000-00000A4B0000}"/>
    <cellStyle name="Currency 5 3 4 8 2 2" xfId="20470" xr:uid="{00000000-0005-0000-0000-00000B4B0000}"/>
    <cellStyle name="Currency 5 3 4 8 2 2 2" xfId="20471" xr:uid="{00000000-0005-0000-0000-00000C4B0000}"/>
    <cellStyle name="Currency 5 3 4 8 2 3" xfId="20472" xr:uid="{00000000-0005-0000-0000-00000D4B0000}"/>
    <cellStyle name="Currency 5 3 4 8 3" xfId="20473" xr:uid="{00000000-0005-0000-0000-00000E4B0000}"/>
    <cellStyle name="Currency 5 3 4 8 3 2" xfId="20474" xr:uid="{00000000-0005-0000-0000-00000F4B0000}"/>
    <cellStyle name="Currency 5 3 4 8 4" xfId="20475" xr:uid="{00000000-0005-0000-0000-0000104B0000}"/>
    <cellStyle name="Currency 5 3 4 9" xfId="20476" xr:uid="{00000000-0005-0000-0000-0000114B0000}"/>
    <cellStyle name="Currency 5 3 4 9 2" xfId="20477" xr:uid="{00000000-0005-0000-0000-0000124B0000}"/>
    <cellStyle name="Currency 5 3 4 9 2 2" xfId="20478" xr:uid="{00000000-0005-0000-0000-0000134B0000}"/>
    <cellStyle name="Currency 5 3 4 9 2 2 2" xfId="20479" xr:uid="{00000000-0005-0000-0000-0000144B0000}"/>
    <cellStyle name="Currency 5 3 4 9 2 3" xfId="20480" xr:uid="{00000000-0005-0000-0000-0000154B0000}"/>
    <cellStyle name="Currency 5 3 4 9 3" xfId="20481" xr:uid="{00000000-0005-0000-0000-0000164B0000}"/>
    <cellStyle name="Currency 5 3 4 9 3 2" xfId="20482" xr:uid="{00000000-0005-0000-0000-0000174B0000}"/>
    <cellStyle name="Currency 5 3 4 9 4" xfId="20483" xr:uid="{00000000-0005-0000-0000-0000184B0000}"/>
    <cellStyle name="Currency 5 3 5" xfId="384" xr:uid="{00000000-0005-0000-0000-0000194B0000}"/>
    <cellStyle name="Currency 5 3 5 10" xfId="20485" xr:uid="{00000000-0005-0000-0000-00001A4B0000}"/>
    <cellStyle name="Currency 5 3 5 10 2" xfId="20486" xr:uid="{00000000-0005-0000-0000-00001B4B0000}"/>
    <cellStyle name="Currency 5 3 5 10 2 2" xfId="20487" xr:uid="{00000000-0005-0000-0000-00001C4B0000}"/>
    <cellStyle name="Currency 5 3 5 10 3" xfId="20488" xr:uid="{00000000-0005-0000-0000-00001D4B0000}"/>
    <cellStyle name="Currency 5 3 5 11" xfId="20489" xr:uid="{00000000-0005-0000-0000-00001E4B0000}"/>
    <cellStyle name="Currency 5 3 5 11 2" xfId="20490" xr:uid="{00000000-0005-0000-0000-00001F4B0000}"/>
    <cellStyle name="Currency 5 3 5 11 2 2" xfId="20491" xr:uid="{00000000-0005-0000-0000-0000204B0000}"/>
    <cellStyle name="Currency 5 3 5 11 3" xfId="20492" xr:uid="{00000000-0005-0000-0000-0000214B0000}"/>
    <cellStyle name="Currency 5 3 5 12" xfId="20493" xr:uid="{00000000-0005-0000-0000-0000224B0000}"/>
    <cellStyle name="Currency 5 3 5 12 2" xfId="20494" xr:uid="{00000000-0005-0000-0000-0000234B0000}"/>
    <cellStyle name="Currency 5 3 5 13" xfId="20495" xr:uid="{00000000-0005-0000-0000-0000244B0000}"/>
    <cellStyle name="Currency 5 3 5 14" xfId="20496" xr:uid="{00000000-0005-0000-0000-0000254B0000}"/>
    <cellStyle name="Currency 5 3 5 15" xfId="20484" xr:uid="{00000000-0005-0000-0000-0000264B0000}"/>
    <cellStyle name="Currency 5 3 5 2" xfId="928" xr:uid="{00000000-0005-0000-0000-0000274B0000}"/>
    <cellStyle name="Currency 5 3 5 2 10" xfId="20498" xr:uid="{00000000-0005-0000-0000-0000284B0000}"/>
    <cellStyle name="Currency 5 3 5 2 11" xfId="20497" xr:uid="{00000000-0005-0000-0000-0000294B0000}"/>
    <cellStyle name="Currency 5 3 5 2 2" xfId="1669" xr:uid="{00000000-0005-0000-0000-00002A4B0000}"/>
    <cellStyle name="Currency 5 3 5 2 2 2" xfId="20500" xr:uid="{00000000-0005-0000-0000-00002B4B0000}"/>
    <cellStyle name="Currency 5 3 5 2 2 2 2" xfId="20501" xr:uid="{00000000-0005-0000-0000-00002C4B0000}"/>
    <cellStyle name="Currency 5 3 5 2 2 2 2 2" xfId="20502" xr:uid="{00000000-0005-0000-0000-00002D4B0000}"/>
    <cellStyle name="Currency 5 3 5 2 2 2 2 2 2" xfId="20503" xr:uid="{00000000-0005-0000-0000-00002E4B0000}"/>
    <cellStyle name="Currency 5 3 5 2 2 2 2 3" xfId="20504" xr:uid="{00000000-0005-0000-0000-00002F4B0000}"/>
    <cellStyle name="Currency 5 3 5 2 2 2 3" xfId="20505" xr:uid="{00000000-0005-0000-0000-0000304B0000}"/>
    <cellStyle name="Currency 5 3 5 2 2 2 3 2" xfId="20506" xr:uid="{00000000-0005-0000-0000-0000314B0000}"/>
    <cellStyle name="Currency 5 3 5 2 2 2 4" xfId="20507" xr:uid="{00000000-0005-0000-0000-0000324B0000}"/>
    <cellStyle name="Currency 5 3 5 2 2 3" xfId="20508" xr:uid="{00000000-0005-0000-0000-0000334B0000}"/>
    <cellStyle name="Currency 5 3 5 2 2 3 2" xfId="20509" xr:uid="{00000000-0005-0000-0000-0000344B0000}"/>
    <cellStyle name="Currency 5 3 5 2 2 3 2 2" xfId="20510" xr:uid="{00000000-0005-0000-0000-0000354B0000}"/>
    <cellStyle name="Currency 5 3 5 2 2 3 2 2 2" xfId="20511" xr:uid="{00000000-0005-0000-0000-0000364B0000}"/>
    <cellStyle name="Currency 5 3 5 2 2 3 2 3" xfId="20512" xr:uid="{00000000-0005-0000-0000-0000374B0000}"/>
    <cellStyle name="Currency 5 3 5 2 2 3 3" xfId="20513" xr:uid="{00000000-0005-0000-0000-0000384B0000}"/>
    <cellStyle name="Currency 5 3 5 2 2 3 3 2" xfId="20514" xr:uid="{00000000-0005-0000-0000-0000394B0000}"/>
    <cellStyle name="Currency 5 3 5 2 2 3 4" xfId="20515" xr:uid="{00000000-0005-0000-0000-00003A4B0000}"/>
    <cellStyle name="Currency 5 3 5 2 2 4" xfId="20516" xr:uid="{00000000-0005-0000-0000-00003B4B0000}"/>
    <cellStyle name="Currency 5 3 5 2 2 4 2" xfId="20517" xr:uid="{00000000-0005-0000-0000-00003C4B0000}"/>
    <cellStyle name="Currency 5 3 5 2 2 4 2 2" xfId="20518" xr:uid="{00000000-0005-0000-0000-00003D4B0000}"/>
    <cellStyle name="Currency 5 3 5 2 2 4 3" xfId="20519" xr:uid="{00000000-0005-0000-0000-00003E4B0000}"/>
    <cellStyle name="Currency 5 3 5 2 2 5" xfId="20520" xr:uid="{00000000-0005-0000-0000-00003F4B0000}"/>
    <cellStyle name="Currency 5 3 5 2 2 5 2" xfId="20521" xr:uid="{00000000-0005-0000-0000-0000404B0000}"/>
    <cellStyle name="Currency 5 3 5 2 2 6" xfId="20522" xr:uid="{00000000-0005-0000-0000-0000414B0000}"/>
    <cellStyle name="Currency 5 3 5 2 2 7" xfId="20499" xr:uid="{00000000-0005-0000-0000-0000424B0000}"/>
    <cellStyle name="Currency 5 3 5 2 3" xfId="20523" xr:uid="{00000000-0005-0000-0000-0000434B0000}"/>
    <cellStyle name="Currency 5 3 5 2 3 2" xfId="20524" xr:uid="{00000000-0005-0000-0000-0000444B0000}"/>
    <cellStyle name="Currency 5 3 5 2 3 2 2" xfId="20525" xr:uid="{00000000-0005-0000-0000-0000454B0000}"/>
    <cellStyle name="Currency 5 3 5 2 3 2 2 2" xfId="20526" xr:uid="{00000000-0005-0000-0000-0000464B0000}"/>
    <cellStyle name="Currency 5 3 5 2 3 2 2 2 2" xfId="20527" xr:uid="{00000000-0005-0000-0000-0000474B0000}"/>
    <cellStyle name="Currency 5 3 5 2 3 2 2 3" xfId="20528" xr:uid="{00000000-0005-0000-0000-0000484B0000}"/>
    <cellStyle name="Currency 5 3 5 2 3 2 3" xfId="20529" xr:uid="{00000000-0005-0000-0000-0000494B0000}"/>
    <cellStyle name="Currency 5 3 5 2 3 2 3 2" xfId="20530" xr:uid="{00000000-0005-0000-0000-00004A4B0000}"/>
    <cellStyle name="Currency 5 3 5 2 3 2 4" xfId="20531" xr:uid="{00000000-0005-0000-0000-00004B4B0000}"/>
    <cellStyle name="Currency 5 3 5 2 3 3" xfId="20532" xr:uid="{00000000-0005-0000-0000-00004C4B0000}"/>
    <cellStyle name="Currency 5 3 5 2 3 3 2" xfId="20533" xr:uid="{00000000-0005-0000-0000-00004D4B0000}"/>
    <cellStyle name="Currency 5 3 5 2 3 3 2 2" xfId="20534" xr:uid="{00000000-0005-0000-0000-00004E4B0000}"/>
    <cellStyle name="Currency 5 3 5 2 3 3 3" xfId="20535" xr:uid="{00000000-0005-0000-0000-00004F4B0000}"/>
    <cellStyle name="Currency 5 3 5 2 3 4" xfId="20536" xr:uid="{00000000-0005-0000-0000-0000504B0000}"/>
    <cellStyle name="Currency 5 3 5 2 3 4 2" xfId="20537" xr:uid="{00000000-0005-0000-0000-0000514B0000}"/>
    <cellStyle name="Currency 5 3 5 2 3 5" xfId="20538" xr:uid="{00000000-0005-0000-0000-0000524B0000}"/>
    <cellStyle name="Currency 5 3 5 2 4" xfId="20539" xr:uid="{00000000-0005-0000-0000-0000534B0000}"/>
    <cellStyle name="Currency 5 3 5 2 4 2" xfId="20540" xr:uid="{00000000-0005-0000-0000-0000544B0000}"/>
    <cellStyle name="Currency 5 3 5 2 4 2 2" xfId="20541" xr:uid="{00000000-0005-0000-0000-0000554B0000}"/>
    <cellStyle name="Currency 5 3 5 2 4 2 2 2" xfId="20542" xr:uid="{00000000-0005-0000-0000-0000564B0000}"/>
    <cellStyle name="Currency 5 3 5 2 4 2 2 2 2" xfId="20543" xr:uid="{00000000-0005-0000-0000-0000574B0000}"/>
    <cellStyle name="Currency 5 3 5 2 4 2 2 3" xfId="20544" xr:uid="{00000000-0005-0000-0000-0000584B0000}"/>
    <cellStyle name="Currency 5 3 5 2 4 2 3" xfId="20545" xr:uid="{00000000-0005-0000-0000-0000594B0000}"/>
    <cellStyle name="Currency 5 3 5 2 4 2 3 2" xfId="20546" xr:uid="{00000000-0005-0000-0000-00005A4B0000}"/>
    <cellStyle name="Currency 5 3 5 2 4 2 4" xfId="20547" xr:uid="{00000000-0005-0000-0000-00005B4B0000}"/>
    <cellStyle name="Currency 5 3 5 2 4 3" xfId="20548" xr:uid="{00000000-0005-0000-0000-00005C4B0000}"/>
    <cellStyle name="Currency 5 3 5 2 4 3 2" xfId="20549" xr:uid="{00000000-0005-0000-0000-00005D4B0000}"/>
    <cellStyle name="Currency 5 3 5 2 4 3 2 2" xfId="20550" xr:uid="{00000000-0005-0000-0000-00005E4B0000}"/>
    <cellStyle name="Currency 5 3 5 2 4 3 3" xfId="20551" xr:uid="{00000000-0005-0000-0000-00005F4B0000}"/>
    <cellStyle name="Currency 5 3 5 2 4 4" xfId="20552" xr:uid="{00000000-0005-0000-0000-0000604B0000}"/>
    <cellStyle name="Currency 5 3 5 2 4 4 2" xfId="20553" xr:uid="{00000000-0005-0000-0000-0000614B0000}"/>
    <cellStyle name="Currency 5 3 5 2 4 5" xfId="20554" xr:uid="{00000000-0005-0000-0000-0000624B0000}"/>
    <cellStyle name="Currency 5 3 5 2 5" xfId="20555" xr:uid="{00000000-0005-0000-0000-0000634B0000}"/>
    <cellStyle name="Currency 5 3 5 2 5 2" xfId="20556" xr:uid="{00000000-0005-0000-0000-0000644B0000}"/>
    <cellStyle name="Currency 5 3 5 2 5 2 2" xfId="20557" xr:uid="{00000000-0005-0000-0000-0000654B0000}"/>
    <cellStyle name="Currency 5 3 5 2 5 2 2 2" xfId="20558" xr:uid="{00000000-0005-0000-0000-0000664B0000}"/>
    <cellStyle name="Currency 5 3 5 2 5 2 3" xfId="20559" xr:uid="{00000000-0005-0000-0000-0000674B0000}"/>
    <cellStyle name="Currency 5 3 5 2 5 3" xfId="20560" xr:uid="{00000000-0005-0000-0000-0000684B0000}"/>
    <cellStyle name="Currency 5 3 5 2 5 3 2" xfId="20561" xr:uid="{00000000-0005-0000-0000-0000694B0000}"/>
    <cellStyle name="Currency 5 3 5 2 5 4" xfId="20562" xr:uid="{00000000-0005-0000-0000-00006A4B0000}"/>
    <cellStyle name="Currency 5 3 5 2 6" xfId="20563" xr:uid="{00000000-0005-0000-0000-00006B4B0000}"/>
    <cellStyle name="Currency 5 3 5 2 6 2" xfId="20564" xr:uid="{00000000-0005-0000-0000-00006C4B0000}"/>
    <cellStyle name="Currency 5 3 5 2 6 2 2" xfId="20565" xr:uid="{00000000-0005-0000-0000-00006D4B0000}"/>
    <cellStyle name="Currency 5 3 5 2 6 2 2 2" xfId="20566" xr:uid="{00000000-0005-0000-0000-00006E4B0000}"/>
    <cellStyle name="Currency 5 3 5 2 6 2 3" xfId="20567" xr:uid="{00000000-0005-0000-0000-00006F4B0000}"/>
    <cellStyle name="Currency 5 3 5 2 6 3" xfId="20568" xr:uid="{00000000-0005-0000-0000-0000704B0000}"/>
    <cellStyle name="Currency 5 3 5 2 6 3 2" xfId="20569" xr:uid="{00000000-0005-0000-0000-0000714B0000}"/>
    <cellStyle name="Currency 5 3 5 2 6 4" xfId="20570" xr:uid="{00000000-0005-0000-0000-0000724B0000}"/>
    <cellStyle name="Currency 5 3 5 2 7" xfId="20571" xr:uid="{00000000-0005-0000-0000-0000734B0000}"/>
    <cellStyle name="Currency 5 3 5 2 7 2" xfId="20572" xr:uid="{00000000-0005-0000-0000-0000744B0000}"/>
    <cellStyle name="Currency 5 3 5 2 7 2 2" xfId="20573" xr:uid="{00000000-0005-0000-0000-0000754B0000}"/>
    <cellStyle name="Currency 5 3 5 2 7 2 2 2" xfId="20574" xr:uid="{00000000-0005-0000-0000-0000764B0000}"/>
    <cellStyle name="Currency 5 3 5 2 7 2 3" xfId="20575" xr:uid="{00000000-0005-0000-0000-0000774B0000}"/>
    <cellStyle name="Currency 5 3 5 2 7 3" xfId="20576" xr:uid="{00000000-0005-0000-0000-0000784B0000}"/>
    <cellStyle name="Currency 5 3 5 2 7 3 2" xfId="20577" xr:uid="{00000000-0005-0000-0000-0000794B0000}"/>
    <cellStyle name="Currency 5 3 5 2 7 4" xfId="20578" xr:uid="{00000000-0005-0000-0000-00007A4B0000}"/>
    <cellStyle name="Currency 5 3 5 2 8" xfId="20579" xr:uid="{00000000-0005-0000-0000-00007B4B0000}"/>
    <cellStyle name="Currency 5 3 5 2 8 2" xfId="20580" xr:uid="{00000000-0005-0000-0000-00007C4B0000}"/>
    <cellStyle name="Currency 5 3 5 2 8 2 2" xfId="20581" xr:uid="{00000000-0005-0000-0000-00007D4B0000}"/>
    <cellStyle name="Currency 5 3 5 2 8 3" xfId="20582" xr:uid="{00000000-0005-0000-0000-00007E4B0000}"/>
    <cellStyle name="Currency 5 3 5 2 9" xfId="20583" xr:uid="{00000000-0005-0000-0000-00007F4B0000}"/>
    <cellStyle name="Currency 5 3 5 2 9 2" xfId="20584" xr:uid="{00000000-0005-0000-0000-0000804B0000}"/>
    <cellStyle name="Currency 5 3 5 3" xfId="1344" xr:uid="{00000000-0005-0000-0000-0000814B0000}"/>
    <cellStyle name="Currency 5 3 5 3 2" xfId="20586" xr:uid="{00000000-0005-0000-0000-0000824B0000}"/>
    <cellStyle name="Currency 5 3 5 3 2 2" xfId="20587" xr:uid="{00000000-0005-0000-0000-0000834B0000}"/>
    <cellStyle name="Currency 5 3 5 3 2 2 2" xfId="20588" xr:uid="{00000000-0005-0000-0000-0000844B0000}"/>
    <cellStyle name="Currency 5 3 5 3 2 2 2 2" xfId="20589" xr:uid="{00000000-0005-0000-0000-0000854B0000}"/>
    <cellStyle name="Currency 5 3 5 3 2 2 3" xfId="20590" xr:uid="{00000000-0005-0000-0000-0000864B0000}"/>
    <cellStyle name="Currency 5 3 5 3 2 3" xfId="20591" xr:uid="{00000000-0005-0000-0000-0000874B0000}"/>
    <cellStyle name="Currency 5 3 5 3 2 3 2" xfId="20592" xr:uid="{00000000-0005-0000-0000-0000884B0000}"/>
    <cellStyle name="Currency 5 3 5 3 2 4" xfId="20593" xr:uid="{00000000-0005-0000-0000-0000894B0000}"/>
    <cellStyle name="Currency 5 3 5 3 3" xfId="20594" xr:uid="{00000000-0005-0000-0000-00008A4B0000}"/>
    <cellStyle name="Currency 5 3 5 3 3 2" xfId="20595" xr:uid="{00000000-0005-0000-0000-00008B4B0000}"/>
    <cellStyle name="Currency 5 3 5 3 3 2 2" xfId="20596" xr:uid="{00000000-0005-0000-0000-00008C4B0000}"/>
    <cellStyle name="Currency 5 3 5 3 3 2 2 2" xfId="20597" xr:uid="{00000000-0005-0000-0000-00008D4B0000}"/>
    <cellStyle name="Currency 5 3 5 3 3 2 3" xfId="20598" xr:uid="{00000000-0005-0000-0000-00008E4B0000}"/>
    <cellStyle name="Currency 5 3 5 3 3 3" xfId="20599" xr:uid="{00000000-0005-0000-0000-00008F4B0000}"/>
    <cellStyle name="Currency 5 3 5 3 3 3 2" xfId="20600" xr:uid="{00000000-0005-0000-0000-0000904B0000}"/>
    <cellStyle name="Currency 5 3 5 3 3 4" xfId="20601" xr:uid="{00000000-0005-0000-0000-0000914B0000}"/>
    <cellStyle name="Currency 5 3 5 3 4" xfId="20602" xr:uid="{00000000-0005-0000-0000-0000924B0000}"/>
    <cellStyle name="Currency 5 3 5 3 4 2" xfId="20603" xr:uid="{00000000-0005-0000-0000-0000934B0000}"/>
    <cellStyle name="Currency 5 3 5 3 4 2 2" xfId="20604" xr:uid="{00000000-0005-0000-0000-0000944B0000}"/>
    <cellStyle name="Currency 5 3 5 3 4 3" xfId="20605" xr:uid="{00000000-0005-0000-0000-0000954B0000}"/>
    <cellStyle name="Currency 5 3 5 3 5" xfId="20606" xr:uid="{00000000-0005-0000-0000-0000964B0000}"/>
    <cellStyle name="Currency 5 3 5 3 5 2" xfId="20607" xr:uid="{00000000-0005-0000-0000-0000974B0000}"/>
    <cellStyle name="Currency 5 3 5 3 6" xfId="20608" xr:uid="{00000000-0005-0000-0000-0000984B0000}"/>
    <cellStyle name="Currency 5 3 5 3 7" xfId="20585" xr:uid="{00000000-0005-0000-0000-0000994B0000}"/>
    <cellStyle name="Currency 5 3 5 4" xfId="20609" xr:uid="{00000000-0005-0000-0000-00009A4B0000}"/>
    <cellStyle name="Currency 5 3 5 4 2" xfId="20610" xr:uid="{00000000-0005-0000-0000-00009B4B0000}"/>
    <cellStyle name="Currency 5 3 5 4 2 2" xfId="20611" xr:uid="{00000000-0005-0000-0000-00009C4B0000}"/>
    <cellStyle name="Currency 5 3 5 4 2 2 2" xfId="20612" xr:uid="{00000000-0005-0000-0000-00009D4B0000}"/>
    <cellStyle name="Currency 5 3 5 4 2 2 2 2" xfId="20613" xr:uid="{00000000-0005-0000-0000-00009E4B0000}"/>
    <cellStyle name="Currency 5 3 5 4 2 2 3" xfId="20614" xr:uid="{00000000-0005-0000-0000-00009F4B0000}"/>
    <cellStyle name="Currency 5 3 5 4 2 3" xfId="20615" xr:uid="{00000000-0005-0000-0000-0000A04B0000}"/>
    <cellStyle name="Currency 5 3 5 4 2 3 2" xfId="20616" xr:uid="{00000000-0005-0000-0000-0000A14B0000}"/>
    <cellStyle name="Currency 5 3 5 4 2 4" xfId="20617" xr:uid="{00000000-0005-0000-0000-0000A24B0000}"/>
    <cellStyle name="Currency 5 3 5 4 3" xfId="20618" xr:uid="{00000000-0005-0000-0000-0000A34B0000}"/>
    <cellStyle name="Currency 5 3 5 4 3 2" xfId="20619" xr:uid="{00000000-0005-0000-0000-0000A44B0000}"/>
    <cellStyle name="Currency 5 3 5 4 3 2 2" xfId="20620" xr:uid="{00000000-0005-0000-0000-0000A54B0000}"/>
    <cellStyle name="Currency 5 3 5 4 3 3" xfId="20621" xr:uid="{00000000-0005-0000-0000-0000A64B0000}"/>
    <cellStyle name="Currency 5 3 5 4 4" xfId="20622" xr:uid="{00000000-0005-0000-0000-0000A74B0000}"/>
    <cellStyle name="Currency 5 3 5 4 4 2" xfId="20623" xr:uid="{00000000-0005-0000-0000-0000A84B0000}"/>
    <cellStyle name="Currency 5 3 5 4 5" xfId="20624" xr:uid="{00000000-0005-0000-0000-0000A94B0000}"/>
    <cellStyle name="Currency 5 3 5 5" xfId="20625" xr:uid="{00000000-0005-0000-0000-0000AA4B0000}"/>
    <cellStyle name="Currency 5 3 5 5 2" xfId="20626" xr:uid="{00000000-0005-0000-0000-0000AB4B0000}"/>
    <cellStyle name="Currency 5 3 5 5 2 2" xfId="20627" xr:uid="{00000000-0005-0000-0000-0000AC4B0000}"/>
    <cellStyle name="Currency 5 3 5 5 2 2 2" xfId="20628" xr:uid="{00000000-0005-0000-0000-0000AD4B0000}"/>
    <cellStyle name="Currency 5 3 5 5 2 2 2 2" xfId="20629" xr:uid="{00000000-0005-0000-0000-0000AE4B0000}"/>
    <cellStyle name="Currency 5 3 5 5 2 2 3" xfId="20630" xr:uid="{00000000-0005-0000-0000-0000AF4B0000}"/>
    <cellStyle name="Currency 5 3 5 5 2 3" xfId="20631" xr:uid="{00000000-0005-0000-0000-0000B04B0000}"/>
    <cellStyle name="Currency 5 3 5 5 2 3 2" xfId="20632" xr:uid="{00000000-0005-0000-0000-0000B14B0000}"/>
    <cellStyle name="Currency 5 3 5 5 2 4" xfId="20633" xr:uid="{00000000-0005-0000-0000-0000B24B0000}"/>
    <cellStyle name="Currency 5 3 5 5 3" xfId="20634" xr:uid="{00000000-0005-0000-0000-0000B34B0000}"/>
    <cellStyle name="Currency 5 3 5 5 3 2" xfId="20635" xr:uid="{00000000-0005-0000-0000-0000B44B0000}"/>
    <cellStyle name="Currency 5 3 5 5 3 2 2" xfId="20636" xr:uid="{00000000-0005-0000-0000-0000B54B0000}"/>
    <cellStyle name="Currency 5 3 5 5 3 3" xfId="20637" xr:uid="{00000000-0005-0000-0000-0000B64B0000}"/>
    <cellStyle name="Currency 5 3 5 5 4" xfId="20638" xr:uid="{00000000-0005-0000-0000-0000B74B0000}"/>
    <cellStyle name="Currency 5 3 5 5 4 2" xfId="20639" xr:uid="{00000000-0005-0000-0000-0000B84B0000}"/>
    <cellStyle name="Currency 5 3 5 5 5" xfId="20640" xr:uid="{00000000-0005-0000-0000-0000B94B0000}"/>
    <cellStyle name="Currency 5 3 5 6" xfId="20641" xr:uid="{00000000-0005-0000-0000-0000BA4B0000}"/>
    <cellStyle name="Currency 5 3 5 6 2" xfId="20642" xr:uid="{00000000-0005-0000-0000-0000BB4B0000}"/>
    <cellStyle name="Currency 5 3 5 6 2 2" xfId="20643" xr:uid="{00000000-0005-0000-0000-0000BC4B0000}"/>
    <cellStyle name="Currency 5 3 5 6 2 2 2" xfId="20644" xr:uid="{00000000-0005-0000-0000-0000BD4B0000}"/>
    <cellStyle name="Currency 5 3 5 6 2 3" xfId="20645" xr:uid="{00000000-0005-0000-0000-0000BE4B0000}"/>
    <cellStyle name="Currency 5 3 5 6 3" xfId="20646" xr:uid="{00000000-0005-0000-0000-0000BF4B0000}"/>
    <cellStyle name="Currency 5 3 5 6 3 2" xfId="20647" xr:uid="{00000000-0005-0000-0000-0000C04B0000}"/>
    <cellStyle name="Currency 5 3 5 6 4" xfId="20648" xr:uid="{00000000-0005-0000-0000-0000C14B0000}"/>
    <cellStyle name="Currency 5 3 5 7" xfId="20649" xr:uid="{00000000-0005-0000-0000-0000C24B0000}"/>
    <cellStyle name="Currency 5 3 5 7 2" xfId="20650" xr:uid="{00000000-0005-0000-0000-0000C34B0000}"/>
    <cellStyle name="Currency 5 3 5 7 2 2" xfId="20651" xr:uid="{00000000-0005-0000-0000-0000C44B0000}"/>
    <cellStyle name="Currency 5 3 5 7 2 2 2" xfId="20652" xr:uid="{00000000-0005-0000-0000-0000C54B0000}"/>
    <cellStyle name="Currency 5 3 5 7 2 3" xfId="20653" xr:uid="{00000000-0005-0000-0000-0000C64B0000}"/>
    <cellStyle name="Currency 5 3 5 7 3" xfId="20654" xr:uid="{00000000-0005-0000-0000-0000C74B0000}"/>
    <cellStyle name="Currency 5 3 5 7 3 2" xfId="20655" xr:uid="{00000000-0005-0000-0000-0000C84B0000}"/>
    <cellStyle name="Currency 5 3 5 7 4" xfId="20656" xr:uid="{00000000-0005-0000-0000-0000C94B0000}"/>
    <cellStyle name="Currency 5 3 5 8" xfId="20657" xr:uid="{00000000-0005-0000-0000-0000CA4B0000}"/>
    <cellStyle name="Currency 5 3 5 8 2" xfId="20658" xr:uid="{00000000-0005-0000-0000-0000CB4B0000}"/>
    <cellStyle name="Currency 5 3 5 8 2 2" xfId="20659" xr:uid="{00000000-0005-0000-0000-0000CC4B0000}"/>
    <cellStyle name="Currency 5 3 5 8 2 2 2" xfId="20660" xr:uid="{00000000-0005-0000-0000-0000CD4B0000}"/>
    <cellStyle name="Currency 5 3 5 8 2 3" xfId="20661" xr:uid="{00000000-0005-0000-0000-0000CE4B0000}"/>
    <cellStyle name="Currency 5 3 5 8 3" xfId="20662" xr:uid="{00000000-0005-0000-0000-0000CF4B0000}"/>
    <cellStyle name="Currency 5 3 5 8 3 2" xfId="20663" xr:uid="{00000000-0005-0000-0000-0000D04B0000}"/>
    <cellStyle name="Currency 5 3 5 8 4" xfId="20664" xr:uid="{00000000-0005-0000-0000-0000D14B0000}"/>
    <cellStyle name="Currency 5 3 5 9" xfId="20665" xr:uid="{00000000-0005-0000-0000-0000D24B0000}"/>
    <cellStyle name="Currency 5 3 5 9 2" xfId="20666" xr:uid="{00000000-0005-0000-0000-0000D34B0000}"/>
    <cellStyle name="Currency 5 3 5 9 2 2" xfId="20667" xr:uid="{00000000-0005-0000-0000-0000D44B0000}"/>
    <cellStyle name="Currency 5 3 5 9 3" xfId="20668" xr:uid="{00000000-0005-0000-0000-0000D54B0000}"/>
    <cellStyle name="Currency 5 3 6" xfId="385" xr:uid="{00000000-0005-0000-0000-0000D64B0000}"/>
    <cellStyle name="Currency 5 3 7" xfId="913" xr:uid="{00000000-0005-0000-0000-0000D74B0000}"/>
    <cellStyle name="Currency 5 3 7 10" xfId="20670" xr:uid="{00000000-0005-0000-0000-0000D84B0000}"/>
    <cellStyle name="Currency 5 3 7 11" xfId="20669" xr:uid="{00000000-0005-0000-0000-0000D94B0000}"/>
    <cellStyle name="Currency 5 3 7 2" xfId="1654" xr:uid="{00000000-0005-0000-0000-0000DA4B0000}"/>
    <cellStyle name="Currency 5 3 7 2 2" xfId="20672" xr:uid="{00000000-0005-0000-0000-0000DB4B0000}"/>
    <cellStyle name="Currency 5 3 7 2 2 2" xfId="20673" xr:uid="{00000000-0005-0000-0000-0000DC4B0000}"/>
    <cellStyle name="Currency 5 3 7 2 2 2 2" xfId="20674" xr:uid="{00000000-0005-0000-0000-0000DD4B0000}"/>
    <cellStyle name="Currency 5 3 7 2 2 2 2 2" xfId="20675" xr:uid="{00000000-0005-0000-0000-0000DE4B0000}"/>
    <cellStyle name="Currency 5 3 7 2 2 2 3" xfId="20676" xr:uid="{00000000-0005-0000-0000-0000DF4B0000}"/>
    <cellStyle name="Currency 5 3 7 2 2 3" xfId="20677" xr:uid="{00000000-0005-0000-0000-0000E04B0000}"/>
    <cellStyle name="Currency 5 3 7 2 2 3 2" xfId="20678" xr:uid="{00000000-0005-0000-0000-0000E14B0000}"/>
    <cellStyle name="Currency 5 3 7 2 2 4" xfId="20679" xr:uid="{00000000-0005-0000-0000-0000E24B0000}"/>
    <cellStyle name="Currency 5 3 7 2 3" xfId="20680" xr:uid="{00000000-0005-0000-0000-0000E34B0000}"/>
    <cellStyle name="Currency 5 3 7 2 3 2" xfId="20681" xr:uid="{00000000-0005-0000-0000-0000E44B0000}"/>
    <cellStyle name="Currency 5 3 7 2 3 2 2" xfId="20682" xr:uid="{00000000-0005-0000-0000-0000E54B0000}"/>
    <cellStyle name="Currency 5 3 7 2 3 2 2 2" xfId="20683" xr:uid="{00000000-0005-0000-0000-0000E64B0000}"/>
    <cellStyle name="Currency 5 3 7 2 3 2 3" xfId="20684" xr:uid="{00000000-0005-0000-0000-0000E74B0000}"/>
    <cellStyle name="Currency 5 3 7 2 3 3" xfId="20685" xr:uid="{00000000-0005-0000-0000-0000E84B0000}"/>
    <cellStyle name="Currency 5 3 7 2 3 3 2" xfId="20686" xr:uid="{00000000-0005-0000-0000-0000E94B0000}"/>
    <cellStyle name="Currency 5 3 7 2 3 4" xfId="20687" xr:uid="{00000000-0005-0000-0000-0000EA4B0000}"/>
    <cellStyle name="Currency 5 3 7 2 4" xfId="20688" xr:uid="{00000000-0005-0000-0000-0000EB4B0000}"/>
    <cellStyle name="Currency 5 3 7 2 4 2" xfId="20689" xr:uid="{00000000-0005-0000-0000-0000EC4B0000}"/>
    <cellStyle name="Currency 5 3 7 2 4 2 2" xfId="20690" xr:uid="{00000000-0005-0000-0000-0000ED4B0000}"/>
    <cellStyle name="Currency 5 3 7 2 4 3" xfId="20691" xr:uid="{00000000-0005-0000-0000-0000EE4B0000}"/>
    <cellStyle name="Currency 5 3 7 2 5" xfId="20692" xr:uid="{00000000-0005-0000-0000-0000EF4B0000}"/>
    <cellStyle name="Currency 5 3 7 2 5 2" xfId="20693" xr:uid="{00000000-0005-0000-0000-0000F04B0000}"/>
    <cellStyle name="Currency 5 3 7 2 6" xfId="20694" xr:uid="{00000000-0005-0000-0000-0000F14B0000}"/>
    <cellStyle name="Currency 5 3 7 2 7" xfId="20671" xr:uid="{00000000-0005-0000-0000-0000F24B0000}"/>
    <cellStyle name="Currency 5 3 7 3" xfId="20695" xr:uid="{00000000-0005-0000-0000-0000F34B0000}"/>
    <cellStyle name="Currency 5 3 7 3 2" xfId="20696" xr:uid="{00000000-0005-0000-0000-0000F44B0000}"/>
    <cellStyle name="Currency 5 3 7 3 2 2" xfId="20697" xr:uid="{00000000-0005-0000-0000-0000F54B0000}"/>
    <cellStyle name="Currency 5 3 7 3 2 2 2" xfId="20698" xr:uid="{00000000-0005-0000-0000-0000F64B0000}"/>
    <cellStyle name="Currency 5 3 7 3 2 2 2 2" xfId="20699" xr:uid="{00000000-0005-0000-0000-0000F74B0000}"/>
    <cellStyle name="Currency 5 3 7 3 2 2 3" xfId="20700" xr:uid="{00000000-0005-0000-0000-0000F84B0000}"/>
    <cellStyle name="Currency 5 3 7 3 2 3" xfId="20701" xr:uid="{00000000-0005-0000-0000-0000F94B0000}"/>
    <cellStyle name="Currency 5 3 7 3 2 3 2" xfId="20702" xr:uid="{00000000-0005-0000-0000-0000FA4B0000}"/>
    <cellStyle name="Currency 5 3 7 3 2 4" xfId="20703" xr:uid="{00000000-0005-0000-0000-0000FB4B0000}"/>
    <cellStyle name="Currency 5 3 7 3 3" xfId="20704" xr:uid="{00000000-0005-0000-0000-0000FC4B0000}"/>
    <cellStyle name="Currency 5 3 7 3 3 2" xfId="20705" xr:uid="{00000000-0005-0000-0000-0000FD4B0000}"/>
    <cellStyle name="Currency 5 3 7 3 3 2 2" xfId="20706" xr:uid="{00000000-0005-0000-0000-0000FE4B0000}"/>
    <cellStyle name="Currency 5 3 7 3 3 3" xfId="20707" xr:uid="{00000000-0005-0000-0000-0000FF4B0000}"/>
    <cellStyle name="Currency 5 3 7 3 4" xfId="20708" xr:uid="{00000000-0005-0000-0000-0000004C0000}"/>
    <cellStyle name="Currency 5 3 7 3 4 2" xfId="20709" xr:uid="{00000000-0005-0000-0000-0000014C0000}"/>
    <cellStyle name="Currency 5 3 7 3 5" xfId="20710" xr:uid="{00000000-0005-0000-0000-0000024C0000}"/>
    <cellStyle name="Currency 5 3 7 4" xfId="20711" xr:uid="{00000000-0005-0000-0000-0000034C0000}"/>
    <cellStyle name="Currency 5 3 7 4 2" xfId="20712" xr:uid="{00000000-0005-0000-0000-0000044C0000}"/>
    <cellStyle name="Currency 5 3 7 4 2 2" xfId="20713" xr:uid="{00000000-0005-0000-0000-0000054C0000}"/>
    <cellStyle name="Currency 5 3 7 4 2 2 2" xfId="20714" xr:uid="{00000000-0005-0000-0000-0000064C0000}"/>
    <cellStyle name="Currency 5 3 7 4 2 2 2 2" xfId="20715" xr:uid="{00000000-0005-0000-0000-0000074C0000}"/>
    <cellStyle name="Currency 5 3 7 4 2 2 3" xfId="20716" xr:uid="{00000000-0005-0000-0000-0000084C0000}"/>
    <cellStyle name="Currency 5 3 7 4 2 3" xfId="20717" xr:uid="{00000000-0005-0000-0000-0000094C0000}"/>
    <cellStyle name="Currency 5 3 7 4 2 3 2" xfId="20718" xr:uid="{00000000-0005-0000-0000-00000A4C0000}"/>
    <cellStyle name="Currency 5 3 7 4 2 4" xfId="20719" xr:uid="{00000000-0005-0000-0000-00000B4C0000}"/>
    <cellStyle name="Currency 5 3 7 4 3" xfId="20720" xr:uid="{00000000-0005-0000-0000-00000C4C0000}"/>
    <cellStyle name="Currency 5 3 7 4 3 2" xfId="20721" xr:uid="{00000000-0005-0000-0000-00000D4C0000}"/>
    <cellStyle name="Currency 5 3 7 4 3 2 2" xfId="20722" xr:uid="{00000000-0005-0000-0000-00000E4C0000}"/>
    <cellStyle name="Currency 5 3 7 4 3 3" xfId="20723" xr:uid="{00000000-0005-0000-0000-00000F4C0000}"/>
    <cellStyle name="Currency 5 3 7 4 4" xfId="20724" xr:uid="{00000000-0005-0000-0000-0000104C0000}"/>
    <cellStyle name="Currency 5 3 7 4 4 2" xfId="20725" xr:uid="{00000000-0005-0000-0000-0000114C0000}"/>
    <cellStyle name="Currency 5 3 7 4 5" xfId="20726" xr:uid="{00000000-0005-0000-0000-0000124C0000}"/>
    <cellStyle name="Currency 5 3 7 5" xfId="20727" xr:uid="{00000000-0005-0000-0000-0000134C0000}"/>
    <cellStyle name="Currency 5 3 7 5 2" xfId="20728" xr:uid="{00000000-0005-0000-0000-0000144C0000}"/>
    <cellStyle name="Currency 5 3 7 5 2 2" xfId="20729" xr:uid="{00000000-0005-0000-0000-0000154C0000}"/>
    <cellStyle name="Currency 5 3 7 5 2 2 2" xfId="20730" xr:uid="{00000000-0005-0000-0000-0000164C0000}"/>
    <cellStyle name="Currency 5 3 7 5 2 3" xfId="20731" xr:uid="{00000000-0005-0000-0000-0000174C0000}"/>
    <cellStyle name="Currency 5 3 7 5 3" xfId="20732" xr:uid="{00000000-0005-0000-0000-0000184C0000}"/>
    <cellStyle name="Currency 5 3 7 5 3 2" xfId="20733" xr:uid="{00000000-0005-0000-0000-0000194C0000}"/>
    <cellStyle name="Currency 5 3 7 5 4" xfId="20734" xr:uid="{00000000-0005-0000-0000-00001A4C0000}"/>
    <cellStyle name="Currency 5 3 7 6" xfId="20735" xr:uid="{00000000-0005-0000-0000-00001B4C0000}"/>
    <cellStyle name="Currency 5 3 7 6 2" xfId="20736" xr:uid="{00000000-0005-0000-0000-00001C4C0000}"/>
    <cellStyle name="Currency 5 3 7 6 2 2" xfId="20737" xr:uid="{00000000-0005-0000-0000-00001D4C0000}"/>
    <cellStyle name="Currency 5 3 7 6 2 2 2" xfId="20738" xr:uid="{00000000-0005-0000-0000-00001E4C0000}"/>
    <cellStyle name="Currency 5 3 7 6 2 3" xfId="20739" xr:uid="{00000000-0005-0000-0000-00001F4C0000}"/>
    <cellStyle name="Currency 5 3 7 6 3" xfId="20740" xr:uid="{00000000-0005-0000-0000-0000204C0000}"/>
    <cellStyle name="Currency 5 3 7 6 3 2" xfId="20741" xr:uid="{00000000-0005-0000-0000-0000214C0000}"/>
    <cellStyle name="Currency 5 3 7 6 4" xfId="20742" xr:uid="{00000000-0005-0000-0000-0000224C0000}"/>
    <cellStyle name="Currency 5 3 7 7" xfId="20743" xr:uid="{00000000-0005-0000-0000-0000234C0000}"/>
    <cellStyle name="Currency 5 3 7 7 2" xfId="20744" xr:uid="{00000000-0005-0000-0000-0000244C0000}"/>
    <cellStyle name="Currency 5 3 7 7 2 2" xfId="20745" xr:uid="{00000000-0005-0000-0000-0000254C0000}"/>
    <cellStyle name="Currency 5 3 7 7 2 2 2" xfId="20746" xr:uid="{00000000-0005-0000-0000-0000264C0000}"/>
    <cellStyle name="Currency 5 3 7 7 2 3" xfId="20747" xr:uid="{00000000-0005-0000-0000-0000274C0000}"/>
    <cellStyle name="Currency 5 3 7 7 3" xfId="20748" xr:uid="{00000000-0005-0000-0000-0000284C0000}"/>
    <cellStyle name="Currency 5 3 7 7 3 2" xfId="20749" xr:uid="{00000000-0005-0000-0000-0000294C0000}"/>
    <cellStyle name="Currency 5 3 7 7 4" xfId="20750" xr:uid="{00000000-0005-0000-0000-00002A4C0000}"/>
    <cellStyle name="Currency 5 3 7 8" xfId="20751" xr:uid="{00000000-0005-0000-0000-00002B4C0000}"/>
    <cellStyle name="Currency 5 3 7 8 2" xfId="20752" xr:uid="{00000000-0005-0000-0000-00002C4C0000}"/>
    <cellStyle name="Currency 5 3 7 8 2 2" xfId="20753" xr:uid="{00000000-0005-0000-0000-00002D4C0000}"/>
    <cellStyle name="Currency 5 3 7 8 3" xfId="20754" xr:uid="{00000000-0005-0000-0000-00002E4C0000}"/>
    <cellStyle name="Currency 5 3 7 9" xfId="20755" xr:uid="{00000000-0005-0000-0000-00002F4C0000}"/>
    <cellStyle name="Currency 5 3 7 9 2" xfId="20756" xr:uid="{00000000-0005-0000-0000-0000304C0000}"/>
    <cellStyle name="Currency 5 3 8" xfId="1329" xr:uid="{00000000-0005-0000-0000-0000314C0000}"/>
    <cellStyle name="Currency 5 3 8 2" xfId="20758" xr:uid="{00000000-0005-0000-0000-0000324C0000}"/>
    <cellStyle name="Currency 5 3 8 2 2" xfId="20759" xr:uid="{00000000-0005-0000-0000-0000334C0000}"/>
    <cellStyle name="Currency 5 3 8 2 2 2" xfId="20760" xr:uid="{00000000-0005-0000-0000-0000344C0000}"/>
    <cellStyle name="Currency 5 3 8 2 2 2 2" xfId="20761" xr:uid="{00000000-0005-0000-0000-0000354C0000}"/>
    <cellStyle name="Currency 5 3 8 2 2 3" xfId="20762" xr:uid="{00000000-0005-0000-0000-0000364C0000}"/>
    <cellStyle name="Currency 5 3 8 2 3" xfId="20763" xr:uid="{00000000-0005-0000-0000-0000374C0000}"/>
    <cellStyle name="Currency 5 3 8 2 3 2" xfId="20764" xr:uid="{00000000-0005-0000-0000-0000384C0000}"/>
    <cellStyle name="Currency 5 3 8 2 4" xfId="20765" xr:uid="{00000000-0005-0000-0000-0000394C0000}"/>
    <cellStyle name="Currency 5 3 8 3" xfId="20766" xr:uid="{00000000-0005-0000-0000-00003A4C0000}"/>
    <cellStyle name="Currency 5 3 8 3 2" xfId="20767" xr:uid="{00000000-0005-0000-0000-00003B4C0000}"/>
    <cellStyle name="Currency 5 3 8 3 2 2" xfId="20768" xr:uid="{00000000-0005-0000-0000-00003C4C0000}"/>
    <cellStyle name="Currency 5 3 8 3 2 2 2" xfId="20769" xr:uid="{00000000-0005-0000-0000-00003D4C0000}"/>
    <cellStyle name="Currency 5 3 8 3 2 3" xfId="20770" xr:uid="{00000000-0005-0000-0000-00003E4C0000}"/>
    <cellStyle name="Currency 5 3 8 3 3" xfId="20771" xr:uid="{00000000-0005-0000-0000-00003F4C0000}"/>
    <cellStyle name="Currency 5 3 8 3 3 2" xfId="20772" xr:uid="{00000000-0005-0000-0000-0000404C0000}"/>
    <cellStyle name="Currency 5 3 8 3 4" xfId="20773" xr:uid="{00000000-0005-0000-0000-0000414C0000}"/>
    <cellStyle name="Currency 5 3 8 4" xfId="20774" xr:uid="{00000000-0005-0000-0000-0000424C0000}"/>
    <cellStyle name="Currency 5 3 8 4 2" xfId="20775" xr:uid="{00000000-0005-0000-0000-0000434C0000}"/>
    <cellStyle name="Currency 5 3 8 4 2 2" xfId="20776" xr:uid="{00000000-0005-0000-0000-0000444C0000}"/>
    <cellStyle name="Currency 5 3 8 4 3" xfId="20777" xr:uid="{00000000-0005-0000-0000-0000454C0000}"/>
    <cellStyle name="Currency 5 3 8 5" xfId="20778" xr:uid="{00000000-0005-0000-0000-0000464C0000}"/>
    <cellStyle name="Currency 5 3 8 5 2" xfId="20779" xr:uid="{00000000-0005-0000-0000-0000474C0000}"/>
    <cellStyle name="Currency 5 3 8 6" xfId="20780" xr:uid="{00000000-0005-0000-0000-0000484C0000}"/>
    <cellStyle name="Currency 5 3 8 7" xfId="20757" xr:uid="{00000000-0005-0000-0000-0000494C0000}"/>
    <cellStyle name="Currency 5 3 9" xfId="20781" xr:uid="{00000000-0005-0000-0000-00004A4C0000}"/>
    <cellStyle name="Currency 5 3 9 2" xfId="20782" xr:uid="{00000000-0005-0000-0000-00004B4C0000}"/>
    <cellStyle name="Currency 5 3 9 2 2" xfId="20783" xr:uid="{00000000-0005-0000-0000-00004C4C0000}"/>
    <cellStyle name="Currency 5 3 9 2 2 2" xfId="20784" xr:uid="{00000000-0005-0000-0000-00004D4C0000}"/>
    <cellStyle name="Currency 5 3 9 2 2 2 2" xfId="20785" xr:uid="{00000000-0005-0000-0000-00004E4C0000}"/>
    <cellStyle name="Currency 5 3 9 2 2 3" xfId="20786" xr:uid="{00000000-0005-0000-0000-00004F4C0000}"/>
    <cellStyle name="Currency 5 3 9 2 3" xfId="20787" xr:uid="{00000000-0005-0000-0000-0000504C0000}"/>
    <cellStyle name="Currency 5 3 9 2 3 2" xfId="20788" xr:uid="{00000000-0005-0000-0000-0000514C0000}"/>
    <cellStyle name="Currency 5 3 9 2 4" xfId="20789" xr:uid="{00000000-0005-0000-0000-0000524C0000}"/>
    <cellStyle name="Currency 5 3 9 3" xfId="20790" xr:uid="{00000000-0005-0000-0000-0000534C0000}"/>
    <cellStyle name="Currency 5 3 9 3 2" xfId="20791" xr:uid="{00000000-0005-0000-0000-0000544C0000}"/>
    <cellStyle name="Currency 5 3 9 3 2 2" xfId="20792" xr:uid="{00000000-0005-0000-0000-0000554C0000}"/>
    <cellStyle name="Currency 5 3 9 3 3" xfId="20793" xr:uid="{00000000-0005-0000-0000-0000564C0000}"/>
    <cellStyle name="Currency 5 3 9 4" xfId="20794" xr:uid="{00000000-0005-0000-0000-0000574C0000}"/>
    <cellStyle name="Currency 5 3 9 4 2" xfId="20795" xr:uid="{00000000-0005-0000-0000-0000584C0000}"/>
    <cellStyle name="Currency 5 3 9 5" xfId="20796" xr:uid="{00000000-0005-0000-0000-0000594C0000}"/>
    <cellStyle name="Currency 5 4" xfId="386" xr:uid="{00000000-0005-0000-0000-00005A4C0000}"/>
    <cellStyle name="Currency 5 4 10" xfId="20798" xr:uid="{00000000-0005-0000-0000-00005B4C0000}"/>
    <cellStyle name="Currency 5 4 10 2" xfId="20799" xr:uid="{00000000-0005-0000-0000-00005C4C0000}"/>
    <cellStyle name="Currency 5 4 10 2 2" xfId="20800" xr:uid="{00000000-0005-0000-0000-00005D4C0000}"/>
    <cellStyle name="Currency 5 4 10 2 2 2" xfId="20801" xr:uid="{00000000-0005-0000-0000-00005E4C0000}"/>
    <cellStyle name="Currency 5 4 10 2 2 2 2" xfId="20802" xr:uid="{00000000-0005-0000-0000-00005F4C0000}"/>
    <cellStyle name="Currency 5 4 10 2 2 3" xfId="20803" xr:uid="{00000000-0005-0000-0000-0000604C0000}"/>
    <cellStyle name="Currency 5 4 10 2 3" xfId="20804" xr:uid="{00000000-0005-0000-0000-0000614C0000}"/>
    <cellStyle name="Currency 5 4 10 2 3 2" xfId="20805" xr:uid="{00000000-0005-0000-0000-0000624C0000}"/>
    <cellStyle name="Currency 5 4 10 2 4" xfId="20806" xr:uid="{00000000-0005-0000-0000-0000634C0000}"/>
    <cellStyle name="Currency 5 4 10 3" xfId="20807" xr:uid="{00000000-0005-0000-0000-0000644C0000}"/>
    <cellStyle name="Currency 5 4 10 3 2" xfId="20808" xr:uid="{00000000-0005-0000-0000-0000654C0000}"/>
    <cellStyle name="Currency 5 4 10 3 2 2" xfId="20809" xr:uid="{00000000-0005-0000-0000-0000664C0000}"/>
    <cellStyle name="Currency 5 4 10 3 3" xfId="20810" xr:uid="{00000000-0005-0000-0000-0000674C0000}"/>
    <cellStyle name="Currency 5 4 10 4" xfId="20811" xr:uid="{00000000-0005-0000-0000-0000684C0000}"/>
    <cellStyle name="Currency 5 4 10 4 2" xfId="20812" xr:uid="{00000000-0005-0000-0000-0000694C0000}"/>
    <cellStyle name="Currency 5 4 10 5" xfId="20813" xr:uid="{00000000-0005-0000-0000-00006A4C0000}"/>
    <cellStyle name="Currency 5 4 11" xfId="20814" xr:uid="{00000000-0005-0000-0000-00006B4C0000}"/>
    <cellStyle name="Currency 5 4 11 2" xfId="20815" xr:uid="{00000000-0005-0000-0000-00006C4C0000}"/>
    <cellStyle name="Currency 5 4 11 2 2" xfId="20816" xr:uid="{00000000-0005-0000-0000-00006D4C0000}"/>
    <cellStyle name="Currency 5 4 11 2 2 2" xfId="20817" xr:uid="{00000000-0005-0000-0000-00006E4C0000}"/>
    <cellStyle name="Currency 5 4 11 2 3" xfId="20818" xr:uid="{00000000-0005-0000-0000-00006F4C0000}"/>
    <cellStyle name="Currency 5 4 11 3" xfId="20819" xr:uid="{00000000-0005-0000-0000-0000704C0000}"/>
    <cellStyle name="Currency 5 4 11 3 2" xfId="20820" xr:uid="{00000000-0005-0000-0000-0000714C0000}"/>
    <cellStyle name="Currency 5 4 11 4" xfId="20821" xr:uid="{00000000-0005-0000-0000-0000724C0000}"/>
    <cellStyle name="Currency 5 4 12" xfId="20822" xr:uid="{00000000-0005-0000-0000-0000734C0000}"/>
    <cellStyle name="Currency 5 4 12 2" xfId="20823" xr:uid="{00000000-0005-0000-0000-0000744C0000}"/>
    <cellStyle name="Currency 5 4 12 2 2" xfId="20824" xr:uid="{00000000-0005-0000-0000-0000754C0000}"/>
    <cellStyle name="Currency 5 4 12 2 2 2" xfId="20825" xr:uid="{00000000-0005-0000-0000-0000764C0000}"/>
    <cellStyle name="Currency 5 4 12 2 3" xfId="20826" xr:uid="{00000000-0005-0000-0000-0000774C0000}"/>
    <cellStyle name="Currency 5 4 12 3" xfId="20827" xr:uid="{00000000-0005-0000-0000-0000784C0000}"/>
    <cellStyle name="Currency 5 4 12 3 2" xfId="20828" xr:uid="{00000000-0005-0000-0000-0000794C0000}"/>
    <cellStyle name="Currency 5 4 12 4" xfId="20829" xr:uid="{00000000-0005-0000-0000-00007A4C0000}"/>
    <cellStyle name="Currency 5 4 13" xfId="20830" xr:uid="{00000000-0005-0000-0000-00007B4C0000}"/>
    <cellStyle name="Currency 5 4 13 2" xfId="20831" xr:uid="{00000000-0005-0000-0000-00007C4C0000}"/>
    <cellStyle name="Currency 5 4 13 2 2" xfId="20832" xr:uid="{00000000-0005-0000-0000-00007D4C0000}"/>
    <cellStyle name="Currency 5 4 13 2 2 2" xfId="20833" xr:uid="{00000000-0005-0000-0000-00007E4C0000}"/>
    <cellStyle name="Currency 5 4 13 2 3" xfId="20834" xr:uid="{00000000-0005-0000-0000-00007F4C0000}"/>
    <cellStyle name="Currency 5 4 13 3" xfId="20835" xr:uid="{00000000-0005-0000-0000-0000804C0000}"/>
    <cellStyle name="Currency 5 4 13 3 2" xfId="20836" xr:uid="{00000000-0005-0000-0000-0000814C0000}"/>
    <cellStyle name="Currency 5 4 13 4" xfId="20837" xr:uid="{00000000-0005-0000-0000-0000824C0000}"/>
    <cellStyle name="Currency 5 4 14" xfId="20838" xr:uid="{00000000-0005-0000-0000-0000834C0000}"/>
    <cellStyle name="Currency 5 4 14 2" xfId="20839" xr:uid="{00000000-0005-0000-0000-0000844C0000}"/>
    <cellStyle name="Currency 5 4 14 2 2" xfId="20840" xr:uid="{00000000-0005-0000-0000-0000854C0000}"/>
    <cellStyle name="Currency 5 4 14 3" xfId="20841" xr:uid="{00000000-0005-0000-0000-0000864C0000}"/>
    <cellStyle name="Currency 5 4 15" xfId="20842" xr:uid="{00000000-0005-0000-0000-0000874C0000}"/>
    <cellStyle name="Currency 5 4 15 2" xfId="20843" xr:uid="{00000000-0005-0000-0000-0000884C0000}"/>
    <cellStyle name="Currency 5 4 15 2 2" xfId="20844" xr:uid="{00000000-0005-0000-0000-0000894C0000}"/>
    <cellStyle name="Currency 5 4 15 3" xfId="20845" xr:uid="{00000000-0005-0000-0000-00008A4C0000}"/>
    <cellStyle name="Currency 5 4 16" xfId="20846" xr:uid="{00000000-0005-0000-0000-00008B4C0000}"/>
    <cellStyle name="Currency 5 4 16 2" xfId="20847" xr:uid="{00000000-0005-0000-0000-00008C4C0000}"/>
    <cellStyle name="Currency 5 4 16 2 2" xfId="20848" xr:uid="{00000000-0005-0000-0000-00008D4C0000}"/>
    <cellStyle name="Currency 5 4 16 3" xfId="20849" xr:uid="{00000000-0005-0000-0000-00008E4C0000}"/>
    <cellStyle name="Currency 5 4 17" xfId="20850" xr:uid="{00000000-0005-0000-0000-00008F4C0000}"/>
    <cellStyle name="Currency 5 4 17 2" xfId="20851" xr:uid="{00000000-0005-0000-0000-0000904C0000}"/>
    <cellStyle name="Currency 5 4 18" xfId="20852" xr:uid="{00000000-0005-0000-0000-0000914C0000}"/>
    <cellStyle name="Currency 5 4 19" xfId="20853" xr:uid="{00000000-0005-0000-0000-0000924C0000}"/>
    <cellStyle name="Currency 5 4 2" xfId="387" xr:uid="{00000000-0005-0000-0000-0000934C0000}"/>
    <cellStyle name="Currency 5 4 2 10" xfId="20855" xr:uid="{00000000-0005-0000-0000-0000944C0000}"/>
    <cellStyle name="Currency 5 4 2 10 2" xfId="20856" xr:uid="{00000000-0005-0000-0000-0000954C0000}"/>
    <cellStyle name="Currency 5 4 2 10 2 2" xfId="20857" xr:uid="{00000000-0005-0000-0000-0000964C0000}"/>
    <cellStyle name="Currency 5 4 2 10 2 2 2" xfId="20858" xr:uid="{00000000-0005-0000-0000-0000974C0000}"/>
    <cellStyle name="Currency 5 4 2 10 2 3" xfId="20859" xr:uid="{00000000-0005-0000-0000-0000984C0000}"/>
    <cellStyle name="Currency 5 4 2 10 3" xfId="20860" xr:uid="{00000000-0005-0000-0000-0000994C0000}"/>
    <cellStyle name="Currency 5 4 2 10 3 2" xfId="20861" xr:uid="{00000000-0005-0000-0000-00009A4C0000}"/>
    <cellStyle name="Currency 5 4 2 10 4" xfId="20862" xr:uid="{00000000-0005-0000-0000-00009B4C0000}"/>
    <cellStyle name="Currency 5 4 2 11" xfId="20863" xr:uid="{00000000-0005-0000-0000-00009C4C0000}"/>
    <cellStyle name="Currency 5 4 2 11 2" xfId="20864" xr:uid="{00000000-0005-0000-0000-00009D4C0000}"/>
    <cellStyle name="Currency 5 4 2 11 2 2" xfId="20865" xr:uid="{00000000-0005-0000-0000-00009E4C0000}"/>
    <cellStyle name="Currency 5 4 2 11 2 2 2" xfId="20866" xr:uid="{00000000-0005-0000-0000-00009F4C0000}"/>
    <cellStyle name="Currency 5 4 2 11 2 3" xfId="20867" xr:uid="{00000000-0005-0000-0000-0000A04C0000}"/>
    <cellStyle name="Currency 5 4 2 11 3" xfId="20868" xr:uid="{00000000-0005-0000-0000-0000A14C0000}"/>
    <cellStyle name="Currency 5 4 2 11 3 2" xfId="20869" xr:uid="{00000000-0005-0000-0000-0000A24C0000}"/>
    <cellStyle name="Currency 5 4 2 11 4" xfId="20870" xr:uid="{00000000-0005-0000-0000-0000A34C0000}"/>
    <cellStyle name="Currency 5 4 2 12" xfId="20871" xr:uid="{00000000-0005-0000-0000-0000A44C0000}"/>
    <cellStyle name="Currency 5 4 2 12 2" xfId="20872" xr:uid="{00000000-0005-0000-0000-0000A54C0000}"/>
    <cellStyle name="Currency 5 4 2 12 2 2" xfId="20873" xr:uid="{00000000-0005-0000-0000-0000A64C0000}"/>
    <cellStyle name="Currency 5 4 2 12 2 2 2" xfId="20874" xr:uid="{00000000-0005-0000-0000-0000A74C0000}"/>
    <cellStyle name="Currency 5 4 2 12 2 3" xfId="20875" xr:uid="{00000000-0005-0000-0000-0000A84C0000}"/>
    <cellStyle name="Currency 5 4 2 12 3" xfId="20876" xr:uid="{00000000-0005-0000-0000-0000A94C0000}"/>
    <cellStyle name="Currency 5 4 2 12 3 2" xfId="20877" xr:uid="{00000000-0005-0000-0000-0000AA4C0000}"/>
    <cellStyle name="Currency 5 4 2 12 4" xfId="20878" xr:uid="{00000000-0005-0000-0000-0000AB4C0000}"/>
    <cellStyle name="Currency 5 4 2 13" xfId="20879" xr:uid="{00000000-0005-0000-0000-0000AC4C0000}"/>
    <cellStyle name="Currency 5 4 2 13 2" xfId="20880" xr:uid="{00000000-0005-0000-0000-0000AD4C0000}"/>
    <cellStyle name="Currency 5 4 2 13 2 2" xfId="20881" xr:uid="{00000000-0005-0000-0000-0000AE4C0000}"/>
    <cellStyle name="Currency 5 4 2 13 3" xfId="20882" xr:uid="{00000000-0005-0000-0000-0000AF4C0000}"/>
    <cellStyle name="Currency 5 4 2 14" xfId="20883" xr:uid="{00000000-0005-0000-0000-0000B04C0000}"/>
    <cellStyle name="Currency 5 4 2 14 2" xfId="20884" xr:uid="{00000000-0005-0000-0000-0000B14C0000}"/>
    <cellStyle name="Currency 5 4 2 14 2 2" xfId="20885" xr:uid="{00000000-0005-0000-0000-0000B24C0000}"/>
    <cellStyle name="Currency 5 4 2 14 3" xfId="20886" xr:uid="{00000000-0005-0000-0000-0000B34C0000}"/>
    <cellStyle name="Currency 5 4 2 15" xfId="20887" xr:uid="{00000000-0005-0000-0000-0000B44C0000}"/>
    <cellStyle name="Currency 5 4 2 15 2" xfId="20888" xr:uid="{00000000-0005-0000-0000-0000B54C0000}"/>
    <cellStyle name="Currency 5 4 2 15 2 2" xfId="20889" xr:uid="{00000000-0005-0000-0000-0000B64C0000}"/>
    <cellStyle name="Currency 5 4 2 15 3" xfId="20890" xr:uid="{00000000-0005-0000-0000-0000B74C0000}"/>
    <cellStyle name="Currency 5 4 2 16" xfId="20891" xr:uid="{00000000-0005-0000-0000-0000B84C0000}"/>
    <cellStyle name="Currency 5 4 2 16 2" xfId="20892" xr:uid="{00000000-0005-0000-0000-0000B94C0000}"/>
    <cellStyle name="Currency 5 4 2 17" xfId="20893" xr:uid="{00000000-0005-0000-0000-0000BA4C0000}"/>
    <cellStyle name="Currency 5 4 2 18" xfId="20894" xr:uid="{00000000-0005-0000-0000-0000BB4C0000}"/>
    <cellStyle name="Currency 5 4 2 19" xfId="20854" xr:uid="{00000000-0005-0000-0000-0000BC4C0000}"/>
    <cellStyle name="Currency 5 4 2 2" xfId="388" xr:uid="{00000000-0005-0000-0000-0000BD4C0000}"/>
    <cellStyle name="Currency 5 4 2 2 10" xfId="20896" xr:uid="{00000000-0005-0000-0000-0000BE4C0000}"/>
    <cellStyle name="Currency 5 4 2 2 10 2" xfId="20897" xr:uid="{00000000-0005-0000-0000-0000BF4C0000}"/>
    <cellStyle name="Currency 5 4 2 2 10 2 2" xfId="20898" xr:uid="{00000000-0005-0000-0000-0000C04C0000}"/>
    <cellStyle name="Currency 5 4 2 2 10 2 2 2" xfId="20899" xr:uid="{00000000-0005-0000-0000-0000C14C0000}"/>
    <cellStyle name="Currency 5 4 2 2 10 2 3" xfId="20900" xr:uid="{00000000-0005-0000-0000-0000C24C0000}"/>
    <cellStyle name="Currency 5 4 2 2 10 3" xfId="20901" xr:uid="{00000000-0005-0000-0000-0000C34C0000}"/>
    <cellStyle name="Currency 5 4 2 2 10 3 2" xfId="20902" xr:uid="{00000000-0005-0000-0000-0000C44C0000}"/>
    <cellStyle name="Currency 5 4 2 2 10 4" xfId="20903" xr:uid="{00000000-0005-0000-0000-0000C54C0000}"/>
    <cellStyle name="Currency 5 4 2 2 11" xfId="20904" xr:uid="{00000000-0005-0000-0000-0000C64C0000}"/>
    <cellStyle name="Currency 5 4 2 2 11 2" xfId="20905" xr:uid="{00000000-0005-0000-0000-0000C74C0000}"/>
    <cellStyle name="Currency 5 4 2 2 11 2 2" xfId="20906" xr:uid="{00000000-0005-0000-0000-0000C84C0000}"/>
    <cellStyle name="Currency 5 4 2 2 11 2 2 2" xfId="20907" xr:uid="{00000000-0005-0000-0000-0000C94C0000}"/>
    <cellStyle name="Currency 5 4 2 2 11 2 3" xfId="20908" xr:uid="{00000000-0005-0000-0000-0000CA4C0000}"/>
    <cellStyle name="Currency 5 4 2 2 11 3" xfId="20909" xr:uid="{00000000-0005-0000-0000-0000CB4C0000}"/>
    <cellStyle name="Currency 5 4 2 2 11 3 2" xfId="20910" xr:uid="{00000000-0005-0000-0000-0000CC4C0000}"/>
    <cellStyle name="Currency 5 4 2 2 11 4" xfId="20911" xr:uid="{00000000-0005-0000-0000-0000CD4C0000}"/>
    <cellStyle name="Currency 5 4 2 2 12" xfId="20912" xr:uid="{00000000-0005-0000-0000-0000CE4C0000}"/>
    <cellStyle name="Currency 5 4 2 2 12 2" xfId="20913" xr:uid="{00000000-0005-0000-0000-0000CF4C0000}"/>
    <cellStyle name="Currency 5 4 2 2 12 2 2" xfId="20914" xr:uid="{00000000-0005-0000-0000-0000D04C0000}"/>
    <cellStyle name="Currency 5 4 2 2 12 3" xfId="20915" xr:uid="{00000000-0005-0000-0000-0000D14C0000}"/>
    <cellStyle name="Currency 5 4 2 2 13" xfId="20916" xr:uid="{00000000-0005-0000-0000-0000D24C0000}"/>
    <cellStyle name="Currency 5 4 2 2 13 2" xfId="20917" xr:uid="{00000000-0005-0000-0000-0000D34C0000}"/>
    <cellStyle name="Currency 5 4 2 2 13 2 2" xfId="20918" xr:uid="{00000000-0005-0000-0000-0000D44C0000}"/>
    <cellStyle name="Currency 5 4 2 2 13 3" xfId="20919" xr:uid="{00000000-0005-0000-0000-0000D54C0000}"/>
    <cellStyle name="Currency 5 4 2 2 14" xfId="20920" xr:uid="{00000000-0005-0000-0000-0000D64C0000}"/>
    <cellStyle name="Currency 5 4 2 2 14 2" xfId="20921" xr:uid="{00000000-0005-0000-0000-0000D74C0000}"/>
    <cellStyle name="Currency 5 4 2 2 14 2 2" xfId="20922" xr:uid="{00000000-0005-0000-0000-0000D84C0000}"/>
    <cellStyle name="Currency 5 4 2 2 14 3" xfId="20923" xr:uid="{00000000-0005-0000-0000-0000D94C0000}"/>
    <cellStyle name="Currency 5 4 2 2 15" xfId="20924" xr:uid="{00000000-0005-0000-0000-0000DA4C0000}"/>
    <cellStyle name="Currency 5 4 2 2 15 2" xfId="20925" xr:uid="{00000000-0005-0000-0000-0000DB4C0000}"/>
    <cellStyle name="Currency 5 4 2 2 16" xfId="20926" xr:uid="{00000000-0005-0000-0000-0000DC4C0000}"/>
    <cellStyle name="Currency 5 4 2 2 17" xfId="20927" xr:uid="{00000000-0005-0000-0000-0000DD4C0000}"/>
    <cellStyle name="Currency 5 4 2 2 18" xfId="20895" xr:uid="{00000000-0005-0000-0000-0000DE4C0000}"/>
    <cellStyle name="Currency 5 4 2 2 2" xfId="389" xr:uid="{00000000-0005-0000-0000-0000DF4C0000}"/>
    <cellStyle name="Currency 5 4 2 2 2 10" xfId="20929" xr:uid="{00000000-0005-0000-0000-0000E04C0000}"/>
    <cellStyle name="Currency 5 4 2 2 2 10 2" xfId="20930" xr:uid="{00000000-0005-0000-0000-0000E14C0000}"/>
    <cellStyle name="Currency 5 4 2 2 2 10 2 2" xfId="20931" xr:uid="{00000000-0005-0000-0000-0000E24C0000}"/>
    <cellStyle name="Currency 5 4 2 2 2 10 2 2 2" xfId="20932" xr:uid="{00000000-0005-0000-0000-0000E34C0000}"/>
    <cellStyle name="Currency 5 4 2 2 2 10 2 3" xfId="20933" xr:uid="{00000000-0005-0000-0000-0000E44C0000}"/>
    <cellStyle name="Currency 5 4 2 2 2 10 3" xfId="20934" xr:uid="{00000000-0005-0000-0000-0000E54C0000}"/>
    <cellStyle name="Currency 5 4 2 2 2 10 3 2" xfId="20935" xr:uid="{00000000-0005-0000-0000-0000E64C0000}"/>
    <cellStyle name="Currency 5 4 2 2 2 10 4" xfId="20936" xr:uid="{00000000-0005-0000-0000-0000E74C0000}"/>
    <cellStyle name="Currency 5 4 2 2 2 11" xfId="20937" xr:uid="{00000000-0005-0000-0000-0000E84C0000}"/>
    <cellStyle name="Currency 5 4 2 2 2 11 2" xfId="20938" xr:uid="{00000000-0005-0000-0000-0000E94C0000}"/>
    <cellStyle name="Currency 5 4 2 2 2 11 2 2" xfId="20939" xr:uid="{00000000-0005-0000-0000-0000EA4C0000}"/>
    <cellStyle name="Currency 5 4 2 2 2 11 3" xfId="20940" xr:uid="{00000000-0005-0000-0000-0000EB4C0000}"/>
    <cellStyle name="Currency 5 4 2 2 2 12" xfId="20941" xr:uid="{00000000-0005-0000-0000-0000EC4C0000}"/>
    <cellStyle name="Currency 5 4 2 2 2 12 2" xfId="20942" xr:uid="{00000000-0005-0000-0000-0000ED4C0000}"/>
    <cellStyle name="Currency 5 4 2 2 2 12 2 2" xfId="20943" xr:uid="{00000000-0005-0000-0000-0000EE4C0000}"/>
    <cellStyle name="Currency 5 4 2 2 2 12 3" xfId="20944" xr:uid="{00000000-0005-0000-0000-0000EF4C0000}"/>
    <cellStyle name="Currency 5 4 2 2 2 13" xfId="20945" xr:uid="{00000000-0005-0000-0000-0000F04C0000}"/>
    <cellStyle name="Currency 5 4 2 2 2 13 2" xfId="20946" xr:uid="{00000000-0005-0000-0000-0000F14C0000}"/>
    <cellStyle name="Currency 5 4 2 2 2 13 2 2" xfId="20947" xr:uid="{00000000-0005-0000-0000-0000F24C0000}"/>
    <cellStyle name="Currency 5 4 2 2 2 13 3" xfId="20948" xr:uid="{00000000-0005-0000-0000-0000F34C0000}"/>
    <cellStyle name="Currency 5 4 2 2 2 14" xfId="20949" xr:uid="{00000000-0005-0000-0000-0000F44C0000}"/>
    <cellStyle name="Currency 5 4 2 2 2 14 2" xfId="20950" xr:uid="{00000000-0005-0000-0000-0000F54C0000}"/>
    <cellStyle name="Currency 5 4 2 2 2 15" xfId="20951" xr:uid="{00000000-0005-0000-0000-0000F64C0000}"/>
    <cellStyle name="Currency 5 4 2 2 2 16" xfId="20952" xr:uid="{00000000-0005-0000-0000-0000F74C0000}"/>
    <cellStyle name="Currency 5 4 2 2 2 17" xfId="20928" xr:uid="{00000000-0005-0000-0000-0000F84C0000}"/>
    <cellStyle name="Currency 5 4 2 2 2 2" xfId="390" xr:uid="{00000000-0005-0000-0000-0000F94C0000}"/>
    <cellStyle name="Currency 5 4 2 2 2 2 10" xfId="20954" xr:uid="{00000000-0005-0000-0000-0000FA4C0000}"/>
    <cellStyle name="Currency 5 4 2 2 2 2 10 2" xfId="20955" xr:uid="{00000000-0005-0000-0000-0000FB4C0000}"/>
    <cellStyle name="Currency 5 4 2 2 2 2 10 2 2" xfId="20956" xr:uid="{00000000-0005-0000-0000-0000FC4C0000}"/>
    <cellStyle name="Currency 5 4 2 2 2 2 10 3" xfId="20957" xr:uid="{00000000-0005-0000-0000-0000FD4C0000}"/>
    <cellStyle name="Currency 5 4 2 2 2 2 11" xfId="20958" xr:uid="{00000000-0005-0000-0000-0000FE4C0000}"/>
    <cellStyle name="Currency 5 4 2 2 2 2 11 2" xfId="20959" xr:uid="{00000000-0005-0000-0000-0000FF4C0000}"/>
    <cellStyle name="Currency 5 4 2 2 2 2 11 2 2" xfId="20960" xr:uid="{00000000-0005-0000-0000-0000004D0000}"/>
    <cellStyle name="Currency 5 4 2 2 2 2 11 3" xfId="20961" xr:uid="{00000000-0005-0000-0000-0000014D0000}"/>
    <cellStyle name="Currency 5 4 2 2 2 2 12" xfId="20962" xr:uid="{00000000-0005-0000-0000-0000024D0000}"/>
    <cellStyle name="Currency 5 4 2 2 2 2 12 2" xfId="20963" xr:uid="{00000000-0005-0000-0000-0000034D0000}"/>
    <cellStyle name="Currency 5 4 2 2 2 2 13" xfId="20964" xr:uid="{00000000-0005-0000-0000-0000044D0000}"/>
    <cellStyle name="Currency 5 4 2 2 2 2 14" xfId="20965" xr:uid="{00000000-0005-0000-0000-0000054D0000}"/>
    <cellStyle name="Currency 5 4 2 2 2 2 15" xfId="20953" xr:uid="{00000000-0005-0000-0000-0000064D0000}"/>
    <cellStyle name="Currency 5 4 2 2 2 2 2" xfId="933" xr:uid="{00000000-0005-0000-0000-0000074D0000}"/>
    <cellStyle name="Currency 5 4 2 2 2 2 2 10" xfId="20967" xr:uid="{00000000-0005-0000-0000-0000084D0000}"/>
    <cellStyle name="Currency 5 4 2 2 2 2 2 11" xfId="20966" xr:uid="{00000000-0005-0000-0000-0000094D0000}"/>
    <cellStyle name="Currency 5 4 2 2 2 2 2 2" xfId="1674" xr:uid="{00000000-0005-0000-0000-00000A4D0000}"/>
    <cellStyle name="Currency 5 4 2 2 2 2 2 2 2" xfId="20969" xr:uid="{00000000-0005-0000-0000-00000B4D0000}"/>
    <cellStyle name="Currency 5 4 2 2 2 2 2 2 2 2" xfId="20970" xr:uid="{00000000-0005-0000-0000-00000C4D0000}"/>
    <cellStyle name="Currency 5 4 2 2 2 2 2 2 2 2 2" xfId="20971" xr:uid="{00000000-0005-0000-0000-00000D4D0000}"/>
    <cellStyle name="Currency 5 4 2 2 2 2 2 2 2 2 2 2" xfId="20972" xr:uid="{00000000-0005-0000-0000-00000E4D0000}"/>
    <cellStyle name="Currency 5 4 2 2 2 2 2 2 2 2 3" xfId="20973" xr:uid="{00000000-0005-0000-0000-00000F4D0000}"/>
    <cellStyle name="Currency 5 4 2 2 2 2 2 2 2 3" xfId="20974" xr:uid="{00000000-0005-0000-0000-0000104D0000}"/>
    <cellStyle name="Currency 5 4 2 2 2 2 2 2 2 3 2" xfId="20975" xr:uid="{00000000-0005-0000-0000-0000114D0000}"/>
    <cellStyle name="Currency 5 4 2 2 2 2 2 2 2 4" xfId="20976" xr:uid="{00000000-0005-0000-0000-0000124D0000}"/>
    <cellStyle name="Currency 5 4 2 2 2 2 2 2 3" xfId="20977" xr:uid="{00000000-0005-0000-0000-0000134D0000}"/>
    <cellStyle name="Currency 5 4 2 2 2 2 2 2 3 2" xfId="20978" xr:uid="{00000000-0005-0000-0000-0000144D0000}"/>
    <cellStyle name="Currency 5 4 2 2 2 2 2 2 3 2 2" xfId="20979" xr:uid="{00000000-0005-0000-0000-0000154D0000}"/>
    <cellStyle name="Currency 5 4 2 2 2 2 2 2 3 2 2 2" xfId="20980" xr:uid="{00000000-0005-0000-0000-0000164D0000}"/>
    <cellStyle name="Currency 5 4 2 2 2 2 2 2 3 2 3" xfId="20981" xr:uid="{00000000-0005-0000-0000-0000174D0000}"/>
    <cellStyle name="Currency 5 4 2 2 2 2 2 2 3 3" xfId="20982" xr:uid="{00000000-0005-0000-0000-0000184D0000}"/>
    <cellStyle name="Currency 5 4 2 2 2 2 2 2 3 3 2" xfId="20983" xr:uid="{00000000-0005-0000-0000-0000194D0000}"/>
    <cellStyle name="Currency 5 4 2 2 2 2 2 2 3 4" xfId="20984" xr:uid="{00000000-0005-0000-0000-00001A4D0000}"/>
    <cellStyle name="Currency 5 4 2 2 2 2 2 2 4" xfId="20985" xr:uid="{00000000-0005-0000-0000-00001B4D0000}"/>
    <cellStyle name="Currency 5 4 2 2 2 2 2 2 4 2" xfId="20986" xr:uid="{00000000-0005-0000-0000-00001C4D0000}"/>
    <cellStyle name="Currency 5 4 2 2 2 2 2 2 4 2 2" xfId="20987" xr:uid="{00000000-0005-0000-0000-00001D4D0000}"/>
    <cellStyle name="Currency 5 4 2 2 2 2 2 2 4 3" xfId="20988" xr:uid="{00000000-0005-0000-0000-00001E4D0000}"/>
    <cellStyle name="Currency 5 4 2 2 2 2 2 2 5" xfId="20989" xr:uid="{00000000-0005-0000-0000-00001F4D0000}"/>
    <cellStyle name="Currency 5 4 2 2 2 2 2 2 5 2" xfId="20990" xr:uid="{00000000-0005-0000-0000-0000204D0000}"/>
    <cellStyle name="Currency 5 4 2 2 2 2 2 2 6" xfId="20991" xr:uid="{00000000-0005-0000-0000-0000214D0000}"/>
    <cellStyle name="Currency 5 4 2 2 2 2 2 2 7" xfId="20968" xr:uid="{00000000-0005-0000-0000-0000224D0000}"/>
    <cellStyle name="Currency 5 4 2 2 2 2 2 3" xfId="20992" xr:uid="{00000000-0005-0000-0000-0000234D0000}"/>
    <cellStyle name="Currency 5 4 2 2 2 2 2 3 2" xfId="20993" xr:uid="{00000000-0005-0000-0000-0000244D0000}"/>
    <cellStyle name="Currency 5 4 2 2 2 2 2 3 2 2" xfId="20994" xr:uid="{00000000-0005-0000-0000-0000254D0000}"/>
    <cellStyle name="Currency 5 4 2 2 2 2 2 3 2 2 2" xfId="20995" xr:uid="{00000000-0005-0000-0000-0000264D0000}"/>
    <cellStyle name="Currency 5 4 2 2 2 2 2 3 2 2 2 2" xfId="20996" xr:uid="{00000000-0005-0000-0000-0000274D0000}"/>
    <cellStyle name="Currency 5 4 2 2 2 2 2 3 2 2 3" xfId="20997" xr:uid="{00000000-0005-0000-0000-0000284D0000}"/>
    <cellStyle name="Currency 5 4 2 2 2 2 2 3 2 3" xfId="20998" xr:uid="{00000000-0005-0000-0000-0000294D0000}"/>
    <cellStyle name="Currency 5 4 2 2 2 2 2 3 2 3 2" xfId="20999" xr:uid="{00000000-0005-0000-0000-00002A4D0000}"/>
    <cellStyle name="Currency 5 4 2 2 2 2 2 3 2 4" xfId="21000" xr:uid="{00000000-0005-0000-0000-00002B4D0000}"/>
    <cellStyle name="Currency 5 4 2 2 2 2 2 3 3" xfId="21001" xr:uid="{00000000-0005-0000-0000-00002C4D0000}"/>
    <cellStyle name="Currency 5 4 2 2 2 2 2 3 3 2" xfId="21002" xr:uid="{00000000-0005-0000-0000-00002D4D0000}"/>
    <cellStyle name="Currency 5 4 2 2 2 2 2 3 3 2 2" xfId="21003" xr:uid="{00000000-0005-0000-0000-00002E4D0000}"/>
    <cellStyle name="Currency 5 4 2 2 2 2 2 3 3 3" xfId="21004" xr:uid="{00000000-0005-0000-0000-00002F4D0000}"/>
    <cellStyle name="Currency 5 4 2 2 2 2 2 3 4" xfId="21005" xr:uid="{00000000-0005-0000-0000-0000304D0000}"/>
    <cellStyle name="Currency 5 4 2 2 2 2 2 3 4 2" xfId="21006" xr:uid="{00000000-0005-0000-0000-0000314D0000}"/>
    <cellStyle name="Currency 5 4 2 2 2 2 2 3 5" xfId="21007" xr:uid="{00000000-0005-0000-0000-0000324D0000}"/>
    <cellStyle name="Currency 5 4 2 2 2 2 2 4" xfId="21008" xr:uid="{00000000-0005-0000-0000-0000334D0000}"/>
    <cellStyle name="Currency 5 4 2 2 2 2 2 4 2" xfId="21009" xr:uid="{00000000-0005-0000-0000-0000344D0000}"/>
    <cellStyle name="Currency 5 4 2 2 2 2 2 4 2 2" xfId="21010" xr:uid="{00000000-0005-0000-0000-0000354D0000}"/>
    <cellStyle name="Currency 5 4 2 2 2 2 2 4 2 2 2" xfId="21011" xr:uid="{00000000-0005-0000-0000-0000364D0000}"/>
    <cellStyle name="Currency 5 4 2 2 2 2 2 4 2 2 2 2" xfId="21012" xr:uid="{00000000-0005-0000-0000-0000374D0000}"/>
    <cellStyle name="Currency 5 4 2 2 2 2 2 4 2 2 3" xfId="21013" xr:uid="{00000000-0005-0000-0000-0000384D0000}"/>
    <cellStyle name="Currency 5 4 2 2 2 2 2 4 2 3" xfId="21014" xr:uid="{00000000-0005-0000-0000-0000394D0000}"/>
    <cellStyle name="Currency 5 4 2 2 2 2 2 4 2 3 2" xfId="21015" xr:uid="{00000000-0005-0000-0000-00003A4D0000}"/>
    <cellStyle name="Currency 5 4 2 2 2 2 2 4 2 4" xfId="21016" xr:uid="{00000000-0005-0000-0000-00003B4D0000}"/>
    <cellStyle name="Currency 5 4 2 2 2 2 2 4 3" xfId="21017" xr:uid="{00000000-0005-0000-0000-00003C4D0000}"/>
    <cellStyle name="Currency 5 4 2 2 2 2 2 4 3 2" xfId="21018" xr:uid="{00000000-0005-0000-0000-00003D4D0000}"/>
    <cellStyle name="Currency 5 4 2 2 2 2 2 4 3 2 2" xfId="21019" xr:uid="{00000000-0005-0000-0000-00003E4D0000}"/>
    <cellStyle name="Currency 5 4 2 2 2 2 2 4 3 3" xfId="21020" xr:uid="{00000000-0005-0000-0000-00003F4D0000}"/>
    <cellStyle name="Currency 5 4 2 2 2 2 2 4 4" xfId="21021" xr:uid="{00000000-0005-0000-0000-0000404D0000}"/>
    <cellStyle name="Currency 5 4 2 2 2 2 2 4 4 2" xfId="21022" xr:uid="{00000000-0005-0000-0000-0000414D0000}"/>
    <cellStyle name="Currency 5 4 2 2 2 2 2 4 5" xfId="21023" xr:uid="{00000000-0005-0000-0000-0000424D0000}"/>
    <cellStyle name="Currency 5 4 2 2 2 2 2 5" xfId="21024" xr:uid="{00000000-0005-0000-0000-0000434D0000}"/>
    <cellStyle name="Currency 5 4 2 2 2 2 2 5 2" xfId="21025" xr:uid="{00000000-0005-0000-0000-0000444D0000}"/>
    <cellStyle name="Currency 5 4 2 2 2 2 2 5 2 2" xfId="21026" xr:uid="{00000000-0005-0000-0000-0000454D0000}"/>
    <cellStyle name="Currency 5 4 2 2 2 2 2 5 2 2 2" xfId="21027" xr:uid="{00000000-0005-0000-0000-0000464D0000}"/>
    <cellStyle name="Currency 5 4 2 2 2 2 2 5 2 3" xfId="21028" xr:uid="{00000000-0005-0000-0000-0000474D0000}"/>
    <cellStyle name="Currency 5 4 2 2 2 2 2 5 3" xfId="21029" xr:uid="{00000000-0005-0000-0000-0000484D0000}"/>
    <cellStyle name="Currency 5 4 2 2 2 2 2 5 3 2" xfId="21030" xr:uid="{00000000-0005-0000-0000-0000494D0000}"/>
    <cellStyle name="Currency 5 4 2 2 2 2 2 5 4" xfId="21031" xr:uid="{00000000-0005-0000-0000-00004A4D0000}"/>
    <cellStyle name="Currency 5 4 2 2 2 2 2 6" xfId="21032" xr:uid="{00000000-0005-0000-0000-00004B4D0000}"/>
    <cellStyle name="Currency 5 4 2 2 2 2 2 6 2" xfId="21033" xr:uid="{00000000-0005-0000-0000-00004C4D0000}"/>
    <cellStyle name="Currency 5 4 2 2 2 2 2 6 2 2" xfId="21034" xr:uid="{00000000-0005-0000-0000-00004D4D0000}"/>
    <cellStyle name="Currency 5 4 2 2 2 2 2 6 2 2 2" xfId="21035" xr:uid="{00000000-0005-0000-0000-00004E4D0000}"/>
    <cellStyle name="Currency 5 4 2 2 2 2 2 6 2 3" xfId="21036" xr:uid="{00000000-0005-0000-0000-00004F4D0000}"/>
    <cellStyle name="Currency 5 4 2 2 2 2 2 6 3" xfId="21037" xr:uid="{00000000-0005-0000-0000-0000504D0000}"/>
    <cellStyle name="Currency 5 4 2 2 2 2 2 6 3 2" xfId="21038" xr:uid="{00000000-0005-0000-0000-0000514D0000}"/>
    <cellStyle name="Currency 5 4 2 2 2 2 2 6 4" xfId="21039" xr:uid="{00000000-0005-0000-0000-0000524D0000}"/>
    <cellStyle name="Currency 5 4 2 2 2 2 2 7" xfId="21040" xr:uid="{00000000-0005-0000-0000-0000534D0000}"/>
    <cellStyle name="Currency 5 4 2 2 2 2 2 7 2" xfId="21041" xr:uid="{00000000-0005-0000-0000-0000544D0000}"/>
    <cellStyle name="Currency 5 4 2 2 2 2 2 7 2 2" xfId="21042" xr:uid="{00000000-0005-0000-0000-0000554D0000}"/>
    <cellStyle name="Currency 5 4 2 2 2 2 2 7 2 2 2" xfId="21043" xr:uid="{00000000-0005-0000-0000-0000564D0000}"/>
    <cellStyle name="Currency 5 4 2 2 2 2 2 7 2 3" xfId="21044" xr:uid="{00000000-0005-0000-0000-0000574D0000}"/>
    <cellStyle name="Currency 5 4 2 2 2 2 2 7 3" xfId="21045" xr:uid="{00000000-0005-0000-0000-0000584D0000}"/>
    <cellStyle name="Currency 5 4 2 2 2 2 2 7 3 2" xfId="21046" xr:uid="{00000000-0005-0000-0000-0000594D0000}"/>
    <cellStyle name="Currency 5 4 2 2 2 2 2 7 4" xfId="21047" xr:uid="{00000000-0005-0000-0000-00005A4D0000}"/>
    <cellStyle name="Currency 5 4 2 2 2 2 2 8" xfId="21048" xr:uid="{00000000-0005-0000-0000-00005B4D0000}"/>
    <cellStyle name="Currency 5 4 2 2 2 2 2 8 2" xfId="21049" xr:uid="{00000000-0005-0000-0000-00005C4D0000}"/>
    <cellStyle name="Currency 5 4 2 2 2 2 2 8 2 2" xfId="21050" xr:uid="{00000000-0005-0000-0000-00005D4D0000}"/>
    <cellStyle name="Currency 5 4 2 2 2 2 2 8 3" xfId="21051" xr:uid="{00000000-0005-0000-0000-00005E4D0000}"/>
    <cellStyle name="Currency 5 4 2 2 2 2 2 9" xfId="21052" xr:uid="{00000000-0005-0000-0000-00005F4D0000}"/>
    <cellStyle name="Currency 5 4 2 2 2 2 2 9 2" xfId="21053" xr:uid="{00000000-0005-0000-0000-0000604D0000}"/>
    <cellStyle name="Currency 5 4 2 2 2 2 3" xfId="1349" xr:uid="{00000000-0005-0000-0000-0000614D0000}"/>
    <cellStyle name="Currency 5 4 2 2 2 2 3 2" xfId="21055" xr:uid="{00000000-0005-0000-0000-0000624D0000}"/>
    <cellStyle name="Currency 5 4 2 2 2 2 3 2 2" xfId="21056" xr:uid="{00000000-0005-0000-0000-0000634D0000}"/>
    <cellStyle name="Currency 5 4 2 2 2 2 3 2 2 2" xfId="21057" xr:uid="{00000000-0005-0000-0000-0000644D0000}"/>
    <cellStyle name="Currency 5 4 2 2 2 2 3 2 2 2 2" xfId="21058" xr:uid="{00000000-0005-0000-0000-0000654D0000}"/>
    <cellStyle name="Currency 5 4 2 2 2 2 3 2 2 3" xfId="21059" xr:uid="{00000000-0005-0000-0000-0000664D0000}"/>
    <cellStyle name="Currency 5 4 2 2 2 2 3 2 3" xfId="21060" xr:uid="{00000000-0005-0000-0000-0000674D0000}"/>
    <cellStyle name="Currency 5 4 2 2 2 2 3 2 3 2" xfId="21061" xr:uid="{00000000-0005-0000-0000-0000684D0000}"/>
    <cellStyle name="Currency 5 4 2 2 2 2 3 2 4" xfId="21062" xr:uid="{00000000-0005-0000-0000-0000694D0000}"/>
    <cellStyle name="Currency 5 4 2 2 2 2 3 3" xfId="21063" xr:uid="{00000000-0005-0000-0000-00006A4D0000}"/>
    <cellStyle name="Currency 5 4 2 2 2 2 3 3 2" xfId="21064" xr:uid="{00000000-0005-0000-0000-00006B4D0000}"/>
    <cellStyle name="Currency 5 4 2 2 2 2 3 3 2 2" xfId="21065" xr:uid="{00000000-0005-0000-0000-00006C4D0000}"/>
    <cellStyle name="Currency 5 4 2 2 2 2 3 3 2 2 2" xfId="21066" xr:uid="{00000000-0005-0000-0000-00006D4D0000}"/>
    <cellStyle name="Currency 5 4 2 2 2 2 3 3 2 3" xfId="21067" xr:uid="{00000000-0005-0000-0000-00006E4D0000}"/>
    <cellStyle name="Currency 5 4 2 2 2 2 3 3 3" xfId="21068" xr:uid="{00000000-0005-0000-0000-00006F4D0000}"/>
    <cellStyle name="Currency 5 4 2 2 2 2 3 3 3 2" xfId="21069" xr:uid="{00000000-0005-0000-0000-0000704D0000}"/>
    <cellStyle name="Currency 5 4 2 2 2 2 3 3 4" xfId="21070" xr:uid="{00000000-0005-0000-0000-0000714D0000}"/>
    <cellStyle name="Currency 5 4 2 2 2 2 3 4" xfId="21071" xr:uid="{00000000-0005-0000-0000-0000724D0000}"/>
    <cellStyle name="Currency 5 4 2 2 2 2 3 4 2" xfId="21072" xr:uid="{00000000-0005-0000-0000-0000734D0000}"/>
    <cellStyle name="Currency 5 4 2 2 2 2 3 4 2 2" xfId="21073" xr:uid="{00000000-0005-0000-0000-0000744D0000}"/>
    <cellStyle name="Currency 5 4 2 2 2 2 3 4 3" xfId="21074" xr:uid="{00000000-0005-0000-0000-0000754D0000}"/>
    <cellStyle name="Currency 5 4 2 2 2 2 3 5" xfId="21075" xr:uid="{00000000-0005-0000-0000-0000764D0000}"/>
    <cellStyle name="Currency 5 4 2 2 2 2 3 5 2" xfId="21076" xr:uid="{00000000-0005-0000-0000-0000774D0000}"/>
    <cellStyle name="Currency 5 4 2 2 2 2 3 6" xfId="21077" xr:uid="{00000000-0005-0000-0000-0000784D0000}"/>
    <cellStyle name="Currency 5 4 2 2 2 2 3 7" xfId="21054" xr:uid="{00000000-0005-0000-0000-0000794D0000}"/>
    <cellStyle name="Currency 5 4 2 2 2 2 4" xfId="21078" xr:uid="{00000000-0005-0000-0000-00007A4D0000}"/>
    <cellStyle name="Currency 5 4 2 2 2 2 4 2" xfId="21079" xr:uid="{00000000-0005-0000-0000-00007B4D0000}"/>
    <cellStyle name="Currency 5 4 2 2 2 2 4 2 2" xfId="21080" xr:uid="{00000000-0005-0000-0000-00007C4D0000}"/>
    <cellStyle name="Currency 5 4 2 2 2 2 4 2 2 2" xfId="21081" xr:uid="{00000000-0005-0000-0000-00007D4D0000}"/>
    <cellStyle name="Currency 5 4 2 2 2 2 4 2 2 2 2" xfId="21082" xr:uid="{00000000-0005-0000-0000-00007E4D0000}"/>
    <cellStyle name="Currency 5 4 2 2 2 2 4 2 2 3" xfId="21083" xr:uid="{00000000-0005-0000-0000-00007F4D0000}"/>
    <cellStyle name="Currency 5 4 2 2 2 2 4 2 3" xfId="21084" xr:uid="{00000000-0005-0000-0000-0000804D0000}"/>
    <cellStyle name="Currency 5 4 2 2 2 2 4 2 3 2" xfId="21085" xr:uid="{00000000-0005-0000-0000-0000814D0000}"/>
    <cellStyle name="Currency 5 4 2 2 2 2 4 2 4" xfId="21086" xr:uid="{00000000-0005-0000-0000-0000824D0000}"/>
    <cellStyle name="Currency 5 4 2 2 2 2 4 3" xfId="21087" xr:uid="{00000000-0005-0000-0000-0000834D0000}"/>
    <cellStyle name="Currency 5 4 2 2 2 2 4 3 2" xfId="21088" xr:uid="{00000000-0005-0000-0000-0000844D0000}"/>
    <cellStyle name="Currency 5 4 2 2 2 2 4 3 2 2" xfId="21089" xr:uid="{00000000-0005-0000-0000-0000854D0000}"/>
    <cellStyle name="Currency 5 4 2 2 2 2 4 3 3" xfId="21090" xr:uid="{00000000-0005-0000-0000-0000864D0000}"/>
    <cellStyle name="Currency 5 4 2 2 2 2 4 4" xfId="21091" xr:uid="{00000000-0005-0000-0000-0000874D0000}"/>
    <cellStyle name="Currency 5 4 2 2 2 2 4 4 2" xfId="21092" xr:uid="{00000000-0005-0000-0000-0000884D0000}"/>
    <cellStyle name="Currency 5 4 2 2 2 2 4 5" xfId="21093" xr:uid="{00000000-0005-0000-0000-0000894D0000}"/>
    <cellStyle name="Currency 5 4 2 2 2 2 5" xfId="21094" xr:uid="{00000000-0005-0000-0000-00008A4D0000}"/>
    <cellStyle name="Currency 5 4 2 2 2 2 5 2" xfId="21095" xr:uid="{00000000-0005-0000-0000-00008B4D0000}"/>
    <cellStyle name="Currency 5 4 2 2 2 2 5 2 2" xfId="21096" xr:uid="{00000000-0005-0000-0000-00008C4D0000}"/>
    <cellStyle name="Currency 5 4 2 2 2 2 5 2 2 2" xfId="21097" xr:uid="{00000000-0005-0000-0000-00008D4D0000}"/>
    <cellStyle name="Currency 5 4 2 2 2 2 5 2 2 2 2" xfId="21098" xr:uid="{00000000-0005-0000-0000-00008E4D0000}"/>
    <cellStyle name="Currency 5 4 2 2 2 2 5 2 2 3" xfId="21099" xr:uid="{00000000-0005-0000-0000-00008F4D0000}"/>
    <cellStyle name="Currency 5 4 2 2 2 2 5 2 3" xfId="21100" xr:uid="{00000000-0005-0000-0000-0000904D0000}"/>
    <cellStyle name="Currency 5 4 2 2 2 2 5 2 3 2" xfId="21101" xr:uid="{00000000-0005-0000-0000-0000914D0000}"/>
    <cellStyle name="Currency 5 4 2 2 2 2 5 2 4" xfId="21102" xr:uid="{00000000-0005-0000-0000-0000924D0000}"/>
    <cellStyle name="Currency 5 4 2 2 2 2 5 3" xfId="21103" xr:uid="{00000000-0005-0000-0000-0000934D0000}"/>
    <cellStyle name="Currency 5 4 2 2 2 2 5 3 2" xfId="21104" xr:uid="{00000000-0005-0000-0000-0000944D0000}"/>
    <cellStyle name="Currency 5 4 2 2 2 2 5 3 2 2" xfId="21105" xr:uid="{00000000-0005-0000-0000-0000954D0000}"/>
    <cellStyle name="Currency 5 4 2 2 2 2 5 3 3" xfId="21106" xr:uid="{00000000-0005-0000-0000-0000964D0000}"/>
    <cellStyle name="Currency 5 4 2 2 2 2 5 4" xfId="21107" xr:uid="{00000000-0005-0000-0000-0000974D0000}"/>
    <cellStyle name="Currency 5 4 2 2 2 2 5 4 2" xfId="21108" xr:uid="{00000000-0005-0000-0000-0000984D0000}"/>
    <cellStyle name="Currency 5 4 2 2 2 2 5 5" xfId="21109" xr:uid="{00000000-0005-0000-0000-0000994D0000}"/>
    <cellStyle name="Currency 5 4 2 2 2 2 6" xfId="21110" xr:uid="{00000000-0005-0000-0000-00009A4D0000}"/>
    <cellStyle name="Currency 5 4 2 2 2 2 6 2" xfId="21111" xr:uid="{00000000-0005-0000-0000-00009B4D0000}"/>
    <cellStyle name="Currency 5 4 2 2 2 2 6 2 2" xfId="21112" xr:uid="{00000000-0005-0000-0000-00009C4D0000}"/>
    <cellStyle name="Currency 5 4 2 2 2 2 6 2 2 2" xfId="21113" xr:uid="{00000000-0005-0000-0000-00009D4D0000}"/>
    <cellStyle name="Currency 5 4 2 2 2 2 6 2 3" xfId="21114" xr:uid="{00000000-0005-0000-0000-00009E4D0000}"/>
    <cellStyle name="Currency 5 4 2 2 2 2 6 3" xfId="21115" xr:uid="{00000000-0005-0000-0000-00009F4D0000}"/>
    <cellStyle name="Currency 5 4 2 2 2 2 6 3 2" xfId="21116" xr:uid="{00000000-0005-0000-0000-0000A04D0000}"/>
    <cellStyle name="Currency 5 4 2 2 2 2 6 4" xfId="21117" xr:uid="{00000000-0005-0000-0000-0000A14D0000}"/>
    <cellStyle name="Currency 5 4 2 2 2 2 7" xfId="21118" xr:uid="{00000000-0005-0000-0000-0000A24D0000}"/>
    <cellStyle name="Currency 5 4 2 2 2 2 7 2" xfId="21119" xr:uid="{00000000-0005-0000-0000-0000A34D0000}"/>
    <cellStyle name="Currency 5 4 2 2 2 2 7 2 2" xfId="21120" xr:uid="{00000000-0005-0000-0000-0000A44D0000}"/>
    <cellStyle name="Currency 5 4 2 2 2 2 7 2 2 2" xfId="21121" xr:uid="{00000000-0005-0000-0000-0000A54D0000}"/>
    <cellStyle name="Currency 5 4 2 2 2 2 7 2 3" xfId="21122" xr:uid="{00000000-0005-0000-0000-0000A64D0000}"/>
    <cellStyle name="Currency 5 4 2 2 2 2 7 3" xfId="21123" xr:uid="{00000000-0005-0000-0000-0000A74D0000}"/>
    <cellStyle name="Currency 5 4 2 2 2 2 7 3 2" xfId="21124" xr:uid="{00000000-0005-0000-0000-0000A84D0000}"/>
    <cellStyle name="Currency 5 4 2 2 2 2 7 4" xfId="21125" xr:uid="{00000000-0005-0000-0000-0000A94D0000}"/>
    <cellStyle name="Currency 5 4 2 2 2 2 8" xfId="21126" xr:uid="{00000000-0005-0000-0000-0000AA4D0000}"/>
    <cellStyle name="Currency 5 4 2 2 2 2 8 2" xfId="21127" xr:uid="{00000000-0005-0000-0000-0000AB4D0000}"/>
    <cellStyle name="Currency 5 4 2 2 2 2 8 2 2" xfId="21128" xr:uid="{00000000-0005-0000-0000-0000AC4D0000}"/>
    <cellStyle name="Currency 5 4 2 2 2 2 8 2 2 2" xfId="21129" xr:uid="{00000000-0005-0000-0000-0000AD4D0000}"/>
    <cellStyle name="Currency 5 4 2 2 2 2 8 2 3" xfId="21130" xr:uid="{00000000-0005-0000-0000-0000AE4D0000}"/>
    <cellStyle name="Currency 5 4 2 2 2 2 8 3" xfId="21131" xr:uid="{00000000-0005-0000-0000-0000AF4D0000}"/>
    <cellStyle name="Currency 5 4 2 2 2 2 8 3 2" xfId="21132" xr:uid="{00000000-0005-0000-0000-0000B04D0000}"/>
    <cellStyle name="Currency 5 4 2 2 2 2 8 4" xfId="21133" xr:uid="{00000000-0005-0000-0000-0000B14D0000}"/>
    <cellStyle name="Currency 5 4 2 2 2 2 9" xfId="21134" xr:uid="{00000000-0005-0000-0000-0000B24D0000}"/>
    <cellStyle name="Currency 5 4 2 2 2 2 9 2" xfId="21135" xr:uid="{00000000-0005-0000-0000-0000B34D0000}"/>
    <cellStyle name="Currency 5 4 2 2 2 2 9 2 2" xfId="21136" xr:uid="{00000000-0005-0000-0000-0000B44D0000}"/>
    <cellStyle name="Currency 5 4 2 2 2 2 9 3" xfId="21137" xr:uid="{00000000-0005-0000-0000-0000B54D0000}"/>
    <cellStyle name="Currency 5 4 2 2 2 3" xfId="391" xr:uid="{00000000-0005-0000-0000-0000B64D0000}"/>
    <cellStyle name="Currency 5 4 2 2 2 4" xfId="932" xr:uid="{00000000-0005-0000-0000-0000B74D0000}"/>
    <cellStyle name="Currency 5 4 2 2 2 4 10" xfId="21139" xr:uid="{00000000-0005-0000-0000-0000B84D0000}"/>
    <cellStyle name="Currency 5 4 2 2 2 4 11" xfId="21138" xr:uid="{00000000-0005-0000-0000-0000B94D0000}"/>
    <cellStyle name="Currency 5 4 2 2 2 4 2" xfId="1673" xr:uid="{00000000-0005-0000-0000-0000BA4D0000}"/>
    <cellStyle name="Currency 5 4 2 2 2 4 2 2" xfId="21141" xr:uid="{00000000-0005-0000-0000-0000BB4D0000}"/>
    <cellStyle name="Currency 5 4 2 2 2 4 2 2 2" xfId="21142" xr:uid="{00000000-0005-0000-0000-0000BC4D0000}"/>
    <cellStyle name="Currency 5 4 2 2 2 4 2 2 2 2" xfId="21143" xr:uid="{00000000-0005-0000-0000-0000BD4D0000}"/>
    <cellStyle name="Currency 5 4 2 2 2 4 2 2 2 2 2" xfId="21144" xr:uid="{00000000-0005-0000-0000-0000BE4D0000}"/>
    <cellStyle name="Currency 5 4 2 2 2 4 2 2 2 3" xfId="21145" xr:uid="{00000000-0005-0000-0000-0000BF4D0000}"/>
    <cellStyle name="Currency 5 4 2 2 2 4 2 2 3" xfId="21146" xr:uid="{00000000-0005-0000-0000-0000C04D0000}"/>
    <cellStyle name="Currency 5 4 2 2 2 4 2 2 3 2" xfId="21147" xr:uid="{00000000-0005-0000-0000-0000C14D0000}"/>
    <cellStyle name="Currency 5 4 2 2 2 4 2 2 4" xfId="21148" xr:uid="{00000000-0005-0000-0000-0000C24D0000}"/>
    <cellStyle name="Currency 5 4 2 2 2 4 2 3" xfId="21149" xr:uid="{00000000-0005-0000-0000-0000C34D0000}"/>
    <cellStyle name="Currency 5 4 2 2 2 4 2 3 2" xfId="21150" xr:uid="{00000000-0005-0000-0000-0000C44D0000}"/>
    <cellStyle name="Currency 5 4 2 2 2 4 2 3 2 2" xfId="21151" xr:uid="{00000000-0005-0000-0000-0000C54D0000}"/>
    <cellStyle name="Currency 5 4 2 2 2 4 2 3 2 2 2" xfId="21152" xr:uid="{00000000-0005-0000-0000-0000C64D0000}"/>
    <cellStyle name="Currency 5 4 2 2 2 4 2 3 2 3" xfId="21153" xr:uid="{00000000-0005-0000-0000-0000C74D0000}"/>
    <cellStyle name="Currency 5 4 2 2 2 4 2 3 3" xfId="21154" xr:uid="{00000000-0005-0000-0000-0000C84D0000}"/>
    <cellStyle name="Currency 5 4 2 2 2 4 2 3 3 2" xfId="21155" xr:uid="{00000000-0005-0000-0000-0000C94D0000}"/>
    <cellStyle name="Currency 5 4 2 2 2 4 2 3 4" xfId="21156" xr:uid="{00000000-0005-0000-0000-0000CA4D0000}"/>
    <cellStyle name="Currency 5 4 2 2 2 4 2 4" xfId="21157" xr:uid="{00000000-0005-0000-0000-0000CB4D0000}"/>
    <cellStyle name="Currency 5 4 2 2 2 4 2 4 2" xfId="21158" xr:uid="{00000000-0005-0000-0000-0000CC4D0000}"/>
    <cellStyle name="Currency 5 4 2 2 2 4 2 4 2 2" xfId="21159" xr:uid="{00000000-0005-0000-0000-0000CD4D0000}"/>
    <cellStyle name="Currency 5 4 2 2 2 4 2 4 3" xfId="21160" xr:uid="{00000000-0005-0000-0000-0000CE4D0000}"/>
    <cellStyle name="Currency 5 4 2 2 2 4 2 5" xfId="21161" xr:uid="{00000000-0005-0000-0000-0000CF4D0000}"/>
    <cellStyle name="Currency 5 4 2 2 2 4 2 5 2" xfId="21162" xr:uid="{00000000-0005-0000-0000-0000D04D0000}"/>
    <cellStyle name="Currency 5 4 2 2 2 4 2 6" xfId="21163" xr:uid="{00000000-0005-0000-0000-0000D14D0000}"/>
    <cellStyle name="Currency 5 4 2 2 2 4 2 7" xfId="21140" xr:uid="{00000000-0005-0000-0000-0000D24D0000}"/>
    <cellStyle name="Currency 5 4 2 2 2 4 3" xfId="21164" xr:uid="{00000000-0005-0000-0000-0000D34D0000}"/>
    <cellStyle name="Currency 5 4 2 2 2 4 3 2" xfId="21165" xr:uid="{00000000-0005-0000-0000-0000D44D0000}"/>
    <cellStyle name="Currency 5 4 2 2 2 4 3 2 2" xfId="21166" xr:uid="{00000000-0005-0000-0000-0000D54D0000}"/>
    <cellStyle name="Currency 5 4 2 2 2 4 3 2 2 2" xfId="21167" xr:uid="{00000000-0005-0000-0000-0000D64D0000}"/>
    <cellStyle name="Currency 5 4 2 2 2 4 3 2 2 2 2" xfId="21168" xr:uid="{00000000-0005-0000-0000-0000D74D0000}"/>
    <cellStyle name="Currency 5 4 2 2 2 4 3 2 2 3" xfId="21169" xr:uid="{00000000-0005-0000-0000-0000D84D0000}"/>
    <cellStyle name="Currency 5 4 2 2 2 4 3 2 3" xfId="21170" xr:uid="{00000000-0005-0000-0000-0000D94D0000}"/>
    <cellStyle name="Currency 5 4 2 2 2 4 3 2 3 2" xfId="21171" xr:uid="{00000000-0005-0000-0000-0000DA4D0000}"/>
    <cellStyle name="Currency 5 4 2 2 2 4 3 2 4" xfId="21172" xr:uid="{00000000-0005-0000-0000-0000DB4D0000}"/>
    <cellStyle name="Currency 5 4 2 2 2 4 3 3" xfId="21173" xr:uid="{00000000-0005-0000-0000-0000DC4D0000}"/>
    <cellStyle name="Currency 5 4 2 2 2 4 3 3 2" xfId="21174" xr:uid="{00000000-0005-0000-0000-0000DD4D0000}"/>
    <cellStyle name="Currency 5 4 2 2 2 4 3 3 2 2" xfId="21175" xr:uid="{00000000-0005-0000-0000-0000DE4D0000}"/>
    <cellStyle name="Currency 5 4 2 2 2 4 3 3 3" xfId="21176" xr:uid="{00000000-0005-0000-0000-0000DF4D0000}"/>
    <cellStyle name="Currency 5 4 2 2 2 4 3 4" xfId="21177" xr:uid="{00000000-0005-0000-0000-0000E04D0000}"/>
    <cellStyle name="Currency 5 4 2 2 2 4 3 4 2" xfId="21178" xr:uid="{00000000-0005-0000-0000-0000E14D0000}"/>
    <cellStyle name="Currency 5 4 2 2 2 4 3 5" xfId="21179" xr:uid="{00000000-0005-0000-0000-0000E24D0000}"/>
    <cellStyle name="Currency 5 4 2 2 2 4 4" xfId="21180" xr:uid="{00000000-0005-0000-0000-0000E34D0000}"/>
    <cellStyle name="Currency 5 4 2 2 2 4 4 2" xfId="21181" xr:uid="{00000000-0005-0000-0000-0000E44D0000}"/>
    <cellStyle name="Currency 5 4 2 2 2 4 4 2 2" xfId="21182" xr:uid="{00000000-0005-0000-0000-0000E54D0000}"/>
    <cellStyle name="Currency 5 4 2 2 2 4 4 2 2 2" xfId="21183" xr:uid="{00000000-0005-0000-0000-0000E64D0000}"/>
    <cellStyle name="Currency 5 4 2 2 2 4 4 2 2 2 2" xfId="21184" xr:uid="{00000000-0005-0000-0000-0000E74D0000}"/>
    <cellStyle name="Currency 5 4 2 2 2 4 4 2 2 3" xfId="21185" xr:uid="{00000000-0005-0000-0000-0000E84D0000}"/>
    <cellStyle name="Currency 5 4 2 2 2 4 4 2 3" xfId="21186" xr:uid="{00000000-0005-0000-0000-0000E94D0000}"/>
    <cellStyle name="Currency 5 4 2 2 2 4 4 2 3 2" xfId="21187" xr:uid="{00000000-0005-0000-0000-0000EA4D0000}"/>
    <cellStyle name="Currency 5 4 2 2 2 4 4 2 4" xfId="21188" xr:uid="{00000000-0005-0000-0000-0000EB4D0000}"/>
    <cellStyle name="Currency 5 4 2 2 2 4 4 3" xfId="21189" xr:uid="{00000000-0005-0000-0000-0000EC4D0000}"/>
    <cellStyle name="Currency 5 4 2 2 2 4 4 3 2" xfId="21190" xr:uid="{00000000-0005-0000-0000-0000ED4D0000}"/>
    <cellStyle name="Currency 5 4 2 2 2 4 4 3 2 2" xfId="21191" xr:uid="{00000000-0005-0000-0000-0000EE4D0000}"/>
    <cellStyle name="Currency 5 4 2 2 2 4 4 3 3" xfId="21192" xr:uid="{00000000-0005-0000-0000-0000EF4D0000}"/>
    <cellStyle name="Currency 5 4 2 2 2 4 4 4" xfId="21193" xr:uid="{00000000-0005-0000-0000-0000F04D0000}"/>
    <cellStyle name="Currency 5 4 2 2 2 4 4 4 2" xfId="21194" xr:uid="{00000000-0005-0000-0000-0000F14D0000}"/>
    <cellStyle name="Currency 5 4 2 2 2 4 4 5" xfId="21195" xr:uid="{00000000-0005-0000-0000-0000F24D0000}"/>
    <cellStyle name="Currency 5 4 2 2 2 4 5" xfId="21196" xr:uid="{00000000-0005-0000-0000-0000F34D0000}"/>
    <cellStyle name="Currency 5 4 2 2 2 4 5 2" xfId="21197" xr:uid="{00000000-0005-0000-0000-0000F44D0000}"/>
    <cellStyle name="Currency 5 4 2 2 2 4 5 2 2" xfId="21198" xr:uid="{00000000-0005-0000-0000-0000F54D0000}"/>
    <cellStyle name="Currency 5 4 2 2 2 4 5 2 2 2" xfId="21199" xr:uid="{00000000-0005-0000-0000-0000F64D0000}"/>
    <cellStyle name="Currency 5 4 2 2 2 4 5 2 3" xfId="21200" xr:uid="{00000000-0005-0000-0000-0000F74D0000}"/>
    <cellStyle name="Currency 5 4 2 2 2 4 5 3" xfId="21201" xr:uid="{00000000-0005-0000-0000-0000F84D0000}"/>
    <cellStyle name="Currency 5 4 2 2 2 4 5 3 2" xfId="21202" xr:uid="{00000000-0005-0000-0000-0000F94D0000}"/>
    <cellStyle name="Currency 5 4 2 2 2 4 5 4" xfId="21203" xr:uid="{00000000-0005-0000-0000-0000FA4D0000}"/>
    <cellStyle name="Currency 5 4 2 2 2 4 6" xfId="21204" xr:uid="{00000000-0005-0000-0000-0000FB4D0000}"/>
    <cellStyle name="Currency 5 4 2 2 2 4 6 2" xfId="21205" xr:uid="{00000000-0005-0000-0000-0000FC4D0000}"/>
    <cellStyle name="Currency 5 4 2 2 2 4 6 2 2" xfId="21206" xr:uid="{00000000-0005-0000-0000-0000FD4D0000}"/>
    <cellStyle name="Currency 5 4 2 2 2 4 6 2 2 2" xfId="21207" xr:uid="{00000000-0005-0000-0000-0000FE4D0000}"/>
    <cellStyle name="Currency 5 4 2 2 2 4 6 2 3" xfId="21208" xr:uid="{00000000-0005-0000-0000-0000FF4D0000}"/>
    <cellStyle name="Currency 5 4 2 2 2 4 6 3" xfId="21209" xr:uid="{00000000-0005-0000-0000-0000004E0000}"/>
    <cellStyle name="Currency 5 4 2 2 2 4 6 3 2" xfId="21210" xr:uid="{00000000-0005-0000-0000-0000014E0000}"/>
    <cellStyle name="Currency 5 4 2 2 2 4 6 4" xfId="21211" xr:uid="{00000000-0005-0000-0000-0000024E0000}"/>
    <cellStyle name="Currency 5 4 2 2 2 4 7" xfId="21212" xr:uid="{00000000-0005-0000-0000-0000034E0000}"/>
    <cellStyle name="Currency 5 4 2 2 2 4 7 2" xfId="21213" xr:uid="{00000000-0005-0000-0000-0000044E0000}"/>
    <cellStyle name="Currency 5 4 2 2 2 4 7 2 2" xfId="21214" xr:uid="{00000000-0005-0000-0000-0000054E0000}"/>
    <cellStyle name="Currency 5 4 2 2 2 4 7 2 2 2" xfId="21215" xr:uid="{00000000-0005-0000-0000-0000064E0000}"/>
    <cellStyle name="Currency 5 4 2 2 2 4 7 2 3" xfId="21216" xr:uid="{00000000-0005-0000-0000-0000074E0000}"/>
    <cellStyle name="Currency 5 4 2 2 2 4 7 3" xfId="21217" xr:uid="{00000000-0005-0000-0000-0000084E0000}"/>
    <cellStyle name="Currency 5 4 2 2 2 4 7 3 2" xfId="21218" xr:uid="{00000000-0005-0000-0000-0000094E0000}"/>
    <cellStyle name="Currency 5 4 2 2 2 4 7 4" xfId="21219" xr:uid="{00000000-0005-0000-0000-00000A4E0000}"/>
    <cellStyle name="Currency 5 4 2 2 2 4 8" xfId="21220" xr:uid="{00000000-0005-0000-0000-00000B4E0000}"/>
    <cellStyle name="Currency 5 4 2 2 2 4 8 2" xfId="21221" xr:uid="{00000000-0005-0000-0000-00000C4E0000}"/>
    <cellStyle name="Currency 5 4 2 2 2 4 8 2 2" xfId="21222" xr:uid="{00000000-0005-0000-0000-00000D4E0000}"/>
    <cellStyle name="Currency 5 4 2 2 2 4 8 3" xfId="21223" xr:uid="{00000000-0005-0000-0000-00000E4E0000}"/>
    <cellStyle name="Currency 5 4 2 2 2 4 9" xfId="21224" xr:uid="{00000000-0005-0000-0000-00000F4E0000}"/>
    <cellStyle name="Currency 5 4 2 2 2 4 9 2" xfId="21225" xr:uid="{00000000-0005-0000-0000-0000104E0000}"/>
    <cellStyle name="Currency 5 4 2 2 2 5" xfId="1348" xr:uid="{00000000-0005-0000-0000-0000114E0000}"/>
    <cellStyle name="Currency 5 4 2 2 2 5 2" xfId="21227" xr:uid="{00000000-0005-0000-0000-0000124E0000}"/>
    <cellStyle name="Currency 5 4 2 2 2 5 2 2" xfId="21228" xr:uid="{00000000-0005-0000-0000-0000134E0000}"/>
    <cellStyle name="Currency 5 4 2 2 2 5 2 2 2" xfId="21229" xr:uid="{00000000-0005-0000-0000-0000144E0000}"/>
    <cellStyle name="Currency 5 4 2 2 2 5 2 2 2 2" xfId="21230" xr:uid="{00000000-0005-0000-0000-0000154E0000}"/>
    <cellStyle name="Currency 5 4 2 2 2 5 2 2 3" xfId="21231" xr:uid="{00000000-0005-0000-0000-0000164E0000}"/>
    <cellStyle name="Currency 5 4 2 2 2 5 2 3" xfId="21232" xr:uid="{00000000-0005-0000-0000-0000174E0000}"/>
    <cellStyle name="Currency 5 4 2 2 2 5 2 3 2" xfId="21233" xr:uid="{00000000-0005-0000-0000-0000184E0000}"/>
    <cellStyle name="Currency 5 4 2 2 2 5 2 4" xfId="21234" xr:uid="{00000000-0005-0000-0000-0000194E0000}"/>
    <cellStyle name="Currency 5 4 2 2 2 5 3" xfId="21235" xr:uid="{00000000-0005-0000-0000-00001A4E0000}"/>
    <cellStyle name="Currency 5 4 2 2 2 5 3 2" xfId="21236" xr:uid="{00000000-0005-0000-0000-00001B4E0000}"/>
    <cellStyle name="Currency 5 4 2 2 2 5 3 2 2" xfId="21237" xr:uid="{00000000-0005-0000-0000-00001C4E0000}"/>
    <cellStyle name="Currency 5 4 2 2 2 5 3 2 2 2" xfId="21238" xr:uid="{00000000-0005-0000-0000-00001D4E0000}"/>
    <cellStyle name="Currency 5 4 2 2 2 5 3 2 3" xfId="21239" xr:uid="{00000000-0005-0000-0000-00001E4E0000}"/>
    <cellStyle name="Currency 5 4 2 2 2 5 3 3" xfId="21240" xr:uid="{00000000-0005-0000-0000-00001F4E0000}"/>
    <cellStyle name="Currency 5 4 2 2 2 5 3 3 2" xfId="21241" xr:uid="{00000000-0005-0000-0000-0000204E0000}"/>
    <cellStyle name="Currency 5 4 2 2 2 5 3 4" xfId="21242" xr:uid="{00000000-0005-0000-0000-0000214E0000}"/>
    <cellStyle name="Currency 5 4 2 2 2 5 4" xfId="21243" xr:uid="{00000000-0005-0000-0000-0000224E0000}"/>
    <cellStyle name="Currency 5 4 2 2 2 5 4 2" xfId="21244" xr:uid="{00000000-0005-0000-0000-0000234E0000}"/>
    <cellStyle name="Currency 5 4 2 2 2 5 4 2 2" xfId="21245" xr:uid="{00000000-0005-0000-0000-0000244E0000}"/>
    <cellStyle name="Currency 5 4 2 2 2 5 4 3" xfId="21246" xr:uid="{00000000-0005-0000-0000-0000254E0000}"/>
    <cellStyle name="Currency 5 4 2 2 2 5 5" xfId="21247" xr:uid="{00000000-0005-0000-0000-0000264E0000}"/>
    <cellStyle name="Currency 5 4 2 2 2 5 5 2" xfId="21248" xr:uid="{00000000-0005-0000-0000-0000274E0000}"/>
    <cellStyle name="Currency 5 4 2 2 2 5 6" xfId="21249" xr:uid="{00000000-0005-0000-0000-0000284E0000}"/>
    <cellStyle name="Currency 5 4 2 2 2 5 7" xfId="21226" xr:uid="{00000000-0005-0000-0000-0000294E0000}"/>
    <cellStyle name="Currency 5 4 2 2 2 6" xfId="21250" xr:uid="{00000000-0005-0000-0000-00002A4E0000}"/>
    <cellStyle name="Currency 5 4 2 2 2 6 2" xfId="21251" xr:uid="{00000000-0005-0000-0000-00002B4E0000}"/>
    <cellStyle name="Currency 5 4 2 2 2 6 2 2" xfId="21252" xr:uid="{00000000-0005-0000-0000-00002C4E0000}"/>
    <cellStyle name="Currency 5 4 2 2 2 6 2 2 2" xfId="21253" xr:uid="{00000000-0005-0000-0000-00002D4E0000}"/>
    <cellStyle name="Currency 5 4 2 2 2 6 2 2 2 2" xfId="21254" xr:uid="{00000000-0005-0000-0000-00002E4E0000}"/>
    <cellStyle name="Currency 5 4 2 2 2 6 2 2 3" xfId="21255" xr:uid="{00000000-0005-0000-0000-00002F4E0000}"/>
    <cellStyle name="Currency 5 4 2 2 2 6 2 3" xfId="21256" xr:uid="{00000000-0005-0000-0000-0000304E0000}"/>
    <cellStyle name="Currency 5 4 2 2 2 6 2 3 2" xfId="21257" xr:uid="{00000000-0005-0000-0000-0000314E0000}"/>
    <cellStyle name="Currency 5 4 2 2 2 6 2 4" xfId="21258" xr:uid="{00000000-0005-0000-0000-0000324E0000}"/>
    <cellStyle name="Currency 5 4 2 2 2 6 3" xfId="21259" xr:uid="{00000000-0005-0000-0000-0000334E0000}"/>
    <cellStyle name="Currency 5 4 2 2 2 6 3 2" xfId="21260" xr:uid="{00000000-0005-0000-0000-0000344E0000}"/>
    <cellStyle name="Currency 5 4 2 2 2 6 3 2 2" xfId="21261" xr:uid="{00000000-0005-0000-0000-0000354E0000}"/>
    <cellStyle name="Currency 5 4 2 2 2 6 3 3" xfId="21262" xr:uid="{00000000-0005-0000-0000-0000364E0000}"/>
    <cellStyle name="Currency 5 4 2 2 2 6 4" xfId="21263" xr:uid="{00000000-0005-0000-0000-0000374E0000}"/>
    <cellStyle name="Currency 5 4 2 2 2 6 4 2" xfId="21264" xr:uid="{00000000-0005-0000-0000-0000384E0000}"/>
    <cellStyle name="Currency 5 4 2 2 2 6 5" xfId="21265" xr:uid="{00000000-0005-0000-0000-0000394E0000}"/>
    <cellStyle name="Currency 5 4 2 2 2 7" xfId="21266" xr:uid="{00000000-0005-0000-0000-00003A4E0000}"/>
    <cellStyle name="Currency 5 4 2 2 2 7 2" xfId="21267" xr:uid="{00000000-0005-0000-0000-00003B4E0000}"/>
    <cellStyle name="Currency 5 4 2 2 2 7 2 2" xfId="21268" xr:uid="{00000000-0005-0000-0000-00003C4E0000}"/>
    <cellStyle name="Currency 5 4 2 2 2 7 2 2 2" xfId="21269" xr:uid="{00000000-0005-0000-0000-00003D4E0000}"/>
    <cellStyle name="Currency 5 4 2 2 2 7 2 2 2 2" xfId="21270" xr:uid="{00000000-0005-0000-0000-00003E4E0000}"/>
    <cellStyle name="Currency 5 4 2 2 2 7 2 2 3" xfId="21271" xr:uid="{00000000-0005-0000-0000-00003F4E0000}"/>
    <cellStyle name="Currency 5 4 2 2 2 7 2 3" xfId="21272" xr:uid="{00000000-0005-0000-0000-0000404E0000}"/>
    <cellStyle name="Currency 5 4 2 2 2 7 2 3 2" xfId="21273" xr:uid="{00000000-0005-0000-0000-0000414E0000}"/>
    <cellStyle name="Currency 5 4 2 2 2 7 2 4" xfId="21274" xr:uid="{00000000-0005-0000-0000-0000424E0000}"/>
    <cellStyle name="Currency 5 4 2 2 2 7 3" xfId="21275" xr:uid="{00000000-0005-0000-0000-0000434E0000}"/>
    <cellStyle name="Currency 5 4 2 2 2 7 3 2" xfId="21276" xr:uid="{00000000-0005-0000-0000-0000444E0000}"/>
    <cellStyle name="Currency 5 4 2 2 2 7 3 2 2" xfId="21277" xr:uid="{00000000-0005-0000-0000-0000454E0000}"/>
    <cellStyle name="Currency 5 4 2 2 2 7 3 3" xfId="21278" xr:uid="{00000000-0005-0000-0000-0000464E0000}"/>
    <cellStyle name="Currency 5 4 2 2 2 7 4" xfId="21279" xr:uid="{00000000-0005-0000-0000-0000474E0000}"/>
    <cellStyle name="Currency 5 4 2 2 2 7 4 2" xfId="21280" xr:uid="{00000000-0005-0000-0000-0000484E0000}"/>
    <cellStyle name="Currency 5 4 2 2 2 7 5" xfId="21281" xr:uid="{00000000-0005-0000-0000-0000494E0000}"/>
    <cellStyle name="Currency 5 4 2 2 2 8" xfId="21282" xr:uid="{00000000-0005-0000-0000-00004A4E0000}"/>
    <cellStyle name="Currency 5 4 2 2 2 8 2" xfId="21283" xr:uid="{00000000-0005-0000-0000-00004B4E0000}"/>
    <cellStyle name="Currency 5 4 2 2 2 8 2 2" xfId="21284" xr:uid="{00000000-0005-0000-0000-00004C4E0000}"/>
    <cellStyle name="Currency 5 4 2 2 2 8 2 2 2" xfId="21285" xr:uid="{00000000-0005-0000-0000-00004D4E0000}"/>
    <cellStyle name="Currency 5 4 2 2 2 8 2 3" xfId="21286" xr:uid="{00000000-0005-0000-0000-00004E4E0000}"/>
    <cellStyle name="Currency 5 4 2 2 2 8 3" xfId="21287" xr:uid="{00000000-0005-0000-0000-00004F4E0000}"/>
    <cellStyle name="Currency 5 4 2 2 2 8 3 2" xfId="21288" xr:uid="{00000000-0005-0000-0000-0000504E0000}"/>
    <cellStyle name="Currency 5 4 2 2 2 8 4" xfId="21289" xr:uid="{00000000-0005-0000-0000-0000514E0000}"/>
    <cellStyle name="Currency 5 4 2 2 2 9" xfId="21290" xr:uid="{00000000-0005-0000-0000-0000524E0000}"/>
    <cellStyle name="Currency 5 4 2 2 2 9 2" xfId="21291" xr:uid="{00000000-0005-0000-0000-0000534E0000}"/>
    <cellStyle name="Currency 5 4 2 2 2 9 2 2" xfId="21292" xr:uid="{00000000-0005-0000-0000-0000544E0000}"/>
    <cellStyle name="Currency 5 4 2 2 2 9 2 2 2" xfId="21293" xr:uid="{00000000-0005-0000-0000-0000554E0000}"/>
    <cellStyle name="Currency 5 4 2 2 2 9 2 3" xfId="21294" xr:uid="{00000000-0005-0000-0000-0000564E0000}"/>
    <cellStyle name="Currency 5 4 2 2 2 9 3" xfId="21295" xr:uid="{00000000-0005-0000-0000-0000574E0000}"/>
    <cellStyle name="Currency 5 4 2 2 2 9 3 2" xfId="21296" xr:uid="{00000000-0005-0000-0000-0000584E0000}"/>
    <cellStyle name="Currency 5 4 2 2 2 9 4" xfId="21297" xr:uid="{00000000-0005-0000-0000-0000594E0000}"/>
    <cellStyle name="Currency 5 4 2 2 3" xfId="392" xr:uid="{00000000-0005-0000-0000-00005A4E0000}"/>
    <cellStyle name="Currency 5 4 2 2 3 10" xfId="21299" xr:uid="{00000000-0005-0000-0000-00005B4E0000}"/>
    <cellStyle name="Currency 5 4 2 2 3 10 2" xfId="21300" xr:uid="{00000000-0005-0000-0000-00005C4E0000}"/>
    <cellStyle name="Currency 5 4 2 2 3 10 2 2" xfId="21301" xr:uid="{00000000-0005-0000-0000-00005D4E0000}"/>
    <cellStyle name="Currency 5 4 2 2 3 10 3" xfId="21302" xr:uid="{00000000-0005-0000-0000-00005E4E0000}"/>
    <cellStyle name="Currency 5 4 2 2 3 11" xfId="21303" xr:uid="{00000000-0005-0000-0000-00005F4E0000}"/>
    <cellStyle name="Currency 5 4 2 2 3 11 2" xfId="21304" xr:uid="{00000000-0005-0000-0000-0000604E0000}"/>
    <cellStyle name="Currency 5 4 2 2 3 11 2 2" xfId="21305" xr:uid="{00000000-0005-0000-0000-0000614E0000}"/>
    <cellStyle name="Currency 5 4 2 2 3 11 3" xfId="21306" xr:uid="{00000000-0005-0000-0000-0000624E0000}"/>
    <cellStyle name="Currency 5 4 2 2 3 12" xfId="21307" xr:uid="{00000000-0005-0000-0000-0000634E0000}"/>
    <cellStyle name="Currency 5 4 2 2 3 12 2" xfId="21308" xr:uid="{00000000-0005-0000-0000-0000644E0000}"/>
    <cellStyle name="Currency 5 4 2 2 3 13" xfId="21309" xr:uid="{00000000-0005-0000-0000-0000654E0000}"/>
    <cellStyle name="Currency 5 4 2 2 3 14" xfId="21310" xr:uid="{00000000-0005-0000-0000-0000664E0000}"/>
    <cellStyle name="Currency 5 4 2 2 3 15" xfId="21298" xr:uid="{00000000-0005-0000-0000-0000674E0000}"/>
    <cellStyle name="Currency 5 4 2 2 3 2" xfId="934" xr:uid="{00000000-0005-0000-0000-0000684E0000}"/>
    <cellStyle name="Currency 5 4 2 2 3 2 10" xfId="21312" xr:uid="{00000000-0005-0000-0000-0000694E0000}"/>
    <cellStyle name="Currency 5 4 2 2 3 2 11" xfId="21311" xr:uid="{00000000-0005-0000-0000-00006A4E0000}"/>
    <cellStyle name="Currency 5 4 2 2 3 2 2" xfId="1675" xr:uid="{00000000-0005-0000-0000-00006B4E0000}"/>
    <cellStyle name="Currency 5 4 2 2 3 2 2 2" xfId="21314" xr:uid="{00000000-0005-0000-0000-00006C4E0000}"/>
    <cellStyle name="Currency 5 4 2 2 3 2 2 2 2" xfId="21315" xr:uid="{00000000-0005-0000-0000-00006D4E0000}"/>
    <cellStyle name="Currency 5 4 2 2 3 2 2 2 2 2" xfId="21316" xr:uid="{00000000-0005-0000-0000-00006E4E0000}"/>
    <cellStyle name="Currency 5 4 2 2 3 2 2 2 2 2 2" xfId="21317" xr:uid="{00000000-0005-0000-0000-00006F4E0000}"/>
    <cellStyle name="Currency 5 4 2 2 3 2 2 2 2 3" xfId="21318" xr:uid="{00000000-0005-0000-0000-0000704E0000}"/>
    <cellStyle name="Currency 5 4 2 2 3 2 2 2 3" xfId="21319" xr:uid="{00000000-0005-0000-0000-0000714E0000}"/>
    <cellStyle name="Currency 5 4 2 2 3 2 2 2 3 2" xfId="21320" xr:uid="{00000000-0005-0000-0000-0000724E0000}"/>
    <cellStyle name="Currency 5 4 2 2 3 2 2 2 4" xfId="21321" xr:uid="{00000000-0005-0000-0000-0000734E0000}"/>
    <cellStyle name="Currency 5 4 2 2 3 2 2 3" xfId="21322" xr:uid="{00000000-0005-0000-0000-0000744E0000}"/>
    <cellStyle name="Currency 5 4 2 2 3 2 2 3 2" xfId="21323" xr:uid="{00000000-0005-0000-0000-0000754E0000}"/>
    <cellStyle name="Currency 5 4 2 2 3 2 2 3 2 2" xfId="21324" xr:uid="{00000000-0005-0000-0000-0000764E0000}"/>
    <cellStyle name="Currency 5 4 2 2 3 2 2 3 2 2 2" xfId="21325" xr:uid="{00000000-0005-0000-0000-0000774E0000}"/>
    <cellStyle name="Currency 5 4 2 2 3 2 2 3 2 3" xfId="21326" xr:uid="{00000000-0005-0000-0000-0000784E0000}"/>
    <cellStyle name="Currency 5 4 2 2 3 2 2 3 3" xfId="21327" xr:uid="{00000000-0005-0000-0000-0000794E0000}"/>
    <cellStyle name="Currency 5 4 2 2 3 2 2 3 3 2" xfId="21328" xr:uid="{00000000-0005-0000-0000-00007A4E0000}"/>
    <cellStyle name="Currency 5 4 2 2 3 2 2 3 4" xfId="21329" xr:uid="{00000000-0005-0000-0000-00007B4E0000}"/>
    <cellStyle name="Currency 5 4 2 2 3 2 2 4" xfId="21330" xr:uid="{00000000-0005-0000-0000-00007C4E0000}"/>
    <cellStyle name="Currency 5 4 2 2 3 2 2 4 2" xfId="21331" xr:uid="{00000000-0005-0000-0000-00007D4E0000}"/>
    <cellStyle name="Currency 5 4 2 2 3 2 2 4 2 2" xfId="21332" xr:uid="{00000000-0005-0000-0000-00007E4E0000}"/>
    <cellStyle name="Currency 5 4 2 2 3 2 2 4 3" xfId="21333" xr:uid="{00000000-0005-0000-0000-00007F4E0000}"/>
    <cellStyle name="Currency 5 4 2 2 3 2 2 5" xfId="21334" xr:uid="{00000000-0005-0000-0000-0000804E0000}"/>
    <cellStyle name="Currency 5 4 2 2 3 2 2 5 2" xfId="21335" xr:uid="{00000000-0005-0000-0000-0000814E0000}"/>
    <cellStyle name="Currency 5 4 2 2 3 2 2 6" xfId="21336" xr:uid="{00000000-0005-0000-0000-0000824E0000}"/>
    <cellStyle name="Currency 5 4 2 2 3 2 2 7" xfId="21313" xr:uid="{00000000-0005-0000-0000-0000834E0000}"/>
    <cellStyle name="Currency 5 4 2 2 3 2 3" xfId="21337" xr:uid="{00000000-0005-0000-0000-0000844E0000}"/>
    <cellStyle name="Currency 5 4 2 2 3 2 3 2" xfId="21338" xr:uid="{00000000-0005-0000-0000-0000854E0000}"/>
    <cellStyle name="Currency 5 4 2 2 3 2 3 2 2" xfId="21339" xr:uid="{00000000-0005-0000-0000-0000864E0000}"/>
    <cellStyle name="Currency 5 4 2 2 3 2 3 2 2 2" xfId="21340" xr:uid="{00000000-0005-0000-0000-0000874E0000}"/>
    <cellStyle name="Currency 5 4 2 2 3 2 3 2 2 2 2" xfId="21341" xr:uid="{00000000-0005-0000-0000-0000884E0000}"/>
    <cellStyle name="Currency 5 4 2 2 3 2 3 2 2 3" xfId="21342" xr:uid="{00000000-0005-0000-0000-0000894E0000}"/>
    <cellStyle name="Currency 5 4 2 2 3 2 3 2 3" xfId="21343" xr:uid="{00000000-0005-0000-0000-00008A4E0000}"/>
    <cellStyle name="Currency 5 4 2 2 3 2 3 2 3 2" xfId="21344" xr:uid="{00000000-0005-0000-0000-00008B4E0000}"/>
    <cellStyle name="Currency 5 4 2 2 3 2 3 2 4" xfId="21345" xr:uid="{00000000-0005-0000-0000-00008C4E0000}"/>
    <cellStyle name="Currency 5 4 2 2 3 2 3 3" xfId="21346" xr:uid="{00000000-0005-0000-0000-00008D4E0000}"/>
    <cellStyle name="Currency 5 4 2 2 3 2 3 3 2" xfId="21347" xr:uid="{00000000-0005-0000-0000-00008E4E0000}"/>
    <cellStyle name="Currency 5 4 2 2 3 2 3 3 2 2" xfId="21348" xr:uid="{00000000-0005-0000-0000-00008F4E0000}"/>
    <cellStyle name="Currency 5 4 2 2 3 2 3 3 3" xfId="21349" xr:uid="{00000000-0005-0000-0000-0000904E0000}"/>
    <cellStyle name="Currency 5 4 2 2 3 2 3 4" xfId="21350" xr:uid="{00000000-0005-0000-0000-0000914E0000}"/>
    <cellStyle name="Currency 5 4 2 2 3 2 3 4 2" xfId="21351" xr:uid="{00000000-0005-0000-0000-0000924E0000}"/>
    <cellStyle name="Currency 5 4 2 2 3 2 3 5" xfId="21352" xr:uid="{00000000-0005-0000-0000-0000934E0000}"/>
    <cellStyle name="Currency 5 4 2 2 3 2 4" xfId="21353" xr:uid="{00000000-0005-0000-0000-0000944E0000}"/>
    <cellStyle name="Currency 5 4 2 2 3 2 4 2" xfId="21354" xr:uid="{00000000-0005-0000-0000-0000954E0000}"/>
    <cellStyle name="Currency 5 4 2 2 3 2 4 2 2" xfId="21355" xr:uid="{00000000-0005-0000-0000-0000964E0000}"/>
    <cellStyle name="Currency 5 4 2 2 3 2 4 2 2 2" xfId="21356" xr:uid="{00000000-0005-0000-0000-0000974E0000}"/>
    <cellStyle name="Currency 5 4 2 2 3 2 4 2 2 2 2" xfId="21357" xr:uid="{00000000-0005-0000-0000-0000984E0000}"/>
    <cellStyle name="Currency 5 4 2 2 3 2 4 2 2 3" xfId="21358" xr:uid="{00000000-0005-0000-0000-0000994E0000}"/>
    <cellStyle name="Currency 5 4 2 2 3 2 4 2 3" xfId="21359" xr:uid="{00000000-0005-0000-0000-00009A4E0000}"/>
    <cellStyle name="Currency 5 4 2 2 3 2 4 2 3 2" xfId="21360" xr:uid="{00000000-0005-0000-0000-00009B4E0000}"/>
    <cellStyle name="Currency 5 4 2 2 3 2 4 2 4" xfId="21361" xr:uid="{00000000-0005-0000-0000-00009C4E0000}"/>
    <cellStyle name="Currency 5 4 2 2 3 2 4 3" xfId="21362" xr:uid="{00000000-0005-0000-0000-00009D4E0000}"/>
    <cellStyle name="Currency 5 4 2 2 3 2 4 3 2" xfId="21363" xr:uid="{00000000-0005-0000-0000-00009E4E0000}"/>
    <cellStyle name="Currency 5 4 2 2 3 2 4 3 2 2" xfId="21364" xr:uid="{00000000-0005-0000-0000-00009F4E0000}"/>
    <cellStyle name="Currency 5 4 2 2 3 2 4 3 3" xfId="21365" xr:uid="{00000000-0005-0000-0000-0000A04E0000}"/>
    <cellStyle name="Currency 5 4 2 2 3 2 4 4" xfId="21366" xr:uid="{00000000-0005-0000-0000-0000A14E0000}"/>
    <cellStyle name="Currency 5 4 2 2 3 2 4 4 2" xfId="21367" xr:uid="{00000000-0005-0000-0000-0000A24E0000}"/>
    <cellStyle name="Currency 5 4 2 2 3 2 4 5" xfId="21368" xr:uid="{00000000-0005-0000-0000-0000A34E0000}"/>
    <cellStyle name="Currency 5 4 2 2 3 2 5" xfId="21369" xr:uid="{00000000-0005-0000-0000-0000A44E0000}"/>
    <cellStyle name="Currency 5 4 2 2 3 2 5 2" xfId="21370" xr:uid="{00000000-0005-0000-0000-0000A54E0000}"/>
    <cellStyle name="Currency 5 4 2 2 3 2 5 2 2" xfId="21371" xr:uid="{00000000-0005-0000-0000-0000A64E0000}"/>
    <cellStyle name="Currency 5 4 2 2 3 2 5 2 2 2" xfId="21372" xr:uid="{00000000-0005-0000-0000-0000A74E0000}"/>
    <cellStyle name="Currency 5 4 2 2 3 2 5 2 3" xfId="21373" xr:uid="{00000000-0005-0000-0000-0000A84E0000}"/>
    <cellStyle name="Currency 5 4 2 2 3 2 5 3" xfId="21374" xr:uid="{00000000-0005-0000-0000-0000A94E0000}"/>
    <cellStyle name="Currency 5 4 2 2 3 2 5 3 2" xfId="21375" xr:uid="{00000000-0005-0000-0000-0000AA4E0000}"/>
    <cellStyle name="Currency 5 4 2 2 3 2 5 4" xfId="21376" xr:uid="{00000000-0005-0000-0000-0000AB4E0000}"/>
    <cellStyle name="Currency 5 4 2 2 3 2 6" xfId="21377" xr:uid="{00000000-0005-0000-0000-0000AC4E0000}"/>
    <cellStyle name="Currency 5 4 2 2 3 2 6 2" xfId="21378" xr:uid="{00000000-0005-0000-0000-0000AD4E0000}"/>
    <cellStyle name="Currency 5 4 2 2 3 2 6 2 2" xfId="21379" xr:uid="{00000000-0005-0000-0000-0000AE4E0000}"/>
    <cellStyle name="Currency 5 4 2 2 3 2 6 2 2 2" xfId="21380" xr:uid="{00000000-0005-0000-0000-0000AF4E0000}"/>
    <cellStyle name="Currency 5 4 2 2 3 2 6 2 3" xfId="21381" xr:uid="{00000000-0005-0000-0000-0000B04E0000}"/>
    <cellStyle name="Currency 5 4 2 2 3 2 6 3" xfId="21382" xr:uid="{00000000-0005-0000-0000-0000B14E0000}"/>
    <cellStyle name="Currency 5 4 2 2 3 2 6 3 2" xfId="21383" xr:uid="{00000000-0005-0000-0000-0000B24E0000}"/>
    <cellStyle name="Currency 5 4 2 2 3 2 6 4" xfId="21384" xr:uid="{00000000-0005-0000-0000-0000B34E0000}"/>
    <cellStyle name="Currency 5 4 2 2 3 2 7" xfId="21385" xr:uid="{00000000-0005-0000-0000-0000B44E0000}"/>
    <cellStyle name="Currency 5 4 2 2 3 2 7 2" xfId="21386" xr:uid="{00000000-0005-0000-0000-0000B54E0000}"/>
    <cellStyle name="Currency 5 4 2 2 3 2 7 2 2" xfId="21387" xr:uid="{00000000-0005-0000-0000-0000B64E0000}"/>
    <cellStyle name="Currency 5 4 2 2 3 2 7 2 2 2" xfId="21388" xr:uid="{00000000-0005-0000-0000-0000B74E0000}"/>
    <cellStyle name="Currency 5 4 2 2 3 2 7 2 3" xfId="21389" xr:uid="{00000000-0005-0000-0000-0000B84E0000}"/>
    <cellStyle name="Currency 5 4 2 2 3 2 7 3" xfId="21390" xr:uid="{00000000-0005-0000-0000-0000B94E0000}"/>
    <cellStyle name="Currency 5 4 2 2 3 2 7 3 2" xfId="21391" xr:uid="{00000000-0005-0000-0000-0000BA4E0000}"/>
    <cellStyle name="Currency 5 4 2 2 3 2 7 4" xfId="21392" xr:uid="{00000000-0005-0000-0000-0000BB4E0000}"/>
    <cellStyle name="Currency 5 4 2 2 3 2 8" xfId="21393" xr:uid="{00000000-0005-0000-0000-0000BC4E0000}"/>
    <cellStyle name="Currency 5 4 2 2 3 2 8 2" xfId="21394" xr:uid="{00000000-0005-0000-0000-0000BD4E0000}"/>
    <cellStyle name="Currency 5 4 2 2 3 2 8 2 2" xfId="21395" xr:uid="{00000000-0005-0000-0000-0000BE4E0000}"/>
    <cellStyle name="Currency 5 4 2 2 3 2 8 3" xfId="21396" xr:uid="{00000000-0005-0000-0000-0000BF4E0000}"/>
    <cellStyle name="Currency 5 4 2 2 3 2 9" xfId="21397" xr:uid="{00000000-0005-0000-0000-0000C04E0000}"/>
    <cellStyle name="Currency 5 4 2 2 3 2 9 2" xfId="21398" xr:uid="{00000000-0005-0000-0000-0000C14E0000}"/>
    <cellStyle name="Currency 5 4 2 2 3 3" xfId="1350" xr:uid="{00000000-0005-0000-0000-0000C24E0000}"/>
    <cellStyle name="Currency 5 4 2 2 3 3 2" xfId="21400" xr:uid="{00000000-0005-0000-0000-0000C34E0000}"/>
    <cellStyle name="Currency 5 4 2 2 3 3 2 2" xfId="21401" xr:uid="{00000000-0005-0000-0000-0000C44E0000}"/>
    <cellStyle name="Currency 5 4 2 2 3 3 2 2 2" xfId="21402" xr:uid="{00000000-0005-0000-0000-0000C54E0000}"/>
    <cellStyle name="Currency 5 4 2 2 3 3 2 2 2 2" xfId="21403" xr:uid="{00000000-0005-0000-0000-0000C64E0000}"/>
    <cellStyle name="Currency 5 4 2 2 3 3 2 2 3" xfId="21404" xr:uid="{00000000-0005-0000-0000-0000C74E0000}"/>
    <cellStyle name="Currency 5 4 2 2 3 3 2 3" xfId="21405" xr:uid="{00000000-0005-0000-0000-0000C84E0000}"/>
    <cellStyle name="Currency 5 4 2 2 3 3 2 3 2" xfId="21406" xr:uid="{00000000-0005-0000-0000-0000C94E0000}"/>
    <cellStyle name="Currency 5 4 2 2 3 3 2 4" xfId="21407" xr:uid="{00000000-0005-0000-0000-0000CA4E0000}"/>
    <cellStyle name="Currency 5 4 2 2 3 3 3" xfId="21408" xr:uid="{00000000-0005-0000-0000-0000CB4E0000}"/>
    <cellStyle name="Currency 5 4 2 2 3 3 3 2" xfId="21409" xr:uid="{00000000-0005-0000-0000-0000CC4E0000}"/>
    <cellStyle name="Currency 5 4 2 2 3 3 3 2 2" xfId="21410" xr:uid="{00000000-0005-0000-0000-0000CD4E0000}"/>
    <cellStyle name="Currency 5 4 2 2 3 3 3 2 2 2" xfId="21411" xr:uid="{00000000-0005-0000-0000-0000CE4E0000}"/>
    <cellStyle name="Currency 5 4 2 2 3 3 3 2 3" xfId="21412" xr:uid="{00000000-0005-0000-0000-0000CF4E0000}"/>
    <cellStyle name="Currency 5 4 2 2 3 3 3 3" xfId="21413" xr:uid="{00000000-0005-0000-0000-0000D04E0000}"/>
    <cellStyle name="Currency 5 4 2 2 3 3 3 3 2" xfId="21414" xr:uid="{00000000-0005-0000-0000-0000D14E0000}"/>
    <cellStyle name="Currency 5 4 2 2 3 3 3 4" xfId="21415" xr:uid="{00000000-0005-0000-0000-0000D24E0000}"/>
    <cellStyle name="Currency 5 4 2 2 3 3 4" xfId="21416" xr:uid="{00000000-0005-0000-0000-0000D34E0000}"/>
    <cellStyle name="Currency 5 4 2 2 3 3 4 2" xfId="21417" xr:uid="{00000000-0005-0000-0000-0000D44E0000}"/>
    <cellStyle name="Currency 5 4 2 2 3 3 4 2 2" xfId="21418" xr:uid="{00000000-0005-0000-0000-0000D54E0000}"/>
    <cellStyle name="Currency 5 4 2 2 3 3 4 3" xfId="21419" xr:uid="{00000000-0005-0000-0000-0000D64E0000}"/>
    <cellStyle name="Currency 5 4 2 2 3 3 5" xfId="21420" xr:uid="{00000000-0005-0000-0000-0000D74E0000}"/>
    <cellStyle name="Currency 5 4 2 2 3 3 5 2" xfId="21421" xr:uid="{00000000-0005-0000-0000-0000D84E0000}"/>
    <cellStyle name="Currency 5 4 2 2 3 3 6" xfId="21422" xr:uid="{00000000-0005-0000-0000-0000D94E0000}"/>
    <cellStyle name="Currency 5 4 2 2 3 3 7" xfId="21399" xr:uid="{00000000-0005-0000-0000-0000DA4E0000}"/>
    <cellStyle name="Currency 5 4 2 2 3 4" xfId="21423" xr:uid="{00000000-0005-0000-0000-0000DB4E0000}"/>
    <cellStyle name="Currency 5 4 2 2 3 4 2" xfId="21424" xr:uid="{00000000-0005-0000-0000-0000DC4E0000}"/>
    <cellStyle name="Currency 5 4 2 2 3 4 2 2" xfId="21425" xr:uid="{00000000-0005-0000-0000-0000DD4E0000}"/>
    <cellStyle name="Currency 5 4 2 2 3 4 2 2 2" xfId="21426" xr:uid="{00000000-0005-0000-0000-0000DE4E0000}"/>
    <cellStyle name="Currency 5 4 2 2 3 4 2 2 2 2" xfId="21427" xr:uid="{00000000-0005-0000-0000-0000DF4E0000}"/>
    <cellStyle name="Currency 5 4 2 2 3 4 2 2 3" xfId="21428" xr:uid="{00000000-0005-0000-0000-0000E04E0000}"/>
    <cellStyle name="Currency 5 4 2 2 3 4 2 3" xfId="21429" xr:uid="{00000000-0005-0000-0000-0000E14E0000}"/>
    <cellStyle name="Currency 5 4 2 2 3 4 2 3 2" xfId="21430" xr:uid="{00000000-0005-0000-0000-0000E24E0000}"/>
    <cellStyle name="Currency 5 4 2 2 3 4 2 4" xfId="21431" xr:uid="{00000000-0005-0000-0000-0000E34E0000}"/>
    <cellStyle name="Currency 5 4 2 2 3 4 3" xfId="21432" xr:uid="{00000000-0005-0000-0000-0000E44E0000}"/>
    <cellStyle name="Currency 5 4 2 2 3 4 3 2" xfId="21433" xr:uid="{00000000-0005-0000-0000-0000E54E0000}"/>
    <cellStyle name="Currency 5 4 2 2 3 4 3 2 2" xfId="21434" xr:uid="{00000000-0005-0000-0000-0000E64E0000}"/>
    <cellStyle name="Currency 5 4 2 2 3 4 3 3" xfId="21435" xr:uid="{00000000-0005-0000-0000-0000E74E0000}"/>
    <cellStyle name="Currency 5 4 2 2 3 4 4" xfId="21436" xr:uid="{00000000-0005-0000-0000-0000E84E0000}"/>
    <cellStyle name="Currency 5 4 2 2 3 4 4 2" xfId="21437" xr:uid="{00000000-0005-0000-0000-0000E94E0000}"/>
    <cellStyle name="Currency 5 4 2 2 3 4 5" xfId="21438" xr:uid="{00000000-0005-0000-0000-0000EA4E0000}"/>
    <cellStyle name="Currency 5 4 2 2 3 5" xfId="21439" xr:uid="{00000000-0005-0000-0000-0000EB4E0000}"/>
    <cellStyle name="Currency 5 4 2 2 3 5 2" xfId="21440" xr:uid="{00000000-0005-0000-0000-0000EC4E0000}"/>
    <cellStyle name="Currency 5 4 2 2 3 5 2 2" xfId="21441" xr:uid="{00000000-0005-0000-0000-0000ED4E0000}"/>
    <cellStyle name="Currency 5 4 2 2 3 5 2 2 2" xfId="21442" xr:uid="{00000000-0005-0000-0000-0000EE4E0000}"/>
    <cellStyle name="Currency 5 4 2 2 3 5 2 2 2 2" xfId="21443" xr:uid="{00000000-0005-0000-0000-0000EF4E0000}"/>
    <cellStyle name="Currency 5 4 2 2 3 5 2 2 3" xfId="21444" xr:uid="{00000000-0005-0000-0000-0000F04E0000}"/>
    <cellStyle name="Currency 5 4 2 2 3 5 2 3" xfId="21445" xr:uid="{00000000-0005-0000-0000-0000F14E0000}"/>
    <cellStyle name="Currency 5 4 2 2 3 5 2 3 2" xfId="21446" xr:uid="{00000000-0005-0000-0000-0000F24E0000}"/>
    <cellStyle name="Currency 5 4 2 2 3 5 2 4" xfId="21447" xr:uid="{00000000-0005-0000-0000-0000F34E0000}"/>
    <cellStyle name="Currency 5 4 2 2 3 5 3" xfId="21448" xr:uid="{00000000-0005-0000-0000-0000F44E0000}"/>
    <cellStyle name="Currency 5 4 2 2 3 5 3 2" xfId="21449" xr:uid="{00000000-0005-0000-0000-0000F54E0000}"/>
    <cellStyle name="Currency 5 4 2 2 3 5 3 2 2" xfId="21450" xr:uid="{00000000-0005-0000-0000-0000F64E0000}"/>
    <cellStyle name="Currency 5 4 2 2 3 5 3 3" xfId="21451" xr:uid="{00000000-0005-0000-0000-0000F74E0000}"/>
    <cellStyle name="Currency 5 4 2 2 3 5 4" xfId="21452" xr:uid="{00000000-0005-0000-0000-0000F84E0000}"/>
    <cellStyle name="Currency 5 4 2 2 3 5 4 2" xfId="21453" xr:uid="{00000000-0005-0000-0000-0000F94E0000}"/>
    <cellStyle name="Currency 5 4 2 2 3 5 5" xfId="21454" xr:uid="{00000000-0005-0000-0000-0000FA4E0000}"/>
    <cellStyle name="Currency 5 4 2 2 3 6" xfId="21455" xr:uid="{00000000-0005-0000-0000-0000FB4E0000}"/>
    <cellStyle name="Currency 5 4 2 2 3 6 2" xfId="21456" xr:uid="{00000000-0005-0000-0000-0000FC4E0000}"/>
    <cellStyle name="Currency 5 4 2 2 3 6 2 2" xfId="21457" xr:uid="{00000000-0005-0000-0000-0000FD4E0000}"/>
    <cellStyle name="Currency 5 4 2 2 3 6 2 2 2" xfId="21458" xr:uid="{00000000-0005-0000-0000-0000FE4E0000}"/>
    <cellStyle name="Currency 5 4 2 2 3 6 2 3" xfId="21459" xr:uid="{00000000-0005-0000-0000-0000FF4E0000}"/>
    <cellStyle name="Currency 5 4 2 2 3 6 3" xfId="21460" xr:uid="{00000000-0005-0000-0000-0000004F0000}"/>
    <cellStyle name="Currency 5 4 2 2 3 6 3 2" xfId="21461" xr:uid="{00000000-0005-0000-0000-0000014F0000}"/>
    <cellStyle name="Currency 5 4 2 2 3 6 4" xfId="21462" xr:uid="{00000000-0005-0000-0000-0000024F0000}"/>
    <cellStyle name="Currency 5 4 2 2 3 7" xfId="21463" xr:uid="{00000000-0005-0000-0000-0000034F0000}"/>
    <cellStyle name="Currency 5 4 2 2 3 7 2" xfId="21464" xr:uid="{00000000-0005-0000-0000-0000044F0000}"/>
    <cellStyle name="Currency 5 4 2 2 3 7 2 2" xfId="21465" xr:uid="{00000000-0005-0000-0000-0000054F0000}"/>
    <cellStyle name="Currency 5 4 2 2 3 7 2 2 2" xfId="21466" xr:uid="{00000000-0005-0000-0000-0000064F0000}"/>
    <cellStyle name="Currency 5 4 2 2 3 7 2 3" xfId="21467" xr:uid="{00000000-0005-0000-0000-0000074F0000}"/>
    <cellStyle name="Currency 5 4 2 2 3 7 3" xfId="21468" xr:uid="{00000000-0005-0000-0000-0000084F0000}"/>
    <cellStyle name="Currency 5 4 2 2 3 7 3 2" xfId="21469" xr:uid="{00000000-0005-0000-0000-0000094F0000}"/>
    <cellStyle name="Currency 5 4 2 2 3 7 4" xfId="21470" xr:uid="{00000000-0005-0000-0000-00000A4F0000}"/>
    <cellStyle name="Currency 5 4 2 2 3 8" xfId="21471" xr:uid="{00000000-0005-0000-0000-00000B4F0000}"/>
    <cellStyle name="Currency 5 4 2 2 3 8 2" xfId="21472" xr:uid="{00000000-0005-0000-0000-00000C4F0000}"/>
    <cellStyle name="Currency 5 4 2 2 3 8 2 2" xfId="21473" xr:uid="{00000000-0005-0000-0000-00000D4F0000}"/>
    <cellStyle name="Currency 5 4 2 2 3 8 2 2 2" xfId="21474" xr:uid="{00000000-0005-0000-0000-00000E4F0000}"/>
    <cellStyle name="Currency 5 4 2 2 3 8 2 3" xfId="21475" xr:uid="{00000000-0005-0000-0000-00000F4F0000}"/>
    <cellStyle name="Currency 5 4 2 2 3 8 3" xfId="21476" xr:uid="{00000000-0005-0000-0000-0000104F0000}"/>
    <cellStyle name="Currency 5 4 2 2 3 8 3 2" xfId="21477" xr:uid="{00000000-0005-0000-0000-0000114F0000}"/>
    <cellStyle name="Currency 5 4 2 2 3 8 4" xfId="21478" xr:uid="{00000000-0005-0000-0000-0000124F0000}"/>
    <cellStyle name="Currency 5 4 2 2 3 9" xfId="21479" xr:uid="{00000000-0005-0000-0000-0000134F0000}"/>
    <cellStyle name="Currency 5 4 2 2 3 9 2" xfId="21480" xr:uid="{00000000-0005-0000-0000-0000144F0000}"/>
    <cellStyle name="Currency 5 4 2 2 3 9 2 2" xfId="21481" xr:uid="{00000000-0005-0000-0000-0000154F0000}"/>
    <cellStyle name="Currency 5 4 2 2 3 9 3" xfId="21482" xr:uid="{00000000-0005-0000-0000-0000164F0000}"/>
    <cellStyle name="Currency 5 4 2 2 4" xfId="393" xr:uid="{00000000-0005-0000-0000-0000174F0000}"/>
    <cellStyle name="Currency 5 4 2 2 5" xfId="931" xr:uid="{00000000-0005-0000-0000-0000184F0000}"/>
    <cellStyle name="Currency 5 4 2 2 5 10" xfId="21484" xr:uid="{00000000-0005-0000-0000-0000194F0000}"/>
    <cellStyle name="Currency 5 4 2 2 5 11" xfId="21483" xr:uid="{00000000-0005-0000-0000-00001A4F0000}"/>
    <cellStyle name="Currency 5 4 2 2 5 2" xfId="1672" xr:uid="{00000000-0005-0000-0000-00001B4F0000}"/>
    <cellStyle name="Currency 5 4 2 2 5 2 2" xfId="21486" xr:uid="{00000000-0005-0000-0000-00001C4F0000}"/>
    <cellStyle name="Currency 5 4 2 2 5 2 2 2" xfId="21487" xr:uid="{00000000-0005-0000-0000-00001D4F0000}"/>
    <cellStyle name="Currency 5 4 2 2 5 2 2 2 2" xfId="21488" xr:uid="{00000000-0005-0000-0000-00001E4F0000}"/>
    <cellStyle name="Currency 5 4 2 2 5 2 2 2 2 2" xfId="21489" xr:uid="{00000000-0005-0000-0000-00001F4F0000}"/>
    <cellStyle name="Currency 5 4 2 2 5 2 2 2 3" xfId="21490" xr:uid="{00000000-0005-0000-0000-0000204F0000}"/>
    <cellStyle name="Currency 5 4 2 2 5 2 2 3" xfId="21491" xr:uid="{00000000-0005-0000-0000-0000214F0000}"/>
    <cellStyle name="Currency 5 4 2 2 5 2 2 3 2" xfId="21492" xr:uid="{00000000-0005-0000-0000-0000224F0000}"/>
    <cellStyle name="Currency 5 4 2 2 5 2 2 4" xfId="21493" xr:uid="{00000000-0005-0000-0000-0000234F0000}"/>
    <cellStyle name="Currency 5 4 2 2 5 2 3" xfId="21494" xr:uid="{00000000-0005-0000-0000-0000244F0000}"/>
    <cellStyle name="Currency 5 4 2 2 5 2 3 2" xfId="21495" xr:uid="{00000000-0005-0000-0000-0000254F0000}"/>
    <cellStyle name="Currency 5 4 2 2 5 2 3 2 2" xfId="21496" xr:uid="{00000000-0005-0000-0000-0000264F0000}"/>
    <cellStyle name="Currency 5 4 2 2 5 2 3 2 2 2" xfId="21497" xr:uid="{00000000-0005-0000-0000-0000274F0000}"/>
    <cellStyle name="Currency 5 4 2 2 5 2 3 2 3" xfId="21498" xr:uid="{00000000-0005-0000-0000-0000284F0000}"/>
    <cellStyle name="Currency 5 4 2 2 5 2 3 3" xfId="21499" xr:uid="{00000000-0005-0000-0000-0000294F0000}"/>
    <cellStyle name="Currency 5 4 2 2 5 2 3 3 2" xfId="21500" xr:uid="{00000000-0005-0000-0000-00002A4F0000}"/>
    <cellStyle name="Currency 5 4 2 2 5 2 3 4" xfId="21501" xr:uid="{00000000-0005-0000-0000-00002B4F0000}"/>
    <cellStyle name="Currency 5 4 2 2 5 2 4" xfId="21502" xr:uid="{00000000-0005-0000-0000-00002C4F0000}"/>
    <cellStyle name="Currency 5 4 2 2 5 2 4 2" xfId="21503" xr:uid="{00000000-0005-0000-0000-00002D4F0000}"/>
    <cellStyle name="Currency 5 4 2 2 5 2 4 2 2" xfId="21504" xr:uid="{00000000-0005-0000-0000-00002E4F0000}"/>
    <cellStyle name="Currency 5 4 2 2 5 2 4 3" xfId="21505" xr:uid="{00000000-0005-0000-0000-00002F4F0000}"/>
    <cellStyle name="Currency 5 4 2 2 5 2 5" xfId="21506" xr:uid="{00000000-0005-0000-0000-0000304F0000}"/>
    <cellStyle name="Currency 5 4 2 2 5 2 5 2" xfId="21507" xr:uid="{00000000-0005-0000-0000-0000314F0000}"/>
    <cellStyle name="Currency 5 4 2 2 5 2 6" xfId="21508" xr:uid="{00000000-0005-0000-0000-0000324F0000}"/>
    <cellStyle name="Currency 5 4 2 2 5 2 7" xfId="21485" xr:uid="{00000000-0005-0000-0000-0000334F0000}"/>
    <cellStyle name="Currency 5 4 2 2 5 3" xfId="21509" xr:uid="{00000000-0005-0000-0000-0000344F0000}"/>
    <cellStyle name="Currency 5 4 2 2 5 3 2" xfId="21510" xr:uid="{00000000-0005-0000-0000-0000354F0000}"/>
    <cellStyle name="Currency 5 4 2 2 5 3 2 2" xfId="21511" xr:uid="{00000000-0005-0000-0000-0000364F0000}"/>
    <cellStyle name="Currency 5 4 2 2 5 3 2 2 2" xfId="21512" xr:uid="{00000000-0005-0000-0000-0000374F0000}"/>
    <cellStyle name="Currency 5 4 2 2 5 3 2 2 2 2" xfId="21513" xr:uid="{00000000-0005-0000-0000-0000384F0000}"/>
    <cellStyle name="Currency 5 4 2 2 5 3 2 2 3" xfId="21514" xr:uid="{00000000-0005-0000-0000-0000394F0000}"/>
    <cellStyle name="Currency 5 4 2 2 5 3 2 3" xfId="21515" xr:uid="{00000000-0005-0000-0000-00003A4F0000}"/>
    <cellStyle name="Currency 5 4 2 2 5 3 2 3 2" xfId="21516" xr:uid="{00000000-0005-0000-0000-00003B4F0000}"/>
    <cellStyle name="Currency 5 4 2 2 5 3 2 4" xfId="21517" xr:uid="{00000000-0005-0000-0000-00003C4F0000}"/>
    <cellStyle name="Currency 5 4 2 2 5 3 3" xfId="21518" xr:uid="{00000000-0005-0000-0000-00003D4F0000}"/>
    <cellStyle name="Currency 5 4 2 2 5 3 3 2" xfId="21519" xr:uid="{00000000-0005-0000-0000-00003E4F0000}"/>
    <cellStyle name="Currency 5 4 2 2 5 3 3 2 2" xfId="21520" xr:uid="{00000000-0005-0000-0000-00003F4F0000}"/>
    <cellStyle name="Currency 5 4 2 2 5 3 3 3" xfId="21521" xr:uid="{00000000-0005-0000-0000-0000404F0000}"/>
    <cellStyle name="Currency 5 4 2 2 5 3 4" xfId="21522" xr:uid="{00000000-0005-0000-0000-0000414F0000}"/>
    <cellStyle name="Currency 5 4 2 2 5 3 4 2" xfId="21523" xr:uid="{00000000-0005-0000-0000-0000424F0000}"/>
    <cellStyle name="Currency 5 4 2 2 5 3 5" xfId="21524" xr:uid="{00000000-0005-0000-0000-0000434F0000}"/>
    <cellStyle name="Currency 5 4 2 2 5 4" xfId="21525" xr:uid="{00000000-0005-0000-0000-0000444F0000}"/>
    <cellStyle name="Currency 5 4 2 2 5 4 2" xfId="21526" xr:uid="{00000000-0005-0000-0000-0000454F0000}"/>
    <cellStyle name="Currency 5 4 2 2 5 4 2 2" xfId="21527" xr:uid="{00000000-0005-0000-0000-0000464F0000}"/>
    <cellStyle name="Currency 5 4 2 2 5 4 2 2 2" xfId="21528" xr:uid="{00000000-0005-0000-0000-0000474F0000}"/>
    <cellStyle name="Currency 5 4 2 2 5 4 2 2 2 2" xfId="21529" xr:uid="{00000000-0005-0000-0000-0000484F0000}"/>
    <cellStyle name="Currency 5 4 2 2 5 4 2 2 3" xfId="21530" xr:uid="{00000000-0005-0000-0000-0000494F0000}"/>
    <cellStyle name="Currency 5 4 2 2 5 4 2 3" xfId="21531" xr:uid="{00000000-0005-0000-0000-00004A4F0000}"/>
    <cellStyle name="Currency 5 4 2 2 5 4 2 3 2" xfId="21532" xr:uid="{00000000-0005-0000-0000-00004B4F0000}"/>
    <cellStyle name="Currency 5 4 2 2 5 4 2 4" xfId="21533" xr:uid="{00000000-0005-0000-0000-00004C4F0000}"/>
    <cellStyle name="Currency 5 4 2 2 5 4 3" xfId="21534" xr:uid="{00000000-0005-0000-0000-00004D4F0000}"/>
    <cellStyle name="Currency 5 4 2 2 5 4 3 2" xfId="21535" xr:uid="{00000000-0005-0000-0000-00004E4F0000}"/>
    <cellStyle name="Currency 5 4 2 2 5 4 3 2 2" xfId="21536" xr:uid="{00000000-0005-0000-0000-00004F4F0000}"/>
    <cellStyle name="Currency 5 4 2 2 5 4 3 3" xfId="21537" xr:uid="{00000000-0005-0000-0000-0000504F0000}"/>
    <cellStyle name="Currency 5 4 2 2 5 4 4" xfId="21538" xr:uid="{00000000-0005-0000-0000-0000514F0000}"/>
    <cellStyle name="Currency 5 4 2 2 5 4 4 2" xfId="21539" xr:uid="{00000000-0005-0000-0000-0000524F0000}"/>
    <cellStyle name="Currency 5 4 2 2 5 4 5" xfId="21540" xr:uid="{00000000-0005-0000-0000-0000534F0000}"/>
    <cellStyle name="Currency 5 4 2 2 5 5" xfId="21541" xr:uid="{00000000-0005-0000-0000-0000544F0000}"/>
    <cellStyle name="Currency 5 4 2 2 5 5 2" xfId="21542" xr:uid="{00000000-0005-0000-0000-0000554F0000}"/>
    <cellStyle name="Currency 5 4 2 2 5 5 2 2" xfId="21543" xr:uid="{00000000-0005-0000-0000-0000564F0000}"/>
    <cellStyle name="Currency 5 4 2 2 5 5 2 2 2" xfId="21544" xr:uid="{00000000-0005-0000-0000-0000574F0000}"/>
    <cellStyle name="Currency 5 4 2 2 5 5 2 3" xfId="21545" xr:uid="{00000000-0005-0000-0000-0000584F0000}"/>
    <cellStyle name="Currency 5 4 2 2 5 5 3" xfId="21546" xr:uid="{00000000-0005-0000-0000-0000594F0000}"/>
    <cellStyle name="Currency 5 4 2 2 5 5 3 2" xfId="21547" xr:uid="{00000000-0005-0000-0000-00005A4F0000}"/>
    <cellStyle name="Currency 5 4 2 2 5 5 4" xfId="21548" xr:uid="{00000000-0005-0000-0000-00005B4F0000}"/>
    <cellStyle name="Currency 5 4 2 2 5 6" xfId="21549" xr:uid="{00000000-0005-0000-0000-00005C4F0000}"/>
    <cellStyle name="Currency 5 4 2 2 5 6 2" xfId="21550" xr:uid="{00000000-0005-0000-0000-00005D4F0000}"/>
    <cellStyle name="Currency 5 4 2 2 5 6 2 2" xfId="21551" xr:uid="{00000000-0005-0000-0000-00005E4F0000}"/>
    <cellStyle name="Currency 5 4 2 2 5 6 2 2 2" xfId="21552" xr:uid="{00000000-0005-0000-0000-00005F4F0000}"/>
    <cellStyle name="Currency 5 4 2 2 5 6 2 3" xfId="21553" xr:uid="{00000000-0005-0000-0000-0000604F0000}"/>
    <cellStyle name="Currency 5 4 2 2 5 6 3" xfId="21554" xr:uid="{00000000-0005-0000-0000-0000614F0000}"/>
    <cellStyle name="Currency 5 4 2 2 5 6 3 2" xfId="21555" xr:uid="{00000000-0005-0000-0000-0000624F0000}"/>
    <cellStyle name="Currency 5 4 2 2 5 6 4" xfId="21556" xr:uid="{00000000-0005-0000-0000-0000634F0000}"/>
    <cellStyle name="Currency 5 4 2 2 5 7" xfId="21557" xr:uid="{00000000-0005-0000-0000-0000644F0000}"/>
    <cellStyle name="Currency 5 4 2 2 5 7 2" xfId="21558" xr:uid="{00000000-0005-0000-0000-0000654F0000}"/>
    <cellStyle name="Currency 5 4 2 2 5 7 2 2" xfId="21559" xr:uid="{00000000-0005-0000-0000-0000664F0000}"/>
    <cellStyle name="Currency 5 4 2 2 5 7 2 2 2" xfId="21560" xr:uid="{00000000-0005-0000-0000-0000674F0000}"/>
    <cellStyle name="Currency 5 4 2 2 5 7 2 3" xfId="21561" xr:uid="{00000000-0005-0000-0000-0000684F0000}"/>
    <cellStyle name="Currency 5 4 2 2 5 7 3" xfId="21562" xr:uid="{00000000-0005-0000-0000-0000694F0000}"/>
    <cellStyle name="Currency 5 4 2 2 5 7 3 2" xfId="21563" xr:uid="{00000000-0005-0000-0000-00006A4F0000}"/>
    <cellStyle name="Currency 5 4 2 2 5 7 4" xfId="21564" xr:uid="{00000000-0005-0000-0000-00006B4F0000}"/>
    <cellStyle name="Currency 5 4 2 2 5 8" xfId="21565" xr:uid="{00000000-0005-0000-0000-00006C4F0000}"/>
    <cellStyle name="Currency 5 4 2 2 5 8 2" xfId="21566" xr:uid="{00000000-0005-0000-0000-00006D4F0000}"/>
    <cellStyle name="Currency 5 4 2 2 5 8 2 2" xfId="21567" xr:uid="{00000000-0005-0000-0000-00006E4F0000}"/>
    <cellStyle name="Currency 5 4 2 2 5 8 3" xfId="21568" xr:uid="{00000000-0005-0000-0000-00006F4F0000}"/>
    <cellStyle name="Currency 5 4 2 2 5 9" xfId="21569" xr:uid="{00000000-0005-0000-0000-0000704F0000}"/>
    <cellStyle name="Currency 5 4 2 2 5 9 2" xfId="21570" xr:uid="{00000000-0005-0000-0000-0000714F0000}"/>
    <cellStyle name="Currency 5 4 2 2 6" xfId="1347" xr:uid="{00000000-0005-0000-0000-0000724F0000}"/>
    <cellStyle name="Currency 5 4 2 2 6 2" xfId="21572" xr:uid="{00000000-0005-0000-0000-0000734F0000}"/>
    <cellStyle name="Currency 5 4 2 2 6 2 2" xfId="21573" xr:uid="{00000000-0005-0000-0000-0000744F0000}"/>
    <cellStyle name="Currency 5 4 2 2 6 2 2 2" xfId="21574" xr:uid="{00000000-0005-0000-0000-0000754F0000}"/>
    <cellStyle name="Currency 5 4 2 2 6 2 2 2 2" xfId="21575" xr:uid="{00000000-0005-0000-0000-0000764F0000}"/>
    <cellStyle name="Currency 5 4 2 2 6 2 2 3" xfId="21576" xr:uid="{00000000-0005-0000-0000-0000774F0000}"/>
    <cellStyle name="Currency 5 4 2 2 6 2 3" xfId="21577" xr:uid="{00000000-0005-0000-0000-0000784F0000}"/>
    <cellStyle name="Currency 5 4 2 2 6 2 3 2" xfId="21578" xr:uid="{00000000-0005-0000-0000-0000794F0000}"/>
    <cellStyle name="Currency 5 4 2 2 6 2 4" xfId="21579" xr:uid="{00000000-0005-0000-0000-00007A4F0000}"/>
    <cellStyle name="Currency 5 4 2 2 6 3" xfId="21580" xr:uid="{00000000-0005-0000-0000-00007B4F0000}"/>
    <cellStyle name="Currency 5 4 2 2 6 3 2" xfId="21581" xr:uid="{00000000-0005-0000-0000-00007C4F0000}"/>
    <cellStyle name="Currency 5 4 2 2 6 3 2 2" xfId="21582" xr:uid="{00000000-0005-0000-0000-00007D4F0000}"/>
    <cellStyle name="Currency 5 4 2 2 6 3 2 2 2" xfId="21583" xr:uid="{00000000-0005-0000-0000-00007E4F0000}"/>
    <cellStyle name="Currency 5 4 2 2 6 3 2 3" xfId="21584" xr:uid="{00000000-0005-0000-0000-00007F4F0000}"/>
    <cellStyle name="Currency 5 4 2 2 6 3 3" xfId="21585" xr:uid="{00000000-0005-0000-0000-0000804F0000}"/>
    <cellStyle name="Currency 5 4 2 2 6 3 3 2" xfId="21586" xr:uid="{00000000-0005-0000-0000-0000814F0000}"/>
    <cellStyle name="Currency 5 4 2 2 6 3 4" xfId="21587" xr:uid="{00000000-0005-0000-0000-0000824F0000}"/>
    <cellStyle name="Currency 5 4 2 2 6 4" xfId="21588" xr:uid="{00000000-0005-0000-0000-0000834F0000}"/>
    <cellStyle name="Currency 5 4 2 2 6 4 2" xfId="21589" xr:uid="{00000000-0005-0000-0000-0000844F0000}"/>
    <cellStyle name="Currency 5 4 2 2 6 4 2 2" xfId="21590" xr:uid="{00000000-0005-0000-0000-0000854F0000}"/>
    <cellStyle name="Currency 5 4 2 2 6 4 3" xfId="21591" xr:uid="{00000000-0005-0000-0000-0000864F0000}"/>
    <cellStyle name="Currency 5 4 2 2 6 5" xfId="21592" xr:uid="{00000000-0005-0000-0000-0000874F0000}"/>
    <cellStyle name="Currency 5 4 2 2 6 5 2" xfId="21593" xr:uid="{00000000-0005-0000-0000-0000884F0000}"/>
    <cellStyle name="Currency 5 4 2 2 6 6" xfId="21594" xr:uid="{00000000-0005-0000-0000-0000894F0000}"/>
    <cellStyle name="Currency 5 4 2 2 6 7" xfId="21571" xr:uid="{00000000-0005-0000-0000-00008A4F0000}"/>
    <cellStyle name="Currency 5 4 2 2 7" xfId="21595" xr:uid="{00000000-0005-0000-0000-00008B4F0000}"/>
    <cellStyle name="Currency 5 4 2 2 7 2" xfId="21596" xr:uid="{00000000-0005-0000-0000-00008C4F0000}"/>
    <cellStyle name="Currency 5 4 2 2 7 2 2" xfId="21597" xr:uid="{00000000-0005-0000-0000-00008D4F0000}"/>
    <cellStyle name="Currency 5 4 2 2 7 2 2 2" xfId="21598" xr:uid="{00000000-0005-0000-0000-00008E4F0000}"/>
    <cellStyle name="Currency 5 4 2 2 7 2 2 2 2" xfId="21599" xr:uid="{00000000-0005-0000-0000-00008F4F0000}"/>
    <cellStyle name="Currency 5 4 2 2 7 2 2 3" xfId="21600" xr:uid="{00000000-0005-0000-0000-0000904F0000}"/>
    <cellStyle name="Currency 5 4 2 2 7 2 3" xfId="21601" xr:uid="{00000000-0005-0000-0000-0000914F0000}"/>
    <cellStyle name="Currency 5 4 2 2 7 2 3 2" xfId="21602" xr:uid="{00000000-0005-0000-0000-0000924F0000}"/>
    <cellStyle name="Currency 5 4 2 2 7 2 4" xfId="21603" xr:uid="{00000000-0005-0000-0000-0000934F0000}"/>
    <cellStyle name="Currency 5 4 2 2 7 3" xfId="21604" xr:uid="{00000000-0005-0000-0000-0000944F0000}"/>
    <cellStyle name="Currency 5 4 2 2 7 3 2" xfId="21605" xr:uid="{00000000-0005-0000-0000-0000954F0000}"/>
    <cellStyle name="Currency 5 4 2 2 7 3 2 2" xfId="21606" xr:uid="{00000000-0005-0000-0000-0000964F0000}"/>
    <cellStyle name="Currency 5 4 2 2 7 3 3" xfId="21607" xr:uid="{00000000-0005-0000-0000-0000974F0000}"/>
    <cellStyle name="Currency 5 4 2 2 7 4" xfId="21608" xr:uid="{00000000-0005-0000-0000-0000984F0000}"/>
    <cellStyle name="Currency 5 4 2 2 7 4 2" xfId="21609" xr:uid="{00000000-0005-0000-0000-0000994F0000}"/>
    <cellStyle name="Currency 5 4 2 2 7 5" xfId="21610" xr:uid="{00000000-0005-0000-0000-00009A4F0000}"/>
    <cellStyle name="Currency 5 4 2 2 8" xfId="21611" xr:uid="{00000000-0005-0000-0000-00009B4F0000}"/>
    <cellStyle name="Currency 5 4 2 2 8 2" xfId="21612" xr:uid="{00000000-0005-0000-0000-00009C4F0000}"/>
    <cellStyle name="Currency 5 4 2 2 8 2 2" xfId="21613" xr:uid="{00000000-0005-0000-0000-00009D4F0000}"/>
    <cellStyle name="Currency 5 4 2 2 8 2 2 2" xfId="21614" xr:uid="{00000000-0005-0000-0000-00009E4F0000}"/>
    <cellStyle name="Currency 5 4 2 2 8 2 2 2 2" xfId="21615" xr:uid="{00000000-0005-0000-0000-00009F4F0000}"/>
    <cellStyle name="Currency 5 4 2 2 8 2 2 3" xfId="21616" xr:uid="{00000000-0005-0000-0000-0000A04F0000}"/>
    <cellStyle name="Currency 5 4 2 2 8 2 3" xfId="21617" xr:uid="{00000000-0005-0000-0000-0000A14F0000}"/>
    <cellStyle name="Currency 5 4 2 2 8 2 3 2" xfId="21618" xr:uid="{00000000-0005-0000-0000-0000A24F0000}"/>
    <cellStyle name="Currency 5 4 2 2 8 2 4" xfId="21619" xr:uid="{00000000-0005-0000-0000-0000A34F0000}"/>
    <cellStyle name="Currency 5 4 2 2 8 3" xfId="21620" xr:uid="{00000000-0005-0000-0000-0000A44F0000}"/>
    <cellStyle name="Currency 5 4 2 2 8 3 2" xfId="21621" xr:uid="{00000000-0005-0000-0000-0000A54F0000}"/>
    <cellStyle name="Currency 5 4 2 2 8 3 2 2" xfId="21622" xr:uid="{00000000-0005-0000-0000-0000A64F0000}"/>
    <cellStyle name="Currency 5 4 2 2 8 3 3" xfId="21623" xr:uid="{00000000-0005-0000-0000-0000A74F0000}"/>
    <cellStyle name="Currency 5 4 2 2 8 4" xfId="21624" xr:uid="{00000000-0005-0000-0000-0000A84F0000}"/>
    <cellStyle name="Currency 5 4 2 2 8 4 2" xfId="21625" xr:uid="{00000000-0005-0000-0000-0000A94F0000}"/>
    <cellStyle name="Currency 5 4 2 2 8 5" xfId="21626" xr:uid="{00000000-0005-0000-0000-0000AA4F0000}"/>
    <cellStyle name="Currency 5 4 2 2 9" xfId="21627" xr:uid="{00000000-0005-0000-0000-0000AB4F0000}"/>
    <cellStyle name="Currency 5 4 2 2 9 2" xfId="21628" xr:uid="{00000000-0005-0000-0000-0000AC4F0000}"/>
    <cellStyle name="Currency 5 4 2 2 9 2 2" xfId="21629" xr:uid="{00000000-0005-0000-0000-0000AD4F0000}"/>
    <cellStyle name="Currency 5 4 2 2 9 2 2 2" xfId="21630" xr:uid="{00000000-0005-0000-0000-0000AE4F0000}"/>
    <cellStyle name="Currency 5 4 2 2 9 2 3" xfId="21631" xr:uid="{00000000-0005-0000-0000-0000AF4F0000}"/>
    <cellStyle name="Currency 5 4 2 2 9 3" xfId="21632" xr:uid="{00000000-0005-0000-0000-0000B04F0000}"/>
    <cellStyle name="Currency 5 4 2 2 9 3 2" xfId="21633" xr:uid="{00000000-0005-0000-0000-0000B14F0000}"/>
    <cellStyle name="Currency 5 4 2 2 9 4" xfId="21634" xr:uid="{00000000-0005-0000-0000-0000B24F0000}"/>
    <cellStyle name="Currency 5 4 2 3" xfId="394" xr:uid="{00000000-0005-0000-0000-0000B34F0000}"/>
    <cellStyle name="Currency 5 4 2 3 10" xfId="21636" xr:uid="{00000000-0005-0000-0000-0000B44F0000}"/>
    <cellStyle name="Currency 5 4 2 3 10 2" xfId="21637" xr:uid="{00000000-0005-0000-0000-0000B54F0000}"/>
    <cellStyle name="Currency 5 4 2 3 10 2 2" xfId="21638" xr:uid="{00000000-0005-0000-0000-0000B64F0000}"/>
    <cellStyle name="Currency 5 4 2 3 10 2 2 2" xfId="21639" xr:uid="{00000000-0005-0000-0000-0000B74F0000}"/>
    <cellStyle name="Currency 5 4 2 3 10 2 3" xfId="21640" xr:uid="{00000000-0005-0000-0000-0000B84F0000}"/>
    <cellStyle name="Currency 5 4 2 3 10 3" xfId="21641" xr:uid="{00000000-0005-0000-0000-0000B94F0000}"/>
    <cellStyle name="Currency 5 4 2 3 10 3 2" xfId="21642" xr:uid="{00000000-0005-0000-0000-0000BA4F0000}"/>
    <cellStyle name="Currency 5 4 2 3 10 4" xfId="21643" xr:uid="{00000000-0005-0000-0000-0000BB4F0000}"/>
    <cellStyle name="Currency 5 4 2 3 11" xfId="21644" xr:uid="{00000000-0005-0000-0000-0000BC4F0000}"/>
    <cellStyle name="Currency 5 4 2 3 11 2" xfId="21645" xr:uid="{00000000-0005-0000-0000-0000BD4F0000}"/>
    <cellStyle name="Currency 5 4 2 3 11 2 2" xfId="21646" xr:uid="{00000000-0005-0000-0000-0000BE4F0000}"/>
    <cellStyle name="Currency 5 4 2 3 11 3" xfId="21647" xr:uid="{00000000-0005-0000-0000-0000BF4F0000}"/>
    <cellStyle name="Currency 5 4 2 3 12" xfId="21648" xr:uid="{00000000-0005-0000-0000-0000C04F0000}"/>
    <cellStyle name="Currency 5 4 2 3 12 2" xfId="21649" xr:uid="{00000000-0005-0000-0000-0000C14F0000}"/>
    <cellStyle name="Currency 5 4 2 3 12 2 2" xfId="21650" xr:uid="{00000000-0005-0000-0000-0000C24F0000}"/>
    <cellStyle name="Currency 5 4 2 3 12 3" xfId="21651" xr:uid="{00000000-0005-0000-0000-0000C34F0000}"/>
    <cellStyle name="Currency 5 4 2 3 13" xfId="21652" xr:uid="{00000000-0005-0000-0000-0000C44F0000}"/>
    <cellStyle name="Currency 5 4 2 3 13 2" xfId="21653" xr:uid="{00000000-0005-0000-0000-0000C54F0000}"/>
    <cellStyle name="Currency 5 4 2 3 13 2 2" xfId="21654" xr:uid="{00000000-0005-0000-0000-0000C64F0000}"/>
    <cellStyle name="Currency 5 4 2 3 13 3" xfId="21655" xr:uid="{00000000-0005-0000-0000-0000C74F0000}"/>
    <cellStyle name="Currency 5 4 2 3 14" xfId="21656" xr:uid="{00000000-0005-0000-0000-0000C84F0000}"/>
    <cellStyle name="Currency 5 4 2 3 14 2" xfId="21657" xr:uid="{00000000-0005-0000-0000-0000C94F0000}"/>
    <cellStyle name="Currency 5 4 2 3 15" xfId="21658" xr:uid="{00000000-0005-0000-0000-0000CA4F0000}"/>
    <cellStyle name="Currency 5 4 2 3 16" xfId="21659" xr:uid="{00000000-0005-0000-0000-0000CB4F0000}"/>
    <cellStyle name="Currency 5 4 2 3 17" xfId="21635" xr:uid="{00000000-0005-0000-0000-0000CC4F0000}"/>
    <cellStyle name="Currency 5 4 2 3 2" xfId="395" xr:uid="{00000000-0005-0000-0000-0000CD4F0000}"/>
    <cellStyle name="Currency 5 4 2 3 2 10" xfId="21661" xr:uid="{00000000-0005-0000-0000-0000CE4F0000}"/>
    <cellStyle name="Currency 5 4 2 3 2 10 2" xfId="21662" xr:uid="{00000000-0005-0000-0000-0000CF4F0000}"/>
    <cellStyle name="Currency 5 4 2 3 2 10 2 2" xfId="21663" xr:uid="{00000000-0005-0000-0000-0000D04F0000}"/>
    <cellStyle name="Currency 5 4 2 3 2 10 3" xfId="21664" xr:uid="{00000000-0005-0000-0000-0000D14F0000}"/>
    <cellStyle name="Currency 5 4 2 3 2 11" xfId="21665" xr:uid="{00000000-0005-0000-0000-0000D24F0000}"/>
    <cellStyle name="Currency 5 4 2 3 2 11 2" xfId="21666" xr:uid="{00000000-0005-0000-0000-0000D34F0000}"/>
    <cellStyle name="Currency 5 4 2 3 2 11 2 2" xfId="21667" xr:uid="{00000000-0005-0000-0000-0000D44F0000}"/>
    <cellStyle name="Currency 5 4 2 3 2 11 3" xfId="21668" xr:uid="{00000000-0005-0000-0000-0000D54F0000}"/>
    <cellStyle name="Currency 5 4 2 3 2 12" xfId="21669" xr:uid="{00000000-0005-0000-0000-0000D64F0000}"/>
    <cellStyle name="Currency 5 4 2 3 2 12 2" xfId="21670" xr:uid="{00000000-0005-0000-0000-0000D74F0000}"/>
    <cellStyle name="Currency 5 4 2 3 2 13" xfId="21671" xr:uid="{00000000-0005-0000-0000-0000D84F0000}"/>
    <cellStyle name="Currency 5 4 2 3 2 14" xfId="21672" xr:uid="{00000000-0005-0000-0000-0000D94F0000}"/>
    <cellStyle name="Currency 5 4 2 3 2 15" xfId="21660" xr:uid="{00000000-0005-0000-0000-0000DA4F0000}"/>
    <cellStyle name="Currency 5 4 2 3 2 2" xfId="936" xr:uid="{00000000-0005-0000-0000-0000DB4F0000}"/>
    <cellStyle name="Currency 5 4 2 3 2 2 10" xfId="21674" xr:uid="{00000000-0005-0000-0000-0000DC4F0000}"/>
    <cellStyle name="Currency 5 4 2 3 2 2 11" xfId="21673" xr:uid="{00000000-0005-0000-0000-0000DD4F0000}"/>
    <cellStyle name="Currency 5 4 2 3 2 2 2" xfId="1677" xr:uid="{00000000-0005-0000-0000-0000DE4F0000}"/>
    <cellStyle name="Currency 5 4 2 3 2 2 2 2" xfId="21676" xr:uid="{00000000-0005-0000-0000-0000DF4F0000}"/>
    <cellStyle name="Currency 5 4 2 3 2 2 2 2 2" xfId="21677" xr:uid="{00000000-0005-0000-0000-0000E04F0000}"/>
    <cellStyle name="Currency 5 4 2 3 2 2 2 2 2 2" xfId="21678" xr:uid="{00000000-0005-0000-0000-0000E14F0000}"/>
    <cellStyle name="Currency 5 4 2 3 2 2 2 2 2 2 2" xfId="21679" xr:uid="{00000000-0005-0000-0000-0000E24F0000}"/>
    <cellStyle name="Currency 5 4 2 3 2 2 2 2 2 3" xfId="21680" xr:uid="{00000000-0005-0000-0000-0000E34F0000}"/>
    <cellStyle name="Currency 5 4 2 3 2 2 2 2 3" xfId="21681" xr:uid="{00000000-0005-0000-0000-0000E44F0000}"/>
    <cellStyle name="Currency 5 4 2 3 2 2 2 2 3 2" xfId="21682" xr:uid="{00000000-0005-0000-0000-0000E54F0000}"/>
    <cellStyle name="Currency 5 4 2 3 2 2 2 2 4" xfId="21683" xr:uid="{00000000-0005-0000-0000-0000E64F0000}"/>
    <cellStyle name="Currency 5 4 2 3 2 2 2 3" xfId="21684" xr:uid="{00000000-0005-0000-0000-0000E74F0000}"/>
    <cellStyle name="Currency 5 4 2 3 2 2 2 3 2" xfId="21685" xr:uid="{00000000-0005-0000-0000-0000E84F0000}"/>
    <cellStyle name="Currency 5 4 2 3 2 2 2 3 2 2" xfId="21686" xr:uid="{00000000-0005-0000-0000-0000E94F0000}"/>
    <cellStyle name="Currency 5 4 2 3 2 2 2 3 2 2 2" xfId="21687" xr:uid="{00000000-0005-0000-0000-0000EA4F0000}"/>
    <cellStyle name="Currency 5 4 2 3 2 2 2 3 2 3" xfId="21688" xr:uid="{00000000-0005-0000-0000-0000EB4F0000}"/>
    <cellStyle name="Currency 5 4 2 3 2 2 2 3 3" xfId="21689" xr:uid="{00000000-0005-0000-0000-0000EC4F0000}"/>
    <cellStyle name="Currency 5 4 2 3 2 2 2 3 3 2" xfId="21690" xr:uid="{00000000-0005-0000-0000-0000ED4F0000}"/>
    <cellStyle name="Currency 5 4 2 3 2 2 2 3 4" xfId="21691" xr:uid="{00000000-0005-0000-0000-0000EE4F0000}"/>
    <cellStyle name="Currency 5 4 2 3 2 2 2 4" xfId="21692" xr:uid="{00000000-0005-0000-0000-0000EF4F0000}"/>
    <cellStyle name="Currency 5 4 2 3 2 2 2 4 2" xfId="21693" xr:uid="{00000000-0005-0000-0000-0000F04F0000}"/>
    <cellStyle name="Currency 5 4 2 3 2 2 2 4 2 2" xfId="21694" xr:uid="{00000000-0005-0000-0000-0000F14F0000}"/>
    <cellStyle name="Currency 5 4 2 3 2 2 2 4 3" xfId="21695" xr:uid="{00000000-0005-0000-0000-0000F24F0000}"/>
    <cellStyle name="Currency 5 4 2 3 2 2 2 5" xfId="21696" xr:uid="{00000000-0005-0000-0000-0000F34F0000}"/>
    <cellStyle name="Currency 5 4 2 3 2 2 2 5 2" xfId="21697" xr:uid="{00000000-0005-0000-0000-0000F44F0000}"/>
    <cellStyle name="Currency 5 4 2 3 2 2 2 6" xfId="21698" xr:uid="{00000000-0005-0000-0000-0000F54F0000}"/>
    <cellStyle name="Currency 5 4 2 3 2 2 2 7" xfId="21675" xr:uid="{00000000-0005-0000-0000-0000F64F0000}"/>
    <cellStyle name="Currency 5 4 2 3 2 2 3" xfId="21699" xr:uid="{00000000-0005-0000-0000-0000F74F0000}"/>
    <cellStyle name="Currency 5 4 2 3 2 2 3 2" xfId="21700" xr:uid="{00000000-0005-0000-0000-0000F84F0000}"/>
    <cellStyle name="Currency 5 4 2 3 2 2 3 2 2" xfId="21701" xr:uid="{00000000-0005-0000-0000-0000F94F0000}"/>
    <cellStyle name="Currency 5 4 2 3 2 2 3 2 2 2" xfId="21702" xr:uid="{00000000-0005-0000-0000-0000FA4F0000}"/>
    <cellStyle name="Currency 5 4 2 3 2 2 3 2 2 2 2" xfId="21703" xr:uid="{00000000-0005-0000-0000-0000FB4F0000}"/>
    <cellStyle name="Currency 5 4 2 3 2 2 3 2 2 3" xfId="21704" xr:uid="{00000000-0005-0000-0000-0000FC4F0000}"/>
    <cellStyle name="Currency 5 4 2 3 2 2 3 2 3" xfId="21705" xr:uid="{00000000-0005-0000-0000-0000FD4F0000}"/>
    <cellStyle name="Currency 5 4 2 3 2 2 3 2 3 2" xfId="21706" xr:uid="{00000000-0005-0000-0000-0000FE4F0000}"/>
    <cellStyle name="Currency 5 4 2 3 2 2 3 2 4" xfId="21707" xr:uid="{00000000-0005-0000-0000-0000FF4F0000}"/>
    <cellStyle name="Currency 5 4 2 3 2 2 3 3" xfId="21708" xr:uid="{00000000-0005-0000-0000-000000500000}"/>
    <cellStyle name="Currency 5 4 2 3 2 2 3 3 2" xfId="21709" xr:uid="{00000000-0005-0000-0000-000001500000}"/>
    <cellStyle name="Currency 5 4 2 3 2 2 3 3 2 2" xfId="21710" xr:uid="{00000000-0005-0000-0000-000002500000}"/>
    <cellStyle name="Currency 5 4 2 3 2 2 3 3 3" xfId="21711" xr:uid="{00000000-0005-0000-0000-000003500000}"/>
    <cellStyle name="Currency 5 4 2 3 2 2 3 4" xfId="21712" xr:uid="{00000000-0005-0000-0000-000004500000}"/>
    <cellStyle name="Currency 5 4 2 3 2 2 3 4 2" xfId="21713" xr:uid="{00000000-0005-0000-0000-000005500000}"/>
    <cellStyle name="Currency 5 4 2 3 2 2 3 5" xfId="21714" xr:uid="{00000000-0005-0000-0000-000006500000}"/>
    <cellStyle name="Currency 5 4 2 3 2 2 4" xfId="21715" xr:uid="{00000000-0005-0000-0000-000007500000}"/>
    <cellStyle name="Currency 5 4 2 3 2 2 4 2" xfId="21716" xr:uid="{00000000-0005-0000-0000-000008500000}"/>
    <cellStyle name="Currency 5 4 2 3 2 2 4 2 2" xfId="21717" xr:uid="{00000000-0005-0000-0000-000009500000}"/>
    <cellStyle name="Currency 5 4 2 3 2 2 4 2 2 2" xfId="21718" xr:uid="{00000000-0005-0000-0000-00000A500000}"/>
    <cellStyle name="Currency 5 4 2 3 2 2 4 2 2 2 2" xfId="21719" xr:uid="{00000000-0005-0000-0000-00000B500000}"/>
    <cellStyle name="Currency 5 4 2 3 2 2 4 2 2 3" xfId="21720" xr:uid="{00000000-0005-0000-0000-00000C500000}"/>
    <cellStyle name="Currency 5 4 2 3 2 2 4 2 3" xfId="21721" xr:uid="{00000000-0005-0000-0000-00000D500000}"/>
    <cellStyle name="Currency 5 4 2 3 2 2 4 2 3 2" xfId="21722" xr:uid="{00000000-0005-0000-0000-00000E500000}"/>
    <cellStyle name="Currency 5 4 2 3 2 2 4 2 4" xfId="21723" xr:uid="{00000000-0005-0000-0000-00000F500000}"/>
    <cellStyle name="Currency 5 4 2 3 2 2 4 3" xfId="21724" xr:uid="{00000000-0005-0000-0000-000010500000}"/>
    <cellStyle name="Currency 5 4 2 3 2 2 4 3 2" xfId="21725" xr:uid="{00000000-0005-0000-0000-000011500000}"/>
    <cellStyle name="Currency 5 4 2 3 2 2 4 3 2 2" xfId="21726" xr:uid="{00000000-0005-0000-0000-000012500000}"/>
    <cellStyle name="Currency 5 4 2 3 2 2 4 3 3" xfId="21727" xr:uid="{00000000-0005-0000-0000-000013500000}"/>
    <cellStyle name="Currency 5 4 2 3 2 2 4 4" xfId="21728" xr:uid="{00000000-0005-0000-0000-000014500000}"/>
    <cellStyle name="Currency 5 4 2 3 2 2 4 4 2" xfId="21729" xr:uid="{00000000-0005-0000-0000-000015500000}"/>
    <cellStyle name="Currency 5 4 2 3 2 2 4 5" xfId="21730" xr:uid="{00000000-0005-0000-0000-000016500000}"/>
    <cellStyle name="Currency 5 4 2 3 2 2 5" xfId="21731" xr:uid="{00000000-0005-0000-0000-000017500000}"/>
    <cellStyle name="Currency 5 4 2 3 2 2 5 2" xfId="21732" xr:uid="{00000000-0005-0000-0000-000018500000}"/>
    <cellStyle name="Currency 5 4 2 3 2 2 5 2 2" xfId="21733" xr:uid="{00000000-0005-0000-0000-000019500000}"/>
    <cellStyle name="Currency 5 4 2 3 2 2 5 2 2 2" xfId="21734" xr:uid="{00000000-0005-0000-0000-00001A500000}"/>
    <cellStyle name="Currency 5 4 2 3 2 2 5 2 3" xfId="21735" xr:uid="{00000000-0005-0000-0000-00001B500000}"/>
    <cellStyle name="Currency 5 4 2 3 2 2 5 3" xfId="21736" xr:uid="{00000000-0005-0000-0000-00001C500000}"/>
    <cellStyle name="Currency 5 4 2 3 2 2 5 3 2" xfId="21737" xr:uid="{00000000-0005-0000-0000-00001D500000}"/>
    <cellStyle name="Currency 5 4 2 3 2 2 5 4" xfId="21738" xr:uid="{00000000-0005-0000-0000-00001E500000}"/>
    <cellStyle name="Currency 5 4 2 3 2 2 6" xfId="21739" xr:uid="{00000000-0005-0000-0000-00001F500000}"/>
    <cellStyle name="Currency 5 4 2 3 2 2 6 2" xfId="21740" xr:uid="{00000000-0005-0000-0000-000020500000}"/>
    <cellStyle name="Currency 5 4 2 3 2 2 6 2 2" xfId="21741" xr:uid="{00000000-0005-0000-0000-000021500000}"/>
    <cellStyle name="Currency 5 4 2 3 2 2 6 2 2 2" xfId="21742" xr:uid="{00000000-0005-0000-0000-000022500000}"/>
    <cellStyle name="Currency 5 4 2 3 2 2 6 2 3" xfId="21743" xr:uid="{00000000-0005-0000-0000-000023500000}"/>
    <cellStyle name="Currency 5 4 2 3 2 2 6 3" xfId="21744" xr:uid="{00000000-0005-0000-0000-000024500000}"/>
    <cellStyle name="Currency 5 4 2 3 2 2 6 3 2" xfId="21745" xr:uid="{00000000-0005-0000-0000-000025500000}"/>
    <cellStyle name="Currency 5 4 2 3 2 2 6 4" xfId="21746" xr:uid="{00000000-0005-0000-0000-000026500000}"/>
    <cellStyle name="Currency 5 4 2 3 2 2 7" xfId="21747" xr:uid="{00000000-0005-0000-0000-000027500000}"/>
    <cellStyle name="Currency 5 4 2 3 2 2 7 2" xfId="21748" xr:uid="{00000000-0005-0000-0000-000028500000}"/>
    <cellStyle name="Currency 5 4 2 3 2 2 7 2 2" xfId="21749" xr:uid="{00000000-0005-0000-0000-000029500000}"/>
    <cellStyle name="Currency 5 4 2 3 2 2 7 2 2 2" xfId="21750" xr:uid="{00000000-0005-0000-0000-00002A500000}"/>
    <cellStyle name="Currency 5 4 2 3 2 2 7 2 3" xfId="21751" xr:uid="{00000000-0005-0000-0000-00002B500000}"/>
    <cellStyle name="Currency 5 4 2 3 2 2 7 3" xfId="21752" xr:uid="{00000000-0005-0000-0000-00002C500000}"/>
    <cellStyle name="Currency 5 4 2 3 2 2 7 3 2" xfId="21753" xr:uid="{00000000-0005-0000-0000-00002D500000}"/>
    <cellStyle name="Currency 5 4 2 3 2 2 7 4" xfId="21754" xr:uid="{00000000-0005-0000-0000-00002E500000}"/>
    <cellStyle name="Currency 5 4 2 3 2 2 8" xfId="21755" xr:uid="{00000000-0005-0000-0000-00002F500000}"/>
    <cellStyle name="Currency 5 4 2 3 2 2 8 2" xfId="21756" xr:uid="{00000000-0005-0000-0000-000030500000}"/>
    <cellStyle name="Currency 5 4 2 3 2 2 8 2 2" xfId="21757" xr:uid="{00000000-0005-0000-0000-000031500000}"/>
    <cellStyle name="Currency 5 4 2 3 2 2 8 3" xfId="21758" xr:uid="{00000000-0005-0000-0000-000032500000}"/>
    <cellStyle name="Currency 5 4 2 3 2 2 9" xfId="21759" xr:uid="{00000000-0005-0000-0000-000033500000}"/>
    <cellStyle name="Currency 5 4 2 3 2 2 9 2" xfId="21760" xr:uid="{00000000-0005-0000-0000-000034500000}"/>
    <cellStyle name="Currency 5 4 2 3 2 3" xfId="1352" xr:uid="{00000000-0005-0000-0000-000035500000}"/>
    <cellStyle name="Currency 5 4 2 3 2 3 2" xfId="21762" xr:uid="{00000000-0005-0000-0000-000036500000}"/>
    <cellStyle name="Currency 5 4 2 3 2 3 2 2" xfId="21763" xr:uid="{00000000-0005-0000-0000-000037500000}"/>
    <cellStyle name="Currency 5 4 2 3 2 3 2 2 2" xfId="21764" xr:uid="{00000000-0005-0000-0000-000038500000}"/>
    <cellStyle name="Currency 5 4 2 3 2 3 2 2 2 2" xfId="21765" xr:uid="{00000000-0005-0000-0000-000039500000}"/>
    <cellStyle name="Currency 5 4 2 3 2 3 2 2 3" xfId="21766" xr:uid="{00000000-0005-0000-0000-00003A500000}"/>
    <cellStyle name="Currency 5 4 2 3 2 3 2 3" xfId="21767" xr:uid="{00000000-0005-0000-0000-00003B500000}"/>
    <cellStyle name="Currency 5 4 2 3 2 3 2 3 2" xfId="21768" xr:uid="{00000000-0005-0000-0000-00003C500000}"/>
    <cellStyle name="Currency 5 4 2 3 2 3 2 4" xfId="21769" xr:uid="{00000000-0005-0000-0000-00003D500000}"/>
    <cellStyle name="Currency 5 4 2 3 2 3 3" xfId="21770" xr:uid="{00000000-0005-0000-0000-00003E500000}"/>
    <cellStyle name="Currency 5 4 2 3 2 3 3 2" xfId="21771" xr:uid="{00000000-0005-0000-0000-00003F500000}"/>
    <cellStyle name="Currency 5 4 2 3 2 3 3 2 2" xfId="21772" xr:uid="{00000000-0005-0000-0000-000040500000}"/>
    <cellStyle name="Currency 5 4 2 3 2 3 3 2 2 2" xfId="21773" xr:uid="{00000000-0005-0000-0000-000041500000}"/>
    <cellStyle name="Currency 5 4 2 3 2 3 3 2 3" xfId="21774" xr:uid="{00000000-0005-0000-0000-000042500000}"/>
    <cellStyle name="Currency 5 4 2 3 2 3 3 3" xfId="21775" xr:uid="{00000000-0005-0000-0000-000043500000}"/>
    <cellStyle name="Currency 5 4 2 3 2 3 3 3 2" xfId="21776" xr:uid="{00000000-0005-0000-0000-000044500000}"/>
    <cellStyle name="Currency 5 4 2 3 2 3 3 4" xfId="21777" xr:uid="{00000000-0005-0000-0000-000045500000}"/>
    <cellStyle name="Currency 5 4 2 3 2 3 4" xfId="21778" xr:uid="{00000000-0005-0000-0000-000046500000}"/>
    <cellStyle name="Currency 5 4 2 3 2 3 4 2" xfId="21779" xr:uid="{00000000-0005-0000-0000-000047500000}"/>
    <cellStyle name="Currency 5 4 2 3 2 3 4 2 2" xfId="21780" xr:uid="{00000000-0005-0000-0000-000048500000}"/>
    <cellStyle name="Currency 5 4 2 3 2 3 4 3" xfId="21781" xr:uid="{00000000-0005-0000-0000-000049500000}"/>
    <cellStyle name="Currency 5 4 2 3 2 3 5" xfId="21782" xr:uid="{00000000-0005-0000-0000-00004A500000}"/>
    <cellStyle name="Currency 5 4 2 3 2 3 5 2" xfId="21783" xr:uid="{00000000-0005-0000-0000-00004B500000}"/>
    <cellStyle name="Currency 5 4 2 3 2 3 6" xfId="21784" xr:uid="{00000000-0005-0000-0000-00004C500000}"/>
    <cellStyle name="Currency 5 4 2 3 2 3 7" xfId="21761" xr:uid="{00000000-0005-0000-0000-00004D500000}"/>
    <cellStyle name="Currency 5 4 2 3 2 4" xfId="21785" xr:uid="{00000000-0005-0000-0000-00004E500000}"/>
    <cellStyle name="Currency 5 4 2 3 2 4 2" xfId="21786" xr:uid="{00000000-0005-0000-0000-00004F500000}"/>
    <cellStyle name="Currency 5 4 2 3 2 4 2 2" xfId="21787" xr:uid="{00000000-0005-0000-0000-000050500000}"/>
    <cellStyle name="Currency 5 4 2 3 2 4 2 2 2" xfId="21788" xr:uid="{00000000-0005-0000-0000-000051500000}"/>
    <cellStyle name="Currency 5 4 2 3 2 4 2 2 2 2" xfId="21789" xr:uid="{00000000-0005-0000-0000-000052500000}"/>
    <cellStyle name="Currency 5 4 2 3 2 4 2 2 3" xfId="21790" xr:uid="{00000000-0005-0000-0000-000053500000}"/>
    <cellStyle name="Currency 5 4 2 3 2 4 2 3" xfId="21791" xr:uid="{00000000-0005-0000-0000-000054500000}"/>
    <cellStyle name="Currency 5 4 2 3 2 4 2 3 2" xfId="21792" xr:uid="{00000000-0005-0000-0000-000055500000}"/>
    <cellStyle name="Currency 5 4 2 3 2 4 2 4" xfId="21793" xr:uid="{00000000-0005-0000-0000-000056500000}"/>
    <cellStyle name="Currency 5 4 2 3 2 4 3" xfId="21794" xr:uid="{00000000-0005-0000-0000-000057500000}"/>
    <cellStyle name="Currency 5 4 2 3 2 4 3 2" xfId="21795" xr:uid="{00000000-0005-0000-0000-000058500000}"/>
    <cellStyle name="Currency 5 4 2 3 2 4 3 2 2" xfId="21796" xr:uid="{00000000-0005-0000-0000-000059500000}"/>
    <cellStyle name="Currency 5 4 2 3 2 4 3 3" xfId="21797" xr:uid="{00000000-0005-0000-0000-00005A500000}"/>
    <cellStyle name="Currency 5 4 2 3 2 4 4" xfId="21798" xr:uid="{00000000-0005-0000-0000-00005B500000}"/>
    <cellStyle name="Currency 5 4 2 3 2 4 4 2" xfId="21799" xr:uid="{00000000-0005-0000-0000-00005C500000}"/>
    <cellStyle name="Currency 5 4 2 3 2 4 5" xfId="21800" xr:uid="{00000000-0005-0000-0000-00005D500000}"/>
    <cellStyle name="Currency 5 4 2 3 2 5" xfId="21801" xr:uid="{00000000-0005-0000-0000-00005E500000}"/>
    <cellStyle name="Currency 5 4 2 3 2 5 2" xfId="21802" xr:uid="{00000000-0005-0000-0000-00005F500000}"/>
    <cellStyle name="Currency 5 4 2 3 2 5 2 2" xfId="21803" xr:uid="{00000000-0005-0000-0000-000060500000}"/>
    <cellStyle name="Currency 5 4 2 3 2 5 2 2 2" xfId="21804" xr:uid="{00000000-0005-0000-0000-000061500000}"/>
    <cellStyle name="Currency 5 4 2 3 2 5 2 2 2 2" xfId="21805" xr:uid="{00000000-0005-0000-0000-000062500000}"/>
    <cellStyle name="Currency 5 4 2 3 2 5 2 2 3" xfId="21806" xr:uid="{00000000-0005-0000-0000-000063500000}"/>
    <cellStyle name="Currency 5 4 2 3 2 5 2 3" xfId="21807" xr:uid="{00000000-0005-0000-0000-000064500000}"/>
    <cellStyle name="Currency 5 4 2 3 2 5 2 3 2" xfId="21808" xr:uid="{00000000-0005-0000-0000-000065500000}"/>
    <cellStyle name="Currency 5 4 2 3 2 5 2 4" xfId="21809" xr:uid="{00000000-0005-0000-0000-000066500000}"/>
    <cellStyle name="Currency 5 4 2 3 2 5 3" xfId="21810" xr:uid="{00000000-0005-0000-0000-000067500000}"/>
    <cellStyle name="Currency 5 4 2 3 2 5 3 2" xfId="21811" xr:uid="{00000000-0005-0000-0000-000068500000}"/>
    <cellStyle name="Currency 5 4 2 3 2 5 3 2 2" xfId="21812" xr:uid="{00000000-0005-0000-0000-000069500000}"/>
    <cellStyle name="Currency 5 4 2 3 2 5 3 3" xfId="21813" xr:uid="{00000000-0005-0000-0000-00006A500000}"/>
    <cellStyle name="Currency 5 4 2 3 2 5 4" xfId="21814" xr:uid="{00000000-0005-0000-0000-00006B500000}"/>
    <cellStyle name="Currency 5 4 2 3 2 5 4 2" xfId="21815" xr:uid="{00000000-0005-0000-0000-00006C500000}"/>
    <cellStyle name="Currency 5 4 2 3 2 5 5" xfId="21816" xr:uid="{00000000-0005-0000-0000-00006D500000}"/>
    <cellStyle name="Currency 5 4 2 3 2 6" xfId="21817" xr:uid="{00000000-0005-0000-0000-00006E500000}"/>
    <cellStyle name="Currency 5 4 2 3 2 6 2" xfId="21818" xr:uid="{00000000-0005-0000-0000-00006F500000}"/>
    <cellStyle name="Currency 5 4 2 3 2 6 2 2" xfId="21819" xr:uid="{00000000-0005-0000-0000-000070500000}"/>
    <cellStyle name="Currency 5 4 2 3 2 6 2 2 2" xfId="21820" xr:uid="{00000000-0005-0000-0000-000071500000}"/>
    <cellStyle name="Currency 5 4 2 3 2 6 2 3" xfId="21821" xr:uid="{00000000-0005-0000-0000-000072500000}"/>
    <cellStyle name="Currency 5 4 2 3 2 6 3" xfId="21822" xr:uid="{00000000-0005-0000-0000-000073500000}"/>
    <cellStyle name="Currency 5 4 2 3 2 6 3 2" xfId="21823" xr:uid="{00000000-0005-0000-0000-000074500000}"/>
    <cellStyle name="Currency 5 4 2 3 2 6 4" xfId="21824" xr:uid="{00000000-0005-0000-0000-000075500000}"/>
    <cellStyle name="Currency 5 4 2 3 2 7" xfId="21825" xr:uid="{00000000-0005-0000-0000-000076500000}"/>
    <cellStyle name="Currency 5 4 2 3 2 7 2" xfId="21826" xr:uid="{00000000-0005-0000-0000-000077500000}"/>
    <cellStyle name="Currency 5 4 2 3 2 7 2 2" xfId="21827" xr:uid="{00000000-0005-0000-0000-000078500000}"/>
    <cellStyle name="Currency 5 4 2 3 2 7 2 2 2" xfId="21828" xr:uid="{00000000-0005-0000-0000-000079500000}"/>
    <cellStyle name="Currency 5 4 2 3 2 7 2 3" xfId="21829" xr:uid="{00000000-0005-0000-0000-00007A500000}"/>
    <cellStyle name="Currency 5 4 2 3 2 7 3" xfId="21830" xr:uid="{00000000-0005-0000-0000-00007B500000}"/>
    <cellStyle name="Currency 5 4 2 3 2 7 3 2" xfId="21831" xr:uid="{00000000-0005-0000-0000-00007C500000}"/>
    <cellStyle name="Currency 5 4 2 3 2 7 4" xfId="21832" xr:uid="{00000000-0005-0000-0000-00007D500000}"/>
    <cellStyle name="Currency 5 4 2 3 2 8" xfId="21833" xr:uid="{00000000-0005-0000-0000-00007E500000}"/>
    <cellStyle name="Currency 5 4 2 3 2 8 2" xfId="21834" xr:uid="{00000000-0005-0000-0000-00007F500000}"/>
    <cellStyle name="Currency 5 4 2 3 2 8 2 2" xfId="21835" xr:uid="{00000000-0005-0000-0000-000080500000}"/>
    <cellStyle name="Currency 5 4 2 3 2 8 2 2 2" xfId="21836" xr:uid="{00000000-0005-0000-0000-000081500000}"/>
    <cellStyle name="Currency 5 4 2 3 2 8 2 3" xfId="21837" xr:uid="{00000000-0005-0000-0000-000082500000}"/>
    <cellStyle name="Currency 5 4 2 3 2 8 3" xfId="21838" xr:uid="{00000000-0005-0000-0000-000083500000}"/>
    <cellStyle name="Currency 5 4 2 3 2 8 3 2" xfId="21839" xr:uid="{00000000-0005-0000-0000-000084500000}"/>
    <cellStyle name="Currency 5 4 2 3 2 8 4" xfId="21840" xr:uid="{00000000-0005-0000-0000-000085500000}"/>
    <cellStyle name="Currency 5 4 2 3 2 9" xfId="21841" xr:uid="{00000000-0005-0000-0000-000086500000}"/>
    <cellStyle name="Currency 5 4 2 3 2 9 2" xfId="21842" xr:uid="{00000000-0005-0000-0000-000087500000}"/>
    <cellStyle name="Currency 5 4 2 3 2 9 2 2" xfId="21843" xr:uid="{00000000-0005-0000-0000-000088500000}"/>
    <cellStyle name="Currency 5 4 2 3 2 9 3" xfId="21844" xr:uid="{00000000-0005-0000-0000-000089500000}"/>
    <cellStyle name="Currency 5 4 2 3 3" xfId="396" xr:uid="{00000000-0005-0000-0000-00008A500000}"/>
    <cellStyle name="Currency 5 4 2 3 4" xfId="935" xr:uid="{00000000-0005-0000-0000-00008B500000}"/>
    <cellStyle name="Currency 5 4 2 3 4 10" xfId="21846" xr:uid="{00000000-0005-0000-0000-00008C500000}"/>
    <cellStyle name="Currency 5 4 2 3 4 11" xfId="21845" xr:uid="{00000000-0005-0000-0000-00008D500000}"/>
    <cellStyle name="Currency 5 4 2 3 4 2" xfId="1676" xr:uid="{00000000-0005-0000-0000-00008E500000}"/>
    <cellStyle name="Currency 5 4 2 3 4 2 2" xfId="21848" xr:uid="{00000000-0005-0000-0000-00008F500000}"/>
    <cellStyle name="Currency 5 4 2 3 4 2 2 2" xfId="21849" xr:uid="{00000000-0005-0000-0000-000090500000}"/>
    <cellStyle name="Currency 5 4 2 3 4 2 2 2 2" xfId="21850" xr:uid="{00000000-0005-0000-0000-000091500000}"/>
    <cellStyle name="Currency 5 4 2 3 4 2 2 2 2 2" xfId="21851" xr:uid="{00000000-0005-0000-0000-000092500000}"/>
    <cellStyle name="Currency 5 4 2 3 4 2 2 2 3" xfId="21852" xr:uid="{00000000-0005-0000-0000-000093500000}"/>
    <cellStyle name="Currency 5 4 2 3 4 2 2 3" xfId="21853" xr:uid="{00000000-0005-0000-0000-000094500000}"/>
    <cellStyle name="Currency 5 4 2 3 4 2 2 3 2" xfId="21854" xr:uid="{00000000-0005-0000-0000-000095500000}"/>
    <cellStyle name="Currency 5 4 2 3 4 2 2 4" xfId="21855" xr:uid="{00000000-0005-0000-0000-000096500000}"/>
    <cellStyle name="Currency 5 4 2 3 4 2 3" xfId="21856" xr:uid="{00000000-0005-0000-0000-000097500000}"/>
    <cellStyle name="Currency 5 4 2 3 4 2 3 2" xfId="21857" xr:uid="{00000000-0005-0000-0000-000098500000}"/>
    <cellStyle name="Currency 5 4 2 3 4 2 3 2 2" xfId="21858" xr:uid="{00000000-0005-0000-0000-000099500000}"/>
    <cellStyle name="Currency 5 4 2 3 4 2 3 2 2 2" xfId="21859" xr:uid="{00000000-0005-0000-0000-00009A500000}"/>
    <cellStyle name="Currency 5 4 2 3 4 2 3 2 3" xfId="21860" xr:uid="{00000000-0005-0000-0000-00009B500000}"/>
    <cellStyle name="Currency 5 4 2 3 4 2 3 3" xfId="21861" xr:uid="{00000000-0005-0000-0000-00009C500000}"/>
    <cellStyle name="Currency 5 4 2 3 4 2 3 3 2" xfId="21862" xr:uid="{00000000-0005-0000-0000-00009D500000}"/>
    <cellStyle name="Currency 5 4 2 3 4 2 3 4" xfId="21863" xr:uid="{00000000-0005-0000-0000-00009E500000}"/>
    <cellStyle name="Currency 5 4 2 3 4 2 4" xfId="21864" xr:uid="{00000000-0005-0000-0000-00009F500000}"/>
    <cellStyle name="Currency 5 4 2 3 4 2 4 2" xfId="21865" xr:uid="{00000000-0005-0000-0000-0000A0500000}"/>
    <cellStyle name="Currency 5 4 2 3 4 2 4 2 2" xfId="21866" xr:uid="{00000000-0005-0000-0000-0000A1500000}"/>
    <cellStyle name="Currency 5 4 2 3 4 2 4 3" xfId="21867" xr:uid="{00000000-0005-0000-0000-0000A2500000}"/>
    <cellStyle name="Currency 5 4 2 3 4 2 5" xfId="21868" xr:uid="{00000000-0005-0000-0000-0000A3500000}"/>
    <cellStyle name="Currency 5 4 2 3 4 2 5 2" xfId="21869" xr:uid="{00000000-0005-0000-0000-0000A4500000}"/>
    <cellStyle name="Currency 5 4 2 3 4 2 6" xfId="21870" xr:uid="{00000000-0005-0000-0000-0000A5500000}"/>
    <cellStyle name="Currency 5 4 2 3 4 2 7" xfId="21847" xr:uid="{00000000-0005-0000-0000-0000A6500000}"/>
    <cellStyle name="Currency 5 4 2 3 4 3" xfId="21871" xr:uid="{00000000-0005-0000-0000-0000A7500000}"/>
    <cellStyle name="Currency 5 4 2 3 4 3 2" xfId="21872" xr:uid="{00000000-0005-0000-0000-0000A8500000}"/>
    <cellStyle name="Currency 5 4 2 3 4 3 2 2" xfId="21873" xr:uid="{00000000-0005-0000-0000-0000A9500000}"/>
    <cellStyle name="Currency 5 4 2 3 4 3 2 2 2" xfId="21874" xr:uid="{00000000-0005-0000-0000-0000AA500000}"/>
    <cellStyle name="Currency 5 4 2 3 4 3 2 2 2 2" xfId="21875" xr:uid="{00000000-0005-0000-0000-0000AB500000}"/>
    <cellStyle name="Currency 5 4 2 3 4 3 2 2 3" xfId="21876" xr:uid="{00000000-0005-0000-0000-0000AC500000}"/>
    <cellStyle name="Currency 5 4 2 3 4 3 2 3" xfId="21877" xr:uid="{00000000-0005-0000-0000-0000AD500000}"/>
    <cellStyle name="Currency 5 4 2 3 4 3 2 3 2" xfId="21878" xr:uid="{00000000-0005-0000-0000-0000AE500000}"/>
    <cellStyle name="Currency 5 4 2 3 4 3 2 4" xfId="21879" xr:uid="{00000000-0005-0000-0000-0000AF500000}"/>
    <cellStyle name="Currency 5 4 2 3 4 3 3" xfId="21880" xr:uid="{00000000-0005-0000-0000-0000B0500000}"/>
    <cellStyle name="Currency 5 4 2 3 4 3 3 2" xfId="21881" xr:uid="{00000000-0005-0000-0000-0000B1500000}"/>
    <cellStyle name="Currency 5 4 2 3 4 3 3 2 2" xfId="21882" xr:uid="{00000000-0005-0000-0000-0000B2500000}"/>
    <cellStyle name="Currency 5 4 2 3 4 3 3 3" xfId="21883" xr:uid="{00000000-0005-0000-0000-0000B3500000}"/>
    <cellStyle name="Currency 5 4 2 3 4 3 4" xfId="21884" xr:uid="{00000000-0005-0000-0000-0000B4500000}"/>
    <cellStyle name="Currency 5 4 2 3 4 3 4 2" xfId="21885" xr:uid="{00000000-0005-0000-0000-0000B5500000}"/>
    <cellStyle name="Currency 5 4 2 3 4 3 5" xfId="21886" xr:uid="{00000000-0005-0000-0000-0000B6500000}"/>
    <cellStyle name="Currency 5 4 2 3 4 4" xfId="21887" xr:uid="{00000000-0005-0000-0000-0000B7500000}"/>
    <cellStyle name="Currency 5 4 2 3 4 4 2" xfId="21888" xr:uid="{00000000-0005-0000-0000-0000B8500000}"/>
    <cellStyle name="Currency 5 4 2 3 4 4 2 2" xfId="21889" xr:uid="{00000000-0005-0000-0000-0000B9500000}"/>
    <cellStyle name="Currency 5 4 2 3 4 4 2 2 2" xfId="21890" xr:uid="{00000000-0005-0000-0000-0000BA500000}"/>
    <cellStyle name="Currency 5 4 2 3 4 4 2 2 2 2" xfId="21891" xr:uid="{00000000-0005-0000-0000-0000BB500000}"/>
    <cellStyle name="Currency 5 4 2 3 4 4 2 2 3" xfId="21892" xr:uid="{00000000-0005-0000-0000-0000BC500000}"/>
    <cellStyle name="Currency 5 4 2 3 4 4 2 3" xfId="21893" xr:uid="{00000000-0005-0000-0000-0000BD500000}"/>
    <cellStyle name="Currency 5 4 2 3 4 4 2 3 2" xfId="21894" xr:uid="{00000000-0005-0000-0000-0000BE500000}"/>
    <cellStyle name="Currency 5 4 2 3 4 4 2 4" xfId="21895" xr:uid="{00000000-0005-0000-0000-0000BF500000}"/>
    <cellStyle name="Currency 5 4 2 3 4 4 3" xfId="21896" xr:uid="{00000000-0005-0000-0000-0000C0500000}"/>
    <cellStyle name="Currency 5 4 2 3 4 4 3 2" xfId="21897" xr:uid="{00000000-0005-0000-0000-0000C1500000}"/>
    <cellStyle name="Currency 5 4 2 3 4 4 3 2 2" xfId="21898" xr:uid="{00000000-0005-0000-0000-0000C2500000}"/>
    <cellStyle name="Currency 5 4 2 3 4 4 3 3" xfId="21899" xr:uid="{00000000-0005-0000-0000-0000C3500000}"/>
    <cellStyle name="Currency 5 4 2 3 4 4 4" xfId="21900" xr:uid="{00000000-0005-0000-0000-0000C4500000}"/>
    <cellStyle name="Currency 5 4 2 3 4 4 4 2" xfId="21901" xr:uid="{00000000-0005-0000-0000-0000C5500000}"/>
    <cellStyle name="Currency 5 4 2 3 4 4 5" xfId="21902" xr:uid="{00000000-0005-0000-0000-0000C6500000}"/>
    <cellStyle name="Currency 5 4 2 3 4 5" xfId="21903" xr:uid="{00000000-0005-0000-0000-0000C7500000}"/>
    <cellStyle name="Currency 5 4 2 3 4 5 2" xfId="21904" xr:uid="{00000000-0005-0000-0000-0000C8500000}"/>
    <cellStyle name="Currency 5 4 2 3 4 5 2 2" xfId="21905" xr:uid="{00000000-0005-0000-0000-0000C9500000}"/>
    <cellStyle name="Currency 5 4 2 3 4 5 2 2 2" xfId="21906" xr:uid="{00000000-0005-0000-0000-0000CA500000}"/>
    <cellStyle name="Currency 5 4 2 3 4 5 2 3" xfId="21907" xr:uid="{00000000-0005-0000-0000-0000CB500000}"/>
    <cellStyle name="Currency 5 4 2 3 4 5 3" xfId="21908" xr:uid="{00000000-0005-0000-0000-0000CC500000}"/>
    <cellStyle name="Currency 5 4 2 3 4 5 3 2" xfId="21909" xr:uid="{00000000-0005-0000-0000-0000CD500000}"/>
    <cellStyle name="Currency 5 4 2 3 4 5 4" xfId="21910" xr:uid="{00000000-0005-0000-0000-0000CE500000}"/>
    <cellStyle name="Currency 5 4 2 3 4 6" xfId="21911" xr:uid="{00000000-0005-0000-0000-0000CF500000}"/>
    <cellStyle name="Currency 5 4 2 3 4 6 2" xfId="21912" xr:uid="{00000000-0005-0000-0000-0000D0500000}"/>
    <cellStyle name="Currency 5 4 2 3 4 6 2 2" xfId="21913" xr:uid="{00000000-0005-0000-0000-0000D1500000}"/>
    <cellStyle name="Currency 5 4 2 3 4 6 2 2 2" xfId="21914" xr:uid="{00000000-0005-0000-0000-0000D2500000}"/>
    <cellStyle name="Currency 5 4 2 3 4 6 2 3" xfId="21915" xr:uid="{00000000-0005-0000-0000-0000D3500000}"/>
    <cellStyle name="Currency 5 4 2 3 4 6 3" xfId="21916" xr:uid="{00000000-0005-0000-0000-0000D4500000}"/>
    <cellStyle name="Currency 5 4 2 3 4 6 3 2" xfId="21917" xr:uid="{00000000-0005-0000-0000-0000D5500000}"/>
    <cellStyle name="Currency 5 4 2 3 4 6 4" xfId="21918" xr:uid="{00000000-0005-0000-0000-0000D6500000}"/>
    <cellStyle name="Currency 5 4 2 3 4 7" xfId="21919" xr:uid="{00000000-0005-0000-0000-0000D7500000}"/>
    <cellStyle name="Currency 5 4 2 3 4 7 2" xfId="21920" xr:uid="{00000000-0005-0000-0000-0000D8500000}"/>
    <cellStyle name="Currency 5 4 2 3 4 7 2 2" xfId="21921" xr:uid="{00000000-0005-0000-0000-0000D9500000}"/>
    <cellStyle name="Currency 5 4 2 3 4 7 2 2 2" xfId="21922" xr:uid="{00000000-0005-0000-0000-0000DA500000}"/>
    <cellStyle name="Currency 5 4 2 3 4 7 2 3" xfId="21923" xr:uid="{00000000-0005-0000-0000-0000DB500000}"/>
    <cellStyle name="Currency 5 4 2 3 4 7 3" xfId="21924" xr:uid="{00000000-0005-0000-0000-0000DC500000}"/>
    <cellStyle name="Currency 5 4 2 3 4 7 3 2" xfId="21925" xr:uid="{00000000-0005-0000-0000-0000DD500000}"/>
    <cellStyle name="Currency 5 4 2 3 4 7 4" xfId="21926" xr:uid="{00000000-0005-0000-0000-0000DE500000}"/>
    <cellStyle name="Currency 5 4 2 3 4 8" xfId="21927" xr:uid="{00000000-0005-0000-0000-0000DF500000}"/>
    <cellStyle name="Currency 5 4 2 3 4 8 2" xfId="21928" xr:uid="{00000000-0005-0000-0000-0000E0500000}"/>
    <cellStyle name="Currency 5 4 2 3 4 8 2 2" xfId="21929" xr:uid="{00000000-0005-0000-0000-0000E1500000}"/>
    <cellStyle name="Currency 5 4 2 3 4 8 3" xfId="21930" xr:uid="{00000000-0005-0000-0000-0000E2500000}"/>
    <cellStyle name="Currency 5 4 2 3 4 9" xfId="21931" xr:uid="{00000000-0005-0000-0000-0000E3500000}"/>
    <cellStyle name="Currency 5 4 2 3 4 9 2" xfId="21932" xr:uid="{00000000-0005-0000-0000-0000E4500000}"/>
    <cellStyle name="Currency 5 4 2 3 5" xfId="1351" xr:uid="{00000000-0005-0000-0000-0000E5500000}"/>
    <cellStyle name="Currency 5 4 2 3 5 2" xfId="21934" xr:uid="{00000000-0005-0000-0000-0000E6500000}"/>
    <cellStyle name="Currency 5 4 2 3 5 2 2" xfId="21935" xr:uid="{00000000-0005-0000-0000-0000E7500000}"/>
    <cellStyle name="Currency 5 4 2 3 5 2 2 2" xfId="21936" xr:uid="{00000000-0005-0000-0000-0000E8500000}"/>
    <cellStyle name="Currency 5 4 2 3 5 2 2 2 2" xfId="21937" xr:uid="{00000000-0005-0000-0000-0000E9500000}"/>
    <cellStyle name="Currency 5 4 2 3 5 2 2 3" xfId="21938" xr:uid="{00000000-0005-0000-0000-0000EA500000}"/>
    <cellStyle name="Currency 5 4 2 3 5 2 3" xfId="21939" xr:uid="{00000000-0005-0000-0000-0000EB500000}"/>
    <cellStyle name="Currency 5 4 2 3 5 2 3 2" xfId="21940" xr:uid="{00000000-0005-0000-0000-0000EC500000}"/>
    <cellStyle name="Currency 5 4 2 3 5 2 4" xfId="21941" xr:uid="{00000000-0005-0000-0000-0000ED500000}"/>
    <cellStyle name="Currency 5 4 2 3 5 3" xfId="21942" xr:uid="{00000000-0005-0000-0000-0000EE500000}"/>
    <cellStyle name="Currency 5 4 2 3 5 3 2" xfId="21943" xr:uid="{00000000-0005-0000-0000-0000EF500000}"/>
    <cellStyle name="Currency 5 4 2 3 5 3 2 2" xfId="21944" xr:uid="{00000000-0005-0000-0000-0000F0500000}"/>
    <cellStyle name="Currency 5 4 2 3 5 3 2 2 2" xfId="21945" xr:uid="{00000000-0005-0000-0000-0000F1500000}"/>
    <cellStyle name="Currency 5 4 2 3 5 3 2 3" xfId="21946" xr:uid="{00000000-0005-0000-0000-0000F2500000}"/>
    <cellStyle name="Currency 5 4 2 3 5 3 3" xfId="21947" xr:uid="{00000000-0005-0000-0000-0000F3500000}"/>
    <cellStyle name="Currency 5 4 2 3 5 3 3 2" xfId="21948" xr:uid="{00000000-0005-0000-0000-0000F4500000}"/>
    <cellStyle name="Currency 5 4 2 3 5 3 4" xfId="21949" xr:uid="{00000000-0005-0000-0000-0000F5500000}"/>
    <cellStyle name="Currency 5 4 2 3 5 4" xfId="21950" xr:uid="{00000000-0005-0000-0000-0000F6500000}"/>
    <cellStyle name="Currency 5 4 2 3 5 4 2" xfId="21951" xr:uid="{00000000-0005-0000-0000-0000F7500000}"/>
    <cellStyle name="Currency 5 4 2 3 5 4 2 2" xfId="21952" xr:uid="{00000000-0005-0000-0000-0000F8500000}"/>
    <cellStyle name="Currency 5 4 2 3 5 4 3" xfId="21953" xr:uid="{00000000-0005-0000-0000-0000F9500000}"/>
    <cellStyle name="Currency 5 4 2 3 5 5" xfId="21954" xr:uid="{00000000-0005-0000-0000-0000FA500000}"/>
    <cellStyle name="Currency 5 4 2 3 5 5 2" xfId="21955" xr:uid="{00000000-0005-0000-0000-0000FB500000}"/>
    <cellStyle name="Currency 5 4 2 3 5 6" xfId="21956" xr:uid="{00000000-0005-0000-0000-0000FC500000}"/>
    <cellStyle name="Currency 5 4 2 3 5 7" xfId="21933" xr:uid="{00000000-0005-0000-0000-0000FD500000}"/>
    <cellStyle name="Currency 5 4 2 3 6" xfId="21957" xr:uid="{00000000-0005-0000-0000-0000FE500000}"/>
    <cellStyle name="Currency 5 4 2 3 6 2" xfId="21958" xr:uid="{00000000-0005-0000-0000-0000FF500000}"/>
    <cellStyle name="Currency 5 4 2 3 6 2 2" xfId="21959" xr:uid="{00000000-0005-0000-0000-000000510000}"/>
    <cellStyle name="Currency 5 4 2 3 6 2 2 2" xfId="21960" xr:uid="{00000000-0005-0000-0000-000001510000}"/>
    <cellStyle name="Currency 5 4 2 3 6 2 2 2 2" xfId="21961" xr:uid="{00000000-0005-0000-0000-000002510000}"/>
    <cellStyle name="Currency 5 4 2 3 6 2 2 3" xfId="21962" xr:uid="{00000000-0005-0000-0000-000003510000}"/>
    <cellStyle name="Currency 5 4 2 3 6 2 3" xfId="21963" xr:uid="{00000000-0005-0000-0000-000004510000}"/>
    <cellStyle name="Currency 5 4 2 3 6 2 3 2" xfId="21964" xr:uid="{00000000-0005-0000-0000-000005510000}"/>
    <cellStyle name="Currency 5 4 2 3 6 2 4" xfId="21965" xr:uid="{00000000-0005-0000-0000-000006510000}"/>
    <cellStyle name="Currency 5 4 2 3 6 3" xfId="21966" xr:uid="{00000000-0005-0000-0000-000007510000}"/>
    <cellStyle name="Currency 5 4 2 3 6 3 2" xfId="21967" xr:uid="{00000000-0005-0000-0000-000008510000}"/>
    <cellStyle name="Currency 5 4 2 3 6 3 2 2" xfId="21968" xr:uid="{00000000-0005-0000-0000-000009510000}"/>
    <cellStyle name="Currency 5 4 2 3 6 3 3" xfId="21969" xr:uid="{00000000-0005-0000-0000-00000A510000}"/>
    <cellStyle name="Currency 5 4 2 3 6 4" xfId="21970" xr:uid="{00000000-0005-0000-0000-00000B510000}"/>
    <cellStyle name="Currency 5 4 2 3 6 4 2" xfId="21971" xr:uid="{00000000-0005-0000-0000-00000C510000}"/>
    <cellStyle name="Currency 5 4 2 3 6 5" xfId="21972" xr:uid="{00000000-0005-0000-0000-00000D510000}"/>
    <cellStyle name="Currency 5 4 2 3 7" xfId="21973" xr:uid="{00000000-0005-0000-0000-00000E510000}"/>
    <cellStyle name="Currency 5 4 2 3 7 2" xfId="21974" xr:uid="{00000000-0005-0000-0000-00000F510000}"/>
    <cellStyle name="Currency 5 4 2 3 7 2 2" xfId="21975" xr:uid="{00000000-0005-0000-0000-000010510000}"/>
    <cellStyle name="Currency 5 4 2 3 7 2 2 2" xfId="21976" xr:uid="{00000000-0005-0000-0000-000011510000}"/>
    <cellStyle name="Currency 5 4 2 3 7 2 2 2 2" xfId="21977" xr:uid="{00000000-0005-0000-0000-000012510000}"/>
    <cellStyle name="Currency 5 4 2 3 7 2 2 3" xfId="21978" xr:uid="{00000000-0005-0000-0000-000013510000}"/>
    <cellStyle name="Currency 5 4 2 3 7 2 3" xfId="21979" xr:uid="{00000000-0005-0000-0000-000014510000}"/>
    <cellStyle name="Currency 5 4 2 3 7 2 3 2" xfId="21980" xr:uid="{00000000-0005-0000-0000-000015510000}"/>
    <cellStyle name="Currency 5 4 2 3 7 2 4" xfId="21981" xr:uid="{00000000-0005-0000-0000-000016510000}"/>
    <cellStyle name="Currency 5 4 2 3 7 3" xfId="21982" xr:uid="{00000000-0005-0000-0000-000017510000}"/>
    <cellStyle name="Currency 5 4 2 3 7 3 2" xfId="21983" xr:uid="{00000000-0005-0000-0000-000018510000}"/>
    <cellStyle name="Currency 5 4 2 3 7 3 2 2" xfId="21984" xr:uid="{00000000-0005-0000-0000-000019510000}"/>
    <cellStyle name="Currency 5 4 2 3 7 3 3" xfId="21985" xr:uid="{00000000-0005-0000-0000-00001A510000}"/>
    <cellStyle name="Currency 5 4 2 3 7 4" xfId="21986" xr:uid="{00000000-0005-0000-0000-00001B510000}"/>
    <cellStyle name="Currency 5 4 2 3 7 4 2" xfId="21987" xr:uid="{00000000-0005-0000-0000-00001C510000}"/>
    <cellStyle name="Currency 5 4 2 3 7 5" xfId="21988" xr:uid="{00000000-0005-0000-0000-00001D510000}"/>
    <cellStyle name="Currency 5 4 2 3 8" xfId="21989" xr:uid="{00000000-0005-0000-0000-00001E510000}"/>
    <cellStyle name="Currency 5 4 2 3 8 2" xfId="21990" xr:uid="{00000000-0005-0000-0000-00001F510000}"/>
    <cellStyle name="Currency 5 4 2 3 8 2 2" xfId="21991" xr:uid="{00000000-0005-0000-0000-000020510000}"/>
    <cellStyle name="Currency 5 4 2 3 8 2 2 2" xfId="21992" xr:uid="{00000000-0005-0000-0000-000021510000}"/>
    <cellStyle name="Currency 5 4 2 3 8 2 3" xfId="21993" xr:uid="{00000000-0005-0000-0000-000022510000}"/>
    <cellStyle name="Currency 5 4 2 3 8 3" xfId="21994" xr:uid="{00000000-0005-0000-0000-000023510000}"/>
    <cellStyle name="Currency 5 4 2 3 8 3 2" xfId="21995" xr:uid="{00000000-0005-0000-0000-000024510000}"/>
    <cellStyle name="Currency 5 4 2 3 8 4" xfId="21996" xr:uid="{00000000-0005-0000-0000-000025510000}"/>
    <cellStyle name="Currency 5 4 2 3 9" xfId="21997" xr:uid="{00000000-0005-0000-0000-000026510000}"/>
    <cellStyle name="Currency 5 4 2 3 9 2" xfId="21998" xr:uid="{00000000-0005-0000-0000-000027510000}"/>
    <cellStyle name="Currency 5 4 2 3 9 2 2" xfId="21999" xr:uid="{00000000-0005-0000-0000-000028510000}"/>
    <cellStyle name="Currency 5 4 2 3 9 2 2 2" xfId="22000" xr:uid="{00000000-0005-0000-0000-000029510000}"/>
    <cellStyle name="Currency 5 4 2 3 9 2 3" xfId="22001" xr:uid="{00000000-0005-0000-0000-00002A510000}"/>
    <cellStyle name="Currency 5 4 2 3 9 3" xfId="22002" xr:uid="{00000000-0005-0000-0000-00002B510000}"/>
    <cellStyle name="Currency 5 4 2 3 9 3 2" xfId="22003" xr:uid="{00000000-0005-0000-0000-00002C510000}"/>
    <cellStyle name="Currency 5 4 2 3 9 4" xfId="22004" xr:uid="{00000000-0005-0000-0000-00002D510000}"/>
    <cellStyle name="Currency 5 4 2 4" xfId="397" xr:uid="{00000000-0005-0000-0000-00002E510000}"/>
    <cellStyle name="Currency 5 4 2 4 10" xfId="22006" xr:uid="{00000000-0005-0000-0000-00002F510000}"/>
    <cellStyle name="Currency 5 4 2 4 10 2" xfId="22007" xr:uid="{00000000-0005-0000-0000-000030510000}"/>
    <cellStyle name="Currency 5 4 2 4 10 2 2" xfId="22008" xr:uid="{00000000-0005-0000-0000-000031510000}"/>
    <cellStyle name="Currency 5 4 2 4 10 3" xfId="22009" xr:uid="{00000000-0005-0000-0000-000032510000}"/>
    <cellStyle name="Currency 5 4 2 4 11" xfId="22010" xr:uid="{00000000-0005-0000-0000-000033510000}"/>
    <cellStyle name="Currency 5 4 2 4 11 2" xfId="22011" xr:uid="{00000000-0005-0000-0000-000034510000}"/>
    <cellStyle name="Currency 5 4 2 4 11 2 2" xfId="22012" xr:uid="{00000000-0005-0000-0000-000035510000}"/>
    <cellStyle name="Currency 5 4 2 4 11 3" xfId="22013" xr:uid="{00000000-0005-0000-0000-000036510000}"/>
    <cellStyle name="Currency 5 4 2 4 12" xfId="22014" xr:uid="{00000000-0005-0000-0000-000037510000}"/>
    <cellStyle name="Currency 5 4 2 4 12 2" xfId="22015" xr:uid="{00000000-0005-0000-0000-000038510000}"/>
    <cellStyle name="Currency 5 4 2 4 13" xfId="22016" xr:uid="{00000000-0005-0000-0000-000039510000}"/>
    <cellStyle name="Currency 5 4 2 4 14" xfId="22017" xr:uid="{00000000-0005-0000-0000-00003A510000}"/>
    <cellStyle name="Currency 5 4 2 4 15" xfId="22005" xr:uid="{00000000-0005-0000-0000-00003B510000}"/>
    <cellStyle name="Currency 5 4 2 4 2" xfId="937" xr:uid="{00000000-0005-0000-0000-00003C510000}"/>
    <cellStyle name="Currency 5 4 2 4 2 10" xfId="22019" xr:uid="{00000000-0005-0000-0000-00003D510000}"/>
    <cellStyle name="Currency 5 4 2 4 2 11" xfId="22018" xr:uid="{00000000-0005-0000-0000-00003E510000}"/>
    <cellStyle name="Currency 5 4 2 4 2 2" xfId="1678" xr:uid="{00000000-0005-0000-0000-00003F510000}"/>
    <cellStyle name="Currency 5 4 2 4 2 2 2" xfId="22021" xr:uid="{00000000-0005-0000-0000-000040510000}"/>
    <cellStyle name="Currency 5 4 2 4 2 2 2 2" xfId="22022" xr:uid="{00000000-0005-0000-0000-000041510000}"/>
    <cellStyle name="Currency 5 4 2 4 2 2 2 2 2" xfId="22023" xr:uid="{00000000-0005-0000-0000-000042510000}"/>
    <cellStyle name="Currency 5 4 2 4 2 2 2 2 2 2" xfId="22024" xr:uid="{00000000-0005-0000-0000-000043510000}"/>
    <cellStyle name="Currency 5 4 2 4 2 2 2 2 3" xfId="22025" xr:uid="{00000000-0005-0000-0000-000044510000}"/>
    <cellStyle name="Currency 5 4 2 4 2 2 2 3" xfId="22026" xr:uid="{00000000-0005-0000-0000-000045510000}"/>
    <cellStyle name="Currency 5 4 2 4 2 2 2 3 2" xfId="22027" xr:uid="{00000000-0005-0000-0000-000046510000}"/>
    <cellStyle name="Currency 5 4 2 4 2 2 2 4" xfId="22028" xr:uid="{00000000-0005-0000-0000-000047510000}"/>
    <cellStyle name="Currency 5 4 2 4 2 2 3" xfId="22029" xr:uid="{00000000-0005-0000-0000-000048510000}"/>
    <cellStyle name="Currency 5 4 2 4 2 2 3 2" xfId="22030" xr:uid="{00000000-0005-0000-0000-000049510000}"/>
    <cellStyle name="Currency 5 4 2 4 2 2 3 2 2" xfId="22031" xr:uid="{00000000-0005-0000-0000-00004A510000}"/>
    <cellStyle name="Currency 5 4 2 4 2 2 3 2 2 2" xfId="22032" xr:uid="{00000000-0005-0000-0000-00004B510000}"/>
    <cellStyle name="Currency 5 4 2 4 2 2 3 2 3" xfId="22033" xr:uid="{00000000-0005-0000-0000-00004C510000}"/>
    <cellStyle name="Currency 5 4 2 4 2 2 3 3" xfId="22034" xr:uid="{00000000-0005-0000-0000-00004D510000}"/>
    <cellStyle name="Currency 5 4 2 4 2 2 3 3 2" xfId="22035" xr:uid="{00000000-0005-0000-0000-00004E510000}"/>
    <cellStyle name="Currency 5 4 2 4 2 2 3 4" xfId="22036" xr:uid="{00000000-0005-0000-0000-00004F510000}"/>
    <cellStyle name="Currency 5 4 2 4 2 2 4" xfId="22037" xr:uid="{00000000-0005-0000-0000-000050510000}"/>
    <cellStyle name="Currency 5 4 2 4 2 2 4 2" xfId="22038" xr:uid="{00000000-0005-0000-0000-000051510000}"/>
    <cellStyle name="Currency 5 4 2 4 2 2 4 2 2" xfId="22039" xr:uid="{00000000-0005-0000-0000-000052510000}"/>
    <cellStyle name="Currency 5 4 2 4 2 2 4 3" xfId="22040" xr:uid="{00000000-0005-0000-0000-000053510000}"/>
    <cellStyle name="Currency 5 4 2 4 2 2 5" xfId="22041" xr:uid="{00000000-0005-0000-0000-000054510000}"/>
    <cellStyle name="Currency 5 4 2 4 2 2 5 2" xfId="22042" xr:uid="{00000000-0005-0000-0000-000055510000}"/>
    <cellStyle name="Currency 5 4 2 4 2 2 6" xfId="22043" xr:uid="{00000000-0005-0000-0000-000056510000}"/>
    <cellStyle name="Currency 5 4 2 4 2 2 7" xfId="22020" xr:uid="{00000000-0005-0000-0000-000057510000}"/>
    <cellStyle name="Currency 5 4 2 4 2 3" xfId="22044" xr:uid="{00000000-0005-0000-0000-000058510000}"/>
    <cellStyle name="Currency 5 4 2 4 2 3 2" xfId="22045" xr:uid="{00000000-0005-0000-0000-000059510000}"/>
    <cellStyle name="Currency 5 4 2 4 2 3 2 2" xfId="22046" xr:uid="{00000000-0005-0000-0000-00005A510000}"/>
    <cellStyle name="Currency 5 4 2 4 2 3 2 2 2" xfId="22047" xr:uid="{00000000-0005-0000-0000-00005B510000}"/>
    <cellStyle name="Currency 5 4 2 4 2 3 2 2 2 2" xfId="22048" xr:uid="{00000000-0005-0000-0000-00005C510000}"/>
    <cellStyle name="Currency 5 4 2 4 2 3 2 2 3" xfId="22049" xr:uid="{00000000-0005-0000-0000-00005D510000}"/>
    <cellStyle name="Currency 5 4 2 4 2 3 2 3" xfId="22050" xr:uid="{00000000-0005-0000-0000-00005E510000}"/>
    <cellStyle name="Currency 5 4 2 4 2 3 2 3 2" xfId="22051" xr:uid="{00000000-0005-0000-0000-00005F510000}"/>
    <cellStyle name="Currency 5 4 2 4 2 3 2 4" xfId="22052" xr:uid="{00000000-0005-0000-0000-000060510000}"/>
    <cellStyle name="Currency 5 4 2 4 2 3 3" xfId="22053" xr:uid="{00000000-0005-0000-0000-000061510000}"/>
    <cellStyle name="Currency 5 4 2 4 2 3 3 2" xfId="22054" xr:uid="{00000000-0005-0000-0000-000062510000}"/>
    <cellStyle name="Currency 5 4 2 4 2 3 3 2 2" xfId="22055" xr:uid="{00000000-0005-0000-0000-000063510000}"/>
    <cellStyle name="Currency 5 4 2 4 2 3 3 3" xfId="22056" xr:uid="{00000000-0005-0000-0000-000064510000}"/>
    <cellStyle name="Currency 5 4 2 4 2 3 4" xfId="22057" xr:uid="{00000000-0005-0000-0000-000065510000}"/>
    <cellStyle name="Currency 5 4 2 4 2 3 4 2" xfId="22058" xr:uid="{00000000-0005-0000-0000-000066510000}"/>
    <cellStyle name="Currency 5 4 2 4 2 3 5" xfId="22059" xr:uid="{00000000-0005-0000-0000-000067510000}"/>
    <cellStyle name="Currency 5 4 2 4 2 4" xfId="22060" xr:uid="{00000000-0005-0000-0000-000068510000}"/>
    <cellStyle name="Currency 5 4 2 4 2 4 2" xfId="22061" xr:uid="{00000000-0005-0000-0000-000069510000}"/>
    <cellStyle name="Currency 5 4 2 4 2 4 2 2" xfId="22062" xr:uid="{00000000-0005-0000-0000-00006A510000}"/>
    <cellStyle name="Currency 5 4 2 4 2 4 2 2 2" xfId="22063" xr:uid="{00000000-0005-0000-0000-00006B510000}"/>
    <cellStyle name="Currency 5 4 2 4 2 4 2 2 2 2" xfId="22064" xr:uid="{00000000-0005-0000-0000-00006C510000}"/>
    <cellStyle name="Currency 5 4 2 4 2 4 2 2 3" xfId="22065" xr:uid="{00000000-0005-0000-0000-00006D510000}"/>
    <cellStyle name="Currency 5 4 2 4 2 4 2 3" xfId="22066" xr:uid="{00000000-0005-0000-0000-00006E510000}"/>
    <cellStyle name="Currency 5 4 2 4 2 4 2 3 2" xfId="22067" xr:uid="{00000000-0005-0000-0000-00006F510000}"/>
    <cellStyle name="Currency 5 4 2 4 2 4 2 4" xfId="22068" xr:uid="{00000000-0005-0000-0000-000070510000}"/>
    <cellStyle name="Currency 5 4 2 4 2 4 3" xfId="22069" xr:uid="{00000000-0005-0000-0000-000071510000}"/>
    <cellStyle name="Currency 5 4 2 4 2 4 3 2" xfId="22070" xr:uid="{00000000-0005-0000-0000-000072510000}"/>
    <cellStyle name="Currency 5 4 2 4 2 4 3 2 2" xfId="22071" xr:uid="{00000000-0005-0000-0000-000073510000}"/>
    <cellStyle name="Currency 5 4 2 4 2 4 3 3" xfId="22072" xr:uid="{00000000-0005-0000-0000-000074510000}"/>
    <cellStyle name="Currency 5 4 2 4 2 4 4" xfId="22073" xr:uid="{00000000-0005-0000-0000-000075510000}"/>
    <cellStyle name="Currency 5 4 2 4 2 4 4 2" xfId="22074" xr:uid="{00000000-0005-0000-0000-000076510000}"/>
    <cellStyle name="Currency 5 4 2 4 2 4 5" xfId="22075" xr:uid="{00000000-0005-0000-0000-000077510000}"/>
    <cellStyle name="Currency 5 4 2 4 2 5" xfId="22076" xr:uid="{00000000-0005-0000-0000-000078510000}"/>
    <cellStyle name="Currency 5 4 2 4 2 5 2" xfId="22077" xr:uid="{00000000-0005-0000-0000-000079510000}"/>
    <cellStyle name="Currency 5 4 2 4 2 5 2 2" xfId="22078" xr:uid="{00000000-0005-0000-0000-00007A510000}"/>
    <cellStyle name="Currency 5 4 2 4 2 5 2 2 2" xfId="22079" xr:uid="{00000000-0005-0000-0000-00007B510000}"/>
    <cellStyle name="Currency 5 4 2 4 2 5 2 3" xfId="22080" xr:uid="{00000000-0005-0000-0000-00007C510000}"/>
    <cellStyle name="Currency 5 4 2 4 2 5 3" xfId="22081" xr:uid="{00000000-0005-0000-0000-00007D510000}"/>
    <cellStyle name="Currency 5 4 2 4 2 5 3 2" xfId="22082" xr:uid="{00000000-0005-0000-0000-00007E510000}"/>
    <cellStyle name="Currency 5 4 2 4 2 5 4" xfId="22083" xr:uid="{00000000-0005-0000-0000-00007F510000}"/>
    <cellStyle name="Currency 5 4 2 4 2 6" xfId="22084" xr:uid="{00000000-0005-0000-0000-000080510000}"/>
    <cellStyle name="Currency 5 4 2 4 2 6 2" xfId="22085" xr:uid="{00000000-0005-0000-0000-000081510000}"/>
    <cellStyle name="Currency 5 4 2 4 2 6 2 2" xfId="22086" xr:uid="{00000000-0005-0000-0000-000082510000}"/>
    <cellStyle name="Currency 5 4 2 4 2 6 2 2 2" xfId="22087" xr:uid="{00000000-0005-0000-0000-000083510000}"/>
    <cellStyle name="Currency 5 4 2 4 2 6 2 3" xfId="22088" xr:uid="{00000000-0005-0000-0000-000084510000}"/>
    <cellStyle name="Currency 5 4 2 4 2 6 3" xfId="22089" xr:uid="{00000000-0005-0000-0000-000085510000}"/>
    <cellStyle name="Currency 5 4 2 4 2 6 3 2" xfId="22090" xr:uid="{00000000-0005-0000-0000-000086510000}"/>
    <cellStyle name="Currency 5 4 2 4 2 6 4" xfId="22091" xr:uid="{00000000-0005-0000-0000-000087510000}"/>
    <cellStyle name="Currency 5 4 2 4 2 7" xfId="22092" xr:uid="{00000000-0005-0000-0000-000088510000}"/>
    <cellStyle name="Currency 5 4 2 4 2 7 2" xfId="22093" xr:uid="{00000000-0005-0000-0000-000089510000}"/>
    <cellStyle name="Currency 5 4 2 4 2 7 2 2" xfId="22094" xr:uid="{00000000-0005-0000-0000-00008A510000}"/>
    <cellStyle name="Currency 5 4 2 4 2 7 2 2 2" xfId="22095" xr:uid="{00000000-0005-0000-0000-00008B510000}"/>
    <cellStyle name="Currency 5 4 2 4 2 7 2 3" xfId="22096" xr:uid="{00000000-0005-0000-0000-00008C510000}"/>
    <cellStyle name="Currency 5 4 2 4 2 7 3" xfId="22097" xr:uid="{00000000-0005-0000-0000-00008D510000}"/>
    <cellStyle name="Currency 5 4 2 4 2 7 3 2" xfId="22098" xr:uid="{00000000-0005-0000-0000-00008E510000}"/>
    <cellStyle name="Currency 5 4 2 4 2 7 4" xfId="22099" xr:uid="{00000000-0005-0000-0000-00008F510000}"/>
    <cellStyle name="Currency 5 4 2 4 2 8" xfId="22100" xr:uid="{00000000-0005-0000-0000-000090510000}"/>
    <cellStyle name="Currency 5 4 2 4 2 8 2" xfId="22101" xr:uid="{00000000-0005-0000-0000-000091510000}"/>
    <cellStyle name="Currency 5 4 2 4 2 8 2 2" xfId="22102" xr:uid="{00000000-0005-0000-0000-000092510000}"/>
    <cellStyle name="Currency 5 4 2 4 2 8 3" xfId="22103" xr:uid="{00000000-0005-0000-0000-000093510000}"/>
    <cellStyle name="Currency 5 4 2 4 2 9" xfId="22104" xr:uid="{00000000-0005-0000-0000-000094510000}"/>
    <cellStyle name="Currency 5 4 2 4 2 9 2" xfId="22105" xr:uid="{00000000-0005-0000-0000-000095510000}"/>
    <cellStyle name="Currency 5 4 2 4 3" xfId="1353" xr:uid="{00000000-0005-0000-0000-000096510000}"/>
    <cellStyle name="Currency 5 4 2 4 3 2" xfId="22107" xr:uid="{00000000-0005-0000-0000-000097510000}"/>
    <cellStyle name="Currency 5 4 2 4 3 2 2" xfId="22108" xr:uid="{00000000-0005-0000-0000-000098510000}"/>
    <cellStyle name="Currency 5 4 2 4 3 2 2 2" xfId="22109" xr:uid="{00000000-0005-0000-0000-000099510000}"/>
    <cellStyle name="Currency 5 4 2 4 3 2 2 2 2" xfId="22110" xr:uid="{00000000-0005-0000-0000-00009A510000}"/>
    <cellStyle name="Currency 5 4 2 4 3 2 2 3" xfId="22111" xr:uid="{00000000-0005-0000-0000-00009B510000}"/>
    <cellStyle name="Currency 5 4 2 4 3 2 3" xfId="22112" xr:uid="{00000000-0005-0000-0000-00009C510000}"/>
    <cellStyle name="Currency 5 4 2 4 3 2 3 2" xfId="22113" xr:uid="{00000000-0005-0000-0000-00009D510000}"/>
    <cellStyle name="Currency 5 4 2 4 3 2 4" xfId="22114" xr:uid="{00000000-0005-0000-0000-00009E510000}"/>
    <cellStyle name="Currency 5 4 2 4 3 3" xfId="22115" xr:uid="{00000000-0005-0000-0000-00009F510000}"/>
    <cellStyle name="Currency 5 4 2 4 3 3 2" xfId="22116" xr:uid="{00000000-0005-0000-0000-0000A0510000}"/>
    <cellStyle name="Currency 5 4 2 4 3 3 2 2" xfId="22117" xr:uid="{00000000-0005-0000-0000-0000A1510000}"/>
    <cellStyle name="Currency 5 4 2 4 3 3 2 2 2" xfId="22118" xr:uid="{00000000-0005-0000-0000-0000A2510000}"/>
    <cellStyle name="Currency 5 4 2 4 3 3 2 3" xfId="22119" xr:uid="{00000000-0005-0000-0000-0000A3510000}"/>
    <cellStyle name="Currency 5 4 2 4 3 3 3" xfId="22120" xr:uid="{00000000-0005-0000-0000-0000A4510000}"/>
    <cellStyle name="Currency 5 4 2 4 3 3 3 2" xfId="22121" xr:uid="{00000000-0005-0000-0000-0000A5510000}"/>
    <cellStyle name="Currency 5 4 2 4 3 3 4" xfId="22122" xr:uid="{00000000-0005-0000-0000-0000A6510000}"/>
    <cellStyle name="Currency 5 4 2 4 3 4" xfId="22123" xr:uid="{00000000-0005-0000-0000-0000A7510000}"/>
    <cellStyle name="Currency 5 4 2 4 3 4 2" xfId="22124" xr:uid="{00000000-0005-0000-0000-0000A8510000}"/>
    <cellStyle name="Currency 5 4 2 4 3 4 2 2" xfId="22125" xr:uid="{00000000-0005-0000-0000-0000A9510000}"/>
    <cellStyle name="Currency 5 4 2 4 3 4 3" xfId="22126" xr:uid="{00000000-0005-0000-0000-0000AA510000}"/>
    <cellStyle name="Currency 5 4 2 4 3 5" xfId="22127" xr:uid="{00000000-0005-0000-0000-0000AB510000}"/>
    <cellStyle name="Currency 5 4 2 4 3 5 2" xfId="22128" xr:uid="{00000000-0005-0000-0000-0000AC510000}"/>
    <cellStyle name="Currency 5 4 2 4 3 6" xfId="22129" xr:uid="{00000000-0005-0000-0000-0000AD510000}"/>
    <cellStyle name="Currency 5 4 2 4 3 7" xfId="22106" xr:uid="{00000000-0005-0000-0000-0000AE510000}"/>
    <cellStyle name="Currency 5 4 2 4 4" xfId="22130" xr:uid="{00000000-0005-0000-0000-0000AF510000}"/>
    <cellStyle name="Currency 5 4 2 4 4 2" xfId="22131" xr:uid="{00000000-0005-0000-0000-0000B0510000}"/>
    <cellStyle name="Currency 5 4 2 4 4 2 2" xfId="22132" xr:uid="{00000000-0005-0000-0000-0000B1510000}"/>
    <cellStyle name="Currency 5 4 2 4 4 2 2 2" xfId="22133" xr:uid="{00000000-0005-0000-0000-0000B2510000}"/>
    <cellStyle name="Currency 5 4 2 4 4 2 2 2 2" xfId="22134" xr:uid="{00000000-0005-0000-0000-0000B3510000}"/>
    <cellStyle name="Currency 5 4 2 4 4 2 2 3" xfId="22135" xr:uid="{00000000-0005-0000-0000-0000B4510000}"/>
    <cellStyle name="Currency 5 4 2 4 4 2 3" xfId="22136" xr:uid="{00000000-0005-0000-0000-0000B5510000}"/>
    <cellStyle name="Currency 5 4 2 4 4 2 3 2" xfId="22137" xr:uid="{00000000-0005-0000-0000-0000B6510000}"/>
    <cellStyle name="Currency 5 4 2 4 4 2 4" xfId="22138" xr:uid="{00000000-0005-0000-0000-0000B7510000}"/>
    <cellStyle name="Currency 5 4 2 4 4 3" xfId="22139" xr:uid="{00000000-0005-0000-0000-0000B8510000}"/>
    <cellStyle name="Currency 5 4 2 4 4 3 2" xfId="22140" xr:uid="{00000000-0005-0000-0000-0000B9510000}"/>
    <cellStyle name="Currency 5 4 2 4 4 3 2 2" xfId="22141" xr:uid="{00000000-0005-0000-0000-0000BA510000}"/>
    <cellStyle name="Currency 5 4 2 4 4 3 3" xfId="22142" xr:uid="{00000000-0005-0000-0000-0000BB510000}"/>
    <cellStyle name="Currency 5 4 2 4 4 4" xfId="22143" xr:uid="{00000000-0005-0000-0000-0000BC510000}"/>
    <cellStyle name="Currency 5 4 2 4 4 4 2" xfId="22144" xr:uid="{00000000-0005-0000-0000-0000BD510000}"/>
    <cellStyle name="Currency 5 4 2 4 4 5" xfId="22145" xr:uid="{00000000-0005-0000-0000-0000BE510000}"/>
    <cellStyle name="Currency 5 4 2 4 5" xfId="22146" xr:uid="{00000000-0005-0000-0000-0000BF510000}"/>
    <cellStyle name="Currency 5 4 2 4 5 2" xfId="22147" xr:uid="{00000000-0005-0000-0000-0000C0510000}"/>
    <cellStyle name="Currency 5 4 2 4 5 2 2" xfId="22148" xr:uid="{00000000-0005-0000-0000-0000C1510000}"/>
    <cellStyle name="Currency 5 4 2 4 5 2 2 2" xfId="22149" xr:uid="{00000000-0005-0000-0000-0000C2510000}"/>
    <cellStyle name="Currency 5 4 2 4 5 2 2 2 2" xfId="22150" xr:uid="{00000000-0005-0000-0000-0000C3510000}"/>
    <cellStyle name="Currency 5 4 2 4 5 2 2 3" xfId="22151" xr:uid="{00000000-0005-0000-0000-0000C4510000}"/>
    <cellStyle name="Currency 5 4 2 4 5 2 3" xfId="22152" xr:uid="{00000000-0005-0000-0000-0000C5510000}"/>
    <cellStyle name="Currency 5 4 2 4 5 2 3 2" xfId="22153" xr:uid="{00000000-0005-0000-0000-0000C6510000}"/>
    <cellStyle name="Currency 5 4 2 4 5 2 4" xfId="22154" xr:uid="{00000000-0005-0000-0000-0000C7510000}"/>
    <cellStyle name="Currency 5 4 2 4 5 3" xfId="22155" xr:uid="{00000000-0005-0000-0000-0000C8510000}"/>
    <cellStyle name="Currency 5 4 2 4 5 3 2" xfId="22156" xr:uid="{00000000-0005-0000-0000-0000C9510000}"/>
    <cellStyle name="Currency 5 4 2 4 5 3 2 2" xfId="22157" xr:uid="{00000000-0005-0000-0000-0000CA510000}"/>
    <cellStyle name="Currency 5 4 2 4 5 3 3" xfId="22158" xr:uid="{00000000-0005-0000-0000-0000CB510000}"/>
    <cellStyle name="Currency 5 4 2 4 5 4" xfId="22159" xr:uid="{00000000-0005-0000-0000-0000CC510000}"/>
    <cellStyle name="Currency 5 4 2 4 5 4 2" xfId="22160" xr:uid="{00000000-0005-0000-0000-0000CD510000}"/>
    <cellStyle name="Currency 5 4 2 4 5 5" xfId="22161" xr:uid="{00000000-0005-0000-0000-0000CE510000}"/>
    <cellStyle name="Currency 5 4 2 4 6" xfId="22162" xr:uid="{00000000-0005-0000-0000-0000CF510000}"/>
    <cellStyle name="Currency 5 4 2 4 6 2" xfId="22163" xr:uid="{00000000-0005-0000-0000-0000D0510000}"/>
    <cellStyle name="Currency 5 4 2 4 6 2 2" xfId="22164" xr:uid="{00000000-0005-0000-0000-0000D1510000}"/>
    <cellStyle name="Currency 5 4 2 4 6 2 2 2" xfId="22165" xr:uid="{00000000-0005-0000-0000-0000D2510000}"/>
    <cellStyle name="Currency 5 4 2 4 6 2 3" xfId="22166" xr:uid="{00000000-0005-0000-0000-0000D3510000}"/>
    <cellStyle name="Currency 5 4 2 4 6 3" xfId="22167" xr:uid="{00000000-0005-0000-0000-0000D4510000}"/>
    <cellStyle name="Currency 5 4 2 4 6 3 2" xfId="22168" xr:uid="{00000000-0005-0000-0000-0000D5510000}"/>
    <cellStyle name="Currency 5 4 2 4 6 4" xfId="22169" xr:uid="{00000000-0005-0000-0000-0000D6510000}"/>
    <cellStyle name="Currency 5 4 2 4 7" xfId="22170" xr:uid="{00000000-0005-0000-0000-0000D7510000}"/>
    <cellStyle name="Currency 5 4 2 4 7 2" xfId="22171" xr:uid="{00000000-0005-0000-0000-0000D8510000}"/>
    <cellStyle name="Currency 5 4 2 4 7 2 2" xfId="22172" xr:uid="{00000000-0005-0000-0000-0000D9510000}"/>
    <cellStyle name="Currency 5 4 2 4 7 2 2 2" xfId="22173" xr:uid="{00000000-0005-0000-0000-0000DA510000}"/>
    <cellStyle name="Currency 5 4 2 4 7 2 3" xfId="22174" xr:uid="{00000000-0005-0000-0000-0000DB510000}"/>
    <cellStyle name="Currency 5 4 2 4 7 3" xfId="22175" xr:uid="{00000000-0005-0000-0000-0000DC510000}"/>
    <cellStyle name="Currency 5 4 2 4 7 3 2" xfId="22176" xr:uid="{00000000-0005-0000-0000-0000DD510000}"/>
    <cellStyle name="Currency 5 4 2 4 7 4" xfId="22177" xr:uid="{00000000-0005-0000-0000-0000DE510000}"/>
    <cellStyle name="Currency 5 4 2 4 8" xfId="22178" xr:uid="{00000000-0005-0000-0000-0000DF510000}"/>
    <cellStyle name="Currency 5 4 2 4 8 2" xfId="22179" xr:uid="{00000000-0005-0000-0000-0000E0510000}"/>
    <cellStyle name="Currency 5 4 2 4 8 2 2" xfId="22180" xr:uid="{00000000-0005-0000-0000-0000E1510000}"/>
    <cellStyle name="Currency 5 4 2 4 8 2 2 2" xfId="22181" xr:uid="{00000000-0005-0000-0000-0000E2510000}"/>
    <cellStyle name="Currency 5 4 2 4 8 2 3" xfId="22182" xr:uid="{00000000-0005-0000-0000-0000E3510000}"/>
    <cellStyle name="Currency 5 4 2 4 8 3" xfId="22183" xr:uid="{00000000-0005-0000-0000-0000E4510000}"/>
    <cellStyle name="Currency 5 4 2 4 8 3 2" xfId="22184" xr:uid="{00000000-0005-0000-0000-0000E5510000}"/>
    <cellStyle name="Currency 5 4 2 4 8 4" xfId="22185" xr:uid="{00000000-0005-0000-0000-0000E6510000}"/>
    <cellStyle name="Currency 5 4 2 4 9" xfId="22186" xr:uid="{00000000-0005-0000-0000-0000E7510000}"/>
    <cellStyle name="Currency 5 4 2 4 9 2" xfId="22187" xr:uid="{00000000-0005-0000-0000-0000E8510000}"/>
    <cellStyle name="Currency 5 4 2 4 9 2 2" xfId="22188" xr:uid="{00000000-0005-0000-0000-0000E9510000}"/>
    <cellStyle name="Currency 5 4 2 4 9 3" xfId="22189" xr:uid="{00000000-0005-0000-0000-0000EA510000}"/>
    <cellStyle name="Currency 5 4 2 5" xfId="398" xr:uid="{00000000-0005-0000-0000-0000EB510000}"/>
    <cellStyle name="Currency 5 4 2 6" xfId="930" xr:uid="{00000000-0005-0000-0000-0000EC510000}"/>
    <cellStyle name="Currency 5 4 2 6 10" xfId="22191" xr:uid="{00000000-0005-0000-0000-0000ED510000}"/>
    <cellStyle name="Currency 5 4 2 6 11" xfId="22190" xr:uid="{00000000-0005-0000-0000-0000EE510000}"/>
    <cellStyle name="Currency 5 4 2 6 2" xfId="1671" xr:uid="{00000000-0005-0000-0000-0000EF510000}"/>
    <cellStyle name="Currency 5 4 2 6 2 2" xfId="22193" xr:uid="{00000000-0005-0000-0000-0000F0510000}"/>
    <cellStyle name="Currency 5 4 2 6 2 2 2" xfId="22194" xr:uid="{00000000-0005-0000-0000-0000F1510000}"/>
    <cellStyle name="Currency 5 4 2 6 2 2 2 2" xfId="22195" xr:uid="{00000000-0005-0000-0000-0000F2510000}"/>
    <cellStyle name="Currency 5 4 2 6 2 2 2 2 2" xfId="22196" xr:uid="{00000000-0005-0000-0000-0000F3510000}"/>
    <cellStyle name="Currency 5 4 2 6 2 2 2 3" xfId="22197" xr:uid="{00000000-0005-0000-0000-0000F4510000}"/>
    <cellStyle name="Currency 5 4 2 6 2 2 3" xfId="22198" xr:uid="{00000000-0005-0000-0000-0000F5510000}"/>
    <cellStyle name="Currency 5 4 2 6 2 2 3 2" xfId="22199" xr:uid="{00000000-0005-0000-0000-0000F6510000}"/>
    <cellStyle name="Currency 5 4 2 6 2 2 4" xfId="22200" xr:uid="{00000000-0005-0000-0000-0000F7510000}"/>
    <cellStyle name="Currency 5 4 2 6 2 3" xfId="22201" xr:uid="{00000000-0005-0000-0000-0000F8510000}"/>
    <cellStyle name="Currency 5 4 2 6 2 3 2" xfId="22202" xr:uid="{00000000-0005-0000-0000-0000F9510000}"/>
    <cellStyle name="Currency 5 4 2 6 2 3 2 2" xfId="22203" xr:uid="{00000000-0005-0000-0000-0000FA510000}"/>
    <cellStyle name="Currency 5 4 2 6 2 3 2 2 2" xfId="22204" xr:uid="{00000000-0005-0000-0000-0000FB510000}"/>
    <cellStyle name="Currency 5 4 2 6 2 3 2 3" xfId="22205" xr:uid="{00000000-0005-0000-0000-0000FC510000}"/>
    <cellStyle name="Currency 5 4 2 6 2 3 3" xfId="22206" xr:uid="{00000000-0005-0000-0000-0000FD510000}"/>
    <cellStyle name="Currency 5 4 2 6 2 3 3 2" xfId="22207" xr:uid="{00000000-0005-0000-0000-0000FE510000}"/>
    <cellStyle name="Currency 5 4 2 6 2 3 4" xfId="22208" xr:uid="{00000000-0005-0000-0000-0000FF510000}"/>
    <cellStyle name="Currency 5 4 2 6 2 4" xfId="22209" xr:uid="{00000000-0005-0000-0000-000000520000}"/>
    <cellStyle name="Currency 5 4 2 6 2 4 2" xfId="22210" xr:uid="{00000000-0005-0000-0000-000001520000}"/>
    <cellStyle name="Currency 5 4 2 6 2 4 2 2" xfId="22211" xr:uid="{00000000-0005-0000-0000-000002520000}"/>
    <cellStyle name="Currency 5 4 2 6 2 4 3" xfId="22212" xr:uid="{00000000-0005-0000-0000-000003520000}"/>
    <cellStyle name="Currency 5 4 2 6 2 5" xfId="22213" xr:uid="{00000000-0005-0000-0000-000004520000}"/>
    <cellStyle name="Currency 5 4 2 6 2 5 2" xfId="22214" xr:uid="{00000000-0005-0000-0000-000005520000}"/>
    <cellStyle name="Currency 5 4 2 6 2 6" xfId="22215" xr:uid="{00000000-0005-0000-0000-000006520000}"/>
    <cellStyle name="Currency 5 4 2 6 2 7" xfId="22192" xr:uid="{00000000-0005-0000-0000-000007520000}"/>
    <cellStyle name="Currency 5 4 2 6 3" xfId="22216" xr:uid="{00000000-0005-0000-0000-000008520000}"/>
    <cellStyle name="Currency 5 4 2 6 3 2" xfId="22217" xr:uid="{00000000-0005-0000-0000-000009520000}"/>
    <cellStyle name="Currency 5 4 2 6 3 2 2" xfId="22218" xr:uid="{00000000-0005-0000-0000-00000A520000}"/>
    <cellStyle name="Currency 5 4 2 6 3 2 2 2" xfId="22219" xr:uid="{00000000-0005-0000-0000-00000B520000}"/>
    <cellStyle name="Currency 5 4 2 6 3 2 2 2 2" xfId="22220" xr:uid="{00000000-0005-0000-0000-00000C520000}"/>
    <cellStyle name="Currency 5 4 2 6 3 2 2 3" xfId="22221" xr:uid="{00000000-0005-0000-0000-00000D520000}"/>
    <cellStyle name="Currency 5 4 2 6 3 2 3" xfId="22222" xr:uid="{00000000-0005-0000-0000-00000E520000}"/>
    <cellStyle name="Currency 5 4 2 6 3 2 3 2" xfId="22223" xr:uid="{00000000-0005-0000-0000-00000F520000}"/>
    <cellStyle name="Currency 5 4 2 6 3 2 4" xfId="22224" xr:uid="{00000000-0005-0000-0000-000010520000}"/>
    <cellStyle name="Currency 5 4 2 6 3 3" xfId="22225" xr:uid="{00000000-0005-0000-0000-000011520000}"/>
    <cellStyle name="Currency 5 4 2 6 3 3 2" xfId="22226" xr:uid="{00000000-0005-0000-0000-000012520000}"/>
    <cellStyle name="Currency 5 4 2 6 3 3 2 2" xfId="22227" xr:uid="{00000000-0005-0000-0000-000013520000}"/>
    <cellStyle name="Currency 5 4 2 6 3 3 3" xfId="22228" xr:uid="{00000000-0005-0000-0000-000014520000}"/>
    <cellStyle name="Currency 5 4 2 6 3 4" xfId="22229" xr:uid="{00000000-0005-0000-0000-000015520000}"/>
    <cellStyle name="Currency 5 4 2 6 3 4 2" xfId="22230" xr:uid="{00000000-0005-0000-0000-000016520000}"/>
    <cellStyle name="Currency 5 4 2 6 3 5" xfId="22231" xr:uid="{00000000-0005-0000-0000-000017520000}"/>
    <cellStyle name="Currency 5 4 2 6 4" xfId="22232" xr:uid="{00000000-0005-0000-0000-000018520000}"/>
    <cellStyle name="Currency 5 4 2 6 4 2" xfId="22233" xr:uid="{00000000-0005-0000-0000-000019520000}"/>
    <cellStyle name="Currency 5 4 2 6 4 2 2" xfId="22234" xr:uid="{00000000-0005-0000-0000-00001A520000}"/>
    <cellStyle name="Currency 5 4 2 6 4 2 2 2" xfId="22235" xr:uid="{00000000-0005-0000-0000-00001B520000}"/>
    <cellStyle name="Currency 5 4 2 6 4 2 2 2 2" xfId="22236" xr:uid="{00000000-0005-0000-0000-00001C520000}"/>
    <cellStyle name="Currency 5 4 2 6 4 2 2 3" xfId="22237" xr:uid="{00000000-0005-0000-0000-00001D520000}"/>
    <cellStyle name="Currency 5 4 2 6 4 2 3" xfId="22238" xr:uid="{00000000-0005-0000-0000-00001E520000}"/>
    <cellStyle name="Currency 5 4 2 6 4 2 3 2" xfId="22239" xr:uid="{00000000-0005-0000-0000-00001F520000}"/>
    <cellStyle name="Currency 5 4 2 6 4 2 4" xfId="22240" xr:uid="{00000000-0005-0000-0000-000020520000}"/>
    <cellStyle name="Currency 5 4 2 6 4 3" xfId="22241" xr:uid="{00000000-0005-0000-0000-000021520000}"/>
    <cellStyle name="Currency 5 4 2 6 4 3 2" xfId="22242" xr:uid="{00000000-0005-0000-0000-000022520000}"/>
    <cellStyle name="Currency 5 4 2 6 4 3 2 2" xfId="22243" xr:uid="{00000000-0005-0000-0000-000023520000}"/>
    <cellStyle name="Currency 5 4 2 6 4 3 3" xfId="22244" xr:uid="{00000000-0005-0000-0000-000024520000}"/>
    <cellStyle name="Currency 5 4 2 6 4 4" xfId="22245" xr:uid="{00000000-0005-0000-0000-000025520000}"/>
    <cellStyle name="Currency 5 4 2 6 4 4 2" xfId="22246" xr:uid="{00000000-0005-0000-0000-000026520000}"/>
    <cellStyle name="Currency 5 4 2 6 4 5" xfId="22247" xr:uid="{00000000-0005-0000-0000-000027520000}"/>
    <cellStyle name="Currency 5 4 2 6 5" xfId="22248" xr:uid="{00000000-0005-0000-0000-000028520000}"/>
    <cellStyle name="Currency 5 4 2 6 5 2" xfId="22249" xr:uid="{00000000-0005-0000-0000-000029520000}"/>
    <cellStyle name="Currency 5 4 2 6 5 2 2" xfId="22250" xr:uid="{00000000-0005-0000-0000-00002A520000}"/>
    <cellStyle name="Currency 5 4 2 6 5 2 2 2" xfId="22251" xr:uid="{00000000-0005-0000-0000-00002B520000}"/>
    <cellStyle name="Currency 5 4 2 6 5 2 3" xfId="22252" xr:uid="{00000000-0005-0000-0000-00002C520000}"/>
    <cellStyle name="Currency 5 4 2 6 5 3" xfId="22253" xr:uid="{00000000-0005-0000-0000-00002D520000}"/>
    <cellStyle name="Currency 5 4 2 6 5 3 2" xfId="22254" xr:uid="{00000000-0005-0000-0000-00002E520000}"/>
    <cellStyle name="Currency 5 4 2 6 5 4" xfId="22255" xr:uid="{00000000-0005-0000-0000-00002F520000}"/>
    <cellStyle name="Currency 5 4 2 6 6" xfId="22256" xr:uid="{00000000-0005-0000-0000-000030520000}"/>
    <cellStyle name="Currency 5 4 2 6 6 2" xfId="22257" xr:uid="{00000000-0005-0000-0000-000031520000}"/>
    <cellStyle name="Currency 5 4 2 6 6 2 2" xfId="22258" xr:uid="{00000000-0005-0000-0000-000032520000}"/>
    <cellStyle name="Currency 5 4 2 6 6 2 2 2" xfId="22259" xr:uid="{00000000-0005-0000-0000-000033520000}"/>
    <cellStyle name="Currency 5 4 2 6 6 2 3" xfId="22260" xr:uid="{00000000-0005-0000-0000-000034520000}"/>
    <cellStyle name="Currency 5 4 2 6 6 3" xfId="22261" xr:uid="{00000000-0005-0000-0000-000035520000}"/>
    <cellStyle name="Currency 5 4 2 6 6 3 2" xfId="22262" xr:uid="{00000000-0005-0000-0000-000036520000}"/>
    <cellStyle name="Currency 5 4 2 6 6 4" xfId="22263" xr:uid="{00000000-0005-0000-0000-000037520000}"/>
    <cellStyle name="Currency 5 4 2 6 7" xfId="22264" xr:uid="{00000000-0005-0000-0000-000038520000}"/>
    <cellStyle name="Currency 5 4 2 6 7 2" xfId="22265" xr:uid="{00000000-0005-0000-0000-000039520000}"/>
    <cellStyle name="Currency 5 4 2 6 7 2 2" xfId="22266" xr:uid="{00000000-0005-0000-0000-00003A520000}"/>
    <cellStyle name="Currency 5 4 2 6 7 2 2 2" xfId="22267" xr:uid="{00000000-0005-0000-0000-00003B520000}"/>
    <cellStyle name="Currency 5 4 2 6 7 2 3" xfId="22268" xr:uid="{00000000-0005-0000-0000-00003C520000}"/>
    <cellStyle name="Currency 5 4 2 6 7 3" xfId="22269" xr:uid="{00000000-0005-0000-0000-00003D520000}"/>
    <cellStyle name="Currency 5 4 2 6 7 3 2" xfId="22270" xr:uid="{00000000-0005-0000-0000-00003E520000}"/>
    <cellStyle name="Currency 5 4 2 6 7 4" xfId="22271" xr:uid="{00000000-0005-0000-0000-00003F520000}"/>
    <cellStyle name="Currency 5 4 2 6 8" xfId="22272" xr:uid="{00000000-0005-0000-0000-000040520000}"/>
    <cellStyle name="Currency 5 4 2 6 8 2" xfId="22273" xr:uid="{00000000-0005-0000-0000-000041520000}"/>
    <cellStyle name="Currency 5 4 2 6 8 2 2" xfId="22274" xr:uid="{00000000-0005-0000-0000-000042520000}"/>
    <cellStyle name="Currency 5 4 2 6 8 3" xfId="22275" xr:uid="{00000000-0005-0000-0000-000043520000}"/>
    <cellStyle name="Currency 5 4 2 6 9" xfId="22276" xr:uid="{00000000-0005-0000-0000-000044520000}"/>
    <cellStyle name="Currency 5 4 2 6 9 2" xfId="22277" xr:uid="{00000000-0005-0000-0000-000045520000}"/>
    <cellStyle name="Currency 5 4 2 7" xfId="1346" xr:uid="{00000000-0005-0000-0000-000046520000}"/>
    <cellStyle name="Currency 5 4 2 7 2" xfId="22279" xr:uid="{00000000-0005-0000-0000-000047520000}"/>
    <cellStyle name="Currency 5 4 2 7 2 2" xfId="22280" xr:uid="{00000000-0005-0000-0000-000048520000}"/>
    <cellStyle name="Currency 5 4 2 7 2 2 2" xfId="22281" xr:uid="{00000000-0005-0000-0000-000049520000}"/>
    <cellStyle name="Currency 5 4 2 7 2 2 2 2" xfId="22282" xr:uid="{00000000-0005-0000-0000-00004A520000}"/>
    <cellStyle name="Currency 5 4 2 7 2 2 3" xfId="22283" xr:uid="{00000000-0005-0000-0000-00004B520000}"/>
    <cellStyle name="Currency 5 4 2 7 2 3" xfId="22284" xr:uid="{00000000-0005-0000-0000-00004C520000}"/>
    <cellStyle name="Currency 5 4 2 7 2 3 2" xfId="22285" xr:uid="{00000000-0005-0000-0000-00004D520000}"/>
    <cellStyle name="Currency 5 4 2 7 2 4" xfId="22286" xr:uid="{00000000-0005-0000-0000-00004E520000}"/>
    <cellStyle name="Currency 5 4 2 7 3" xfId="22287" xr:uid="{00000000-0005-0000-0000-00004F520000}"/>
    <cellStyle name="Currency 5 4 2 7 3 2" xfId="22288" xr:uid="{00000000-0005-0000-0000-000050520000}"/>
    <cellStyle name="Currency 5 4 2 7 3 2 2" xfId="22289" xr:uid="{00000000-0005-0000-0000-000051520000}"/>
    <cellStyle name="Currency 5 4 2 7 3 2 2 2" xfId="22290" xr:uid="{00000000-0005-0000-0000-000052520000}"/>
    <cellStyle name="Currency 5 4 2 7 3 2 3" xfId="22291" xr:uid="{00000000-0005-0000-0000-000053520000}"/>
    <cellStyle name="Currency 5 4 2 7 3 3" xfId="22292" xr:uid="{00000000-0005-0000-0000-000054520000}"/>
    <cellStyle name="Currency 5 4 2 7 3 3 2" xfId="22293" xr:uid="{00000000-0005-0000-0000-000055520000}"/>
    <cellStyle name="Currency 5 4 2 7 3 4" xfId="22294" xr:uid="{00000000-0005-0000-0000-000056520000}"/>
    <cellStyle name="Currency 5 4 2 7 4" xfId="22295" xr:uid="{00000000-0005-0000-0000-000057520000}"/>
    <cellStyle name="Currency 5 4 2 7 4 2" xfId="22296" xr:uid="{00000000-0005-0000-0000-000058520000}"/>
    <cellStyle name="Currency 5 4 2 7 4 2 2" xfId="22297" xr:uid="{00000000-0005-0000-0000-000059520000}"/>
    <cellStyle name="Currency 5 4 2 7 4 3" xfId="22298" xr:uid="{00000000-0005-0000-0000-00005A520000}"/>
    <cellStyle name="Currency 5 4 2 7 5" xfId="22299" xr:uid="{00000000-0005-0000-0000-00005B520000}"/>
    <cellStyle name="Currency 5 4 2 7 5 2" xfId="22300" xr:uid="{00000000-0005-0000-0000-00005C520000}"/>
    <cellStyle name="Currency 5 4 2 7 6" xfId="22301" xr:uid="{00000000-0005-0000-0000-00005D520000}"/>
    <cellStyle name="Currency 5 4 2 7 7" xfId="22278" xr:uid="{00000000-0005-0000-0000-00005E520000}"/>
    <cellStyle name="Currency 5 4 2 8" xfId="22302" xr:uid="{00000000-0005-0000-0000-00005F520000}"/>
    <cellStyle name="Currency 5 4 2 8 2" xfId="22303" xr:uid="{00000000-0005-0000-0000-000060520000}"/>
    <cellStyle name="Currency 5 4 2 8 2 2" xfId="22304" xr:uid="{00000000-0005-0000-0000-000061520000}"/>
    <cellStyle name="Currency 5 4 2 8 2 2 2" xfId="22305" xr:uid="{00000000-0005-0000-0000-000062520000}"/>
    <cellStyle name="Currency 5 4 2 8 2 2 2 2" xfId="22306" xr:uid="{00000000-0005-0000-0000-000063520000}"/>
    <cellStyle name="Currency 5 4 2 8 2 2 3" xfId="22307" xr:uid="{00000000-0005-0000-0000-000064520000}"/>
    <cellStyle name="Currency 5 4 2 8 2 3" xfId="22308" xr:uid="{00000000-0005-0000-0000-000065520000}"/>
    <cellStyle name="Currency 5 4 2 8 2 3 2" xfId="22309" xr:uid="{00000000-0005-0000-0000-000066520000}"/>
    <cellStyle name="Currency 5 4 2 8 2 4" xfId="22310" xr:uid="{00000000-0005-0000-0000-000067520000}"/>
    <cellStyle name="Currency 5 4 2 8 3" xfId="22311" xr:uid="{00000000-0005-0000-0000-000068520000}"/>
    <cellStyle name="Currency 5 4 2 8 3 2" xfId="22312" xr:uid="{00000000-0005-0000-0000-000069520000}"/>
    <cellStyle name="Currency 5 4 2 8 3 2 2" xfId="22313" xr:uid="{00000000-0005-0000-0000-00006A520000}"/>
    <cellStyle name="Currency 5 4 2 8 3 3" xfId="22314" xr:uid="{00000000-0005-0000-0000-00006B520000}"/>
    <cellStyle name="Currency 5 4 2 8 4" xfId="22315" xr:uid="{00000000-0005-0000-0000-00006C520000}"/>
    <cellStyle name="Currency 5 4 2 8 4 2" xfId="22316" xr:uid="{00000000-0005-0000-0000-00006D520000}"/>
    <cellStyle name="Currency 5 4 2 8 5" xfId="22317" xr:uid="{00000000-0005-0000-0000-00006E520000}"/>
    <cellStyle name="Currency 5 4 2 9" xfId="22318" xr:uid="{00000000-0005-0000-0000-00006F520000}"/>
    <cellStyle name="Currency 5 4 2 9 2" xfId="22319" xr:uid="{00000000-0005-0000-0000-000070520000}"/>
    <cellStyle name="Currency 5 4 2 9 2 2" xfId="22320" xr:uid="{00000000-0005-0000-0000-000071520000}"/>
    <cellStyle name="Currency 5 4 2 9 2 2 2" xfId="22321" xr:uid="{00000000-0005-0000-0000-000072520000}"/>
    <cellStyle name="Currency 5 4 2 9 2 2 2 2" xfId="22322" xr:uid="{00000000-0005-0000-0000-000073520000}"/>
    <cellStyle name="Currency 5 4 2 9 2 2 3" xfId="22323" xr:uid="{00000000-0005-0000-0000-000074520000}"/>
    <cellStyle name="Currency 5 4 2 9 2 3" xfId="22324" xr:uid="{00000000-0005-0000-0000-000075520000}"/>
    <cellStyle name="Currency 5 4 2 9 2 3 2" xfId="22325" xr:uid="{00000000-0005-0000-0000-000076520000}"/>
    <cellStyle name="Currency 5 4 2 9 2 4" xfId="22326" xr:uid="{00000000-0005-0000-0000-000077520000}"/>
    <cellStyle name="Currency 5 4 2 9 3" xfId="22327" xr:uid="{00000000-0005-0000-0000-000078520000}"/>
    <cellStyle name="Currency 5 4 2 9 3 2" xfId="22328" xr:uid="{00000000-0005-0000-0000-000079520000}"/>
    <cellStyle name="Currency 5 4 2 9 3 2 2" xfId="22329" xr:uid="{00000000-0005-0000-0000-00007A520000}"/>
    <cellStyle name="Currency 5 4 2 9 3 3" xfId="22330" xr:uid="{00000000-0005-0000-0000-00007B520000}"/>
    <cellStyle name="Currency 5 4 2 9 4" xfId="22331" xr:uid="{00000000-0005-0000-0000-00007C520000}"/>
    <cellStyle name="Currency 5 4 2 9 4 2" xfId="22332" xr:uid="{00000000-0005-0000-0000-00007D520000}"/>
    <cellStyle name="Currency 5 4 2 9 5" xfId="22333" xr:uid="{00000000-0005-0000-0000-00007E520000}"/>
    <cellStyle name="Currency 5 4 20" xfId="20797" xr:uid="{00000000-0005-0000-0000-00007F520000}"/>
    <cellStyle name="Currency 5 4 3" xfId="399" xr:uid="{00000000-0005-0000-0000-000080520000}"/>
    <cellStyle name="Currency 5 4 3 10" xfId="22335" xr:uid="{00000000-0005-0000-0000-000081520000}"/>
    <cellStyle name="Currency 5 4 3 10 2" xfId="22336" xr:uid="{00000000-0005-0000-0000-000082520000}"/>
    <cellStyle name="Currency 5 4 3 10 2 2" xfId="22337" xr:uid="{00000000-0005-0000-0000-000083520000}"/>
    <cellStyle name="Currency 5 4 3 10 2 2 2" xfId="22338" xr:uid="{00000000-0005-0000-0000-000084520000}"/>
    <cellStyle name="Currency 5 4 3 10 2 3" xfId="22339" xr:uid="{00000000-0005-0000-0000-000085520000}"/>
    <cellStyle name="Currency 5 4 3 10 3" xfId="22340" xr:uid="{00000000-0005-0000-0000-000086520000}"/>
    <cellStyle name="Currency 5 4 3 10 3 2" xfId="22341" xr:uid="{00000000-0005-0000-0000-000087520000}"/>
    <cellStyle name="Currency 5 4 3 10 4" xfId="22342" xr:uid="{00000000-0005-0000-0000-000088520000}"/>
    <cellStyle name="Currency 5 4 3 11" xfId="22343" xr:uid="{00000000-0005-0000-0000-000089520000}"/>
    <cellStyle name="Currency 5 4 3 11 2" xfId="22344" xr:uid="{00000000-0005-0000-0000-00008A520000}"/>
    <cellStyle name="Currency 5 4 3 11 2 2" xfId="22345" xr:uid="{00000000-0005-0000-0000-00008B520000}"/>
    <cellStyle name="Currency 5 4 3 11 2 2 2" xfId="22346" xr:uid="{00000000-0005-0000-0000-00008C520000}"/>
    <cellStyle name="Currency 5 4 3 11 2 3" xfId="22347" xr:uid="{00000000-0005-0000-0000-00008D520000}"/>
    <cellStyle name="Currency 5 4 3 11 3" xfId="22348" xr:uid="{00000000-0005-0000-0000-00008E520000}"/>
    <cellStyle name="Currency 5 4 3 11 3 2" xfId="22349" xr:uid="{00000000-0005-0000-0000-00008F520000}"/>
    <cellStyle name="Currency 5 4 3 11 4" xfId="22350" xr:uid="{00000000-0005-0000-0000-000090520000}"/>
    <cellStyle name="Currency 5 4 3 12" xfId="22351" xr:uid="{00000000-0005-0000-0000-000091520000}"/>
    <cellStyle name="Currency 5 4 3 12 2" xfId="22352" xr:uid="{00000000-0005-0000-0000-000092520000}"/>
    <cellStyle name="Currency 5 4 3 12 2 2" xfId="22353" xr:uid="{00000000-0005-0000-0000-000093520000}"/>
    <cellStyle name="Currency 5 4 3 12 3" xfId="22354" xr:uid="{00000000-0005-0000-0000-000094520000}"/>
    <cellStyle name="Currency 5 4 3 13" xfId="22355" xr:uid="{00000000-0005-0000-0000-000095520000}"/>
    <cellStyle name="Currency 5 4 3 13 2" xfId="22356" xr:uid="{00000000-0005-0000-0000-000096520000}"/>
    <cellStyle name="Currency 5 4 3 13 2 2" xfId="22357" xr:uid="{00000000-0005-0000-0000-000097520000}"/>
    <cellStyle name="Currency 5 4 3 13 3" xfId="22358" xr:uid="{00000000-0005-0000-0000-000098520000}"/>
    <cellStyle name="Currency 5 4 3 14" xfId="22359" xr:uid="{00000000-0005-0000-0000-000099520000}"/>
    <cellStyle name="Currency 5 4 3 14 2" xfId="22360" xr:uid="{00000000-0005-0000-0000-00009A520000}"/>
    <cellStyle name="Currency 5 4 3 14 2 2" xfId="22361" xr:uid="{00000000-0005-0000-0000-00009B520000}"/>
    <cellStyle name="Currency 5 4 3 14 3" xfId="22362" xr:uid="{00000000-0005-0000-0000-00009C520000}"/>
    <cellStyle name="Currency 5 4 3 15" xfId="22363" xr:uid="{00000000-0005-0000-0000-00009D520000}"/>
    <cellStyle name="Currency 5 4 3 15 2" xfId="22364" xr:uid="{00000000-0005-0000-0000-00009E520000}"/>
    <cellStyle name="Currency 5 4 3 16" xfId="22365" xr:uid="{00000000-0005-0000-0000-00009F520000}"/>
    <cellStyle name="Currency 5 4 3 17" xfId="22366" xr:uid="{00000000-0005-0000-0000-0000A0520000}"/>
    <cellStyle name="Currency 5 4 3 18" xfId="22334" xr:uid="{00000000-0005-0000-0000-0000A1520000}"/>
    <cellStyle name="Currency 5 4 3 2" xfId="400" xr:uid="{00000000-0005-0000-0000-0000A2520000}"/>
    <cellStyle name="Currency 5 4 3 2 10" xfId="22368" xr:uid="{00000000-0005-0000-0000-0000A3520000}"/>
    <cellStyle name="Currency 5 4 3 2 10 2" xfId="22369" xr:uid="{00000000-0005-0000-0000-0000A4520000}"/>
    <cellStyle name="Currency 5 4 3 2 10 2 2" xfId="22370" xr:uid="{00000000-0005-0000-0000-0000A5520000}"/>
    <cellStyle name="Currency 5 4 3 2 10 2 2 2" xfId="22371" xr:uid="{00000000-0005-0000-0000-0000A6520000}"/>
    <cellStyle name="Currency 5 4 3 2 10 2 3" xfId="22372" xr:uid="{00000000-0005-0000-0000-0000A7520000}"/>
    <cellStyle name="Currency 5 4 3 2 10 3" xfId="22373" xr:uid="{00000000-0005-0000-0000-0000A8520000}"/>
    <cellStyle name="Currency 5 4 3 2 10 3 2" xfId="22374" xr:uid="{00000000-0005-0000-0000-0000A9520000}"/>
    <cellStyle name="Currency 5 4 3 2 10 4" xfId="22375" xr:uid="{00000000-0005-0000-0000-0000AA520000}"/>
    <cellStyle name="Currency 5 4 3 2 11" xfId="22376" xr:uid="{00000000-0005-0000-0000-0000AB520000}"/>
    <cellStyle name="Currency 5 4 3 2 11 2" xfId="22377" xr:uid="{00000000-0005-0000-0000-0000AC520000}"/>
    <cellStyle name="Currency 5 4 3 2 11 2 2" xfId="22378" xr:uid="{00000000-0005-0000-0000-0000AD520000}"/>
    <cellStyle name="Currency 5 4 3 2 11 3" xfId="22379" xr:uid="{00000000-0005-0000-0000-0000AE520000}"/>
    <cellStyle name="Currency 5 4 3 2 12" xfId="22380" xr:uid="{00000000-0005-0000-0000-0000AF520000}"/>
    <cellStyle name="Currency 5 4 3 2 12 2" xfId="22381" xr:uid="{00000000-0005-0000-0000-0000B0520000}"/>
    <cellStyle name="Currency 5 4 3 2 12 2 2" xfId="22382" xr:uid="{00000000-0005-0000-0000-0000B1520000}"/>
    <cellStyle name="Currency 5 4 3 2 12 3" xfId="22383" xr:uid="{00000000-0005-0000-0000-0000B2520000}"/>
    <cellStyle name="Currency 5 4 3 2 13" xfId="22384" xr:uid="{00000000-0005-0000-0000-0000B3520000}"/>
    <cellStyle name="Currency 5 4 3 2 13 2" xfId="22385" xr:uid="{00000000-0005-0000-0000-0000B4520000}"/>
    <cellStyle name="Currency 5 4 3 2 13 2 2" xfId="22386" xr:uid="{00000000-0005-0000-0000-0000B5520000}"/>
    <cellStyle name="Currency 5 4 3 2 13 3" xfId="22387" xr:uid="{00000000-0005-0000-0000-0000B6520000}"/>
    <cellStyle name="Currency 5 4 3 2 14" xfId="22388" xr:uid="{00000000-0005-0000-0000-0000B7520000}"/>
    <cellStyle name="Currency 5 4 3 2 14 2" xfId="22389" xr:uid="{00000000-0005-0000-0000-0000B8520000}"/>
    <cellStyle name="Currency 5 4 3 2 15" xfId="22390" xr:uid="{00000000-0005-0000-0000-0000B9520000}"/>
    <cellStyle name="Currency 5 4 3 2 16" xfId="22391" xr:uid="{00000000-0005-0000-0000-0000BA520000}"/>
    <cellStyle name="Currency 5 4 3 2 17" xfId="22367" xr:uid="{00000000-0005-0000-0000-0000BB520000}"/>
    <cellStyle name="Currency 5 4 3 2 2" xfId="401" xr:uid="{00000000-0005-0000-0000-0000BC520000}"/>
    <cellStyle name="Currency 5 4 3 2 2 10" xfId="22393" xr:uid="{00000000-0005-0000-0000-0000BD520000}"/>
    <cellStyle name="Currency 5 4 3 2 2 10 2" xfId="22394" xr:uid="{00000000-0005-0000-0000-0000BE520000}"/>
    <cellStyle name="Currency 5 4 3 2 2 10 2 2" xfId="22395" xr:uid="{00000000-0005-0000-0000-0000BF520000}"/>
    <cellStyle name="Currency 5 4 3 2 2 10 3" xfId="22396" xr:uid="{00000000-0005-0000-0000-0000C0520000}"/>
    <cellStyle name="Currency 5 4 3 2 2 11" xfId="22397" xr:uid="{00000000-0005-0000-0000-0000C1520000}"/>
    <cellStyle name="Currency 5 4 3 2 2 11 2" xfId="22398" xr:uid="{00000000-0005-0000-0000-0000C2520000}"/>
    <cellStyle name="Currency 5 4 3 2 2 11 2 2" xfId="22399" xr:uid="{00000000-0005-0000-0000-0000C3520000}"/>
    <cellStyle name="Currency 5 4 3 2 2 11 3" xfId="22400" xr:uid="{00000000-0005-0000-0000-0000C4520000}"/>
    <cellStyle name="Currency 5 4 3 2 2 12" xfId="22401" xr:uid="{00000000-0005-0000-0000-0000C5520000}"/>
    <cellStyle name="Currency 5 4 3 2 2 12 2" xfId="22402" xr:uid="{00000000-0005-0000-0000-0000C6520000}"/>
    <cellStyle name="Currency 5 4 3 2 2 13" xfId="22403" xr:uid="{00000000-0005-0000-0000-0000C7520000}"/>
    <cellStyle name="Currency 5 4 3 2 2 14" xfId="22404" xr:uid="{00000000-0005-0000-0000-0000C8520000}"/>
    <cellStyle name="Currency 5 4 3 2 2 15" xfId="22392" xr:uid="{00000000-0005-0000-0000-0000C9520000}"/>
    <cellStyle name="Currency 5 4 3 2 2 2" xfId="940" xr:uid="{00000000-0005-0000-0000-0000CA520000}"/>
    <cellStyle name="Currency 5 4 3 2 2 2 10" xfId="22406" xr:uid="{00000000-0005-0000-0000-0000CB520000}"/>
    <cellStyle name="Currency 5 4 3 2 2 2 11" xfId="22405" xr:uid="{00000000-0005-0000-0000-0000CC520000}"/>
    <cellStyle name="Currency 5 4 3 2 2 2 2" xfId="1681" xr:uid="{00000000-0005-0000-0000-0000CD520000}"/>
    <cellStyle name="Currency 5 4 3 2 2 2 2 2" xfId="22408" xr:uid="{00000000-0005-0000-0000-0000CE520000}"/>
    <cellStyle name="Currency 5 4 3 2 2 2 2 2 2" xfId="22409" xr:uid="{00000000-0005-0000-0000-0000CF520000}"/>
    <cellStyle name="Currency 5 4 3 2 2 2 2 2 2 2" xfId="22410" xr:uid="{00000000-0005-0000-0000-0000D0520000}"/>
    <cellStyle name="Currency 5 4 3 2 2 2 2 2 2 2 2" xfId="22411" xr:uid="{00000000-0005-0000-0000-0000D1520000}"/>
    <cellStyle name="Currency 5 4 3 2 2 2 2 2 2 3" xfId="22412" xr:uid="{00000000-0005-0000-0000-0000D2520000}"/>
    <cellStyle name="Currency 5 4 3 2 2 2 2 2 3" xfId="22413" xr:uid="{00000000-0005-0000-0000-0000D3520000}"/>
    <cellStyle name="Currency 5 4 3 2 2 2 2 2 3 2" xfId="22414" xr:uid="{00000000-0005-0000-0000-0000D4520000}"/>
    <cellStyle name="Currency 5 4 3 2 2 2 2 2 4" xfId="22415" xr:uid="{00000000-0005-0000-0000-0000D5520000}"/>
    <cellStyle name="Currency 5 4 3 2 2 2 2 3" xfId="22416" xr:uid="{00000000-0005-0000-0000-0000D6520000}"/>
    <cellStyle name="Currency 5 4 3 2 2 2 2 3 2" xfId="22417" xr:uid="{00000000-0005-0000-0000-0000D7520000}"/>
    <cellStyle name="Currency 5 4 3 2 2 2 2 3 2 2" xfId="22418" xr:uid="{00000000-0005-0000-0000-0000D8520000}"/>
    <cellStyle name="Currency 5 4 3 2 2 2 2 3 2 2 2" xfId="22419" xr:uid="{00000000-0005-0000-0000-0000D9520000}"/>
    <cellStyle name="Currency 5 4 3 2 2 2 2 3 2 3" xfId="22420" xr:uid="{00000000-0005-0000-0000-0000DA520000}"/>
    <cellStyle name="Currency 5 4 3 2 2 2 2 3 3" xfId="22421" xr:uid="{00000000-0005-0000-0000-0000DB520000}"/>
    <cellStyle name="Currency 5 4 3 2 2 2 2 3 3 2" xfId="22422" xr:uid="{00000000-0005-0000-0000-0000DC520000}"/>
    <cellStyle name="Currency 5 4 3 2 2 2 2 3 4" xfId="22423" xr:uid="{00000000-0005-0000-0000-0000DD520000}"/>
    <cellStyle name="Currency 5 4 3 2 2 2 2 4" xfId="22424" xr:uid="{00000000-0005-0000-0000-0000DE520000}"/>
    <cellStyle name="Currency 5 4 3 2 2 2 2 4 2" xfId="22425" xr:uid="{00000000-0005-0000-0000-0000DF520000}"/>
    <cellStyle name="Currency 5 4 3 2 2 2 2 4 2 2" xfId="22426" xr:uid="{00000000-0005-0000-0000-0000E0520000}"/>
    <cellStyle name="Currency 5 4 3 2 2 2 2 4 3" xfId="22427" xr:uid="{00000000-0005-0000-0000-0000E1520000}"/>
    <cellStyle name="Currency 5 4 3 2 2 2 2 5" xfId="22428" xr:uid="{00000000-0005-0000-0000-0000E2520000}"/>
    <cellStyle name="Currency 5 4 3 2 2 2 2 5 2" xfId="22429" xr:uid="{00000000-0005-0000-0000-0000E3520000}"/>
    <cellStyle name="Currency 5 4 3 2 2 2 2 6" xfId="22430" xr:uid="{00000000-0005-0000-0000-0000E4520000}"/>
    <cellStyle name="Currency 5 4 3 2 2 2 2 7" xfId="22407" xr:uid="{00000000-0005-0000-0000-0000E5520000}"/>
    <cellStyle name="Currency 5 4 3 2 2 2 3" xfId="22431" xr:uid="{00000000-0005-0000-0000-0000E6520000}"/>
    <cellStyle name="Currency 5 4 3 2 2 2 3 2" xfId="22432" xr:uid="{00000000-0005-0000-0000-0000E7520000}"/>
    <cellStyle name="Currency 5 4 3 2 2 2 3 2 2" xfId="22433" xr:uid="{00000000-0005-0000-0000-0000E8520000}"/>
    <cellStyle name="Currency 5 4 3 2 2 2 3 2 2 2" xfId="22434" xr:uid="{00000000-0005-0000-0000-0000E9520000}"/>
    <cellStyle name="Currency 5 4 3 2 2 2 3 2 2 2 2" xfId="22435" xr:uid="{00000000-0005-0000-0000-0000EA520000}"/>
    <cellStyle name="Currency 5 4 3 2 2 2 3 2 2 3" xfId="22436" xr:uid="{00000000-0005-0000-0000-0000EB520000}"/>
    <cellStyle name="Currency 5 4 3 2 2 2 3 2 3" xfId="22437" xr:uid="{00000000-0005-0000-0000-0000EC520000}"/>
    <cellStyle name="Currency 5 4 3 2 2 2 3 2 3 2" xfId="22438" xr:uid="{00000000-0005-0000-0000-0000ED520000}"/>
    <cellStyle name="Currency 5 4 3 2 2 2 3 2 4" xfId="22439" xr:uid="{00000000-0005-0000-0000-0000EE520000}"/>
    <cellStyle name="Currency 5 4 3 2 2 2 3 3" xfId="22440" xr:uid="{00000000-0005-0000-0000-0000EF520000}"/>
    <cellStyle name="Currency 5 4 3 2 2 2 3 3 2" xfId="22441" xr:uid="{00000000-0005-0000-0000-0000F0520000}"/>
    <cellStyle name="Currency 5 4 3 2 2 2 3 3 2 2" xfId="22442" xr:uid="{00000000-0005-0000-0000-0000F1520000}"/>
    <cellStyle name="Currency 5 4 3 2 2 2 3 3 3" xfId="22443" xr:uid="{00000000-0005-0000-0000-0000F2520000}"/>
    <cellStyle name="Currency 5 4 3 2 2 2 3 4" xfId="22444" xr:uid="{00000000-0005-0000-0000-0000F3520000}"/>
    <cellStyle name="Currency 5 4 3 2 2 2 3 4 2" xfId="22445" xr:uid="{00000000-0005-0000-0000-0000F4520000}"/>
    <cellStyle name="Currency 5 4 3 2 2 2 3 5" xfId="22446" xr:uid="{00000000-0005-0000-0000-0000F5520000}"/>
    <cellStyle name="Currency 5 4 3 2 2 2 4" xfId="22447" xr:uid="{00000000-0005-0000-0000-0000F6520000}"/>
    <cellStyle name="Currency 5 4 3 2 2 2 4 2" xfId="22448" xr:uid="{00000000-0005-0000-0000-0000F7520000}"/>
    <cellStyle name="Currency 5 4 3 2 2 2 4 2 2" xfId="22449" xr:uid="{00000000-0005-0000-0000-0000F8520000}"/>
    <cellStyle name="Currency 5 4 3 2 2 2 4 2 2 2" xfId="22450" xr:uid="{00000000-0005-0000-0000-0000F9520000}"/>
    <cellStyle name="Currency 5 4 3 2 2 2 4 2 2 2 2" xfId="22451" xr:uid="{00000000-0005-0000-0000-0000FA520000}"/>
    <cellStyle name="Currency 5 4 3 2 2 2 4 2 2 3" xfId="22452" xr:uid="{00000000-0005-0000-0000-0000FB520000}"/>
    <cellStyle name="Currency 5 4 3 2 2 2 4 2 3" xfId="22453" xr:uid="{00000000-0005-0000-0000-0000FC520000}"/>
    <cellStyle name="Currency 5 4 3 2 2 2 4 2 3 2" xfId="22454" xr:uid="{00000000-0005-0000-0000-0000FD520000}"/>
    <cellStyle name="Currency 5 4 3 2 2 2 4 2 4" xfId="22455" xr:uid="{00000000-0005-0000-0000-0000FE520000}"/>
    <cellStyle name="Currency 5 4 3 2 2 2 4 3" xfId="22456" xr:uid="{00000000-0005-0000-0000-0000FF520000}"/>
    <cellStyle name="Currency 5 4 3 2 2 2 4 3 2" xfId="22457" xr:uid="{00000000-0005-0000-0000-000000530000}"/>
    <cellStyle name="Currency 5 4 3 2 2 2 4 3 2 2" xfId="22458" xr:uid="{00000000-0005-0000-0000-000001530000}"/>
    <cellStyle name="Currency 5 4 3 2 2 2 4 3 3" xfId="22459" xr:uid="{00000000-0005-0000-0000-000002530000}"/>
    <cellStyle name="Currency 5 4 3 2 2 2 4 4" xfId="22460" xr:uid="{00000000-0005-0000-0000-000003530000}"/>
    <cellStyle name="Currency 5 4 3 2 2 2 4 4 2" xfId="22461" xr:uid="{00000000-0005-0000-0000-000004530000}"/>
    <cellStyle name="Currency 5 4 3 2 2 2 4 5" xfId="22462" xr:uid="{00000000-0005-0000-0000-000005530000}"/>
    <cellStyle name="Currency 5 4 3 2 2 2 5" xfId="22463" xr:uid="{00000000-0005-0000-0000-000006530000}"/>
    <cellStyle name="Currency 5 4 3 2 2 2 5 2" xfId="22464" xr:uid="{00000000-0005-0000-0000-000007530000}"/>
    <cellStyle name="Currency 5 4 3 2 2 2 5 2 2" xfId="22465" xr:uid="{00000000-0005-0000-0000-000008530000}"/>
    <cellStyle name="Currency 5 4 3 2 2 2 5 2 2 2" xfId="22466" xr:uid="{00000000-0005-0000-0000-000009530000}"/>
    <cellStyle name="Currency 5 4 3 2 2 2 5 2 3" xfId="22467" xr:uid="{00000000-0005-0000-0000-00000A530000}"/>
    <cellStyle name="Currency 5 4 3 2 2 2 5 3" xfId="22468" xr:uid="{00000000-0005-0000-0000-00000B530000}"/>
    <cellStyle name="Currency 5 4 3 2 2 2 5 3 2" xfId="22469" xr:uid="{00000000-0005-0000-0000-00000C530000}"/>
    <cellStyle name="Currency 5 4 3 2 2 2 5 4" xfId="22470" xr:uid="{00000000-0005-0000-0000-00000D530000}"/>
    <cellStyle name="Currency 5 4 3 2 2 2 6" xfId="22471" xr:uid="{00000000-0005-0000-0000-00000E530000}"/>
    <cellStyle name="Currency 5 4 3 2 2 2 6 2" xfId="22472" xr:uid="{00000000-0005-0000-0000-00000F530000}"/>
    <cellStyle name="Currency 5 4 3 2 2 2 6 2 2" xfId="22473" xr:uid="{00000000-0005-0000-0000-000010530000}"/>
    <cellStyle name="Currency 5 4 3 2 2 2 6 2 2 2" xfId="22474" xr:uid="{00000000-0005-0000-0000-000011530000}"/>
    <cellStyle name="Currency 5 4 3 2 2 2 6 2 3" xfId="22475" xr:uid="{00000000-0005-0000-0000-000012530000}"/>
    <cellStyle name="Currency 5 4 3 2 2 2 6 3" xfId="22476" xr:uid="{00000000-0005-0000-0000-000013530000}"/>
    <cellStyle name="Currency 5 4 3 2 2 2 6 3 2" xfId="22477" xr:uid="{00000000-0005-0000-0000-000014530000}"/>
    <cellStyle name="Currency 5 4 3 2 2 2 6 4" xfId="22478" xr:uid="{00000000-0005-0000-0000-000015530000}"/>
    <cellStyle name="Currency 5 4 3 2 2 2 7" xfId="22479" xr:uid="{00000000-0005-0000-0000-000016530000}"/>
    <cellStyle name="Currency 5 4 3 2 2 2 7 2" xfId="22480" xr:uid="{00000000-0005-0000-0000-000017530000}"/>
    <cellStyle name="Currency 5 4 3 2 2 2 7 2 2" xfId="22481" xr:uid="{00000000-0005-0000-0000-000018530000}"/>
    <cellStyle name="Currency 5 4 3 2 2 2 7 2 2 2" xfId="22482" xr:uid="{00000000-0005-0000-0000-000019530000}"/>
    <cellStyle name="Currency 5 4 3 2 2 2 7 2 3" xfId="22483" xr:uid="{00000000-0005-0000-0000-00001A530000}"/>
    <cellStyle name="Currency 5 4 3 2 2 2 7 3" xfId="22484" xr:uid="{00000000-0005-0000-0000-00001B530000}"/>
    <cellStyle name="Currency 5 4 3 2 2 2 7 3 2" xfId="22485" xr:uid="{00000000-0005-0000-0000-00001C530000}"/>
    <cellStyle name="Currency 5 4 3 2 2 2 7 4" xfId="22486" xr:uid="{00000000-0005-0000-0000-00001D530000}"/>
    <cellStyle name="Currency 5 4 3 2 2 2 8" xfId="22487" xr:uid="{00000000-0005-0000-0000-00001E530000}"/>
    <cellStyle name="Currency 5 4 3 2 2 2 8 2" xfId="22488" xr:uid="{00000000-0005-0000-0000-00001F530000}"/>
    <cellStyle name="Currency 5 4 3 2 2 2 8 2 2" xfId="22489" xr:uid="{00000000-0005-0000-0000-000020530000}"/>
    <cellStyle name="Currency 5 4 3 2 2 2 8 3" xfId="22490" xr:uid="{00000000-0005-0000-0000-000021530000}"/>
    <cellStyle name="Currency 5 4 3 2 2 2 9" xfId="22491" xr:uid="{00000000-0005-0000-0000-000022530000}"/>
    <cellStyle name="Currency 5 4 3 2 2 2 9 2" xfId="22492" xr:uid="{00000000-0005-0000-0000-000023530000}"/>
    <cellStyle name="Currency 5 4 3 2 2 3" xfId="1356" xr:uid="{00000000-0005-0000-0000-000024530000}"/>
    <cellStyle name="Currency 5 4 3 2 2 3 2" xfId="22494" xr:uid="{00000000-0005-0000-0000-000025530000}"/>
    <cellStyle name="Currency 5 4 3 2 2 3 2 2" xfId="22495" xr:uid="{00000000-0005-0000-0000-000026530000}"/>
    <cellStyle name="Currency 5 4 3 2 2 3 2 2 2" xfId="22496" xr:uid="{00000000-0005-0000-0000-000027530000}"/>
    <cellStyle name="Currency 5 4 3 2 2 3 2 2 2 2" xfId="22497" xr:uid="{00000000-0005-0000-0000-000028530000}"/>
    <cellStyle name="Currency 5 4 3 2 2 3 2 2 3" xfId="22498" xr:uid="{00000000-0005-0000-0000-000029530000}"/>
    <cellStyle name="Currency 5 4 3 2 2 3 2 3" xfId="22499" xr:uid="{00000000-0005-0000-0000-00002A530000}"/>
    <cellStyle name="Currency 5 4 3 2 2 3 2 3 2" xfId="22500" xr:uid="{00000000-0005-0000-0000-00002B530000}"/>
    <cellStyle name="Currency 5 4 3 2 2 3 2 4" xfId="22501" xr:uid="{00000000-0005-0000-0000-00002C530000}"/>
    <cellStyle name="Currency 5 4 3 2 2 3 3" xfId="22502" xr:uid="{00000000-0005-0000-0000-00002D530000}"/>
    <cellStyle name="Currency 5 4 3 2 2 3 3 2" xfId="22503" xr:uid="{00000000-0005-0000-0000-00002E530000}"/>
    <cellStyle name="Currency 5 4 3 2 2 3 3 2 2" xfId="22504" xr:uid="{00000000-0005-0000-0000-00002F530000}"/>
    <cellStyle name="Currency 5 4 3 2 2 3 3 2 2 2" xfId="22505" xr:uid="{00000000-0005-0000-0000-000030530000}"/>
    <cellStyle name="Currency 5 4 3 2 2 3 3 2 3" xfId="22506" xr:uid="{00000000-0005-0000-0000-000031530000}"/>
    <cellStyle name="Currency 5 4 3 2 2 3 3 3" xfId="22507" xr:uid="{00000000-0005-0000-0000-000032530000}"/>
    <cellStyle name="Currency 5 4 3 2 2 3 3 3 2" xfId="22508" xr:uid="{00000000-0005-0000-0000-000033530000}"/>
    <cellStyle name="Currency 5 4 3 2 2 3 3 4" xfId="22509" xr:uid="{00000000-0005-0000-0000-000034530000}"/>
    <cellStyle name="Currency 5 4 3 2 2 3 4" xfId="22510" xr:uid="{00000000-0005-0000-0000-000035530000}"/>
    <cellStyle name="Currency 5 4 3 2 2 3 4 2" xfId="22511" xr:uid="{00000000-0005-0000-0000-000036530000}"/>
    <cellStyle name="Currency 5 4 3 2 2 3 4 2 2" xfId="22512" xr:uid="{00000000-0005-0000-0000-000037530000}"/>
    <cellStyle name="Currency 5 4 3 2 2 3 4 3" xfId="22513" xr:uid="{00000000-0005-0000-0000-000038530000}"/>
    <cellStyle name="Currency 5 4 3 2 2 3 5" xfId="22514" xr:uid="{00000000-0005-0000-0000-000039530000}"/>
    <cellStyle name="Currency 5 4 3 2 2 3 5 2" xfId="22515" xr:uid="{00000000-0005-0000-0000-00003A530000}"/>
    <cellStyle name="Currency 5 4 3 2 2 3 6" xfId="22516" xr:uid="{00000000-0005-0000-0000-00003B530000}"/>
    <cellStyle name="Currency 5 4 3 2 2 3 7" xfId="22493" xr:uid="{00000000-0005-0000-0000-00003C530000}"/>
    <cellStyle name="Currency 5 4 3 2 2 4" xfId="22517" xr:uid="{00000000-0005-0000-0000-00003D530000}"/>
    <cellStyle name="Currency 5 4 3 2 2 4 2" xfId="22518" xr:uid="{00000000-0005-0000-0000-00003E530000}"/>
    <cellStyle name="Currency 5 4 3 2 2 4 2 2" xfId="22519" xr:uid="{00000000-0005-0000-0000-00003F530000}"/>
    <cellStyle name="Currency 5 4 3 2 2 4 2 2 2" xfId="22520" xr:uid="{00000000-0005-0000-0000-000040530000}"/>
    <cellStyle name="Currency 5 4 3 2 2 4 2 2 2 2" xfId="22521" xr:uid="{00000000-0005-0000-0000-000041530000}"/>
    <cellStyle name="Currency 5 4 3 2 2 4 2 2 3" xfId="22522" xr:uid="{00000000-0005-0000-0000-000042530000}"/>
    <cellStyle name="Currency 5 4 3 2 2 4 2 3" xfId="22523" xr:uid="{00000000-0005-0000-0000-000043530000}"/>
    <cellStyle name="Currency 5 4 3 2 2 4 2 3 2" xfId="22524" xr:uid="{00000000-0005-0000-0000-000044530000}"/>
    <cellStyle name="Currency 5 4 3 2 2 4 2 4" xfId="22525" xr:uid="{00000000-0005-0000-0000-000045530000}"/>
    <cellStyle name="Currency 5 4 3 2 2 4 3" xfId="22526" xr:uid="{00000000-0005-0000-0000-000046530000}"/>
    <cellStyle name="Currency 5 4 3 2 2 4 3 2" xfId="22527" xr:uid="{00000000-0005-0000-0000-000047530000}"/>
    <cellStyle name="Currency 5 4 3 2 2 4 3 2 2" xfId="22528" xr:uid="{00000000-0005-0000-0000-000048530000}"/>
    <cellStyle name="Currency 5 4 3 2 2 4 3 3" xfId="22529" xr:uid="{00000000-0005-0000-0000-000049530000}"/>
    <cellStyle name="Currency 5 4 3 2 2 4 4" xfId="22530" xr:uid="{00000000-0005-0000-0000-00004A530000}"/>
    <cellStyle name="Currency 5 4 3 2 2 4 4 2" xfId="22531" xr:uid="{00000000-0005-0000-0000-00004B530000}"/>
    <cellStyle name="Currency 5 4 3 2 2 4 5" xfId="22532" xr:uid="{00000000-0005-0000-0000-00004C530000}"/>
    <cellStyle name="Currency 5 4 3 2 2 5" xfId="22533" xr:uid="{00000000-0005-0000-0000-00004D530000}"/>
    <cellStyle name="Currency 5 4 3 2 2 5 2" xfId="22534" xr:uid="{00000000-0005-0000-0000-00004E530000}"/>
    <cellStyle name="Currency 5 4 3 2 2 5 2 2" xfId="22535" xr:uid="{00000000-0005-0000-0000-00004F530000}"/>
    <cellStyle name="Currency 5 4 3 2 2 5 2 2 2" xfId="22536" xr:uid="{00000000-0005-0000-0000-000050530000}"/>
    <cellStyle name="Currency 5 4 3 2 2 5 2 2 2 2" xfId="22537" xr:uid="{00000000-0005-0000-0000-000051530000}"/>
    <cellStyle name="Currency 5 4 3 2 2 5 2 2 3" xfId="22538" xr:uid="{00000000-0005-0000-0000-000052530000}"/>
    <cellStyle name="Currency 5 4 3 2 2 5 2 3" xfId="22539" xr:uid="{00000000-0005-0000-0000-000053530000}"/>
    <cellStyle name="Currency 5 4 3 2 2 5 2 3 2" xfId="22540" xr:uid="{00000000-0005-0000-0000-000054530000}"/>
    <cellStyle name="Currency 5 4 3 2 2 5 2 4" xfId="22541" xr:uid="{00000000-0005-0000-0000-000055530000}"/>
    <cellStyle name="Currency 5 4 3 2 2 5 3" xfId="22542" xr:uid="{00000000-0005-0000-0000-000056530000}"/>
    <cellStyle name="Currency 5 4 3 2 2 5 3 2" xfId="22543" xr:uid="{00000000-0005-0000-0000-000057530000}"/>
    <cellStyle name="Currency 5 4 3 2 2 5 3 2 2" xfId="22544" xr:uid="{00000000-0005-0000-0000-000058530000}"/>
    <cellStyle name="Currency 5 4 3 2 2 5 3 3" xfId="22545" xr:uid="{00000000-0005-0000-0000-000059530000}"/>
    <cellStyle name="Currency 5 4 3 2 2 5 4" xfId="22546" xr:uid="{00000000-0005-0000-0000-00005A530000}"/>
    <cellStyle name="Currency 5 4 3 2 2 5 4 2" xfId="22547" xr:uid="{00000000-0005-0000-0000-00005B530000}"/>
    <cellStyle name="Currency 5 4 3 2 2 5 5" xfId="22548" xr:uid="{00000000-0005-0000-0000-00005C530000}"/>
    <cellStyle name="Currency 5 4 3 2 2 6" xfId="22549" xr:uid="{00000000-0005-0000-0000-00005D530000}"/>
    <cellStyle name="Currency 5 4 3 2 2 6 2" xfId="22550" xr:uid="{00000000-0005-0000-0000-00005E530000}"/>
    <cellStyle name="Currency 5 4 3 2 2 6 2 2" xfId="22551" xr:uid="{00000000-0005-0000-0000-00005F530000}"/>
    <cellStyle name="Currency 5 4 3 2 2 6 2 2 2" xfId="22552" xr:uid="{00000000-0005-0000-0000-000060530000}"/>
    <cellStyle name="Currency 5 4 3 2 2 6 2 3" xfId="22553" xr:uid="{00000000-0005-0000-0000-000061530000}"/>
    <cellStyle name="Currency 5 4 3 2 2 6 3" xfId="22554" xr:uid="{00000000-0005-0000-0000-000062530000}"/>
    <cellStyle name="Currency 5 4 3 2 2 6 3 2" xfId="22555" xr:uid="{00000000-0005-0000-0000-000063530000}"/>
    <cellStyle name="Currency 5 4 3 2 2 6 4" xfId="22556" xr:uid="{00000000-0005-0000-0000-000064530000}"/>
    <cellStyle name="Currency 5 4 3 2 2 7" xfId="22557" xr:uid="{00000000-0005-0000-0000-000065530000}"/>
    <cellStyle name="Currency 5 4 3 2 2 7 2" xfId="22558" xr:uid="{00000000-0005-0000-0000-000066530000}"/>
    <cellStyle name="Currency 5 4 3 2 2 7 2 2" xfId="22559" xr:uid="{00000000-0005-0000-0000-000067530000}"/>
    <cellStyle name="Currency 5 4 3 2 2 7 2 2 2" xfId="22560" xr:uid="{00000000-0005-0000-0000-000068530000}"/>
    <cellStyle name="Currency 5 4 3 2 2 7 2 3" xfId="22561" xr:uid="{00000000-0005-0000-0000-000069530000}"/>
    <cellStyle name="Currency 5 4 3 2 2 7 3" xfId="22562" xr:uid="{00000000-0005-0000-0000-00006A530000}"/>
    <cellStyle name="Currency 5 4 3 2 2 7 3 2" xfId="22563" xr:uid="{00000000-0005-0000-0000-00006B530000}"/>
    <cellStyle name="Currency 5 4 3 2 2 7 4" xfId="22564" xr:uid="{00000000-0005-0000-0000-00006C530000}"/>
    <cellStyle name="Currency 5 4 3 2 2 8" xfId="22565" xr:uid="{00000000-0005-0000-0000-00006D530000}"/>
    <cellStyle name="Currency 5 4 3 2 2 8 2" xfId="22566" xr:uid="{00000000-0005-0000-0000-00006E530000}"/>
    <cellStyle name="Currency 5 4 3 2 2 8 2 2" xfId="22567" xr:uid="{00000000-0005-0000-0000-00006F530000}"/>
    <cellStyle name="Currency 5 4 3 2 2 8 2 2 2" xfId="22568" xr:uid="{00000000-0005-0000-0000-000070530000}"/>
    <cellStyle name="Currency 5 4 3 2 2 8 2 3" xfId="22569" xr:uid="{00000000-0005-0000-0000-000071530000}"/>
    <cellStyle name="Currency 5 4 3 2 2 8 3" xfId="22570" xr:uid="{00000000-0005-0000-0000-000072530000}"/>
    <cellStyle name="Currency 5 4 3 2 2 8 3 2" xfId="22571" xr:uid="{00000000-0005-0000-0000-000073530000}"/>
    <cellStyle name="Currency 5 4 3 2 2 8 4" xfId="22572" xr:uid="{00000000-0005-0000-0000-000074530000}"/>
    <cellStyle name="Currency 5 4 3 2 2 9" xfId="22573" xr:uid="{00000000-0005-0000-0000-000075530000}"/>
    <cellStyle name="Currency 5 4 3 2 2 9 2" xfId="22574" xr:uid="{00000000-0005-0000-0000-000076530000}"/>
    <cellStyle name="Currency 5 4 3 2 2 9 2 2" xfId="22575" xr:uid="{00000000-0005-0000-0000-000077530000}"/>
    <cellStyle name="Currency 5 4 3 2 2 9 3" xfId="22576" xr:uid="{00000000-0005-0000-0000-000078530000}"/>
    <cellStyle name="Currency 5 4 3 2 3" xfId="402" xr:uid="{00000000-0005-0000-0000-000079530000}"/>
    <cellStyle name="Currency 5 4 3 2 4" xfId="939" xr:uid="{00000000-0005-0000-0000-00007A530000}"/>
    <cellStyle name="Currency 5 4 3 2 4 10" xfId="22578" xr:uid="{00000000-0005-0000-0000-00007B530000}"/>
    <cellStyle name="Currency 5 4 3 2 4 11" xfId="22577" xr:uid="{00000000-0005-0000-0000-00007C530000}"/>
    <cellStyle name="Currency 5 4 3 2 4 2" xfId="1680" xr:uid="{00000000-0005-0000-0000-00007D530000}"/>
    <cellStyle name="Currency 5 4 3 2 4 2 2" xfId="22580" xr:uid="{00000000-0005-0000-0000-00007E530000}"/>
    <cellStyle name="Currency 5 4 3 2 4 2 2 2" xfId="22581" xr:uid="{00000000-0005-0000-0000-00007F530000}"/>
    <cellStyle name="Currency 5 4 3 2 4 2 2 2 2" xfId="22582" xr:uid="{00000000-0005-0000-0000-000080530000}"/>
    <cellStyle name="Currency 5 4 3 2 4 2 2 2 2 2" xfId="22583" xr:uid="{00000000-0005-0000-0000-000081530000}"/>
    <cellStyle name="Currency 5 4 3 2 4 2 2 2 3" xfId="22584" xr:uid="{00000000-0005-0000-0000-000082530000}"/>
    <cellStyle name="Currency 5 4 3 2 4 2 2 3" xfId="22585" xr:uid="{00000000-0005-0000-0000-000083530000}"/>
    <cellStyle name="Currency 5 4 3 2 4 2 2 3 2" xfId="22586" xr:uid="{00000000-0005-0000-0000-000084530000}"/>
    <cellStyle name="Currency 5 4 3 2 4 2 2 4" xfId="22587" xr:uid="{00000000-0005-0000-0000-000085530000}"/>
    <cellStyle name="Currency 5 4 3 2 4 2 3" xfId="22588" xr:uid="{00000000-0005-0000-0000-000086530000}"/>
    <cellStyle name="Currency 5 4 3 2 4 2 3 2" xfId="22589" xr:uid="{00000000-0005-0000-0000-000087530000}"/>
    <cellStyle name="Currency 5 4 3 2 4 2 3 2 2" xfId="22590" xr:uid="{00000000-0005-0000-0000-000088530000}"/>
    <cellStyle name="Currency 5 4 3 2 4 2 3 2 2 2" xfId="22591" xr:uid="{00000000-0005-0000-0000-000089530000}"/>
    <cellStyle name="Currency 5 4 3 2 4 2 3 2 3" xfId="22592" xr:uid="{00000000-0005-0000-0000-00008A530000}"/>
    <cellStyle name="Currency 5 4 3 2 4 2 3 3" xfId="22593" xr:uid="{00000000-0005-0000-0000-00008B530000}"/>
    <cellStyle name="Currency 5 4 3 2 4 2 3 3 2" xfId="22594" xr:uid="{00000000-0005-0000-0000-00008C530000}"/>
    <cellStyle name="Currency 5 4 3 2 4 2 3 4" xfId="22595" xr:uid="{00000000-0005-0000-0000-00008D530000}"/>
    <cellStyle name="Currency 5 4 3 2 4 2 4" xfId="22596" xr:uid="{00000000-0005-0000-0000-00008E530000}"/>
    <cellStyle name="Currency 5 4 3 2 4 2 4 2" xfId="22597" xr:uid="{00000000-0005-0000-0000-00008F530000}"/>
    <cellStyle name="Currency 5 4 3 2 4 2 4 2 2" xfId="22598" xr:uid="{00000000-0005-0000-0000-000090530000}"/>
    <cellStyle name="Currency 5 4 3 2 4 2 4 3" xfId="22599" xr:uid="{00000000-0005-0000-0000-000091530000}"/>
    <cellStyle name="Currency 5 4 3 2 4 2 5" xfId="22600" xr:uid="{00000000-0005-0000-0000-000092530000}"/>
    <cellStyle name="Currency 5 4 3 2 4 2 5 2" xfId="22601" xr:uid="{00000000-0005-0000-0000-000093530000}"/>
    <cellStyle name="Currency 5 4 3 2 4 2 6" xfId="22602" xr:uid="{00000000-0005-0000-0000-000094530000}"/>
    <cellStyle name="Currency 5 4 3 2 4 2 7" xfId="22579" xr:uid="{00000000-0005-0000-0000-000095530000}"/>
    <cellStyle name="Currency 5 4 3 2 4 3" xfId="22603" xr:uid="{00000000-0005-0000-0000-000096530000}"/>
    <cellStyle name="Currency 5 4 3 2 4 3 2" xfId="22604" xr:uid="{00000000-0005-0000-0000-000097530000}"/>
    <cellStyle name="Currency 5 4 3 2 4 3 2 2" xfId="22605" xr:uid="{00000000-0005-0000-0000-000098530000}"/>
    <cellStyle name="Currency 5 4 3 2 4 3 2 2 2" xfId="22606" xr:uid="{00000000-0005-0000-0000-000099530000}"/>
    <cellStyle name="Currency 5 4 3 2 4 3 2 2 2 2" xfId="22607" xr:uid="{00000000-0005-0000-0000-00009A530000}"/>
    <cellStyle name="Currency 5 4 3 2 4 3 2 2 3" xfId="22608" xr:uid="{00000000-0005-0000-0000-00009B530000}"/>
    <cellStyle name="Currency 5 4 3 2 4 3 2 3" xfId="22609" xr:uid="{00000000-0005-0000-0000-00009C530000}"/>
    <cellStyle name="Currency 5 4 3 2 4 3 2 3 2" xfId="22610" xr:uid="{00000000-0005-0000-0000-00009D530000}"/>
    <cellStyle name="Currency 5 4 3 2 4 3 2 4" xfId="22611" xr:uid="{00000000-0005-0000-0000-00009E530000}"/>
    <cellStyle name="Currency 5 4 3 2 4 3 3" xfId="22612" xr:uid="{00000000-0005-0000-0000-00009F530000}"/>
    <cellStyle name="Currency 5 4 3 2 4 3 3 2" xfId="22613" xr:uid="{00000000-0005-0000-0000-0000A0530000}"/>
    <cellStyle name="Currency 5 4 3 2 4 3 3 2 2" xfId="22614" xr:uid="{00000000-0005-0000-0000-0000A1530000}"/>
    <cellStyle name="Currency 5 4 3 2 4 3 3 3" xfId="22615" xr:uid="{00000000-0005-0000-0000-0000A2530000}"/>
    <cellStyle name="Currency 5 4 3 2 4 3 4" xfId="22616" xr:uid="{00000000-0005-0000-0000-0000A3530000}"/>
    <cellStyle name="Currency 5 4 3 2 4 3 4 2" xfId="22617" xr:uid="{00000000-0005-0000-0000-0000A4530000}"/>
    <cellStyle name="Currency 5 4 3 2 4 3 5" xfId="22618" xr:uid="{00000000-0005-0000-0000-0000A5530000}"/>
    <cellStyle name="Currency 5 4 3 2 4 4" xfId="22619" xr:uid="{00000000-0005-0000-0000-0000A6530000}"/>
    <cellStyle name="Currency 5 4 3 2 4 4 2" xfId="22620" xr:uid="{00000000-0005-0000-0000-0000A7530000}"/>
    <cellStyle name="Currency 5 4 3 2 4 4 2 2" xfId="22621" xr:uid="{00000000-0005-0000-0000-0000A8530000}"/>
    <cellStyle name="Currency 5 4 3 2 4 4 2 2 2" xfId="22622" xr:uid="{00000000-0005-0000-0000-0000A9530000}"/>
    <cellStyle name="Currency 5 4 3 2 4 4 2 2 2 2" xfId="22623" xr:uid="{00000000-0005-0000-0000-0000AA530000}"/>
    <cellStyle name="Currency 5 4 3 2 4 4 2 2 3" xfId="22624" xr:uid="{00000000-0005-0000-0000-0000AB530000}"/>
    <cellStyle name="Currency 5 4 3 2 4 4 2 3" xfId="22625" xr:uid="{00000000-0005-0000-0000-0000AC530000}"/>
    <cellStyle name="Currency 5 4 3 2 4 4 2 3 2" xfId="22626" xr:uid="{00000000-0005-0000-0000-0000AD530000}"/>
    <cellStyle name="Currency 5 4 3 2 4 4 2 4" xfId="22627" xr:uid="{00000000-0005-0000-0000-0000AE530000}"/>
    <cellStyle name="Currency 5 4 3 2 4 4 3" xfId="22628" xr:uid="{00000000-0005-0000-0000-0000AF530000}"/>
    <cellStyle name="Currency 5 4 3 2 4 4 3 2" xfId="22629" xr:uid="{00000000-0005-0000-0000-0000B0530000}"/>
    <cellStyle name="Currency 5 4 3 2 4 4 3 2 2" xfId="22630" xr:uid="{00000000-0005-0000-0000-0000B1530000}"/>
    <cellStyle name="Currency 5 4 3 2 4 4 3 3" xfId="22631" xr:uid="{00000000-0005-0000-0000-0000B2530000}"/>
    <cellStyle name="Currency 5 4 3 2 4 4 4" xfId="22632" xr:uid="{00000000-0005-0000-0000-0000B3530000}"/>
    <cellStyle name="Currency 5 4 3 2 4 4 4 2" xfId="22633" xr:uid="{00000000-0005-0000-0000-0000B4530000}"/>
    <cellStyle name="Currency 5 4 3 2 4 4 5" xfId="22634" xr:uid="{00000000-0005-0000-0000-0000B5530000}"/>
    <cellStyle name="Currency 5 4 3 2 4 5" xfId="22635" xr:uid="{00000000-0005-0000-0000-0000B6530000}"/>
    <cellStyle name="Currency 5 4 3 2 4 5 2" xfId="22636" xr:uid="{00000000-0005-0000-0000-0000B7530000}"/>
    <cellStyle name="Currency 5 4 3 2 4 5 2 2" xfId="22637" xr:uid="{00000000-0005-0000-0000-0000B8530000}"/>
    <cellStyle name="Currency 5 4 3 2 4 5 2 2 2" xfId="22638" xr:uid="{00000000-0005-0000-0000-0000B9530000}"/>
    <cellStyle name="Currency 5 4 3 2 4 5 2 3" xfId="22639" xr:uid="{00000000-0005-0000-0000-0000BA530000}"/>
    <cellStyle name="Currency 5 4 3 2 4 5 3" xfId="22640" xr:uid="{00000000-0005-0000-0000-0000BB530000}"/>
    <cellStyle name="Currency 5 4 3 2 4 5 3 2" xfId="22641" xr:uid="{00000000-0005-0000-0000-0000BC530000}"/>
    <cellStyle name="Currency 5 4 3 2 4 5 4" xfId="22642" xr:uid="{00000000-0005-0000-0000-0000BD530000}"/>
    <cellStyle name="Currency 5 4 3 2 4 6" xfId="22643" xr:uid="{00000000-0005-0000-0000-0000BE530000}"/>
    <cellStyle name="Currency 5 4 3 2 4 6 2" xfId="22644" xr:uid="{00000000-0005-0000-0000-0000BF530000}"/>
    <cellStyle name="Currency 5 4 3 2 4 6 2 2" xfId="22645" xr:uid="{00000000-0005-0000-0000-0000C0530000}"/>
    <cellStyle name="Currency 5 4 3 2 4 6 2 2 2" xfId="22646" xr:uid="{00000000-0005-0000-0000-0000C1530000}"/>
    <cellStyle name="Currency 5 4 3 2 4 6 2 3" xfId="22647" xr:uid="{00000000-0005-0000-0000-0000C2530000}"/>
    <cellStyle name="Currency 5 4 3 2 4 6 3" xfId="22648" xr:uid="{00000000-0005-0000-0000-0000C3530000}"/>
    <cellStyle name="Currency 5 4 3 2 4 6 3 2" xfId="22649" xr:uid="{00000000-0005-0000-0000-0000C4530000}"/>
    <cellStyle name="Currency 5 4 3 2 4 6 4" xfId="22650" xr:uid="{00000000-0005-0000-0000-0000C5530000}"/>
    <cellStyle name="Currency 5 4 3 2 4 7" xfId="22651" xr:uid="{00000000-0005-0000-0000-0000C6530000}"/>
    <cellStyle name="Currency 5 4 3 2 4 7 2" xfId="22652" xr:uid="{00000000-0005-0000-0000-0000C7530000}"/>
    <cellStyle name="Currency 5 4 3 2 4 7 2 2" xfId="22653" xr:uid="{00000000-0005-0000-0000-0000C8530000}"/>
    <cellStyle name="Currency 5 4 3 2 4 7 2 2 2" xfId="22654" xr:uid="{00000000-0005-0000-0000-0000C9530000}"/>
    <cellStyle name="Currency 5 4 3 2 4 7 2 3" xfId="22655" xr:uid="{00000000-0005-0000-0000-0000CA530000}"/>
    <cellStyle name="Currency 5 4 3 2 4 7 3" xfId="22656" xr:uid="{00000000-0005-0000-0000-0000CB530000}"/>
    <cellStyle name="Currency 5 4 3 2 4 7 3 2" xfId="22657" xr:uid="{00000000-0005-0000-0000-0000CC530000}"/>
    <cellStyle name="Currency 5 4 3 2 4 7 4" xfId="22658" xr:uid="{00000000-0005-0000-0000-0000CD530000}"/>
    <cellStyle name="Currency 5 4 3 2 4 8" xfId="22659" xr:uid="{00000000-0005-0000-0000-0000CE530000}"/>
    <cellStyle name="Currency 5 4 3 2 4 8 2" xfId="22660" xr:uid="{00000000-0005-0000-0000-0000CF530000}"/>
    <cellStyle name="Currency 5 4 3 2 4 8 2 2" xfId="22661" xr:uid="{00000000-0005-0000-0000-0000D0530000}"/>
    <cellStyle name="Currency 5 4 3 2 4 8 3" xfId="22662" xr:uid="{00000000-0005-0000-0000-0000D1530000}"/>
    <cellStyle name="Currency 5 4 3 2 4 9" xfId="22663" xr:uid="{00000000-0005-0000-0000-0000D2530000}"/>
    <cellStyle name="Currency 5 4 3 2 4 9 2" xfId="22664" xr:uid="{00000000-0005-0000-0000-0000D3530000}"/>
    <cellStyle name="Currency 5 4 3 2 5" xfId="1355" xr:uid="{00000000-0005-0000-0000-0000D4530000}"/>
    <cellStyle name="Currency 5 4 3 2 5 2" xfId="22666" xr:uid="{00000000-0005-0000-0000-0000D5530000}"/>
    <cellStyle name="Currency 5 4 3 2 5 2 2" xfId="22667" xr:uid="{00000000-0005-0000-0000-0000D6530000}"/>
    <cellStyle name="Currency 5 4 3 2 5 2 2 2" xfId="22668" xr:uid="{00000000-0005-0000-0000-0000D7530000}"/>
    <cellStyle name="Currency 5 4 3 2 5 2 2 2 2" xfId="22669" xr:uid="{00000000-0005-0000-0000-0000D8530000}"/>
    <cellStyle name="Currency 5 4 3 2 5 2 2 3" xfId="22670" xr:uid="{00000000-0005-0000-0000-0000D9530000}"/>
    <cellStyle name="Currency 5 4 3 2 5 2 3" xfId="22671" xr:uid="{00000000-0005-0000-0000-0000DA530000}"/>
    <cellStyle name="Currency 5 4 3 2 5 2 3 2" xfId="22672" xr:uid="{00000000-0005-0000-0000-0000DB530000}"/>
    <cellStyle name="Currency 5 4 3 2 5 2 4" xfId="22673" xr:uid="{00000000-0005-0000-0000-0000DC530000}"/>
    <cellStyle name="Currency 5 4 3 2 5 3" xfId="22674" xr:uid="{00000000-0005-0000-0000-0000DD530000}"/>
    <cellStyle name="Currency 5 4 3 2 5 3 2" xfId="22675" xr:uid="{00000000-0005-0000-0000-0000DE530000}"/>
    <cellStyle name="Currency 5 4 3 2 5 3 2 2" xfId="22676" xr:uid="{00000000-0005-0000-0000-0000DF530000}"/>
    <cellStyle name="Currency 5 4 3 2 5 3 2 2 2" xfId="22677" xr:uid="{00000000-0005-0000-0000-0000E0530000}"/>
    <cellStyle name="Currency 5 4 3 2 5 3 2 3" xfId="22678" xr:uid="{00000000-0005-0000-0000-0000E1530000}"/>
    <cellStyle name="Currency 5 4 3 2 5 3 3" xfId="22679" xr:uid="{00000000-0005-0000-0000-0000E2530000}"/>
    <cellStyle name="Currency 5 4 3 2 5 3 3 2" xfId="22680" xr:uid="{00000000-0005-0000-0000-0000E3530000}"/>
    <cellStyle name="Currency 5 4 3 2 5 3 4" xfId="22681" xr:uid="{00000000-0005-0000-0000-0000E4530000}"/>
    <cellStyle name="Currency 5 4 3 2 5 4" xfId="22682" xr:uid="{00000000-0005-0000-0000-0000E5530000}"/>
    <cellStyle name="Currency 5 4 3 2 5 4 2" xfId="22683" xr:uid="{00000000-0005-0000-0000-0000E6530000}"/>
    <cellStyle name="Currency 5 4 3 2 5 4 2 2" xfId="22684" xr:uid="{00000000-0005-0000-0000-0000E7530000}"/>
    <cellStyle name="Currency 5 4 3 2 5 4 3" xfId="22685" xr:uid="{00000000-0005-0000-0000-0000E8530000}"/>
    <cellStyle name="Currency 5 4 3 2 5 5" xfId="22686" xr:uid="{00000000-0005-0000-0000-0000E9530000}"/>
    <cellStyle name="Currency 5 4 3 2 5 5 2" xfId="22687" xr:uid="{00000000-0005-0000-0000-0000EA530000}"/>
    <cellStyle name="Currency 5 4 3 2 5 6" xfId="22688" xr:uid="{00000000-0005-0000-0000-0000EB530000}"/>
    <cellStyle name="Currency 5 4 3 2 5 7" xfId="22665" xr:uid="{00000000-0005-0000-0000-0000EC530000}"/>
    <cellStyle name="Currency 5 4 3 2 6" xfId="22689" xr:uid="{00000000-0005-0000-0000-0000ED530000}"/>
    <cellStyle name="Currency 5 4 3 2 6 2" xfId="22690" xr:uid="{00000000-0005-0000-0000-0000EE530000}"/>
    <cellStyle name="Currency 5 4 3 2 6 2 2" xfId="22691" xr:uid="{00000000-0005-0000-0000-0000EF530000}"/>
    <cellStyle name="Currency 5 4 3 2 6 2 2 2" xfId="22692" xr:uid="{00000000-0005-0000-0000-0000F0530000}"/>
    <cellStyle name="Currency 5 4 3 2 6 2 2 2 2" xfId="22693" xr:uid="{00000000-0005-0000-0000-0000F1530000}"/>
    <cellStyle name="Currency 5 4 3 2 6 2 2 3" xfId="22694" xr:uid="{00000000-0005-0000-0000-0000F2530000}"/>
    <cellStyle name="Currency 5 4 3 2 6 2 3" xfId="22695" xr:uid="{00000000-0005-0000-0000-0000F3530000}"/>
    <cellStyle name="Currency 5 4 3 2 6 2 3 2" xfId="22696" xr:uid="{00000000-0005-0000-0000-0000F4530000}"/>
    <cellStyle name="Currency 5 4 3 2 6 2 4" xfId="22697" xr:uid="{00000000-0005-0000-0000-0000F5530000}"/>
    <cellStyle name="Currency 5 4 3 2 6 3" xfId="22698" xr:uid="{00000000-0005-0000-0000-0000F6530000}"/>
    <cellStyle name="Currency 5 4 3 2 6 3 2" xfId="22699" xr:uid="{00000000-0005-0000-0000-0000F7530000}"/>
    <cellStyle name="Currency 5 4 3 2 6 3 2 2" xfId="22700" xr:uid="{00000000-0005-0000-0000-0000F8530000}"/>
    <cellStyle name="Currency 5 4 3 2 6 3 3" xfId="22701" xr:uid="{00000000-0005-0000-0000-0000F9530000}"/>
    <cellStyle name="Currency 5 4 3 2 6 4" xfId="22702" xr:uid="{00000000-0005-0000-0000-0000FA530000}"/>
    <cellStyle name="Currency 5 4 3 2 6 4 2" xfId="22703" xr:uid="{00000000-0005-0000-0000-0000FB530000}"/>
    <cellStyle name="Currency 5 4 3 2 6 5" xfId="22704" xr:uid="{00000000-0005-0000-0000-0000FC530000}"/>
    <cellStyle name="Currency 5 4 3 2 7" xfId="22705" xr:uid="{00000000-0005-0000-0000-0000FD530000}"/>
    <cellStyle name="Currency 5 4 3 2 7 2" xfId="22706" xr:uid="{00000000-0005-0000-0000-0000FE530000}"/>
    <cellStyle name="Currency 5 4 3 2 7 2 2" xfId="22707" xr:uid="{00000000-0005-0000-0000-0000FF530000}"/>
    <cellStyle name="Currency 5 4 3 2 7 2 2 2" xfId="22708" xr:uid="{00000000-0005-0000-0000-000000540000}"/>
    <cellStyle name="Currency 5 4 3 2 7 2 2 2 2" xfId="22709" xr:uid="{00000000-0005-0000-0000-000001540000}"/>
    <cellStyle name="Currency 5 4 3 2 7 2 2 3" xfId="22710" xr:uid="{00000000-0005-0000-0000-000002540000}"/>
    <cellStyle name="Currency 5 4 3 2 7 2 3" xfId="22711" xr:uid="{00000000-0005-0000-0000-000003540000}"/>
    <cellStyle name="Currency 5 4 3 2 7 2 3 2" xfId="22712" xr:uid="{00000000-0005-0000-0000-000004540000}"/>
    <cellStyle name="Currency 5 4 3 2 7 2 4" xfId="22713" xr:uid="{00000000-0005-0000-0000-000005540000}"/>
    <cellStyle name="Currency 5 4 3 2 7 3" xfId="22714" xr:uid="{00000000-0005-0000-0000-000006540000}"/>
    <cellStyle name="Currency 5 4 3 2 7 3 2" xfId="22715" xr:uid="{00000000-0005-0000-0000-000007540000}"/>
    <cellStyle name="Currency 5 4 3 2 7 3 2 2" xfId="22716" xr:uid="{00000000-0005-0000-0000-000008540000}"/>
    <cellStyle name="Currency 5 4 3 2 7 3 3" xfId="22717" xr:uid="{00000000-0005-0000-0000-000009540000}"/>
    <cellStyle name="Currency 5 4 3 2 7 4" xfId="22718" xr:uid="{00000000-0005-0000-0000-00000A540000}"/>
    <cellStyle name="Currency 5 4 3 2 7 4 2" xfId="22719" xr:uid="{00000000-0005-0000-0000-00000B540000}"/>
    <cellStyle name="Currency 5 4 3 2 7 5" xfId="22720" xr:uid="{00000000-0005-0000-0000-00000C540000}"/>
    <cellStyle name="Currency 5 4 3 2 8" xfId="22721" xr:uid="{00000000-0005-0000-0000-00000D540000}"/>
    <cellStyle name="Currency 5 4 3 2 8 2" xfId="22722" xr:uid="{00000000-0005-0000-0000-00000E540000}"/>
    <cellStyle name="Currency 5 4 3 2 8 2 2" xfId="22723" xr:uid="{00000000-0005-0000-0000-00000F540000}"/>
    <cellStyle name="Currency 5 4 3 2 8 2 2 2" xfId="22724" xr:uid="{00000000-0005-0000-0000-000010540000}"/>
    <cellStyle name="Currency 5 4 3 2 8 2 3" xfId="22725" xr:uid="{00000000-0005-0000-0000-000011540000}"/>
    <cellStyle name="Currency 5 4 3 2 8 3" xfId="22726" xr:uid="{00000000-0005-0000-0000-000012540000}"/>
    <cellStyle name="Currency 5 4 3 2 8 3 2" xfId="22727" xr:uid="{00000000-0005-0000-0000-000013540000}"/>
    <cellStyle name="Currency 5 4 3 2 8 4" xfId="22728" xr:uid="{00000000-0005-0000-0000-000014540000}"/>
    <cellStyle name="Currency 5 4 3 2 9" xfId="22729" xr:uid="{00000000-0005-0000-0000-000015540000}"/>
    <cellStyle name="Currency 5 4 3 2 9 2" xfId="22730" xr:uid="{00000000-0005-0000-0000-000016540000}"/>
    <cellStyle name="Currency 5 4 3 2 9 2 2" xfId="22731" xr:uid="{00000000-0005-0000-0000-000017540000}"/>
    <cellStyle name="Currency 5 4 3 2 9 2 2 2" xfId="22732" xr:uid="{00000000-0005-0000-0000-000018540000}"/>
    <cellStyle name="Currency 5 4 3 2 9 2 3" xfId="22733" xr:uid="{00000000-0005-0000-0000-000019540000}"/>
    <cellStyle name="Currency 5 4 3 2 9 3" xfId="22734" xr:uid="{00000000-0005-0000-0000-00001A540000}"/>
    <cellStyle name="Currency 5 4 3 2 9 3 2" xfId="22735" xr:uid="{00000000-0005-0000-0000-00001B540000}"/>
    <cellStyle name="Currency 5 4 3 2 9 4" xfId="22736" xr:uid="{00000000-0005-0000-0000-00001C540000}"/>
    <cellStyle name="Currency 5 4 3 3" xfId="403" xr:uid="{00000000-0005-0000-0000-00001D540000}"/>
    <cellStyle name="Currency 5 4 3 3 10" xfId="22738" xr:uid="{00000000-0005-0000-0000-00001E540000}"/>
    <cellStyle name="Currency 5 4 3 3 10 2" xfId="22739" xr:uid="{00000000-0005-0000-0000-00001F540000}"/>
    <cellStyle name="Currency 5 4 3 3 10 2 2" xfId="22740" xr:uid="{00000000-0005-0000-0000-000020540000}"/>
    <cellStyle name="Currency 5 4 3 3 10 3" xfId="22741" xr:uid="{00000000-0005-0000-0000-000021540000}"/>
    <cellStyle name="Currency 5 4 3 3 11" xfId="22742" xr:uid="{00000000-0005-0000-0000-000022540000}"/>
    <cellStyle name="Currency 5 4 3 3 11 2" xfId="22743" xr:uid="{00000000-0005-0000-0000-000023540000}"/>
    <cellStyle name="Currency 5 4 3 3 11 2 2" xfId="22744" xr:uid="{00000000-0005-0000-0000-000024540000}"/>
    <cellStyle name="Currency 5 4 3 3 11 3" xfId="22745" xr:uid="{00000000-0005-0000-0000-000025540000}"/>
    <cellStyle name="Currency 5 4 3 3 12" xfId="22746" xr:uid="{00000000-0005-0000-0000-000026540000}"/>
    <cellStyle name="Currency 5 4 3 3 12 2" xfId="22747" xr:uid="{00000000-0005-0000-0000-000027540000}"/>
    <cellStyle name="Currency 5 4 3 3 13" xfId="22748" xr:uid="{00000000-0005-0000-0000-000028540000}"/>
    <cellStyle name="Currency 5 4 3 3 14" xfId="22749" xr:uid="{00000000-0005-0000-0000-000029540000}"/>
    <cellStyle name="Currency 5 4 3 3 15" xfId="22737" xr:uid="{00000000-0005-0000-0000-00002A540000}"/>
    <cellStyle name="Currency 5 4 3 3 2" xfId="941" xr:uid="{00000000-0005-0000-0000-00002B540000}"/>
    <cellStyle name="Currency 5 4 3 3 2 10" xfId="22751" xr:uid="{00000000-0005-0000-0000-00002C540000}"/>
    <cellStyle name="Currency 5 4 3 3 2 11" xfId="22750" xr:uid="{00000000-0005-0000-0000-00002D540000}"/>
    <cellStyle name="Currency 5 4 3 3 2 2" xfId="1682" xr:uid="{00000000-0005-0000-0000-00002E540000}"/>
    <cellStyle name="Currency 5 4 3 3 2 2 2" xfId="22753" xr:uid="{00000000-0005-0000-0000-00002F540000}"/>
    <cellStyle name="Currency 5 4 3 3 2 2 2 2" xfId="22754" xr:uid="{00000000-0005-0000-0000-000030540000}"/>
    <cellStyle name="Currency 5 4 3 3 2 2 2 2 2" xfId="22755" xr:uid="{00000000-0005-0000-0000-000031540000}"/>
    <cellStyle name="Currency 5 4 3 3 2 2 2 2 2 2" xfId="22756" xr:uid="{00000000-0005-0000-0000-000032540000}"/>
    <cellStyle name="Currency 5 4 3 3 2 2 2 2 3" xfId="22757" xr:uid="{00000000-0005-0000-0000-000033540000}"/>
    <cellStyle name="Currency 5 4 3 3 2 2 2 3" xfId="22758" xr:uid="{00000000-0005-0000-0000-000034540000}"/>
    <cellStyle name="Currency 5 4 3 3 2 2 2 3 2" xfId="22759" xr:uid="{00000000-0005-0000-0000-000035540000}"/>
    <cellStyle name="Currency 5 4 3 3 2 2 2 4" xfId="22760" xr:uid="{00000000-0005-0000-0000-000036540000}"/>
    <cellStyle name="Currency 5 4 3 3 2 2 3" xfId="22761" xr:uid="{00000000-0005-0000-0000-000037540000}"/>
    <cellStyle name="Currency 5 4 3 3 2 2 3 2" xfId="22762" xr:uid="{00000000-0005-0000-0000-000038540000}"/>
    <cellStyle name="Currency 5 4 3 3 2 2 3 2 2" xfId="22763" xr:uid="{00000000-0005-0000-0000-000039540000}"/>
    <cellStyle name="Currency 5 4 3 3 2 2 3 2 2 2" xfId="22764" xr:uid="{00000000-0005-0000-0000-00003A540000}"/>
    <cellStyle name="Currency 5 4 3 3 2 2 3 2 3" xfId="22765" xr:uid="{00000000-0005-0000-0000-00003B540000}"/>
    <cellStyle name="Currency 5 4 3 3 2 2 3 3" xfId="22766" xr:uid="{00000000-0005-0000-0000-00003C540000}"/>
    <cellStyle name="Currency 5 4 3 3 2 2 3 3 2" xfId="22767" xr:uid="{00000000-0005-0000-0000-00003D540000}"/>
    <cellStyle name="Currency 5 4 3 3 2 2 3 4" xfId="22768" xr:uid="{00000000-0005-0000-0000-00003E540000}"/>
    <cellStyle name="Currency 5 4 3 3 2 2 4" xfId="22769" xr:uid="{00000000-0005-0000-0000-00003F540000}"/>
    <cellStyle name="Currency 5 4 3 3 2 2 4 2" xfId="22770" xr:uid="{00000000-0005-0000-0000-000040540000}"/>
    <cellStyle name="Currency 5 4 3 3 2 2 4 2 2" xfId="22771" xr:uid="{00000000-0005-0000-0000-000041540000}"/>
    <cellStyle name="Currency 5 4 3 3 2 2 4 3" xfId="22772" xr:uid="{00000000-0005-0000-0000-000042540000}"/>
    <cellStyle name="Currency 5 4 3 3 2 2 5" xfId="22773" xr:uid="{00000000-0005-0000-0000-000043540000}"/>
    <cellStyle name="Currency 5 4 3 3 2 2 5 2" xfId="22774" xr:uid="{00000000-0005-0000-0000-000044540000}"/>
    <cellStyle name="Currency 5 4 3 3 2 2 6" xfId="22775" xr:uid="{00000000-0005-0000-0000-000045540000}"/>
    <cellStyle name="Currency 5 4 3 3 2 2 7" xfId="22752" xr:uid="{00000000-0005-0000-0000-000046540000}"/>
    <cellStyle name="Currency 5 4 3 3 2 3" xfId="22776" xr:uid="{00000000-0005-0000-0000-000047540000}"/>
    <cellStyle name="Currency 5 4 3 3 2 3 2" xfId="22777" xr:uid="{00000000-0005-0000-0000-000048540000}"/>
    <cellStyle name="Currency 5 4 3 3 2 3 2 2" xfId="22778" xr:uid="{00000000-0005-0000-0000-000049540000}"/>
    <cellStyle name="Currency 5 4 3 3 2 3 2 2 2" xfId="22779" xr:uid="{00000000-0005-0000-0000-00004A540000}"/>
    <cellStyle name="Currency 5 4 3 3 2 3 2 2 2 2" xfId="22780" xr:uid="{00000000-0005-0000-0000-00004B540000}"/>
    <cellStyle name="Currency 5 4 3 3 2 3 2 2 3" xfId="22781" xr:uid="{00000000-0005-0000-0000-00004C540000}"/>
    <cellStyle name="Currency 5 4 3 3 2 3 2 3" xfId="22782" xr:uid="{00000000-0005-0000-0000-00004D540000}"/>
    <cellStyle name="Currency 5 4 3 3 2 3 2 3 2" xfId="22783" xr:uid="{00000000-0005-0000-0000-00004E540000}"/>
    <cellStyle name="Currency 5 4 3 3 2 3 2 4" xfId="22784" xr:uid="{00000000-0005-0000-0000-00004F540000}"/>
    <cellStyle name="Currency 5 4 3 3 2 3 3" xfId="22785" xr:uid="{00000000-0005-0000-0000-000050540000}"/>
    <cellStyle name="Currency 5 4 3 3 2 3 3 2" xfId="22786" xr:uid="{00000000-0005-0000-0000-000051540000}"/>
    <cellStyle name="Currency 5 4 3 3 2 3 3 2 2" xfId="22787" xr:uid="{00000000-0005-0000-0000-000052540000}"/>
    <cellStyle name="Currency 5 4 3 3 2 3 3 3" xfId="22788" xr:uid="{00000000-0005-0000-0000-000053540000}"/>
    <cellStyle name="Currency 5 4 3 3 2 3 4" xfId="22789" xr:uid="{00000000-0005-0000-0000-000054540000}"/>
    <cellStyle name="Currency 5 4 3 3 2 3 4 2" xfId="22790" xr:uid="{00000000-0005-0000-0000-000055540000}"/>
    <cellStyle name="Currency 5 4 3 3 2 3 5" xfId="22791" xr:uid="{00000000-0005-0000-0000-000056540000}"/>
    <cellStyle name="Currency 5 4 3 3 2 4" xfId="22792" xr:uid="{00000000-0005-0000-0000-000057540000}"/>
    <cellStyle name="Currency 5 4 3 3 2 4 2" xfId="22793" xr:uid="{00000000-0005-0000-0000-000058540000}"/>
    <cellStyle name="Currency 5 4 3 3 2 4 2 2" xfId="22794" xr:uid="{00000000-0005-0000-0000-000059540000}"/>
    <cellStyle name="Currency 5 4 3 3 2 4 2 2 2" xfId="22795" xr:uid="{00000000-0005-0000-0000-00005A540000}"/>
    <cellStyle name="Currency 5 4 3 3 2 4 2 2 2 2" xfId="22796" xr:uid="{00000000-0005-0000-0000-00005B540000}"/>
    <cellStyle name="Currency 5 4 3 3 2 4 2 2 3" xfId="22797" xr:uid="{00000000-0005-0000-0000-00005C540000}"/>
    <cellStyle name="Currency 5 4 3 3 2 4 2 3" xfId="22798" xr:uid="{00000000-0005-0000-0000-00005D540000}"/>
    <cellStyle name="Currency 5 4 3 3 2 4 2 3 2" xfId="22799" xr:uid="{00000000-0005-0000-0000-00005E540000}"/>
    <cellStyle name="Currency 5 4 3 3 2 4 2 4" xfId="22800" xr:uid="{00000000-0005-0000-0000-00005F540000}"/>
    <cellStyle name="Currency 5 4 3 3 2 4 3" xfId="22801" xr:uid="{00000000-0005-0000-0000-000060540000}"/>
    <cellStyle name="Currency 5 4 3 3 2 4 3 2" xfId="22802" xr:uid="{00000000-0005-0000-0000-000061540000}"/>
    <cellStyle name="Currency 5 4 3 3 2 4 3 2 2" xfId="22803" xr:uid="{00000000-0005-0000-0000-000062540000}"/>
    <cellStyle name="Currency 5 4 3 3 2 4 3 3" xfId="22804" xr:uid="{00000000-0005-0000-0000-000063540000}"/>
    <cellStyle name="Currency 5 4 3 3 2 4 4" xfId="22805" xr:uid="{00000000-0005-0000-0000-000064540000}"/>
    <cellStyle name="Currency 5 4 3 3 2 4 4 2" xfId="22806" xr:uid="{00000000-0005-0000-0000-000065540000}"/>
    <cellStyle name="Currency 5 4 3 3 2 4 5" xfId="22807" xr:uid="{00000000-0005-0000-0000-000066540000}"/>
    <cellStyle name="Currency 5 4 3 3 2 5" xfId="22808" xr:uid="{00000000-0005-0000-0000-000067540000}"/>
    <cellStyle name="Currency 5 4 3 3 2 5 2" xfId="22809" xr:uid="{00000000-0005-0000-0000-000068540000}"/>
    <cellStyle name="Currency 5 4 3 3 2 5 2 2" xfId="22810" xr:uid="{00000000-0005-0000-0000-000069540000}"/>
    <cellStyle name="Currency 5 4 3 3 2 5 2 2 2" xfId="22811" xr:uid="{00000000-0005-0000-0000-00006A540000}"/>
    <cellStyle name="Currency 5 4 3 3 2 5 2 3" xfId="22812" xr:uid="{00000000-0005-0000-0000-00006B540000}"/>
    <cellStyle name="Currency 5 4 3 3 2 5 3" xfId="22813" xr:uid="{00000000-0005-0000-0000-00006C540000}"/>
    <cellStyle name="Currency 5 4 3 3 2 5 3 2" xfId="22814" xr:uid="{00000000-0005-0000-0000-00006D540000}"/>
    <cellStyle name="Currency 5 4 3 3 2 5 4" xfId="22815" xr:uid="{00000000-0005-0000-0000-00006E540000}"/>
    <cellStyle name="Currency 5 4 3 3 2 6" xfId="22816" xr:uid="{00000000-0005-0000-0000-00006F540000}"/>
    <cellStyle name="Currency 5 4 3 3 2 6 2" xfId="22817" xr:uid="{00000000-0005-0000-0000-000070540000}"/>
    <cellStyle name="Currency 5 4 3 3 2 6 2 2" xfId="22818" xr:uid="{00000000-0005-0000-0000-000071540000}"/>
    <cellStyle name="Currency 5 4 3 3 2 6 2 2 2" xfId="22819" xr:uid="{00000000-0005-0000-0000-000072540000}"/>
    <cellStyle name="Currency 5 4 3 3 2 6 2 3" xfId="22820" xr:uid="{00000000-0005-0000-0000-000073540000}"/>
    <cellStyle name="Currency 5 4 3 3 2 6 3" xfId="22821" xr:uid="{00000000-0005-0000-0000-000074540000}"/>
    <cellStyle name="Currency 5 4 3 3 2 6 3 2" xfId="22822" xr:uid="{00000000-0005-0000-0000-000075540000}"/>
    <cellStyle name="Currency 5 4 3 3 2 6 4" xfId="22823" xr:uid="{00000000-0005-0000-0000-000076540000}"/>
    <cellStyle name="Currency 5 4 3 3 2 7" xfId="22824" xr:uid="{00000000-0005-0000-0000-000077540000}"/>
    <cellStyle name="Currency 5 4 3 3 2 7 2" xfId="22825" xr:uid="{00000000-0005-0000-0000-000078540000}"/>
    <cellStyle name="Currency 5 4 3 3 2 7 2 2" xfId="22826" xr:uid="{00000000-0005-0000-0000-000079540000}"/>
    <cellStyle name="Currency 5 4 3 3 2 7 2 2 2" xfId="22827" xr:uid="{00000000-0005-0000-0000-00007A540000}"/>
    <cellStyle name="Currency 5 4 3 3 2 7 2 3" xfId="22828" xr:uid="{00000000-0005-0000-0000-00007B540000}"/>
    <cellStyle name="Currency 5 4 3 3 2 7 3" xfId="22829" xr:uid="{00000000-0005-0000-0000-00007C540000}"/>
    <cellStyle name="Currency 5 4 3 3 2 7 3 2" xfId="22830" xr:uid="{00000000-0005-0000-0000-00007D540000}"/>
    <cellStyle name="Currency 5 4 3 3 2 7 4" xfId="22831" xr:uid="{00000000-0005-0000-0000-00007E540000}"/>
    <cellStyle name="Currency 5 4 3 3 2 8" xfId="22832" xr:uid="{00000000-0005-0000-0000-00007F540000}"/>
    <cellStyle name="Currency 5 4 3 3 2 8 2" xfId="22833" xr:uid="{00000000-0005-0000-0000-000080540000}"/>
    <cellStyle name="Currency 5 4 3 3 2 8 2 2" xfId="22834" xr:uid="{00000000-0005-0000-0000-000081540000}"/>
    <cellStyle name="Currency 5 4 3 3 2 8 3" xfId="22835" xr:uid="{00000000-0005-0000-0000-000082540000}"/>
    <cellStyle name="Currency 5 4 3 3 2 9" xfId="22836" xr:uid="{00000000-0005-0000-0000-000083540000}"/>
    <cellStyle name="Currency 5 4 3 3 2 9 2" xfId="22837" xr:uid="{00000000-0005-0000-0000-000084540000}"/>
    <cellStyle name="Currency 5 4 3 3 3" xfId="1357" xr:uid="{00000000-0005-0000-0000-000085540000}"/>
    <cellStyle name="Currency 5 4 3 3 3 2" xfId="22839" xr:uid="{00000000-0005-0000-0000-000086540000}"/>
    <cellStyle name="Currency 5 4 3 3 3 2 2" xfId="22840" xr:uid="{00000000-0005-0000-0000-000087540000}"/>
    <cellStyle name="Currency 5 4 3 3 3 2 2 2" xfId="22841" xr:uid="{00000000-0005-0000-0000-000088540000}"/>
    <cellStyle name="Currency 5 4 3 3 3 2 2 2 2" xfId="22842" xr:uid="{00000000-0005-0000-0000-000089540000}"/>
    <cellStyle name="Currency 5 4 3 3 3 2 2 3" xfId="22843" xr:uid="{00000000-0005-0000-0000-00008A540000}"/>
    <cellStyle name="Currency 5 4 3 3 3 2 3" xfId="22844" xr:uid="{00000000-0005-0000-0000-00008B540000}"/>
    <cellStyle name="Currency 5 4 3 3 3 2 3 2" xfId="22845" xr:uid="{00000000-0005-0000-0000-00008C540000}"/>
    <cellStyle name="Currency 5 4 3 3 3 2 4" xfId="22846" xr:uid="{00000000-0005-0000-0000-00008D540000}"/>
    <cellStyle name="Currency 5 4 3 3 3 3" xfId="22847" xr:uid="{00000000-0005-0000-0000-00008E540000}"/>
    <cellStyle name="Currency 5 4 3 3 3 3 2" xfId="22848" xr:uid="{00000000-0005-0000-0000-00008F540000}"/>
    <cellStyle name="Currency 5 4 3 3 3 3 2 2" xfId="22849" xr:uid="{00000000-0005-0000-0000-000090540000}"/>
    <cellStyle name="Currency 5 4 3 3 3 3 2 2 2" xfId="22850" xr:uid="{00000000-0005-0000-0000-000091540000}"/>
    <cellStyle name="Currency 5 4 3 3 3 3 2 3" xfId="22851" xr:uid="{00000000-0005-0000-0000-000092540000}"/>
    <cellStyle name="Currency 5 4 3 3 3 3 3" xfId="22852" xr:uid="{00000000-0005-0000-0000-000093540000}"/>
    <cellStyle name="Currency 5 4 3 3 3 3 3 2" xfId="22853" xr:uid="{00000000-0005-0000-0000-000094540000}"/>
    <cellStyle name="Currency 5 4 3 3 3 3 4" xfId="22854" xr:uid="{00000000-0005-0000-0000-000095540000}"/>
    <cellStyle name="Currency 5 4 3 3 3 4" xfId="22855" xr:uid="{00000000-0005-0000-0000-000096540000}"/>
    <cellStyle name="Currency 5 4 3 3 3 4 2" xfId="22856" xr:uid="{00000000-0005-0000-0000-000097540000}"/>
    <cellStyle name="Currency 5 4 3 3 3 4 2 2" xfId="22857" xr:uid="{00000000-0005-0000-0000-000098540000}"/>
    <cellStyle name="Currency 5 4 3 3 3 4 3" xfId="22858" xr:uid="{00000000-0005-0000-0000-000099540000}"/>
    <cellStyle name="Currency 5 4 3 3 3 5" xfId="22859" xr:uid="{00000000-0005-0000-0000-00009A540000}"/>
    <cellStyle name="Currency 5 4 3 3 3 5 2" xfId="22860" xr:uid="{00000000-0005-0000-0000-00009B540000}"/>
    <cellStyle name="Currency 5 4 3 3 3 6" xfId="22861" xr:uid="{00000000-0005-0000-0000-00009C540000}"/>
    <cellStyle name="Currency 5 4 3 3 3 7" xfId="22838" xr:uid="{00000000-0005-0000-0000-00009D540000}"/>
    <cellStyle name="Currency 5 4 3 3 4" xfId="22862" xr:uid="{00000000-0005-0000-0000-00009E540000}"/>
    <cellStyle name="Currency 5 4 3 3 4 2" xfId="22863" xr:uid="{00000000-0005-0000-0000-00009F540000}"/>
    <cellStyle name="Currency 5 4 3 3 4 2 2" xfId="22864" xr:uid="{00000000-0005-0000-0000-0000A0540000}"/>
    <cellStyle name="Currency 5 4 3 3 4 2 2 2" xfId="22865" xr:uid="{00000000-0005-0000-0000-0000A1540000}"/>
    <cellStyle name="Currency 5 4 3 3 4 2 2 2 2" xfId="22866" xr:uid="{00000000-0005-0000-0000-0000A2540000}"/>
    <cellStyle name="Currency 5 4 3 3 4 2 2 3" xfId="22867" xr:uid="{00000000-0005-0000-0000-0000A3540000}"/>
    <cellStyle name="Currency 5 4 3 3 4 2 3" xfId="22868" xr:uid="{00000000-0005-0000-0000-0000A4540000}"/>
    <cellStyle name="Currency 5 4 3 3 4 2 3 2" xfId="22869" xr:uid="{00000000-0005-0000-0000-0000A5540000}"/>
    <cellStyle name="Currency 5 4 3 3 4 2 4" xfId="22870" xr:uid="{00000000-0005-0000-0000-0000A6540000}"/>
    <cellStyle name="Currency 5 4 3 3 4 3" xfId="22871" xr:uid="{00000000-0005-0000-0000-0000A7540000}"/>
    <cellStyle name="Currency 5 4 3 3 4 3 2" xfId="22872" xr:uid="{00000000-0005-0000-0000-0000A8540000}"/>
    <cellStyle name="Currency 5 4 3 3 4 3 2 2" xfId="22873" xr:uid="{00000000-0005-0000-0000-0000A9540000}"/>
    <cellStyle name="Currency 5 4 3 3 4 3 3" xfId="22874" xr:uid="{00000000-0005-0000-0000-0000AA540000}"/>
    <cellStyle name="Currency 5 4 3 3 4 4" xfId="22875" xr:uid="{00000000-0005-0000-0000-0000AB540000}"/>
    <cellStyle name="Currency 5 4 3 3 4 4 2" xfId="22876" xr:uid="{00000000-0005-0000-0000-0000AC540000}"/>
    <cellStyle name="Currency 5 4 3 3 4 5" xfId="22877" xr:uid="{00000000-0005-0000-0000-0000AD540000}"/>
    <cellStyle name="Currency 5 4 3 3 5" xfId="22878" xr:uid="{00000000-0005-0000-0000-0000AE540000}"/>
    <cellStyle name="Currency 5 4 3 3 5 2" xfId="22879" xr:uid="{00000000-0005-0000-0000-0000AF540000}"/>
    <cellStyle name="Currency 5 4 3 3 5 2 2" xfId="22880" xr:uid="{00000000-0005-0000-0000-0000B0540000}"/>
    <cellStyle name="Currency 5 4 3 3 5 2 2 2" xfId="22881" xr:uid="{00000000-0005-0000-0000-0000B1540000}"/>
    <cellStyle name="Currency 5 4 3 3 5 2 2 2 2" xfId="22882" xr:uid="{00000000-0005-0000-0000-0000B2540000}"/>
    <cellStyle name="Currency 5 4 3 3 5 2 2 3" xfId="22883" xr:uid="{00000000-0005-0000-0000-0000B3540000}"/>
    <cellStyle name="Currency 5 4 3 3 5 2 3" xfId="22884" xr:uid="{00000000-0005-0000-0000-0000B4540000}"/>
    <cellStyle name="Currency 5 4 3 3 5 2 3 2" xfId="22885" xr:uid="{00000000-0005-0000-0000-0000B5540000}"/>
    <cellStyle name="Currency 5 4 3 3 5 2 4" xfId="22886" xr:uid="{00000000-0005-0000-0000-0000B6540000}"/>
    <cellStyle name="Currency 5 4 3 3 5 3" xfId="22887" xr:uid="{00000000-0005-0000-0000-0000B7540000}"/>
    <cellStyle name="Currency 5 4 3 3 5 3 2" xfId="22888" xr:uid="{00000000-0005-0000-0000-0000B8540000}"/>
    <cellStyle name="Currency 5 4 3 3 5 3 2 2" xfId="22889" xr:uid="{00000000-0005-0000-0000-0000B9540000}"/>
    <cellStyle name="Currency 5 4 3 3 5 3 3" xfId="22890" xr:uid="{00000000-0005-0000-0000-0000BA540000}"/>
    <cellStyle name="Currency 5 4 3 3 5 4" xfId="22891" xr:uid="{00000000-0005-0000-0000-0000BB540000}"/>
    <cellStyle name="Currency 5 4 3 3 5 4 2" xfId="22892" xr:uid="{00000000-0005-0000-0000-0000BC540000}"/>
    <cellStyle name="Currency 5 4 3 3 5 5" xfId="22893" xr:uid="{00000000-0005-0000-0000-0000BD540000}"/>
    <cellStyle name="Currency 5 4 3 3 6" xfId="22894" xr:uid="{00000000-0005-0000-0000-0000BE540000}"/>
    <cellStyle name="Currency 5 4 3 3 6 2" xfId="22895" xr:uid="{00000000-0005-0000-0000-0000BF540000}"/>
    <cellStyle name="Currency 5 4 3 3 6 2 2" xfId="22896" xr:uid="{00000000-0005-0000-0000-0000C0540000}"/>
    <cellStyle name="Currency 5 4 3 3 6 2 2 2" xfId="22897" xr:uid="{00000000-0005-0000-0000-0000C1540000}"/>
    <cellStyle name="Currency 5 4 3 3 6 2 3" xfId="22898" xr:uid="{00000000-0005-0000-0000-0000C2540000}"/>
    <cellStyle name="Currency 5 4 3 3 6 3" xfId="22899" xr:uid="{00000000-0005-0000-0000-0000C3540000}"/>
    <cellStyle name="Currency 5 4 3 3 6 3 2" xfId="22900" xr:uid="{00000000-0005-0000-0000-0000C4540000}"/>
    <cellStyle name="Currency 5 4 3 3 6 4" xfId="22901" xr:uid="{00000000-0005-0000-0000-0000C5540000}"/>
    <cellStyle name="Currency 5 4 3 3 7" xfId="22902" xr:uid="{00000000-0005-0000-0000-0000C6540000}"/>
    <cellStyle name="Currency 5 4 3 3 7 2" xfId="22903" xr:uid="{00000000-0005-0000-0000-0000C7540000}"/>
    <cellStyle name="Currency 5 4 3 3 7 2 2" xfId="22904" xr:uid="{00000000-0005-0000-0000-0000C8540000}"/>
    <cellStyle name="Currency 5 4 3 3 7 2 2 2" xfId="22905" xr:uid="{00000000-0005-0000-0000-0000C9540000}"/>
    <cellStyle name="Currency 5 4 3 3 7 2 3" xfId="22906" xr:uid="{00000000-0005-0000-0000-0000CA540000}"/>
    <cellStyle name="Currency 5 4 3 3 7 3" xfId="22907" xr:uid="{00000000-0005-0000-0000-0000CB540000}"/>
    <cellStyle name="Currency 5 4 3 3 7 3 2" xfId="22908" xr:uid="{00000000-0005-0000-0000-0000CC540000}"/>
    <cellStyle name="Currency 5 4 3 3 7 4" xfId="22909" xr:uid="{00000000-0005-0000-0000-0000CD540000}"/>
    <cellStyle name="Currency 5 4 3 3 8" xfId="22910" xr:uid="{00000000-0005-0000-0000-0000CE540000}"/>
    <cellStyle name="Currency 5 4 3 3 8 2" xfId="22911" xr:uid="{00000000-0005-0000-0000-0000CF540000}"/>
    <cellStyle name="Currency 5 4 3 3 8 2 2" xfId="22912" xr:uid="{00000000-0005-0000-0000-0000D0540000}"/>
    <cellStyle name="Currency 5 4 3 3 8 2 2 2" xfId="22913" xr:uid="{00000000-0005-0000-0000-0000D1540000}"/>
    <cellStyle name="Currency 5 4 3 3 8 2 3" xfId="22914" xr:uid="{00000000-0005-0000-0000-0000D2540000}"/>
    <cellStyle name="Currency 5 4 3 3 8 3" xfId="22915" xr:uid="{00000000-0005-0000-0000-0000D3540000}"/>
    <cellStyle name="Currency 5 4 3 3 8 3 2" xfId="22916" xr:uid="{00000000-0005-0000-0000-0000D4540000}"/>
    <cellStyle name="Currency 5 4 3 3 8 4" xfId="22917" xr:uid="{00000000-0005-0000-0000-0000D5540000}"/>
    <cellStyle name="Currency 5 4 3 3 9" xfId="22918" xr:uid="{00000000-0005-0000-0000-0000D6540000}"/>
    <cellStyle name="Currency 5 4 3 3 9 2" xfId="22919" xr:uid="{00000000-0005-0000-0000-0000D7540000}"/>
    <cellStyle name="Currency 5 4 3 3 9 2 2" xfId="22920" xr:uid="{00000000-0005-0000-0000-0000D8540000}"/>
    <cellStyle name="Currency 5 4 3 3 9 3" xfId="22921" xr:uid="{00000000-0005-0000-0000-0000D9540000}"/>
    <cellStyle name="Currency 5 4 3 4" xfId="404" xr:uid="{00000000-0005-0000-0000-0000DA540000}"/>
    <cellStyle name="Currency 5 4 3 5" xfId="938" xr:uid="{00000000-0005-0000-0000-0000DB540000}"/>
    <cellStyle name="Currency 5 4 3 5 10" xfId="22923" xr:uid="{00000000-0005-0000-0000-0000DC540000}"/>
    <cellStyle name="Currency 5 4 3 5 11" xfId="22922" xr:uid="{00000000-0005-0000-0000-0000DD540000}"/>
    <cellStyle name="Currency 5 4 3 5 2" xfId="1679" xr:uid="{00000000-0005-0000-0000-0000DE540000}"/>
    <cellStyle name="Currency 5 4 3 5 2 2" xfId="22925" xr:uid="{00000000-0005-0000-0000-0000DF540000}"/>
    <cellStyle name="Currency 5 4 3 5 2 2 2" xfId="22926" xr:uid="{00000000-0005-0000-0000-0000E0540000}"/>
    <cellStyle name="Currency 5 4 3 5 2 2 2 2" xfId="22927" xr:uid="{00000000-0005-0000-0000-0000E1540000}"/>
    <cellStyle name="Currency 5 4 3 5 2 2 2 2 2" xfId="22928" xr:uid="{00000000-0005-0000-0000-0000E2540000}"/>
    <cellStyle name="Currency 5 4 3 5 2 2 2 3" xfId="22929" xr:uid="{00000000-0005-0000-0000-0000E3540000}"/>
    <cellStyle name="Currency 5 4 3 5 2 2 3" xfId="22930" xr:uid="{00000000-0005-0000-0000-0000E4540000}"/>
    <cellStyle name="Currency 5 4 3 5 2 2 3 2" xfId="22931" xr:uid="{00000000-0005-0000-0000-0000E5540000}"/>
    <cellStyle name="Currency 5 4 3 5 2 2 4" xfId="22932" xr:uid="{00000000-0005-0000-0000-0000E6540000}"/>
    <cellStyle name="Currency 5 4 3 5 2 3" xfId="22933" xr:uid="{00000000-0005-0000-0000-0000E7540000}"/>
    <cellStyle name="Currency 5 4 3 5 2 3 2" xfId="22934" xr:uid="{00000000-0005-0000-0000-0000E8540000}"/>
    <cellStyle name="Currency 5 4 3 5 2 3 2 2" xfId="22935" xr:uid="{00000000-0005-0000-0000-0000E9540000}"/>
    <cellStyle name="Currency 5 4 3 5 2 3 2 2 2" xfId="22936" xr:uid="{00000000-0005-0000-0000-0000EA540000}"/>
    <cellStyle name="Currency 5 4 3 5 2 3 2 3" xfId="22937" xr:uid="{00000000-0005-0000-0000-0000EB540000}"/>
    <cellStyle name="Currency 5 4 3 5 2 3 3" xfId="22938" xr:uid="{00000000-0005-0000-0000-0000EC540000}"/>
    <cellStyle name="Currency 5 4 3 5 2 3 3 2" xfId="22939" xr:uid="{00000000-0005-0000-0000-0000ED540000}"/>
    <cellStyle name="Currency 5 4 3 5 2 3 4" xfId="22940" xr:uid="{00000000-0005-0000-0000-0000EE540000}"/>
    <cellStyle name="Currency 5 4 3 5 2 4" xfId="22941" xr:uid="{00000000-0005-0000-0000-0000EF540000}"/>
    <cellStyle name="Currency 5 4 3 5 2 4 2" xfId="22942" xr:uid="{00000000-0005-0000-0000-0000F0540000}"/>
    <cellStyle name="Currency 5 4 3 5 2 4 2 2" xfId="22943" xr:uid="{00000000-0005-0000-0000-0000F1540000}"/>
    <cellStyle name="Currency 5 4 3 5 2 4 3" xfId="22944" xr:uid="{00000000-0005-0000-0000-0000F2540000}"/>
    <cellStyle name="Currency 5 4 3 5 2 5" xfId="22945" xr:uid="{00000000-0005-0000-0000-0000F3540000}"/>
    <cellStyle name="Currency 5 4 3 5 2 5 2" xfId="22946" xr:uid="{00000000-0005-0000-0000-0000F4540000}"/>
    <cellStyle name="Currency 5 4 3 5 2 6" xfId="22947" xr:uid="{00000000-0005-0000-0000-0000F5540000}"/>
    <cellStyle name="Currency 5 4 3 5 2 7" xfId="22924" xr:uid="{00000000-0005-0000-0000-0000F6540000}"/>
    <cellStyle name="Currency 5 4 3 5 3" xfId="22948" xr:uid="{00000000-0005-0000-0000-0000F7540000}"/>
    <cellStyle name="Currency 5 4 3 5 3 2" xfId="22949" xr:uid="{00000000-0005-0000-0000-0000F8540000}"/>
    <cellStyle name="Currency 5 4 3 5 3 2 2" xfId="22950" xr:uid="{00000000-0005-0000-0000-0000F9540000}"/>
    <cellStyle name="Currency 5 4 3 5 3 2 2 2" xfId="22951" xr:uid="{00000000-0005-0000-0000-0000FA540000}"/>
    <cellStyle name="Currency 5 4 3 5 3 2 2 2 2" xfId="22952" xr:uid="{00000000-0005-0000-0000-0000FB540000}"/>
    <cellStyle name="Currency 5 4 3 5 3 2 2 3" xfId="22953" xr:uid="{00000000-0005-0000-0000-0000FC540000}"/>
    <cellStyle name="Currency 5 4 3 5 3 2 3" xfId="22954" xr:uid="{00000000-0005-0000-0000-0000FD540000}"/>
    <cellStyle name="Currency 5 4 3 5 3 2 3 2" xfId="22955" xr:uid="{00000000-0005-0000-0000-0000FE540000}"/>
    <cellStyle name="Currency 5 4 3 5 3 2 4" xfId="22956" xr:uid="{00000000-0005-0000-0000-0000FF540000}"/>
    <cellStyle name="Currency 5 4 3 5 3 3" xfId="22957" xr:uid="{00000000-0005-0000-0000-000000550000}"/>
    <cellStyle name="Currency 5 4 3 5 3 3 2" xfId="22958" xr:uid="{00000000-0005-0000-0000-000001550000}"/>
    <cellStyle name="Currency 5 4 3 5 3 3 2 2" xfId="22959" xr:uid="{00000000-0005-0000-0000-000002550000}"/>
    <cellStyle name="Currency 5 4 3 5 3 3 3" xfId="22960" xr:uid="{00000000-0005-0000-0000-000003550000}"/>
    <cellStyle name="Currency 5 4 3 5 3 4" xfId="22961" xr:uid="{00000000-0005-0000-0000-000004550000}"/>
    <cellStyle name="Currency 5 4 3 5 3 4 2" xfId="22962" xr:uid="{00000000-0005-0000-0000-000005550000}"/>
    <cellStyle name="Currency 5 4 3 5 3 5" xfId="22963" xr:uid="{00000000-0005-0000-0000-000006550000}"/>
    <cellStyle name="Currency 5 4 3 5 4" xfId="22964" xr:uid="{00000000-0005-0000-0000-000007550000}"/>
    <cellStyle name="Currency 5 4 3 5 4 2" xfId="22965" xr:uid="{00000000-0005-0000-0000-000008550000}"/>
    <cellStyle name="Currency 5 4 3 5 4 2 2" xfId="22966" xr:uid="{00000000-0005-0000-0000-000009550000}"/>
    <cellStyle name="Currency 5 4 3 5 4 2 2 2" xfId="22967" xr:uid="{00000000-0005-0000-0000-00000A550000}"/>
    <cellStyle name="Currency 5 4 3 5 4 2 2 2 2" xfId="22968" xr:uid="{00000000-0005-0000-0000-00000B550000}"/>
    <cellStyle name="Currency 5 4 3 5 4 2 2 3" xfId="22969" xr:uid="{00000000-0005-0000-0000-00000C550000}"/>
    <cellStyle name="Currency 5 4 3 5 4 2 3" xfId="22970" xr:uid="{00000000-0005-0000-0000-00000D550000}"/>
    <cellStyle name="Currency 5 4 3 5 4 2 3 2" xfId="22971" xr:uid="{00000000-0005-0000-0000-00000E550000}"/>
    <cellStyle name="Currency 5 4 3 5 4 2 4" xfId="22972" xr:uid="{00000000-0005-0000-0000-00000F550000}"/>
    <cellStyle name="Currency 5 4 3 5 4 3" xfId="22973" xr:uid="{00000000-0005-0000-0000-000010550000}"/>
    <cellStyle name="Currency 5 4 3 5 4 3 2" xfId="22974" xr:uid="{00000000-0005-0000-0000-000011550000}"/>
    <cellStyle name="Currency 5 4 3 5 4 3 2 2" xfId="22975" xr:uid="{00000000-0005-0000-0000-000012550000}"/>
    <cellStyle name="Currency 5 4 3 5 4 3 3" xfId="22976" xr:uid="{00000000-0005-0000-0000-000013550000}"/>
    <cellStyle name="Currency 5 4 3 5 4 4" xfId="22977" xr:uid="{00000000-0005-0000-0000-000014550000}"/>
    <cellStyle name="Currency 5 4 3 5 4 4 2" xfId="22978" xr:uid="{00000000-0005-0000-0000-000015550000}"/>
    <cellStyle name="Currency 5 4 3 5 4 5" xfId="22979" xr:uid="{00000000-0005-0000-0000-000016550000}"/>
    <cellStyle name="Currency 5 4 3 5 5" xfId="22980" xr:uid="{00000000-0005-0000-0000-000017550000}"/>
    <cellStyle name="Currency 5 4 3 5 5 2" xfId="22981" xr:uid="{00000000-0005-0000-0000-000018550000}"/>
    <cellStyle name="Currency 5 4 3 5 5 2 2" xfId="22982" xr:uid="{00000000-0005-0000-0000-000019550000}"/>
    <cellStyle name="Currency 5 4 3 5 5 2 2 2" xfId="22983" xr:uid="{00000000-0005-0000-0000-00001A550000}"/>
    <cellStyle name="Currency 5 4 3 5 5 2 3" xfId="22984" xr:uid="{00000000-0005-0000-0000-00001B550000}"/>
    <cellStyle name="Currency 5 4 3 5 5 3" xfId="22985" xr:uid="{00000000-0005-0000-0000-00001C550000}"/>
    <cellStyle name="Currency 5 4 3 5 5 3 2" xfId="22986" xr:uid="{00000000-0005-0000-0000-00001D550000}"/>
    <cellStyle name="Currency 5 4 3 5 5 4" xfId="22987" xr:uid="{00000000-0005-0000-0000-00001E550000}"/>
    <cellStyle name="Currency 5 4 3 5 6" xfId="22988" xr:uid="{00000000-0005-0000-0000-00001F550000}"/>
    <cellStyle name="Currency 5 4 3 5 6 2" xfId="22989" xr:uid="{00000000-0005-0000-0000-000020550000}"/>
    <cellStyle name="Currency 5 4 3 5 6 2 2" xfId="22990" xr:uid="{00000000-0005-0000-0000-000021550000}"/>
    <cellStyle name="Currency 5 4 3 5 6 2 2 2" xfId="22991" xr:uid="{00000000-0005-0000-0000-000022550000}"/>
    <cellStyle name="Currency 5 4 3 5 6 2 3" xfId="22992" xr:uid="{00000000-0005-0000-0000-000023550000}"/>
    <cellStyle name="Currency 5 4 3 5 6 3" xfId="22993" xr:uid="{00000000-0005-0000-0000-000024550000}"/>
    <cellStyle name="Currency 5 4 3 5 6 3 2" xfId="22994" xr:uid="{00000000-0005-0000-0000-000025550000}"/>
    <cellStyle name="Currency 5 4 3 5 6 4" xfId="22995" xr:uid="{00000000-0005-0000-0000-000026550000}"/>
    <cellStyle name="Currency 5 4 3 5 7" xfId="22996" xr:uid="{00000000-0005-0000-0000-000027550000}"/>
    <cellStyle name="Currency 5 4 3 5 7 2" xfId="22997" xr:uid="{00000000-0005-0000-0000-000028550000}"/>
    <cellStyle name="Currency 5 4 3 5 7 2 2" xfId="22998" xr:uid="{00000000-0005-0000-0000-000029550000}"/>
    <cellStyle name="Currency 5 4 3 5 7 2 2 2" xfId="22999" xr:uid="{00000000-0005-0000-0000-00002A550000}"/>
    <cellStyle name="Currency 5 4 3 5 7 2 3" xfId="23000" xr:uid="{00000000-0005-0000-0000-00002B550000}"/>
    <cellStyle name="Currency 5 4 3 5 7 3" xfId="23001" xr:uid="{00000000-0005-0000-0000-00002C550000}"/>
    <cellStyle name="Currency 5 4 3 5 7 3 2" xfId="23002" xr:uid="{00000000-0005-0000-0000-00002D550000}"/>
    <cellStyle name="Currency 5 4 3 5 7 4" xfId="23003" xr:uid="{00000000-0005-0000-0000-00002E550000}"/>
    <cellStyle name="Currency 5 4 3 5 8" xfId="23004" xr:uid="{00000000-0005-0000-0000-00002F550000}"/>
    <cellStyle name="Currency 5 4 3 5 8 2" xfId="23005" xr:uid="{00000000-0005-0000-0000-000030550000}"/>
    <cellStyle name="Currency 5 4 3 5 8 2 2" xfId="23006" xr:uid="{00000000-0005-0000-0000-000031550000}"/>
    <cellStyle name="Currency 5 4 3 5 8 3" xfId="23007" xr:uid="{00000000-0005-0000-0000-000032550000}"/>
    <cellStyle name="Currency 5 4 3 5 9" xfId="23008" xr:uid="{00000000-0005-0000-0000-000033550000}"/>
    <cellStyle name="Currency 5 4 3 5 9 2" xfId="23009" xr:uid="{00000000-0005-0000-0000-000034550000}"/>
    <cellStyle name="Currency 5 4 3 6" xfId="1354" xr:uid="{00000000-0005-0000-0000-000035550000}"/>
    <cellStyle name="Currency 5 4 3 6 2" xfId="23011" xr:uid="{00000000-0005-0000-0000-000036550000}"/>
    <cellStyle name="Currency 5 4 3 6 2 2" xfId="23012" xr:uid="{00000000-0005-0000-0000-000037550000}"/>
    <cellStyle name="Currency 5 4 3 6 2 2 2" xfId="23013" xr:uid="{00000000-0005-0000-0000-000038550000}"/>
    <cellStyle name="Currency 5 4 3 6 2 2 2 2" xfId="23014" xr:uid="{00000000-0005-0000-0000-000039550000}"/>
    <cellStyle name="Currency 5 4 3 6 2 2 3" xfId="23015" xr:uid="{00000000-0005-0000-0000-00003A550000}"/>
    <cellStyle name="Currency 5 4 3 6 2 3" xfId="23016" xr:uid="{00000000-0005-0000-0000-00003B550000}"/>
    <cellStyle name="Currency 5 4 3 6 2 3 2" xfId="23017" xr:uid="{00000000-0005-0000-0000-00003C550000}"/>
    <cellStyle name="Currency 5 4 3 6 2 4" xfId="23018" xr:uid="{00000000-0005-0000-0000-00003D550000}"/>
    <cellStyle name="Currency 5 4 3 6 3" xfId="23019" xr:uid="{00000000-0005-0000-0000-00003E550000}"/>
    <cellStyle name="Currency 5 4 3 6 3 2" xfId="23020" xr:uid="{00000000-0005-0000-0000-00003F550000}"/>
    <cellStyle name="Currency 5 4 3 6 3 2 2" xfId="23021" xr:uid="{00000000-0005-0000-0000-000040550000}"/>
    <cellStyle name="Currency 5 4 3 6 3 2 2 2" xfId="23022" xr:uid="{00000000-0005-0000-0000-000041550000}"/>
    <cellStyle name="Currency 5 4 3 6 3 2 3" xfId="23023" xr:uid="{00000000-0005-0000-0000-000042550000}"/>
    <cellStyle name="Currency 5 4 3 6 3 3" xfId="23024" xr:uid="{00000000-0005-0000-0000-000043550000}"/>
    <cellStyle name="Currency 5 4 3 6 3 3 2" xfId="23025" xr:uid="{00000000-0005-0000-0000-000044550000}"/>
    <cellStyle name="Currency 5 4 3 6 3 4" xfId="23026" xr:uid="{00000000-0005-0000-0000-000045550000}"/>
    <cellStyle name="Currency 5 4 3 6 4" xfId="23027" xr:uid="{00000000-0005-0000-0000-000046550000}"/>
    <cellStyle name="Currency 5 4 3 6 4 2" xfId="23028" xr:uid="{00000000-0005-0000-0000-000047550000}"/>
    <cellStyle name="Currency 5 4 3 6 4 2 2" xfId="23029" xr:uid="{00000000-0005-0000-0000-000048550000}"/>
    <cellStyle name="Currency 5 4 3 6 4 3" xfId="23030" xr:uid="{00000000-0005-0000-0000-000049550000}"/>
    <cellStyle name="Currency 5 4 3 6 5" xfId="23031" xr:uid="{00000000-0005-0000-0000-00004A550000}"/>
    <cellStyle name="Currency 5 4 3 6 5 2" xfId="23032" xr:uid="{00000000-0005-0000-0000-00004B550000}"/>
    <cellStyle name="Currency 5 4 3 6 6" xfId="23033" xr:uid="{00000000-0005-0000-0000-00004C550000}"/>
    <cellStyle name="Currency 5 4 3 6 7" xfId="23010" xr:uid="{00000000-0005-0000-0000-00004D550000}"/>
    <cellStyle name="Currency 5 4 3 7" xfId="23034" xr:uid="{00000000-0005-0000-0000-00004E550000}"/>
    <cellStyle name="Currency 5 4 3 7 2" xfId="23035" xr:uid="{00000000-0005-0000-0000-00004F550000}"/>
    <cellStyle name="Currency 5 4 3 7 2 2" xfId="23036" xr:uid="{00000000-0005-0000-0000-000050550000}"/>
    <cellStyle name="Currency 5 4 3 7 2 2 2" xfId="23037" xr:uid="{00000000-0005-0000-0000-000051550000}"/>
    <cellStyle name="Currency 5 4 3 7 2 2 2 2" xfId="23038" xr:uid="{00000000-0005-0000-0000-000052550000}"/>
    <cellStyle name="Currency 5 4 3 7 2 2 3" xfId="23039" xr:uid="{00000000-0005-0000-0000-000053550000}"/>
    <cellStyle name="Currency 5 4 3 7 2 3" xfId="23040" xr:uid="{00000000-0005-0000-0000-000054550000}"/>
    <cellStyle name="Currency 5 4 3 7 2 3 2" xfId="23041" xr:uid="{00000000-0005-0000-0000-000055550000}"/>
    <cellStyle name="Currency 5 4 3 7 2 4" xfId="23042" xr:uid="{00000000-0005-0000-0000-000056550000}"/>
    <cellStyle name="Currency 5 4 3 7 3" xfId="23043" xr:uid="{00000000-0005-0000-0000-000057550000}"/>
    <cellStyle name="Currency 5 4 3 7 3 2" xfId="23044" xr:uid="{00000000-0005-0000-0000-000058550000}"/>
    <cellStyle name="Currency 5 4 3 7 3 2 2" xfId="23045" xr:uid="{00000000-0005-0000-0000-000059550000}"/>
    <cellStyle name="Currency 5 4 3 7 3 3" xfId="23046" xr:uid="{00000000-0005-0000-0000-00005A550000}"/>
    <cellStyle name="Currency 5 4 3 7 4" xfId="23047" xr:uid="{00000000-0005-0000-0000-00005B550000}"/>
    <cellStyle name="Currency 5 4 3 7 4 2" xfId="23048" xr:uid="{00000000-0005-0000-0000-00005C550000}"/>
    <cellStyle name="Currency 5 4 3 7 5" xfId="23049" xr:uid="{00000000-0005-0000-0000-00005D550000}"/>
    <cellStyle name="Currency 5 4 3 8" xfId="23050" xr:uid="{00000000-0005-0000-0000-00005E550000}"/>
    <cellStyle name="Currency 5 4 3 8 2" xfId="23051" xr:uid="{00000000-0005-0000-0000-00005F550000}"/>
    <cellStyle name="Currency 5 4 3 8 2 2" xfId="23052" xr:uid="{00000000-0005-0000-0000-000060550000}"/>
    <cellStyle name="Currency 5 4 3 8 2 2 2" xfId="23053" xr:uid="{00000000-0005-0000-0000-000061550000}"/>
    <cellStyle name="Currency 5 4 3 8 2 2 2 2" xfId="23054" xr:uid="{00000000-0005-0000-0000-000062550000}"/>
    <cellStyle name="Currency 5 4 3 8 2 2 3" xfId="23055" xr:uid="{00000000-0005-0000-0000-000063550000}"/>
    <cellStyle name="Currency 5 4 3 8 2 3" xfId="23056" xr:uid="{00000000-0005-0000-0000-000064550000}"/>
    <cellStyle name="Currency 5 4 3 8 2 3 2" xfId="23057" xr:uid="{00000000-0005-0000-0000-000065550000}"/>
    <cellStyle name="Currency 5 4 3 8 2 4" xfId="23058" xr:uid="{00000000-0005-0000-0000-000066550000}"/>
    <cellStyle name="Currency 5 4 3 8 3" xfId="23059" xr:uid="{00000000-0005-0000-0000-000067550000}"/>
    <cellStyle name="Currency 5 4 3 8 3 2" xfId="23060" xr:uid="{00000000-0005-0000-0000-000068550000}"/>
    <cellStyle name="Currency 5 4 3 8 3 2 2" xfId="23061" xr:uid="{00000000-0005-0000-0000-000069550000}"/>
    <cellStyle name="Currency 5 4 3 8 3 3" xfId="23062" xr:uid="{00000000-0005-0000-0000-00006A550000}"/>
    <cellStyle name="Currency 5 4 3 8 4" xfId="23063" xr:uid="{00000000-0005-0000-0000-00006B550000}"/>
    <cellStyle name="Currency 5 4 3 8 4 2" xfId="23064" xr:uid="{00000000-0005-0000-0000-00006C550000}"/>
    <cellStyle name="Currency 5 4 3 8 5" xfId="23065" xr:uid="{00000000-0005-0000-0000-00006D550000}"/>
    <cellStyle name="Currency 5 4 3 9" xfId="23066" xr:uid="{00000000-0005-0000-0000-00006E550000}"/>
    <cellStyle name="Currency 5 4 3 9 2" xfId="23067" xr:uid="{00000000-0005-0000-0000-00006F550000}"/>
    <cellStyle name="Currency 5 4 3 9 2 2" xfId="23068" xr:uid="{00000000-0005-0000-0000-000070550000}"/>
    <cellStyle name="Currency 5 4 3 9 2 2 2" xfId="23069" xr:uid="{00000000-0005-0000-0000-000071550000}"/>
    <cellStyle name="Currency 5 4 3 9 2 3" xfId="23070" xr:uid="{00000000-0005-0000-0000-000072550000}"/>
    <cellStyle name="Currency 5 4 3 9 3" xfId="23071" xr:uid="{00000000-0005-0000-0000-000073550000}"/>
    <cellStyle name="Currency 5 4 3 9 3 2" xfId="23072" xr:uid="{00000000-0005-0000-0000-000074550000}"/>
    <cellStyle name="Currency 5 4 3 9 4" xfId="23073" xr:uid="{00000000-0005-0000-0000-000075550000}"/>
    <cellStyle name="Currency 5 4 4" xfId="405" xr:uid="{00000000-0005-0000-0000-000076550000}"/>
    <cellStyle name="Currency 5 4 4 10" xfId="23075" xr:uid="{00000000-0005-0000-0000-000077550000}"/>
    <cellStyle name="Currency 5 4 4 10 2" xfId="23076" xr:uid="{00000000-0005-0000-0000-000078550000}"/>
    <cellStyle name="Currency 5 4 4 10 2 2" xfId="23077" xr:uid="{00000000-0005-0000-0000-000079550000}"/>
    <cellStyle name="Currency 5 4 4 10 2 2 2" xfId="23078" xr:uid="{00000000-0005-0000-0000-00007A550000}"/>
    <cellStyle name="Currency 5 4 4 10 2 3" xfId="23079" xr:uid="{00000000-0005-0000-0000-00007B550000}"/>
    <cellStyle name="Currency 5 4 4 10 3" xfId="23080" xr:uid="{00000000-0005-0000-0000-00007C550000}"/>
    <cellStyle name="Currency 5 4 4 10 3 2" xfId="23081" xr:uid="{00000000-0005-0000-0000-00007D550000}"/>
    <cellStyle name="Currency 5 4 4 10 4" xfId="23082" xr:uid="{00000000-0005-0000-0000-00007E550000}"/>
    <cellStyle name="Currency 5 4 4 11" xfId="23083" xr:uid="{00000000-0005-0000-0000-00007F550000}"/>
    <cellStyle name="Currency 5 4 4 11 2" xfId="23084" xr:uid="{00000000-0005-0000-0000-000080550000}"/>
    <cellStyle name="Currency 5 4 4 11 2 2" xfId="23085" xr:uid="{00000000-0005-0000-0000-000081550000}"/>
    <cellStyle name="Currency 5 4 4 11 3" xfId="23086" xr:uid="{00000000-0005-0000-0000-000082550000}"/>
    <cellStyle name="Currency 5 4 4 12" xfId="23087" xr:uid="{00000000-0005-0000-0000-000083550000}"/>
    <cellStyle name="Currency 5 4 4 12 2" xfId="23088" xr:uid="{00000000-0005-0000-0000-000084550000}"/>
    <cellStyle name="Currency 5 4 4 12 2 2" xfId="23089" xr:uid="{00000000-0005-0000-0000-000085550000}"/>
    <cellStyle name="Currency 5 4 4 12 3" xfId="23090" xr:uid="{00000000-0005-0000-0000-000086550000}"/>
    <cellStyle name="Currency 5 4 4 13" xfId="23091" xr:uid="{00000000-0005-0000-0000-000087550000}"/>
    <cellStyle name="Currency 5 4 4 13 2" xfId="23092" xr:uid="{00000000-0005-0000-0000-000088550000}"/>
    <cellStyle name="Currency 5 4 4 13 2 2" xfId="23093" xr:uid="{00000000-0005-0000-0000-000089550000}"/>
    <cellStyle name="Currency 5 4 4 13 3" xfId="23094" xr:uid="{00000000-0005-0000-0000-00008A550000}"/>
    <cellStyle name="Currency 5 4 4 14" xfId="23095" xr:uid="{00000000-0005-0000-0000-00008B550000}"/>
    <cellStyle name="Currency 5 4 4 14 2" xfId="23096" xr:uid="{00000000-0005-0000-0000-00008C550000}"/>
    <cellStyle name="Currency 5 4 4 15" xfId="23097" xr:uid="{00000000-0005-0000-0000-00008D550000}"/>
    <cellStyle name="Currency 5 4 4 16" xfId="23098" xr:uid="{00000000-0005-0000-0000-00008E550000}"/>
    <cellStyle name="Currency 5 4 4 17" xfId="23074" xr:uid="{00000000-0005-0000-0000-00008F550000}"/>
    <cellStyle name="Currency 5 4 4 2" xfId="406" xr:uid="{00000000-0005-0000-0000-000090550000}"/>
    <cellStyle name="Currency 5 4 4 2 10" xfId="23100" xr:uid="{00000000-0005-0000-0000-000091550000}"/>
    <cellStyle name="Currency 5 4 4 2 10 2" xfId="23101" xr:uid="{00000000-0005-0000-0000-000092550000}"/>
    <cellStyle name="Currency 5 4 4 2 10 2 2" xfId="23102" xr:uid="{00000000-0005-0000-0000-000093550000}"/>
    <cellStyle name="Currency 5 4 4 2 10 3" xfId="23103" xr:uid="{00000000-0005-0000-0000-000094550000}"/>
    <cellStyle name="Currency 5 4 4 2 11" xfId="23104" xr:uid="{00000000-0005-0000-0000-000095550000}"/>
    <cellStyle name="Currency 5 4 4 2 11 2" xfId="23105" xr:uid="{00000000-0005-0000-0000-000096550000}"/>
    <cellStyle name="Currency 5 4 4 2 11 2 2" xfId="23106" xr:uid="{00000000-0005-0000-0000-000097550000}"/>
    <cellStyle name="Currency 5 4 4 2 11 3" xfId="23107" xr:uid="{00000000-0005-0000-0000-000098550000}"/>
    <cellStyle name="Currency 5 4 4 2 12" xfId="23108" xr:uid="{00000000-0005-0000-0000-000099550000}"/>
    <cellStyle name="Currency 5 4 4 2 12 2" xfId="23109" xr:uid="{00000000-0005-0000-0000-00009A550000}"/>
    <cellStyle name="Currency 5 4 4 2 13" xfId="23110" xr:uid="{00000000-0005-0000-0000-00009B550000}"/>
    <cellStyle name="Currency 5 4 4 2 14" xfId="23111" xr:uid="{00000000-0005-0000-0000-00009C550000}"/>
    <cellStyle name="Currency 5 4 4 2 15" xfId="23099" xr:uid="{00000000-0005-0000-0000-00009D550000}"/>
    <cellStyle name="Currency 5 4 4 2 2" xfId="943" xr:uid="{00000000-0005-0000-0000-00009E550000}"/>
    <cellStyle name="Currency 5 4 4 2 2 10" xfId="23113" xr:uid="{00000000-0005-0000-0000-00009F550000}"/>
    <cellStyle name="Currency 5 4 4 2 2 11" xfId="23112" xr:uid="{00000000-0005-0000-0000-0000A0550000}"/>
    <cellStyle name="Currency 5 4 4 2 2 2" xfId="1684" xr:uid="{00000000-0005-0000-0000-0000A1550000}"/>
    <cellStyle name="Currency 5 4 4 2 2 2 2" xfId="23115" xr:uid="{00000000-0005-0000-0000-0000A2550000}"/>
    <cellStyle name="Currency 5 4 4 2 2 2 2 2" xfId="23116" xr:uid="{00000000-0005-0000-0000-0000A3550000}"/>
    <cellStyle name="Currency 5 4 4 2 2 2 2 2 2" xfId="23117" xr:uid="{00000000-0005-0000-0000-0000A4550000}"/>
    <cellStyle name="Currency 5 4 4 2 2 2 2 2 2 2" xfId="23118" xr:uid="{00000000-0005-0000-0000-0000A5550000}"/>
    <cellStyle name="Currency 5 4 4 2 2 2 2 2 3" xfId="23119" xr:uid="{00000000-0005-0000-0000-0000A6550000}"/>
    <cellStyle name="Currency 5 4 4 2 2 2 2 3" xfId="23120" xr:uid="{00000000-0005-0000-0000-0000A7550000}"/>
    <cellStyle name="Currency 5 4 4 2 2 2 2 3 2" xfId="23121" xr:uid="{00000000-0005-0000-0000-0000A8550000}"/>
    <cellStyle name="Currency 5 4 4 2 2 2 2 4" xfId="23122" xr:uid="{00000000-0005-0000-0000-0000A9550000}"/>
    <cellStyle name="Currency 5 4 4 2 2 2 3" xfId="23123" xr:uid="{00000000-0005-0000-0000-0000AA550000}"/>
    <cellStyle name="Currency 5 4 4 2 2 2 3 2" xfId="23124" xr:uid="{00000000-0005-0000-0000-0000AB550000}"/>
    <cellStyle name="Currency 5 4 4 2 2 2 3 2 2" xfId="23125" xr:uid="{00000000-0005-0000-0000-0000AC550000}"/>
    <cellStyle name="Currency 5 4 4 2 2 2 3 2 2 2" xfId="23126" xr:uid="{00000000-0005-0000-0000-0000AD550000}"/>
    <cellStyle name="Currency 5 4 4 2 2 2 3 2 3" xfId="23127" xr:uid="{00000000-0005-0000-0000-0000AE550000}"/>
    <cellStyle name="Currency 5 4 4 2 2 2 3 3" xfId="23128" xr:uid="{00000000-0005-0000-0000-0000AF550000}"/>
    <cellStyle name="Currency 5 4 4 2 2 2 3 3 2" xfId="23129" xr:uid="{00000000-0005-0000-0000-0000B0550000}"/>
    <cellStyle name="Currency 5 4 4 2 2 2 3 4" xfId="23130" xr:uid="{00000000-0005-0000-0000-0000B1550000}"/>
    <cellStyle name="Currency 5 4 4 2 2 2 4" xfId="23131" xr:uid="{00000000-0005-0000-0000-0000B2550000}"/>
    <cellStyle name="Currency 5 4 4 2 2 2 4 2" xfId="23132" xr:uid="{00000000-0005-0000-0000-0000B3550000}"/>
    <cellStyle name="Currency 5 4 4 2 2 2 4 2 2" xfId="23133" xr:uid="{00000000-0005-0000-0000-0000B4550000}"/>
    <cellStyle name="Currency 5 4 4 2 2 2 4 3" xfId="23134" xr:uid="{00000000-0005-0000-0000-0000B5550000}"/>
    <cellStyle name="Currency 5 4 4 2 2 2 5" xfId="23135" xr:uid="{00000000-0005-0000-0000-0000B6550000}"/>
    <cellStyle name="Currency 5 4 4 2 2 2 5 2" xfId="23136" xr:uid="{00000000-0005-0000-0000-0000B7550000}"/>
    <cellStyle name="Currency 5 4 4 2 2 2 6" xfId="23137" xr:uid="{00000000-0005-0000-0000-0000B8550000}"/>
    <cellStyle name="Currency 5 4 4 2 2 2 7" xfId="23114" xr:uid="{00000000-0005-0000-0000-0000B9550000}"/>
    <cellStyle name="Currency 5 4 4 2 2 3" xfId="23138" xr:uid="{00000000-0005-0000-0000-0000BA550000}"/>
    <cellStyle name="Currency 5 4 4 2 2 3 2" xfId="23139" xr:uid="{00000000-0005-0000-0000-0000BB550000}"/>
    <cellStyle name="Currency 5 4 4 2 2 3 2 2" xfId="23140" xr:uid="{00000000-0005-0000-0000-0000BC550000}"/>
    <cellStyle name="Currency 5 4 4 2 2 3 2 2 2" xfId="23141" xr:uid="{00000000-0005-0000-0000-0000BD550000}"/>
    <cellStyle name="Currency 5 4 4 2 2 3 2 2 2 2" xfId="23142" xr:uid="{00000000-0005-0000-0000-0000BE550000}"/>
    <cellStyle name="Currency 5 4 4 2 2 3 2 2 3" xfId="23143" xr:uid="{00000000-0005-0000-0000-0000BF550000}"/>
    <cellStyle name="Currency 5 4 4 2 2 3 2 3" xfId="23144" xr:uid="{00000000-0005-0000-0000-0000C0550000}"/>
    <cellStyle name="Currency 5 4 4 2 2 3 2 3 2" xfId="23145" xr:uid="{00000000-0005-0000-0000-0000C1550000}"/>
    <cellStyle name="Currency 5 4 4 2 2 3 2 4" xfId="23146" xr:uid="{00000000-0005-0000-0000-0000C2550000}"/>
    <cellStyle name="Currency 5 4 4 2 2 3 3" xfId="23147" xr:uid="{00000000-0005-0000-0000-0000C3550000}"/>
    <cellStyle name="Currency 5 4 4 2 2 3 3 2" xfId="23148" xr:uid="{00000000-0005-0000-0000-0000C4550000}"/>
    <cellStyle name="Currency 5 4 4 2 2 3 3 2 2" xfId="23149" xr:uid="{00000000-0005-0000-0000-0000C5550000}"/>
    <cellStyle name="Currency 5 4 4 2 2 3 3 3" xfId="23150" xr:uid="{00000000-0005-0000-0000-0000C6550000}"/>
    <cellStyle name="Currency 5 4 4 2 2 3 4" xfId="23151" xr:uid="{00000000-0005-0000-0000-0000C7550000}"/>
    <cellStyle name="Currency 5 4 4 2 2 3 4 2" xfId="23152" xr:uid="{00000000-0005-0000-0000-0000C8550000}"/>
    <cellStyle name="Currency 5 4 4 2 2 3 5" xfId="23153" xr:uid="{00000000-0005-0000-0000-0000C9550000}"/>
    <cellStyle name="Currency 5 4 4 2 2 4" xfId="23154" xr:uid="{00000000-0005-0000-0000-0000CA550000}"/>
    <cellStyle name="Currency 5 4 4 2 2 4 2" xfId="23155" xr:uid="{00000000-0005-0000-0000-0000CB550000}"/>
    <cellStyle name="Currency 5 4 4 2 2 4 2 2" xfId="23156" xr:uid="{00000000-0005-0000-0000-0000CC550000}"/>
    <cellStyle name="Currency 5 4 4 2 2 4 2 2 2" xfId="23157" xr:uid="{00000000-0005-0000-0000-0000CD550000}"/>
    <cellStyle name="Currency 5 4 4 2 2 4 2 2 2 2" xfId="23158" xr:uid="{00000000-0005-0000-0000-0000CE550000}"/>
    <cellStyle name="Currency 5 4 4 2 2 4 2 2 3" xfId="23159" xr:uid="{00000000-0005-0000-0000-0000CF550000}"/>
    <cellStyle name="Currency 5 4 4 2 2 4 2 3" xfId="23160" xr:uid="{00000000-0005-0000-0000-0000D0550000}"/>
    <cellStyle name="Currency 5 4 4 2 2 4 2 3 2" xfId="23161" xr:uid="{00000000-0005-0000-0000-0000D1550000}"/>
    <cellStyle name="Currency 5 4 4 2 2 4 2 4" xfId="23162" xr:uid="{00000000-0005-0000-0000-0000D2550000}"/>
    <cellStyle name="Currency 5 4 4 2 2 4 3" xfId="23163" xr:uid="{00000000-0005-0000-0000-0000D3550000}"/>
    <cellStyle name="Currency 5 4 4 2 2 4 3 2" xfId="23164" xr:uid="{00000000-0005-0000-0000-0000D4550000}"/>
    <cellStyle name="Currency 5 4 4 2 2 4 3 2 2" xfId="23165" xr:uid="{00000000-0005-0000-0000-0000D5550000}"/>
    <cellStyle name="Currency 5 4 4 2 2 4 3 3" xfId="23166" xr:uid="{00000000-0005-0000-0000-0000D6550000}"/>
    <cellStyle name="Currency 5 4 4 2 2 4 4" xfId="23167" xr:uid="{00000000-0005-0000-0000-0000D7550000}"/>
    <cellStyle name="Currency 5 4 4 2 2 4 4 2" xfId="23168" xr:uid="{00000000-0005-0000-0000-0000D8550000}"/>
    <cellStyle name="Currency 5 4 4 2 2 4 5" xfId="23169" xr:uid="{00000000-0005-0000-0000-0000D9550000}"/>
    <cellStyle name="Currency 5 4 4 2 2 5" xfId="23170" xr:uid="{00000000-0005-0000-0000-0000DA550000}"/>
    <cellStyle name="Currency 5 4 4 2 2 5 2" xfId="23171" xr:uid="{00000000-0005-0000-0000-0000DB550000}"/>
    <cellStyle name="Currency 5 4 4 2 2 5 2 2" xfId="23172" xr:uid="{00000000-0005-0000-0000-0000DC550000}"/>
    <cellStyle name="Currency 5 4 4 2 2 5 2 2 2" xfId="23173" xr:uid="{00000000-0005-0000-0000-0000DD550000}"/>
    <cellStyle name="Currency 5 4 4 2 2 5 2 3" xfId="23174" xr:uid="{00000000-0005-0000-0000-0000DE550000}"/>
    <cellStyle name="Currency 5 4 4 2 2 5 3" xfId="23175" xr:uid="{00000000-0005-0000-0000-0000DF550000}"/>
    <cellStyle name="Currency 5 4 4 2 2 5 3 2" xfId="23176" xr:uid="{00000000-0005-0000-0000-0000E0550000}"/>
    <cellStyle name="Currency 5 4 4 2 2 5 4" xfId="23177" xr:uid="{00000000-0005-0000-0000-0000E1550000}"/>
    <cellStyle name="Currency 5 4 4 2 2 6" xfId="23178" xr:uid="{00000000-0005-0000-0000-0000E2550000}"/>
    <cellStyle name="Currency 5 4 4 2 2 6 2" xfId="23179" xr:uid="{00000000-0005-0000-0000-0000E3550000}"/>
    <cellStyle name="Currency 5 4 4 2 2 6 2 2" xfId="23180" xr:uid="{00000000-0005-0000-0000-0000E4550000}"/>
    <cellStyle name="Currency 5 4 4 2 2 6 2 2 2" xfId="23181" xr:uid="{00000000-0005-0000-0000-0000E5550000}"/>
    <cellStyle name="Currency 5 4 4 2 2 6 2 3" xfId="23182" xr:uid="{00000000-0005-0000-0000-0000E6550000}"/>
    <cellStyle name="Currency 5 4 4 2 2 6 3" xfId="23183" xr:uid="{00000000-0005-0000-0000-0000E7550000}"/>
    <cellStyle name="Currency 5 4 4 2 2 6 3 2" xfId="23184" xr:uid="{00000000-0005-0000-0000-0000E8550000}"/>
    <cellStyle name="Currency 5 4 4 2 2 6 4" xfId="23185" xr:uid="{00000000-0005-0000-0000-0000E9550000}"/>
    <cellStyle name="Currency 5 4 4 2 2 7" xfId="23186" xr:uid="{00000000-0005-0000-0000-0000EA550000}"/>
    <cellStyle name="Currency 5 4 4 2 2 7 2" xfId="23187" xr:uid="{00000000-0005-0000-0000-0000EB550000}"/>
    <cellStyle name="Currency 5 4 4 2 2 7 2 2" xfId="23188" xr:uid="{00000000-0005-0000-0000-0000EC550000}"/>
    <cellStyle name="Currency 5 4 4 2 2 7 2 2 2" xfId="23189" xr:uid="{00000000-0005-0000-0000-0000ED550000}"/>
    <cellStyle name="Currency 5 4 4 2 2 7 2 3" xfId="23190" xr:uid="{00000000-0005-0000-0000-0000EE550000}"/>
    <cellStyle name="Currency 5 4 4 2 2 7 3" xfId="23191" xr:uid="{00000000-0005-0000-0000-0000EF550000}"/>
    <cellStyle name="Currency 5 4 4 2 2 7 3 2" xfId="23192" xr:uid="{00000000-0005-0000-0000-0000F0550000}"/>
    <cellStyle name="Currency 5 4 4 2 2 7 4" xfId="23193" xr:uid="{00000000-0005-0000-0000-0000F1550000}"/>
    <cellStyle name="Currency 5 4 4 2 2 8" xfId="23194" xr:uid="{00000000-0005-0000-0000-0000F2550000}"/>
    <cellStyle name="Currency 5 4 4 2 2 8 2" xfId="23195" xr:uid="{00000000-0005-0000-0000-0000F3550000}"/>
    <cellStyle name="Currency 5 4 4 2 2 8 2 2" xfId="23196" xr:uid="{00000000-0005-0000-0000-0000F4550000}"/>
    <cellStyle name="Currency 5 4 4 2 2 8 3" xfId="23197" xr:uid="{00000000-0005-0000-0000-0000F5550000}"/>
    <cellStyle name="Currency 5 4 4 2 2 9" xfId="23198" xr:uid="{00000000-0005-0000-0000-0000F6550000}"/>
    <cellStyle name="Currency 5 4 4 2 2 9 2" xfId="23199" xr:uid="{00000000-0005-0000-0000-0000F7550000}"/>
    <cellStyle name="Currency 5 4 4 2 3" xfId="1359" xr:uid="{00000000-0005-0000-0000-0000F8550000}"/>
    <cellStyle name="Currency 5 4 4 2 3 2" xfId="23201" xr:uid="{00000000-0005-0000-0000-0000F9550000}"/>
    <cellStyle name="Currency 5 4 4 2 3 2 2" xfId="23202" xr:uid="{00000000-0005-0000-0000-0000FA550000}"/>
    <cellStyle name="Currency 5 4 4 2 3 2 2 2" xfId="23203" xr:uid="{00000000-0005-0000-0000-0000FB550000}"/>
    <cellStyle name="Currency 5 4 4 2 3 2 2 2 2" xfId="23204" xr:uid="{00000000-0005-0000-0000-0000FC550000}"/>
    <cellStyle name="Currency 5 4 4 2 3 2 2 3" xfId="23205" xr:uid="{00000000-0005-0000-0000-0000FD550000}"/>
    <cellStyle name="Currency 5 4 4 2 3 2 3" xfId="23206" xr:uid="{00000000-0005-0000-0000-0000FE550000}"/>
    <cellStyle name="Currency 5 4 4 2 3 2 3 2" xfId="23207" xr:uid="{00000000-0005-0000-0000-0000FF550000}"/>
    <cellStyle name="Currency 5 4 4 2 3 2 4" xfId="23208" xr:uid="{00000000-0005-0000-0000-000000560000}"/>
    <cellStyle name="Currency 5 4 4 2 3 3" xfId="23209" xr:uid="{00000000-0005-0000-0000-000001560000}"/>
    <cellStyle name="Currency 5 4 4 2 3 3 2" xfId="23210" xr:uid="{00000000-0005-0000-0000-000002560000}"/>
    <cellStyle name="Currency 5 4 4 2 3 3 2 2" xfId="23211" xr:uid="{00000000-0005-0000-0000-000003560000}"/>
    <cellStyle name="Currency 5 4 4 2 3 3 2 2 2" xfId="23212" xr:uid="{00000000-0005-0000-0000-000004560000}"/>
    <cellStyle name="Currency 5 4 4 2 3 3 2 3" xfId="23213" xr:uid="{00000000-0005-0000-0000-000005560000}"/>
    <cellStyle name="Currency 5 4 4 2 3 3 3" xfId="23214" xr:uid="{00000000-0005-0000-0000-000006560000}"/>
    <cellStyle name="Currency 5 4 4 2 3 3 3 2" xfId="23215" xr:uid="{00000000-0005-0000-0000-000007560000}"/>
    <cellStyle name="Currency 5 4 4 2 3 3 4" xfId="23216" xr:uid="{00000000-0005-0000-0000-000008560000}"/>
    <cellStyle name="Currency 5 4 4 2 3 4" xfId="23217" xr:uid="{00000000-0005-0000-0000-000009560000}"/>
    <cellStyle name="Currency 5 4 4 2 3 4 2" xfId="23218" xr:uid="{00000000-0005-0000-0000-00000A560000}"/>
    <cellStyle name="Currency 5 4 4 2 3 4 2 2" xfId="23219" xr:uid="{00000000-0005-0000-0000-00000B560000}"/>
    <cellStyle name="Currency 5 4 4 2 3 4 3" xfId="23220" xr:uid="{00000000-0005-0000-0000-00000C560000}"/>
    <cellStyle name="Currency 5 4 4 2 3 5" xfId="23221" xr:uid="{00000000-0005-0000-0000-00000D560000}"/>
    <cellStyle name="Currency 5 4 4 2 3 5 2" xfId="23222" xr:uid="{00000000-0005-0000-0000-00000E560000}"/>
    <cellStyle name="Currency 5 4 4 2 3 6" xfId="23223" xr:uid="{00000000-0005-0000-0000-00000F560000}"/>
    <cellStyle name="Currency 5 4 4 2 3 7" xfId="23200" xr:uid="{00000000-0005-0000-0000-000010560000}"/>
    <cellStyle name="Currency 5 4 4 2 4" xfId="23224" xr:uid="{00000000-0005-0000-0000-000011560000}"/>
    <cellStyle name="Currency 5 4 4 2 4 2" xfId="23225" xr:uid="{00000000-0005-0000-0000-000012560000}"/>
    <cellStyle name="Currency 5 4 4 2 4 2 2" xfId="23226" xr:uid="{00000000-0005-0000-0000-000013560000}"/>
    <cellStyle name="Currency 5 4 4 2 4 2 2 2" xfId="23227" xr:uid="{00000000-0005-0000-0000-000014560000}"/>
    <cellStyle name="Currency 5 4 4 2 4 2 2 2 2" xfId="23228" xr:uid="{00000000-0005-0000-0000-000015560000}"/>
    <cellStyle name="Currency 5 4 4 2 4 2 2 3" xfId="23229" xr:uid="{00000000-0005-0000-0000-000016560000}"/>
    <cellStyle name="Currency 5 4 4 2 4 2 3" xfId="23230" xr:uid="{00000000-0005-0000-0000-000017560000}"/>
    <cellStyle name="Currency 5 4 4 2 4 2 3 2" xfId="23231" xr:uid="{00000000-0005-0000-0000-000018560000}"/>
    <cellStyle name="Currency 5 4 4 2 4 2 4" xfId="23232" xr:uid="{00000000-0005-0000-0000-000019560000}"/>
    <cellStyle name="Currency 5 4 4 2 4 3" xfId="23233" xr:uid="{00000000-0005-0000-0000-00001A560000}"/>
    <cellStyle name="Currency 5 4 4 2 4 3 2" xfId="23234" xr:uid="{00000000-0005-0000-0000-00001B560000}"/>
    <cellStyle name="Currency 5 4 4 2 4 3 2 2" xfId="23235" xr:uid="{00000000-0005-0000-0000-00001C560000}"/>
    <cellStyle name="Currency 5 4 4 2 4 3 3" xfId="23236" xr:uid="{00000000-0005-0000-0000-00001D560000}"/>
    <cellStyle name="Currency 5 4 4 2 4 4" xfId="23237" xr:uid="{00000000-0005-0000-0000-00001E560000}"/>
    <cellStyle name="Currency 5 4 4 2 4 4 2" xfId="23238" xr:uid="{00000000-0005-0000-0000-00001F560000}"/>
    <cellStyle name="Currency 5 4 4 2 4 5" xfId="23239" xr:uid="{00000000-0005-0000-0000-000020560000}"/>
    <cellStyle name="Currency 5 4 4 2 5" xfId="23240" xr:uid="{00000000-0005-0000-0000-000021560000}"/>
    <cellStyle name="Currency 5 4 4 2 5 2" xfId="23241" xr:uid="{00000000-0005-0000-0000-000022560000}"/>
    <cellStyle name="Currency 5 4 4 2 5 2 2" xfId="23242" xr:uid="{00000000-0005-0000-0000-000023560000}"/>
    <cellStyle name="Currency 5 4 4 2 5 2 2 2" xfId="23243" xr:uid="{00000000-0005-0000-0000-000024560000}"/>
    <cellStyle name="Currency 5 4 4 2 5 2 2 2 2" xfId="23244" xr:uid="{00000000-0005-0000-0000-000025560000}"/>
    <cellStyle name="Currency 5 4 4 2 5 2 2 3" xfId="23245" xr:uid="{00000000-0005-0000-0000-000026560000}"/>
    <cellStyle name="Currency 5 4 4 2 5 2 3" xfId="23246" xr:uid="{00000000-0005-0000-0000-000027560000}"/>
    <cellStyle name="Currency 5 4 4 2 5 2 3 2" xfId="23247" xr:uid="{00000000-0005-0000-0000-000028560000}"/>
    <cellStyle name="Currency 5 4 4 2 5 2 4" xfId="23248" xr:uid="{00000000-0005-0000-0000-000029560000}"/>
    <cellStyle name="Currency 5 4 4 2 5 3" xfId="23249" xr:uid="{00000000-0005-0000-0000-00002A560000}"/>
    <cellStyle name="Currency 5 4 4 2 5 3 2" xfId="23250" xr:uid="{00000000-0005-0000-0000-00002B560000}"/>
    <cellStyle name="Currency 5 4 4 2 5 3 2 2" xfId="23251" xr:uid="{00000000-0005-0000-0000-00002C560000}"/>
    <cellStyle name="Currency 5 4 4 2 5 3 3" xfId="23252" xr:uid="{00000000-0005-0000-0000-00002D560000}"/>
    <cellStyle name="Currency 5 4 4 2 5 4" xfId="23253" xr:uid="{00000000-0005-0000-0000-00002E560000}"/>
    <cellStyle name="Currency 5 4 4 2 5 4 2" xfId="23254" xr:uid="{00000000-0005-0000-0000-00002F560000}"/>
    <cellStyle name="Currency 5 4 4 2 5 5" xfId="23255" xr:uid="{00000000-0005-0000-0000-000030560000}"/>
    <cellStyle name="Currency 5 4 4 2 6" xfId="23256" xr:uid="{00000000-0005-0000-0000-000031560000}"/>
    <cellStyle name="Currency 5 4 4 2 6 2" xfId="23257" xr:uid="{00000000-0005-0000-0000-000032560000}"/>
    <cellStyle name="Currency 5 4 4 2 6 2 2" xfId="23258" xr:uid="{00000000-0005-0000-0000-000033560000}"/>
    <cellStyle name="Currency 5 4 4 2 6 2 2 2" xfId="23259" xr:uid="{00000000-0005-0000-0000-000034560000}"/>
    <cellStyle name="Currency 5 4 4 2 6 2 3" xfId="23260" xr:uid="{00000000-0005-0000-0000-000035560000}"/>
    <cellStyle name="Currency 5 4 4 2 6 3" xfId="23261" xr:uid="{00000000-0005-0000-0000-000036560000}"/>
    <cellStyle name="Currency 5 4 4 2 6 3 2" xfId="23262" xr:uid="{00000000-0005-0000-0000-000037560000}"/>
    <cellStyle name="Currency 5 4 4 2 6 4" xfId="23263" xr:uid="{00000000-0005-0000-0000-000038560000}"/>
    <cellStyle name="Currency 5 4 4 2 7" xfId="23264" xr:uid="{00000000-0005-0000-0000-000039560000}"/>
    <cellStyle name="Currency 5 4 4 2 7 2" xfId="23265" xr:uid="{00000000-0005-0000-0000-00003A560000}"/>
    <cellStyle name="Currency 5 4 4 2 7 2 2" xfId="23266" xr:uid="{00000000-0005-0000-0000-00003B560000}"/>
    <cellStyle name="Currency 5 4 4 2 7 2 2 2" xfId="23267" xr:uid="{00000000-0005-0000-0000-00003C560000}"/>
    <cellStyle name="Currency 5 4 4 2 7 2 3" xfId="23268" xr:uid="{00000000-0005-0000-0000-00003D560000}"/>
    <cellStyle name="Currency 5 4 4 2 7 3" xfId="23269" xr:uid="{00000000-0005-0000-0000-00003E560000}"/>
    <cellStyle name="Currency 5 4 4 2 7 3 2" xfId="23270" xr:uid="{00000000-0005-0000-0000-00003F560000}"/>
    <cellStyle name="Currency 5 4 4 2 7 4" xfId="23271" xr:uid="{00000000-0005-0000-0000-000040560000}"/>
    <cellStyle name="Currency 5 4 4 2 8" xfId="23272" xr:uid="{00000000-0005-0000-0000-000041560000}"/>
    <cellStyle name="Currency 5 4 4 2 8 2" xfId="23273" xr:uid="{00000000-0005-0000-0000-000042560000}"/>
    <cellStyle name="Currency 5 4 4 2 8 2 2" xfId="23274" xr:uid="{00000000-0005-0000-0000-000043560000}"/>
    <cellStyle name="Currency 5 4 4 2 8 2 2 2" xfId="23275" xr:uid="{00000000-0005-0000-0000-000044560000}"/>
    <cellStyle name="Currency 5 4 4 2 8 2 3" xfId="23276" xr:uid="{00000000-0005-0000-0000-000045560000}"/>
    <cellStyle name="Currency 5 4 4 2 8 3" xfId="23277" xr:uid="{00000000-0005-0000-0000-000046560000}"/>
    <cellStyle name="Currency 5 4 4 2 8 3 2" xfId="23278" xr:uid="{00000000-0005-0000-0000-000047560000}"/>
    <cellStyle name="Currency 5 4 4 2 8 4" xfId="23279" xr:uid="{00000000-0005-0000-0000-000048560000}"/>
    <cellStyle name="Currency 5 4 4 2 9" xfId="23280" xr:uid="{00000000-0005-0000-0000-000049560000}"/>
    <cellStyle name="Currency 5 4 4 2 9 2" xfId="23281" xr:uid="{00000000-0005-0000-0000-00004A560000}"/>
    <cellStyle name="Currency 5 4 4 2 9 2 2" xfId="23282" xr:uid="{00000000-0005-0000-0000-00004B560000}"/>
    <cellStyle name="Currency 5 4 4 2 9 3" xfId="23283" xr:uid="{00000000-0005-0000-0000-00004C560000}"/>
    <cellStyle name="Currency 5 4 4 3" xfId="407" xr:uid="{00000000-0005-0000-0000-00004D560000}"/>
    <cellStyle name="Currency 5 4 4 4" xfId="942" xr:uid="{00000000-0005-0000-0000-00004E560000}"/>
    <cellStyle name="Currency 5 4 4 4 10" xfId="23285" xr:uid="{00000000-0005-0000-0000-00004F560000}"/>
    <cellStyle name="Currency 5 4 4 4 11" xfId="23284" xr:uid="{00000000-0005-0000-0000-000050560000}"/>
    <cellStyle name="Currency 5 4 4 4 2" xfId="1683" xr:uid="{00000000-0005-0000-0000-000051560000}"/>
    <cellStyle name="Currency 5 4 4 4 2 2" xfId="23287" xr:uid="{00000000-0005-0000-0000-000052560000}"/>
    <cellStyle name="Currency 5 4 4 4 2 2 2" xfId="23288" xr:uid="{00000000-0005-0000-0000-000053560000}"/>
    <cellStyle name="Currency 5 4 4 4 2 2 2 2" xfId="23289" xr:uid="{00000000-0005-0000-0000-000054560000}"/>
    <cellStyle name="Currency 5 4 4 4 2 2 2 2 2" xfId="23290" xr:uid="{00000000-0005-0000-0000-000055560000}"/>
    <cellStyle name="Currency 5 4 4 4 2 2 2 3" xfId="23291" xr:uid="{00000000-0005-0000-0000-000056560000}"/>
    <cellStyle name="Currency 5 4 4 4 2 2 3" xfId="23292" xr:uid="{00000000-0005-0000-0000-000057560000}"/>
    <cellStyle name="Currency 5 4 4 4 2 2 3 2" xfId="23293" xr:uid="{00000000-0005-0000-0000-000058560000}"/>
    <cellStyle name="Currency 5 4 4 4 2 2 4" xfId="23294" xr:uid="{00000000-0005-0000-0000-000059560000}"/>
    <cellStyle name="Currency 5 4 4 4 2 3" xfId="23295" xr:uid="{00000000-0005-0000-0000-00005A560000}"/>
    <cellStyle name="Currency 5 4 4 4 2 3 2" xfId="23296" xr:uid="{00000000-0005-0000-0000-00005B560000}"/>
    <cellStyle name="Currency 5 4 4 4 2 3 2 2" xfId="23297" xr:uid="{00000000-0005-0000-0000-00005C560000}"/>
    <cellStyle name="Currency 5 4 4 4 2 3 2 2 2" xfId="23298" xr:uid="{00000000-0005-0000-0000-00005D560000}"/>
    <cellStyle name="Currency 5 4 4 4 2 3 2 3" xfId="23299" xr:uid="{00000000-0005-0000-0000-00005E560000}"/>
    <cellStyle name="Currency 5 4 4 4 2 3 3" xfId="23300" xr:uid="{00000000-0005-0000-0000-00005F560000}"/>
    <cellStyle name="Currency 5 4 4 4 2 3 3 2" xfId="23301" xr:uid="{00000000-0005-0000-0000-000060560000}"/>
    <cellStyle name="Currency 5 4 4 4 2 3 4" xfId="23302" xr:uid="{00000000-0005-0000-0000-000061560000}"/>
    <cellStyle name="Currency 5 4 4 4 2 4" xfId="23303" xr:uid="{00000000-0005-0000-0000-000062560000}"/>
    <cellStyle name="Currency 5 4 4 4 2 4 2" xfId="23304" xr:uid="{00000000-0005-0000-0000-000063560000}"/>
    <cellStyle name="Currency 5 4 4 4 2 4 2 2" xfId="23305" xr:uid="{00000000-0005-0000-0000-000064560000}"/>
    <cellStyle name="Currency 5 4 4 4 2 4 3" xfId="23306" xr:uid="{00000000-0005-0000-0000-000065560000}"/>
    <cellStyle name="Currency 5 4 4 4 2 5" xfId="23307" xr:uid="{00000000-0005-0000-0000-000066560000}"/>
    <cellStyle name="Currency 5 4 4 4 2 5 2" xfId="23308" xr:uid="{00000000-0005-0000-0000-000067560000}"/>
    <cellStyle name="Currency 5 4 4 4 2 6" xfId="23309" xr:uid="{00000000-0005-0000-0000-000068560000}"/>
    <cellStyle name="Currency 5 4 4 4 2 7" xfId="23286" xr:uid="{00000000-0005-0000-0000-000069560000}"/>
    <cellStyle name="Currency 5 4 4 4 3" xfId="23310" xr:uid="{00000000-0005-0000-0000-00006A560000}"/>
    <cellStyle name="Currency 5 4 4 4 3 2" xfId="23311" xr:uid="{00000000-0005-0000-0000-00006B560000}"/>
    <cellStyle name="Currency 5 4 4 4 3 2 2" xfId="23312" xr:uid="{00000000-0005-0000-0000-00006C560000}"/>
    <cellStyle name="Currency 5 4 4 4 3 2 2 2" xfId="23313" xr:uid="{00000000-0005-0000-0000-00006D560000}"/>
    <cellStyle name="Currency 5 4 4 4 3 2 2 2 2" xfId="23314" xr:uid="{00000000-0005-0000-0000-00006E560000}"/>
    <cellStyle name="Currency 5 4 4 4 3 2 2 3" xfId="23315" xr:uid="{00000000-0005-0000-0000-00006F560000}"/>
    <cellStyle name="Currency 5 4 4 4 3 2 3" xfId="23316" xr:uid="{00000000-0005-0000-0000-000070560000}"/>
    <cellStyle name="Currency 5 4 4 4 3 2 3 2" xfId="23317" xr:uid="{00000000-0005-0000-0000-000071560000}"/>
    <cellStyle name="Currency 5 4 4 4 3 2 4" xfId="23318" xr:uid="{00000000-0005-0000-0000-000072560000}"/>
    <cellStyle name="Currency 5 4 4 4 3 3" xfId="23319" xr:uid="{00000000-0005-0000-0000-000073560000}"/>
    <cellStyle name="Currency 5 4 4 4 3 3 2" xfId="23320" xr:uid="{00000000-0005-0000-0000-000074560000}"/>
    <cellStyle name="Currency 5 4 4 4 3 3 2 2" xfId="23321" xr:uid="{00000000-0005-0000-0000-000075560000}"/>
    <cellStyle name="Currency 5 4 4 4 3 3 3" xfId="23322" xr:uid="{00000000-0005-0000-0000-000076560000}"/>
    <cellStyle name="Currency 5 4 4 4 3 4" xfId="23323" xr:uid="{00000000-0005-0000-0000-000077560000}"/>
    <cellStyle name="Currency 5 4 4 4 3 4 2" xfId="23324" xr:uid="{00000000-0005-0000-0000-000078560000}"/>
    <cellStyle name="Currency 5 4 4 4 3 5" xfId="23325" xr:uid="{00000000-0005-0000-0000-000079560000}"/>
    <cellStyle name="Currency 5 4 4 4 4" xfId="23326" xr:uid="{00000000-0005-0000-0000-00007A560000}"/>
    <cellStyle name="Currency 5 4 4 4 4 2" xfId="23327" xr:uid="{00000000-0005-0000-0000-00007B560000}"/>
    <cellStyle name="Currency 5 4 4 4 4 2 2" xfId="23328" xr:uid="{00000000-0005-0000-0000-00007C560000}"/>
    <cellStyle name="Currency 5 4 4 4 4 2 2 2" xfId="23329" xr:uid="{00000000-0005-0000-0000-00007D560000}"/>
    <cellStyle name="Currency 5 4 4 4 4 2 2 2 2" xfId="23330" xr:uid="{00000000-0005-0000-0000-00007E560000}"/>
    <cellStyle name="Currency 5 4 4 4 4 2 2 3" xfId="23331" xr:uid="{00000000-0005-0000-0000-00007F560000}"/>
    <cellStyle name="Currency 5 4 4 4 4 2 3" xfId="23332" xr:uid="{00000000-0005-0000-0000-000080560000}"/>
    <cellStyle name="Currency 5 4 4 4 4 2 3 2" xfId="23333" xr:uid="{00000000-0005-0000-0000-000081560000}"/>
    <cellStyle name="Currency 5 4 4 4 4 2 4" xfId="23334" xr:uid="{00000000-0005-0000-0000-000082560000}"/>
    <cellStyle name="Currency 5 4 4 4 4 3" xfId="23335" xr:uid="{00000000-0005-0000-0000-000083560000}"/>
    <cellStyle name="Currency 5 4 4 4 4 3 2" xfId="23336" xr:uid="{00000000-0005-0000-0000-000084560000}"/>
    <cellStyle name="Currency 5 4 4 4 4 3 2 2" xfId="23337" xr:uid="{00000000-0005-0000-0000-000085560000}"/>
    <cellStyle name="Currency 5 4 4 4 4 3 3" xfId="23338" xr:uid="{00000000-0005-0000-0000-000086560000}"/>
    <cellStyle name="Currency 5 4 4 4 4 4" xfId="23339" xr:uid="{00000000-0005-0000-0000-000087560000}"/>
    <cellStyle name="Currency 5 4 4 4 4 4 2" xfId="23340" xr:uid="{00000000-0005-0000-0000-000088560000}"/>
    <cellStyle name="Currency 5 4 4 4 4 5" xfId="23341" xr:uid="{00000000-0005-0000-0000-000089560000}"/>
    <cellStyle name="Currency 5 4 4 4 5" xfId="23342" xr:uid="{00000000-0005-0000-0000-00008A560000}"/>
    <cellStyle name="Currency 5 4 4 4 5 2" xfId="23343" xr:uid="{00000000-0005-0000-0000-00008B560000}"/>
    <cellStyle name="Currency 5 4 4 4 5 2 2" xfId="23344" xr:uid="{00000000-0005-0000-0000-00008C560000}"/>
    <cellStyle name="Currency 5 4 4 4 5 2 2 2" xfId="23345" xr:uid="{00000000-0005-0000-0000-00008D560000}"/>
    <cellStyle name="Currency 5 4 4 4 5 2 3" xfId="23346" xr:uid="{00000000-0005-0000-0000-00008E560000}"/>
    <cellStyle name="Currency 5 4 4 4 5 3" xfId="23347" xr:uid="{00000000-0005-0000-0000-00008F560000}"/>
    <cellStyle name="Currency 5 4 4 4 5 3 2" xfId="23348" xr:uid="{00000000-0005-0000-0000-000090560000}"/>
    <cellStyle name="Currency 5 4 4 4 5 4" xfId="23349" xr:uid="{00000000-0005-0000-0000-000091560000}"/>
    <cellStyle name="Currency 5 4 4 4 6" xfId="23350" xr:uid="{00000000-0005-0000-0000-000092560000}"/>
    <cellStyle name="Currency 5 4 4 4 6 2" xfId="23351" xr:uid="{00000000-0005-0000-0000-000093560000}"/>
    <cellStyle name="Currency 5 4 4 4 6 2 2" xfId="23352" xr:uid="{00000000-0005-0000-0000-000094560000}"/>
    <cellStyle name="Currency 5 4 4 4 6 2 2 2" xfId="23353" xr:uid="{00000000-0005-0000-0000-000095560000}"/>
    <cellStyle name="Currency 5 4 4 4 6 2 3" xfId="23354" xr:uid="{00000000-0005-0000-0000-000096560000}"/>
    <cellStyle name="Currency 5 4 4 4 6 3" xfId="23355" xr:uid="{00000000-0005-0000-0000-000097560000}"/>
    <cellStyle name="Currency 5 4 4 4 6 3 2" xfId="23356" xr:uid="{00000000-0005-0000-0000-000098560000}"/>
    <cellStyle name="Currency 5 4 4 4 6 4" xfId="23357" xr:uid="{00000000-0005-0000-0000-000099560000}"/>
    <cellStyle name="Currency 5 4 4 4 7" xfId="23358" xr:uid="{00000000-0005-0000-0000-00009A560000}"/>
    <cellStyle name="Currency 5 4 4 4 7 2" xfId="23359" xr:uid="{00000000-0005-0000-0000-00009B560000}"/>
    <cellStyle name="Currency 5 4 4 4 7 2 2" xfId="23360" xr:uid="{00000000-0005-0000-0000-00009C560000}"/>
    <cellStyle name="Currency 5 4 4 4 7 2 2 2" xfId="23361" xr:uid="{00000000-0005-0000-0000-00009D560000}"/>
    <cellStyle name="Currency 5 4 4 4 7 2 3" xfId="23362" xr:uid="{00000000-0005-0000-0000-00009E560000}"/>
    <cellStyle name="Currency 5 4 4 4 7 3" xfId="23363" xr:uid="{00000000-0005-0000-0000-00009F560000}"/>
    <cellStyle name="Currency 5 4 4 4 7 3 2" xfId="23364" xr:uid="{00000000-0005-0000-0000-0000A0560000}"/>
    <cellStyle name="Currency 5 4 4 4 7 4" xfId="23365" xr:uid="{00000000-0005-0000-0000-0000A1560000}"/>
    <cellStyle name="Currency 5 4 4 4 8" xfId="23366" xr:uid="{00000000-0005-0000-0000-0000A2560000}"/>
    <cellStyle name="Currency 5 4 4 4 8 2" xfId="23367" xr:uid="{00000000-0005-0000-0000-0000A3560000}"/>
    <cellStyle name="Currency 5 4 4 4 8 2 2" xfId="23368" xr:uid="{00000000-0005-0000-0000-0000A4560000}"/>
    <cellStyle name="Currency 5 4 4 4 8 3" xfId="23369" xr:uid="{00000000-0005-0000-0000-0000A5560000}"/>
    <cellStyle name="Currency 5 4 4 4 9" xfId="23370" xr:uid="{00000000-0005-0000-0000-0000A6560000}"/>
    <cellStyle name="Currency 5 4 4 4 9 2" xfId="23371" xr:uid="{00000000-0005-0000-0000-0000A7560000}"/>
    <cellStyle name="Currency 5 4 4 5" xfId="1358" xr:uid="{00000000-0005-0000-0000-0000A8560000}"/>
    <cellStyle name="Currency 5 4 4 5 2" xfId="23373" xr:uid="{00000000-0005-0000-0000-0000A9560000}"/>
    <cellStyle name="Currency 5 4 4 5 2 2" xfId="23374" xr:uid="{00000000-0005-0000-0000-0000AA560000}"/>
    <cellStyle name="Currency 5 4 4 5 2 2 2" xfId="23375" xr:uid="{00000000-0005-0000-0000-0000AB560000}"/>
    <cellStyle name="Currency 5 4 4 5 2 2 2 2" xfId="23376" xr:uid="{00000000-0005-0000-0000-0000AC560000}"/>
    <cellStyle name="Currency 5 4 4 5 2 2 3" xfId="23377" xr:uid="{00000000-0005-0000-0000-0000AD560000}"/>
    <cellStyle name="Currency 5 4 4 5 2 3" xfId="23378" xr:uid="{00000000-0005-0000-0000-0000AE560000}"/>
    <cellStyle name="Currency 5 4 4 5 2 3 2" xfId="23379" xr:uid="{00000000-0005-0000-0000-0000AF560000}"/>
    <cellStyle name="Currency 5 4 4 5 2 4" xfId="23380" xr:uid="{00000000-0005-0000-0000-0000B0560000}"/>
    <cellStyle name="Currency 5 4 4 5 3" xfId="23381" xr:uid="{00000000-0005-0000-0000-0000B1560000}"/>
    <cellStyle name="Currency 5 4 4 5 3 2" xfId="23382" xr:uid="{00000000-0005-0000-0000-0000B2560000}"/>
    <cellStyle name="Currency 5 4 4 5 3 2 2" xfId="23383" xr:uid="{00000000-0005-0000-0000-0000B3560000}"/>
    <cellStyle name="Currency 5 4 4 5 3 2 2 2" xfId="23384" xr:uid="{00000000-0005-0000-0000-0000B4560000}"/>
    <cellStyle name="Currency 5 4 4 5 3 2 3" xfId="23385" xr:uid="{00000000-0005-0000-0000-0000B5560000}"/>
    <cellStyle name="Currency 5 4 4 5 3 3" xfId="23386" xr:uid="{00000000-0005-0000-0000-0000B6560000}"/>
    <cellStyle name="Currency 5 4 4 5 3 3 2" xfId="23387" xr:uid="{00000000-0005-0000-0000-0000B7560000}"/>
    <cellStyle name="Currency 5 4 4 5 3 4" xfId="23388" xr:uid="{00000000-0005-0000-0000-0000B8560000}"/>
    <cellStyle name="Currency 5 4 4 5 4" xfId="23389" xr:uid="{00000000-0005-0000-0000-0000B9560000}"/>
    <cellStyle name="Currency 5 4 4 5 4 2" xfId="23390" xr:uid="{00000000-0005-0000-0000-0000BA560000}"/>
    <cellStyle name="Currency 5 4 4 5 4 2 2" xfId="23391" xr:uid="{00000000-0005-0000-0000-0000BB560000}"/>
    <cellStyle name="Currency 5 4 4 5 4 3" xfId="23392" xr:uid="{00000000-0005-0000-0000-0000BC560000}"/>
    <cellStyle name="Currency 5 4 4 5 5" xfId="23393" xr:uid="{00000000-0005-0000-0000-0000BD560000}"/>
    <cellStyle name="Currency 5 4 4 5 5 2" xfId="23394" xr:uid="{00000000-0005-0000-0000-0000BE560000}"/>
    <cellStyle name="Currency 5 4 4 5 6" xfId="23395" xr:uid="{00000000-0005-0000-0000-0000BF560000}"/>
    <cellStyle name="Currency 5 4 4 5 7" xfId="23372" xr:uid="{00000000-0005-0000-0000-0000C0560000}"/>
    <cellStyle name="Currency 5 4 4 6" xfId="23396" xr:uid="{00000000-0005-0000-0000-0000C1560000}"/>
    <cellStyle name="Currency 5 4 4 6 2" xfId="23397" xr:uid="{00000000-0005-0000-0000-0000C2560000}"/>
    <cellStyle name="Currency 5 4 4 6 2 2" xfId="23398" xr:uid="{00000000-0005-0000-0000-0000C3560000}"/>
    <cellStyle name="Currency 5 4 4 6 2 2 2" xfId="23399" xr:uid="{00000000-0005-0000-0000-0000C4560000}"/>
    <cellStyle name="Currency 5 4 4 6 2 2 2 2" xfId="23400" xr:uid="{00000000-0005-0000-0000-0000C5560000}"/>
    <cellStyle name="Currency 5 4 4 6 2 2 3" xfId="23401" xr:uid="{00000000-0005-0000-0000-0000C6560000}"/>
    <cellStyle name="Currency 5 4 4 6 2 3" xfId="23402" xr:uid="{00000000-0005-0000-0000-0000C7560000}"/>
    <cellStyle name="Currency 5 4 4 6 2 3 2" xfId="23403" xr:uid="{00000000-0005-0000-0000-0000C8560000}"/>
    <cellStyle name="Currency 5 4 4 6 2 4" xfId="23404" xr:uid="{00000000-0005-0000-0000-0000C9560000}"/>
    <cellStyle name="Currency 5 4 4 6 3" xfId="23405" xr:uid="{00000000-0005-0000-0000-0000CA560000}"/>
    <cellStyle name="Currency 5 4 4 6 3 2" xfId="23406" xr:uid="{00000000-0005-0000-0000-0000CB560000}"/>
    <cellStyle name="Currency 5 4 4 6 3 2 2" xfId="23407" xr:uid="{00000000-0005-0000-0000-0000CC560000}"/>
    <cellStyle name="Currency 5 4 4 6 3 3" xfId="23408" xr:uid="{00000000-0005-0000-0000-0000CD560000}"/>
    <cellStyle name="Currency 5 4 4 6 4" xfId="23409" xr:uid="{00000000-0005-0000-0000-0000CE560000}"/>
    <cellStyle name="Currency 5 4 4 6 4 2" xfId="23410" xr:uid="{00000000-0005-0000-0000-0000CF560000}"/>
    <cellStyle name="Currency 5 4 4 6 5" xfId="23411" xr:uid="{00000000-0005-0000-0000-0000D0560000}"/>
    <cellStyle name="Currency 5 4 4 7" xfId="23412" xr:uid="{00000000-0005-0000-0000-0000D1560000}"/>
    <cellStyle name="Currency 5 4 4 7 2" xfId="23413" xr:uid="{00000000-0005-0000-0000-0000D2560000}"/>
    <cellStyle name="Currency 5 4 4 7 2 2" xfId="23414" xr:uid="{00000000-0005-0000-0000-0000D3560000}"/>
    <cellStyle name="Currency 5 4 4 7 2 2 2" xfId="23415" xr:uid="{00000000-0005-0000-0000-0000D4560000}"/>
    <cellStyle name="Currency 5 4 4 7 2 2 2 2" xfId="23416" xr:uid="{00000000-0005-0000-0000-0000D5560000}"/>
    <cellStyle name="Currency 5 4 4 7 2 2 3" xfId="23417" xr:uid="{00000000-0005-0000-0000-0000D6560000}"/>
    <cellStyle name="Currency 5 4 4 7 2 3" xfId="23418" xr:uid="{00000000-0005-0000-0000-0000D7560000}"/>
    <cellStyle name="Currency 5 4 4 7 2 3 2" xfId="23419" xr:uid="{00000000-0005-0000-0000-0000D8560000}"/>
    <cellStyle name="Currency 5 4 4 7 2 4" xfId="23420" xr:uid="{00000000-0005-0000-0000-0000D9560000}"/>
    <cellStyle name="Currency 5 4 4 7 3" xfId="23421" xr:uid="{00000000-0005-0000-0000-0000DA560000}"/>
    <cellStyle name="Currency 5 4 4 7 3 2" xfId="23422" xr:uid="{00000000-0005-0000-0000-0000DB560000}"/>
    <cellStyle name="Currency 5 4 4 7 3 2 2" xfId="23423" xr:uid="{00000000-0005-0000-0000-0000DC560000}"/>
    <cellStyle name="Currency 5 4 4 7 3 3" xfId="23424" xr:uid="{00000000-0005-0000-0000-0000DD560000}"/>
    <cellStyle name="Currency 5 4 4 7 4" xfId="23425" xr:uid="{00000000-0005-0000-0000-0000DE560000}"/>
    <cellStyle name="Currency 5 4 4 7 4 2" xfId="23426" xr:uid="{00000000-0005-0000-0000-0000DF560000}"/>
    <cellStyle name="Currency 5 4 4 7 5" xfId="23427" xr:uid="{00000000-0005-0000-0000-0000E0560000}"/>
    <cellStyle name="Currency 5 4 4 8" xfId="23428" xr:uid="{00000000-0005-0000-0000-0000E1560000}"/>
    <cellStyle name="Currency 5 4 4 8 2" xfId="23429" xr:uid="{00000000-0005-0000-0000-0000E2560000}"/>
    <cellStyle name="Currency 5 4 4 8 2 2" xfId="23430" xr:uid="{00000000-0005-0000-0000-0000E3560000}"/>
    <cellStyle name="Currency 5 4 4 8 2 2 2" xfId="23431" xr:uid="{00000000-0005-0000-0000-0000E4560000}"/>
    <cellStyle name="Currency 5 4 4 8 2 3" xfId="23432" xr:uid="{00000000-0005-0000-0000-0000E5560000}"/>
    <cellStyle name="Currency 5 4 4 8 3" xfId="23433" xr:uid="{00000000-0005-0000-0000-0000E6560000}"/>
    <cellStyle name="Currency 5 4 4 8 3 2" xfId="23434" xr:uid="{00000000-0005-0000-0000-0000E7560000}"/>
    <cellStyle name="Currency 5 4 4 8 4" xfId="23435" xr:uid="{00000000-0005-0000-0000-0000E8560000}"/>
    <cellStyle name="Currency 5 4 4 9" xfId="23436" xr:uid="{00000000-0005-0000-0000-0000E9560000}"/>
    <cellStyle name="Currency 5 4 4 9 2" xfId="23437" xr:uid="{00000000-0005-0000-0000-0000EA560000}"/>
    <cellStyle name="Currency 5 4 4 9 2 2" xfId="23438" xr:uid="{00000000-0005-0000-0000-0000EB560000}"/>
    <cellStyle name="Currency 5 4 4 9 2 2 2" xfId="23439" xr:uid="{00000000-0005-0000-0000-0000EC560000}"/>
    <cellStyle name="Currency 5 4 4 9 2 3" xfId="23440" xr:uid="{00000000-0005-0000-0000-0000ED560000}"/>
    <cellStyle name="Currency 5 4 4 9 3" xfId="23441" xr:uid="{00000000-0005-0000-0000-0000EE560000}"/>
    <cellStyle name="Currency 5 4 4 9 3 2" xfId="23442" xr:uid="{00000000-0005-0000-0000-0000EF560000}"/>
    <cellStyle name="Currency 5 4 4 9 4" xfId="23443" xr:uid="{00000000-0005-0000-0000-0000F0560000}"/>
    <cellStyle name="Currency 5 4 5" xfId="408" xr:uid="{00000000-0005-0000-0000-0000F1560000}"/>
    <cellStyle name="Currency 5 4 5 10" xfId="23445" xr:uid="{00000000-0005-0000-0000-0000F2560000}"/>
    <cellStyle name="Currency 5 4 5 10 2" xfId="23446" xr:uid="{00000000-0005-0000-0000-0000F3560000}"/>
    <cellStyle name="Currency 5 4 5 10 2 2" xfId="23447" xr:uid="{00000000-0005-0000-0000-0000F4560000}"/>
    <cellStyle name="Currency 5 4 5 10 3" xfId="23448" xr:uid="{00000000-0005-0000-0000-0000F5560000}"/>
    <cellStyle name="Currency 5 4 5 11" xfId="23449" xr:uid="{00000000-0005-0000-0000-0000F6560000}"/>
    <cellStyle name="Currency 5 4 5 11 2" xfId="23450" xr:uid="{00000000-0005-0000-0000-0000F7560000}"/>
    <cellStyle name="Currency 5 4 5 11 2 2" xfId="23451" xr:uid="{00000000-0005-0000-0000-0000F8560000}"/>
    <cellStyle name="Currency 5 4 5 11 3" xfId="23452" xr:uid="{00000000-0005-0000-0000-0000F9560000}"/>
    <cellStyle name="Currency 5 4 5 12" xfId="23453" xr:uid="{00000000-0005-0000-0000-0000FA560000}"/>
    <cellStyle name="Currency 5 4 5 12 2" xfId="23454" xr:uid="{00000000-0005-0000-0000-0000FB560000}"/>
    <cellStyle name="Currency 5 4 5 13" xfId="23455" xr:uid="{00000000-0005-0000-0000-0000FC560000}"/>
    <cellStyle name="Currency 5 4 5 14" xfId="23456" xr:uid="{00000000-0005-0000-0000-0000FD560000}"/>
    <cellStyle name="Currency 5 4 5 15" xfId="23444" xr:uid="{00000000-0005-0000-0000-0000FE560000}"/>
    <cellStyle name="Currency 5 4 5 2" xfId="944" xr:uid="{00000000-0005-0000-0000-0000FF560000}"/>
    <cellStyle name="Currency 5 4 5 2 10" xfId="23458" xr:uid="{00000000-0005-0000-0000-000000570000}"/>
    <cellStyle name="Currency 5 4 5 2 11" xfId="23457" xr:uid="{00000000-0005-0000-0000-000001570000}"/>
    <cellStyle name="Currency 5 4 5 2 2" xfId="1685" xr:uid="{00000000-0005-0000-0000-000002570000}"/>
    <cellStyle name="Currency 5 4 5 2 2 2" xfId="23460" xr:uid="{00000000-0005-0000-0000-000003570000}"/>
    <cellStyle name="Currency 5 4 5 2 2 2 2" xfId="23461" xr:uid="{00000000-0005-0000-0000-000004570000}"/>
    <cellStyle name="Currency 5 4 5 2 2 2 2 2" xfId="23462" xr:uid="{00000000-0005-0000-0000-000005570000}"/>
    <cellStyle name="Currency 5 4 5 2 2 2 2 2 2" xfId="23463" xr:uid="{00000000-0005-0000-0000-000006570000}"/>
    <cellStyle name="Currency 5 4 5 2 2 2 2 3" xfId="23464" xr:uid="{00000000-0005-0000-0000-000007570000}"/>
    <cellStyle name="Currency 5 4 5 2 2 2 3" xfId="23465" xr:uid="{00000000-0005-0000-0000-000008570000}"/>
    <cellStyle name="Currency 5 4 5 2 2 2 3 2" xfId="23466" xr:uid="{00000000-0005-0000-0000-000009570000}"/>
    <cellStyle name="Currency 5 4 5 2 2 2 4" xfId="23467" xr:uid="{00000000-0005-0000-0000-00000A570000}"/>
    <cellStyle name="Currency 5 4 5 2 2 3" xfId="23468" xr:uid="{00000000-0005-0000-0000-00000B570000}"/>
    <cellStyle name="Currency 5 4 5 2 2 3 2" xfId="23469" xr:uid="{00000000-0005-0000-0000-00000C570000}"/>
    <cellStyle name="Currency 5 4 5 2 2 3 2 2" xfId="23470" xr:uid="{00000000-0005-0000-0000-00000D570000}"/>
    <cellStyle name="Currency 5 4 5 2 2 3 2 2 2" xfId="23471" xr:uid="{00000000-0005-0000-0000-00000E570000}"/>
    <cellStyle name="Currency 5 4 5 2 2 3 2 3" xfId="23472" xr:uid="{00000000-0005-0000-0000-00000F570000}"/>
    <cellStyle name="Currency 5 4 5 2 2 3 3" xfId="23473" xr:uid="{00000000-0005-0000-0000-000010570000}"/>
    <cellStyle name="Currency 5 4 5 2 2 3 3 2" xfId="23474" xr:uid="{00000000-0005-0000-0000-000011570000}"/>
    <cellStyle name="Currency 5 4 5 2 2 3 4" xfId="23475" xr:uid="{00000000-0005-0000-0000-000012570000}"/>
    <cellStyle name="Currency 5 4 5 2 2 4" xfId="23476" xr:uid="{00000000-0005-0000-0000-000013570000}"/>
    <cellStyle name="Currency 5 4 5 2 2 4 2" xfId="23477" xr:uid="{00000000-0005-0000-0000-000014570000}"/>
    <cellStyle name="Currency 5 4 5 2 2 4 2 2" xfId="23478" xr:uid="{00000000-0005-0000-0000-000015570000}"/>
    <cellStyle name="Currency 5 4 5 2 2 4 3" xfId="23479" xr:uid="{00000000-0005-0000-0000-000016570000}"/>
    <cellStyle name="Currency 5 4 5 2 2 5" xfId="23480" xr:uid="{00000000-0005-0000-0000-000017570000}"/>
    <cellStyle name="Currency 5 4 5 2 2 5 2" xfId="23481" xr:uid="{00000000-0005-0000-0000-000018570000}"/>
    <cellStyle name="Currency 5 4 5 2 2 6" xfId="23482" xr:uid="{00000000-0005-0000-0000-000019570000}"/>
    <cellStyle name="Currency 5 4 5 2 2 7" xfId="23459" xr:uid="{00000000-0005-0000-0000-00001A570000}"/>
    <cellStyle name="Currency 5 4 5 2 3" xfId="23483" xr:uid="{00000000-0005-0000-0000-00001B570000}"/>
    <cellStyle name="Currency 5 4 5 2 3 2" xfId="23484" xr:uid="{00000000-0005-0000-0000-00001C570000}"/>
    <cellStyle name="Currency 5 4 5 2 3 2 2" xfId="23485" xr:uid="{00000000-0005-0000-0000-00001D570000}"/>
    <cellStyle name="Currency 5 4 5 2 3 2 2 2" xfId="23486" xr:uid="{00000000-0005-0000-0000-00001E570000}"/>
    <cellStyle name="Currency 5 4 5 2 3 2 2 2 2" xfId="23487" xr:uid="{00000000-0005-0000-0000-00001F570000}"/>
    <cellStyle name="Currency 5 4 5 2 3 2 2 3" xfId="23488" xr:uid="{00000000-0005-0000-0000-000020570000}"/>
    <cellStyle name="Currency 5 4 5 2 3 2 3" xfId="23489" xr:uid="{00000000-0005-0000-0000-000021570000}"/>
    <cellStyle name="Currency 5 4 5 2 3 2 3 2" xfId="23490" xr:uid="{00000000-0005-0000-0000-000022570000}"/>
    <cellStyle name="Currency 5 4 5 2 3 2 4" xfId="23491" xr:uid="{00000000-0005-0000-0000-000023570000}"/>
    <cellStyle name="Currency 5 4 5 2 3 3" xfId="23492" xr:uid="{00000000-0005-0000-0000-000024570000}"/>
    <cellStyle name="Currency 5 4 5 2 3 3 2" xfId="23493" xr:uid="{00000000-0005-0000-0000-000025570000}"/>
    <cellStyle name="Currency 5 4 5 2 3 3 2 2" xfId="23494" xr:uid="{00000000-0005-0000-0000-000026570000}"/>
    <cellStyle name="Currency 5 4 5 2 3 3 3" xfId="23495" xr:uid="{00000000-0005-0000-0000-000027570000}"/>
    <cellStyle name="Currency 5 4 5 2 3 4" xfId="23496" xr:uid="{00000000-0005-0000-0000-000028570000}"/>
    <cellStyle name="Currency 5 4 5 2 3 4 2" xfId="23497" xr:uid="{00000000-0005-0000-0000-000029570000}"/>
    <cellStyle name="Currency 5 4 5 2 3 5" xfId="23498" xr:uid="{00000000-0005-0000-0000-00002A570000}"/>
    <cellStyle name="Currency 5 4 5 2 4" xfId="23499" xr:uid="{00000000-0005-0000-0000-00002B570000}"/>
    <cellStyle name="Currency 5 4 5 2 4 2" xfId="23500" xr:uid="{00000000-0005-0000-0000-00002C570000}"/>
    <cellStyle name="Currency 5 4 5 2 4 2 2" xfId="23501" xr:uid="{00000000-0005-0000-0000-00002D570000}"/>
    <cellStyle name="Currency 5 4 5 2 4 2 2 2" xfId="23502" xr:uid="{00000000-0005-0000-0000-00002E570000}"/>
    <cellStyle name="Currency 5 4 5 2 4 2 2 2 2" xfId="23503" xr:uid="{00000000-0005-0000-0000-00002F570000}"/>
    <cellStyle name="Currency 5 4 5 2 4 2 2 3" xfId="23504" xr:uid="{00000000-0005-0000-0000-000030570000}"/>
    <cellStyle name="Currency 5 4 5 2 4 2 3" xfId="23505" xr:uid="{00000000-0005-0000-0000-000031570000}"/>
    <cellStyle name="Currency 5 4 5 2 4 2 3 2" xfId="23506" xr:uid="{00000000-0005-0000-0000-000032570000}"/>
    <cellStyle name="Currency 5 4 5 2 4 2 4" xfId="23507" xr:uid="{00000000-0005-0000-0000-000033570000}"/>
    <cellStyle name="Currency 5 4 5 2 4 3" xfId="23508" xr:uid="{00000000-0005-0000-0000-000034570000}"/>
    <cellStyle name="Currency 5 4 5 2 4 3 2" xfId="23509" xr:uid="{00000000-0005-0000-0000-000035570000}"/>
    <cellStyle name="Currency 5 4 5 2 4 3 2 2" xfId="23510" xr:uid="{00000000-0005-0000-0000-000036570000}"/>
    <cellStyle name="Currency 5 4 5 2 4 3 3" xfId="23511" xr:uid="{00000000-0005-0000-0000-000037570000}"/>
    <cellStyle name="Currency 5 4 5 2 4 4" xfId="23512" xr:uid="{00000000-0005-0000-0000-000038570000}"/>
    <cellStyle name="Currency 5 4 5 2 4 4 2" xfId="23513" xr:uid="{00000000-0005-0000-0000-000039570000}"/>
    <cellStyle name="Currency 5 4 5 2 4 5" xfId="23514" xr:uid="{00000000-0005-0000-0000-00003A570000}"/>
    <cellStyle name="Currency 5 4 5 2 5" xfId="23515" xr:uid="{00000000-0005-0000-0000-00003B570000}"/>
    <cellStyle name="Currency 5 4 5 2 5 2" xfId="23516" xr:uid="{00000000-0005-0000-0000-00003C570000}"/>
    <cellStyle name="Currency 5 4 5 2 5 2 2" xfId="23517" xr:uid="{00000000-0005-0000-0000-00003D570000}"/>
    <cellStyle name="Currency 5 4 5 2 5 2 2 2" xfId="23518" xr:uid="{00000000-0005-0000-0000-00003E570000}"/>
    <cellStyle name="Currency 5 4 5 2 5 2 3" xfId="23519" xr:uid="{00000000-0005-0000-0000-00003F570000}"/>
    <cellStyle name="Currency 5 4 5 2 5 3" xfId="23520" xr:uid="{00000000-0005-0000-0000-000040570000}"/>
    <cellStyle name="Currency 5 4 5 2 5 3 2" xfId="23521" xr:uid="{00000000-0005-0000-0000-000041570000}"/>
    <cellStyle name="Currency 5 4 5 2 5 4" xfId="23522" xr:uid="{00000000-0005-0000-0000-000042570000}"/>
    <cellStyle name="Currency 5 4 5 2 6" xfId="23523" xr:uid="{00000000-0005-0000-0000-000043570000}"/>
    <cellStyle name="Currency 5 4 5 2 6 2" xfId="23524" xr:uid="{00000000-0005-0000-0000-000044570000}"/>
    <cellStyle name="Currency 5 4 5 2 6 2 2" xfId="23525" xr:uid="{00000000-0005-0000-0000-000045570000}"/>
    <cellStyle name="Currency 5 4 5 2 6 2 2 2" xfId="23526" xr:uid="{00000000-0005-0000-0000-000046570000}"/>
    <cellStyle name="Currency 5 4 5 2 6 2 3" xfId="23527" xr:uid="{00000000-0005-0000-0000-000047570000}"/>
    <cellStyle name="Currency 5 4 5 2 6 3" xfId="23528" xr:uid="{00000000-0005-0000-0000-000048570000}"/>
    <cellStyle name="Currency 5 4 5 2 6 3 2" xfId="23529" xr:uid="{00000000-0005-0000-0000-000049570000}"/>
    <cellStyle name="Currency 5 4 5 2 6 4" xfId="23530" xr:uid="{00000000-0005-0000-0000-00004A570000}"/>
    <cellStyle name="Currency 5 4 5 2 7" xfId="23531" xr:uid="{00000000-0005-0000-0000-00004B570000}"/>
    <cellStyle name="Currency 5 4 5 2 7 2" xfId="23532" xr:uid="{00000000-0005-0000-0000-00004C570000}"/>
    <cellStyle name="Currency 5 4 5 2 7 2 2" xfId="23533" xr:uid="{00000000-0005-0000-0000-00004D570000}"/>
    <cellStyle name="Currency 5 4 5 2 7 2 2 2" xfId="23534" xr:uid="{00000000-0005-0000-0000-00004E570000}"/>
    <cellStyle name="Currency 5 4 5 2 7 2 3" xfId="23535" xr:uid="{00000000-0005-0000-0000-00004F570000}"/>
    <cellStyle name="Currency 5 4 5 2 7 3" xfId="23536" xr:uid="{00000000-0005-0000-0000-000050570000}"/>
    <cellStyle name="Currency 5 4 5 2 7 3 2" xfId="23537" xr:uid="{00000000-0005-0000-0000-000051570000}"/>
    <cellStyle name="Currency 5 4 5 2 7 4" xfId="23538" xr:uid="{00000000-0005-0000-0000-000052570000}"/>
    <cellStyle name="Currency 5 4 5 2 8" xfId="23539" xr:uid="{00000000-0005-0000-0000-000053570000}"/>
    <cellStyle name="Currency 5 4 5 2 8 2" xfId="23540" xr:uid="{00000000-0005-0000-0000-000054570000}"/>
    <cellStyle name="Currency 5 4 5 2 8 2 2" xfId="23541" xr:uid="{00000000-0005-0000-0000-000055570000}"/>
    <cellStyle name="Currency 5 4 5 2 8 3" xfId="23542" xr:uid="{00000000-0005-0000-0000-000056570000}"/>
    <cellStyle name="Currency 5 4 5 2 9" xfId="23543" xr:uid="{00000000-0005-0000-0000-000057570000}"/>
    <cellStyle name="Currency 5 4 5 2 9 2" xfId="23544" xr:uid="{00000000-0005-0000-0000-000058570000}"/>
    <cellStyle name="Currency 5 4 5 3" xfId="1360" xr:uid="{00000000-0005-0000-0000-000059570000}"/>
    <cellStyle name="Currency 5 4 5 3 2" xfId="23546" xr:uid="{00000000-0005-0000-0000-00005A570000}"/>
    <cellStyle name="Currency 5 4 5 3 2 2" xfId="23547" xr:uid="{00000000-0005-0000-0000-00005B570000}"/>
    <cellStyle name="Currency 5 4 5 3 2 2 2" xfId="23548" xr:uid="{00000000-0005-0000-0000-00005C570000}"/>
    <cellStyle name="Currency 5 4 5 3 2 2 2 2" xfId="23549" xr:uid="{00000000-0005-0000-0000-00005D570000}"/>
    <cellStyle name="Currency 5 4 5 3 2 2 3" xfId="23550" xr:uid="{00000000-0005-0000-0000-00005E570000}"/>
    <cellStyle name="Currency 5 4 5 3 2 3" xfId="23551" xr:uid="{00000000-0005-0000-0000-00005F570000}"/>
    <cellStyle name="Currency 5 4 5 3 2 3 2" xfId="23552" xr:uid="{00000000-0005-0000-0000-000060570000}"/>
    <cellStyle name="Currency 5 4 5 3 2 4" xfId="23553" xr:uid="{00000000-0005-0000-0000-000061570000}"/>
    <cellStyle name="Currency 5 4 5 3 3" xfId="23554" xr:uid="{00000000-0005-0000-0000-000062570000}"/>
    <cellStyle name="Currency 5 4 5 3 3 2" xfId="23555" xr:uid="{00000000-0005-0000-0000-000063570000}"/>
    <cellStyle name="Currency 5 4 5 3 3 2 2" xfId="23556" xr:uid="{00000000-0005-0000-0000-000064570000}"/>
    <cellStyle name="Currency 5 4 5 3 3 2 2 2" xfId="23557" xr:uid="{00000000-0005-0000-0000-000065570000}"/>
    <cellStyle name="Currency 5 4 5 3 3 2 3" xfId="23558" xr:uid="{00000000-0005-0000-0000-000066570000}"/>
    <cellStyle name="Currency 5 4 5 3 3 3" xfId="23559" xr:uid="{00000000-0005-0000-0000-000067570000}"/>
    <cellStyle name="Currency 5 4 5 3 3 3 2" xfId="23560" xr:uid="{00000000-0005-0000-0000-000068570000}"/>
    <cellStyle name="Currency 5 4 5 3 3 4" xfId="23561" xr:uid="{00000000-0005-0000-0000-000069570000}"/>
    <cellStyle name="Currency 5 4 5 3 4" xfId="23562" xr:uid="{00000000-0005-0000-0000-00006A570000}"/>
    <cellStyle name="Currency 5 4 5 3 4 2" xfId="23563" xr:uid="{00000000-0005-0000-0000-00006B570000}"/>
    <cellStyle name="Currency 5 4 5 3 4 2 2" xfId="23564" xr:uid="{00000000-0005-0000-0000-00006C570000}"/>
    <cellStyle name="Currency 5 4 5 3 4 3" xfId="23565" xr:uid="{00000000-0005-0000-0000-00006D570000}"/>
    <cellStyle name="Currency 5 4 5 3 5" xfId="23566" xr:uid="{00000000-0005-0000-0000-00006E570000}"/>
    <cellStyle name="Currency 5 4 5 3 5 2" xfId="23567" xr:uid="{00000000-0005-0000-0000-00006F570000}"/>
    <cellStyle name="Currency 5 4 5 3 6" xfId="23568" xr:uid="{00000000-0005-0000-0000-000070570000}"/>
    <cellStyle name="Currency 5 4 5 3 7" xfId="23545" xr:uid="{00000000-0005-0000-0000-000071570000}"/>
    <cellStyle name="Currency 5 4 5 4" xfId="23569" xr:uid="{00000000-0005-0000-0000-000072570000}"/>
    <cellStyle name="Currency 5 4 5 4 2" xfId="23570" xr:uid="{00000000-0005-0000-0000-000073570000}"/>
    <cellStyle name="Currency 5 4 5 4 2 2" xfId="23571" xr:uid="{00000000-0005-0000-0000-000074570000}"/>
    <cellStyle name="Currency 5 4 5 4 2 2 2" xfId="23572" xr:uid="{00000000-0005-0000-0000-000075570000}"/>
    <cellStyle name="Currency 5 4 5 4 2 2 2 2" xfId="23573" xr:uid="{00000000-0005-0000-0000-000076570000}"/>
    <cellStyle name="Currency 5 4 5 4 2 2 3" xfId="23574" xr:uid="{00000000-0005-0000-0000-000077570000}"/>
    <cellStyle name="Currency 5 4 5 4 2 3" xfId="23575" xr:uid="{00000000-0005-0000-0000-000078570000}"/>
    <cellStyle name="Currency 5 4 5 4 2 3 2" xfId="23576" xr:uid="{00000000-0005-0000-0000-000079570000}"/>
    <cellStyle name="Currency 5 4 5 4 2 4" xfId="23577" xr:uid="{00000000-0005-0000-0000-00007A570000}"/>
    <cellStyle name="Currency 5 4 5 4 3" xfId="23578" xr:uid="{00000000-0005-0000-0000-00007B570000}"/>
    <cellStyle name="Currency 5 4 5 4 3 2" xfId="23579" xr:uid="{00000000-0005-0000-0000-00007C570000}"/>
    <cellStyle name="Currency 5 4 5 4 3 2 2" xfId="23580" xr:uid="{00000000-0005-0000-0000-00007D570000}"/>
    <cellStyle name="Currency 5 4 5 4 3 3" xfId="23581" xr:uid="{00000000-0005-0000-0000-00007E570000}"/>
    <cellStyle name="Currency 5 4 5 4 4" xfId="23582" xr:uid="{00000000-0005-0000-0000-00007F570000}"/>
    <cellStyle name="Currency 5 4 5 4 4 2" xfId="23583" xr:uid="{00000000-0005-0000-0000-000080570000}"/>
    <cellStyle name="Currency 5 4 5 4 5" xfId="23584" xr:uid="{00000000-0005-0000-0000-000081570000}"/>
    <cellStyle name="Currency 5 4 5 5" xfId="23585" xr:uid="{00000000-0005-0000-0000-000082570000}"/>
    <cellStyle name="Currency 5 4 5 5 2" xfId="23586" xr:uid="{00000000-0005-0000-0000-000083570000}"/>
    <cellStyle name="Currency 5 4 5 5 2 2" xfId="23587" xr:uid="{00000000-0005-0000-0000-000084570000}"/>
    <cellStyle name="Currency 5 4 5 5 2 2 2" xfId="23588" xr:uid="{00000000-0005-0000-0000-000085570000}"/>
    <cellStyle name="Currency 5 4 5 5 2 2 2 2" xfId="23589" xr:uid="{00000000-0005-0000-0000-000086570000}"/>
    <cellStyle name="Currency 5 4 5 5 2 2 3" xfId="23590" xr:uid="{00000000-0005-0000-0000-000087570000}"/>
    <cellStyle name="Currency 5 4 5 5 2 3" xfId="23591" xr:uid="{00000000-0005-0000-0000-000088570000}"/>
    <cellStyle name="Currency 5 4 5 5 2 3 2" xfId="23592" xr:uid="{00000000-0005-0000-0000-000089570000}"/>
    <cellStyle name="Currency 5 4 5 5 2 4" xfId="23593" xr:uid="{00000000-0005-0000-0000-00008A570000}"/>
    <cellStyle name="Currency 5 4 5 5 3" xfId="23594" xr:uid="{00000000-0005-0000-0000-00008B570000}"/>
    <cellStyle name="Currency 5 4 5 5 3 2" xfId="23595" xr:uid="{00000000-0005-0000-0000-00008C570000}"/>
    <cellStyle name="Currency 5 4 5 5 3 2 2" xfId="23596" xr:uid="{00000000-0005-0000-0000-00008D570000}"/>
    <cellStyle name="Currency 5 4 5 5 3 3" xfId="23597" xr:uid="{00000000-0005-0000-0000-00008E570000}"/>
    <cellStyle name="Currency 5 4 5 5 4" xfId="23598" xr:uid="{00000000-0005-0000-0000-00008F570000}"/>
    <cellStyle name="Currency 5 4 5 5 4 2" xfId="23599" xr:uid="{00000000-0005-0000-0000-000090570000}"/>
    <cellStyle name="Currency 5 4 5 5 5" xfId="23600" xr:uid="{00000000-0005-0000-0000-000091570000}"/>
    <cellStyle name="Currency 5 4 5 6" xfId="23601" xr:uid="{00000000-0005-0000-0000-000092570000}"/>
    <cellStyle name="Currency 5 4 5 6 2" xfId="23602" xr:uid="{00000000-0005-0000-0000-000093570000}"/>
    <cellStyle name="Currency 5 4 5 6 2 2" xfId="23603" xr:uid="{00000000-0005-0000-0000-000094570000}"/>
    <cellStyle name="Currency 5 4 5 6 2 2 2" xfId="23604" xr:uid="{00000000-0005-0000-0000-000095570000}"/>
    <cellStyle name="Currency 5 4 5 6 2 3" xfId="23605" xr:uid="{00000000-0005-0000-0000-000096570000}"/>
    <cellStyle name="Currency 5 4 5 6 3" xfId="23606" xr:uid="{00000000-0005-0000-0000-000097570000}"/>
    <cellStyle name="Currency 5 4 5 6 3 2" xfId="23607" xr:uid="{00000000-0005-0000-0000-000098570000}"/>
    <cellStyle name="Currency 5 4 5 6 4" xfId="23608" xr:uid="{00000000-0005-0000-0000-000099570000}"/>
    <cellStyle name="Currency 5 4 5 7" xfId="23609" xr:uid="{00000000-0005-0000-0000-00009A570000}"/>
    <cellStyle name="Currency 5 4 5 7 2" xfId="23610" xr:uid="{00000000-0005-0000-0000-00009B570000}"/>
    <cellStyle name="Currency 5 4 5 7 2 2" xfId="23611" xr:uid="{00000000-0005-0000-0000-00009C570000}"/>
    <cellStyle name="Currency 5 4 5 7 2 2 2" xfId="23612" xr:uid="{00000000-0005-0000-0000-00009D570000}"/>
    <cellStyle name="Currency 5 4 5 7 2 3" xfId="23613" xr:uid="{00000000-0005-0000-0000-00009E570000}"/>
    <cellStyle name="Currency 5 4 5 7 3" xfId="23614" xr:uid="{00000000-0005-0000-0000-00009F570000}"/>
    <cellStyle name="Currency 5 4 5 7 3 2" xfId="23615" xr:uid="{00000000-0005-0000-0000-0000A0570000}"/>
    <cellStyle name="Currency 5 4 5 7 4" xfId="23616" xr:uid="{00000000-0005-0000-0000-0000A1570000}"/>
    <cellStyle name="Currency 5 4 5 8" xfId="23617" xr:uid="{00000000-0005-0000-0000-0000A2570000}"/>
    <cellStyle name="Currency 5 4 5 8 2" xfId="23618" xr:uid="{00000000-0005-0000-0000-0000A3570000}"/>
    <cellStyle name="Currency 5 4 5 8 2 2" xfId="23619" xr:uid="{00000000-0005-0000-0000-0000A4570000}"/>
    <cellStyle name="Currency 5 4 5 8 2 2 2" xfId="23620" xr:uid="{00000000-0005-0000-0000-0000A5570000}"/>
    <cellStyle name="Currency 5 4 5 8 2 3" xfId="23621" xr:uid="{00000000-0005-0000-0000-0000A6570000}"/>
    <cellStyle name="Currency 5 4 5 8 3" xfId="23622" xr:uid="{00000000-0005-0000-0000-0000A7570000}"/>
    <cellStyle name="Currency 5 4 5 8 3 2" xfId="23623" xr:uid="{00000000-0005-0000-0000-0000A8570000}"/>
    <cellStyle name="Currency 5 4 5 8 4" xfId="23624" xr:uid="{00000000-0005-0000-0000-0000A9570000}"/>
    <cellStyle name="Currency 5 4 5 9" xfId="23625" xr:uid="{00000000-0005-0000-0000-0000AA570000}"/>
    <cellStyle name="Currency 5 4 5 9 2" xfId="23626" xr:uid="{00000000-0005-0000-0000-0000AB570000}"/>
    <cellStyle name="Currency 5 4 5 9 2 2" xfId="23627" xr:uid="{00000000-0005-0000-0000-0000AC570000}"/>
    <cellStyle name="Currency 5 4 5 9 3" xfId="23628" xr:uid="{00000000-0005-0000-0000-0000AD570000}"/>
    <cellStyle name="Currency 5 4 6" xfId="409" xr:uid="{00000000-0005-0000-0000-0000AE570000}"/>
    <cellStyle name="Currency 5 4 7" xfId="929" xr:uid="{00000000-0005-0000-0000-0000AF570000}"/>
    <cellStyle name="Currency 5 4 7 10" xfId="23630" xr:uid="{00000000-0005-0000-0000-0000B0570000}"/>
    <cellStyle name="Currency 5 4 7 11" xfId="23629" xr:uid="{00000000-0005-0000-0000-0000B1570000}"/>
    <cellStyle name="Currency 5 4 7 2" xfId="1670" xr:uid="{00000000-0005-0000-0000-0000B2570000}"/>
    <cellStyle name="Currency 5 4 7 2 2" xfId="23632" xr:uid="{00000000-0005-0000-0000-0000B3570000}"/>
    <cellStyle name="Currency 5 4 7 2 2 2" xfId="23633" xr:uid="{00000000-0005-0000-0000-0000B4570000}"/>
    <cellStyle name="Currency 5 4 7 2 2 2 2" xfId="23634" xr:uid="{00000000-0005-0000-0000-0000B5570000}"/>
    <cellStyle name="Currency 5 4 7 2 2 2 2 2" xfId="23635" xr:uid="{00000000-0005-0000-0000-0000B6570000}"/>
    <cellStyle name="Currency 5 4 7 2 2 2 3" xfId="23636" xr:uid="{00000000-0005-0000-0000-0000B7570000}"/>
    <cellStyle name="Currency 5 4 7 2 2 3" xfId="23637" xr:uid="{00000000-0005-0000-0000-0000B8570000}"/>
    <cellStyle name="Currency 5 4 7 2 2 3 2" xfId="23638" xr:uid="{00000000-0005-0000-0000-0000B9570000}"/>
    <cellStyle name="Currency 5 4 7 2 2 4" xfId="23639" xr:uid="{00000000-0005-0000-0000-0000BA570000}"/>
    <cellStyle name="Currency 5 4 7 2 3" xfId="23640" xr:uid="{00000000-0005-0000-0000-0000BB570000}"/>
    <cellStyle name="Currency 5 4 7 2 3 2" xfId="23641" xr:uid="{00000000-0005-0000-0000-0000BC570000}"/>
    <cellStyle name="Currency 5 4 7 2 3 2 2" xfId="23642" xr:uid="{00000000-0005-0000-0000-0000BD570000}"/>
    <cellStyle name="Currency 5 4 7 2 3 2 2 2" xfId="23643" xr:uid="{00000000-0005-0000-0000-0000BE570000}"/>
    <cellStyle name="Currency 5 4 7 2 3 2 3" xfId="23644" xr:uid="{00000000-0005-0000-0000-0000BF570000}"/>
    <cellStyle name="Currency 5 4 7 2 3 3" xfId="23645" xr:uid="{00000000-0005-0000-0000-0000C0570000}"/>
    <cellStyle name="Currency 5 4 7 2 3 3 2" xfId="23646" xr:uid="{00000000-0005-0000-0000-0000C1570000}"/>
    <cellStyle name="Currency 5 4 7 2 3 4" xfId="23647" xr:uid="{00000000-0005-0000-0000-0000C2570000}"/>
    <cellStyle name="Currency 5 4 7 2 4" xfId="23648" xr:uid="{00000000-0005-0000-0000-0000C3570000}"/>
    <cellStyle name="Currency 5 4 7 2 4 2" xfId="23649" xr:uid="{00000000-0005-0000-0000-0000C4570000}"/>
    <cellStyle name="Currency 5 4 7 2 4 2 2" xfId="23650" xr:uid="{00000000-0005-0000-0000-0000C5570000}"/>
    <cellStyle name="Currency 5 4 7 2 4 3" xfId="23651" xr:uid="{00000000-0005-0000-0000-0000C6570000}"/>
    <cellStyle name="Currency 5 4 7 2 5" xfId="23652" xr:uid="{00000000-0005-0000-0000-0000C7570000}"/>
    <cellStyle name="Currency 5 4 7 2 5 2" xfId="23653" xr:uid="{00000000-0005-0000-0000-0000C8570000}"/>
    <cellStyle name="Currency 5 4 7 2 6" xfId="23654" xr:uid="{00000000-0005-0000-0000-0000C9570000}"/>
    <cellStyle name="Currency 5 4 7 2 7" xfId="23631" xr:uid="{00000000-0005-0000-0000-0000CA570000}"/>
    <cellStyle name="Currency 5 4 7 3" xfId="23655" xr:uid="{00000000-0005-0000-0000-0000CB570000}"/>
    <cellStyle name="Currency 5 4 7 3 2" xfId="23656" xr:uid="{00000000-0005-0000-0000-0000CC570000}"/>
    <cellStyle name="Currency 5 4 7 3 2 2" xfId="23657" xr:uid="{00000000-0005-0000-0000-0000CD570000}"/>
    <cellStyle name="Currency 5 4 7 3 2 2 2" xfId="23658" xr:uid="{00000000-0005-0000-0000-0000CE570000}"/>
    <cellStyle name="Currency 5 4 7 3 2 2 2 2" xfId="23659" xr:uid="{00000000-0005-0000-0000-0000CF570000}"/>
    <cellStyle name="Currency 5 4 7 3 2 2 3" xfId="23660" xr:uid="{00000000-0005-0000-0000-0000D0570000}"/>
    <cellStyle name="Currency 5 4 7 3 2 3" xfId="23661" xr:uid="{00000000-0005-0000-0000-0000D1570000}"/>
    <cellStyle name="Currency 5 4 7 3 2 3 2" xfId="23662" xr:uid="{00000000-0005-0000-0000-0000D2570000}"/>
    <cellStyle name="Currency 5 4 7 3 2 4" xfId="23663" xr:uid="{00000000-0005-0000-0000-0000D3570000}"/>
    <cellStyle name="Currency 5 4 7 3 3" xfId="23664" xr:uid="{00000000-0005-0000-0000-0000D4570000}"/>
    <cellStyle name="Currency 5 4 7 3 3 2" xfId="23665" xr:uid="{00000000-0005-0000-0000-0000D5570000}"/>
    <cellStyle name="Currency 5 4 7 3 3 2 2" xfId="23666" xr:uid="{00000000-0005-0000-0000-0000D6570000}"/>
    <cellStyle name="Currency 5 4 7 3 3 3" xfId="23667" xr:uid="{00000000-0005-0000-0000-0000D7570000}"/>
    <cellStyle name="Currency 5 4 7 3 4" xfId="23668" xr:uid="{00000000-0005-0000-0000-0000D8570000}"/>
    <cellStyle name="Currency 5 4 7 3 4 2" xfId="23669" xr:uid="{00000000-0005-0000-0000-0000D9570000}"/>
    <cellStyle name="Currency 5 4 7 3 5" xfId="23670" xr:uid="{00000000-0005-0000-0000-0000DA570000}"/>
    <cellStyle name="Currency 5 4 7 4" xfId="23671" xr:uid="{00000000-0005-0000-0000-0000DB570000}"/>
    <cellStyle name="Currency 5 4 7 4 2" xfId="23672" xr:uid="{00000000-0005-0000-0000-0000DC570000}"/>
    <cellStyle name="Currency 5 4 7 4 2 2" xfId="23673" xr:uid="{00000000-0005-0000-0000-0000DD570000}"/>
    <cellStyle name="Currency 5 4 7 4 2 2 2" xfId="23674" xr:uid="{00000000-0005-0000-0000-0000DE570000}"/>
    <cellStyle name="Currency 5 4 7 4 2 2 2 2" xfId="23675" xr:uid="{00000000-0005-0000-0000-0000DF570000}"/>
    <cellStyle name="Currency 5 4 7 4 2 2 3" xfId="23676" xr:uid="{00000000-0005-0000-0000-0000E0570000}"/>
    <cellStyle name="Currency 5 4 7 4 2 3" xfId="23677" xr:uid="{00000000-0005-0000-0000-0000E1570000}"/>
    <cellStyle name="Currency 5 4 7 4 2 3 2" xfId="23678" xr:uid="{00000000-0005-0000-0000-0000E2570000}"/>
    <cellStyle name="Currency 5 4 7 4 2 4" xfId="23679" xr:uid="{00000000-0005-0000-0000-0000E3570000}"/>
    <cellStyle name="Currency 5 4 7 4 3" xfId="23680" xr:uid="{00000000-0005-0000-0000-0000E4570000}"/>
    <cellStyle name="Currency 5 4 7 4 3 2" xfId="23681" xr:uid="{00000000-0005-0000-0000-0000E5570000}"/>
    <cellStyle name="Currency 5 4 7 4 3 2 2" xfId="23682" xr:uid="{00000000-0005-0000-0000-0000E6570000}"/>
    <cellStyle name="Currency 5 4 7 4 3 3" xfId="23683" xr:uid="{00000000-0005-0000-0000-0000E7570000}"/>
    <cellStyle name="Currency 5 4 7 4 4" xfId="23684" xr:uid="{00000000-0005-0000-0000-0000E8570000}"/>
    <cellStyle name="Currency 5 4 7 4 4 2" xfId="23685" xr:uid="{00000000-0005-0000-0000-0000E9570000}"/>
    <cellStyle name="Currency 5 4 7 4 5" xfId="23686" xr:uid="{00000000-0005-0000-0000-0000EA570000}"/>
    <cellStyle name="Currency 5 4 7 5" xfId="23687" xr:uid="{00000000-0005-0000-0000-0000EB570000}"/>
    <cellStyle name="Currency 5 4 7 5 2" xfId="23688" xr:uid="{00000000-0005-0000-0000-0000EC570000}"/>
    <cellStyle name="Currency 5 4 7 5 2 2" xfId="23689" xr:uid="{00000000-0005-0000-0000-0000ED570000}"/>
    <cellStyle name="Currency 5 4 7 5 2 2 2" xfId="23690" xr:uid="{00000000-0005-0000-0000-0000EE570000}"/>
    <cellStyle name="Currency 5 4 7 5 2 3" xfId="23691" xr:uid="{00000000-0005-0000-0000-0000EF570000}"/>
    <cellStyle name="Currency 5 4 7 5 3" xfId="23692" xr:uid="{00000000-0005-0000-0000-0000F0570000}"/>
    <cellStyle name="Currency 5 4 7 5 3 2" xfId="23693" xr:uid="{00000000-0005-0000-0000-0000F1570000}"/>
    <cellStyle name="Currency 5 4 7 5 4" xfId="23694" xr:uid="{00000000-0005-0000-0000-0000F2570000}"/>
    <cellStyle name="Currency 5 4 7 6" xfId="23695" xr:uid="{00000000-0005-0000-0000-0000F3570000}"/>
    <cellStyle name="Currency 5 4 7 6 2" xfId="23696" xr:uid="{00000000-0005-0000-0000-0000F4570000}"/>
    <cellStyle name="Currency 5 4 7 6 2 2" xfId="23697" xr:uid="{00000000-0005-0000-0000-0000F5570000}"/>
    <cellStyle name="Currency 5 4 7 6 2 2 2" xfId="23698" xr:uid="{00000000-0005-0000-0000-0000F6570000}"/>
    <cellStyle name="Currency 5 4 7 6 2 3" xfId="23699" xr:uid="{00000000-0005-0000-0000-0000F7570000}"/>
    <cellStyle name="Currency 5 4 7 6 3" xfId="23700" xr:uid="{00000000-0005-0000-0000-0000F8570000}"/>
    <cellStyle name="Currency 5 4 7 6 3 2" xfId="23701" xr:uid="{00000000-0005-0000-0000-0000F9570000}"/>
    <cellStyle name="Currency 5 4 7 6 4" xfId="23702" xr:uid="{00000000-0005-0000-0000-0000FA570000}"/>
    <cellStyle name="Currency 5 4 7 7" xfId="23703" xr:uid="{00000000-0005-0000-0000-0000FB570000}"/>
    <cellStyle name="Currency 5 4 7 7 2" xfId="23704" xr:uid="{00000000-0005-0000-0000-0000FC570000}"/>
    <cellStyle name="Currency 5 4 7 7 2 2" xfId="23705" xr:uid="{00000000-0005-0000-0000-0000FD570000}"/>
    <cellStyle name="Currency 5 4 7 7 2 2 2" xfId="23706" xr:uid="{00000000-0005-0000-0000-0000FE570000}"/>
    <cellStyle name="Currency 5 4 7 7 2 3" xfId="23707" xr:uid="{00000000-0005-0000-0000-0000FF570000}"/>
    <cellStyle name="Currency 5 4 7 7 3" xfId="23708" xr:uid="{00000000-0005-0000-0000-000000580000}"/>
    <cellStyle name="Currency 5 4 7 7 3 2" xfId="23709" xr:uid="{00000000-0005-0000-0000-000001580000}"/>
    <cellStyle name="Currency 5 4 7 7 4" xfId="23710" xr:uid="{00000000-0005-0000-0000-000002580000}"/>
    <cellStyle name="Currency 5 4 7 8" xfId="23711" xr:uid="{00000000-0005-0000-0000-000003580000}"/>
    <cellStyle name="Currency 5 4 7 8 2" xfId="23712" xr:uid="{00000000-0005-0000-0000-000004580000}"/>
    <cellStyle name="Currency 5 4 7 8 2 2" xfId="23713" xr:uid="{00000000-0005-0000-0000-000005580000}"/>
    <cellStyle name="Currency 5 4 7 8 3" xfId="23714" xr:uid="{00000000-0005-0000-0000-000006580000}"/>
    <cellStyle name="Currency 5 4 7 9" xfId="23715" xr:uid="{00000000-0005-0000-0000-000007580000}"/>
    <cellStyle name="Currency 5 4 7 9 2" xfId="23716" xr:uid="{00000000-0005-0000-0000-000008580000}"/>
    <cellStyle name="Currency 5 4 8" xfId="1345" xr:uid="{00000000-0005-0000-0000-000009580000}"/>
    <cellStyle name="Currency 5 4 8 2" xfId="23718" xr:uid="{00000000-0005-0000-0000-00000A580000}"/>
    <cellStyle name="Currency 5 4 8 2 2" xfId="23719" xr:uid="{00000000-0005-0000-0000-00000B580000}"/>
    <cellStyle name="Currency 5 4 8 2 2 2" xfId="23720" xr:uid="{00000000-0005-0000-0000-00000C580000}"/>
    <cellStyle name="Currency 5 4 8 2 2 2 2" xfId="23721" xr:uid="{00000000-0005-0000-0000-00000D580000}"/>
    <cellStyle name="Currency 5 4 8 2 2 3" xfId="23722" xr:uid="{00000000-0005-0000-0000-00000E580000}"/>
    <cellStyle name="Currency 5 4 8 2 3" xfId="23723" xr:uid="{00000000-0005-0000-0000-00000F580000}"/>
    <cellStyle name="Currency 5 4 8 2 3 2" xfId="23724" xr:uid="{00000000-0005-0000-0000-000010580000}"/>
    <cellStyle name="Currency 5 4 8 2 4" xfId="23725" xr:uid="{00000000-0005-0000-0000-000011580000}"/>
    <cellStyle name="Currency 5 4 8 3" xfId="23726" xr:uid="{00000000-0005-0000-0000-000012580000}"/>
    <cellStyle name="Currency 5 4 8 3 2" xfId="23727" xr:uid="{00000000-0005-0000-0000-000013580000}"/>
    <cellStyle name="Currency 5 4 8 3 2 2" xfId="23728" xr:uid="{00000000-0005-0000-0000-000014580000}"/>
    <cellStyle name="Currency 5 4 8 3 2 2 2" xfId="23729" xr:uid="{00000000-0005-0000-0000-000015580000}"/>
    <cellStyle name="Currency 5 4 8 3 2 3" xfId="23730" xr:uid="{00000000-0005-0000-0000-000016580000}"/>
    <cellStyle name="Currency 5 4 8 3 3" xfId="23731" xr:uid="{00000000-0005-0000-0000-000017580000}"/>
    <cellStyle name="Currency 5 4 8 3 3 2" xfId="23732" xr:uid="{00000000-0005-0000-0000-000018580000}"/>
    <cellStyle name="Currency 5 4 8 3 4" xfId="23733" xr:uid="{00000000-0005-0000-0000-000019580000}"/>
    <cellStyle name="Currency 5 4 8 4" xfId="23734" xr:uid="{00000000-0005-0000-0000-00001A580000}"/>
    <cellStyle name="Currency 5 4 8 4 2" xfId="23735" xr:uid="{00000000-0005-0000-0000-00001B580000}"/>
    <cellStyle name="Currency 5 4 8 4 2 2" xfId="23736" xr:uid="{00000000-0005-0000-0000-00001C580000}"/>
    <cellStyle name="Currency 5 4 8 4 3" xfId="23737" xr:uid="{00000000-0005-0000-0000-00001D580000}"/>
    <cellStyle name="Currency 5 4 8 5" xfId="23738" xr:uid="{00000000-0005-0000-0000-00001E580000}"/>
    <cellStyle name="Currency 5 4 8 5 2" xfId="23739" xr:uid="{00000000-0005-0000-0000-00001F580000}"/>
    <cellStyle name="Currency 5 4 8 6" xfId="23740" xr:uid="{00000000-0005-0000-0000-000020580000}"/>
    <cellStyle name="Currency 5 4 8 7" xfId="23717" xr:uid="{00000000-0005-0000-0000-000021580000}"/>
    <cellStyle name="Currency 5 4 9" xfId="23741" xr:uid="{00000000-0005-0000-0000-000022580000}"/>
    <cellStyle name="Currency 5 4 9 2" xfId="23742" xr:uid="{00000000-0005-0000-0000-000023580000}"/>
    <cellStyle name="Currency 5 4 9 2 2" xfId="23743" xr:uid="{00000000-0005-0000-0000-000024580000}"/>
    <cellStyle name="Currency 5 4 9 2 2 2" xfId="23744" xr:uid="{00000000-0005-0000-0000-000025580000}"/>
    <cellStyle name="Currency 5 4 9 2 2 2 2" xfId="23745" xr:uid="{00000000-0005-0000-0000-000026580000}"/>
    <cellStyle name="Currency 5 4 9 2 2 3" xfId="23746" xr:uid="{00000000-0005-0000-0000-000027580000}"/>
    <cellStyle name="Currency 5 4 9 2 3" xfId="23747" xr:uid="{00000000-0005-0000-0000-000028580000}"/>
    <cellStyle name="Currency 5 4 9 2 3 2" xfId="23748" xr:uid="{00000000-0005-0000-0000-000029580000}"/>
    <cellStyle name="Currency 5 4 9 2 4" xfId="23749" xr:uid="{00000000-0005-0000-0000-00002A580000}"/>
    <cellStyle name="Currency 5 4 9 3" xfId="23750" xr:uid="{00000000-0005-0000-0000-00002B580000}"/>
    <cellStyle name="Currency 5 4 9 3 2" xfId="23751" xr:uid="{00000000-0005-0000-0000-00002C580000}"/>
    <cellStyle name="Currency 5 4 9 3 2 2" xfId="23752" xr:uid="{00000000-0005-0000-0000-00002D580000}"/>
    <cellStyle name="Currency 5 4 9 3 3" xfId="23753" xr:uid="{00000000-0005-0000-0000-00002E580000}"/>
    <cellStyle name="Currency 5 4 9 4" xfId="23754" xr:uid="{00000000-0005-0000-0000-00002F580000}"/>
    <cellStyle name="Currency 5 4 9 4 2" xfId="23755" xr:uid="{00000000-0005-0000-0000-000030580000}"/>
    <cellStyle name="Currency 5 4 9 5" xfId="23756" xr:uid="{00000000-0005-0000-0000-000031580000}"/>
    <cellStyle name="Currency 5 5" xfId="410" xr:uid="{00000000-0005-0000-0000-000032580000}"/>
    <cellStyle name="Currency 5 5 10" xfId="23758" xr:uid="{00000000-0005-0000-0000-000033580000}"/>
    <cellStyle name="Currency 5 5 10 2" xfId="23759" xr:uid="{00000000-0005-0000-0000-000034580000}"/>
    <cellStyle name="Currency 5 5 10 2 2" xfId="23760" xr:uid="{00000000-0005-0000-0000-000035580000}"/>
    <cellStyle name="Currency 5 5 10 2 2 2" xfId="23761" xr:uid="{00000000-0005-0000-0000-000036580000}"/>
    <cellStyle name="Currency 5 5 10 2 3" xfId="23762" xr:uid="{00000000-0005-0000-0000-000037580000}"/>
    <cellStyle name="Currency 5 5 10 3" xfId="23763" xr:uid="{00000000-0005-0000-0000-000038580000}"/>
    <cellStyle name="Currency 5 5 10 3 2" xfId="23764" xr:uid="{00000000-0005-0000-0000-000039580000}"/>
    <cellStyle name="Currency 5 5 10 4" xfId="23765" xr:uid="{00000000-0005-0000-0000-00003A580000}"/>
    <cellStyle name="Currency 5 5 11" xfId="23766" xr:uid="{00000000-0005-0000-0000-00003B580000}"/>
    <cellStyle name="Currency 5 5 11 2" xfId="23767" xr:uid="{00000000-0005-0000-0000-00003C580000}"/>
    <cellStyle name="Currency 5 5 11 2 2" xfId="23768" xr:uid="{00000000-0005-0000-0000-00003D580000}"/>
    <cellStyle name="Currency 5 5 11 2 2 2" xfId="23769" xr:uid="{00000000-0005-0000-0000-00003E580000}"/>
    <cellStyle name="Currency 5 5 11 2 3" xfId="23770" xr:uid="{00000000-0005-0000-0000-00003F580000}"/>
    <cellStyle name="Currency 5 5 11 3" xfId="23771" xr:uid="{00000000-0005-0000-0000-000040580000}"/>
    <cellStyle name="Currency 5 5 11 3 2" xfId="23772" xr:uid="{00000000-0005-0000-0000-000041580000}"/>
    <cellStyle name="Currency 5 5 11 4" xfId="23773" xr:uid="{00000000-0005-0000-0000-000042580000}"/>
    <cellStyle name="Currency 5 5 12" xfId="23774" xr:uid="{00000000-0005-0000-0000-000043580000}"/>
    <cellStyle name="Currency 5 5 12 2" xfId="23775" xr:uid="{00000000-0005-0000-0000-000044580000}"/>
    <cellStyle name="Currency 5 5 12 2 2" xfId="23776" xr:uid="{00000000-0005-0000-0000-000045580000}"/>
    <cellStyle name="Currency 5 5 12 2 2 2" xfId="23777" xr:uid="{00000000-0005-0000-0000-000046580000}"/>
    <cellStyle name="Currency 5 5 12 2 3" xfId="23778" xr:uid="{00000000-0005-0000-0000-000047580000}"/>
    <cellStyle name="Currency 5 5 12 3" xfId="23779" xr:uid="{00000000-0005-0000-0000-000048580000}"/>
    <cellStyle name="Currency 5 5 12 3 2" xfId="23780" xr:uid="{00000000-0005-0000-0000-000049580000}"/>
    <cellStyle name="Currency 5 5 12 4" xfId="23781" xr:uid="{00000000-0005-0000-0000-00004A580000}"/>
    <cellStyle name="Currency 5 5 13" xfId="23782" xr:uid="{00000000-0005-0000-0000-00004B580000}"/>
    <cellStyle name="Currency 5 5 13 2" xfId="23783" xr:uid="{00000000-0005-0000-0000-00004C580000}"/>
    <cellStyle name="Currency 5 5 13 2 2" xfId="23784" xr:uid="{00000000-0005-0000-0000-00004D580000}"/>
    <cellStyle name="Currency 5 5 13 3" xfId="23785" xr:uid="{00000000-0005-0000-0000-00004E580000}"/>
    <cellStyle name="Currency 5 5 14" xfId="23786" xr:uid="{00000000-0005-0000-0000-00004F580000}"/>
    <cellStyle name="Currency 5 5 14 2" xfId="23787" xr:uid="{00000000-0005-0000-0000-000050580000}"/>
    <cellStyle name="Currency 5 5 14 2 2" xfId="23788" xr:uid="{00000000-0005-0000-0000-000051580000}"/>
    <cellStyle name="Currency 5 5 14 3" xfId="23789" xr:uid="{00000000-0005-0000-0000-000052580000}"/>
    <cellStyle name="Currency 5 5 15" xfId="23790" xr:uid="{00000000-0005-0000-0000-000053580000}"/>
    <cellStyle name="Currency 5 5 15 2" xfId="23791" xr:uid="{00000000-0005-0000-0000-000054580000}"/>
    <cellStyle name="Currency 5 5 15 2 2" xfId="23792" xr:uid="{00000000-0005-0000-0000-000055580000}"/>
    <cellStyle name="Currency 5 5 15 3" xfId="23793" xr:uid="{00000000-0005-0000-0000-000056580000}"/>
    <cellStyle name="Currency 5 5 16" xfId="23794" xr:uid="{00000000-0005-0000-0000-000057580000}"/>
    <cellStyle name="Currency 5 5 16 2" xfId="23795" xr:uid="{00000000-0005-0000-0000-000058580000}"/>
    <cellStyle name="Currency 5 5 17" xfId="23796" xr:uid="{00000000-0005-0000-0000-000059580000}"/>
    <cellStyle name="Currency 5 5 18" xfId="23797" xr:uid="{00000000-0005-0000-0000-00005A580000}"/>
    <cellStyle name="Currency 5 5 19" xfId="23757" xr:uid="{00000000-0005-0000-0000-00005B580000}"/>
    <cellStyle name="Currency 5 5 2" xfId="411" xr:uid="{00000000-0005-0000-0000-00005C580000}"/>
    <cellStyle name="Currency 5 5 2 10" xfId="23799" xr:uid="{00000000-0005-0000-0000-00005D580000}"/>
    <cellStyle name="Currency 5 5 2 10 2" xfId="23800" xr:uid="{00000000-0005-0000-0000-00005E580000}"/>
    <cellStyle name="Currency 5 5 2 10 2 2" xfId="23801" xr:uid="{00000000-0005-0000-0000-00005F580000}"/>
    <cellStyle name="Currency 5 5 2 10 2 2 2" xfId="23802" xr:uid="{00000000-0005-0000-0000-000060580000}"/>
    <cellStyle name="Currency 5 5 2 10 2 3" xfId="23803" xr:uid="{00000000-0005-0000-0000-000061580000}"/>
    <cellStyle name="Currency 5 5 2 10 3" xfId="23804" xr:uid="{00000000-0005-0000-0000-000062580000}"/>
    <cellStyle name="Currency 5 5 2 10 3 2" xfId="23805" xr:uid="{00000000-0005-0000-0000-000063580000}"/>
    <cellStyle name="Currency 5 5 2 10 4" xfId="23806" xr:uid="{00000000-0005-0000-0000-000064580000}"/>
    <cellStyle name="Currency 5 5 2 11" xfId="23807" xr:uid="{00000000-0005-0000-0000-000065580000}"/>
    <cellStyle name="Currency 5 5 2 11 2" xfId="23808" xr:uid="{00000000-0005-0000-0000-000066580000}"/>
    <cellStyle name="Currency 5 5 2 11 2 2" xfId="23809" xr:uid="{00000000-0005-0000-0000-000067580000}"/>
    <cellStyle name="Currency 5 5 2 11 2 2 2" xfId="23810" xr:uid="{00000000-0005-0000-0000-000068580000}"/>
    <cellStyle name="Currency 5 5 2 11 2 3" xfId="23811" xr:uid="{00000000-0005-0000-0000-000069580000}"/>
    <cellStyle name="Currency 5 5 2 11 3" xfId="23812" xr:uid="{00000000-0005-0000-0000-00006A580000}"/>
    <cellStyle name="Currency 5 5 2 11 3 2" xfId="23813" xr:uid="{00000000-0005-0000-0000-00006B580000}"/>
    <cellStyle name="Currency 5 5 2 11 4" xfId="23814" xr:uid="{00000000-0005-0000-0000-00006C580000}"/>
    <cellStyle name="Currency 5 5 2 12" xfId="23815" xr:uid="{00000000-0005-0000-0000-00006D580000}"/>
    <cellStyle name="Currency 5 5 2 12 2" xfId="23816" xr:uid="{00000000-0005-0000-0000-00006E580000}"/>
    <cellStyle name="Currency 5 5 2 12 2 2" xfId="23817" xr:uid="{00000000-0005-0000-0000-00006F580000}"/>
    <cellStyle name="Currency 5 5 2 12 3" xfId="23818" xr:uid="{00000000-0005-0000-0000-000070580000}"/>
    <cellStyle name="Currency 5 5 2 13" xfId="23819" xr:uid="{00000000-0005-0000-0000-000071580000}"/>
    <cellStyle name="Currency 5 5 2 13 2" xfId="23820" xr:uid="{00000000-0005-0000-0000-000072580000}"/>
    <cellStyle name="Currency 5 5 2 13 2 2" xfId="23821" xr:uid="{00000000-0005-0000-0000-000073580000}"/>
    <cellStyle name="Currency 5 5 2 13 3" xfId="23822" xr:uid="{00000000-0005-0000-0000-000074580000}"/>
    <cellStyle name="Currency 5 5 2 14" xfId="23823" xr:uid="{00000000-0005-0000-0000-000075580000}"/>
    <cellStyle name="Currency 5 5 2 14 2" xfId="23824" xr:uid="{00000000-0005-0000-0000-000076580000}"/>
    <cellStyle name="Currency 5 5 2 14 2 2" xfId="23825" xr:uid="{00000000-0005-0000-0000-000077580000}"/>
    <cellStyle name="Currency 5 5 2 14 3" xfId="23826" xr:uid="{00000000-0005-0000-0000-000078580000}"/>
    <cellStyle name="Currency 5 5 2 15" xfId="23827" xr:uid="{00000000-0005-0000-0000-000079580000}"/>
    <cellStyle name="Currency 5 5 2 15 2" xfId="23828" xr:uid="{00000000-0005-0000-0000-00007A580000}"/>
    <cellStyle name="Currency 5 5 2 16" xfId="23829" xr:uid="{00000000-0005-0000-0000-00007B580000}"/>
    <cellStyle name="Currency 5 5 2 17" xfId="23830" xr:uid="{00000000-0005-0000-0000-00007C580000}"/>
    <cellStyle name="Currency 5 5 2 18" xfId="23798" xr:uid="{00000000-0005-0000-0000-00007D580000}"/>
    <cellStyle name="Currency 5 5 2 2" xfId="412" xr:uid="{00000000-0005-0000-0000-00007E580000}"/>
    <cellStyle name="Currency 5 5 2 2 10" xfId="23832" xr:uid="{00000000-0005-0000-0000-00007F580000}"/>
    <cellStyle name="Currency 5 5 2 2 10 2" xfId="23833" xr:uid="{00000000-0005-0000-0000-000080580000}"/>
    <cellStyle name="Currency 5 5 2 2 10 2 2" xfId="23834" xr:uid="{00000000-0005-0000-0000-000081580000}"/>
    <cellStyle name="Currency 5 5 2 2 10 2 2 2" xfId="23835" xr:uid="{00000000-0005-0000-0000-000082580000}"/>
    <cellStyle name="Currency 5 5 2 2 10 2 3" xfId="23836" xr:uid="{00000000-0005-0000-0000-000083580000}"/>
    <cellStyle name="Currency 5 5 2 2 10 3" xfId="23837" xr:uid="{00000000-0005-0000-0000-000084580000}"/>
    <cellStyle name="Currency 5 5 2 2 10 3 2" xfId="23838" xr:uid="{00000000-0005-0000-0000-000085580000}"/>
    <cellStyle name="Currency 5 5 2 2 10 4" xfId="23839" xr:uid="{00000000-0005-0000-0000-000086580000}"/>
    <cellStyle name="Currency 5 5 2 2 11" xfId="23840" xr:uid="{00000000-0005-0000-0000-000087580000}"/>
    <cellStyle name="Currency 5 5 2 2 11 2" xfId="23841" xr:uid="{00000000-0005-0000-0000-000088580000}"/>
    <cellStyle name="Currency 5 5 2 2 11 2 2" xfId="23842" xr:uid="{00000000-0005-0000-0000-000089580000}"/>
    <cellStyle name="Currency 5 5 2 2 11 3" xfId="23843" xr:uid="{00000000-0005-0000-0000-00008A580000}"/>
    <cellStyle name="Currency 5 5 2 2 12" xfId="23844" xr:uid="{00000000-0005-0000-0000-00008B580000}"/>
    <cellStyle name="Currency 5 5 2 2 12 2" xfId="23845" xr:uid="{00000000-0005-0000-0000-00008C580000}"/>
    <cellStyle name="Currency 5 5 2 2 12 2 2" xfId="23846" xr:uid="{00000000-0005-0000-0000-00008D580000}"/>
    <cellStyle name="Currency 5 5 2 2 12 3" xfId="23847" xr:uid="{00000000-0005-0000-0000-00008E580000}"/>
    <cellStyle name="Currency 5 5 2 2 13" xfId="23848" xr:uid="{00000000-0005-0000-0000-00008F580000}"/>
    <cellStyle name="Currency 5 5 2 2 13 2" xfId="23849" xr:uid="{00000000-0005-0000-0000-000090580000}"/>
    <cellStyle name="Currency 5 5 2 2 13 2 2" xfId="23850" xr:uid="{00000000-0005-0000-0000-000091580000}"/>
    <cellStyle name="Currency 5 5 2 2 13 3" xfId="23851" xr:uid="{00000000-0005-0000-0000-000092580000}"/>
    <cellStyle name="Currency 5 5 2 2 14" xfId="23852" xr:uid="{00000000-0005-0000-0000-000093580000}"/>
    <cellStyle name="Currency 5 5 2 2 14 2" xfId="23853" xr:uid="{00000000-0005-0000-0000-000094580000}"/>
    <cellStyle name="Currency 5 5 2 2 15" xfId="23854" xr:uid="{00000000-0005-0000-0000-000095580000}"/>
    <cellStyle name="Currency 5 5 2 2 16" xfId="23855" xr:uid="{00000000-0005-0000-0000-000096580000}"/>
    <cellStyle name="Currency 5 5 2 2 17" xfId="23831" xr:uid="{00000000-0005-0000-0000-000097580000}"/>
    <cellStyle name="Currency 5 5 2 2 2" xfId="413" xr:uid="{00000000-0005-0000-0000-000098580000}"/>
    <cellStyle name="Currency 5 5 2 2 2 10" xfId="23857" xr:uid="{00000000-0005-0000-0000-000099580000}"/>
    <cellStyle name="Currency 5 5 2 2 2 10 2" xfId="23858" xr:uid="{00000000-0005-0000-0000-00009A580000}"/>
    <cellStyle name="Currency 5 5 2 2 2 10 2 2" xfId="23859" xr:uid="{00000000-0005-0000-0000-00009B580000}"/>
    <cellStyle name="Currency 5 5 2 2 2 10 3" xfId="23860" xr:uid="{00000000-0005-0000-0000-00009C580000}"/>
    <cellStyle name="Currency 5 5 2 2 2 11" xfId="23861" xr:uid="{00000000-0005-0000-0000-00009D580000}"/>
    <cellStyle name="Currency 5 5 2 2 2 11 2" xfId="23862" xr:uid="{00000000-0005-0000-0000-00009E580000}"/>
    <cellStyle name="Currency 5 5 2 2 2 11 2 2" xfId="23863" xr:uid="{00000000-0005-0000-0000-00009F580000}"/>
    <cellStyle name="Currency 5 5 2 2 2 11 3" xfId="23864" xr:uid="{00000000-0005-0000-0000-0000A0580000}"/>
    <cellStyle name="Currency 5 5 2 2 2 12" xfId="23865" xr:uid="{00000000-0005-0000-0000-0000A1580000}"/>
    <cellStyle name="Currency 5 5 2 2 2 12 2" xfId="23866" xr:uid="{00000000-0005-0000-0000-0000A2580000}"/>
    <cellStyle name="Currency 5 5 2 2 2 13" xfId="23867" xr:uid="{00000000-0005-0000-0000-0000A3580000}"/>
    <cellStyle name="Currency 5 5 2 2 2 14" xfId="23868" xr:uid="{00000000-0005-0000-0000-0000A4580000}"/>
    <cellStyle name="Currency 5 5 2 2 2 15" xfId="23856" xr:uid="{00000000-0005-0000-0000-0000A5580000}"/>
    <cellStyle name="Currency 5 5 2 2 2 2" xfId="948" xr:uid="{00000000-0005-0000-0000-0000A6580000}"/>
    <cellStyle name="Currency 5 5 2 2 2 2 10" xfId="23870" xr:uid="{00000000-0005-0000-0000-0000A7580000}"/>
    <cellStyle name="Currency 5 5 2 2 2 2 11" xfId="23869" xr:uid="{00000000-0005-0000-0000-0000A8580000}"/>
    <cellStyle name="Currency 5 5 2 2 2 2 2" xfId="1689" xr:uid="{00000000-0005-0000-0000-0000A9580000}"/>
    <cellStyle name="Currency 5 5 2 2 2 2 2 2" xfId="23872" xr:uid="{00000000-0005-0000-0000-0000AA580000}"/>
    <cellStyle name="Currency 5 5 2 2 2 2 2 2 2" xfId="23873" xr:uid="{00000000-0005-0000-0000-0000AB580000}"/>
    <cellStyle name="Currency 5 5 2 2 2 2 2 2 2 2" xfId="23874" xr:uid="{00000000-0005-0000-0000-0000AC580000}"/>
    <cellStyle name="Currency 5 5 2 2 2 2 2 2 2 2 2" xfId="23875" xr:uid="{00000000-0005-0000-0000-0000AD580000}"/>
    <cellStyle name="Currency 5 5 2 2 2 2 2 2 2 3" xfId="23876" xr:uid="{00000000-0005-0000-0000-0000AE580000}"/>
    <cellStyle name="Currency 5 5 2 2 2 2 2 2 3" xfId="23877" xr:uid="{00000000-0005-0000-0000-0000AF580000}"/>
    <cellStyle name="Currency 5 5 2 2 2 2 2 2 3 2" xfId="23878" xr:uid="{00000000-0005-0000-0000-0000B0580000}"/>
    <cellStyle name="Currency 5 5 2 2 2 2 2 2 4" xfId="23879" xr:uid="{00000000-0005-0000-0000-0000B1580000}"/>
    <cellStyle name="Currency 5 5 2 2 2 2 2 3" xfId="23880" xr:uid="{00000000-0005-0000-0000-0000B2580000}"/>
    <cellStyle name="Currency 5 5 2 2 2 2 2 3 2" xfId="23881" xr:uid="{00000000-0005-0000-0000-0000B3580000}"/>
    <cellStyle name="Currency 5 5 2 2 2 2 2 3 2 2" xfId="23882" xr:uid="{00000000-0005-0000-0000-0000B4580000}"/>
    <cellStyle name="Currency 5 5 2 2 2 2 2 3 2 2 2" xfId="23883" xr:uid="{00000000-0005-0000-0000-0000B5580000}"/>
    <cellStyle name="Currency 5 5 2 2 2 2 2 3 2 3" xfId="23884" xr:uid="{00000000-0005-0000-0000-0000B6580000}"/>
    <cellStyle name="Currency 5 5 2 2 2 2 2 3 3" xfId="23885" xr:uid="{00000000-0005-0000-0000-0000B7580000}"/>
    <cellStyle name="Currency 5 5 2 2 2 2 2 3 3 2" xfId="23886" xr:uid="{00000000-0005-0000-0000-0000B8580000}"/>
    <cellStyle name="Currency 5 5 2 2 2 2 2 3 4" xfId="23887" xr:uid="{00000000-0005-0000-0000-0000B9580000}"/>
    <cellStyle name="Currency 5 5 2 2 2 2 2 4" xfId="23888" xr:uid="{00000000-0005-0000-0000-0000BA580000}"/>
    <cellStyle name="Currency 5 5 2 2 2 2 2 4 2" xfId="23889" xr:uid="{00000000-0005-0000-0000-0000BB580000}"/>
    <cellStyle name="Currency 5 5 2 2 2 2 2 4 2 2" xfId="23890" xr:uid="{00000000-0005-0000-0000-0000BC580000}"/>
    <cellStyle name="Currency 5 5 2 2 2 2 2 4 3" xfId="23891" xr:uid="{00000000-0005-0000-0000-0000BD580000}"/>
    <cellStyle name="Currency 5 5 2 2 2 2 2 5" xfId="23892" xr:uid="{00000000-0005-0000-0000-0000BE580000}"/>
    <cellStyle name="Currency 5 5 2 2 2 2 2 5 2" xfId="23893" xr:uid="{00000000-0005-0000-0000-0000BF580000}"/>
    <cellStyle name="Currency 5 5 2 2 2 2 2 6" xfId="23894" xr:uid="{00000000-0005-0000-0000-0000C0580000}"/>
    <cellStyle name="Currency 5 5 2 2 2 2 2 7" xfId="23871" xr:uid="{00000000-0005-0000-0000-0000C1580000}"/>
    <cellStyle name="Currency 5 5 2 2 2 2 3" xfId="23895" xr:uid="{00000000-0005-0000-0000-0000C2580000}"/>
    <cellStyle name="Currency 5 5 2 2 2 2 3 2" xfId="23896" xr:uid="{00000000-0005-0000-0000-0000C3580000}"/>
    <cellStyle name="Currency 5 5 2 2 2 2 3 2 2" xfId="23897" xr:uid="{00000000-0005-0000-0000-0000C4580000}"/>
    <cellStyle name="Currency 5 5 2 2 2 2 3 2 2 2" xfId="23898" xr:uid="{00000000-0005-0000-0000-0000C5580000}"/>
    <cellStyle name="Currency 5 5 2 2 2 2 3 2 2 2 2" xfId="23899" xr:uid="{00000000-0005-0000-0000-0000C6580000}"/>
    <cellStyle name="Currency 5 5 2 2 2 2 3 2 2 3" xfId="23900" xr:uid="{00000000-0005-0000-0000-0000C7580000}"/>
    <cellStyle name="Currency 5 5 2 2 2 2 3 2 3" xfId="23901" xr:uid="{00000000-0005-0000-0000-0000C8580000}"/>
    <cellStyle name="Currency 5 5 2 2 2 2 3 2 3 2" xfId="23902" xr:uid="{00000000-0005-0000-0000-0000C9580000}"/>
    <cellStyle name="Currency 5 5 2 2 2 2 3 2 4" xfId="23903" xr:uid="{00000000-0005-0000-0000-0000CA580000}"/>
    <cellStyle name="Currency 5 5 2 2 2 2 3 3" xfId="23904" xr:uid="{00000000-0005-0000-0000-0000CB580000}"/>
    <cellStyle name="Currency 5 5 2 2 2 2 3 3 2" xfId="23905" xr:uid="{00000000-0005-0000-0000-0000CC580000}"/>
    <cellStyle name="Currency 5 5 2 2 2 2 3 3 2 2" xfId="23906" xr:uid="{00000000-0005-0000-0000-0000CD580000}"/>
    <cellStyle name="Currency 5 5 2 2 2 2 3 3 3" xfId="23907" xr:uid="{00000000-0005-0000-0000-0000CE580000}"/>
    <cellStyle name="Currency 5 5 2 2 2 2 3 4" xfId="23908" xr:uid="{00000000-0005-0000-0000-0000CF580000}"/>
    <cellStyle name="Currency 5 5 2 2 2 2 3 4 2" xfId="23909" xr:uid="{00000000-0005-0000-0000-0000D0580000}"/>
    <cellStyle name="Currency 5 5 2 2 2 2 3 5" xfId="23910" xr:uid="{00000000-0005-0000-0000-0000D1580000}"/>
    <cellStyle name="Currency 5 5 2 2 2 2 4" xfId="23911" xr:uid="{00000000-0005-0000-0000-0000D2580000}"/>
    <cellStyle name="Currency 5 5 2 2 2 2 4 2" xfId="23912" xr:uid="{00000000-0005-0000-0000-0000D3580000}"/>
    <cellStyle name="Currency 5 5 2 2 2 2 4 2 2" xfId="23913" xr:uid="{00000000-0005-0000-0000-0000D4580000}"/>
    <cellStyle name="Currency 5 5 2 2 2 2 4 2 2 2" xfId="23914" xr:uid="{00000000-0005-0000-0000-0000D5580000}"/>
    <cellStyle name="Currency 5 5 2 2 2 2 4 2 2 2 2" xfId="23915" xr:uid="{00000000-0005-0000-0000-0000D6580000}"/>
    <cellStyle name="Currency 5 5 2 2 2 2 4 2 2 3" xfId="23916" xr:uid="{00000000-0005-0000-0000-0000D7580000}"/>
    <cellStyle name="Currency 5 5 2 2 2 2 4 2 3" xfId="23917" xr:uid="{00000000-0005-0000-0000-0000D8580000}"/>
    <cellStyle name="Currency 5 5 2 2 2 2 4 2 3 2" xfId="23918" xr:uid="{00000000-0005-0000-0000-0000D9580000}"/>
    <cellStyle name="Currency 5 5 2 2 2 2 4 2 4" xfId="23919" xr:uid="{00000000-0005-0000-0000-0000DA580000}"/>
    <cellStyle name="Currency 5 5 2 2 2 2 4 3" xfId="23920" xr:uid="{00000000-0005-0000-0000-0000DB580000}"/>
    <cellStyle name="Currency 5 5 2 2 2 2 4 3 2" xfId="23921" xr:uid="{00000000-0005-0000-0000-0000DC580000}"/>
    <cellStyle name="Currency 5 5 2 2 2 2 4 3 2 2" xfId="23922" xr:uid="{00000000-0005-0000-0000-0000DD580000}"/>
    <cellStyle name="Currency 5 5 2 2 2 2 4 3 3" xfId="23923" xr:uid="{00000000-0005-0000-0000-0000DE580000}"/>
    <cellStyle name="Currency 5 5 2 2 2 2 4 4" xfId="23924" xr:uid="{00000000-0005-0000-0000-0000DF580000}"/>
    <cellStyle name="Currency 5 5 2 2 2 2 4 4 2" xfId="23925" xr:uid="{00000000-0005-0000-0000-0000E0580000}"/>
    <cellStyle name="Currency 5 5 2 2 2 2 4 5" xfId="23926" xr:uid="{00000000-0005-0000-0000-0000E1580000}"/>
    <cellStyle name="Currency 5 5 2 2 2 2 5" xfId="23927" xr:uid="{00000000-0005-0000-0000-0000E2580000}"/>
    <cellStyle name="Currency 5 5 2 2 2 2 5 2" xfId="23928" xr:uid="{00000000-0005-0000-0000-0000E3580000}"/>
    <cellStyle name="Currency 5 5 2 2 2 2 5 2 2" xfId="23929" xr:uid="{00000000-0005-0000-0000-0000E4580000}"/>
    <cellStyle name="Currency 5 5 2 2 2 2 5 2 2 2" xfId="23930" xr:uid="{00000000-0005-0000-0000-0000E5580000}"/>
    <cellStyle name="Currency 5 5 2 2 2 2 5 2 3" xfId="23931" xr:uid="{00000000-0005-0000-0000-0000E6580000}"/>
    <cellStyle name="Currency 5 5 2 2 2 2 5 3" xfId="23932" xr:uid="{00000000-0005-0000-0000-0000E7580000}"/>
    <cellStyle name="Currency 5 5 2 2 2 2 5 3 2" xfId="23933" xr:uid="{00000000-0005-0000-0000-0000E8580000}"/>
    <cellStyle name="Currency 5 5 2 2 2 2 5 4" xfId="23934" xr:uid="{00000000-0005-0000-0000-0000E9580000}"/>
    <cellStyle name="Currency 5 5 2 2 2 2 6" xfId="23935" xr:uid="{00000000-0005-0000-0000-0000EA580000}"/>
    <cellStyle name="Currency 5 5 2 2 2 2 6 2" xfId="23936" xr:uid="{00000000-0005-0000-0000-0000EB580000}"/>
    <cellStyle name="Currency 5 5 2 2 2 2 6 2 2" xfId="23937" xr:uid="{00000000-0005-0000-0000-0000EC580000}"/>
    <cellStyle name="Currency 5 5 2 2 2 2 6 2 2 2" xfId="23938" xr:uid="{00000000-0005-0000-0000-0000ED580000}"/>
    <cellStyle name="Currency 5 5 2 2 2 2 6 2 3" xfId="23939" xr:uid="{00000000-0005-0000-0000-0000EE580000}"/>
    <cellStyle name="Currency 5 5 2 2 2 2 6 3" xfId="23940" xr:uid="{00000000-0005-0000-0000-0000EF580000}"/>
    <cellStyle name="Currency 5 5 2 2 2 2 6 3 2" xfId="23941" xr:uid="{00000000-0005-0000-0000-0000F0580000}"/>
    <cellStyle name="Currency 5 5 2 2 2 2 6 4" xfId="23942" xr:uid="{00000000-0005-0000-0000-0000F1580000}"/>
    <cellStyle name="Currency 5 5 2 2 2 2 7" xfId="23943" xr:uid="{00000000-0005-0000-0000-0000F2580000}"/>
    <cellStyle name="Currency 5 5 2 2 2 2 7 2" xfId="23944" xr:uid="{00000000-0005-0000-0000-0000F3580000}"/>
    <cellStyle name="Currency 5 5 2 2 2 2 7 2 2" xfId="23945" xr:uid="{00000000-0005-0000-0000-0000F4580000}"/>
    <cellStyle name="Currency 5 5 2 2 2 2 7 2 2 2" xfId="23946" xr:uid="{00000000-0005-0000-0000-0000F5580000}"/>
    <cellStyle name="Currency 5 5 2 2 2 2 7 2 3" xfId="23947" xr:uid="{00000000-0005-0000-0000-0000F6580000}"/>
    <cellStyle name="Currency 5 5 2 2 2 2 7 3" xfId="23948" xr:uid="{00000000-0005-0000-0000-0000F7580000}"/>
    <cellStyle name="Currency 5 5 2 2 2 2 7 3 2" xfId="23949" xr:uid="{00000000-0005-0000-0000-0000F8580000}"/>
    <cellStyle name="Currency 5 5 2 2 2 2 7 4" xfId="23950" xr:uid="{00000000-0005-0000-0000-0000F9580000}"/>
    <cellStyle name="Currency 5 5 2 2 2 2 8" xfId="23951" xr:uid="{00000000-0005-0000-0000-0000FA580000}"/>
    <cellStyle name="Currency 5 5 2 2 2 2 8 2" xfId="23952" xr:uid="{00000000-0005-0000-0000-0000FB580000}"/>
    <cellStyle name="Currency 5 5 2 2 2 2 8 2 2" xfId="23953" xr:uid="{00000000-0005-0000-0000-0000FC580000}"/>
    <cellStyle name="Currency 5 5 2 2 2 2 8 3" xfId="23954" xr:uid="{00000000-0005-0000-0000-0000FD580000}"/>
    <cellStyle name="Currency 5 5 2 2 2 2 9" xfId="23955" xr:uid="{00000000-0005-0000-0000-0000FE580000}"/>
    <cellStyle name="Currency 5 5 2 2 2 2 9 2" xfId="23956" xr:uid="{00000000-0005-0000-0000-0000FF580000}"/>
    <cellStyle name="Currency 5 5 2 2 2 3" xfId="1364" xr:uid="{00000000-0005-0000-0000-000000590000}"/>
    <cellStyle name="Currency 5 5 2 2 2 3 2" xfId="23958" xr:uid="{00000000-0005-0000-0000-000001590000}"/>
    <cellStyle name="Currency 5 5 2 2 2 3 2 2" xfId="23959" xr:uid="{00000000-0005-0000-0000-000002590000}"/>
    <cellStyle name="Currency 5 5 2 2 2 3 2 2 2" xfId="23960" xr:uid="{00000000-0005-0000-0000-000003590000}"/>
    <cellStyle name="Currency 5 5 2 2 2 3 2 2 2 2" xfId="23961" xr:uid="{00000000-0005-0000-0000-000004590000}"/>
    <cellStyle name="Currency 5 5 2 2 2 3 2 2 3" xfId="23962" xr:uid="{00000000-0005-0000-0000-000005590000}"/>
    <cellStyle name="Currency 5 5 2 2 2 3 2 3" xfId="23963" xr:uid="{00000000-0005-0000-0000-000006590000}"/>
    <cellStyle name="Currency 5 5 2 2 2 3 2 3 2" xfId="23964" xr:uid="{00000000-0005-0000-0000-000007590000}"/>
    <cellStyle name="Currency 5 5 2 2 2 3 2 4" xfId="23965" xr:uid="{00000000-0005-0000-0000-000008590000}"/>
    <cellStyle name="Currency 5 5 2 2 2 3 3" xfId="23966" xr:uid="{00000000-0005-0000-0000-000009590000}"/>
    <cellStyle name="Currency 5 5 2 2 2 3 3 2" xfId="23967" xr:uid="{00000000-0005-0000-0000-00000A590000}"/>
    <cellStyle name="Currency 5 5 2 2 2 3 3 2 2" xfId="23968" xr:uid="{00000000-0005-0000-0000-00000B590000}"/>
    <cellStyle name="Currency 5 5 2 2 2 3 3 2 2 2" xfId="23969" xr:uid="{00000000-0005-0000-0000-00000C590000}"/>
    <cellStyle name="Currency 5 5 2 2 2 3 3 2 3" xfId="23970" xr:uid="{00000000-0005-0000-0000-00000D590000}"/>
    <cellStyle name="Currency 5 5 2 2 2 3 3 3" xfId="23971" xr:uid="{00000000-0005-0000-0000-00000E590000}"/>
    <cellStyle name="Currency 5 5 2 2 2 3 3 3 2" xfId="23972" xr:uid="{00000000-0005-0000-0000-00000F590000}"/>
    <cellStyle name="Currency 5 5 2 2 2 3 3 4" xfId="23973" xr:uid="{00000000-0005-0000-0000-000010590000}"/>
    <cellStyle name="Currency 5 5 2 2 2 3 4" xfId="23974" xr:uid="{00000000-0005-0000-0000-000011590000}"/>
    <cellStyle name="Currency 5 5 2 2 2 3 4 2" xfId="23975" xr:uid="{00000000-0005-0000-0000-000012590000}"/>
    <cellStyle name="Currency 5 5 2 2 2 3 4 2 2" xfId="23976" xr:uid="{00000000-0005-0000-0000-000013590000}"/>
    <cellStyle name="Currency 5 5 2 2 2 3 4 3" xfId="23977" xr:uid="{00000000-0005-0000-0000-000014590000}"/>
    <cellStyle name="Currency 5 5 2 2 2 3 5" xfId="23978" xr:uid="{00000000-0005-0000-0000-000015590000}"/>
    <cellStyle name="Currency 5 5 2 2 2 3 5 2" xfId="23979" xr:uid="{00000000-0005-0000-0000-000016590000}"/>
    <cellStyle name="Currency 5 5 2 2 2 3 6" xfId="23980" xr:uid="{00000000-0005-0000-0000-000017590000}"/>
    <cellStyle name="Currency 5 5 2 2 2 3 7" xfId="23957" xr:uid="{00000000-0005-0000-0000-000018590000}"/>
    <cellStyle name="Currency 5 5 2 2 2 4" xfId="23981" xr:uid="{00000000-0005-0000-0000-000019590000}"/>
    <cellStyle name="Currency 5 5 2 2 2 4 2" xfId="23982" xr:uid="{00000000-0005-0000-0000-00001A590000}"/>
    <cellStyle name="Currency 5 5 2 2 2 4 2 2" xfId="23983" xr:uid="{00000000-0005-0000-0000-00001B590000}"/>
    <cellStyle name="Currency 5 5 2 2 2 4 2 2 2" xfId="23984" xr:uid="{00000000-0005-0000-0000-00001C590000}"/>
    <cellStyle name="Currency 5 5 2 2 2 4 2 2 2 2" xfId="23985" xr:uid="{00000000-0005-0000-0000-00001D590000}"/>
    <cellStyle name="Currency 5 5 2 2 2 4 2 2 3" xfId="23986" xr:uid="{00000000-0005-0000-0000-00001E590000}"/>
    <cellStyle name="Currency 5 5 2 2 2 4 2 3" xfId="23987" xr:uid="{00000000-0005-0000-0000-00001F590000}"/>
    <cellStyle name="Currency 5 5 2 2 2 4 2 3 2" xfId="23988" xr:uid="{00000000-0005-0000-0000-000020590000}"/>
    <cellStyle name="Currency 5 5 2 2 2 4 2 4" xfId="23989" xr:uid="{00000000-0005-0000-0000-000021590000}"/>
    <cellStyle name="Currency 5 5 2 2 2 4 3" xfId="23990" xr:uid="{00000000-0005-0000-0000-000022590000}"/>
    <cellStyle name="Currency 5 5 2 2 2 4 3 2" xfId="23991" xr:uid="{00000000-0005-0000-0000-000023590000}"/>
    <cellStyle name="Currency 5 5 2 2 2 4 3 2 2" xfId="23992" xr:uid="{00000000-0005-0000-0000-000024590000}"/>
    <cellStyle name="Currency 5 5 2 2 2 4 3 3" xfId="23993" xr:uid="{00000000-0005-0000-0000-000025590000}"/>
    <cellStyle name="Currency 5 5 2 2 2 4 4" xfId="23994" xr:uid="{00000000-0005-0000-0000-000026590000}"/>
    <cellStyle name="Currency 5 5 2 2 2 4 4 2" xfId="23995" xr:uid="{00000000-0005-0000-0000-000027590000}"/>
    <cellStyle name="Currency 5 5 2 2 2 4 5" xfId="23996" xr:uid="{00000000-0005-0000-0000-000028590000}"/>
    <cellStyle name="Currency 5 5 2 2 2 5" xfId="23997" xr:uid="{00000000-0005-0000-0000-000029590000}"/>
    <cellStyle name="Currency 5 5 2 2 2 5 2" xfId="23998" xr:uid="{00000000-0005-0000-0000-00002A590000}"/>
    <cellStyle name="Currency 5 5 2 2 2 5 2 2" xfId="23999" xr:uid="{00000000-0005-0000-0000-00002B590000}"/>
    <cellStyle name="Currency 5 5 2 2 2 5 2 2 2" xfId="24000" xr:uid="{00000000-0005-0000-0000-00002C590000}"/>
    <cellStyle name="Currency 5 5 2 2 2 5 2 2 2 2" xfId="24001" xr:uid="{00000000-0005-0000-0000-00002D590000}"/>
    <cellStyle name="Currency 5 5 2 2 2 5 2 2 3" xfId="24002" xr:uid="{00000000-0005-0000-0000-00002E590000}"/>
    <cellStyle name="Currency 5 5 2 2 2 5 2 3" xfId="24003" xr:uid="{00000000-0005-0000-0000-00002F590000}"/>
    <cellStyle name="Currency 5 5 2 2 2 5 2 3 2" xfId="24004" xr:uid="{00000000-0005-0000-0000-000030590000}"/>
    <cellStyle name="Currency 5 5 2 2 2 5 2 4" xfId="24005" xr:uid="{00000000-0005-0000-0000-000031590000}"/>
    <cellStyle name="Currency 5 5 2 2 2 5 3" xfId="24006" xr:uid="{00000000-0005-0000-0000-000032590000}"/>
    <cellStyle name="Currency 5 5 2 2 2 5 3 2" xfId="24007" xr:uid="{00000000-0005-0000-0000-000033590000}"/>
    <cellStyle name="Currency 5 5 2 2 2 5 3 2 2" xfId="24008" xr:uid="{00000000-0005-0000-0000-000034590000}"/>
    <cellStyle name="Currency 5 5 2 2 2 5 3 3" xfId="24009" xr:uid="{00000000-0005-0000-0000-000035590000}"/>
    <cellStyle name="Currency 5 5 2 2 2 5 4" xfId="24010" xr:uid="{00000000-0005-0000-0000-000036590000}"/>
    <cellStyle name="Currency 5 5 2 2 2 5 4 2" xfId="24011" xr:uid="{00000000-0005-0000-0000-000037590000}"/>
    <cellStyle name="Currency 5 5 2 2 2 5 5" xfId="24012" xr:uid="{00000000-0005-0000-0000-000038590000}"/>
    <cellStyle name="Currency 5 5 2 2 2 6" xfId="24013" xr:uid="{00000000-0005-0000-0000-000039590000}"/>
    <cellStyle name="Currency 5 5 2 2 2 6 2" xfId="24014" xr:uid="{00000000-0005-0000-0000-00003A590000}"/>
    <cellStyle name="Currency 5 5 2 2 2 6 2 2" xfId="24015" xr:uid="{00000000-0005-0000-0000-00003B590000}"/>
    <cellStyle name="Currency 5 5 2 2 2 6 2 2 2" xfId="24016" xr:uid="{00000000-0005-0000-0000-00003C590000}"/>
    <cellStyle name="Currency 5 5 2 2 2 6 2 3" xfId="24017" xr:uid="{00000000-0005-0000-0000-00003D590000}"/>
    <cellStyle name="Currency 5 5 2 2 2 6 3" xfId="24018" xr:uid="{00000000-0005-0000-0000-00003E590000}"/>
    <cellStyle name="Currency 5 5 2 2 2 6 3 2" xfId="24019" xr:uid="{00000000-0005-0000-0000-00003F590000}"/>
    <cellStyle name="Currency 5 5 2 2 2 6 4" xfId="24020" xr:uid="{00000000-0005-0000-0000-000040590000}"/>
    <cellStyle name="Currency 5 5 2 2 2 7" xfId="24021" xr:uid="{00000000-0005-0000-0000-000041590000}"/>
    <cellStyle name="Currency 5 5 2 2 2 7 2" xfId="24022" xr:uid="{00000000-0005-0000-0000-000042590000}"/>
    <cellStyle name="Currency 5 5 2 2 2 7 2 2" xfId="24023" xr:uid="{00000000-0005-0000-0000-000043590000}"/>
    <cellStyle name="Currency 5 5 2 2 2 7 2 2 2" xfId="24024" xr:uid="{00000000-0005-0000-0000-000044590000}"/>
    <cellStyle name="Currency 5 5 2 2 2 7 2 3" xfId="24025" xr:uid="{00000000-0005-0000-0000-000045590000}"/>
    <cellStyle name="Currency 5 5 2 2 2 7 3" xfId="24026" xr:uid="{00000000-0005-0000-0000-000046590000}"/>
    <cellStyle name="Currency 5 5 2 2 2 7 3 2" xfId="24027" xr:uid="{00000000-0005-0000-0000-000047590000}"/>
    <cellStyle name="Currency 5 5 2 2 2 7 4" xfId="24028" xr:uid="{00000000-0005-0000-0000-000048590000}"/>
    <cellStyle name="Currency 5 5 2 2 2 8" xfId="24029" xr:uid="{00000000-0005-0000-0000-000049590000}"/>
    <cellStyle name="Currency 5 5 2 2 2 8 2" xfId="24030" xr:uid="{00000000-0005-0000-0000-00004A590000}"/>
    <cellStyle name="Currency 5 5 2 2 2 8 2 2" xfId="24031" xr:uid="{00000000-0005-0000-0000-00004B590000}"/>
    <cellStyle name="Currency 5 5 2 2 2 8 2 2 2" xfId="24032" xr:uid="{00000000-0005-0000-0000-00004C590000}"/>
    <cellStyle name="Currency 5 5 2 2 2 8 2 3" xfId="24033" xr:uid="{00000000-0005-0000-0000-00004D590000}"/>
    <cellStyle name="Currency 5 5 2 2 2 8 3" xfId="24034" xr:uid="{00000000-0005-0000-0000-00004E590000}"/>
    <cellStyle name="Currency 5 5 2 2 2 8 3 2" xfId="24035" xr:uid="{00000000-0005-0000-0000-00004F590000}"/>
    <cellStyle name="Currency 5 5 2 2 2 8 4" xfId="24036" xr:uid="{00000000-0005-0000-0000-000050590000}"/>
    <cellStyle name="Currency 5 5 2 2 2 9" xfId="24037" xr:uid="{00000000-0005-0000-0000-000051590000}"/>
    <cellStyle name="Currency 5 5 2 2 2 9 2" xfId="24038" xr:uid="{00000000-0005-0000-0000-000052590000}"/>
    <cellStyle name="Currency 5 5 2 2 2 9 2 2" xfId="24039" xr:uid="{00000000-0005-0000-0000-000053590000}"/>
    <cellStyle name="Currency 5 5 2 2 2 9 3" xfId="24040" xr:uid="{00000000-0005-0000-0000-000054590000}"/>
    <cellStyle name="Currency 5 5 2 2 3" xfId="414" xr:uid="{00000000-0005-0000-0000-000055590000}"/>
    <cellStyle name="Currency 5 5 2 2 4" xfId="947" xr:uid="{00000000-0005-0000-0000-000056590000}"/>
    <cellStyle name="Currency 5 5 2 2 4 10" xfId="24042" xr:uid="{00000000-0005-0000-0000-000057590000}"/>
    <cellStyle name="Currency 5 5 2 2 4 11" xfId="24041" xr:uid="{00000000-0005-0000-0000-000058590000}"/>
    <cellStyle name="Currency 5 5 2 2 4 2" xfId="1688" xr:uid="{00000000-0005-0000-0000-000059590000}"/>
    <cellStyle name="Currency 5 5 2 2 4 2 2" xfId="24044" xr:uid="{00000000-0005-0000-0000-00005A590000}"/>
    <cellStyle name="Currency 5 5 2 2 4 2 2 2" xfId="24045" xr:uid="{00000000-0005-0000-0000-00005B590000}"/>
    <cellStyle name="Currency 5 5 2 2 4 2 2 2 2" xfId="24046" xr:uid="{00000000-0005-0000-0000-00005C590000}"/>
    <cellStyle name="Currency 5 5 2 2 4 2 2 2 2 2" xfId="24047" xr:uid="{00000000-0005-0000-0000-00005D590000}"/>
    <cellStyle name="Currency 5 5 2 2 4 2 2 2 3" xfId="24048" xr:uid="{00000000-0005-0000-0000-00005E590000}"/>
    <cellStyle name="Currency 5 5 2 2 4 2 2 3" xfId="24049" xr:uid="{00000000-0005-0000-0000-00005F590000}"/>
    <cellStyle name="Currency 5 5 2 2 4 2 2 3 2" xfId="24050" xr:uid="{00000000-0005-0000-0000-000060590000}"/>
    <cellStyle name="Currency 5 5 2 2 4 2 2 4" xfId="24051" xr:uid="{00000000-0005-0000-0000-000061590000}"/>
    <cellStyle name="Currency 5 5 2 2 4 2 3" xfId="24052" xr:uid="{00000000-0005-0000-0000-000062590000}"/>
    <cellStyle name="Currency 5 5 2 2 4 2 3 2" xfId="24053" xr:uid="{00000000-0005-0000-0000-000063590000}"/>
    <cellStyle name="Currency 5 5 2 2 4 2 3 2 2" xfId="24054" xr:uid="{00000000-0005-0000-0000-000064590000}"/>
    <cellStyle name="Currency 5 5 2 2 4 2 3 2 2 2" xfId="24055" xr:uid="{00000000-0005-0000-0000-000065590000}"/>
    <cellStyle name="Currency 5 5 2 2 4 2 3 2 3" xfId="24056" xr:uid="{00000000-0005-0000-0000-000066590000}"/>
    <cellStyle name="Currency 5 5 2 2 4 2 3 3" xfId="24057" xr:uid="{00000000-0005-0000-0000-000067590000}"/>
    <cellStyle name="Currency 5 5 2 2 4 2 3 3 2" xfId="24058" xr:uid="{00000000-0005-0000-0000-000068590000}"/>
    <cellStyle name="Currency 5 5 2 2 4 2 3 4" xfId="24059" xr:uid="{00000000-0005-0000-0000-000069590000}"/>
    <cellStyle name="Currency 5 5 2 2 4 2 4" xfId="24060" xr:uid="{00000000-0005-0000-0000-00006A590000}"/>
    <cellStyle name="Currency 5 5 2 2 4 2 4 2" xfId="24061" xr:uid="{00000000-0005-0000-0000-00006B590000}"/>
    <cellStyle name="Currency 5 5 2 2 4 2 4 2 2" xfId="24062" xr:uid="{00000000-0005-0000-0000-00006C590000}"/>
    <cellStyle name="Currency 5 5 2 2 4 2 4 3" xfId="24063" xr:uid="{00000000-0005-0000-0000-00006D590000}"/>
    <cellStyle name="Currency 5 5 2 2 4 2 5" xfId="24064" xr:uid="{00000000-0005-0000-0000-00006E590000}"/>
    <cellStyle name="Currency 5 5 2 2 4 2 5 2" xfId="24065" xr:uid="{00000000-0005-0000-0000-00006F590000}"/>
    <cellStyle name="Currency 5 5 2 2 4 2 6" xfId="24066" xr:uid="{00000000-0005-0000-0000-000070590000}"/>
    <cellStyle name="Currency 5 5 2 2 4 2 7" xfId="24043" xr:uid="{00000000-0005-0000-0000-000071590000}"/>
    <cellStyle name="Currency 5 5 2 2 4 3" xfId="24067" xr:uid="{00000000-0005-0000-0000-000072590000}"/>
    <cellStyle name="Currency 5 5 2 2 4 3 2" xfId="24068" xr:uid="{00000000-0005-0000-0000-000073590000}"/>
    <cellStyle name="Currency 5 5 2 2 4 3 2 2" xfId="24069" xr:uid="{00000000-0005-0000-0000-000074590000}"/>
    <cellStyle name="Currency 5 5 2 2 4 3 2 2 2" xfId="24070" xr:uid="{00000000-0005-0000-0000-000075590000}"/>
    <cellStyle name="Currency 5 5 2 2 4 3 2 2 2 2" xfId="24071" xr:uid="{00000000-0005-0000-0000-000076590000}"/>
    <cellStyle name="Currency 5 5 2 2 4 3 2 2 3" xfId="24072" xr:uid="{00000000-0005-0000-0000-000077590000}"/>
    <cellStyle name="Currency 5 5 2 2 4 3 2 3" xfId="24073" xr:uid="{00000000-0005-0000-0000-000078590000}"/>
    <cellStyle name="Currency 5 5 2 2 4 3 2 3 2" xfId="24074" xr:uid="{00000000-0005-0000-0000-000079590000}"/>
    <cellStyle name="Currency 5 5 2 2 4 3 2 4" xfId="24075" xr:uid="{00000000-0005-0000-0000-00007A590000}"/>
    <cellStyle name="Currency 5 5 2 2 4 3 3" xfId="24076" xr:uid="{00000000-0005-0000-0000-00007B590000}"/>
    <cellStyle name="Currency 5 5 2 2 4 3 3 2" xfId="24077" xr:uid="{00000000-0005-0000-0000-00007C590000}"/>
    <cellStyle name="Currency 5 5 2 2 4 3 3 2 2" xfId="24078" xr:uid="{00000000-0005-0000-0000-00007D590000}"/>
    <cellStyle name="Currency 5 5 2 2 4 3 3 3" xfId="24079" xr:uid="{00000000-0005-0000-0000-00007E590000}"/>
    <cellStyle name="Currency 5 5 2 2 4 3 4" xfId="24080" xr:uid="{00000000-0005-0000-0000-00007F590000}"/>
    <cellStyle name="Currency 5 5 2 2 4 3 4 2" xfId="24081" xr:uid="{00000000-0005-0000-0000-000080590000}"/>
    <cellStyle name="Currency 5 5 2 2 4 3 5" xfId="24082" xr:uid="{00000000-0005-0000-0000-000081590000}"/>
    <cellStyle name="Currency 5 5 2 2 4 4" xfId="24083" xr:uid="{00000000-0005-0000-0000-000082590000}"/>
    <cellStyle name="Currency 5 5 2 2 4 4 2" xfId="24084" xr:uid="{00000000-0005-0000-0000-000083590000}"/>
    <cellStyle name="Currency 5 5 2 2 4 4 2 2" xfId="24085" xr:uid="{00000000-0005-0000-0000-000084590000}"/>
    <cellStyle name="Currency 5 5 2 2 4 4 2 2 2" xfId="24086" xr:uid="{00000000-0005-0000-0000-000085590000}"/>
    <cellStyle name="Currency 5 5 2 2 4 4 2 2 2 2" xfId="24087" xr:uid="{00000000-0005-0000-0000-000086590000}"/>
    <cellStyle name="Currency 5 5 2 2 4 4 2 2 3" xfId="24088" xr:uid="{00000000-0005-0000-0000-000087590000}"/>
    <cellStyle name="Currency 5 5 2 2 4 4 2 3" xfId="24089" xr:uid="{00000000-0005-0000-0000-000088590000}"/>
    <cellStyle name="Currency 5 5 2 2 4 4 2 3 2" xfId="24090" xr:uid="{00000000-0005-0000-0000-000089590000}"/>
    <cellStyle name="Currency 5 5 2 2 4 4 2 4" xfId="24091" xr:uid="{00000000-0005-0000-0000-00008A590000}"/>
    <cellStyle name="Currency 5 5 2 2 4 4 3" xfId="24092" xr:uid="{00000000-0005-0000-0000-00008B590000}"/>
    <cellStyle name="Currency 5 5 2 2 4 4 3 2" xfId="24093" xr:uid="{00000000-0005-0000-0000-00008C590000}"/>
    <cellStyle name="Currency 5 5 2 2 4 4 3 2 2" xfId="24094" xr:uid="{00000000-0005-0000-0000-00008D590000}"/>
    <cellStyle name="Currency 5 5 2 2 4 4 3 3" xfId="24095" xr:uid="{00000000-0005-0000-0000-00008E590000}"/>
    <cellStyle name="Currency 5 5 2 2 4 4 4" xfId="24096" xr:uid="{00000000-0005-0000-0000-00008F590000}"/>
    <cellStyle name="Currency 5 5 2 2 4 4 4 2" xfId="24097" xr:uid="{00000000-0005-0000-0000-000090590000}"/>
    <cellStyle name="Currency 5 5 2 2 4 4 5" xfId="24098" xr:uid="{00000000-0005-0000-0000-000091590000}"/>
    <cellStyle name="Currency 5 5 2 2 4 5" xfId="24099" xr:uid="{00000000-0005-0000-0000-000092590000}"/>
    <cellStyle name="Currency 5 5 2 2 4 5 2" xfId="24100" xr:uid="{00000000-0005-0000-0000-000093590000}"/>
    <cellStyle name="Currency 5 5 2 2 4 5 2 2" xfId="24101" xr:uid="{00000000-0005-0000-0000-000094590000}"/>
    <cellStyle name="Currency 5 5 2 2 4 5 2 2 2" xfId="24102" xr:uid="{00000000-0005-0000-0000-000095590000}"/>
    <cellStyle name="Currency 5 5 2 2 4 5 2 3" xfId="24103" xr:uid="{00000000-0005-0000-0000-000096590000}"/>
    <cellStyle name="Currency 5 5 2 2 4 5 3" xfId="24104" xr:uid="{00000000-0005-0000-0000-000097590000}"/>
    <cellStyle name="Currency 5 5 2 2 4 5 3 2" xfId="24105" xr:uid="{00000000-0005-0000-0000-000098590000}"/>
    <cellStyle name="Currency 5 5 2 2 4 5 4" xfId="24106" xr:uid="{00000000-0005-0000-0000-000099590000}"/>
    <cellStyle name="Currency 5 5 2 2 4 6" xfId="24107" xr:uid="{00000000-0005-0000-0000-00009A590000}"/>
    <cellStyle name="Currency 5 5 2 2 4 6 2" xfId="24108" xr:uid="{00000000-0005-0000-0000-00009B590000}"/>
    <cellStyle name="Currency 5 5 2 2 4 6 2 2" xfId="24109" xr:uid="{00000000-0005-0000-0000-00009C590000}"/>
    <cellStyle name="Currency 5 5 2 2 4 6 2 2 2" xfId="24110" xr:uid="{00000000-0005-0000-0000-00009D590000}"/>
    <cellStyle name="Currency 5 5 2 2 4 6 2 3" xfId="24111" xr:uid="{00000000-0005-0000-0000-00009E590000}"/>
    <cellStyle name="Currency 5 5 2 2 4 6 3" xfId="24112" xr:uid="{00000000-0005-0000-0000-00009F590000}"/>
    <cellStyle name="Currency 5 5 2 2 4 6 3 2" xfId="24113" xr:uid="{00000000-0005-0000-0000-0000A0590000}"/>
    <cellStyle name="Currency 5 5 2 2 4 6 4" xfId="24114" xr:uid="{00000000-0005-0000-0000-0000A1590000}"/>
    <cellStyle name="Currency 5 5 2 2 4 7" xfId="24115" xr:uid="{00000000-0005-0000-0000-0000A2590000}"/>
    <cellStyle name="Currency 5 5 2 2 4 7 2" xfId="24116" xr:uid="{00000000-0005-0000-0000-0000A3590000}"/>
    <cellStyle name="Currency 5 5 2 2 4 7 2 2" xfId="24117" xr:uid="{00000000-0005-0000-0000-0000A4590000}"/>
    <cellStyle name="Currency 5 5 2 2 4 7 2 2 2" xfId="24118" xr:uid="{00000000-0005-0000-0000-0000A5590000}"/>
    <cellStyle name="Currency 5 5 2 2 4 7 2 3" xfId="24119" xr:uid="{00000000-0005-0000-0000-0000A6590000}"/>
    <cellStyle name="Currency 5 5 2 2 4 7 3" xfId="24120" xr:uid="{00000000-0005-0000-0000-0000A7590000}"/>
    <cellStyle name="Currency 5 5 2 2 4 7 3 2" xfId="24121" xr:uid="{00000000-0005-0000-0000-0000A8590000}"/>
    <cellStyle name="Currency 5 5 2 2 4 7 4" xfId="24122" xr:uid="{00000000-0005-0000-0000-0000A9590000}"/>
    <cellStyle name="Currency 5 5 2 2 4 8" xfId="24123" xr:uid="{00000000-0005-0000-0000-0000AA590000}"/>
    <cellStyle name="Currency 5 5 2 2 4 8 2" xfId="24124" xr:uid="{00000000-0005-0000-0000-0000AB590000}"/>
    <cellStyle name="Currency 5 5 2 2 4 8 2 2" xfId="24125" xr:uid="{00000000-0005-0000-0000-0000AC590000}"/>
    <cellStyle name="Currency 5 5 2 2 4 8 3" xfId="24126" xr:uid="{00000000-0005-0000-0000-0000AD590000}"/>
    <cellStyle name="Currency 5 5 2 2 4 9" xfId="24127" xr:uid="{00000000-0005-0000-0000-0000AE590000}"/>
    <cellStyle name="Currency 5 5 2 2 4 9 2" xfId="24128" xr:uid="{00000000-0005-0000-0000-0000AF590000}"/>
    <cellStyle name="Currency 5 5 2 2 5" xfId="1363" xr:uid="{00000000-0005-0000-0000-0000B0590000}"/>
    <cellStyle name="Currency 5 5 2 2 5 2" xfId="24130" xr:uid="{00000000-0005-0000-0000-0000B1590000}"/>
    <cellStyle name="Currency 5 5 2 2 5 2 2" xfId="24131" xr:uid="{00000000-0005-0000-0000-0000B2590000}"/>
    <cellStyle name="Currency 5 5 2 2 5 2 2 2" xfId="24132" xr:uid="{00000000-0005-0000-0000-0000B3590000}"/>
    <cellStyle name="Currency 5 5 2 2 5 2 2 2 2" xfId="24133" xr:uid="{00000000-0005-0000-0000-0000B4590000}"/>
    <cellStyle name="Currency 5 5 2 2 5 2 2 3" xfId="24134" xr:uid="{00000000-0005-0000-0000-0000B5590000}"/>
    <cellStyle name="Currency 5 5 2 2 5 2 3" xfId="24135" xr:uid="{00000000-0005-0000-0000-0000B6590000}"/>
    <cellStyle name="Currency 5 5 2 2 5 2 3 2" xfId="24136" xr:uid="{00000000-0005-0000-0000-0000B7590000}"/>
    <cellStyle name="Currency 5 5 2 2 5 2 4" xfId="24137" xr:uid="{00000000-0005-0000-0000-0000B8590000}"/>
    <cellStyle name="Currency 5 5 2 2 5 3" xfId="24138" xr:uid="{00000000-0005-0000-0000-0000B9590000}"/>
    <cellStyle name="Currency 5 5 2 2 5 3 2" xfId="24139" xr:uid="{00000000-0005-0000-0000-0000BA590000}"/>
    <cellStyle name="Currency 5 5 2 2 5 3 2 2" xfId="24140" xr:uid="{00000000-0005-0000-0000-0000BB590000}"/>
    <cellStyle name="Currency 5 5 2 2 5 3 2 2 2" xfId="24141" xr:uid="{00000000-0005-0000-0000-0000BC590000}"/>
    <cellStyle name="Currency 5 5 2 2 5 3 2 3" xfId="24142" xr:uid="{00000000-0005-0000-0000-0000BD590000}"/>
    <cellStyle name="Currency 5 5 2 2 5 3 3" xfId="24143" xr:uid="{00000000-0005-0000-0000-0000BE590000}"/>
    <cellStyle name="Currency 5 5 2 2 5 3 3 2" xfId="24144" xr:uid="{00000000-0005-0000-0000-0000BF590000}"/>
    <cellStyle name="Currency 5 5 2 2 5 3 4" xfId="24145" xr:uid="{00000000-0005-0000-0000-0000C0590000}"/>
    <cellStyle name="Currency 5 5 2 2 5 4" xfId="24146" xr:uid="{00000000-0005-0000-0000-0000C1590000}"/>
    <cellStyle name="Currency 5 5 2 2 5 4 2" xfId="24147" xr:uid="{00000000-0005-0000-0000-0000C2590000}"/>
    <cellStyle name="Currency 5 5 2 2 5 4 2 2" xfId="24148" xr:uid="{00000000-0005-0000-0000-0000C3590000}"/>
    <cellStyle name="Currency 5 5 2 2 5 4 3" xfId="24149" xr:uid="{00000000-0005-0000-0000-0000C4590000}"/>
    <cellStyle name="Currency 5 5 2 2 5 5" xfId="24150" xr:uid="{00000000-0005-0000-0000-0000C5590000}"/>
    <cellStyle name="Currency 5 5 2 2 5 5 2" xfId="24151" xr:uid="{00000000-0005-0000-0000-0000C6590000}"/>
    <cellStyle name="Currency 5 5 2 2 5 6" xfId="24152" xr:uid="{00000000-0005-0000-0000-0000C7590000}"/>
    <cellStyle name="Currency 5 5 2 2 5 7" xfId="24129" xr:uid="{00000000-0005-0000-0000-0000C8590000}"/>
    <cellStyle name="Currency 5 5 2 2 6" xfId="24153" xr:uid="{00000000-0005-0000-0000-0000C9590000}"/>
    <cellStyle name="Currency 5 5 2 2 6 2" xfId="24154" xr:uid="{00000000-0005-0000-0000-0000CA590000}"/>
    <cellStyle name="Currency 5 5 2 2 6 2 2" xfId="24155" xr:uid="{00000000-0005-0000-0000-0000CB590000}"/>
    <cellStyle name="Currency 5 5 2 2 6 2 2 2" xfId="24156" xr:uid="{00000000-0005-0000-0000-0000CC590000}"/>
    <cellStyle name="Currency 5 5 2 2 6 2 2 2 2" xfId="24157" xr:uid="{00000000-0005-0000-0000-0000CD590000}"/>
    <cellStyle name="Currency 5 5 2 2 6 2 2 3" xfId="24158" xr:uid="{00000000-0005-0000-0000-0000CE590000}"/>
    <cellStyle name="Currency 5 5 2 2 6 2 3" xfId="24159" xr:uid="{00000000-0005-0000-0000-0000CF590000}"/>
    <cellStyle name="Currency 5 5 2 2 6 2 3 2" xfId="24160" xr:uid="{00000000-0005-0000-0000-0000D0590000}"/>
    <cellStyle name="Currency 5 5 2 2 6 2 4" xfId="24161" xr:uid="{00000000-0005-0000-0000-0000D1590000}"/>
    <cellStyle name="Currency 5 5 2 2 6 3" xfId="24162" xr:uid="{00000000-0005-0000-0000-0000D2590000}"/>
    <cellStyle name="Currency 5 5 2 2 6 3 2" xfId="24163" xr:uid="{00000000-0005-0000-0000-0000D3590000}"/>
    <cellStyle name="Currency 5 5 2 2 6 3 2 2" xfId="24164" xr:uid="{00000000-0005-0000-0000-0000D4590000}"/>
    <cellStyle name="Currency 5 5 2 2 6 3 3" xfId="24165" xr:uid="{00000000-0005-0000-0000-0000D5590000}"/>
    <cellStyle name="Currency 5 5 2 2 6 4" xfId="24166" xr:uid="{00000000-0005-0000-0000-0000D6590000}"/>
    <cellStyle name="Currency 5 5 2 2 6 4 2" xfId="24167" xr:uid="{00000000-0005-0000-0000-0000D7590000}"/>
    <cellStyle name="Currency 5 5 2 2 6 5" xfId="24168" xr:uid="{00000000-0005-0000-0000-0000D8590000}"/>
    <cellStyle name="Currency 5 5 2 2 7" xfId="24169" xr:uid="{00000000-0005-0000-0000-0000D9590000}"/>
    <cellStyle name="Currency 5 5 2 2 7 2" xfId="24170" xr:uid="{00000000-0005-0000-0000-0000DA590000}"/>
    <cellStyle name="Currency 5 5 2 2 7 2 2" xfId="24171" xr:uid="{00000000-0005-0000-0000-0000DB590000}"/>
    <cellStyle name="Currency 5 5 2 2 7 2 2 2" xfId="24172" xr:uid="{00000000-0005-0000-0000-0000DC590000}"/>
    <cellStyle name="Currency 5 5 2 2 7 2 2 2 2" xfId="24173" xr:uid="{00000000-0005-0000-0000-0000DD590000}"/>
    <cellStyle name="Currency 5 5 2 2 7 2 2 3" xfId="24174" xr:uid="{00000000-0005-0000-0000-0000DE590000}"/>
    <cellStyle name="Currency 5 5 2 2 7 2 3" xfId="24175" xr:uid="{00000000-0005-0000-0000-0000DF590000}"/>
    <cellStyle name="Currency 5 5 2 2 7 2 3 2" xfId="24176" xr:uid="{00000000-0005-0000-0000-0000E0590000}"/>
    <cellStyle name="Currency 5 5 2 2 7 2 4" xfId="24177" xr:uid="{00000000-0005-0000-0000-0000E1590000}"/>
    <cellStyle name="Currency 5 5 2 2 7 3" xfId="24178" xr:uid="{00000000-0005-0000-0000-0000E2590000}"/>
    <cellStyle name="Currency 5 5 2 2 7 3 2" xfId="24179" xr:uid="{00000000-0005-0000-0000-0000E3590000}"/>
    <cellStyle name="Currency 5 5 2 2 7 3 2 2" xfId="24180" xr:uid="{00000000-0005-0000-0000-0000E4590000}"/>
    <cellStyle name="Currency 5 5 2 2 7 3 3" xfId="24181" xr:uid="{00000000-0005-0000-0000-0000E5590000}"/>
    <cellStyle name="Currency 5 5 2 2 7 4" xfId="24182" xr:uid="{00000000-0005-0000-0000-0000E6590000}"/>
    <cellStyle name="Currency 5 5 2 2 7 4 2" xfId="24183" xr:uid="{00000000-0005-0000-0000-0000E7590000}"/>
    <cellStyle name="Currency 5 5 2 2 7 5" xfId="24184" xr:uid="{00000000-0005-0000-0000-0000E8590000}"/>
    <cellStyle name="Currency 5 5 2 2 8" xfId="24185" xr:uid="{00000000-0005-0000-0000-0000E9590000}"/>
    <cellStyle name="Currency 5 5 2 2 8 2" xfId="24186" xr:uid="{00000000-0005-0000-0000-0000EA590000}"/>
    <cellStyle name="Currency 5 5 2 2 8 2 2" xfId="24187" xr:uid="{00000000-0005-0000-0000-0000EB590000}"/>
    <cellStyle name="Currency 5 5 2 2 8 2 2 2" xfId="24188" xr:uid="{00000000-0005-0000-0000-0000EC590000}"/>
    <cellStyle name="Currency 5 5 2 2 8 2 3" xfId="24189" xr:uid="{00000000-0005-0000-0000-0000ED590000}"/>
    <cellStyle name="Currency 5 5 2 2 8 3" xfId="24190" xr:uid="{00000000-0005-0000-0000-0000EE590000}"/>
    <cellStyle name="Currency 5 5 2 2 8 3 2" xfId="24191" xr:uid="{00000000-0005-0000-0000-0000EF590000}"/>
    <cellStyle name="Currency 5 5 2 2 8 4" xfId="24192" xr:uid="{00000000-0005-0000-0000-0000F0590000}"/>
    <cellStyle name="Currency 5 5 2 2 9" xfId="24193" xr:uid="{00000000-0005-0000-0000-0000F1590000}"/>
    <cellStyle name="Currency 5 5 2 2 9 2" xfId="24194" xr:uid="{00000000-0005-0000-0000-0000F2590000}"/>
    <cellStyle name="Currency 5 5 2 2 9 2 2" xfId="24195" xr:uid="{00000000-0005-0000-0000-0000F3590000}"/>
    <cellStyle name="Currency 5 5 2 2 9 2 2 2" xfId="24196" xr:uid="{00000000-0005-0000-0000-0000F4590000}"/>
    <cellStyle name="Currency 5 5 2 2 9 2 3" xfId="24197" xr:uid="{00000000-0005-0000-0000-0000F5590000}"/>
    <cellStyle name="Currency 5 5 2 2 9 3" xfId="24198" xr:uid="{00000000-0005-0000-0000-0000F6590000}"/>
    <cellStyle name="Currency 5 5 2 2 9 3 2" xfId="24199" xr:uid="{00000000-0005-0000-0000-0000F7590000}"/>
    <cellStyle name="Currency 5 5 2 2 9 4" xfId="24200" xr:uid="{00000000-0005-0000-0000-0000F8590000}"/>
    <cellStyle name="Currency 5 5 2 3" xfId="415" xr:uid="{00000000-0005-0000-0000-0000F9590000}"/>
    <cellStyle name="Currency 5 5 2 3 10" xfId="24202" xr:uid="{00000000-0005-0000-0000-0000FA590000}"/>
    <cellStyle name="Currency 5 5 2 3 10 2" xfId="24203" xr:uid="{00000000-0005-0000-0000-0000FB590000}"/>
    <cellStyle name="Currency 5 5 2 3 10 2 2" xfId="24204" xr:uid="{00000000-0005-0000-0000-0000FC590000}"/>
    <cellStyle name="Currency 5 5 2 3 10 3" xfId="24205" xr:uid="{00000000-0005-0000-0000-0000FD590000}"/>
    <cellStyle name="Currency 5 5 2 3 11" xfId="24206" xr:uid="{00000000-0005-0000-0000-0000FE590000}"/>
    <cellStyle name="Currency 5 5 2 3 11 2" xfId="24207" xr:uid="{00000000-0005-0000-0000-0000FF590000}"/>
    <cellStyle name="Currency 5 5 2 3 11 2 2" xfId="24208" xr:uid="{00000000-0005-0000-0000-0000005A0000}"/>
    <cellStyle name="Currency 5 5 2 3 11 3" xfId="24209" xr:uid="{00000000-0005-0000-0000-0000015A0000}"/>
    <cellStyle name="Currency 5 5 2 3 12" xfId="24210" xr:uid="{00000000-0005-0000-0000-0000025A0000}"/>
    <cellStyle name="Currency 5 5 2 3 12 2" xfId="24211" xr:uid="{00000000-0005-0000-0000-0000035A0000}"/>
    <cellStyle name="Currency 5 5 2 3 13" xfId="24212" xr:uid="{00000000-0005-0000-0000-0000045A0000}"/>
    <cellStyle name="Currency 5 5 2 3 14" xfId="24213" xr:uid="{00000000-0005-0000-0000-0000055A0000}"/>
    <cellStyle name="Currency 5 5 2 3 15" xfId="24201" xr:uid="{00000000-0005-0000-0000-0000065A0000}"/>
    <cellStyle name="Currency 5 5 2 3 2" xfId="949" xr:uid="{00000000-0005-0000-0000-0000075A0000}"/>
    <cellStyle name="Currency 5 5 2 3 2 10" xfId="24215" xr:uid="{00000000-0005-0000-0000-0000085A0000}"/>
    <cellStyle name="Currency 5 5 2 3 2 11" xfId="24214" xr:uid="{00000000-0005-0000-0000-0000095A0000}"/>
    <cellStyle name="Currency 5 5 2 3 2 2" xfId="1690" xr:uid="{00000000-0005-0000-0000-00000A5A0000}"/>
    <cellStyle name="Currency 5 5 2 3 2 2 2" xfId="24217" xr:uid="{00000000-0005-0000-0000-00000B5A0000}"/>
    <cellStyle name="Currency 5 5 2 3 2 2 2 2" xfId="24218" xr:uid="{00000000-0005-0000-0000-00000C5A0000}"/>
    <cellStyle name="Currency 5 5 2 3 2 2 2 2 2" xfId="24219" xr:uid="{00000000-0005-0000-0000-00000D5A0000}"/>
    <cellStyle name="Currency 5 5 2 3 2 2 2 2 2 2" xfId="24220" xr:uid="{00000000-0005-0000-0000-00000E5A0000}"/>
    <cellStyle name="Currency 5 5 2 3 2 2 2 2 3" xfId="24221" xr:uid="{00000000-0005-0000-0000-00000F5A0000}"/>
    <cellStyle name="Currency 5 5 2 3 2 2 2 3" xfId="24222" xr:uid="{00000000-0005-0000-0000-0000105A0000}"/>
    <cellStyle name="Currency 5 5 2 3 2 2 2 3 2" xfId="24223" xr:uid="{00000000-0005-0000-0000-0000115A0000}"/>
    <cellStyle name="Currency 5 5 2 3 2 2 2 4" xfId="24224" xr:uid="{00000000-0005-0000-0000-0000125A0000}"/>
    <cellStyle name="Currency 5 5 2 3 2 2 3" xfId="24225" xr:uid="{00000000-0005-0000-0000-0000135A0000}"/>
    <cellStyle name="Currency 5 5 2 3 2 2 3 2" xfId="24226" xr:uid="{00000000-0005-0000-0000-0000145A0000}"/>
    <cellStyle name="Currency 5 5 2 3 2 2 3 2 2" xfId="24227" xr:uid="{00000000-0005-0000-0000-0000155A0000}"/>
    <cellStyle name="Currency 5 5 2 3 2 2 3 2 2 2" xfId="24228" xr:uid="{00000000-0005-0000-0000-0000165A0000}"/>
    <cellStyle name="Currency 5 5 2 3 2 2 3 2 3" xfId="24229" xr:uid="{00000000-0005-0000-0000-0000175A0000}"/>
    <cellStyle name="Currency 5 5 2 3 2 2 3 3" xfId="24230" xr:uid="{00000000-0005-0000-0000-0000185A0000}"/>
    <cellStyle name="Currency 5 5 2 3 2 2 3 3 2" xfId="24231" xr:uid="{00000000-0005-0000-0000-0000195A0000}"/>
    <cellStyle name="Currency 5 5 2 3 2 2 3 4" xfId="24232" xr:uid="{00000000-0005-0000-0000-00001A5A0000}"/>
    <cellStyle name="Currency 5 5 2 3 2 2 4" xfId="24233" xr:uid="{00000000-0005-0000-0000-00001B5A0000}"/>
    <cellStyle name="Currency 5 5 2 3 2 2 4 2" xfId="24234" xr:uid="{00000000-0005-0000-0000-00001C5A0000}"/>
    <cellStyle name="Currency 5 5 2 3 2 2 4 2 2" xfId="24235" xr:uid="{00000000-0005-0000-0000-00001D5A0000}"/>
    <cellStyle name="Currency 5 5 2 3 2 2 4 3" xfId="24236" xr:uid="{00000000-0005-0000-0000-00001E5A0000}"/>
    <cellStyle name="Currency 5 5 2 3 2 2 5" xfId="24237" xr:uid="{00000000-0005-0000-0000-00001F5A0000}"/>
    <cellStyle name="Currency 5 5 2 3 2 2 5 2" xfId="24238" xr:uid="{00000000-0005-0000-0000-0000205A0000}"/>
    <cellStyle name="Currency 5 5 2 3 2 2 6" xfId="24239" xr:uid="{00000000-0005-0000-0000-0000215A0000}"/>
    <cellStyle name="Currency 5 5 2 3 2 2 7" xfId="24216" xr:uid="{00000000-0005-0000-0000-0000225A0000}"/>
    <cellStyle name="Currency 5 5 2 3 2 3" xfId="24240" xr:uid="{00000000-0005-0000-0000-0000235A0000}"/>
    <cellStyle name="Currency 5 5 2 3 2 3 2" xfId="24241" xr:uid="{00000000-0005-0000-0000-0000245A0000}"/>
    <cellStyle name="Currency 5 5 2 3 2 3 2 2" xfId="24242" xr:uid="{00000000-0005-0000-0000-0000255A0000}"/>
    <cellStyle name="Currency 5 5 2 3 2 3 2 2 2" xfId="24243" xr:uid="{00000000-0005-0000-0000-0000265A0000}"/>
    <cellStyle name="Currency 5 5 2 3 2 3 2 2 2 2" xfId="24244" xr:uid="{00000000-0005-0000-0000-0000275A0000}"/>
    <cellStyle name="Currency 5 5 2 3 2 3 2 2 3" xfId="24245" xr:uid="{00000000-0005-0000-0000-0000285A0000}"/>
    <cellStyle name="Currency 5 5 2 3 2 3 2 3" xfId="24246" xr:uid="{00000000-0005-0000-0000-0000295A0000}"/>
    <cellStyle name="Currency 5 5 2 3 2 3 2 3 2" xfId="24247" xr:uid="{00000000-0005-0000-0000-00002A5A0000}"/>
    <cellStyle name="Currency 5 5 2 3 2 3 2 4" xfId="24248" xr:uid="{00000000-0005-0000-0000-00002B5A0000}"/>
    <cellStyle name="Currency 5 5 2 3 2 3 3" xfId="24249" xr:uid="{00000000-0005-0000-0000-00002C5A0000}"/>
    <cellStyle name="Currency 5 5 2 3 2 3 3 2" xfId="24250" xr:uid="{00000000-0005-0000-0000-00002D5A0000}"/>
    <cellStyle name="Currency 5 5 2 3 2 3 3 2 2" xfId="24251" xr:uid="{00000000-0005-0000-0000-00002E5A0000}"/>
    <cellStyle name="Currency 5 5 2 3 2 3 3 3" xfId="24252" xr:uid="{00000000-0005-0000-0000-00002F5A0000}"/>
    <cellStyle name="Currency 5 5 2 3 2 3 4" xfId="24253" xr:uid="{00000000-0005-0000-0000-0000305A0000}"/>
    <cellStyle name="Currency 5 5 2 3 2 3 4 2" xfId="24254" xr:uid="{00000000-0005-0000-0000-0000315A0000}"/>
    <cellStyle name="Currency 5 5 2 3 2 3 5" xfId="24255" xr:uid="{00000000-0005-0000-0000-0000325A0000}"/>
    <cellStyle name="Currency 5 5 2 3 2 4" xfId="24256" xr:uid="{00000000-0005-0000-0000-0000335A0000}"/>
    <cellStyle name="Currency 5 5 2 3 2 4 2" xfId="24257" xr:uid="{00000000-0005-0000-0000-0000345A0000}"/>
    <cellStyle name="Currency 5 5 2 3 2 4 2 2" xfId="24258" xr:uid="{00000000-0005-0000-0000-0000355A0000}"/>
    <cellStyle name="Currency 5 5 2 3 2 4 2 2 2" xfId="24259" xr:uid="{00000000-0005-0000-0000-0000365A0000}"/>
    <cellStyle name="Currency 5 5 2 3 2 4 2 2 2 2" xfId="24260" xr:uid="{00000000-0005-0000-0000-0000375A0000}"/>
    <cellStyle name="Currency 5 5 2 3 2 4 2 2 3" xfId="24261" xr:uid="{00000000-0005-0000-0000-0000385A0000}"/>
    <cellStyle name="Currency 5 5 2 3 2 4 2 3" xfId="24262" xr:uid="{00000000-0005-0000-0000-0000395A0000}"/>
    <cellStyle name="Currency 5 5 2 3 2 4 2 3 2" xfId="24263" xr:uid="{00000000-0005-0000-0000-00003A5A0000}"/>
    <cellStyle name="Currency 5 5 2 3 2 4 2 4" xfId="24264" xr:uid="{00000000-0005-0000-0000-00003B5A0000}"/>
    <cellStyle name="Currency 5 5 2 3 2 4 3" xfId="24265" xr:uid="{00000000-0005-0000-0000-00003C5A0000}"/>
    <cellStyle name="Currency 5 5 2 3 2 4 3 2" xfId="24266" xr:uid="{00000000-0005-0000-0000-00003D5A0000}"/>
    <cellStyle name="Currency 5 5 2 3 2 4 3 2 2" xfId="24267" xr:uid="{00000000-0005-0000-0000-00003E5A0000}"/>
    <cellStyle name="Currency 5 5 2 3 2 4 3 3" xfId="24268" xr:uid="{00000000-0005-0000-0000-00003F5A0000}"/>
    <cellStyle name="Currency 5 5 2 3 2 4 4" xfId="24269" xr:uid="{00000000-0005-0000-0000-0000405A0000}"/>
    <cellStyle name="Currency 5 5 2 3 2 4 4 2" xfId="24270" xr:uid="{00000000-0005-0000-0000-0000415A0000}"/>
    <cellStyle name="Currency 5 5 2 3 2 4 5" xfId="24271" xr:uid="{00000000-0005-0000-0000-0000425A0000}"/>
    <cellStyle name="Currency 5 5 2 3 2 5" xfId="24272" xr:uid="{00000000-0005-0000-0000-0000435A0000}"/>
    <cellStyle name="Currency 5 5 2 3 2 5 2" xfId="24273" xr:uid="{00000000-0005-0000-0000-0000445A0000}"/>
    <cellStyle name="Currency 5 5 2 3 2 5 2 2" xfId="24274" xr:uid="{00000000-0005-0000-0000-0000455A0000}"/>
    <cellStyle name="Currency 5 5 2 3 2 5 2 2 2" xfId="24275" xr:uid="{00000000-0005-0000-0000-0000465A0000}"/>
    <cellStyle name="Currency 5 5 2 3 2 5 2 3" xfId="24276" xr:uid="{00000000-0005-0000-0000-0000475A0000}"/>
    <cellStyle name="Currency 5 5 2 3 2 5 3" xfId="24277" xr:uid="{00000000-0005-0000-0000-0000485A0000}"/>
    <cellStyle name="Currency 5 5 2 3 2 5 3 2" xfId="24278" xr:uid="{00000000-0005-0000-0000-0000495A0000}"/>
    <cellStyle name="Currency 5 5 2 3 2 5 4" xfId="24279" xr:uid="{00000000-0005-0000-0000-00004A5A0000}"/>
    <cellStyle name="Currency 5 5 2 3 2 6" xfId="24280" xr:uid="{00000000-0005-0000-0000-00004B5A0000}"/>
    <cellStyle name="Currency 5 5 2 3 2 6 2" xfId="24281" xr:uid="{00000000-0005-0000-0000-00004C5A0000}"/>
    <cellStyle name="Currency 5 5 2 3 2 6 2 2" xfId="24282" xr:uid="{00000000-0005-0000-0000-00004D5A0000}"/>
    <cellStyle name="Currency 5 5 2 3 2 6 2 2 2" xfId="24283" xr:uid="{00000000-0005-0000-0000-00004E5A0000}"/>
    <cellStyle name="Currency 5 5 2 3 2 6 2 3" xfId="24284" xr:uid="{00000000-0005-0000-0000-00004F5A0000}"/>
    <cellStyle name="Currency 5 5 2 3 2 6 3" xfId="24285" xr:uid="{00000000-0005-0000-0000-0000505A0000}"/>
    <cellStyle name="Currency 5 5 2 3 2 6 3 2" xfId="24286" xr:uid="{00000000-0005-0000-0000-0000515A0000}"/>
    <cellStyle name="Currency 5 5 2 3 2 6 4" xfId="24287" xr:uid="{00000000-0005-0000-0000-0000525A0000}"/>
    <cellStyle name="Currency 5 5 2 3 2 7" xfId="24288" xr:uid="{00000000-0005-0000-0000-0000535A0000}"/>
    <cellStyle name="Currency 5 5 2 3 2 7 2" xfId="24289" xr:uid="{00000000-0005-0000-0000-0000545A0000}"/>
    <cellStyle name="Currency 5 5 2 3 2 7 2 2" xfId="24290" xr:uid="{00000000-0005-0000-0000-0000555A0000}"/>
    <cellStyle name="Currency 5 5 2 3 2 7 2 2 2" xfId="24291" xr:uid="{00000000-0005-0000-0000-0000565A0000}"/>
    <cellStyle name="Currency 5 5 2 3 2 7 2 3" xfId="24292" xr:uid="{00000000-0005-0000-0000-0000575A0000}"/>
    <cellStyle name="Currency 5 5 2 3 2 7 3" xfId="24293" xr:uid="{00000000-0005-0000-0000-0000585A0000}"/>
    <cellStyle name="Currency 5 5 2 3 2 7 3 2" xfId="24294" xr:uid="{00000000-0005-0000-0000-0000595A0000}"/>
    <cellStyle name="Currency 5 5 2 3 2 7 4" xfId="24295" xr:uid="{00000000-0005-0000-0000-00005A5A0000}"/>
    <cellStyle name="Currency 5 5 2 3 2 8" xfId="24296" xr:uid="{00000000-0005-0000-0000-00005B5A0000}"/>
    <cellStyle name="Currency 5 5 2 3 2 8 2" xfId="24297" xr:uid="{00000000-0005-0000-0000-00005C5A0000}"/>
    <cellStyle name="Currency 5 5 2 3 2 8 2 2" xfId="24298" xr:uid="{00000000-0005-0000-0000-00005D5A0000}"/>
    <cellStyle name="Currency 5 5 2 3 2 8 3" xfId="24299" xr:uid="{00000000-0005-0000-0000-00005E5A0000}"/>
    <cellStyle name="Currency 5 5 2 3 2 9" xfId="24300" xr:uid="{00000000-0005-0000-0000-00005F5A0000}"/>
    <cellStyle name="Currency 5 5 2 3 2 9 2" xfId="24301" xr:uid="{00000000-0005-0000-0000-0000605A0000}"/>
    <cellStyle name="Currency 5 5 2 3 3" xfId="1365" xr:uid="{00000000-0005-0000-0000-0000615A0000}"/>
    <cellStyle name="Currency 5 5 2 3 3 2" xfId="24303" xr:uid="{00000000-0005-0000-0000-0000625A0000}"/>
    <cellStyle name="Currency 5 5 2 3 3 2 2" xfId="24304" xr:uid="{00000000-0005-0000-0000-0000635A0000}"/>
    <cellStyle name="Currency 5 5 2 3 3 2 2 2" xfId="24305" xr:uid="{00000000-0005-0000-0000-0000645A0000}"/>
    <cellStyle name="Currency 5 5 2 3 3 2 2 2 2" xfId="24306" xr:uid="{00000000-0005-0000-0000-0000655A0000}"/>
    <cellStyle name="Currency 5 5 2 3 3 2 2 3" xfId="24307" xr:uid="{00000000-0005-0000-0000-0000665A0000}"/>
    <cellStyle name="Currency 5 5 2 3 3 2 3" xfId="24308" xr:uid="{00000000-0005-0000-0000-0000675A0000}"/>
    <cellStyle name="Currency 5 5 2 3 3 2 3 2" xfId="24309" xr:uid="{00000000-0005-0000-0000-0000685A0000}"/>
    <cellStyle name="Currency 5 5 2 3 3 2 4" xfId="24310" xr:uid="{00000000-0005-0000-0000-0000695A0000}"/>
    <cellStyle name="Currency 5 5 2 3 3 3" xfId="24311" xr:uid="{00000000-0005-0000-0000-00006A5A0000}"/>
    <cellStyle name="Currency 5 5 2 3 3 3 2" xfId="24312" xr:uid="{00000000-0005-0000-0000-00006B5A0000}"/>
    <cellStyle name="Currency 5 5 2 3 3 3 2 2" xfId="24313" xr:uid="{00000000-0005-0000-0000-00006C5A0000}"/>
    <cellStyle name="Currency 5 5 2 3 3 3 2 2 2" xfId="24314" xr:uid="{00000000-0005-0000-0000-00006D5A0000}"/>
    <cellStyle name="Currency 5 5 2 3 3 3 2 3" xfId="24315" xr:uid="{00000000-0005-0000-0000-00006E5A0000}"/>
    <cellStyle name="Currency 5 5 2 3 3 3 3" xfId="24316" xr:uid="{00000000-0005-0000-0000-00006F5A0000}"/>
    <cellStyle name="Currency 5 5 2 3 3 3 3 2" xfId="24317" xr:uid="{00000000-0005-0000-0000-0000705A0000}"/>
    <cellStyle name="Currency 5 5 2 3 3 3 4" xfId="24318" xr:uid="{00000000-0005-0000-0000-0000715A0000}"/>
    <cellStyle name="Currency 5 5 2 3 3 4" xfId="24319" xr:uid="{00000000-0005-0000-0000-0000725A0000}"/>
    <cellStyle name="Currency 5 5 2 3 3 4 2" xfId="24320" xr:uid="{00000000-0005-0000-0000-0000735A0000}"/>
    <cellStyle name="Currency 5 5 2 3 3 4 2 2" xfId="24321" xr:uid="{00000000-0005-0000-0000-0000745A0000}"/>
    <cellStyle name="Currency 5 5 2 3 3 4 3" xfId="24322" xr:uid="{00000000-0005-0000-0000-0000755A0000}"/>
    <cellStyle name="Currency 5 5 2 3 3 5" xfId="24323" xr:uid="{00000000-0005-0000-0000-0000765A0000}"/>
    <cellStyle name="Currency 5 5 2 3 3 5 2" xfId="24324" xr:uid="{00000000-0005-0000-0000-0000775A0000}"/>
    <cellStyle name="Currency 5 5 2 3 3 6" xfId="24325" xr:uid="{00000000-0005-0000-0000-0000785A0000}"/>
    <cellStyle name="Currency 5 5 2 3 3 7" xfId="24302" xr:uid="{00000000-0005-0000-0000-0000795A0000}"/>
    <cellStyle name="Currency 5 5 2 3 4" xfId="24326" xr:uid="{00000000-0005-0000-0000-00007A5A0000}"/>
    <cellStyle name="Currency 5 5 2 3 4 2" xfId="24327" xr:uid="{00000000-0005-0000-0000-00007B5A0000}"/>
    <cellStyle name="Currency 5 5 2 3 4 2 2" xfId="24328" xr:uid="{00000000-0005-0000-0000-00007C5A0000}"/>
    <cellStyle name="Currency 5 5 2 3 4 2 2 2" xfId="24329" xr:uid="{00000000-0005-0000-0000-00007D5A0000}"/>
    <cellStyle name="Currency 5 5 2 3 4 2 2 2 2" xfId="24330" xr:uid="{00000000-0005-0000-0000-00007E5A0000}"/>
    <cellStyle name="Currency 5 5 2 3 4 2 2 3" xfId="24331" xr:uid="{00000000-0005-0000-0000-00007F5A0000}"/>
    <cellStyle name="Currency 5 5 2 3 4 2 3" xfId="24332" xr:uid="{00000000-0005-0000-0000-0000805A0000}"/>
    <cellStyle name="Currency 5 5 2 3 4 2 3 2" xfId="24333" xr:uid="{00000000-0005-0000-0000-0000815A0000}"/>
    <cellStyle name="Currency 5 5 2 3 4 2 4" xfId="24334" xr:uid="{00000000-0005-0000-0000-0000825A0000}"/>
    <cellStyle name="Currency 5 5 2 3 4 3" xfId="24335" xr:uid="{00000000-0005-0000-0000-0000835A0000}"/>
    <cellStyle name="Currency 5 5 2 3 4 3 2" xfId="24336" xr:uid="{00000000-0005-0000-0000-0000845A0000}"/>
    <cellStyle name="Currency 5 5 2 3 4 3 2 2" xfId="24337" xr:uid="{00000000-0005-0000-0000-0000855A0000}"/>
    <cellStyle name="Currency 5 5 2 3 4 3 3" xfId="24338" xr:uid="{00000000-0005-0000-0000-0000865A0000}"/>
    <cellStyle name="Currency 5 5 2 3 4 4" xfId="24339" xr:uid="{00000000-0005-0000-0000-0000875A0000}"/>
    <cellStyle name="Currency 5 5 2 3 4 4 2" xfId="24340" xr:uid="{00000000-0005-0000-0000-0000885A0000}"/>
    <cellStyle name="Currency 5 5 2 3 4 5" xfId="24341" xr:uid="{00000000-0005-0000-0000-0000895A0000}"/>
    <cellStyle name="Currency 5 5 2 3 5" xfId="24342" xr:uid="{00000000-0005-0000-0000-00008A5A0000}"/>
    <cellStyle name="Currency 5 5 2 3 5 2" xfId="24343" xr:uid="{00000000-0005-0000-0000-00008B5A0000}"/>
    <cellStyle name="Currency 5 5 2 3 5 2 2" xfId="24344" xr:uid="{00000000-0005-0000-0000-00008C5A0000}"/>
    <cellStyle name="Currency 5 5 2 3 5 2 2 2" xfId="24345" xr:uid="{00000000-0005-0000-0000-00008D5A0000}"/>
    <cellStyle name="Currency 5 5 2 3 5 2 2 2 2" xfId="24346" xr:uid="{00000000-0005-0000-0000-00008E5A0000}"/>
    <cellStyle name="Currency 5 5 2 3 5 2 2 3" xfId="24347" xr:uid="{00000000-0005-0000-0000-00008F5A0000}"/>
    <cellStyle name="Currency 5 5 2 3 5 2 3" xfId="24348" xr:uid="{00000000-0005-0000-0000-0000905A0000}"/>
    <cellStyle name="Currency 5 5 2 3 5 2 3 2" xfId="24349" xr:uid="{00000000-0005-0000-0000-0000915A0000}"/>
    <cellStyle name="Currency 5 5 2 3 5 2 4" xfId="24350" xr:uid="{00000000-0005-0000-0000-0000925A0000}"/>
    <cellStyle name="Currency 5 5 2 3 5 3" xfId="24351" xr:uid="{00000000-0005-0000-0000-0000935A0000}"/>
    <cellStyle name="Currency 5 5 2 3 5 3 2" xfId="24352" xr:uid="{00000000-0005-0000-0000-0000945A0000}"/>
    <cellStyle name="Currency 5 5 2 3 5 3 2 2" xfId="24353" xr:uid="{00000000-0005-0000-0000-0000955A0000}"/>
    <cellStyle name="Currency 5 5 2 3 5 3 3" xfId="24354" xr:uid="{00000000-0005-0000-0000-0000965A0000}"/>
    <cellStyle name="Currency 5 5 2 3 5 4" xfId="24355" xr:uid="{00000000-0005-0000-0000-0000975A0000}"/>
    <cellStyle name="Currency 5 5 2 3 5 4 2" xfId="24356" xr:uid="{00000000-0005-0000-0000-0000985A0000}"/>
    <cellStyle name="Currency 5 5 2 3 5 5" xfId="24357" xr:uid="{00000000-0005-0000-0000-0000995A0000}"/>
    <cellStyle name="Currency 5 5 2 3 6" xfId="24358" xr:uid="{00000000-0005-0000-0000-00009A5A0000}"/>
    <cellStyle name="Currency 5 5 2 3 6 2" xfId="24359" xr:uid="{00000000-0005-0000-0000-00009B5A0000}"/>
    <cellStyle name="Currency 5 5 2 3 6 2 2" xfId="24360" xr:uid="{00000000-0005-0000-0000-00009C5A0000}"/>
    <cellStyle name="Currency 5 5 2 3 6 2 2 2" xfId="24361" xr:uid="{00000000-0005-0000-0000-00009D5A0000}"/>
    <cellStyle name="Currency 5 5 2 3 6 2 3" xfId="24362" xr:uid="{00000000-0005-0000-0000-00009E5A0000}"/>
    <cellStyle name="Currency 5 5 2 3 6 3" xfId="24363" xr:uid="{00000000-0005-0000-0000-00009F5A0000}"/>
    <cellStyle name="Currency 5 5 2 3 6 3 2" xfId="24364" xr:uid="{00000000-0005-0000-0000-0000A05A0000}"/>
    <cellStyle name="Currency 5 5 2 3 6 4" xfId="24365" xr:uid="{00000000-0005-0000-0000-0000A15A0000}"/>
    <cellStyle name="Currency 5 5 2 3 7" xfId="24366" xr:uid="{00000000-0005-0000-0000-0000A25A0000}"/>
    <cellStyle name="Currency 5 5 2 3 7 2" xfId="24367" xr:uid="{00000000-0005-0000-0000-0000A35A0000}"/>
    <cellStyle name="Currency 5 5 2 3 7 2 2" xfId="24368" xr:uid="{00000000-0005-0000-0000-0000A45A0000}"/>
    <cellStyle name="Currency 5 5 2 3 7 2 2 2" xfId="24369" xr:uid="{00000000-0005-0000-0000-0000A55A0000}"/>
    <cellStyle name="Currency 5 5 2 3 7 2 3" xfId="24370" xr:uid="{00000000-0005-0000-0000-0000A65A0000}"/>
    <cellStyle name="Currency 5 5 2 3 7 3" xfId="24371" xr:uid="{00000000-0005-0000-0000-0000A75A0000}"/>
    <cellStyle name="Currency 5 5 2 3 7 3 2" xfId="24372" xr:uid="{00000000-0005-0000-0000-0000A85A0000}"/>
    <cellStyle name="Currency 5 5 2 3 7 4" xfId="24373" xr:uid="{00000000-0005-0000-0000-0000A95A0000}"/>
    <cellStyle name="Currency 5 5 2 3 8" xfId="24374" xr:uid="{00000000-0005-0000-0000-0000AA5A0000}"/>
    <cellStyle name="Currency 5 5 2 3 8 2" xfId="24375" xr:uid="{00000000-0005-0000-0000-0000AB5A0000}"/>
    <cellStyle name="Currency 5 5 2 3 8 2 2" xfId="24376" xr:uid="{00000000-0005-0000-0000-0000AC5A0000}"/>
    <cellStyle name="Currency 5 5 2 3 8 2 2 2" xfId="24377" xr:uid="{00000000-0005-0000-0000-0000AD5A0000}"/>
    <cellStyle name="Currency 5 5 2 3 8 2 3" xfId="24378" xr:uid="{00000000-0005-0000-0000-0000AE5A0000}"/>
    <cellStyle name="Currency 5 5 2 3 8 3" xfId="24379" xr:uid="{00000000-0005-0000-0000-0000AF5A0000}"/>
    <cellStyle name="Currency 5 5 2 3 8 3 2" xfId="24380" xr:uid="{00000000-0005-0000-0000-0000B05A0000}"/>
    <cellStyle name="Currency 5 5 2 3 8 4" xfId="24381" xr:uid="{00000000-0005-0000-0000-0000B15A0000}"/>
    <cellStyle name="Currency 5 5 2 3 9" xfId="24382" xr:uid="{00000000-0005-0000-0000-0000B25A0000}"/>
    <cellStyle name="Currency 5 5 2 3 9 2" xfId="24383" xr:uid="{00000000-0005-0000-0000-0000B35A0000}"/>
    <cellStyle name="Currency 5 5 2 3 9 2 2" xfId="24384" xr:uid="{00000000-0005-0000-0000-0000B45A0000}"/>
    <cellStyle name="Currency 5 5 2 3 9 3" xfId="24385" xr:uid="{00000000-0005-0000-0000-0000B55A0000}"/>
    <cellStyle name="Currency 5 5 2 4" xfId="416" xr:uid="{00000000-0005-0000-0000-0000B65A0000}"/>
    <cellStyle name="Currency 5 5 2 5" xfId="946" xr:uid="{00000000-0005-0000-0000-0000B75A0000}"/>
    <cellStyle name="Currency 5 5 2 5 10" xfId="24387" xr:uid="{00000000-0005-0000-0000-0000B85A0000}"/>
    <cellStyle name="Currency 5 5 2 5 11" xfId="24386" xr:uid="{00000000-0005-0000-0000-0000B95A0000}"/>
    <cellStyle name="Currency 5 5 2 5 2" xfId="1687" xr:uid="{00000000-0005-0000-0000-0000BA5A0000}"/>
    <cellStyle name="Currency 5 5 2 5 2 2" xfId="24389" xr:uid="{00000000-0005-0000-0000-0000BB5A0000}"/>
    <cellStyle name="Currency 5 5 2 5 2 2 2" xfId="24390" xr:uid="{00000000-0005-0000-0000-0000BC5A0000}"/>
    <cellStyle name="Currency 5 5 2 5 2 2 2 2" xfId="24391" xr:uid="{00000000-0005-0000-0000-0000BD5A0000}"/>
    <cellStyle name="Currency 5 5 2 5 2 2 2 2 2" xfId="24392" xr:uid="{00000000-0005-0000-0000-0000BE5A0000}"/>
    <cellStyle name="Currency 5 5 2 5 2 2 2 3" xfId="24393" xr:uid="{00000000-0005-0000-0000-0000BF5A0000}"/>
    <cellStyle name="Currency 5 5 2 5 2 2 3" xfId="24394" xr:uid="{00000000-0005-0000-0000-0000C05A0000}"/>
    <cellStyle name="Currency 5 5 2 5 2 2 3 2" xfId="24395" xr:uid="{00000000-0005-0000-0000-0000C15A0000}"/>
    <cellStyle name="Currency 5 5 2 5 2 2 4" xfId="24396" xr:uid="{00000000-0005-0000-0000-0000C25A0000}"/>
    <cellStyle name="Currency 5 5 2 5 2 3" xfId="24397" xr:uid="{00000000-0005-0000-0000-0000C35A0000}"/>
    <cellStyle name="Currency 5 5 2 5 2 3 2" xfId="24398" xr:uid="{00000000-0005-0000-0000-0000C45A0000}"/>
    <cellStyle name="Currency 5 5 2 5 2 3 2 2" xfId="24399" xr:uid="{00000000-0005-0000-0000-0000C55A0000}"/>
    <cellStyle name="Currency 5 5 2 5 2 3 2 2 2" xfId="24400" xr:uid="{00000000-0005-0000-0000-0000C65A0000}"/>
    <cellStyle name="Currency 5 5 2 5 2 3 2 3" xfId="24401" xr:uid="{00000000-0005-0000-0000-0000C75A0000}"/>
    <cellStyle name="Currency 5 5 2 5 2 3 3" xfId="24402" xr:uid="{00000000-0005-0000-0000-0000C85A0000}"/>
    <cellStyle name="Currency 5 5 2 5 2 3 3 2" xfId="24403" xr:uid="{00000000-0005-0000-0000-0000C95A0000}"/>
    <cellStyle name="Currency 5 5 2 5 2 3 4" xfId="24404" xr:uid="{00000000-0005-0000-0000-0000CA5A0000}"/>
    <cellStyle name="Currency 5 5 2 5 2 4" xfId="24405" xr:uid="{00000000-0005-0000-0000-0000CB5A0000}"/>
    <cellStyle name="Currency 5 5 2 5 2 4 2" xfId="24406" xr:uid="{00000000-0005-0000-0000-0000CC5A0000}"/>
    <cellStyle name="Currency 5 5 2 5 2 4 2 2" xfId="24407" xr:uid="{00000000-0005-0000-0000-0000CD5A0000}"/>
    <cellStyle name="Currency 5 5 2 5 2 4 3" xfId="24408" xr:uid="{00000000-0005-0000-0000-0000CE5A0000}"/>
    <cellStyle name="Currency 5 5 2 5 2 5" xfId="24409" xr:uid="{00000000-0005-0000-0000-0000CF5A0000}"/>
    <cellStyle name="Currency 5 5 2 5 2 5 2" xfId="24410" xr:uid="{00000000-0005-0000-0000-0000D05A0000}"/>
    <cellStyle name="Currency 5 5 2 5 2 6" xfId="24411" xr:uid="{00000000-0005-0000-0000-0000D15A0000}"/>
    <cellStyle name="Currency 5 5 2 5 2 7" xfId="24388" xr:uid="{00000000-0005-0000-0000-0000D25A0000}"/>
    <cellStyle name="Currency 5 5 2 5 3" xfId="24412" xr:uid="{00000000-0005-0000-0000-0000D35A0000}"/>
    <cellStyle name="Currency 5 5 2 5 3 2" xfId="24413" xr:uid="{00000000-0005-0000-0000-0000D45A0000}"/>
    <cellStyle name="Currency 5 5 2 5 3 2 2" xfId="24414" xr:uid="{00000000-0005-0000-0000-0000D55A0000}"/>
    <cellStyle name="Currency 5 5 2 5 3 2 2 2" xfId="24415" xr:uid="{00000000-0005-0000-0000-0000D65A0000}"/>
    <cellStyle name="Currency 5 5 2 5 3 2 2 2 2" xfId="24416" xr:uid="{00000000-0005-0000-0000-0000D75A0000}"/>
    <cellStyle name="Currency 5 5 2 5 3 2 2 3" xfId="24417" xr:uid="{00000000-0005-0000-0000-0000D85A0000}"/>
    <cellStyle name="Currency 5 5 2 5 3 2 3" xfId="24418" xr:uid="{00000000-0005-0000-0000-0000D95A0000}"/>
    <cellStyle name="Currency 5 5 2 5 3 2 3 2" xfId="24419" xr:uid="{00000000-0005-0000-0000-0000DA5A0000}"/>
    <cellStyle name="Currency 5 5 2 5 3 2 4" xfId="24420" xr:uid="{00000000-0005-0000-0000-0000DB5A0000}"/>
    <cellStyle name="Currency 5 5 2 5 3 3" xfId="24421" xr:uid="{00000000-0005-0000-0000-0000DC5A0000}"/>
    <cellStyle name="Currency 5 5 2 5 3 3 2" xfId="24422" xr:uid="{00000000-0005-0000-0000-0000DD5A0000}"/>
    <cellStyle name="Currency 5 5 2 5 3 3 2 2" xfId="24423" xr:uid="{00000000-0005-0000-0000-0000DE5A0000}"/>
    <cellStyle name="Currency 5 5 2 5 3 3 3" xfId="24424" xr:uid="{00000000-0005-0000-0000-0000DF5A0000}"/>
    <cellStyle name="Currency 5 5 2 5 3 4" xfId="24425" xr:uid="{00000000-0005-0000-0000-0000E05A0000}"/>
    <cellStyle name="Currency 5 5 2 5 3 4 2" xfId="24426" xr:uid="{00000000-0005-0000-0000-0000E15A0000}"/>
    <cellStyle name="Currency 5 5 2 5 3 5" xfId="24427" xr:uid="{00000000-0005-0000-0000-0000E25A0000}"/>
    <cellStyle name="Currency 5 5 2 5 4" xfId="24428" xr:uid="{00000000-0005-0000-0000-0000E35A0000}"/>
    <cellStyle name="Currency 5 5 2 5 4 2" xfId="24429" xr:uid="{00000000-0005-0000-0000-0000E45A0000}"/>
    <cellStyle name="Currency 5 5 2 5 4 2 2" xfId="24430" xr:uid="{00000000-0005-0000-0000-0000E55A0000}"/>
    <cellStyle name="Currency 5 5 2 5 4 2 2 2" xfId="24431" xr:uid="{00000000-0005-0000-0000-0000E65A0000}"/>
    <cellStyle name="Currency 5 5 2 5 4 2 2 2 2" xfId="24432" xr:uid="{00000000-0005-0000-0000-0000E75A0000}"/>
    <cellStyle name="Currency 5 5 2 5 4 2 2 3" xfId="24433" xr:uid="{00000000-0005-0000-0000-0000E85A0000}"/>
    <cellStyle name="Currency 5 5 2 5 4 2 3" xfId="24434" xr:uid="{00000000-0005-0000-0000-0000E95A0000}"/>
    <cellStyle name="Currency 5 5 2 5 4 2 3 2" xfId="24435" xr:uid="{00000000-0005-0000-0000-0000EA5A0000}"/>
    <cellStyle name="Currency 5 5 2 5 4 2 4" xfId="24436" xr:uid="{00000000-0005-0000-0000-0000EB5A0000}"/>
    <cellStyle name="Currency 5 5 2 5 4 3" xfId="24437" xr:uid="{00000000-0005-0000-0000-0000EC5A0000}"/>
    <cellStyle name="Currency 5 5 2 5 4 3 2" xfId="24438" xr:uid="{00000000-0005-0000-0000-0000ED5A0000}"/>
    <cellStyle name="Currency 5 5 2 5 4 3 2 2" xfId="24439" xr:uid="{00000000-0005-0000-0000-0000EE5A0000}"/>
    <cellStyle name="Currency 5 5 2 5 4 3 3" xfId="24440" xr:uid="{00000000-0005-0000-0000-0000EF5A0000}"/>
    <cellStyle name="Currency 5 5 2 5 4 4" xfId="24441" xr:uid="{00000000-0005-0000-0000-0000F05A0000}"/>
    <cellStyle name="Currency 5 5 2 5 4 4 2" xfId="24442" xr:uid="{00000000-0005-0000-0000-0000F15A0000}"/>
    <cellStyle name="Currency 5 5 2 5 4 5" xfId="24443" xr:uid="{00000000-0005-0000-0000-0000F25A0000}"/>
    <cellStyle name="Currency 5 5 2 5 5" xfId="24444" xr:uid="{00000000-0005-0000-0000-0000F35A0000}"/>
    <cellStyle name="Currency 5 5 2 5 5 2" xfId="24445" xr:uid="{00000000-0005-0000-0000-0000F45A0000}"/>
    <cellStyle name="Currency 5 5 2 5 5 2 2" xfId="24446" xr:uid="{00000000-0005-0000-0000-0000F55A0000}"/>
    <cellStyle name="Currency 5 5 2 5 5 2 2 2" xfId="24447" xr:uid="{00000000-0005-0000-0000-0000F65A0000}"/>
    <cellStyle name="Currency 5 5 2 5 5 2 3" xfId="24448" xr:uid="{00000000-0005-0000-0000-0000F75A0000}"/>
    <cellStyle name="Currency 5 5 2 5 5 3" xfId="24449" xr:uid="{00000000-0005-0000-0000-0000F85A0000}"/>
    <cellStyle name="Currency 5 5 2 5 5 3 2" xfId="24450" xr:uid="{00000000-0005-0000-0000-0000F95A0000}"/>
    <cellStyle name="Currency 5 5 2 5 5 4" xfId="24451" xr:uid="{00000000-0005-0000-0000-0000FA5A0000}"/>
    <cellStyle name="Currency 5 5 2 5 6" xfId="24452" xr:uid="{00000000-0005-0000-0000-0000FB5A0000}"/>
    <cellStyle name="Currency 5 5 2 5 6 2" xfId="24453" xr:uid="{00000000-0005-0000-0000-0000FC5A0000}"/>
    <cellStyle name="Currency 5 5 2 5 6 2 2" xfId="24454" xr:uid="{00000000-0005-0000-0000-0000FD5A0000}"/>
    <cellStyle name="Currency 5 5 2 5 6 2 2 2" xfId="24455" xr:uid="{00000000-0005-0000-0000-0000FE5A0000}"/>
    <cellStyle name="Currency 5 5 2 5 6 2 3" xfId="24456" xr:uid="{00000000-0005-0000-0000-0000FF5A0000}"/>
    <cellStyle name="Currency 5 5 2 5 6 3" xfId="24457" xr:uid="{00000000-0005-0000-0000-0000005B0000}"/>
    <cellStyle name="Currency 5 5 2 5 6 3 2" xfId="24458" xr:uid="{00000000-0005-0000-0000-0000015B0000}"/>
    <cellStyle name="Currency 5 5 2 5 6 4" xfId="24459" xr:uid="{00000000-0005-0000-0000-0000025B0000}"/>
    <cellStyle name="Currency 5 5 2 5 7" xfId="24460" xr:uid="{00000000-0005-0000-0000-0000035B0000}"/>
    <cellStyle name="Currency 5 5 2 5 7 2" xfId="24461" xr:uid="{00000000-0005-0000-0000-0000045B0000}"/>
    <cellStyle name="Currency 5 5 2 5 7 2 2" xfId="24462" xr:uid="{00000000-0005-0000-0000-0000055B0000}"/>
    <cellStyle name="Currency 5 5 2 5 7 2 2 2" xfId="24463" xr:uid="{00000000-0005-0000-0000-0000065B0000}"/>
    <cellStyle name="Currency 5 5 2 5 7 2 3" xfId="24464" xr:uid="{00000000-0005-0000-0000-0000075B0000}"/>
    <cellStyle name="Currency 5 5 2 5 7 3" xfId="24465" xr:uid="{00000000-0005-0000-0000-0000085B0000}"/>
    <cellStyle name="Currency 5 5 2 5 7 3 2" xfId="24466" xr:uid="{00000000-0005-0000-0000-0000095B0000}"/>
    <cellStyle name="Currency 5 5 2 5 7 4" xfId="24467" xr:uid="{00000000-0005-0000-0000-00000A5B0000}"/>
    <cellStyle name="Currency 5 5 2 5 8" xfId="24468" xr:uid="{00000000-0005-0000-0000-00000B5B0000}"/>
    <cellStyle name="Currency 5 5 2 5 8 2" xfId="24469" xr:uid="{00000000-0005-0000-0000-00000C5B0000}"/>
    <cellStyle name="Currency 5 5 2 5 8 2 2" xfId="24470" xr:uid="{00000000-0005-0000-0000-00000D5B0000}"/>
    <cellStyle name="Currency 5 5 2 5 8 3" xfId="24471" xr:uid="{00000000-0005-0000-0000-00000E5B0000}"/>
    <cellStyle name="Currency 5 5 2 5 9" xfId="24472" xr:uid="{00000000-0005-0000-0000-00000F5B0000}"/>
    <cellStyle name="Currency 5 5 2 5 9 2" xfId="24473" xr:uid="{00000000-0005-0000-0000-0000105B0000}"/>
    <cellStyle name="Currency 5 5 2 6" xfId="1362" xr:uid="{00000000-0005-0000-0000-0000115B0000}"/>
    <cellStyle name="Currency 5 5 2 6 2" xfId="24475" xr:uid="{00000000-0005-0000-0000-0000125B0000}"/>
    <cellStyle name="Currency 5 5 2 6 2 2" xfId="24476" xr:uid="{00000000-0005-0000-0000-0000135B0000}"/>
    <cellStyle name="Currency 5 5 2 6 2 2 2" xfId="24477" xr:uid="{00000000-0005-0000-0000-0000145B0000}"/>
    <cellStyle name="Currency 5 5 2 6 2 2 2 2" xfId="24478" xr:uid="{00000000-0005-0000-0000-0000155B0000}"/>
    <cellStyle name="Currency 5 5 2 6 2 2 3" xfId="24479" xr:uid="{00000000-0005-0000-0000-0000165B0000}"/>
    <cellStyle name="Currency 5 5 2 6 2 3" xfId="24480" xr:uid="{00000000-0005-0000-0000-0000175B0000}"/>
    <cellStyle name="Currency 5 5 2 6 2 3 2" xfId="24481" xr:uid="{00000000-0005-0000-0000-0000185B0000}"/>
    <cellStyle name="Currency 5 5 2 6 2 4" xfId="24482" xr:uid="{00000000-0005-0000-0000-0000195B0000}"/>
    <cellStyle name="Currency 5 5 2 6 3" xfId="24483" xr:uid="{00000000-0005-0000-0000-00001A5B0000}"/>
    <cellStyle name="Currency 5 5 2 6 3 2" xfId="24484" xr:uid="{00000000-0005-0000-0000-00001B5B0000}"/>
    <cellStyle name="Currency 5 5 2 6 3 2 2" xfId="24485" xr:uid="{00000000-0005-0000-0000-00001C5B0000}"/>
    <cellStyle name="Currency 5 5 2 6 3 2 2 2" xfId="24486" xr:uid="{00000000-0005-0000-0000-00001D5B0000}"/>
    <cellStyle name="Currency 5 5 2 6 3 2 3" xfId="24487" xr:uid="{00000000-0005-0000-0000-00001E5B0000}"/>
    <cellStyle name="Currency 5 5 2 6 3 3" xfId="24488" xr:uid="{00000000-0005-0000-0000-00001F5B0000}"/>
    <cellStyle name="Currency 5 5 2 6 3 3 2" xfId="24489" xr:uid="{00000000-0005-0000-0000-0000205B0000}"/>
    <cellStyle name="Currency 5 5 2 6 3 4" xfId="24490" xr:uid="{00000000-0005-0000-0000-0000215B0000}"/>
    <cellStyle name="Currency 5 5 2 6 4" xfId="24491" xr:uid="{00000000-0005-0000-0000-0000225B0000}"/>
    <cellStyle name="Currency 5 5 2 6 4 2" xfId="24492" xr:uid="{00000000-0005-0000-0000-0000235B0000}"/>
    <cellStyle name="Currency 5 5 2 6 4 2 2" xfId="24493" xr:uid="{00000000-0005-0000-0000-0000245B0000}"/>
    <cellStyle name="Currency 5 5 2 6 4 3" xfId="24494" xr:uid="{00000000-0005-0000-0000-0000255B0000}"/>
    <cellStyle name="Currency 5 5 2 6 5" xfId="24495" xr:uid="{00000000-0005-0000-0000-0000265B0000}"/>
    <cellStyle name="Currency 5 5 2 6 5 2" xfId="24496" xr:uid="{00000000-0005-0000-0000-0000275B0000}"/>
    <cellStyle name="Currency 5 5 2 6 6" xfId="24497" xr:uid="{00000000-0005-0000-0000-0000285B0000}"/>
    <cellStyle name="Currency 5 5 2 6 7" xfId="24474" xr:uid="{00000000-0005-0000-0000-0000295B0000}"/>
    <cellStyle name="Currency 5 5 2 7" xfId="24498" xr:uid="{00000000-0005-0000-0000-00002A5B0000}"/>
    <cellStyle name="Currency 5 5 2 7 2" xfId="24499" xr:uid="{00000000-0005-0000-0000-00002B5B0000}"/>
    <cellStyle name="Currency 5 5 2 7 2 2" xfId="24500" xr:uid="{00000000-0005-0000-0000-00002C5B0000}"/>
    <cellStyle name="Currency 5 5 2 7 2 2 2" xfId="24501" xr:uid="{00000000-0005-0000-0000-00002D5B0000}"/>
    <cellStyle name="Currency 5 5 2 7 2 2 2 2" xfId="24502" xr:uid="{00000000-0005-0000-0000-00002E5B0000}"/>
    <cellStyle name="Currency 5 5 2 7 2 2 3" xfId="24503" xr:uid="{00000000-0005-0000-0000-00002F5B0000}"/>
    <cellStyle name="Currency 5 5 2 7 2 3" xfId="24504" xr:uid="{00000000-0005-0000-0000-0000305B0000}"/>
    <cellStyle name="Currency 5 5 2 7 2 3 2" xfId="24505" xr:uid="{00000000-0005-0000-0000-0000315B0000}"/>
    <cellStyle name="Currency 5 5 2 7 2 4" xfId="24506" xr:uid="{00000000-0005-0000-0000-0000325B0000}"/>
    <cellStyle name="Currency 5 5 2 7 3" xfId="24507" xr:uid="{00000000-0005-0000-0000-0000335B0000}"/>
    <cellStyle name="Currency 5 5 2 7 3 2" xfId="24508" xr:uid="{00000000-0005-0000-0000-0000345B0000}"/>
    <cellStyle name="Currency 5 5 2 7 3 2 2" xfId="24509" xr:uid="{00000000-0005-0000-0000-0000355B0000}"/>
    <cellStyle name="Currency 5 5 2 7 3 3" xfId="24510" xr:uid="{00000000-0005-0000-0000-0000365B0000}"/>
    <cellStyle name="Currency 5 5 2 7 4" xfId="24511" xr:uid="{00000000-0005-0000-0000-0000375B0000}"/>
    <cellStyle name="Currency 5 5 2 7 4 2" xfId="24512" xr:uid="{00000000-0005-0000-0000-0000385B0000}"/>
    <cellStyle name="Currency 5 5 2 7 5" xfId="24513" xr:uid="{00000000-0005-0000-0000-0000395B0000}"/>
    <cellStyle name="Currency 5 5 2 8" xfId="24514" xr:uid="{00000000-0005-0000-0000-00003A5B0000}"/>
    <cellStyle name="Currency 5 5 2 8 2" xfId="24515" xr:uid="{00000000-0005-0000-0000-00003B5B0000}"/>
    <cellStyle name="Currency 5 5 2 8 2 2" xfId="24516" xr:uid="{00000000-0005-0000-0000-00003C5B0000}"/>
    <cellStyle name="Currency 5 5 2 8 2 2 2" xfId="24517" xr:uid="{00000000-0005-0000-0000-00003D5B0000}"/>
    <cellStyle name="Currency 5 5 2 8 2 2 2 2" xfId="24518" xr:uid="{00000000-0005-0000-0000-00003E5B0000}"/>
    <cellStyle name="Currency 5 5 2 8 2 2 3" xfId="24519" xr:uid="{00000000-0005-0000-0000-00003F5B0000}"/>
    <cellStyle name="Currency 5 5 2 8 2 3" xfId="24520" xr:uid="{00000000-0005-0000-0000-0000405B0000}"/>
    <cellStyle name="Currency 5 5 2 8 2 3 2" xfId="24521" xr:uid="{00000000-0005-0000-0000-0000415B0000}"/>
    <cellStyle name="Currency 5 5 2 8 2 4" xfId="24522" xr:uid="{00000000-0005-0000-0000-0000425B0000}"/>
    <cellStyle name="Currency 5 5 2 8 3" xfId="24523" xr:uid="{00000000-0005-0000-0000-0000435B0000}"/>
    <cellStyle name="Currency 5 5 2 8 3 2" xfId="24524" xr:uid="{00000000-0005-0000-0000-0000445B0000}"/>
    <cellStyle name="Currency 5 5 2 8 3 2 2" xfId="24525" xr:uid="{00000000-0005-0000-0000-0000455B0000}"/>
    <cellStyle name="Currency 5 5 2 8 3 3" xfId="24526" xr:uid="{00000000-0005-0000-0000-0000465B0000}"/>
    <cellStyle name="Currency 5 5 2 8 4" xfId="24527" xr:uid="{00000000-0005-0000-0000-0000475B0000}"/>
    <cellStyle name="Currency 5 5 2 8 4 2" xfId="24528" xr:uid="{00000000-0005-0000-0000-0000485B0000}"/>
    <cellStyle name="Currency 5 5 2 8 5" xfId="24529" xr:uid="{00000000-0005-0000-0000-0000495B0000}"/>
    <cellStyle name="Currency 5 5 2 9" xfId="24530" xr:uid="{00000000-0005-0000-0000-00004A5B0000}"/>
    <cellStyle name="Currency 5 5 2 9 2" xfId="24531" xr:uid="{00000000-0005-0000-0000-00004B5B0000}"/>
    <cellStyle name="Currency 5 5 2 9 2 2" xfId="24532" xr:uid="{00000000-0005-0000-0000-00004C5B0000}"/>
    <cellStyle name="Currency 5 5 2 9 2 2 2" xfId="24533" xr:uid="{00000000-0005-0000-0000-00004D5B0000}"/>
    <cellStyle name="Currency 5 5 2 9 2 3" xfId="24534" xr:uid="{00000000-0005-0000-0000-00004E5B0000}"/>
    <cellStyle name="Currency 5 5 2 9 3" xfId="24535" xr:uid="{00000000-0005-0000-0000-00004F5B0000}"/>
    <cellStyle name="Currency 5 5 2 9 3 2" xfId="24536" xr:uid="{00000000-0005-0000-0000-0000505B0000}"/>
    <cellStyle name="Currency 5 5 2 9 4" xfId="24537" xr:uid="{00000000-0005-0000-0000-0000515B0000}"/>
    <cellStyle name="Currency 5 5 3" xfId="417" xr:uid="{00000000-0005-0000-0000-0000525B0000}"/>
    <cellStyle name="Currency 5 5 3 10" xfId="24539" xr:uid="{00000000-0005-0000-0000-0000535B0000}"/>
    <cellStyle name="Currency 5 5 3 10 2" xfId="24540" xr:uid="{00000000-0005-0000-0000-0000545B0000}"/>
    <cellStyle name="Currency 5 5 3 10 2 2" xfId="24541" xr:uid="{00000000-0005-0000-0000-0000555B0000}"/>
    <cellStyle name="Currency 5 5 3 10 2 2 2" xfId="24542" xr:uid="{00000000-0005-0000-0000-0000565B0000}"/>
    <cellStyle name="Currency 5 5 3 10 2 3" xfId="24543" xr:uid="{00000000-0005-0000-0000-0000575B0000}"/>
    <cellStyle name="Currency 5 5 3 10 3" xfId="24544" xr:uid="{00000000-0005-0000-0000-0000585B0000}"/>
    <cellStyle name="Currency 5 5 3 10 3 2" xfId="24545" xr:uid="{00000000-0005-0000-0000-0000595B0000}"/>
    <cellStyle name="Currency 5 5 3 10 4" xfId="24546" xr:uid="{00000000-0005-0000-0000-00005A5B0000}"/>
    <cellStyle name="Currency 5 5 3 11" xfId="24547" xr:uid="{00000000-0005-0000-0000-00005B5B0000}"/>
    <cellStyle name="Currency 5 5 3 11 2" xfId="24548" xr:uid="{00000000-0005-0000-0000-00005C5B0000}"/>
    <cellStyle name="Currency 5 5 3 11 2 2" xfId="24549" xr:uid="{00000000-0005-0000-0000-00005D5B0000}"/>
    <cellStyle name="Currency 5 5 3 11 3" xfId="24550" xr:uid="{00000000-0005-0000-0000-00005E5B0000}"/>
    <cellStyle name="Currency 5 5 3 12" xfId="24551" xr:uid="{00000000-0005-0000-0000-00005F5B0000}"/>
    <cellStyle name="Currency 5 5 3 12 2" xfId="24552" xr:uid="{00000000-0005-0000-0000-0000605B0000}"/>
    <cellStyle name="Currency 5 5 3 12 2 2" xfId="24553" xr:uid="{00000000-0005-0000-0000-0000615B0000}"/>
    <cellStyle name="Currency 5 5 3 12 3" xfId="24554" xr:uid="{00000000-0005-0000-0000-0000625B0000}"/>
    <cellStyle name="Currency 5 5 3 13" xfId="24555" xr:uid="{00000000-0005-0000-0000-0000635B0000}"/>
    <cellStyle name="Currency 5 5 3 13 2" xfId="24556" xr:uid="{00000000-0005-0000-0000-0000645B0000}"/>
    <cellStyle name="Currency 5 5 3 13 2 2" xfId="24557" xr:uid="{00000000-0005-0000-0000-0000655B0000}"/>
    <cellStyle name="Currency 5 5 3 13 3" xfId="24558" xr:uid="{00000000-0005-0000-0000-0000665B0000}"/>
    <cellStyle name="Currency 5 5 3 14" xfId="24559" xr:uid="{00000000-0005-0000-0000-0000675B0000}"/>
    <cellStyle name="Currency 5 5 3 14 2" xfId="24560" xr:uid="{00000000-0005-0000-0000-0000685B0000}"/>
    <cellStyle name="Currency 5 5 3 15" xfId="24561" xr:uid="{00000000-0005-0000-0000-0000695B0000}"/>
    <cellStyle name="Currency 5 5 3 16" xfId="24562" xr:uid="{00000000-0005-0000-0000-00006A5B0000}"/>
    <cellStyle name="Currency 5 5 3 17" xfId="24538" xr:uid="{00000000-0005-0000-0000-00006B5B0000}"/>
    <cellStyle name="Currency 5 5 3 2" xfId="418" xr:uid="{00000000-0005-0000-0000-00006C5B0000}"/>
    <cellStyle name="Currency 5 5 3 2 10" xfId="24564" xr:uid="{00000000-0005-0000-0000-00006D5B0000}"/>
    <cellStyle name="Currency 5 5 3 2 10 2" xfId="24565" xr:uid="{00000000-0005-0000-0000-00006E5B0000}"/>
    <cellStyle name="Currency 5 5 3 2 10 2 2" xfId="24566" xr:uid="{00000000-0005-0000-0000-00006F5B0000}"/>
    <cellStyle name="Currency 5 5 3 2 10 3" xfId="24567" xr:uid="{00000000-0005-0000-0000-0000705B0000}"/>
    <cellStyle name="Currency 5 5 3 2 11" xfId="24568" xr:uid="{00000000-0005-0000-0000-0000715B0000}"/>
    <cellStyle name="Currency 5 5 3 2 11 2" xfId="24569" xr:uid="{00000000-0005-0000-0000-0000725B0000}"/>
    <cellStyle name="Currency 5 5 3 2 11 2 2" xfId="24570" xr:uid="{00000000-0005-0000-0000-0000735B0000}"/>
    <cellStyle name="Currency 5 5 3 2 11 3" xfId="24571" xr:uid="{00000000-0005-0000-0000-0000745B0000}"/>
    <cellStyle name="Currency 5 5 3 2 12" xfId="24572" xr:uid="{00000000-0005-0000-0000-0000755B0000}"/>
    <cellStyle name="Currency 5 5 3 2 12 2" xfId="24573" xr:uid="{00000000-0005-0000-0000-0000765B0000}"/>
    <cellStyle name="Currency 5 5 3 2 13" xfId="24574" xr:uid="{00000000-0005-0000-0000-0000775B0000}"/>
    <cellStyle name="Currency 5 5 3 2 14" xfId="24575" xr:uid="{00000000-0005-0000-0000-0000785B0000}"/>
    <cellStyle name="Currency 5 5 3 2 15" xfId="24563" xr:uid="{00000000-0005-0000-0000-0000795B0000}"/>
    <cellStyle name="Currency 5 5 3 2 2" xfId="951" xr:uid="{00000000-0005-0000-0000-00007A5B0000}"/>
    <cellStyle name="Currency 5 5 3 2 2 10" xfId="24577" xr:uid="{00000000-0005-0000-0000-00007B5B0000}"/>
    <cellStyle name="Currency 5 5 3 2 2 11" xfId="24576" xr:uid="{00000000-0005-0000-0000-00007C5B0000}"/>
    <cellStyle name="Currency 5 5 3 2 2 2" xfId="1692" xr:uid="{00000000-0005-0000-0000-00007D5B0000}"/>
    <cellStyle name="Currency 5 5 3 2 2 2 2" xfId="24579" xr:uid="{00000000-0005-0000-0000-00007E5B0000}"/>
    <cellStyle name="Currency 5 5 3 2 2 2 2 2" xfId="24580" xr:uid="{00000000-0005-0000-0000-00007F5B0000}"/>
    <cellStyle name="Currency 5 5 3 2 2 2 2 2 2" xfId="24581" xr:uid="{00000000-0005-0000-0000-0000805B0000}"/>
    <cellStyle name="Currency 5 5 3 2 2 2 2 2 2 2" xfId="24582" xr:uid="{00000000-0005-0000-0000-0000815B0000}"/>
    <cellStyle name="Currency 5 5 3 2 2 2 2 2 3" xfId="24583" xr:uid="{00000000-0005-0000-0000-0000825B0000}"/>
    <cellStyle name="Currency 5 5 3 2 2 2 2 3" xfId="24584" xr:uid="{00000000-0005-0000-0000-0000835B0000}"/>
    <cellStyle name="Currency 5 5 3 2 2 2 2 3 2" xfId="24585" xr:uid="{00000000-0005-0000-0000-0000845B0000}"/>
    <cellStyle name="Currency 5 5 3 2 2 2 2 4" xfId="24586" xr:uid="{00000000-0005-0000-0000-0000855B0000}"/>
    <cellStyle name="Currency 5 5 3 2 2 2 3" xfId="24587" xr:uid="{00000000-0005-0000-0000-0000865B0000}"/>
    <cellStyle name="Currency 5 5 3 2 2 2 3 2" xfId="24588" xr:uid="{00000000-0005-0000-0000-0000875B0000}"/>
    <cellStyle name="Currency 5 5 3 2 2 2 3 2 2" xfId="24589" xr:uid="{00000000-0005-0000-0000-0000885B0000}"/>
    <cellStyle name="Currency 5 5 3 2 2 2 3 2 2 2" xfId="24590" xr:uid="{00000000-0005-0000-0000-0000895B0000}"/>
    <cellStyle name="Currency 5 5 3 2 2 2 3 2 3" xfId="24591" xr:uid="{00000000-0005-0000-0000-00008A5B0000}"/>
    <cellStyle name="Currency 5 5 3 2 2 2 3 3" xfId="24592" xr:uid="{00000000-0005-0000-0000-00008B5B0000}"/>
    <cellStyle name="Currency 5 5 3 2 2 2 3 3 2" xfId="24593" xr:uid="{00000000-0005-0000-0000-00008C5B0000}"/>
    <cellStyle name="Currency 5 5 3 2 2 2 3 4" xfId="24594" xr:uid="{00000000-0005-0000-0000-00008D5B0000}"/>
    <cellStyle name="Currency 5 5 3 2 2 2 4" xfId="24595" xr:uid="{00000000-0005-0000-0000-00008E5B0000}"/>
    <cellStyle name="Currency 5 5 3 2 2 2 4 2" xfId="24596" xr:uid="{00000000-0005-0000-0000-00008F5B0000}"/>
    <cellStyle name="Currency 5 5 3 2 2 2 4 2 2" xfId="24597" xr:uid="{00000000-0005-0000-0000-0000905B0000}"/>
    <cellStyle name="Currency 5 5 3 2 2 2 4 3" xfId="24598" xr:uid="{00000000-0005-0000-0000-0000915B0000}"/>
    <cellStyle name="Currency 5 5 3 2 2 2 5" xfId="24599" xr:uid="{00000000-0005-0000-0000-0000925B0000}"/>
    <cellStyle name="Currency 5 5 3 2 2 2 5 2" xfId="24600" xr:uid="{00000000-0005-0000-0000-0000935B0000}"/>
    <cellStyle name="Currency 5 5 3 2 2 2 6" xfId="24601" xr:uid="{00000000-0005-0000-0000-0000945B0000}"/>
    <cellStyle name="Currency 5 5 3 2 2 2 7" xfId="24578" xr:uid="{00000000-0005-0000-0000-0000955B0000}"/>
    <cellStyle name="Currency 5 5 3 2 2 3" xfId="24602" xr:uid="{00000000-0005-0000-0000-0000965B0000}"/>
    <cellStyle name="Currency 5 5 3 2 2 3 2" xfId="24603" xr:uid="{00000000-0005-0000-0000-0000975B0000}"/>
    <cellStyle name="Currency 5 5 3 2 2 3 2 2" xfId="24604" xr:uid="{00000000-0005-0000-0000-0000985B0000}"/>
    <cellStyle name="Currency 5 5 3 2 2 3 2 2 2" xfId="24605" xr:uid="{00000000-0005-0000-0000-0000995B0000}"/>
    <cellStyle name="Currency 5 5 3 2 2 3 2 2 2 2" xfId="24606" xr:uid="{00000000-0005-0000-0000-00009A5B0000}"/>
    <cellStyle name="Currency 5 5 3 2 2 3 2 2 3" xfId="24607" xr:uid="{00000000-0005-0000-0000-00009B5B0000}"/>
    <cellStyle name="Currency 5 5 3 2 2 3 2 3" xfId="24608" xr:uid="{00000000-0005-0000-0000-00009C5B0000}"/>
    <cellStyle name="Currency 5 5 3 2 2 3 2 3 2" xfId="24609" xr:uid="{00000000-0005-0000-0000-00009D5B0000}"/>
    <cellStyle name="Currency 5 5 3 2 2 3 2 4" xfId="24610" xr:uid="{00000000-0005-0000-0000-00009E5B0000}"/>
    <cellStyle name="Currency 5 5 3 2 2 3 3" xfId="24611" xr:uid="{00000000-0005-0000-0000-00009F5B0000}"/>
    <cellStyle name="Currency 5 5 3 2 2 3 3 2" xfId="24612" xr:uid="{00000000-0005-0000-0000-0000A05B0000}"/>
    <cellStyle name="Currency 5 5 3 2 2 3 3 2 2" xfId="24613" xr:uid="{00000000-0005-0000-0000-0000A15B0000}"/>
    <cellStyle name="Currency 5 5 3 2 2 3 3 3" xfId="24614" xr:uid="{00000000-0005-0000-0000-0000A25B0000}"/>
    <cellStyle name="Currency 5 5 3 2 2 3 4" xfId="24615" xr:uid="{00000000-0005-0000-0000-0000A35B0000}"/>
    <cellStyle name="Currency 5 5 3 2 2 3 4 2" xfId="24616" xr:uid="{00000000-0005-0000-0000-0000A45B0000}"/>
    <cellStyle name="Currency 5 5 3 2 2 3 5" xfId="24617" xr:uid="{00000000-0005-0000-0000-0000A55B0000}"/>
    <cellStyle name="Currency 5 5 3 2 2 4" xfId="24618" xr:uid="{00000000-0005-0000-0000-0000A65B0000}"/>
    <cellStyle name="Currency 5 5 3 2 2 4 2" xfId="24619" xr:uid="{00000000-0005-0000-0000-0000A75B0000}"/>
    <cellStyle name="Currency 5 5 3 2 2 4 2 2" xfId="24620" xr:uid="{00000000-0005-0000-0000-0000A85B0000}"/>
    <cellStyle name="Currency 5 5 3 2 2 4 2 2 2" xfId="24621" xr:uid="{00000000-0005-0000-0000-0000A95B0000}"/>
    <cellStyle name="Currency 5 5 3 2 2 4 2 2 2 2" xfId="24622" xr:uid="{00000000-0005-0000-0000-0000AA5B0000}"/>
    <cellStyle name="Currency 5 5 3 2 2 4 2 2 3" xfId="24623" xr:uid="{00000000-0005-0000-0000-0000AB5B0000}"/>
    <cellStyle name="Currency 5 5 3 2 2 4 2 3" xfId="24624" xr:uid="{00000000-0005-0000-0000-0000AC5B0000}"/>
    <cellStyle name="Currency 5 5 3 2 2 4 2 3 2" xfId="24625" xr:uid="{00000000-0005-0000-0000-0000AD5B0000}"/>
    <cellStyle name="Currency 5 5 3 2 2 4 2 4" xfId="24626" xr:uid="{00000000-0005-0000-0000-0000AE5B0000}"/>
    <cellStyle name="Currency 5 5 3 2 2 4 3" xfId="24627" xr:uid="{00000000-0005-0000-0000-0000AF5B0000}"/>
    <cellStyle name="Currency 5 5 3 2 2 4 3 2" xfId="24628" xr:uid="{00000000-0005-0000-0000-0000B05B0000}"/>
    <cellStyle name="Currency 5 5 3 2 2 4 3 2 2" xfId="24629" xr:uid="{00000000-0005-0000-0000-0000B15B0000}"/>
    <cellStyle name="Currency 5 5 3 2 2 4 3 3" xfId="24630" xr:uid="{00000000-0005-0000-0000-0000B25B0000}"/>
    <cellStyle name="Currency 5 5 3 2 2 4 4" xfId="24631" xr:uid="{00000000-0005-0000-0000-0000B35B0000}"/>
    <cellStyle name="Currency 5 5 3 2 2 4 4 2" xfId="24632" xr:uid="{00000000-0005-0000-0000-0000B45B0000}"/>
    <cellStyle name="Currency 5 5 3 2 2 4 5" xfId="24633" xr:uid="{00000000-0005-0000-0000-0000B55B0000}"/>
    <cellStyle name="Currency 5 5 3 2 2 5" xfId="24634" xr:uid="{00000000-0005-0000-0000-0000B65B0000}"/>
    <cellStyle name="Currency 5 5 3 2 2 5 2" xfId="24635" xr:uid="{00000000-0005-0000-0000-0000B75B0000}"/>
    <cellStyle name="Currency 5 5 3 2 2 5 2 2" xfId="24636" xr:uid="{00000000-0005-0000-0000-0000B85B0000}"/>
    <cellStyle name="Currency 5 5 3 2 2 5 2 2 2" xfId="24637" xr:uid="{00000000-0005-0000-0000-0000B95B0000}"/>
    <cellStyle name="Currency 5 5 3 2 2 5 2 3" xfId="24638" xr:uid="{00000000-0005-0000-0000-0000BA5B0000}"/>
    <cellStyle name="Currency 5 5 3 2 2 5 3" xfId="24639" xr:uid="{00000000-0005-0000-0000-0000BB5B0000}"/>
    <cellStyle name="Currency 5 5 3 2 2 5 3 2" xfId="24640" xr:uid="{00000000-0005-0000-0000-0000BC5B0000}"/>
    <cellStyle name="Currency 5 5 3 2 2 5 4" xfId="24641" xr:uid="{00000000-0005-0000-0000-0000BD5B0000}"/>
    <cellStyle name="Currency 5 5 3 2 2 6" xfId="24642" xr:uid="{00000000-0005-0000-0000-0000BE5B0000}"/>
    <cellStyle name="Currency 5 5 3 2 2 6 2" xfId="24643" xr:uid="{00000000-0005-0000-0000-0000BF5B0000}"/>
    <cellStyle name="Currency 5 5 3 2 2 6 2 2" xfId="24644" xr:uid="{00000000-0005-0000-0000-0000C05B0000}"/>
    <cellStyle name="Currency 5 5 3 2 2 6 2 2 2" xfId="24645" xr:uid="{00000000-0005-0000-0000-0000C15B0000}"/>
    <cellStyle name="Currency 5 5 3 2 2 6 2 3" xfId="24646" xr:uid="{00000000-0005-0000-0000-0000C25B0000}"/>
    <cellStyle name="Currency 5 5 3 2 2 6 3" xfId="24647" xr:uid="{00000000-0005-0000-0000-0000C35B0000}"/>
    <cellStyle name="Currency 5 5 3 2 2 6 3 2" xfId="24648" xr:uid="{00000000-0005-0000-0000-0000C45B0000}"/>
    <cellStyle name="Currency 5 5 3 2 2 6 4" xfId="24649" xr:uid="{00000000-0005-0000-0000-0000C55B0000}"/>
    <cellStyle name="Currency 5 5 3 2 2 7" xfId="24650" xr:uid="{00000000-0005-0000-0000-0000C65B0000}"/>
    <cellStyle name="Currency 5 5 3 2 2 7 2" xfId="24651" xr:uid="{00000000-0005-0000-0000-0000C75B0000}"/>
    <cellStyle name="Currency 5 5 3 2 2 7 2 2" xfId="24652" xr:uid="{00000000-0005-0000-0000-0000C85B0000}"/>
    <cellStyle name="Currency 5 5 3 2 2 7 2 2 2" xfId="24653" xr:uid="{00000000-0005-0000-0000-0000C95B0000}"/>
    <cellStyle name="Currency 5 5 3 2 2 7 2 3" xfId="24654" xr:uid="{00000000-0005-0000-0000-0000CA5B0000}"/>
    <cellStyle name="Currency 5 5 3 2 2 7 3" xfId="24655" xr:uid="{00000000-0005-0000-0000-0000CB5B0000}"/>
    <cellStyle name="Currency 5 5 3 2 2 7 3 2" xfId="24656" xr:uid="{00000000-0005-0000-0000-0000CC5B0000}"/>
    <cellStyle name="Currency 5 5 3 2 2 7 4" xfId="24657" xr:uid="{00000000-0005-0000-0000-0000CD5B0000}"/>
    <cellStyle name="Currency 5 5 3 2 2 8" xfId="24658" xr:uid="{00000000-0005-0000-0000-0000CE5B0000}"/>
    <cellStyle name="Currency 5 5 3 2 2 8 2" xfId="24659" xr:uid="{00000000-0005-0000-0000-0000CF5B0000}"/>
    <cellStyle name="Currency 5 5 3 2 2 8 2 2" xfId="24660" xr:uid="{00000000-0005-0000-0000-0000D05B0000}"/>
    <cellStyle name="Currency 5 5 3 2 2 8 3" xfId="24661" xr:uid="{00000000-0005-0000-0000-0000D15B0000}"/>
    <cellStyle name="Currency 5 5 3 2 2 9" xfId="24662" xr:uid="{00000000-0005-0000-0000-0000D25B0000}"/>
    <cellStyle name="Currency 5 5 3 2 2 9 2" xfId="24663" xr:uid="{00000000-0005-0000-0000-0000D35B0000}"/>
    <cellStyle name="Currency 5 5 3 2 3" xfId="1367" xr:uid="{00000000-0005-0000-0000-0000D45B0000}"/>
    <cellStyle name="Currency 5 5 3 2 3 2" xfId="24665" xr:uid="{00000000-0005-0000-0000-0000D55B0000}"/>
    <cellStyle name="Currency 5 5 3 2 3 2 2" xfId="24666" xr:uid="{00000000-0005-0000-0000-0000D65B0000}"/>
    <cellStyle name="Currency 5 5 3 2 3 2 2 2" xfId="24667" xr:uid="{00000000-0005-0000-0000-0000D75B0000}"/>
    <cellStyle name="Currency 5 5 3 2 3 2 2 2 2" xfId="24668" xr:uid="{00000000-0005-0000-0000-0000D85B0000}"/>
    <cellStyle name="Currency 5 5 3 2 3 2 2 3" xfId="24669" xr:uid="{00000000-0005-0000-0000-0000D95B0000}"/>
    <cellStyle name="Currency 5 5 3 2 3 2 3" xfId="24670" xr:uid="{00000000-0005-0000-0000-0000DA5B0000}"/>
    <cellStyle name="Currency 5 5 3 2 3 2 3 2" xfId="24671" xr:uid="{00000000-0005-0000-0000-0000DB5B0000}"/>
    <cellStyle name="Currency 5 5 3 2 3 2 4" xfId="24672" xr:uid="{00000000-0005-0000-0000-0000DC5B0000}"/>
    <cellStyle name="Currency 5 5 3 2 3 3" xfId="24673" xr:uid="{00000000-0005-0000-0000-0000DD5B0000}"/>
    <cellStyle name="Currency 5 5 3 2 3 3 2" xfId="24674" xr:uid="{00000000-0005-0000-0000-0000DE5B0000}"/>
    <cellStyle name="Currency 5 5 3 2 3 3 2 2" xfId="24675" xr:uid="{00000000-0005-0000-0000-0000DF5B0000}"/>
    <cellStyle name="Currency 5 5 3 2 3 3 2 2 2" xfId="24676" xr:uid="{00000000-0005-0000-0000-0000E05B0000}"/>
    <cellStyle name="Currency 5 5 3 2 3 3 2 3" xfId="24677" xr:uid="{00000000-0005-0000-0000-0000E15B0000}"/>
    <cellStyle name="Currency 5 5 3 2 3 3 3" xfId="24678" xr:uid="{00000000-0005-0000-0000-0000E25B0000}"/>
    <cellStyle name="Currency 5 5 3 2 3 3 3 2" xfId="24679" xr:uid="{00000000-0005-0000-0000-0000E35B0000}"/>
    <cellStyle name="Currency 5 5 3 2 3 3 4" xfId="24680" xr:uid="{00000000-0005-0000-0000-0000E45B0000}"/>
    <cellStyle name="Currency 5 5 3 2 3 4" xfId="24681" xr:uid="{00000000-0005-0000-0000-0000E55B0000}"/>
    <cellStyle name="Currency 5 5 3 2 3 4 2" xfId="24682" xr:uid="{00000000-0005-0000-0000-0000E65B0000}"/>
    <cellStyle name="Currency 5 5 3 2 3 4 2 2" xfId="24683" xr:uid="{00000000-0005-0000-0000-0000E75B0000}"/>
    <cellStyle name="Currency 5 5 3 2 3 4 3" xfId="24684" xr:uid="{00000000-0005-0000-0000-0000E85B0000}"/>
    <cellStyle name="Currency 5 5 3 2 3 5" xfId="24685" xr:uid="{00000000-0005-0000-0000-0000E95B0000}"/>
    <cellStyle name="Currency 5 5 3 2 3 5 2" xfId="24686" xr:uid="{00000000-0005-0000-0000-0000EA5B0000}"/>
    <cellStyle name="Currency 5 5 3 2 3 6" xfId="24687" xr:uid="{00000000-0005-0000-0000-0000EB5B0000}"/>
    <cellStyle name="Currency 5 5 3 2 3 7" xfId="24664" xr:uid="{00000000-0005-0000-0000-0000EC5B0000}"/>
    <cellStyle name="Currency 5 5 3 2 4" xfId="24688" xr:uid="{00000000-0005-0000-0000-0000ED5B0000}"/>
    <cellStyle name="Currency 5 5 3 2 4 2" xfId="24689" xr:uid="{00000000-0005-0000-0000-0000EE5B0000}"/>
    <cellStyle name="Currency 5 5 3 2 4 2 2" xfId="24690" xr:uid="{00000000-0005-0000-0000-0000EF5B0000}"/>
    <cellStyle name="Currency 5 5 3 2 4 2 2 2" xfId="24691" xr:uid="{00000000-0005-0000-0000-0000F05B0000}"/>
    <cellStyle name="Currency 5 5 3 2 4 2 2 2 2" xfId="24692" xr:uid="{00000000-0005-0000-0000-0000F15B0000}"/>
    <cellStyle name="Currency 5 5 3 2 4 2 2 3" xfId="24693" xr:uid="{00000000-0005-0000-0000-0000F25B0000}"/>
    <cellStyle name="Currency 5 5 3 2 4 2 3" xfId="24694" xr:uid="{00000000-0005-0000-0000-0000F35B0000}"/>
    <cellStyle name="Currency 5 5 3 2 4 2 3 2" xfId="24695" xr:uid="{00000000-0005-0000-0000-0000F45B0000}"/>
    <cellStyle name="Currency 5 5 3 2 4 2 4" xfId="24696" xr:uid="{00000000-0005-0000-0000-0000F55B0000}"/>
    <cellStyle name="Currency 5 5 3 2 4 3" xfId="24697" xr:uid="{00000000-0005-0000-0000-0000F65B0000}"/>
    <cellStyle name="Currency 5 5 3 2 4 3 2" xfId="24698" xr:uid="{00000000-0005-0000-0000-0000F75B0000}"/>
    <cellStyle name="Currency 5 5 3 2 4 3 2 2" xfId="24699" xr:uid="{00000000-0005-0000-0000-0000F85B0000}"/>
    <cellStyle name="Currency 5 5 3 2 4 3 3" xfId="24700" xr:uid="{00000000-0005-0000-0000-0000F95B0000}"/>
    <cellStyle name="Currency 5 5 3 2 4 4" xfId="24701" xr:uid="{00000000-0005-0000-0000-0000FA5B0000}"/>
    <cellStyle name="Currency 5 5 3 2 4 4 2" xfId="24702" xr:uid="{00000000-0005-0000-0000-0000FB5B0000}"/>
    <cellStyle name="Currency 5 5 3 2 4 5" xfId="24703" xr:uid="{00000000-0005-0000-0000-0000FC5B0000}"/>
    <cellStyle name="Currency 5 5 3 2 5" xfId="24704" xr:uid="{00000000-0005-0000-0000-0000FD5B0000}"/>
    <cellStyle name="Currency 5 5 3 2 5 2" xfId="24705" xr:uid="{00000000-0005-0000-0000-0000FE5B0000}"/>
    <cellStyle name="Currency 5 5 3 2 5 2 2" xfId="24706" xr:uid="{00000000-0005-0000-0000-0000FF5B0000}"/>
    <cellStyle name="Currency 5 5 3 2 5 2 2 2" xfId="24707" xr:uid="{00000000-0005-0000-0000-0000005C0000}"/>
    <cellStyle name="Currency 5 5 3 2 5 2 2 2 2" xfId="24708" xr:uid="{00000000-0005-0000-0000-0000015C0000}"/>
    <cellStyle name="Currency 5 5 3 2 5 2 2 3" xfId="24709" xr:uid="{00000000-0005-0000-0000-0000025C0000}"/>
    <cellStyle name="Currency 5 5 3 2 5 2 3" xfId="24710" xr:uid="{00000000-0005-0000-0000-0000035C0000}"/>
    <cellStyle name="Currency 5 5 3 2 5 2 3 2" xfId="24711" xr:uid="{00000000-0005-0000-0000-0000045C0000}"/>
    <cellStyle name="Currency 5 5 3 2 5 2 4" xfId="24712" xr:uid="{00000000-0005-0000-0000-0000055C0000}"/>
    <cellStyle name="Currency 5 5 3 2 5 3" xfId="24713" xr:uid="{00000000-0005-0000-0000-0000065C0000}"/>
    <cellStyle name="Currency 5 5 3 2 5 3 2" xfId="24714" xr:uid="{00000000-0005-0000-0000-0000075C0000}"/>
    <cellStyle name="Currency 5 5 3 2 5 3 2 2" xfId="24715" xr:uid="{00000000-0005-0000-0000-0000085C0000}"/>
    <cellStyle name="Currency 5 5 3 2 5 3 3" xfId="24716" xr:uid="{00000000-0005-0000-0000-0000095C0000}"/>
    <cellStyle name="Currency 5 5 3 2 5 4" xfId="24717" xr:uid="{00000000-0005-0000-0000-00000A5C0000}"/>
    <cellStyle name="Currency 5 5 3 2 5 4 2" xfId="24718" xr:uid="{00000000-0005-0000-0000-00000B5C0000}"/>
    <cellStyle name="Currency 5 5 3 2 5 5" xfId="24719" xr:uid="{00000000-0005-0000-0000-00000C5C0000}"/>
    <cellStyle name="Currency 5 5 3 2 6" xfId="24720" xr:uid="{00000000-0005-0000-0000-00000D5C0000}"/>
    <cellStyle name="Currency 5 5 3 2 6 2" xfId="24721" xr:uid="{00000000-0005-0000-0000-00000E5C0000}"/>
    <cellStyle name="Currency 5 5 3 2 6 2 2" xfId="24722" xr:uid="{00000000-0005-0000-0000-00000F5C0000}"/>
    <cellStyle name="Currency 5 5 3 2 6 2 2 2" xfId="24723" xr:uid="{00000000-0005-0000-0000-0000105C0000}"/>
    <cellStyle name="Currency 5 5 3 2 6 2 3" xfId="24724" xr:uid="{00000000-0005-0000-0000-0000115C0000}"/>
    <cellStyle name="Currency 5 5 3 2 6 3" xfId="24725" xr:uid="{00000000-0005-0000-0000-0000125C0000}"/>
    <cellStyle name="Currency 5 5 3 2 6 3 2" xfId="24726" xr:uid="{00000000-0005-0000-0000-0000135C0000}"/>
    <cellStyle name="Currency 5 5 3 2 6 4" xfId="24727" xr:uid="{00000000-0005-0000-0000-0000145C0000}"/>
    <cellStyle name="Currency 5 5 3 2 7" xfId="24728" xr:uid="{00000000-0005-0000-0000-0000155C0000}"/>
    <cellStyle name="Currency 5 5 3 2 7 2" xfId="24729" xr:uid="{00000000-0005-0000-0000-0000165C0000}"/>
    <cellStyle name="Currency 5 5 3 2 7 2 2" xfId="24730" xr:uid="{00000000-0005-0000-0000-0000175C0000}"/>
    <cellStyle name="Currency 5 5 3 2 7 2 2 2" xfId="24731" xr:uid="{00000000-0005-0000-0000-0000185C0000}"/>
    <cellStyle name="Currency 5 5 3 2 7 2 3" xfId="24732" xr:uid="{00000000-0005-0000-0000-0000195C0000}"/>
    <cellStyle name="Currency 5 5 3 2 7 3" xfId="24733" xr:uid="{00000000-0005-0000-0000-00001A5C0000}"/>
    <cellStyle name="Currency 5 5 3 2 7 3 2" xfId="24734" xr:uid="{00000000-0005-0000-0000-00001B5C0000}"/>
    <cellStyle name="Currency 5 5 3 2 7 4" xfId="24735" xr:uid="{00000000-0005-0000-0000-00001C5C0000}"/>
    <cellStyle name="Currency 5 5 3 2 8" xfId="24736" xr:uid="{00000000-0005-0000-0000-00001D5C0000}"/>
    <cellStyle name="Currency 5 5 3 2 8 2" xfId="24737" xr:uid="{00000000-0005-0000-0000-00001E5C0000}"/>
    <cellStyle name="Currency 5 5 3 2 8 2 2" xfId="24738" xr:uid="{00000000-0005-0000-0000-00001F5C0000}"/>
    <cellStyle name="Currency 5 5 3 2 8 2 2 2" xfId="24739" xr:uid="{00000000-0005-0000-0000-0000205C0000}"/>
    <cellStyle name="Currency 5 5 3 2 8 2 3" xfId="24740" xr:uid="{00000000-0005-0000-0000-0000215C0000}"/>
    <cellStyle name="Currency 5 5 3 2 8 3" xfId="24741" xr:uid="{00000000-0005-0000-0000-0000225C0000}"/>
    <cellStyle name="Currency 5 5 3 2 8 3 2" xfId="24742" xr:uid="{00000000-0005-0000-0000-0000235C0000}"/>
    <cellStyle name="Currency 5 5 3 2 8 4" xfId="24743" xr:uid="{00000000-0005-0000-0000-0000245C0000}"/>
    <cellStyle name="Currency 5 5 3 2 9" xfId="24744" xr:uid="{00000000-0005-0000-0000-0000255C0000}"/>
    <cellStyle name="Currency 5 5 3 2 9 2" xfId="24745" xr:uid="{00000000-0005-0000-0000-0000265C0000}"/>
    <cellStyle name="Currency 5 5 3 2 9 2 2" xfId="24746" xr:uid="{00000000-0005-0000-0000-0000275C0000}"/>
    <cellStyle name="Currency 5 5 3 2 9 3" xfId="24747" xr:uid="{00000000-0005-0000-0000-0000285C0000}"/>
    <cellStyle name="Currency 5 5 3 3" xfId="419" xr:uid="{00000000-0005-0000-0000-0000295C0000}"/>
    <cellStyle name="Currency 5 5 3 4" xfId="950" xr:uid="{00000000-0005-0000-0000-00002A5C0000}"/>
    <cellStyle name="Currency 5 5 3 4 10" xfId="24749" xr:uid="{00000000-0005-0000-0000-00002B5C0000}"/>
    <cellStyle name="Currency 5 5 3 4 11" xfId="24748" xr:uid="{00000000-0005-0000-0000-00002C5C0000}"/>
    <cellStyle name="Currency 5 5 3 4 2" xfId="1691" xr:uid="{00000000-0005-0000-0000-00002D5C0000}"/>
    <cellStyle name="Currency 5 5 3 4 2 2" xfId="24751" xr:uid="{00000000-0005-0000-0000-00002E5C0000}"/>
    <cellStyle name="Currency 5 5 3 4 2 2 2" xfId="24752" xr:uid="{00000000-0005-0000-0000-00002F5C0000}"/>
    <cellStyle name="Currency 5 5 3 4 2 2 2 2" xfId="24753" xr:uid="{00000000-0005-0000-0000-0000305C0000}"/>
    <cellStyle name="Currency 5 5 3 4 2 2 2 2 2" xfId="24754" xr:uid="{00000000-0005-0000-0000-0000315C0000}"/>
    <cellStyle name="Currency 5 5 3 4 2 2 2 3" xfId="24755" xr:uid="{00000000-0005-0000-0000-0000325C0000}"/>
    <cellStyle name="Currency 5 5 3 4 2 2 3" xfId="24756" xr:uid="{00000000-0005-0000-0000-0000335C0000}"/>
    <cellStyle name="Currency 5 5 3 4 2 2 3 2" xfId="24757" xr:uid="{00000000-0005-0000-0000-0000345C0000}"/>
    <cellStyle name="Currency 5 5 3 4 2 2 4" xfId="24758" xr:uid="{00000000-0005-0000-0000-0000355C0000}"/>
    <cellStyle name="Currency 5 5 3 4 2 3" xfId="24759" xr:uid="{00000000-0005-0000-0000-0000365C0000}"/>
    <cellStyle name="Currency 5 5 3 4 2 3 2" xfId="24760" xr:uid="{00000000-0005-0000-0000-0000375C0000}"/>
    <cellStyle name="Currency 5 5 3 4 2 3 2 2" xfId="24761" xr:uid="{00000000-0005-0000-0000-0000385C0000}"/>
    <cellStyle name="Currency 5 5 3 4 2 3 2 2 2" xfId="24762" xr:uid="{00000000-0005-0000-0000-0000395C0000}"/>
    <cellStyle name="Currency 5 5 3 4 2 3 2 3" xfId="24763" xr:uid="{00000000-0005-0000-0000-00003A5C0000}"/>
    <cellStyle name="Currency 5 5 3 4 2 3 3" xfId="24764" xr:uid="{00000000-0005-0000-0000-00003B5C0000}"/>
    <cellStyle name="Currency 5 5 3 4 2 3 3 2" xfId="24765" xr:uid="{00000000-0005-0000-0000-00003C5C0000}"/>
    <cellStyle name="Currency 5 5 3 4 2 3 4" xfId="24766" xr:uid="{00000000-0005-0000-0000-00003D5C0000}"/>
    <cellStyle name="Currency 5 5 3 4 2 4" xfId="24767" xr:uid="{00000000-0005-0000-0000-00003E5C0000}"/>
    <cellStyle name="Currency 5 5 3 4 2 4 2" xfId="24768" xr:uid="{00000000-0005-0000-0000-00003F5C0000}"/>
    <cellStyle name="Currency 5 5 3 4 2 4 2 2" xfId="24769" xr:uid="{00000000-0005-0000-0000-0000405C0000}"/>
    <cellStyle name="Currency 5 5 3 4 2 4 3" xfId="24770" xr:uid="{00000000-0005-0000-0000-0000415C0000}"/>
    <cellStyle name="Currency 5 5 3 4 2 5" xfId="24771" xr:uid="{00000000-0005-0000-0000-0000425C0000}"/>
    <cellStyle name="Currency 5 5 3 4 2 5 2" xfId="24772" xr:uid="{00000000-0005-0000-0000-0000435C0000}"/>
    <cellStyle name="Currency 5 5 3 4 2 6" xfId="24773" xr:uid="{00000000-0005-0000-0000-0000445C0000}"/>
    <cellStyle name="Currency 5 5 3 4 2 7" xfId="24750" xr:uid="{00000000-0005-0000-0000-0000455C0000}"/>
    <cellStyle name="Currency 5 5 3 4 3" xfId="24774" xr:uid="{00000000-0005-0000-0000-0000465C0000}"/>
    <cellStyle name="Currency 5 5 3 4 3 2" xfId="24775" xr:uid="{00000000-0005-0000-0000-0000475C0000}"/>
    <cellStyle name="Currency 5 5 3 4 3 2 2" xfId="24776" xr:uid="{00000000-0005-0000-0000-0000485C0000}"/>
    <cellStyle name="Currency 5 5 3 4 3 2 2 2" xfId="24777" xr:uid="{00000000-0005-0000-0000-0000495C0000}"/>
    <cellStyle name="Currency 5 5 3 4 3 2 2 2 2" xfId="24778" xr:uid="{00000000-0005-0000-0000-00004A5C0000}"/>
    <cellStyle name="Currency 5 5 3 4 3 2 2 3" xfId="24779" xr:uid="{00000000-0005-0000-0000-00004B5C0000}"/>
    <cellStyle name="Currency 5 5 3 4 3 2 3" xfId="24780" xr:uid="{00000000-0005-0000-0000-00004C5C0000}"/>
    <cellStyle name="Currency 5 5 3 4 3 2 3 2" xfId="24781" xr:uid="{00000000-0005-0000-0000-00004D5C0000}"/>
    <cellStyle name="Currency 5 5 3 4 3 2 4" xfId="24782" xr:uid="{00000000-0005-0000-0000-00004E5C0000}"/>
    <cellStyle name="Currency 5 5 3 4 3 3" xfId="24783" xr:uid="{00000000-0005-0000-0000-00004F5C0000}"/>
    <cellStyle name="Currency 5 5 3 4 3 3 2" xfId="24784" xr:uid="{00000000-0005-0000-0000-0000505C0000}"/>
    <cellStyle name="Currency 5 5 3 4 3 3 2 2" xfId="24785" xr:uid="{00000000-0005-0000-0000-0000515C0000}"/>
    <cellStyle name="Currency 5 5 3 4 3 3 3" xfId="24786" xr:uid="{00000000-0005-0000-0000-0000525C0000}"/>
    <cellStyle name="Currency 5 5 3 4 3 4" xfId="24787" xr:uid="{00000000-0005-0000-0000-0000535C0000}"/>
    <cellStyle name="Currency 5 5 3 4 3 4 2" xfId="24788" xr:uid="{00000000-0005-0000-0000-0000545C0000}"/>
    <cellStyle name="Currency 5 5 3 4 3 5" xfId="24789" xr:uid="{00000000-0005-0000-0000-0000555C0000}"/>
    <cellStyle name="Currency 5 5 3 4 4" xfId="24790" xr:uid="{00000000-0005-0000-0000-0000565C0000}"/>
    <cellStyle name="Currency 5 5 3 4 4 2" xfId="24791" xr:uid="{00000000-0005-0000-0000-0000575C0000}"/>
    <cellStyle name="Currency 5 5 3 4 4 2 2" xfId="24792" xr:uid="{00000000-0005-0000-0000-0000585C0000}"/>
    <cellStyle name="Currency 5 5 3 4 4 2 2 2" xfId="24793" xr:uid="{00000000-0005-0000-0000-0000595C0000}"/>
    <cellStyle name="Currency 5 5 3 4 4 2 2 2 2" xfId="24794" xr:uid="{00000000-0005-0000-0000-00005A5C0000}"/>
    <cellStyle name="Currency 5 5 3 4 4 2 2 3" xfId="24795" xr:uid="{00000000-0005-0000-0000-00005B5C0000}"/>
    <cellStyle name="Currency 5 5 3 4 4 2 3" xfId="24796" xr:uid="{00000000-0005-0000-0000-00005C5C0000}"/>
    <cellStyle name="Currency 5 5 3 4 4 2 3 2" xfId="24797" xr:uid="{00000000-0005-0000-0000-00005D5C0000}"/>
    <cellStyle name="Currency 5 5 3 4 4 2 4" xfId="24798" xr:uid="{00000000-0005-0000-0000-00005E5C0000}"/>
    <cellStyle name="Currency 5 5 3 4 4 3" xfId="24799" xr:uid="{00000000-0005-0000-0000-00005F5C0000}"/>
    <cellStyle name="Currency 5 5 3 4 4 3 2" xfId="24800" xr:uid="{00000000-0005-0000-0000-0000605C0000}"/>
    <cellStyle name="Currency 5 5 3 4 4 3 2 2" xfId="24801" xr:uid="{00000000-0005-0000-0000-0000615C0000}"/>
    <cellStyle name="Currency 5 5 3 4 4 3 3" xfId="24802" xr:uid="{00000000-0005-0000-0000-0000625C0000}"/>
    <cellStyle name="Currency 5 5 3 4 4 4" xfId="24803" xr:uid="{00000000-0005-0000-0000-0000635C0000}"/>
    <cellStyle name="Currency 5 5 3 4 4 4 2" xfId="24804" xr:uid="{00000000-0005-0000-0000-0000645C0000}"/>
    <cellStyle name="Currency 5 5 3 4 4 5" xfId="24805" xr:uid="{00000000-0005-0000-0000-0000655C0000}"/>
    <cellStyle name="Currency 5 5 3 4 5" xfId="24806" xr:uid="{00000000-0005-0000-0000-0000665C0000}"/>
    <cellStyle name="Currency 5 5 3 4 5 2" xfId="24807" xr:uid="{00000000-0005-0000-0000-0000675C0000}"/>
    <cellStyle name="Currency 5 5 3 4 5 2 2" xfId="24808" xr:uid="{00000000-0005-0000-0000-0000685C0000}"/>
    <cellStyle name="Currency 5 5 3 4 5 2 2 2" xfId="24809" xr:uid="{00000000-0005-0000-0000-0000695C0000}"/>
    <cellStyle name="Currency 5 5 3 4 5 2 3" xfId="24810" xr:uid="{00000000-0005-0000-0000-00006A5C0000}"/>
    <cellStyle name="Currency 5 5 3 4 5 3" xfId="24811" xr:uid="{00000000-0005-0000-0000-00006B5C0000}"/>
    <cellStyle name="Currency 5 5 3 4 5 3 2" xfId="24812" xr:uid="{00000000-0005-0000-0000-00006C5C0000}"/>
    <cellStyle name="Currency 5 5 3 4 5 4" xfId="24813" xr:uid="{00000000-0005-0000-0000-00006D5C0000}"/>
    <cellStyle name="Currency 5 5 3 4 6" xfId="24814" xr:uid="{00000000-0005-0000-0000-00006E5C0000}"/>
    <cellStyle name="Currency 5 5 3 4 6 2" xfId="24815" xr:uid="{00000000-0005-0000-0000-00006F5C0000}"/>
    <cellStyle name="Currency 5 5 3 4 6 2 2" xfId="24816" xr:uid="{00000000-0005-0000-0000-0000705C0000}"/>
    <cellStyle name="Currency 5 5 3 4 6 2 2 2" xfId="24817" xr:uid="{00000000-0005-0000-0000-0000715C0000}"/>
    <cellStyle name="Currency 5 5 3 4 6 2 3" xfId="24818" xr:uid="{00000000-0005-0000-0000-0000725C0000}"/>
    <cellStyle name="Currency 5 5 3 4 6 3" xfId="24819" xr:uid="{00000000-0005-0000-0000-0000735C0000}"/>
    <cellStyle name="Currency 5 5 3 4 6 3 2" xfId="24820" xr:uid="{00000000-0005-0000-0000-0000745C0000}"/>
    <cellStyle name="Currency 5 5 3 4 6 4" xfId="24821" xr:uid="{00000000-0005-0000-0000-0000755C0000}"/>
    <cellStyle name="Currency 5 5 3 4 7" xfId="24822" xr:uid="{00000000-0005-0000-0000-0000765C0000}"/>
    <cellStyle name="Currency 5 5 3 4 7 2" xfId="24823" xr:uid="{00000000-0005-0000-0000-0000775C0000}"/>
    <cellStyle name="Currency 5 5 3 4 7 2 2" xfId="24824" xr:uid="{00000000-0005-0000-0000-0000785C0000}"/>
    <cellStyle name="Currency 5 5 3 4 7 2 2 2" xfId="24825" xr:uid="{00000000-0005-0000-0000-0000795C0000}"/>
    <cellStyle name="Currency 5 5 3 4 7 2 3" xfId="24826" xr:uid="{00000000-0005-0000-0000-00007A5C0000}"/>
    <cellStyle name="Currency 5 5 3 4 7 3" xfId="24827" xr:uid="{00000000-0005-0000-0000-00007B5C0000}"/>
    <cellStyle name="Currency 5 5 3 4 7 3 2" xfId="24828" xr:uid="{00000000-0005-0000-0000-00007C5C0000}"/>
    <cellStyle name="Currency 5 5 3 4 7 4" xfId="24829" xr:uid="{00000000-0005-0000-0000-00007D5C0000}"/>
    <cellStyle name="Currency 5 5 3 4 8" xfId="24830" xr:uid="{00000000-0005-0000-0000-00007E5C0000}"/>
    <cellStyle name="Currency 5 5 3 4 8 2" xfId="24831" xr:uid="{00000000-0005-0000-0000-00007F5C0000}"/>
    <cellStyle name="Currency 5 5 3 4 8 2 2" xfId="24832" xr:uid="{00000000-0005-0000-0000-0000805C0000}"/>
    <cellStyle name="Currency 5 5 3 4 8 3" xfId="24833" xr:uid="{00000000-0005-0000-0000-0000815C0000}"/>
    <cellStyle name="Currency 5 5 3 4 9" xfId="24834" xr:uid="{00000000-0005-0000-0000-0000825C0000}"/>
    <cellStyle name="Currency 5 5 3 4 9 2" xfId="24835" xr:uid="{00000000-0005-0000-0000-0000835C0000}"/>
    <cellStyle name="Currency 5 5 3 5" xfId="1366" xr:uid="{00000000-0005-0000-0000-0000845C0000}"/>
    <cellStyle name="Currency 5 5 3 5 2" xfId="24837" xr:uid="{00000000-0005-0000-0000-0000855C0000}"/>
    <cellStyle name="Currency 5 5 3 5 2 2" xfId="24838" xr:uid="{00000000-0005-0000-0000-0000865C0000}"/>
    <cellStyle name="Currency 5 5 3 5 2 2 2" xfId="24839" xr:uid="{00000000-0005-0000-0000-0000875C0000}"/>
    <cellStyle name="Currency 5 5 3 5 2 2 2 2" xfId="24840" xr:uid="{00000000-0005-0000-0000-0000885C0000}"/>
    <cellStyle name="Currency 5 5 3 5 2 2 3" xfId="24841" xr:uid="{00000000-0005-0000-0000-0000895C0000}"/>
    <cellStyle name="Currency 5 5 3 5 2 3" xfId="24842" xr:uid="{00000000-0005-0000-0000-00008A5C0000}"/>
    <cellStyle name="Currency 5 5 3 5 2 3 2" xfId="24843" xr:uid="{00000000-0005-0000-0000-00008B5C0000}"/>
    <cellStyle name="Currency 5 5 3 5 2 4" xfId="24844" xr:uid="{00000000-0005-0000-0000-00008C5C0000}"/>
    <cellStyle name="Currency 5 5 3 5 3" xfId="24845" xr:uid="{00000000-0005-0000-0000-00008D5C0000}"/>
    <cellStyle name="Currency 5 5 3 5 3 2" xfId="24846" xr:uid="{00000000-0005-0000-0000-00008E5C0000}"/>
    <cellStyle name="Currency 5 5 3 5 3 2 2" xfId="24847" xr:uid="{00000000-0005-0000-0000-00008F5C0000}"/>
    <cellStyle name="Currency 5 5 3 5 3 2 2 2" xfId="24848" xr:uid="{00000000-0005-0000-0000-0000905C0000}"/>
    <cellStyle name="Currency 5 5 3 5 3 2 3" xfId="24849" xr:uid="{00000000-0005-0000-0000-0000915C0000}"/>
    <cellStyle name="Currency 5 5 3 5 3 3" xfId="24850" xr:uid="{00000000-0005-0000-0000-0000925C0000}"/>
    <cellStyle name="Currency 5 5 3 5 3 3 2" xfId="24851" xr:uid="{00000000-0005-0000-0000-0000935C0000}"/>
    <cellStyle name="Currency 5 5 3 5 3 4" xfId="24852" xr:uid="{00000000-0005-0000-0000-0000945C0000}"/>
    <cellStyle name="Currency 5 5 3 5 4" xfId="24853" xr:uid="{00000000-0005-0000-0000-0000955C0000}"/>
    <cellStyle name="Currency 5 5 3 5 4 2" xfId="24854" xr:uid="{00000000-0005-0000-0000-0000965C0000}"/>
    <cellStyle name="Currency 5 5 3 5 4 2 2" xfId="24855" xr:uid="{00000000-0005-0000-0000-0000975C0000}"/>
    <cellStyle name="Currency 5 5 3 5 4 3" xfId="24856" xr:uid="{00000000-0005-0000-0000-0000985C0000}"/>
    <cellStyle name="Currency 5 5 3 5 5" xfId="24857" xr:uid="{00000000-0005-0000-0000-0000995C0000}"/>
    <cellStyle name="Currency 5 5 3 5 5 2" xfId="24858" xr:uid="{00000000-0005-0000-0000-00009A5C0000}"/>
    <cellStyle name="Currency 5 5 3 5 6" xfId="24859" xr:uid="{00000000-0005-0000-0000-00009B5C0000}"/>
    <cellStyle name="Currency 5 5 3 5 7" xfId="24836" xr:uid="{00000000-0005-0000-0000-00009C5C0000}"/>
    <cellStyle name="Currency 5 5 3 6" xfId="24860" xr:uid="{00000000-0005-0000-0000-00009D5C0000}"/>
    <cellStyle name="Currency 5 5 3 6 2" xfId="24861" xr:uid="{00000000-0005-0000-0000-00009E5C0000}"/>
    <cellStyle name="Currency 5 5 3 6 2 2" xfId="24862" xr:uid="{00000000-0005-0000-0000-00009F5C0000}"/>
    <cellStyle name="Currency 5 5 3 6 2 2 2" xfId="24863" xr:uid="{00000000-0005-0000-0000-0000A05C0000}"/>
    <cellStyle name="Currency 5 5 3 6 2 2 2 2" xfId="24864" xr:uid="{00000000-0005-0000-0000-0000A15C0000}"/>
    <cellStyle name="Currency 5 5 3 6 2 2 3" xfId="24865" xr:uid="{00000000-0005-0000-0000-0000A25C0000}"/>
    <cellStyle name="Currency 5 5 3 6 2 3" xfId="24866" xr:uid="{00000000-0005-0000-0000-0000A35C0000}"/>
    <cellStyle name="Currency 5 5 3 6 2 3 2" xfId="24867" xr:uid="{00000000-0005-0000-0000-0000A45C0000}"/>
    <cellStyle name="Currency 5 5 3 6 2 4" xfId="24868" xr:uid="{00000000-0005-0000-0000-0000A55C0000}"/>
    <cellStyle name="Currency 5 5 3 6 3" xfId="24869" xr:uid="{00000000-0005-0000-0000-0000A65C0000}"/>
    <cellStyle name="Currency 5 5 3 6 3 2" xfId="24870" xr:uid="{00000000-0005-0000-0000-0000A75C0000}"/>
    <cellStyle name="Currency 5 5 3 6 3 2 2" xfId="24871" xr:uid="{00000000-0005-0000-0000-0000A85C0000}"/>
    <cellStyle name="Currency 5 5 3 6 3 3" xfId="24872" xr:uid="{00000000-0005-0000-0000-0000A95C0000}"/>
    <cellStyle name="Currency 5 5 3 6 4" xfId="24873" xr:uid="{00000000-0005-0000-0000-0000AA5C0000}"/>
    <cellStyle name="Currency 5 5 3 6 4 2" xfId="24874" xr:uid="{00000000-0005-0000-0000-0000AB5C0000}"/>
    <cellStyle name="Currency 5 5 3 6 5" xfId="24875" xr:uid="{00000000-0005-0000-0000-0000AC5C0000}"/>
    <cellStyle name="Currency 5 5 3 7" xfId="24876" xr:uid="{00000000-0005-0000-0000-0000AD5C0000}"/>
    <cellStyle name="Currency 5 5 3 7 2" xfId="24877" xr:uid="{00000000-0005-0000-0000-0000AE5C0000}"/>
    <cellStyle name="Currency 5 5 3 7 2 2" xfId="24878" xr:uid="{00000000-0005-0000-0000-0000AF5C0000}"/>
    <cellStyle name="Currency 5 5 3 7 2 2 2" xfId="24879" xr:uid="{00000000-0005-0000-0000-0000B05C0000}"/>
    <cellStyle name="Currency 5 5 3 7 2 2 2 2" xfId="24880" xr:uid="{00000000-0005-0000-0000-0000B15C0000}"/>
    <cellStyle name="Currency 5 5 3 7 2 2 3" xfId="24881" xr:uid="{00000000-0005-0000-0000-0000B25C0000}"/>
    <cellStyle name="Currency 5 5 3 7 2 3" xfId="24882" xr:uid="{00000000-0005-0000-0000-0000B35C0000}"/>
    <cellStyle name="Currency 5 5 3 7 2 3 2" xfId="24883" xr:uid="{00000000-0005-0000-0000-0000B45C0000}"/>
    <cellStyle name="Currency 5 5 3 7 2 4" xfId="24884" xr:uid="{00000000-0005-0000-0000-0000B55C0000}"/>
    <cellStyle name="Currency 5 5 3 7 3" xfId="24885" xr:uid="{00000000-0005-0000-0000-0000B65C0000}"/>
    <cellStyle name="Currency 5 5 3 7 3 2" xfId="24886" xr:uid="{00000000-0005-0000-0000-0000B75C0000}"/>
    <cellStyle name="Currency 5 5 3 7 3 2 2" xfId="24887" xr:uid="{00000000-0005-0000-0000-0000B85C0000}"/>
    <cellStyle name="Currency 5 5 3 7 3 3" xfId="24888" xr:uid="{00000000-0005-0000-0000-0000B95C0000}"/>
    <cellStyle name="Currency 5 5 3 7 4" xfId="24889" xr:uid="{00000000-0005-0000-0000-0000BA5C0000}"/>
    <cellStyle name="Currency 5 5 3 7 4 2" xfId="24890" xr:uid="{00000000-0005-0000-0000-0000BB5C0000}"/>
    <cellStyle name="Currency 5 5 3 7 5" xfId="24891" xr:uid="{00000000-0005-0000-0000-0000BC5C0000}"/>
    <cellStyle name="Currency 5 5 3 8" xfId="24892" xr:uid="{00000000-0005-0000-0000-0000BD5C0000}"/>
    <cellStyle name="Currency 5 5 3 8 2" xfId="24893" xr:uid="{00000000-0005-0000-0000-0000BE5C0000}"/>
    <cellStyle name="Currency 5 5 3 8 2 2" xfId="24894" xr:uid="{00000000-0005-0000-0000-0000BF5C0000}"/>
    <cellStyle name="Currency 5 5 3 8 2 2 2" xfId="24895" xr:uid="{00000000-0005-0000-0000-0000C05C0000}"/>
    <cellStyle name="Currency 5 5 3 8 2 3" xfId="24896" xr:uid="{00000000-0005-0000-0000-0000C15C0000}"/>
    <cellStyle name="Currency 5 5 3 8 3" xfId="24897" xr:uid="{00000000-0005-0000-0000-0000C25C0000}"/>
    <cellStyle name="Currency 5 5 3 8 3 2" xfId="24898" xr:uid="{00000000-0005-0000-0000-0000C35C0000}"/>
    <cellStyle name="Currency 5 5 3 8 4" xfId="24899" xr:uid="{00000000-0005-0000-0000-0000C45C0000}"/>
    <cellStyle name="Currency 5 5 3 9" xfId="24900" xr:uid="{00000000-0005-0000-0000-0000C55C0000}"/>
    <cellStyle name="Currency 5 5 3 9 2" xfId="24901" xr:uid="{00000000-0005-0000-0000-0000C65C0000}"/>
    <cellStyle name="Currency 5 5 3 9 2 2" xfId="24902" xr:uid="{00000000-0005-0000-0000-0000C75C0000}"/>
    <cellStyle name="Currency 5 5 3 9 2 2 2" xfId="24903" xr:uid="{00000000-0005-0000-0000-0000C85C0000}"/>
    <cellStyle name="Currency 5 5 3 9 2 3" xfId="24904" xr:uid="{00000000-0005-0000-0000-0000C95C0000}"/>
    <cellStyle name="Currency 5 5 3 9 3" xfId="24905" xr:uid="{00000000-0005-0000-0000-0000CA5C0000}"/>
    <cellStyle name="Currency 5 5 3 9 3 2" xfId="24906" xr:uid="{00000000-0005-0000-0000-0000CB5C0000}"/>
    <cellStyle name="Currency 5 5 3 9 4" xfId="24907" xr:uid="{00000000-0005-0000-0000-0000CC5C0000}"/>
    <cellStyle name="Currency 5 5 4" xfId="420" xr:uid="{00000000-0005-0000-0000-0000CD5C0000}"/>
    <cellStyle name="Currency 5 5 4 10" xfId="24909" xr:uid="{00000000-0005-0000-0000-0000CE5C0000}"/>
    <cellStyle name="Currency 5 5 4 10 2" xfId="24910" xr:uid="{00000000-0005-0000-0000-0000CF5C0000}"/>
    <cellStyle name="Currency 5 5 4 10 2 2" xfId="24911" xr:uid="{00000000-0005-0000-0000-0000D05C0000}"/>
    <cellStyle name="Currency 5 5 4 10 3" xfId="24912" xr:uid="{00000000-0005-0000-0000-0000D15C0000}"/>
    <cellStyle name="Currency 5 5 4 11" xfId="24913" xr:uid="{00000000-0005-0000-0000-0000D25C0000}"/>
    <cellStyle name="Currency 5 5 4 11 2" xfId="24914" xr:uid="{00000000-0005-0000-0000-0000D35C0000}"/>
    <cellStyle name="Currency 5 5 4 11 2 2" xfId="24915" xr:uid="{00000000-0005-0000-0000-0000D45C0000}"/>
    <cellStyle name="Currency 5 5 4 11 3" xfId="24916" xr:uid="{00000000-0005-0000-0000-0000D55C0000}"/>
    <cellStyle name="Currency 5 5 4 12" xfId="24917" xr:uid="{00000000-0005-0000-0000-0000D65C0000}"/>
    <cellStyle name="Currency 5 5 4 12 2" xfId="24918" xr:uid="{00000000-0005-0000-0000-0000D75C0000}"/>
    <cellStyle name="Currency 5 5 4 13" xfId="24919" xr:uid="{00000000-0005-0000-0000-0000D85C0000}"/>
    <cellStyle name="Currency 5 5 4 14" xfId="24920" xr:uid="{00000000-0005-0000-0000-0000D95C0000}"/>
    <cellStyle name="Currency 5 5 4 15" xfId="24908" xr:uid="{00000000-0005-0000-0000-0000DA5C0000}"/>
    <cellStyle name="Currency 5 5 4 2" xfId="952" xr:uid="{00000000-0005-0000-0000-0000DB5C0000}"/>
    <cellStyle name="Currency 5 5 4 2 10" xfId="24922" xr:uid="{00000000-0005-0000-0000-0000DC5C0000}"/>
    <cellStyle name="Currency 5 5 4 2 11" xfId="24921" xr:uid="{00000000-0005-0000-0000-0000DD5C0000}"/>
    <cellStyle name="Currency 5 5 4 2 2" xfId="1693" xr:uid="{00000000-0005-0000-0000-0000DE5C0000}"/>
    <cellStyle name="Currency 5 5 4 2 2 2" xfId="24924" xr:uid="{00000000-0005-0000-0000-0000DF5C0000}"/>
    <cellStyle name="Currency 5 5 4 2 2 2 2" xfId="24925" xr:uid="{00000000-0005-0000-0000-0000E05C0000}"/>
    <cellStyle name="Currency 5 5 4 2 2 2 2 2" xfId="24926" xr:uid="{00000000-0005-0000-0000-0000E15C0000}"/>
    <cellStyle name="Currency 5 5 4 2 2 2 2 2 2" xfId="24927" xr:uid="{00000000-0005-0000-0000-0000E25C0000}"/>
    <cellStyle name="Currency 5 5 4 2 2 2 2 3" xfId="24928" xr:uid="{00000000-0005-0000-0000-0000E35C0000}"/>
    <cellStyle name="Currency 5 5 4 2 2 2 3" xfId="24929" xr:uid="{00000000-0005-0000-0000-0000E45C0000}"/>
    <cellStyle name="Currency 5 5 4 2 2 2 3 2" xfId="24930" xr:uid="{00000000-0005-0000-0000-0000E55C0000}"/>
    <cellStyle name="Currency 5 5 4 2 2 2 4" xfId="24931" xr:uid="{00000000-0005-0000-0000-0000E65C0000}"/>
    <cellStyle name="Currency 5 5 4 2 2 3" xfId="24932" xr:uid="{00000000-0005-0000-0000-0000E75C0000}"/>
    <cellStyle name="Currency 5 5 4 2 2 3 2" xfId="24933" xr:uid="{00000000-0005-0000-0000-0000E85C0000}"/>
    <cellStyle name="Currency 5 5 4 2 2 3 2 2" xfId="24934" xr:uid="{00000000-0005-0000-0000-0000E95C0000}"/>
    <cellStyle name="Currency 5 5 4 2 2 3 2 2 2" xfId="24935" xr:uid="{00000000-0005-0000-0000-0000EA5C0000}"/>
    <cellStyle name="Currency 5 5 4 2 2 3 2 3" xfId="24936" xr:uid="{00000000-0005-0000-0000-0000EB5C0000}"/>
    <cellStyle name="Currency 5 5 4 2 2 3 3" xfId="24937" xr:uid="{00000000-0005-0000-0000-0000EC5C0000}"/>
    <cellStyle name="Currency 5 5 4 2 2 3 3 2" xfId="24938" xr:uid="{00000000-0005-0000-0000-0000ED5C0000}"/>
    <cellStyle name="Currency 5 5 4 2 2 3 4" xfId="24939" xr:uid="{00000000-0005-0000-0000-0000EE5C0000}"/>
    <cellStyle name="Currency 5 5 4 2 2 4" xfId="24940" xr:uid="{00000000-0005-0000-0000-0000EF5C0000}"/>
    <cellStyle name="Currency 5 5 4 2 2 4 2" xfId="24941" xr:uid="{00000000-0005-0000-0000-0000F05C0000}"/>
    <cellStyle name="Currency 5 5 4 2 2 4 2 2" xfId="24942" xr:uid="{00000000-0005-0000-0000-0000F15C0000}"/>
    <cellStyle name="Currency 5 5 4 2 2 4 3" xfId="24943" xr:uid="{00000000-0005-0000-0000-0000F25C0000}"/>
    <cellStyle name="Currency 5 5 4 2 2 5" xfId="24944" xr:uid="{00000000-0005-0000-0000-0000F35C0000}"/>
    <cellStyle name="Currency 5 5 4 2 2 5 2" xfId="24945" xr:uid="{00000000-0005-0000-0000-0000F45C0000}"/>
    <cellStyle name="Currency 5 5 4 2 2 6" xfId="24946" xr:uid="{00000000-0005-0000-0000-0000F55C0000}"/>
    <cellStyle name="Currency 5 5 4 2 2 7" xfId="24923" xr:uid="{00000000-0005-0000-0000-0000F65C0000}"/>
    <cellStyle name="Currency 5 5 4 2 3" xfId="24947" xr:uid="{00000000-0005-0000-0000-0000F75C0000}"/>
    <cellStyle name="Currency 5 5 4 2 3 2" xfId="24948" xr:uid="{00000000-0005-0000-0000-0000F85C0000}"/>
    <cellStyle name="Currency 5 5 4 2 3 2 2" xfId="24949" xr:uid="{00000000-0005-0000-0000-0000F95C0000}"/>
    <cellStyle name="Currency 5 5 4 2 3 2 2 2" xfId="24950" xr:uid="{00000000-0005-0000-0000-0000FA5C0000}"/>
    <cellStyle name="Currency 5 5 4 2 3 2 2 2 2" xfId="24951" xr:uid="{00000000-0005-0000-0000-0000FB5C0000}"/>
    <cellStyle name="Currency 5 5 4 2 3 2 2 3" xfId="24952" xr:uid="{00000000-0005-0000-0000-0000FC5C0000}"/>
    <cellStyle name="Currency 5 5 4 2 3 2 3" xfId="24953" xr:uid="{00000000-0005-0000-0000-0000FD5C0000}"/>
    <cellStyle name="Currency 5 5 4 2 3 2 3 2" xfId="24954" xr:uid="{00000000-0005-0000-0000-0000FE5C0000}"/>
    <cellStyle name="Currency 5 5 4 2 3 2 4" xfId="24955" xr:uid="{00000000-0005-0000-0000-0000FF5C0000}"/>
    <cellStyle name="Currency 5 5 4 2 3 3" xfId="24956" xr:uid="{00000000-0005-0000-0000-0000005D0000}"/>
    <cellStyle name="Currency 5 5 4 2 3 3 2" xfId="24957" xr:uid="{00000000-0005-0000-0000-0000015D0000}"/>
    <cellStyle name="Currency 5 5 4 2 3 3 2 2" xfId="24958" xr:uid="{00000000-0005-0000-0000-0000025D0000}"/>
    <cellStyle name="Currency 5 5 4 2 3 3 3" xfId="24959" xr:uid="{00000000-0005-0000-0000-0000035D0000}"/>
    <cellStyle name="Currency 5 5 4 2 3 4" xfId="24960" xr:uid="{00000000-0005-0000-0000-0000045D0000}"/>
    <cellStyle name="Currency 5 5 4 2 3 4 2" xfId="24961" xr:uid="{00000000-0005-0000-0000-0000055D0000}"/>
    <cellStyle name="Currency 5 5 4 2 3 5" xfId="24962" xr:uid="{00000000-0005-0000-0000-0000065D0000}"/>
    <cellStyle name="Currency 5 5 4 2 4" xfId="24963" xr:uid="{00000000-0005-0000-0000-0000075D0000}"/>
    <cellStyle name="Currency 5 5 4 2 4 2" xfId="24964" xr:uid="{00000000-0005-0000-0000-0000085D0000}"/>
    <cellStyle name="Currency 5 5 4 2 4 2 2" xfId="24965" xr:uid="{00000000-0005-0000-0000-0000095D0000}"/>
    <cellStyle name="Currency 5 5 4 2 4 2 2 2" xfId="24966" xr:uid="{00000000-0005-0000-0000-00000A5D0000}"/>
    <cellStyle name="Currency 5 5 4 2 4 2 2 2 2" xfId="24967" xr:uid="{00000000-0005-0000-0000-00000B5D0000}"/>
    <cellStyle name="Currency 5 5 4 2 4 2 2 3" xfId="24968" xr:uid="{00000000-0005-0000-0000-00000C5D0000}"/>
    <cellStyle name="Currency 5 5 4 2 4 2 3" xfId="24969" xr:uid="{00000000-0005-0000-0000-00000D5D0000}"/>
    <cellStyle name="Currency 5 5 4 2 4 2 3 2" xfId="24970" xr:uid="{00000000-0005-0000-0000-00000E5D0000}"/>
    <cellStyle name="Currency 5 5 4 2 4 2 4" xfId="24971" xr:uid="{00000000-0005-0000-0000-00000F5D0000}"/>
    <cellStyle name="Currency 5 5 4 2 4 3" xfId="24972" xr:uid="{00000000-0005-0000-0000-0000105D0000}"/>
    <cellStyle name="Currency 5 5 4 2 4 3 2" xfId="24973" xr:uid="{00000000-0005-0000-0000-0000115D0000}"/>
    <cellStyle name="Currency 5 5 4 2 4 3 2 2" xfId="24974" xr:uid="{00000000-0005-0000-0000-0000125D0000}"/>
    <cellStyle name="Currency 5 5 4 2 4 3 3" xfId="24975" xr:uid="{00000000-0005-0000-0000-0000135D0000}"/>
    <cellStyle name="Currency 5 5 4 2 4 4" xfId="24976" xr:uid="{00000000-0005-0000-0000-0000145D0000}"/>
    <cellStyle name="Currency 5 5 4 2 4 4 2" xfId="24977" xr:uid="{00000000-0005-0000-0000-0000155D0000}"/>
    <cellStyle name="Currency 5 5 4 2 4 5" xfId="24978" xr:uid="{00000000-0005-0000-0000-0000165D0000}"/>
    <cellStyle name="Currency 5 5 4 2 5" xfId="24979" xr:uid="{00000000-0005-0000-0000-0000175D0000}"/>
    <cellStyle name="Currency 5 5 4 2 5 2" xfId="24980" xr:uid="{00000000-0005-0000-0000-0000185D0000}"/>
    <cellStyle name="Currency 5 5 4 2 5 2 2" xfId="24981" xr:uid="{00000000-0005-0000-0000-0000195D0000}"/>
    <cellStyle name="Currency 5 5 4 2 5 2 2 2" xfId="24982" xr:uid="{00000000-0005-0000-0000-00001A5D0000}"/>
    <cellStyle name="Currency 5 5 4 2 5 2 3" xfId="24983" xr:uid="{00000000-0005-0000-0000-00001B5D0000}"/>
    <cellStyle name="Currency 5 5 4 2 5 3" xfId="24984" xr:uid="{00000000-0005-0000-0000-00001C5D0000}"/>
    <cellStyle name="Currency 5 5 4 2 5 3 2" xfId="24985" xr:uid="{00000000-0005-0000-0000-00001D5D0000}"/>
    <cellStyle name="Currency 5 5 4 2 5 4" xfId="24986" xr:uid="{00000000-0005-0000-0000-00001E5D0000}"/>
    <cellStyle name="Currency 5 5 4 2 6" xfId="24987" xr:uid="{00000000-0005-0000-0000-00001F5D0000}"/>
    <cellStyle name="Currency 5 5 4 2 6 2" xfId="24988" xr:uid="{00000000-0005-0000-0000-0000205D0000}"/>
    <cellStyle name="Currency 5 5 4 2 6 2 2" xfId="24989" xr:uid="{00000000-0005-0000-0000-0000215D0000}"/>
    <cellStyle name="Currency 5 5 4 2 6 2 2 2" xfId="24990" xr:uid="{00000000-0005-0000-0000-0000225D0000}"/>
    <cellStyle name="Currency 5 5 4 2 6 2 3" xfId="24991" xr:uid="{00000000-0005-0000-0000-0000235D0000}"/>
    <cellStyle name="Currency 5 5 4 2 6 3" xfId="24992" xr:uid="{00000000-0005-0000-0000-0000245D0000}"/>
    <cellStyle name="Currency 5 5 4 2 6 3 2" xfId="24993" xr:uid="{00000000-0005-0000-0000-0000255D0000}"/>
    <cellStyle name="Currency 5 5 4 2 6 4" xfId="24994" xr:uid="{00000000-0005-0000-0000-0000265D0000}"/>
    <cellStyle name="Currency 5 5 4 2 7" xfId="24995" xr:uid="{00000000-0005-0000-0000-0000275D0000}"/>
    <cellStyle name="Currency 5 5 4 2 7 2" xfId="24996" xr:uid="{00000000-0005-0000-0000-0000285D0000}"/>
    <cellStyle name="Currency 5 5 4 2 7 2 2" xfId="24997" xr:uid="{00000000-0005-0000-0000-0000295D0000}"/>
    <cellStyle name="Currency 5 5 4 2 7 2 2 2" xfId="24998" xr:uid="{00000000-0005-0000-0000-00002A5D0000}"/>
    <cellStyle name="Currency 5 5 4 2 7 2 3" xfId="24999" xr:uid="{00000000-0005-0000-0000-00002B5D0000}"/>
    <cellStyle name="Currency 5 5 4 2 7 3" xfId="25000" xr:uid="{00000000-0005-0000-0000-00002C5D0000}"/>
    <cellStyle name="Currency 5 5 4 2 7 3 2" xfId="25001" xr:uid="{00000000-0005-0000-0000-00002D5D0000}"/>
    <cellStyle name="Currency 5 5 4 2 7 4" xfId="25002" xr:uid="{00000000-0005-0000-0000-00002E5D0000}"/>
    <cellStyle name="Currency 5 5 4 2 8" xfId="25003" xr:uid="{00000000-0005-0000-0000-00002F5D0000}"/>
    <cellStyle name="Currency 5 5 4 2 8 2" xfId="25004" xr:uid="{00000000-0005-0000-0000-0000305D0000}"/>
    <cellStyle name="Currency 5 5 4 2 8 2 2" xfId="25005" xr:uid="{00000000-0005-0000-0000-0000315D0000}"/>
    <cellStyle name="Currency 5 5 4 2 8 3" xfId="25006" xr:uid="{00000000-0005-0000-0000-0000325D0000}"/>
    <cellStyle name="Currency 5 5 4 2 9" xfId="25007" xr:uid="{00000000-0005-0000-0000-0000335D0000}"/>
    <cellStyle name="Currency 5 5 4 2 9 2" xfId="25008" xr:uid="{00000000-0005-0000-0000-0000345D0000}"/>
    <cellStyle name="Currency 5 5 4 3" xfId="1368" xr:uid="{00000000-0005-0000-0000-0000355D0000}"/>
    <cellStyle name="Currency 5 5 4 3 2" xfId="25010" xr:uid="{00000000-0005-0000-0000-0000365D0000}"/>
    <cellStyle name="Currency 5 5 4 3 2 2" xfId="25011" xr:uid="{00000000-0005-0000-0000-0000375D0000}"/>
    <cellStyle name="Currency 5 5 4 3 2 2 2" xfId="25012" xr:uid="{00000000-0005-0000-0000-0000385D0000}"/>
    <cellStyle name="Currency 5 5 4 3 2 2 2 2" xfId="25013" xr:uid="{00000000-0005-0000-0000-0000395D0000}"/>
    <cellStyle name="Currency 5 5 4 3 2 2 3" xfId="25014" xr:uid="{00000000-0005-0000-0000-00003A5D0000}"/>
    <cellStyle name="Currency 5 5 4 3 2 3" xfId="25015" xr:uid="{00000000-0005-0000-0000-00003B5D0000}"/>
    <cellStyle name="Currency 5 5 4 3 2 3 2" xfId="25016" xr:uid="{00000000-0005-0000-0000-00003C5D0000}"/>
    <cellStyle name="Currency 5 5 4 3 2 4" xfId="25017" xr:uid="{00000000-0005-0000-0000-00003D5D0000}"/>
    <cellStyle name="Currency 5 5 4 3 3" xfId="25018" xr:uid="{00000000-0005-0000-0000-00003E5D0000}"/>
    <cellStyle name="Currency 5 5 4 3 3 2" xfId="25019" xr:uid="{00000000-0005-0000-0000-00003F5D0000}"/>
    <cellStyle name="Currency 5 5 4 3 3 2 2" xfId="25020" xr:uid="{00000000-0005-0000-0000-0000405D0000}"/>
    <cellStyle name="Currency 5 5 4 3 3 2 2 2" xfId="25021" xr:uid="{00000000-0005-0000-0000-0000415D0000}"/>
    <cellStyle name="Currency 5 5 4 3 3 2 3" xfId="25022" xr:uid="{00000000-0005-0000-0000-0000425D0000}"/>
    <cellStyle name="Currency 5 5 4 3 3 3" xfId="25023" xr:uid="{00000000-0005-0000-0000-0000435D0000}"/>
    <cellStyle name="Currency 5 5 4 3 3 3 2" xfId="25024" xr:uid="{00000000-0005-0000-0000-0000445D0000}"/>
    <cellStyle name="Currency 5 5 4 3 3 4" xfId="25025" xr:uid="{00000000-0005-0000-0000-0000455D0000}"/>
    <cellStyle name="Currency 5 5 4 3 4" xfId="25026" xr:uid="{00000000-0005-0000-0000-0000465D0000}"/>
    <cellStyle name="Currency 5 5 4 3 4 2" xfId="25027" xr:uid="{00000000-0005-0000-0000-0000475D0000}"/>
    <cellStyle name="Currency 5 5 4 3 4 2 2" xfId="25028" xr:uid="{00000000-0005-0000-0000-0000485D0000}"/>
    <cellStyle name="Currency 5 5 4 3 4 3" xfId="25029" xr:uid="{00000000-0005-0000-0000-0000495D0000}"/>
    <cellStyle name="Currency 5 5 4 3 5" xfId="25030" xr:uid="{00000000-0005-0000-0000-00004A5D0000}"/>
    <cellStyle name="Currency 5 5 4 3 5 2" xfId="25031" xr:uid="{00000000-0005-0000-0000-00004B5D0000}"/>
    <cellStyle name="Currency 5 5 4 3 6" xfId="25032" xr:uid="{00000000-0005-0000-0000-00004C5D0000}"/>
    <cellStyle name="Currency 5 5 4 3 7" xfId="25009" xr:uid="{00000000-0005-0000-0000-00004D5D0000}"/>
    <cellStyle name="Currency 5 5 4 4" xfId="25033" xr:uid="{00000000-0005-0000-0000-00004E5D0000}"/>
    <cellStyle name="Currency 5 5 4 4 2" xfId="25034" xr:uid="{00000000-0005-0000-0000-00004F5D0000}"/>
    <cellStyle name="Currency 5 5 4 4 2 2" xfId="25035" xr:uid="{00000000-0005-0000-0000-0000505D0000}"/>
    <cellStyle name="Currency 5 5 4 4 2 2 2" xfId="25036" xr:uid="{00000000-0005-0000-0000-0000515D0000}"/>
    <cellStyle name="Currency 5 5 4 4 2 2 2 2" xfId="25037" xr:uid="{00000000-0005-0000-0000-0000525D0000}"/>
    <cellStyle name="Currency 5 5 4 4 2 2 3" xfId="25038" xr:uid="{00000000-0005-0000-0000-0000535D0000}"/>
    <cellStyle name="Currency 5 5 4 4 2 3" xfId="25039" xr:uid="{00000000-0005-0000-0000-0000545D0000}"/>
    <cellStyle name="Currency 5 5 4 4 2 3 2" xfId="25040" xr:uid="{00000000-0005-0000-0000-0000555D0000}"/>
    <cellStyle name="Currency 5 5 4 4 2 4" xfId="25041" xr:uid="{00000000-0005-0000-0000-0000565D0000}"/>
    <cellStyle name="Currency 5 5 4 4 3" xfId="25042" xr:uid="{00000000-0005-0000-0000-0000575D0000}"/>
    <cellStyle name="Currency 5 5 4 4 3 2" xfId="25043" xr:uid="{00000000-0005-0000-0000-0000585D0000}"/>
    <cellStyle name="Currency 5 5 4 4 3 2 2" xfId="25044" xr:uid="{00000000-0005-0000-0000-0000595D0000}"/>
    <cellStyle name="Currency 5 5 4 4 3 3" xfId="25045" xr:uid="{00000000-0005-0000-0000-00005A5D0000}"/>
    <cellStyle name="Currency 5 5 4 4 4" xfId="25046" xr:uid="{00000000-0005-0000-0000-00005B5D0000}"/>
    <cellStyle name="Currency 5 5 4 4 4 2" xfId="25047" xr:uid="{00000000-0005-0000-0000-00005C5D0000}"/>
    <cellStyle name="Currency 5 5 4 4 5" xfId="25048" xr:uid="{00000000-0005-0000-0000-00005D5D0000}"/>
    <cellStyle name="Currency 5 5 4 5" xfId="25049" xr:uid="{00000000-0005-0000-0000-00005E5D0000}"/>
    <cellStyle name="Currency 5 5 4 5 2" xfId="25050" xr:uid="{00000000-0005-0000-0000-00005F5D0000}"/>
    <cellStyle name="Currency 5 5 4 5 2 2" xfId="25051" xr:uid="{00000000-0005-0000-0000-0000605D0000}"/>
    <cellStyle name="Currency 5 5 4 5 2 2 2" xfId="25052" xr:uid="{00000000-0005-0000-0000-0000615D0000}"/>
    <cellStyle name="Currency 5 5 4 5 2 2 2 2" xfId="25053" xr:uid="{00000000-0005-0000-0000-0000625D0000}"/>
    <cellStyle name="Currency 5 5 4 5 2 2 3" xfId="25054" xr:uid="{00000000-0005-0000-0000-0000635D0000}"/>
    <cellStyle name="Currency 5 5 4 5 2 3" xfId="25055" xr:uid="{00000000-0005-0000-0000-0000645D0000}"/>
    <cellStyle name="Currency 5 5 4 5 2 3 2" xfId="25056" xr:uid="{00000000-0005-0000-0000-0000655D0000}"/>
    <cellStyle name="Currency 5 5 4 5 2 4" xfId="25057" xr:uid="{00000000-0005-0000-0000-0000665D0000}"/>
    <cellStyle name="Currency 5 5 4 5 3" xfId="25058" xr:uid="{00000000-0005-0000-0000-0000675D0000}"/>
    <cellStyle name="Currency 5 5 4 5 3 2" xfId="25059" xr:uid="{00000000-0005-0000-0000-0000685D0000}"/>
    <cellStyle name="Currency 5 5 4 5 3 2 2" xfId="25060" xr:uid="{00000000-0005-0000-0000-0000695D0000}"/>
    <cellStyle name="Currency 5 5 4 5 3 3" xfId="25061" xr:uid="{00000000-0005-0000-0000-00006A5D0000}"/>
    <cellStyle name="Currency 5 5 4 5 4" xfId="25062" xr:uid="{00000000-0005-0000-0000-00006B5D0000}"/>
    <cellStyle name="Currency 5 5 4 5 4 2" xfId="25063" xr:uid="{00000000-0005-0000-0000-00006C5D0000}"/>
    <cellStyle name="Currency 5 5 4 5 5" xfId="25064" xr:uid="{00000000-0005-0000-0000-00006D5D0000}"/>
    <cellStyle name="Currency 5 5 4 6" xfId="25065" xr:uid="{00000000-0005-0000-0000-00006E5D0000}"/>
    <cellStyle name="Currency 5 5 4 6 2" xfId="25066" xr:uid="{00000000-0005-0000-0000-00006F5D0000}"/>
    <cellStyle name="Currency 5 5 4 6 2 2" xfId="25067" xr:uid="{00000000-0005-0000-0000-0000705D0000}"/>
    <cellStyle name="Currency 5 5 4 6 2 2 2" xfId="25068" xr:uid="{00000000-0005-0000-0000-0000715D0000}"/>
    <cellStyle name="Currency 5 5 4 6 2 3" xfId="25069" xr:uid="{00000000-0005-0000-0000-0000725D0000}"/>
    <cellStyle name="Currency 5 5 4 6 3" xfId="25070" xr:uid="{00000000-0005-0000-0000-0000735D0000}"/>
    <cellStyle name="Currency 5 5 4 6 3 2" xfId="25071" xr:uid="{00000000-0005-0000-0000-0000745D0000}"/>
    <cellStyle name="Currency 5 5 4 6 4" xfId="25072" xr:uid="{00000000-0005-0000-0000-0000755D0000}"/>
    <cellStyle name="Currency 5 5 4 7" xfId="25073" xr:uid="{00000000-0005-0000-0000-0000765D0000}"/>
    <cellStyle name="Currency 5 5 4 7 2" xfId="25074" xr:uid="{00000000-0005-0000-0000-0000775D0000}"/>
    <cellStyle name="Currency 5 5 4 7 2 2" xfId="25075" xr:uid="{00000000-0005-0000-0000-0000785D0000}"/>
    <cellStyle name="Currency 5 5 4 7 2 2 2" xfId="25076" xr:uid="{00000000-0005-0000-0000-0000795D0000}"/>
    <cellStyle name="Currency 5 5 4 7 2 3" xfId="25077" xr:uid="{00000000-0005-0000-0000-00007A5D0000}"/>
    <cellStyle name="Currency 5 5 4 7 3" xfId="25078" xr:uid="{00000000-0005-0000-0000-00007B5D0000}"/>
    <cellStyle name="Currency 5 5 4 7 3 2" xfId="25079" xr:uid="{00000000-0005-0000-0000-00007C5D0000}"/>
    <cellStyle name="Currency 5 5 4 7 4" xfId="25080" xr:uid="{00000000-0005-0000-0000-00007D5D0000}"/>
    <cellStyle name="Currency 5 5 4 8" xfId="25081" xr:uid="{00000000-0005-0000-0000-00007E5D0000}"/>
    <cellStyle name="Currency 5 5 4 8 2" xfId="25082" xr:uid="{00000000-0005-0000-0000-00007F5D0000}"/>
    <cellStyle name="Currency 5 5 4 8 2 2" xfId="25083" xr:uid="{00000000-0005-0000-0000-0000805D0000}"/>
    <cellStyle name="Currency 5 5 4 8 2 2 2" xfId="25084" xr:uid="{00000000-0005-0000-0000-0000815D0000}"/>
    <cellStyle name="Currency 5 5 4 8 2 3" xfId="25085" xr:uid="{00000000-0005-0000-0000-0000825D0000}"/>
    <cellStyle name="Currency 5 5 4 8 3" xfId="25086" xr:uid="{00000000-0005-0000-0000-0000835D0000}"/>
    <cellStyle name="Currency 5 5 4 8 3 2" xfId="25087" xr:uid="{00000000-0005-0000-0000-0000845D0000}"/>
    <cellStyle name="Currency 5 5 4 8 4" xfId="25088" xr:uid="{00000000-0005-0000-0000-0000855D0000}"/>
    <cellStyle name="Currency 5 5 4 9" xfId="25089" xr:uid="{00000000-0005-0000-0000-0000865D0000}"/>
    <cellStyle name="Currency 5 5 4 9 2" xfId="25090" xr:uid="{00000000-0005-0000-0000-0000875D0000}"/>
    <cellStyle name="Currency 5 5 4 9 2 2" xfId="25091" xr:uid="{00000000-0005-0000-0000-0000885D0000}"/>
    <cellStyle name="Currency 5 5 4 9 3" xfId="25092" xr:uid="{00000000-0005-0000-0000-0000895D0000}"/>
    <cellStyle name="Currency 5 5 5" xfId="421" xr:uid="{00000000-0005-0000-0000-00008A5D0000}"/>
    <cellStyle name="Currency 5 5 6" xfId="945" xr:uid="{00000000-0005-0000-0000-00008B5D0000}"/>
    <cellStyle name="Currency 5 5 6 10" xfId="25094" xr:uid="{00000000-0005-0000-0000-00008C5D0000}"/>
    <cellStyle name="Currency 5 5 6 11" xfId="25093" xr:uid="{00000000-0005-0000-0000-00008D5D0000}"/>
    <cellStyle name="Currency 5 5 6 2" xfId="1686" xr:uid="{00000000-0005-0000-0000-00008E5D0000}"/>
    <cellStyle name="Currency 5 5 6 2 2" xfId="25096" xr:uid="{00000000-0005-0000-0000-00008F5D0000}"/>
    <cellStyle name="Currency 5 5 6 2 2 2" xfId="25097" xr:uid="{00000000-0005-0000-0000-0000905D0000}"/>
    <cellStyle name="Currency 5 5 6 2 2 2 2" xfId="25098" xr:uid="{00000000-0005-0000-0000-0000915D0000}"/>
    <cellStyle name="Currency 5 5 6 2 2 2 2 2" xfId="25099" xr:uid="{00000000-0005-0000-0000-0000925D0000}"/>
    <cellStyle name="Currency 5 5 6 2 2 2 3" xfId="25100" xr:uid="{00000000-0005-0000-0000-0000935D0000}"/>
    <cellStyle name="Currency 5 5 6 2 2 3" xfId="25101" xr:uid="{00000000-0005-0000-0000-0000945D0000}"/>
    <cellStyle name="Currency 5 5 6 2 2 3 2" xfId="25102" xr:uid="{00000000-0005-0000-0000-0000955D0000}"/>
    <cellStyle name="Currency 5 5 6 2 2 4" xfId="25103" xr:uid="{00000000-0005-0000-0000-0000965D0000}"/>
    <cellStyle name="Currency 5 5 6 2 3" xfId="25104" xr:uid="{00000000-0005-0000-0000-0000975D0000}"/>
    <cellStyle name="Currency 5 5 6 2 3 2" xfId="25105" xr:uid="{00000000-0005-0000-0000-0000985D0000}"/>
    <cellStyle name="Currency 5 5 6 2 3 2 2" xfId="25106" xr:uid="{00000000-0005-0000-0000-0000995D0000}"/>
    <cellStyle name="Currency 5 5 6 2 3 2 2 2" xfId="25107" xr:uid="{00000000-0005-0000-0000-00009A5D0000}"/>
    <cellStyle name="Currency 5 5 6 2 3 2 3" xfId="25108" xr:uid="{00000000-0005-0000-0000-00009B5D0000}"/>
    <cellStyle name="Currency 5 5 6 2 3 3" xfId="25109" xr:uid="{00000000-0005-0000-0000-00009C5D0000}"/>
    <cellStyle name="Currency 5 5 6 2 3 3 2" xfId="25110" xr:uid="{00000000-0005-0000-0000-00009D5D0000}"/>
    <cellStyle name="Currency 5 5 6 2 3 4" xfId="25111" xr:uid="{00000000-0005-0000-0000-00009E5D0000}"/>
    <cellStyle name="Currency 5 5 6 2 4" xfId="25112" xr:uid="{00000000-0005-0000-0000-00009F5D0000}"/>
    <cellStyle name="Currency 5 5 6 2 4 2" xfId="25113" xr:uid="{00000000-0005-0000-0000-0000A05D0000}"/>
    <cellStyle name="Currency 5 5 6 2 4 2 2" xfId="25114" xr:uid="{00000000-0005-0000-0000-0000A15D0000}"/>
    <cellStyle name="Currency 5 5 6 2 4 3" xfId="25115" xr:uid="{00000000-0005-0000-0000-0000A25D0000}"/>
    <cellStyle name="Currency 5 5 6 2 5" xfId="25116" xr:uid="{00000000-0005-0000-0000-0000A35D0000}"/>
    <cellStyle name="Currency 5 5 6 2 5 2" xfId="25117" xr:uid="{00000000-0005-0000-0000-0000A45D0000}"/>
    <cellStyle name="Currency 5 5 6 2 6" xfId="25118" xr:uid="{00000000-0005-0000-0000-0000A55D0000}"/>
    <cellStyle name="Currency 5 5 6 2 7" xfId="25095" xr:uid="{00000000-0005-0000-0000-0000A65D0000}"/>
    <cellStyle name="Currency 5 5 6 3" xfId="25119" xr:uid="{00000000-0005-0000-0000-0000A75D0000}"/>
    <cellStyle name="Currency 5 5 6 3 2" xfId="25120" xr:uid="{00000000-0005-0000-0000-0000A85D0000}"/>
    <cellStyle name="Currency 5 5 6 3 2 2" xfId="25121" xr:uid="{00000000-0005-0000-0000-0000A95D0000}"/>
    <cellStyle name="Currency 5 5 6 3 2 2 2" xfId="25122" xr:uid="{00000000-0005-0000-0000-0000AA5D0000}"/>
    <cellStyle name="Currency 5 5 6 3 2 2 2 2" xfId="25123" xr:uid="{00000000-0005-0000-0000-0000AB5D0000}"/>
    <cellStyle name="Currency 5 5 6 3 2 2 3" xfId="25124" xr:uid="{00000000-0005-0000-0000-0000AC5D0000}"/>
    <cellStyle name="Currency 5 5 6 3 2 3" xfId="25125" xr:uid="{00000000-0005-0000-0000-0000AD5D0000}"/>
    <cellStyle name="Currency 5 5 6 3 2 3 2" xfId="25126" xr:uid="{00000000-0005-0000-0000-0000AE5D0000}"/>
    <cellStyle name="Currency 5 5 6 3 2 4" xfId="25127" xr:uid="{00000000-0005-0000-0000-0000AF5D0000}"/>
    <cellStyle name="Currency 5 5 6 3 3" xfId="25128" xr:uid="{00000000-0005-0000-0000-0000B05D0000}"/>
    <cellStyle name="Currency 5 5 6 3 3 2" xfId="25129" xr:uid="{00000000-0005-0000-0000-0000B15D0000}"/>
    <cellStyle name="Currency 5 5 6 3 3 2 2" xfId="25130" xr:uid="{00000000-0005-0000-0000-0000B25D0000}"/>
    <cellStyle name="Currency 5 5 6 3 3 3" xfId="25131" xr:uid="{00000000-0005-0000-0000-0000B35D0000}"/>
    <cellStyle name="Currency 5 5 6 3 4" xfId="25132" xr:uid="{00000000-0005-0000-0000-0000B45D0000}"/>
    <cellStyle name="Currency 5 5 6 3 4 2" xfId="25133" xr:uid="{00000000-0005-0000-0000-0000B55D0000}"/>
    <cellStyle name="Currency 5 5 6 3 5" xfId="25134" xr:uid="{00000000-0005-0000-0000-0000B65D0000}"/>
    <cellStyle name="Currency 5 5 6 4" xfId="25135" xr:uid="{00000000-0005-0000-0000-0000B75D0000}"/>
    <cellStyle name="Currency 5 5 6 4 2" xfId="25136" xr:uid="{00000000-0005-0000-0000-0000B85D0000}"/>
    <cellStyle name="Currency 5 5 6 4 2 2" xfId="25137" xr:uid="{00000000-0005-0000-0000-0000B95D0000}"/>
    <cellStyle name="Currency 5 5 6 4 2 2 2" xfId="25138" xr:uid="{00000000-0005-0000-0000-0000BA5D0000}"/>
    <cellStyle name="Currency 5 5 6 4 2 2 2 2" xfId="25139" xr:uid="{00000000-0005-0000-0000-0000BB5D0000}"/>
    <cellStyle name="Currency 5 5 6 4 2 2 3" xfId="25140" xr:uid="{00000000-0005-0000-0000-0000BC5D0000}"/>
    <cellStyle name="Currency 5 5 6 4 2 3" xfId="25141" xr:uid="{00000000-0005-0000-0000-0000BD5D0000}"/>
    <cellStyle name="Currency 5 5 6 4 2 3 2" xfId="25142" xr:uid="{00000000-0005-0000-0000-0000BE5D0000}"/>
    <cellStyle name="Currency 5 5 6 4 2 4" xfId="25143" xr:uid="{00000000-0005-0000-0000-0000BF5D0000}"/>
    <cellStyle name="Currency 5 5 6 4 3" xfId="25144" xr:uid="{00000000-0005-0000-0000-0000C05D0000}"/>
    <cellStyle name="Currency 5 5 6 4 3 2" xfId="25145" xr:uid="{00000000-0005-0000-0000-0000C15D0000}"/>
    <cellStyle name="Currency 5 5 6 4 3 2 2" xfId="25146" xr:uid="{00000000-0005-0000-0000-0000C25D0000}"/>
    <cellStyle name="Currency 5 5 6 4 3 3" xfId="25147" xr:uid="{00000000-0005-0000-0000-0000C35D0000}"/>
    <cellStyle name="Currency 5 5 6 4 4" xfId="25148" xr:uid="{00000000-0005-0000-0000-0000C45D0000}"/>
    <cellStyle name="Currency 5 5 6 4 4 2" xfId="25149" xr:uid="{00000000-0005-0000-0000-0000C55D0000}"/>
    <cellStyle name="Currency 5 5 6 4 5" xfId="25150" xr:uid="{00000000-0005-0000-0000-0000C65D0000}"/>
    <cellStyle name="Currency 5 5 6 5" xfId="25151" xr:uid="{00000000-0005-0000-0000-0000C75D0000}"/>
    <cellStyle name="Currency 5 5 6 5 2" xfId="25152" xr:uid="{00000000-0005-0000-0000-0000C85D0000}"/>
    <cellStyle name="Currency 5 5 6 5 2 2" xfId="25153" xr:uid="{00000000-0005-0000-0000-0000C95D0000}"/>
    <cellStyle name="Currency 5 5 6 5 2 2 2" xfId="25154" xr:uid="{00000000-0005-0000-0000-0000CA5D0000}"/>
    <cellStyle name="Currency 5 5 6 5 2 3" xfId="25155" xr:uid="{00000000-0005-0000-0000-0000CB5D0000}"/>
    <cellStyle name="Currency 5 5 6 5 3" xfId="25156" xr:uid="{00000000-0005-0000-0000-0000CC5D0000}"/>
    <cellStyle name="Currency 5 5 6 5 3 2" xfId="25157" xr:uid="{00000000-0005-0000-0000-0000CD5D0000}"/>
    <cellStyle name="Currency 5 5 6 5 4" xfId="25158" xr:uid="{00000000-0005-0000-0000-0000CE5D0000}"/>
    <cellStyle name="Currency 5 5 6 6" xfId="25159" xr:uid="{00000000-0005-0000-0000-0000CF5D0000}"/>
    <cellStyle name="Currency 5 5 6 6 2" xfId="25160" xr:uid="{00000000-0005-0000-0000-0000D05D0000}"/>
    <cellStyle name="Currency 5 5 6 6 2 2" xfId="25161" xr:uid="{00000000-0005-0000-0000-0000D15D0000}"/>
    <cellStyle name="Currency 5 5 6 6 2 2 2" xfId="25162" xr:uid="{00000000-0005-0000-0000-0000D25D0000}"/>
    <cellStyle name="Currency 5 5 6 6 2 3" xfId="25163" xr:uid="{00000000-0005-0000-0000-0000D35D0000}"/>
    <cellStyle name="Currency 5 5 6 6 3" xfId="25164" xr:uid="{00000000-0005-0000-0000-0000D45D0000}"/>
    <cellStyle name="Currency 5 5 6 6 3 2" xfId="25165" xr:uid="{00000000-0005-0000-0000-0000D55D0000}"/>
    <cellStyle name="Currency 5 5 6 6 4" xfId="25166" xr:uid="{00000000-0005-0000-0000-0000D65D0000}"/>
    <cellStyle name="Currency 5 5 6 7" xfId="25167" xr:uid="{00000000-0005-0000-0000-0000D75D0000}"/>
    <cellStyle name="Currency 5 5 6 7 2" xfId="25168" xr:uid="{00000000-0005-0000-0000-0000D85D0000}"/>
    <cellStyle name="Currency 5 5 6 7 2 2" xfId="25169" xr:uid="{00000000-0005-0000-0000-0000D95D0000}"/>
    <cellStyle name="Currency 5 5 6 7 2 2 2" xfId="25170" xr:uid="{00000000-0005-0000-0000-0000DA5D0000}"/>
    <cellStyle name="Currency 5 5 6 7 2 3" xfId="25171" xr:uid="{00000000-0005-0000-0000-0000DB5D0000}"/>
    <cellStyle name="Currency 5 5 6 7 3" xfId="25172" xr:uid="{00000000-0005-0000-0000-0000DC5D0000}"/>
    <cellStyle name="Currency 5 5 6 7 3 2" xfId="25173" xr:uid="{00000000-0005-0000-0000-0000DD5D0000}"/>
    <cellStyle name="Currency 5 5 6 7 4" xfId="25174" xr:uid="{00000000-0005-0000-0000-0000DE5D0000}"/>
    <cellStyle name="Currency 5 5 6 8" xfId="25175" xr:uid="{00000000-0005-0000-0000-0000DF5D0000}"/>
    <cellStyle name="Currency 5 5 6 8 2" xfId="25176" xr:uid="{00000000-0005-0000-0000-0000E05D0000}"/>
    <cellStyle name="Currency 5 5 6 8 2 2" xfId="25177" xr:uid="{00000000-0005-0000-0000-0000E15D0000}"/>
    <cellStyle name="Currency 5 5 6 8 3" xfId="25178" xr:uid="{00000000-0005-0000-0000-0000E25D0000}"/>
    <cellStyle name="Currency 5 5 6 9" xfId="25179" xr:uid="{00000000-0005-0000-0000-0000E35D0000}"/>
    <cellStyle name="Currency 5 5 6 9 2" xfId="25180" xr:uid="{00000000-0005-0000-0000-0000E45D0000}"/>
    <cellStyle name="Currency 5 5 7" xfId="1361" xr:uid="{00000000-0005-0000-0000-0000E55D0000}"/>
    <cellStyle name="Currency 5 5 7 2" xfId="25182" xr:uid="{00000000-0005-0000-0000-0000E65D0000}"/>
    <cellStyle name="Currency 5 5 7 2 2" xfId="25183" xr:uid="{00000000-0005-0000-0000-0000E75D0000}"/>
    <cellStyle name="Currency 5 5 7 2 2 2" xfId="25184" xr:uid="{00000000-0005-0000-0000-0000E85D0000}"/>
    <cellStyle name="Currency 5 5 7 2 2 2 2" xfId="25185" xr:uid="{00000000-0005-0000-0000-0000E95D0000}"/>
    <cellStyle name="Currency 5 5 7 2 2 3" xfId="25186" xr:uid="{00000000-0005-0000-0000-0000EA5D0000}"/>
    <cellStyle name="Currency 5 5 7 2 3" xfId="25187" xr:uid="{00000000-0005-0000-0000-0000EB5D0000}"/>
    <cellStyle name="Currency 5 5 7 2 3 2" xfId="25188" xr:uid="{00000000-0005-0000-0000-0000EC5D0000}"/>
    <cellStyle name="Currency 5 5 7 2 4" xfId="25189" xr:uid="{00000000-0005-0000-0000-0000ED5D0000}"/>
    <cellStyle name="Currency 5 5 7 3" xfId="25190" xr:uid="{00000000-0005-0000-0000-0000EE5D0000}"/>
    <cellStyle name="Currency 5 5 7 3 2" xfId="25191" xr:uid="{00000000-0005-0000-0000-0000EF5D0000}"/>
    <cellStyle name="Currency 5 5 7 3 2 2" xfId="25192" xr:uid="{00000000-0005-0000-0000-0000F05D0000}"/>
    <cellStyle name="Currency 5 5 7 3 2 2 2" xfId="25193" xr:uid="{00000000-0005-0000-0000-0000F15D0000}"/>
    <cellStyle name="Currency 5 5 7 3 2 3" xfId="25194" xr:uid="{00000000-0005-0000-0000-0000F25D0000}"/>
    <cellStyle name="Currency 5 5 7 3 3" xfId="25195" xr:uid="{00000000-0005-0000-0000-0000F35D0000}"/>
    <cellStyle name="Currency 5 5 7 3 3 2" xfId="25196" xr:uid="{00000000-0005-0000-0000-0000F45D0000}"/>
    <cellStyle name="Currency 5 5 7 3 4" xfId="25197" xr:uid="{00000000-0005-0000-0000-0000F55D0000}"/>
    <cellStyle name="Currency 5 5 7 4" xfId="25198" xr:uid="{00000000-0005-0000-0000-0000F65D0000}"/>
    <cellStyle name="Currency 5 5 7 4 2" xfId="25199" xr:uid="{00000000-0005-0000-0000-0000F75D0000}"/>
    <cellStyle name="Currency 5 5 7 4 2 2" xfId="25200" xr:uid="{00000000-0005-0000-0000-0000F85D0000}"/>
    <cellStyle name="Currency 5 5 7 4 3" xfId="25201" xr:uid="{00000000-0005-0000-0000-0000F95D0000}"/>
    <cellStyle name="Currency 5 5 7 5" xfId="25202" xr:uid="{00000000-0005-0000-0000-0000FA5D0000}"/>
    <cellStyle name="Currency 5 5 7 5 2" xfId="25203" xr:uid="{00000000-0005-0000-0000-0000FB5D0000}"/>
    <cellStyle name="Currency 5 5 7 6" xfId="25204" xr:uid="{00000000-0005-0000-0000-0000FC5D0000}"/>
    <cellStyle name="Currency 5 5 7 7" xfId="25181" xr:uid="{00000000-0005-0000-0000-0000FD5D0000}"/>
    <cellStyle name="Currency 5 5 8" xfId="25205" xr:uid="{00000000-0005-0000-0000-0000FE5D0000}"/>
    <cellStyle name="Currency 5 5 8 2" xfId="25206" xr:uid="{00000000-0005-0000-0000-0000FF5D0000}"/>
    <cellStyle name="Currency 5 5 8 2 2" xfId="25207" xr:uid="{00000000-0005-0000-0000-0000005E0000}"/>
    <cellStyle name="Currency 5 5 8 2 2 2" xfId="25208" xr:uid="{00000000-0005-0000-0000-0000015E0000}"/>
    <cellStyle name="Currency 5 5 8 2 2 2 2" xfId="25209" xr:uid="{00000000-0005-0000-0000-0000025E0000}"/>
    <cellStyle name="Currency 5 5 8 2 2 3" xfId="25210" xr:uid="{00000000-0005-0000-0000-0000035E0000}"/>
    <cellStyle name="Currency 5 5 8 2 3" xfId="25211" xr:uid="{00000000-0005-0000-0000-0000045E0000}"/>
    <cellStyle name="Currency 5 5 8 2 3 2" xfId="25212" xr:uid="{00000000-0005-0000-0000-0000055E0000}"/>
    <cellStyle name="Currency 5 5 8 2 4" xfId="25213" xr:uid="{00000000-0005-0000-0000-0000065E0000}"/>
    <cellStyle name="Currency 5 5 8 3" xfId="25214" xr:uid="{00000000-0005-0000-0000-0000075E0000}"/>
    <cellStyle name="Currency 5 5 8 3 2" xfId="25215" xr:uid="{00000000-0005-0000-0000-0000085E0000}"/>
    <cellStyle name="Currency 5 5 8 3 2 2" xfId="25216" xr:uid="{00000000-0005-0000-0000-0000095E0000}"/>
    <cellStyle name="Currency 5 5 8 3 3" xfId="25217" xr:uid="{00000000-0005-0000-0000-00000A5E0000}"/>
    <cellStyle name="Currency 5 5 8 4" xfId="25218" xr:uid="{00000000-0005-0000-0000-00000B5E0000}"/>
    <cellStyle name="Currency 5 5 8 4 2" xfId="25219" xr:uid="{00000000-0005-0000-0000-00000C5E0000}"/>
    <cellStyle name="Currency 5 5 8 5" xfId="25220" xr:uid="{00000000-0005-0000-0000-00000D5E0000}"/>
    <cellStyle name="Currency 5 5 9" xfId="25221" xr:uid="{00000000-0005-0000-0000-00000E5E0000}"/>
    <cellStyle name="Currency 5 5 9 2" xfId="25222" xr:uid="{00000000-0005-0000-0000-00000F5E0000}"/>
    <cellStyle name="Currency 5 5 9 2 2" xfId="25223" xr:uid="{00000000-0005-0000-0000-0000105E0000}"/>
    <cellStyle name="Currency 5 5 9 2 2 2" xfId="25224" xr:uid="{00000000-0005-0000-0000-0000115E0000}"/>
    <cellStyle name="Currency 5 5 9 2 2 2 2" xfId="25225" xr:uid="{00000000-0005-0000-0000-0000125E0000}"/>
    <cellStyle name="Currency 5 5 9 2 2 3" xfId="25226" xr:uid="{00000000-0005-0000-0000-0000135E0000}"/>
    <cellStyle name="Currency 5 5 9 2 3" xfId="25227" xr:uid="{00000000-0005-0000-0000-0000145E0000}"/>
    <cellStyle name="Currency 5 5 9 2 3 2" xfId="25228" xr:uid="{00000000-0005-0000-0000-0000155E0000}"/>
    <cellStyle name="Currency 5 5 9 2 4" xfId="25229" xr:uid="{00000000-0005-0000-0000-0000165E0000}"/>
    <cellStyle name="Currency 5 5 9 3" xfId="25230" xr:uid="{00000000-0005-0000-0000-0000175E0000}"/>
    <cellStyle name="Currency 5 5 9 3 2" xfId="25231" xr:uid="{00000000-0005-0000-0000-0000185E0000}"/>
    <cellStyle name="Currency 5 5 9 3 2 2" xfId="25232" xr:uid="{00000000-0005-0000-0000-0000195E0000}"/>
    <cellStyle name="Currency 5 5 9 3 3" xfId="25233" xr:uid="{00000000-0005-0000-0000-00001A5E0000}"/>
    <cellStyle name="Currency 5 5 9 4" xfId="25234" xr:uid="{00000000-0005-0000-0000-00001B5E0000}"/>
    <cellStyle name="Currency 5 5 9 4 2" xfId="25235" xr:uid="{00000000-0005-0000-0000-00001C5E0000}"/>
    <cellStyle name="Currency 5 5 9 5" xfId="25236" xr:uid="{00000000-0005-0000-0000-00001D5E0000}"/>
    <cellStyle name="Currency 5 6" xfId="422" xr:uid="{00000000-0005-0000-0000-00001E5E0000}"/>
    <cellStyle name="Currency 5 6 10" xfId="25238" xr:uid="{00000000-0005-0000-0000-00001F5E0000}"/>
    <cellStyle name="Currency 5 6 10 2" xfId="25239" xr:uid="{00000000-0005-0000-0000-0000205E0000}"/>
    <cellStyle name="Currency 5 6 10 2 2" xfId="25240" xr:uid="{00000000-0005-0000-0000-0000215E0000}"/>
    <cellStyle name="Currency 5 6 10 2 2 2" xfId="25241" xr:uid="{00000000-0005-0000-0000-0000225E0000}"/>
    <cellStyle name="Currency 5 6 10 2 3" xfId="25242" xr:uid="{00000000-0005-0000-0000-0000235E0000}"/>
    <cellStyle name="Currency 5 6 10 3" xfId="25243" xr:uid="{00000000-0005-0000-0000-0000245E0000}"/>
    <cellStyle name="Currency 5 6 10 3 2" xfId="25244" xr:uid="{00000000-0005-0000-0000-0000255E0000}"/>
    <cellStyle name="Currency 5 6 10 4" xfId="25245" xr:uid="{00000000-0005-0000-0000-0000265E0000}"/>
    <cellStyle name="Currency 5 6 11" xfId="25246" xr:uid="{00000000-0005-0000-0000-0000275E0000}"/>
    <cellStyle name="Currency 5 6 11 2" xfId="25247" xr:uid="{00000000-0005-0000-0000-0000285E0000}"/>
    <cellStyle name="Currency 5 6 11 2 2" xfId="25248" xr:uid="{00000000-0005-0000-0000-0000295E0000}"/>
    <cellStyle name="Currency 5 6 11 2 2 2" xfId="25249" xr:uid="{00000000-0005-0000-0000-00002A5E0000}"/>
    <cellStyle name="Currency 5 6 11 2 3" xfId="25250" xr:uid="{00000000-0005-0000-0000-00002B5E0000}"/>
    <cellStyle name="Currency 5 6 11 3" xfId="25251" xr:uid="{00000000-0005-0000-0000-00002C5E0000}"/>
    <cellStyle name="Currency 5 6 11 3 2" xfId="25252" xr:uid="{00000000-0005-0000-0000-00002D5E0000}"/>
    <cellStyle name="Currency 5 6 11 4" xfId="25253" xr:uid="{00000000-0005-0000-0000-00002E5E0000}"/>
    <cellStyle name="Currency 5 6 12" xfId="25254" xr:uid="{00000000-0005-0000-0000-00002F5E0000}"/>
    <cellStyle name="Currency 5 6 12 2" xfId="25255" xr:uid="{00000000-0005-0000-0000-0000305E0000}"/>
    <cellStyle name="Currency 5 6 12 2 2" xfId="25256" xr:uid="{00000000-0005-0000-0000-0000315E0000}"/>
    <cellStyle name="Currency 5 6 12 3" xfId="25257" xr:uid="{00000000-0005-0000-0000-0000325E0000}"/>
    <cellStyle name="Currency 5 6 13" xfId="25258" xr:uid="{00000000-0005-0000-0000-0000335E0000}"/>
    <cellStyle name="Currency 5 6 13 2" xfId="25259" xr:uid="{00000000-0005-0000-0000-0000345E0000}"/>
    <cellStyle name="Currency 5 6 13 2 2" xfId="25260" xr:uid="{00000000-0005-0000-0000-0000355E0000}"/>
    <cellStyle name="Currency 5 6 13 3" xfId="25261" xr:uid="{00000000-0005-0000-0000-0000365E0000}"/>
    <cellStyle name="Currency 5 6 14" xfId="25262" xr:uid="{00000000-0005-0000-0000-0000375E0000}"/>
    <cellStyle name="Currency 5 6 14 2" xfId="25263" xr:uid="{00000000-0005-0000-0000-0000385E0000}"/>
    <cellStyle name="Currency 5 6 14 2 2" xfId="25264" xr:uid="{00000000-0005-0000-0000-0000395E0000}"/>
    <cellStyle name="Currency 5 6 14 3" xfId="25265" xr:uid="{00000000-0005-0000-0000-00003A5E0000}"/>
    <cellStyle name="Currency 5 6 15" xfId="25266" xr:uid="{00000000-0005-0000-0000-00003B5E0000}"/>
    <cellStyle name="Currency 5 6 15 2" xfId="25267" xr:uid="{00000000-0005-0000-0000-00003C5E0000}"/>
    <cellStyle name="Currency 5 6 16" xfId="25268" xr:uid="{00000000-0005-0000-0000-00003D5E0000}"/>
    <cellStyle name="Currency 5 6 17" xfId="25269" xr:uid="{00000000-0005-0000-0000-00003E5E0000}"/>
    <cellStyle name="Currency 5 6 18" xfId="25237" xr:uid="{00000000-0005-0000-0000-00003F5E0000}"/>
    <cellStyle name="Currency 5 6 2" xfId="423" xr:uid="{00000000-0005-0000-0000-0000405E0000}"/>
    <cellStyle name="Currency 5 6 2 10" xfId="25271" xr:uid="{00000000-0005-0000-0000-0000415E0000}"/>
    <cellStyle name="Currency 5 6 2 10 2" xfId="25272" xr:uid="{00000000-0005-0000-0000-0000425E0000}"/>
    <cellStyle name="Currency 5 6 2 10 2 2" xfId="25273" xr:uid="{00000000-0005-0000-0000-0000435E0000}"/>
    <cellStyle name="Currency 5 6 2 10 2 2 2" xfId="25274" xr:uid="{00000000-0005-0000-0000-0000445E0000}"/>
    <cellStyle name="Currency 5 6 2 10 2 3" xfId="25275" xr:uid="{00000000-0005-0000-0000-0000455E0000}"/>
    <cellStyle name="Currency 5 6 2 10 3" xfId="25276" xr:uid="{00000000-0005-0000-0000-0000465E0000}"/>
    <cellStyle name="Currency 5 6 2 10 3 2" xfId="25277" xr:uid="{00000000-0005-0000-0000-0000475E0000}"/>
    <cellStyle name="Currency 5 6 2 10 4" xfId="25278" xr:uid="{00000000-0005-0000-0000-0000485E0000}"/>
    <cellStyle name="Currency 5 6 2 11" xfId="25279" xr:uid="{00000000-0005-0000-0000-0000495E0000}"/>
    <cellStyle name="Currency 5 6 2 11 2" xfId="25280" xr:uid="{00000000-0005-0000-0000-00004A5E0000}"/>
    <cellStyle name="Currency 5 6 2 11 2 2" xfId="25281" xr:uid="{00000000-0005-0000-0000-00004B5E0000}"/>
    <cellStyle name="Currency 5 6 2 11 3" xfId="25282" xr:uid="{00000000-0005-0000-0000-00004C5E0000}"/>
    <cellStyle name="Currency 5 6 2 12" xfId="25283" xr:uid="{00000000-0005-0000-0000-00004D5E0000}"/>
    <cellStyle name="Currency 5 6 2 12 2" xfId="25284" xr:uid="{00000000-0005-0000-0000-00004E5E0000}"/>
    <cellStyle name="Currency 5 6 2 12 2 2" xfId="25285" xr:uid="{00000000-0005-0000-0000-00004F5E0000}"/>
    <cellStyle name="Currency 5 6 2 12 3" xfId="25286" xr:uid="{00000000-0005-0000-0000-0000505E0000}"/>
    <cellStyle name="Currency 5 6 2 13" xfId="25287" xr:uid="{00000000-0005-0000-0000-0000515E0000}"/>
    <cellStyle name="Currency 5 6 2 13 2" xfId="25288" xr:uid="{00000000-0005-0000-0000-0000525E0000}"/>
    <cellStyle name="Currency 5 6 2 13 2 2" xfId="25289" xr:uid="{00000000-0005-0000-0000-0000535E0000}"/>
    <cellStyle name="Currency 5 6 2 13 3" xfId="25290" xr:uid="{00000000-0005-0000-0000-0000545E0000}"/>
    <cellStyle name="Currency 5 6 2 14" xfId="25291" xr:uid="{00000000-0005-0000-0000-0000555E0000}"/>
    <cellStyle name="Currency 5 6 2 14 2" xfId="25292" xr:uid="{00000000-0005-0000-0000-0000565E0000}"/>
    <cellStyle name="Currency 5 6 2 15" xfId="25293" xr:uid="{00000000-0005-0000-0000-0000575E0000}"/>
    <cellStyle name="Currency 5 6 2 16" xfId="25294" xr:uid="{00000000-0005-0000-0000-0000585E0000}"/>
    <cellStyle name="Currency 5 6 2 17" xfId="25270" xr:uid="{00000000-0005-0000-0000-0000595E0000}"/>
    <cellStyle name="Currency 5 6 2 2" xfId="424" xr:uid="{00000000-0005-0000-0000-00005A5E0000}"/>
    <cellStyle name="Currency 5 6 2 2 10" xfId="25296" xr:uid="{00000000-0005-0000-0000-00005B5E0000}"/>
    <cellStyle name="Currency 5 6 2 2 10 2" xfId="25297" xr:uid="{00000000-0005-0000-0000-00005C5E0000}"/>
    <cellStyle name="Currency 5 6 2 2 10 2 2" xfId="25298" xr:uid="{00000000-0005-0000-0000-00005D5E0000}"/>
    <cellStyle name="Currency 5 6 2 2 10 3" xfId="25299" xr:uid="{00000000-0005-0000-0000-00005E5E0000}"/>
    <cellStyle name="Currency 5 6 2 2 11" xfId="25300" xr:uid="{00000000-0005-0000-0000-00005F5E0000}"/>
    <cellStyle name="Currency 5 6 2 2 11 2" xfId="25301" xr:uid="{00000000-0005-0000-0000-0000605E0000}"/>
    <cellStyle name="Currency 5 6 2 2 11 2 2" xfId="25302" xr:uid="{00000000-0005-0000-0000-0000615E0000}"/>
    <cellStyle name="Currency 5 6 2 2 11 3" xfId="25303" xr:uid="{00000000-0005-0000-0000-0000625E0000}"/>
    <cellStyle name="Currency 5 6 2 2 12" xfId="25304" xr:uid="{00000000-0005-0000-0000-0000635E0000}"/>
    <cellStyle name="Currency 5 6 2 2 12 2" xfId="25305" xr:uid="{00000000-0005-0000-0000-0000645E0000}"/>
    <cellStyle name="Currency 5 6 2 2 13" xfId="25306" xr:uid="{00000000-0005-0000-0000-0000655E0000}"/>
    <cellStyle name="Currency 5 6 2 2 14" xfId="25307" xr:uid="{00000000-0005-0000-0000-0000665E0000}"/>
    <cellStyle name="Currency 5 6 2 2 15" xfId="25295" xr:uid="{00000000-0005-0000-0000-0000675E0000}"/>
    <cellStyle name="Currency 5 6 2 2 2" xfId="955" xr:uid="{00000000-0005-0000-0000-0000685E0000}"/>
    <cellStyle name="Currency 5 6 2 2 2 10" xfId="25309" xr:uid="{00000000-0005-0000-0000-0000695E0000}"/>
    <cellStyle name="Currency 5 6 2 2 2 11" xfId="25308" xr:uid="{00000000-0005-0000-0000-00006A5E0000}"/>
    <cellStyle name="Currency 5 6 2 2 2 2" xfId="1696" xr:uid="{00000000-0005-0000-0000-00006B5E0000}"/>
    <cellStyle name="Currency 5 6 2 2 2 2 2" xfId="25311" xr:uid="{00000000-0005-0000-0000-00006C5E0000}"/>
    <cellStyle name="Currency 5 6 2 2 2 2 2 2" xfId="25312" xr:uid="{00000000-0005-0000-0000-00006D5E0000}"/>
    <cellStyle name="Currency 5 6 2 2 2 2 2 2 2" xfId="25313" xr:uid="{00000000-0005-0000-0000-00006E5E0000}"/>
    <cellStyle name="Currency 5 6 2 2 2 2 2 2 2 2" xfId="25314" xr:uid="{00000000-0005-0000-0000-00006F5E0000}"/>
    <cellStyle name="Currency 5 6 2 2 2 2 2 2 3" xfId="25315" xr:uid="{00000000-0005-0000-0000-0000705E0000}"/>
    <cellStyle name="Currency 5 6 2 2 2 2 2 3" xfId="25316" xr:uid="{00000000-0005-0000-0000-0000715E0000}"/>
    <cellStyle name="Currency 5 6 2 2 2 2 2 3 2" xfId="25317" xr:uid="{00000000-0005-0000-0000-0000725E0000}"/>
    <cellStyle name="Currency 5 6 2 2 2 2 2 4" xfId="25318" xr:uid="{00000000-0005-0000-0000-0000735E0000}"/>
    <cellStyle name="Currency 5 6 2 2 2 2 3" xfId="25319" xr:uid="{00000000-0005-0000-0000-0000745E0000}"/>
    <cellStyle name="Currency 5 6 2 2 2 2 3 2" xfId="25320" xr:uid="{00000000-0005-0000-0000-0000755E0000}"/>
    <cellStyle name="Currency 5 6 2 2 2 2 3 2 2" xfId="25321" xr:uid="{00000000-0005-0000-0000-0000765E0000}"/>
    <cellStyle name="Currency 5 6 2 2 2 2 3 2 2 2" xfId="25322" xr:uid="{00000000-0005-0000-0000-0000775E0000}"/>
    <cellStyle name="Currency 5 6 2 2 2 2 3 2 3" xfId="25323" xr:uid="{00000000-0005-0000-0000-0000785E0000}"/>
    <cellStyle name="Currency 5 6 2 2 2 2 3 3" xfId="25324" xr:uid="{00000000-0005-0000-0000-0000795E0000}"/>
    <cellStyle name="Currency 5 6 2 2 2 2 3 3 2" xfId="25325" xr:uid="{00000000-0005-0000-0000-00007A5E0000}"/>
    <cellStyle name="Currency 5 6 2 2 2 2 3 4" xfId="25326" xr:uid="{00000000-0005-0000-0000-00007B5E0000}"/>
    <cellStyle name="Currency 5 6 2 2 2 2 4" xfId="25327" xr:uid="{00000000-0005-0000-0000-00007C5E0000}"/>
    <cellStyle name="Currency 5 6 2 2 2 2 4 2" xfId="25328" xr:uid="{00000000-0005-0000-0000-00007D5E0000}"/>
    <cellStyle name="Currency 5 6 2 2 2 2 4 2 2" xfId="25329" xr:uid="{00000000-0005-0000-0000-00007E5E0000}"/>
    <cellStyle name="Currency 5 6 2 2 2 2 4 3" xfId="25330" xr:uid="{00000000-0005-0000-0000-00007F5E0000}"/>
    <cellStyle name="Currency 5 6 2 2 2 2 5" xfId="25331" xr:uid="{00000000-0005-0000-0000-0000805E0000}"/>
    <cellStyle name="Currency 5 6 2 2 2 2 5 2" xfId="25332" xr:uid="{00000000-0005-0000-0000-0000815E0000}"/>
    <cellStyle name="Currency 5 6 2 2 2 2 6" xfId="25333" xr:uid="{00000000-0005-0000-0000-0000825E0000}"/>
    <cellStyle name="Currency 5 6 2 2 2 2 7" xfId="25310" xr:uid="{00000000-0005-0000-0000-0000835E0000}"/>
    <cellStyle name="Currency 5 6 2 2 2 3" xfId="25334" xr:uid="{00000000-0005-0000-0000-0000845E0000}"/>
    <cellStyle name="Currency 5 6 2 2 2 3 2" xfId="25335" xr:uid="{00000000-0005-0000-0000-0000855E0000}"/>
    <cellStyle name="Currency 5 6 2 2 2 3 2 2" xfId="25336" xr:uid="{00000000-0005-0000-0000-0000865E0000}"/>
    <cellStyle name="Currency 5 6 2 2 2 3 2 2 2" xfId="25337" xr:uid="{00000000-0005-0000-0000-0000875E0000}"/>
    <cellStyle name="Currency 5 6 2 2 2 3 2 2 2 2" xfId="25338" xr:uid="{00000000-0005-0000-0000-0000885E0000}"/>
    <cellStyle name="Currency 5 6 2 2 2 3 2 2 3" xfId="25339" xr:uid="{00000000-0005-0000-0000-0000895E0000}"/>
    <cellStyle name="Currency 5 6 2 2 2 3 2 3" xfId="25340" xr:uid="{00000000-0005-0000-0000-00008A5E0000}"/>
    <cellStyle name="Currency 5 6 2 2 2 3 2 3 2" xfId="25341" xr:uid="{00000000-0005-0000-0000-00008B5E0000}"/>
    <cellStyle name="Currency 5 6 2 2 2 3 2 4" xfId="25342" xr:uid="{00000000-0005-0000-0000-00008C5E0000}"/>
    <cellStyle name="Currency 5 6 2 2 2 3 3" xfId="25343" xr:uid="{00000000-0005-0000-0000-00008D5E0000}"/>
    <cellStyle name="Currency 5 6 2 2 2 3 3 2" xfId="25344" xr:uid="{00000000-0005-0000-0000-00008E5E0000}"/>
    <cellStyle name="Currency 5 6 2 2 2 3 3 2 2" xfId="25345" xr:uid="{00000000-0005-0000-0000-00008F5E0000}"/>
    <cellStyle name="Currency 5 6 2 2 2 3 3 3" xfId="25346" xr:uid="{00000000-0005-0000-0000-0000905E0000}"/>
    <cellStyle name="Currency 5 6 2 2 2 3 4" xfId="25347" xr:uid="{00000000-0005-0000-0000-0000915E0000}"/>
    <cellStyle name="Currency 5 6 2 2 2 3 4 2" xfId="25348" xr:uid="{00000000-0005-0000-0000-0000925E0000}"/>
    <cellStyle name="Currency 5 6 2 2 2 3 5" xfId="25349" xr:uid="{00000000-0005-0000-0000-0000935E0000}"/>
    <cellStyle name="Currency 5 6 2 2 2 4" xfId="25350" xr:uid="{00000000-0005-0000-0000-0000945E0000}"/>
    <cellStyle name="Currency 5 6 2 2 2 4 2" xfId="25351" xr:uid="{00000000-0005-0000-0000-0000955E0000}"/>
    <cellStyle name="Currency 5 6 2 2 2 4 2 2" xfId="25352" xr:uid="{00000000-0005-0000-0000-0000965E0000}"/>
    <cellStyle name="Currency 5 6 2 2 2 4 2 2 2" xfId="25353" xr:uid="{00000000-0005-0000-0000-0000975E0000}"/>
    <cellStyle name="Currency 5 6 2 2 2 4 2 2 2 2" xfId="25354" xr:uid="{00000000-0005-0000-0000-0000985E0000}"/>
    <cellStyle name="Currency 5 6 2 2 2 4 2 2 3" xfId="25355" xr:uid="{00000000-0005-0000-0000-0000995E0000}"/>
    <cellStyle name="Currency 5 6 2 2 2 4 2 3" xfId="25356" xr:uid="{00000000-0005-0000-0000-00009A5E0000}"/>
    <cellStyle name="Currency 5 6 2 2 2 4 2 3 2" xfId="25357" xr:uid="{00000000-0005-0000-0000-00009B5E0000}"/>
    <cellStyle name="Currency 5 6 2 2 2 4 2 4" xfId="25358" xr:uid="{00000000-0005-0000-0000-00009C5E0000}"/>
    <cellStyle name="Currency 5 6 2 2 2 4 3" xfId="25359" xr:uid="{00000000-0005-0000-0000-00009D5E0000}"/>
    <cellStyle name="Currency 5 6 2 2 2 4 3 2" xfId="25360" xr:uid="{00000000-0005-0000-0000-00009E5E0000}"/>
    <cellStyle name="Currency 5 6 2 2 2 4 3 2 2" xfId="25361" xr:uid="{00000000-0005-0000-0000-00009F5E0000}"/>
    <cellStyle name="Currency 5 6 2 2 2 4 3 3" xfId="25362" xr:uid="{00000000-0005-0000-0000-0000A05E0000}"/>
    <cellStyle name="Currency 5 6 2 2 2 4 4" xfId="25363" xr:uid="{00000000-0005-0000-0000-0000A15E0000}"/>
    <cellStyle name="Currency 5 6 2 2 2 4 4 2" xfId="25364" xr:uid="{00000000-0005-0000-0000-0000A25E0000}"/>
    <cellStyle name="Currency 5 6 2 2 2 4 5" xfId="25365" xr:uid="{00000000-0005-0000-0000-0000A35E0000}"/>
    <cellStyle name="Currency 5 6 2 2 2 5" xfId="25366" xr:uid="{00000000-0005-0000-0000-0000A45E0000}"/>
    <cellStyle name="Currency 5 6 2 2 2 5 2" xfId="25367" xr:uid="{00000000-0005-0000-0000-0000A55E0000}"/>
    <cellStyle name="Currency 5 6 2 2 2 5 2 2" xfId="25368" xr:uid="{00000000-0005-0000-0000-0000A65E0000}"/>
    <cellStyle name="Currency 5 6 2 2 2 5 2 2 2" xfId="25369" xr:uid="{00000000-0005-0000-0000-0000A75E0000}"/>
    <cellStyle name="Currency 5 6 2 2 2 5 2 3" xfId="25370" xr:uid="{00000000-0005-0000-0000-0000A85E0000}"/>
    <cellStyle name="Currency 5 6 2 2 2 5 3" xfId="25371" xr:uid="{00000000-0005-0000-0000-0000A95E0000}"/>
    <cellStyle name="Currency 5 6 2 2 2 5 3 2" xfId="25372" xr:uid="{00000000-0005-0000-0000-0000AA5E0000}"/>
    <cellStyle name="Currency 5 6 2 2 2 5 4" xfId="25373" xr:uid="{00000000-0005-0000-0000-0000AB5E0000}"/>
    <cellStyle name="Currency 5 6 2 2 2 6" xfId="25374" xr:uid="{00000000-0005-0000-0000-0000AC5E0000}"/>
    <cellStyle name="Currency 5 6 2 2 2 6 2" xfId="25375" xr:uid="{00000000-0005-0000-0000-0000AD5E0000}"/>
    <cellStyle name="Currency 5 6 2 2 2 6 2 2" xfId="25376" xr:uid="{00000000-0005-0000-0000-0000AE5E0000}"/>
    <cellStyle name="Currency 5 6 2 2 2 6 2 2 2" xfId="25377" xr:uid="{00000000-0005-0000-0000-0000AF5E0000}"/>
    <cellStyle name="Currency 5 6 2 2 2 6 2 3" xfId="25378" xr:uid="{00000000-0005-0000-0000-0000B05E0000}"/>
    <cellStyle name="Currency 5 6 2 2 2 6 3" xfId="25379" xr:uid="{00000000-0005-0000-0000-0000B15E0000}"/>
    <cellStyle name="Currency 5 6 2 2 2 6 3 2" xfId="25380" xr:uid="{00000000-0005-0000-0000-0000B25E0000}"/>
    <cellStyle name="Currency 5 6 2 2 2 6 4" xfId="25381" xr:uid="{00000000-0005-0000-0000-0000B35E0000}"/>
    <cellStyle name="Currency 5 6 2 2 2 7" xfId="25382" xr:uid="{00000000-0005-0000-0000-0000B45E0000}"/>
    <cellStyle name="Currency 5 6 2 2 2 7 2" xfId="25383" xr:uid="{00000000-0005-0000-0000-0000B55E0000}"/>
    <cellStyle name="Currency 5 6 2 2 2 7 2 2" xfId="25384" xr:uid="{00000000-0005-0000-0000-0000B65E0000}"/>
    <cellStyle name="Currency 5 6 2 2 2 7 2 2 2" xfId="25385" xr:uid="{00000000-0005-0000-0000-0000B75E0000}"/>
    <cellStyle name="Currency 5 6 2 2 2 7 2 3" xfId="25386" xr:uid="{00000000-0005-0000-0000-0000B85E0000}"/>
    <cellStyle name="Currency 5 6 2 2 2 7 3" xfId="25387" xr:uid="{00000000-0005-0000-0000-0000B95E0000}"/>
    <cellStyle name="Currency 5 6 2 2 2 7 3 2" xfId="25388" xr:uid="{00000000-0005-0000-0000-0000BA5E0000}"/>
    <cellStyle name="Currency 5 6 2 2 2 7 4" xfId="25389" xr:uid="{00000000-0005-0000-0000-0000BB5E0000}"/>
    <cellStyle name="Currency 5 6 2 2 2 8" xfId="25390" xr:uid="{00000000-0005-0000-0000-0000BC5E0000}"/>
    <cellStyle name="Currency 5 6 2 2 2 8 2" xfId="25391" xr:uid="{00000000-0005-0000-0000-0000BD5E0000}"/>
    <cellStyle name="Currency 5 6 2 2 2 8 2 2" xfId="25392" xr:uid="{00000000-0005-0000-0000-0000BE5E0000}"/>
    <cellStyle name="Currency 5 6 2 2 2 8 3" xfId="25393" xr:uid="{00000000-0005-0000-0000-0000BF5E0000}"/>
    <cellStyle name="Currency 5 6 2 2 2 9" xfId="25394" xr:uid="{00000000-0005-0000-0000-0000C05E0000}"/>
    <cellStyle name="Currency 5 6 2 2 2 9 2" xfId="25395" xr:uid="{00000000-0005-0000-0000-0000C15E0000}"/>
    <cellStyle name="Currency 5 6 2 2 3" xfId="1371" xr:uid="{00000000-0005-0000-0000-0000C25E0000}"/>
    <cellStyle name="Currency 5 6 2 2 3 2" xfId="25397" xr:uid="{00000000-0005-0000-0000-0000C35E0000}"/>
    <cellStyle name="Currency 5 6 2 2 3 2 2" xfId="25398" xr:uid="{00000000-0005-0000-0000-0000C45E0000}"/>
    <cellStyle name="Currency 5 6 2 2 3 2 2 2" xfId="25399" xr:uid="{00000000-0005-0000-0000-0000C55E0000}"/>
    <cellStyle name="Currency 5 6 2 2 3 2 2 2 2" xfId="25400" xr:uid="{00000000-0005-0000-0000-0000C65E0000}"/>
    <cellStyle name="Currency 5 6 2 2 3 2 2 3" xfId="25401" xr:uid="{00000000-0005-0000-0000-0000C75E0000}"/>
    <cellStyle name="Currency 5 6 2 2 3 2 3" xfId="25402" xr:uid="{00000000-0005-0000-0000-0000C85E0000}"/>
    <cellStyle name="Currency 5 6 2 2 3 2 3 2" xfId="25403" xr:uid="{00000000-0005-0000-0000-0000C95E0000}"/>
    <cellStyle name="Currency 5 6 2 2 3 2 4" xfId="25404" xr:uid="{00000000-0005-0000-0000-0000CA5E0000}"/>
    <cellStyle name="Currency 5 6 2 2 3 3" xfId="25405" xr:uid="{00000000-0005-0000-0000-0000CB5E0000}"/>
    <cellStyle name="Currency 5 6 2 2 3 3 2" xfId="25406" xr:uid="{00000000-0005-0000-0000-0000CC5E0000}"/>
    <cellStyle name="Currency 5 6 2 2 3 3 2 2" xfId="25407" xr:uid="{00000000-0005-0000-0000-0000CD5E0000}"/>
    <cellStyle name="Currency 5 6 2 2 3 3 2 2 2" xfId="25408" xr:uid="{00000000-0005-0000-0000-0000CE5E0000}"/>
    <cellStyle name="Currency 5 6 2 2 3 3 2 3" xfId="25409" xr:uid="{00000000-0005-0000-0000-0000CF5E0000}"/>
    <cellStyle name="Currency 5 6 2 2 3 3 3" xfId="25410" xr:uid="{00000000-0005-0000-0000-0000D05E0000}"/>
    <cellStyle name="Currency 5 6 2 2 3 3 3 2" xfId="25411" xr:uid="{00000000-0005-0000-0000-0000D15E0000}"/>
    <cellStyle name="Currency 5 6 2 2 3 3 4" xfId="25412" xr:uid="{00000000-0005-0000-0000-0000D25E0000}"/>
    <cellStyle name="Currency 5 6 2 2 3 4" xfId="25413" xr:uid="{00000000-0005-0000-0000-0000D35E0000}"/>
    <cellStyle name="Currency 5 6 2 2 3 4 2" xfId="25414" xr:uid="{00000000-0005-0000-0000-0000D45E0000}"/>
    <cellStyle name="Currency 5 6 2 2 3 4 2 2" xfId="25415" xr:uid="{00000000-0005-0000-0000-0000D55E0000}"/>
    <cellStyle name="Currency 5 6 2 2 3 4 3" xfId="25416" xr:uid="{00000000-0005-0000-0000-0000D65E0000}"/>
    <cellStyle name="Currency 5 6 2 2 3 5" xfId="25417" xr:uid="{00000000-0005-0000-0000-0000D75E0000}"/>
    <cellStyle name="Currency 5 6 2 2 3 5 2" xfId="25418" xr:uid="{00000000-0005-0000-0000-0000D85E0000}"/>
    <cellStyle name="Currency 5 6 2 2 3 6" xfId="25419" xr:uid="{00000000-0005-0000-0000-0000D95E0000}"/>
    <cellStyle name="Currency 5 6 2 2 3 7" xfId="25396" xr:uid="{00000000-0005-0000-0000-0000DA5E0000}"/>
    <cellStyle name="Currency 5 6 2 2 4" xfId="25420" xr:uid="{00000000-0005-0000-0000-0000DB5E0000}"/>
    <cellStyle name="Currency 5 6 2 2 4 2" xfId="25421" xr:uid="{00000000-0005-0000-0000-0000DC5E0000}"/>
    <cellStyle name="Currency 5 6 2 2 4 2 2" xfId="25422" xr:uid="{00000000-0005-0000-0000-0000DD5E0000}"/>
    <cellStyle name="Currency 5 6 2 2 4 2 2 2" xfId="25423" xr:uid="{00000000-0005-0000-0000-0000DE5E0000}"/>
    <cellStyle name="Currency 5 6 2 2 4 2 2 2 2" xfId="25424" xr:uid="{00000000-0005-0000-0000-0000DF5E0000}"/>
    <cellStyle name="Currency 5 6 2 2 4 2 2 3" xfId="25425" xr:uid="{00000000-0005-0000-0000-0000E05E0000}"/>
    <cellStyle name="Currency 5 6 2 2 4 2 3" xfId="25426" xr:uid="{00000000-0005-0000-0000-0000E15E0000}"/>
    <cellStyle name="Currency 5 6 2 2 4 2 3 2" xfId="25427" xr:uid="{00000000-0005-0000-0000-0000E25E0000}"/>
    <cellStyle name="Currency 5 6 2 2 4 2 4" xfId="25428" xr:uid="{00000000-0005-0000-0000-0000E35E0000}"/>
    <cellStyle name="Currency 5 6 2 2 4 3" xfId="25429" xr:uid="{00000000-0005-0000-0000-0000E45E0000}"/>
    <cellStyle name="Currency 5 6 2 2 4 3 2" xfId="25430" xr:uid="{00000000-0005-0000-0000-0000E55E0000}"/>
    <cellStyle name="Currency 5 6 2 2 4 3 2 2" xfId="25431" xr:uid="{00000000-0005-0000-0000-0000E65E0000}"/>
    <cellStyle name="Currency 5 6 2 2 4 3 3" xfId="25432" xr:uid="{00000000-0005-0000-0000-0000E75E0000}"/>
    <cellStyle name="Currency 5 6 2 2 4 4" xfId="25433" xr:uid="{00000000-0005-0000-0000-0000E85E0000}"/>
    <cellStyle name="Currency 5 6 2 2 4 4 2" xfId="25434" xr:uid="{00000000-0005-0000-0000-0000E95E0000}"/>
    <cellStyle name="Currency 5 6 2 2 4 5" xfId="25435" xr:uid="{00000000-0005-0000-0000-0000EA5E0000}"/>
    <cellStyle name="Currency 5 6 2 2 5" xfId="25436" xr:uid="{00000000-0005-0000-0000-0000EB5E0000}"/>
    <cellStyle name="Currency 5 6 2 2 5 2" xfId="25437" xr:uid="{00000000-0005-0000-0000-0000EC5E0000}"/>
    <cellStyle name="Currency 5 6 2 2 5 2 2" xfId="25438" xr:uid="{00000000-0005-0000-0000-0000ED5E0000}"/>
    <cellStyle name="Currency 5 6 2 2 5 2 2 2" xfId="25439" xr:uid="{00000000-0005-0000-0000-0000EE5E0000}"/>
    <cellStyle name="Currency 5 6 2 2 5 2 2 2 2" xfId="25440" xr:uid="{00000000-0005-0000-0000-0000EF5E0000}"/>
    <cellStyle name="Currency 5 6 2 2 5 2 2 3" xfId="25441" xr:uid="{00000000-0005-0000-0000-0000F05E0000}"/>
    <cellStyle name="Currency 5 6 2 2 5 2 3" xfId="25442" xr:uid="{00000000-0005-0000-0000-0000F15E0000}"/>
    <cellStyle name="Currency 5 6 2 2 5 2 3 2" xfId="25443" xr:uid="{00000000-0005-0000-0000-0000F25E0000}"/>
    <cellStyle name="Currency 5 6 2 2 5 2 4" xfId="25444" xr:uid="{00000000-0005-0000-0000-0000F35E0000}"/>
    <cellStyle name="Currency 5 6 2 2 5 3" xfId="25445" xr:uid="{00000000-0005-0000-0000-0000F45E0000}"/>
    <cellStyle name="Currency 5 6 2 2 5 3 2" xfId="25446" xr:uid="{00000000-0005-0000-0000-0000F55E0000}"/>
    <cellStyle name="Currency 5 6 2 2 5 3 2 2" xfId="25447" xr:uid="{00000000-0005-0000-0000-0000F65E0000}"/>
    <cellStyle name="Currency 5 6 2 2 5 3 3" xfId="25448" xr:uid="{00000000-0005-0000-0000-0000F75E0000}"/>
    <cellStyle name="Currency 5 6 2 2 5 4" xfId="25449" xr:uid="{00000000-0005-0000-0000-0000F85E0000}"/>
    <cellStyle name="Currency 5 6 2 2 5 4 2" xfId="25450" xr:uid="{00000000-0005-0000-0000-0000F95E0000}"/>
    <cellStyle name="Currency 5 6 2 2 5 5" xfId="25451" xr:uid="{00000000-0005-0000-0000-0000FA5E0000}"/>
    <cellStyle name="Currency 5 6 2 2 6" xfId="25452" xr:uid="{00000000-0005-0000-0000-0000FB5E0000}"/>
    <cellStyle name="Currency 5 6 2 2 6 2" xfId="25453" xr:uid="{00000000-0005-0000-0000-0000FC5E0000}"/>
    <cellStyle name="Currency 5 6 2 2 6 2 2" xfId="25454" xr:uid="{00000000-0005-0000-0000-0000FD5E0000}"/>
    <cellStyle name="Currency 5 6 2 2 6 2 2 2" xfId="25455" xr:uid="{00000000-0005-0000-0000-0000FE5E0000}"/>
    <cellStyle name="Currency 5 6 2 2 6 2 3" xfId="25456" xr:uid="{00000000-0005-0000-0000-0000FF5E0000}"/>
    <cellStyle name="Currency 5 6 2 2 6 3" xfId="25457" xr:uid="{00000000-0005-0000-0000-0000005F0000}"/>
    <cellStyle name="Currency 5 6 2 2 6 3 2" xfId="25458" xr:uid="{00000000-0005-0000-0000-0000015F0000}"/>
    <cellStyle name="Currency 5 6 2 2 6 4" xfId="25459" xr:uid="{00000000-0005-0000-0000-0000025F0000}"/>
    <cellStyle name="Currency 5 6 2 2 7" xfId="25460" xr:uid="{00000000-0005-0000-0000-0000035F0000}"/>
    <cellStyle name="Currency 5 6 2 2 7 2" xfId="25461" xr:uid="{00000000-0005-0000-0000-0000045F0000}"/>
    <cellStyle name="Currency 5 6 2 2 7 2 2" xfId="25462" xr:uid="{00000000-0005-0000-0000-0000055F0000}"/>
    <cellStyle name="Currency 5 6 2 2 7 2 2 2" xfId="25463" xr:uid="{00000000-0005-0000-0000-0000065F0000}"/>
    <cellStyle name="Currency 5 6 2 2 7 2 3" xfId="25464" xr:uid="{00000000-0005-0000-0000-0000075F0000}"/>
    <cellStyle name="Currency 5 6 2 2 7 3" xfId="25465" xr:uid="{00000000-0005-0000-0000-0000085F0000}"/>
    <cellStyle name="Currency 5 6 2 2 7 3 2" xfId="25466" xr:uid="{00000000-0005-0000-0000-0000095F0000}"/>
    <cellStyle name="Currency 5 6 2 2 7 4" xfId="25467" xr:uid="{00000000-0005-0000-0000-00000A5F0000}"/>
    <cellStyle name="Currency 5 6 2 2 8" xfId="25468" xr:uid="{00000000-0005-0000-0000-00000B5F0000}"/>
    <cellStyle name="Currency 5 6 2 2 8 2" xfId="25469" xr:uid="{00000000-0005-0000-0000-00000C5F0000}"/>
    <cellStyle name="Currency 5 6 2 2 8 2 2" xfId="25470" xr:uid="{00000000-0005-0000-0000-00000D5F0000}"/>
    <cellStyle name="Currency 5 6 2 2 8 2 2 2" xfId="25471" xr:uid="{00000000-0005-0000-0000-00000E5F0000}"/>
    <cellStyle name="Currency 5 6 2 2 8 2 3" xfId="25472" xr:uid="{00000000-0005-0000-0000-00000F5F0000}"/>
    <cellStyle name="Currency 5 6 2 2 8 3" xfId="25473" xr:uid="{00000000-0005-0000-0000-0000105F0000}"/>
    <cellStyle name="Currency 5 6 2 2 8 3 2" xfId="25474" xr:uid="{00000000-0005-0000-0000-0000115F0000}"/>
    <cellStyle name="Currency 5 6 2 2 8 4" xfId="25475" xr:uid="{00000000-0005-0000-0000-0000125F0000}"/>
    <cellStyle name="Currency 5 6 2 2 9" xfId="25476" xr:uid="{00000000-0005-0000-0000-0000135F0000}"/>
    <cellStyle name="Currency 5 6 2 2 9 2" xfId="25477" xr:uid="{00000000-0005-0000-0000-0000145F0000}"/>
    <cellStyle name="Currency 5 6 2 2 9 2 2" xfId="25478" xr:uid="{00000000-0005-0000-0000-0000155F0000}"/>
    <cellStyle name="Currency 5 6 2 2 9 3" xfId="25479" xr:uid="{00000000-0005-0000-0000-0000165F0000}"/>
    <cellStyle name="Currency 5 6 2 3" xfId="425" xr:uid="{00000000-0005-0000-0000-0000175F0000}"/>
    <cellStyle name="Currency 5 6 2 4" xfId="954" xr:uid="{00000000-0005-0000-0000-0000185F0000}"/>
    <cellStyle name="Currency 5 6 2 4 10" xfId="25481" xr:uid="{00000000-0005-0000-0000-0000195F0000}"/>
    <cellStyle name="Currency 5 6 2 4 11" xfId="25480" xr:uid="{00000000-0005-0000-0000-00001A5F0000}"/>
    <cellStyle name="Currency 5 6 2 4 2" xfId="1695" xr:uid="{00000000-0005-0000-0000-00001B5F0000}"/>
    <cellStyle name="Currency 5 6 2 4 2 2" xfId="25483" xr:uid="{00000000-0005-0000-0000-00001C5F0000}"/>
    <cellStyle name="Currency 5 6 2 4 2 2 2" xfId="25484" xr:uid="{00000000-0005-0000-0000-00001D5F0000}"/>
    <cellStyle name="Currency 5 6 2 4 2 2 2 2" xfId="25485" xr:uid="{00000000-0005-0000-0000-00001E5F0000}"/>
    <cellStyle name="Currency 5 6 2 4 2 2 2 2 2" xfId="25486" xr:uid="{00000000-0005-0000-0000-00001F5F0000}"/>
    <cellStyle name="Currency 5 6 2 4 2 2 2 3" xfId="25487" xr:uid="{00000000-0005-0000-0000-0000205F0000}"/>
    <cellStyle name="Currency 5 6 2 4 2 2 3" xfId="25488" xr:uid="{00000000-0005-0000-0000-0000215F0000}"/>
    <cellStyle name="Currency 5 6 2 4 2 2 3 2" xfId="25489" xr:uid="{00000000-0005-0000-0000-0000225F0000}"/>
    <cellStyle name="Currency 5 6 2 4 2 2 4" xfId="25490" xr:uid="{00000000-0005-0000-0000-0000235F0000}"/>
    <cellStyle name="Currency 5 6 2 4 2 3" xfId="25491" xr:uid="{00000000-0005-0000-0000-0000245F0000}"/>
    <cellStyle name="Currency 5 6 2 4 2 3 2" xfId="25492" xr:uid="{00000000-0005-0000-0000-0000255F0000}"/>
    <cellStyle name="Currency 5 6 2 4 2 3 2 2" xfId="25493" xr:uid="{00000000-0005-0000-0000-0000265F0000}"/>
    <cellStyle name="Currency 5 6 2 4 2 3 2 2 2" xfId="25494" xr:uid="{00000000-0005-0000-0000-0000275F0000}"/>
    <cellStyle name="Currency 5 6 2 4 2 3 2 3" xfId="25495" xr:uid="{00000000-0005-0000-0000-0000285F0000}"/>
    <cellStyle name="Currency 5 6 2 4 2 3 3" xfId="25496" xr:uid="{00000000-0005-0000-0000-0000295F0000}"/>
    <cellStyle name="Currency 5 6 2 4 2 3 3 2" xfId="25497" xr:uid="{00000000-0005-0000-0000-00002A5F0000}"/>
    <cellStyle name="Currency 5 6 2 4 2 3 4" xfId="25498" xr:uid="{00000000-0005-0000-0000-00002B5F0000}"/>
    <cellStyle name="Currency 5 6 2 4 2 4" xfId="25499" xr:uid="{00000000-0005-0000-0000-00002C5F0000}"/>
    <cellStyle name="Currency 5 6 2 4 2 4 2" xfId="25500" xr:uid="{00000000-0005-0000-0000-00002D5F0000}"/>
    <cellStyle name="Currency 5 6 2 4 2 4 2 2" xfId="25501" xr:uid="{00000000-0005-0000-0000-00002E5F0000}"/>
    <cellStyle name="Currency 5 6 2 4 2 4 3" xfId="25502" xr:uid="{00000000-0005-0000-0000-00002F5F0000}"/>
    <cellStyle name="Currency 5 6 2 4 2 5" xfId="25503" xr:uid="{00000000-0005-0000-0000-0000305F0000}"/>
    <cellStyle name="Currency 5 6 2 4 2 5 2" xfId="25504" xr:uid="{00000000-0005-0000-0000-0000315F0000}"/>
    <cellStyle name="Currency 5 6 2 4 2 6" xfId="25505" xr:uid="{00000000-0005-0000-0000-0000325F0000}"/>
    <cellStyle name="Currency 5 6 2 4 2 7" xfId="25482" xr:uid="{00000000-0005-0000-0000-0000335F0000}"/>
    <cellStyle name="Currency 5 6 2 4 3" xfId="25506" xr:uid="{00000000-0005-0000-0000-0000345F0000}"/>
    <cellStyle name="Currency 5 6 2 4 3 2" xfId="25507" xr:uid="{00000000-0005-0000-0000-0000355F0000}"/>
    <cellStyle name="Currency 5 6 2 4 3 2 2" xfId="25508" xr:uid="{00000000-0005-0000-0000-0000365F0000}"/>
    <cellStyle name="Currency 5 6 2 4 3 2 2 2" xfId="25509" xr:uid="{00000000-0005-0000-0000-0000375F0000}"/>
    <cellStyle name="Currency 5 6 2 4 3 2 2 2 2" xfId="25510" xr:uid="{00000000-0005-0000-0000-0000385F0000}"/>
    <cellStyle name="Currency 5 6 2 4 3 2 2 3" xfId="25511" xr:uid="{00000000-0005-0000-0000-0000395F0000}"/>
    <cellStyle name="Currency 5 6 2 4 3 2 3" xfId="25512" xr:uid="{00000000-0005-0000-0000-00003A5F0000}"/>
    <cellStyle name="Currency 5 6 2 4 3 2 3 2" xfId="25513" xr:uid="{00000000-0005-0000-0000-00003B5F0000}"/>
    <cellStyle name="Currency 5 6 2 4 3 2 4" xfId="25514" xr:uid="{00000000-0005-0000-0000-00003C5F0000}"/>
    <cellStyle name="Currency 5 6 2 4 3 3" xfId="25515" xr:uid="{00000000-0005-0000-0000-00003D5F0000}"/>
    <cellStyle name="Currency 5 6 2 4 3 3 2" xfId="25516" xr:uid="{00000000-0005-0000-0000-00003E5F0000}"/>
    <cellStyle name="Currency 5 6 2 4 3 3 2 2" xfId="25517" xr:uid="{00000000-0005-0000-0000-00003F5F0000}"/>
    <cellStyle name="Currency 5 6 2 4 3 3 3" xfId="25518" xr:uid="{00000000-0005-0000-0000-0000405F0000}"/>
    <cellStyle name="Currency 5 6 2 4 3 4" xfId="25519" xr:uid="{00000000-0005-0000-0000-0000415F0000}"/>
    <cellStyle name="Currency 5 6 2 4 3 4 2" xfId="25520" xr:uid="{00000000-0005-0000-0000-0000425F0000}"/>
    <cellStyle name="Currency 5 6 2 4 3 5" xfId="25521" xr:uid="{00000000-0005-0000-0000-0000435F0000}"/>
    <cellStyle name="Currency 5 6 2 4 4" xfId="25522" xr:uid="{00000000-0005-0000-0000-0000445F0000}"/>
    <cellStyle name="Currency 5 6 2 4 4 2" xfId="25523" xr:uid="{00000000-0005-0000-0000-0000455F0000}"/>
    <cellStyle name="Currency 5 6 2 4 4 2 2" xfId="25524" xr:uid="{00000000-0005-0000-0000-0000465F0000}"/>
    <cellStyle name="Currency 5 6 2 4 4 2 2 2" xfId="25525" xr:uid="{00000000-0005-0000-0000-0000475F0000}"/>
    <cellStyle name="Currency 5 6 2 4 4 2 2 2 2" xfId="25526" xr:uid="{00000000-0005-0000-0000-0000485F0000}"/>
    <cellStyle name="Currency 5 6 2 4 4 2 2 3" xfId="25527" xr:uid="{00000000-0005-0000-0000-0000495F0000}"/>
    <cellStyle name="Currency 5 6 2 4 4 2 3" xfId="25528" xr:uid="{00000000-0005-0000-0000-00004A5F0000}"/>
    <cellStyle name="Currency 5 6 2 4 4 2 3 2" xfId="25529" xr:uid="{00000000-0005-0000-0000-00004B5F0000}"/>
    <cellStyle name="Currency 5 6 2 4 4 2 4" xfId="25530" xr:uid="{00000000-0005-0000-0000-00004C5F0000}"/>
    <cellStyle name="Currency 5 6 2 4 4 3" xfId="25531" xr:uid="{00000000-0005-0000-0000-00004D5F0000}"/>
    <cellStyle name="Currency 5 6 2 4 4 3 2" xfId="25532" xr:uid="{00000000-0005-0000-0000-00004E5F0000}"/>
    <cellStyle name="Currency 5 6 2 4 4 3 2 2" xfId="25533" xr:uid="{00000000-0005-0000-0000-00004F5F0000}"/>
    <cellStyle name="Currency 5 6 2 4 4 3 3" xfId="25534" xr:uid="{00000000-0005-0000-0000-0000505F0000}"/>
    <cellStyle name="Currency 5 6 2 4 4 4" xfId="25535" xr:uid="{00000000-0005-0000-0000-0000515F0000}"/>
    <cellStyle name="Currency 5 6 2 4 4 4 2" xfId="25536" xr:uid="{00000000-0005-0000-0000-0000525F0000}"/>
    <cellStyle name="Currency 5 6 2 4 4 5" xfId="25537" xr:uid="{00000000-0005-0000-0000-0000535F0000}"/>
    <cellStyle name="Currency 5 6 2 4 5" xfId="25538" xr:uid="{00000000-0005-0000-0000-0000545F0000}"/>
    <cellStyle name="Currency 5 6 2 4 5 2" xfId="25539" xr:uid="{00000000-0005-0000-0000-0000555F0000}"/>
    <cellStyle name="Currency 5 6 2 4 5 2 2" xfId="25540" xr:uid="{00000000-0005-0000-0000-0000565F0000}"/>
    <cellStyle name="Currency 5 6 2 4 5 2 2 2" xfId="25541" xr:uid="{00000000-0005-0000-0000-0000575F0000}"/>
    <cellStyle name="Currency 5 6 2 4 5 2 3" xfId="25542" xr:uid="{00000000-0005-0000-0000-0000585F0000}"/>
    <cellStyle name="Currency 5 6 2 4 5 3" xfId="25543" xr:uid="{00000000-0005-0000-0000-0000595F0000}"/>
    <cellStyle name="Currency 5 6 2 4 5 3 2" xfId="25544" xr:uid="{00000000-0005-0000-0000-00005A5F0000}"/>
    <cellStyle name="Currency 5 6 2 4 5 4" xfId="25545" xr:uid="{00000000-0005-0000-0000-00005B5F0000}"/>
    <cellStyle name="Currency 5 6 2 4 6" xfId="25546" xr:uid="{00000000-0005-0000-0000-00005C5F0000}"/>
    <cellStyle name="Currency 5 6 2 4 6 2" xfId="25547" xr:uid="{00000000-0005-0000-0000-00005D5F0000}"/>
    <cellStyle name="Currency 5 6 2 4 6 2 2" xfId="25548" xr:uid="{00000000-0005-0000-0000-00005E5F0000}"/>
    <cellStyle name="Currency 5 6 2 4 6 2 2 2" xfId="25549" xr:uid="{00000000-0005-0000-0000-00005F5F0000}"/>
    <cellStyle name="Currency 5 6 2 4 6 2 3" xfId="25550" xr:uid="{00000000-0005-0000-0000-0000605F0000}"/>
    <cellStyle name="Currency 5 6 2 4 6 3" xfId="25551" xr:uid="{00000000-0005-0000-0000-0000615F0000}"/>
    <cellStyle name="Currency 5 6 2 4 6 3 2" xfId="25552" xr:uid="{00000000-0005-0000-0000-0000625F0000}"/>
    <cellStyle name="Currency 5 6 2 4 6 4" xfId="25553" xr:uid="{00000000-0005-0000-0000-0000635F0000}"/>
    <cellStyle name="Currency 5 6 2 4 7" xfId="25554" xr:uid="{00000000-0005-0000-0000-0000645F0000}"/>
    <cellStyle name="Currency 5 6 2 4 7 2" xfId="25555" xr:uid="{00000000-0005-0000-0000-0000655F0000}"/>
    <cellStyle name="Currency 5 6 2 4 7 2 2" xfId="25556" xr:uid="{00000000-0005-0000-0000-0000665F0000}"/>
    <cellStyle name="Currency 5 6 2 4 7 2 2 2" xfId="25557" xr:uid="{00000000-0005-0000-0000-0000675F0000}"/>
    <cellStyle name="Currency 5 6 2 4 7 2 3" xfId="25558" xr:uid="{00000000-0005-0000-0000-0000685F0000}"/>
    <cellStyle name="Currency 5 6 2 4 7 3" xfId="25559" xr:uid="{00000000-0005-0000-0000-0000695F0000}"/>
    <cellStyle name="Currency 5 6 2 4 7 3 2" xfId="25560" xr:uid="{00000000-0005-0000-0000-00006A5F0000}"/>
    <cellStyle name="Currency 5 6 2 4 7 4" xfId="25561" xr:uid="{00000000-0005-0000-0000-00006B5F0000}"/>
    <cellStyle name="Currency 5 6 2 4 8" xfId="25562" xr:uid="{00000000-0005-0000-0000-00006C5F0000}"/>
    <cellStyle name="Currency 5 6 2 4 8 2" xfId="25563" xr:uid="{00000000-0005-0000-0000-00006D5F0000}"/>
    <cellStyle name="Currency 5 6 2 4 8 2 2" xfId="25564" xr:uid="{00000000-0005-0000-0000-00006E5F0000}"/>
    <cellStyle name="Currency 5 6 2 4 8 3" xfId="25565" xr:uid="{00000000-0005-0000-0000-00006F5F0000}"/>
    <cellStyle name="Currency 5 6 2 4 9" xfId="25566" xr:uid="{00000000-0005-0000-0000-0000705F0000}"/>
    <cellStyle name="Currency 5 6 2 4 9 2" xfId="25567" xr:uid="{00000000-0005-0000-0000-0000715F0000}"/>
    <cellStyle name="Currency 5 6 2 5" xfId="1370" xr:uid="{00000000-0005-0000-0000-0000725F0000}"/>
    <cellStyle name="Currency 5 6 2 5 2" xfId="25569" xr:uid="{00000000-0005-0000-0000-0000735F0000}"/>
    <cellStyle name="Currency 5 6 2 5 2 2" xfId="25570" xr:uid="{00000000-0005-0000-0000-0000745F0000}"/>
    <cellStyle name="Currency 5 6 2 5 2 2 2" xfId="25571" xr:uid="{00000000-0005-0000-0000-0000755F0000}"/>
    <cellStyle name="Currency 5 6 2 5 2 2 2 2" xfId="25572" xr:uid="{00000000-0005-0000-0000-0000765F0000}"/>
    <cellStyle name="Currency 5 6 2 5 2 2 3" xfId="25573" xr:uid="{00000000-0005-0000-0000-0000775F0000}"/>
    <cellStyle name="Currency 5 6 2 5 2 3" xfId="25574" xr:uid="{00000000-0005-0000-0000-0000785F0000}"/>
    <cellStyle name="Currency 5 6 2 5 2 3 2" xfId="25575" xr:uid="{00000000-0005-0000-0000-0000795F0000}"/>
    <cellStyle name="Currency 5 6 2 5 2 4" xfId="25576" xr:uid="{00000000-0005-0000-0000-00007A5F0000}"/>
    <cellStyle name="Currency 5 6 2 5 3" xfId="25577" xr:uid="{00000000-0005-0000-0000-00007B5F0000}"/>
    <cellStyle name="Currency 5 6 2 5 3 2" xfId="25578" xr:uid="{00000000-0005-0000-0000-00007C5F0000}"/>
    <cellStyle name="Currency 5 6 2 5 3 2 2" xfId="25579" xr:uid="{00000000-0005-0000-0000-00007D5F0000}"/>
    <cellStyle name="Currency 5 6 2 5 3 2 2 2" xfId="25580" xr:uid="{00000000-0005-0000-0000-00007E5F0000}"/>
    <cellStyle name="Currency 5 6 2 5 3 2 3" xfId="25581" xr:uid="{00000000-0005-0000-0000-00007F5F0000}"/>
    <cellStyle name="Currency 5 6 2 5 3 3" xfId="25582" xr:uid="{00000000-0005-0000-0000-0000805F0000}"/>
    <cellStyle name="Currency 5 6 2 5 3 3 2" xfId="25583" xr:uid="{00000000-0005-0000-0000-0000815F0000}"/>
    <cellStyle name="Currency 5 6 2 5 3 4" xfId="25584" xr:uid="{00000000-0005-0000-0000-0000825F0000}"/>
    <cellStyle name="Currency 5 6 2 5 4" xfId="25585" xr:uid="{00000000-0005-0000-0000-0000835F0000}"/>
    <cellStyle name="Currency 5 6 2 5 4 2" xfId="25586" xr:uid="{00000000-0005-0000-0000-0000845F0000}"/>
    <cellStyle name="Currency 5 6 2 5 4 2 2" xfId="25587" xr:uid="{00000000-0005-0000-0000-0000855F0000}"/>
    <cellStyle name="Currency 5 6 2 5 4 3" xfId="25588" xr:uid="{00000000-0005-0000-0000-0000865F0000}"/>
    <cellStyle name="Currency 5 6 2 5 5" xfId="25589" xr:uid="{00000000-0005-0000-0000-0000875F0000}"/>
    <cellStyle name="Currency 5 6 2 5 5 2" xfId="25590" xr:uid="{00000000-0005-0000-0000-0000885F0000}"/>
    <cellStyle name="Currency 5 6 2 5 6" xfId="25591" xr:uid="{00000000-0005-0000-0000-0000895F0000}"/>
    <cellStyle name="Currency 5 6 2 5 7" xfId="25568" xr:uid="{00000000-0005-0000-0000-00008A5F0000}"/>
    <cellStyle name="Currency 5 6 2 6" xfId="25592" xr:uid="{00000000-0005-0000-0000-00008B5F0000}"/>
    <cellStyle name="Currency 5 6 2 6 2" xfId="25593" xr:uid="{00000000-0005-0000-0000-00008C5F0000}"/>
    <cellStyle name="Currency 5 6 2 6 2 2" xfId="25594" xr:uid="{00000000-0005-0000-0000-00008D5F0000}"/>
    <cellStyle name="Currency 5 6 2 6 2 2 2" xfId="25595" xr:uid="{00000000-0005-0000-0000-00008E5F0000}"/>
    <cellStyle name="Currency 5 6 2 6 2 2 2 2" xfId="25596" xr:uid="{00000000-0005-0000-0000-00008F5F0000}"/>
    <cellStyle name="Currency 5 6 2 6 2 2 3" xfId="25597" xr:uid="{00000000-0005-0000-0000-0000905F0000}"/>
    <cellStyle name="Currency 5 6 2 6 2 3" xfId="25598" xr:uid="{00000000-0005-0000-0000-0000915F0000}"/>
    <cellStyle name="Currency 5 6 2 6 2 3 2" xfId="25599" xr:uid="{00000000-0005-0000-0000-0000925F0000}"/>
    <cellStyle name="Currency 5 6 2 6 2 4" xfId="25600" xr:uid="{00000000-0005-0000-0000-0000935F0000}"/>
    <cellStyle name="Currency 5 6 2 6 3" xfId="25601" xr:uid="{00000000-0005-0000-0000-0000945F0000}"/>
    <cellStyle name="Currency 5 6 2 6 3 2" xfId="25602" xr:uid="{00000000-0005-0000-0000-0000955F0000}"/>
    <cellStyle name="Currency 5 6 2 6 3 2 2" xfId="25603" xr:uid="{00000000-0005-0000-0000-0000965F0000}"/>
    <cellStyle name="Currency 5 6 2 6 3 3" xfId="25604" xr:uid="{00000000-0005-0000-0000-0000975F0000}"/>
    <cellStyle name="Currency 5 6 2 6 4" xfId="25605" xr:uid="{00000000-0005-0000-0000-0000985F0000}"/>
    <cellStyle name="Currency 5 6 2 6 4 2" xfId="25606" xr:uid="{00000000-0005-0000-0000-0000995F0000}"/>
    <cellStyle name="Currency 5 6 2 6 5" xfId="25607" xr:uid="{00000000-0005-0000-0000-00009A5F0000}"/>
    <cellStyle name="Currency 5 6 2 7" xfId="25608" xr:uid="{00000000-0005-0000-0000-00009B5F0000}"/>
    <cellStyle name="Currency 5 6 2 7 2" xfId="25609" xr:uid="{00000000-0005-0000-0000-00009C5F0000}"/>
    <cellStyle name="Currency 5 6 2 7 2 2" xfId="25610" xr:uid="{00000000-0005-0000-0000-00009D5F0000}"/>
    <cellStyle name="Currency 5 6 2 7 2 2 2" xfId="25611" xr:uid="{00000000-0005-0000-0000-00009E5F0000}"/>
    <cellStyle name="Currency 5 6 2 7 2 2 2 2" xfId="25612" xr:uid="{00000000-0005-0000-0000-00009F5F0000}"/>
    <cellStyle name="Currency 5 6 2 7 2 2 3" xfId="25613" xr:uid="{00000000-0005-0000-0000-0000A05F0000}"/>
    <cellStyle name="Currency 5 6 2 7 2 3" xfId="25614" xr:uid="{00000000-0005-0000-0000-0000A15F0000}"/>
    <cellStyle name="Currency 5 6 2 7 2 3 2" xfId="25615" xr:uid="{00000000-0005-0000-0000-0000A25F0000}"/>
    <cellStyle name="Currency 5 6 2 7 2 4" xfId="25616" xr:uid="{00000000-0005-0000-0000-0000A35F0000}"/>
    <cellStyle name="Currency 5 6 2 7 3" xfId="25617" xr:uid="{00000000-0005-0000-0000-0000A45F0000}"/>
    <cellStyle name="Currency 5 6 2 7 3 2" xfId="25618" xr:uid="{00000000-0005-0000-0000-0000A55F0000}"/>
    <cellStyle name="Currency 5 6 2 7 3 2 2" xfId="25619" xr:uid="{00000000-0005-0000-0000-0000A65F0000}"/>
    <cellStyle name="Currency 5 6 2 7 3 3" xfId="25620" xr:uid="{00000000-0005-0000-0000-0000A75F0000}"/>
    <cellStyle name="Currency 5 6 2 7 4" xfId="25621" xr:uid="{00000000-0005-0000-0000-0000A85F0000}"/>
    <cellStyle name="Currency 5 6 2 7 4 2" xfId="25622" xr:uid="{00000000-0005-0000-0000-0000A95F0000}"/>
    <cellStyle name="Currency 5 6 2 7 5" xfId="25623" xr:uid="{00000000-0005-0000-0000-0000AA5F0000}"/>
    <cellStyle name="Currency 5 6 2 8" xfId="25624" xr:uid="{00000000-0005-0000-0000-0000AB5F0000}"/>
    <cellStyle name="Currency 5 6 2 8 2" xfId="25625" xr:uid="{00000000-0005-0000-0000-0000AC5F0000}"/>
    <cellStyle name="Currency 5 6 2 8 2 2" xfId="25626" xr:uid="{00000000-0005-0000-0000-0000AD5F0000}"/>
    <cellStyle name="Currency 5 6 2 8 2 2 2" xfId="25627" xr:uid="{00000000-0005-0000-0000-0000AE5F0000}"/>
    <cellStyle name="Currency 5 6 2 8 2 3" xfId="25628" xr:uid="{00000000-0005-0000-0000-0000AF5F0000}"/>
    <cellStyle name="Currency 5 6 2 8 3" xfId="25629" xr:uid="{00000000-0005-0000-0000-0000B05F0000}"/>
    <cellStyle name="Currency 5 6 2 8 3 2" xfId="25630" xr:uid="{00000000-0005-0000-0000-0000B15F0000}"/>
    <cellStyle name="Currency 5 6 2 8 4" xfId="25631" xr:uid="{00000000-0005-0000-0000-0000B25F0000}"/>
    <cellStyle name="Currency 5 6 2 9" xfId="25632" xr:uid="{00000000-0005-0000-0000-0000B35F0000}"/>
    <cellStyle name="Currency 5 6 2 9 2" xfId="25633" xr:uid="{00000000-0005-0000-0000-0000B45F0000}"/>
    <cellStyle name="Currency 5 6 2 9 2 2" xfId="25634" xr:uid="{00000000-0005-0000-0000-0000B55F0000}"/>
    <cellStyle name="Currency 5 6 2 9 2 2 2" xfId="25635" xr:uid="{00000000-0005-0000-0000-0000B65F0000}"/>
    <cellStyle name="Currency 5 6 2 9 2 3" xfId="25636" xr:uid="{00000000-0005-0000-0000-0000B75F0000}"/>
    <cellStyle name="Currency 5 6 2 9 3" xfId="25637" xr:uid="{00000000-0005-0000-0000-0000B85F0000}"/>
    <cellStyle name="Currency 5 6 2 9 3 2" xfId="25638" xr:uid="{00000000-0005-0000-0000-0000B95F0000}"/>
    <cellStyle name="Currency 5 6 2 9 4" xfId="25639" xr:uid="{00000000-0005-0000-0000-0000BA5F0000}"/>
    <cellStyle name="Currency 5 6 3" xfId="426" xr:uid="{00000000-0005-0000-0000-0000BB5F0000}"/>
    <cellStyle name="Currency 5 6 3 10" xfId="25641" xr:uid="{00000000-0005-0000-0000-0000BC5F0000}"/>
    <cellStyle name="Currency 5 6 3 10 2" xfId="25642" xr:uid="{00000000-0005-0000-0000-0000BD5F0000}"/>
    <cellStyle name="Currency 5 6 3 10 2 2" xfId="25643" xr:uid="{00000000-0005-0000-0000-0000BE5F0000}"/>
    <cellStyle name="Currency 5 6 3 10 3" xfId="25644" xr:uid="{00000000-0005-0000-0000-0000BF5F0000}"/>
    <cellStyle name="Currency 5 6 3 11" xfId="25645" xr:uid="{00000000-0005-0000-0000-0000C05F0000}"/>
    <cellStyle name="Currency 5 6 3 11 2" xfId="25646" xr:uid="{00000000-0005-0000-0000-0000C15F0000}"/>
    <cellStyle name="Currency 5 6 3 11 2 2" xfId="25647" xr:uid="{00000000-0005-0000-0000-0000C25F0000}"/>
    <cellStyle name="Currency 5 6 3 11 3" xfId="25648" xr:uid="{00000000-0005-0000-0000-0000C35F0000}"/>
    <cellStyle name="Currency 5 6 3 12" xfId="25649" xr:uid="{00000000-0005-0000-0000-0000C45F0000}"/>
    <cellStyle name="Currency 5 6 3 12 2" xfId="25650" xr:uid="{00000000-0005-0000-0000-0000C55F0000}"/>
    <cellStyle name="Currency 5 6 3 13" xfId="25651" xr:uid="{00000000-0005-0000-0000-0000C65F0000}"/>
    <cellStyle name="Currency 5 6 3 14" xfId="25652" xr:uid="{00000000-0005-0000-0000-0000C75F0000}"/>
    <cellStyle name="Currency 5 6 3 15" xfId="25640" xr:uid="{00000000-0005-0000-0000-0000C85F0000}"/>
    <cellStyle name="Currency 5 6 3 2" xfId="956" xr:uid="{00000000-0005-0000-0000-0000C95F0000}"/>
    <cellStyle name="Currency 5 6 3 2 10" xfId="25654" xr:uid="{00000000-0005-0000-0000-0000CA5F0000}"/>
    <cellStyle name="Currency 5 6 3 2 11" xfId="25653" xr:uid="{00000000-0005-0000-0000-0000CB5F0000}"/>
    <cellStyle name="Currency 5 6 3 2 2" xfId="1697" xr:uid="{00000000-0005-0000-0000-0000CC5F0000}"/>
    <cellStyle name="Currency 5 6 3 2 2 2" xfId="25656" xr:uid="{00000000-0005-0000-0000-0000CD5F0000}"/>
    <cellStyle name="Currency 5 6 3 2 2 2 2" xfId="25657" xr:uid="{00000000-0005-0000-0000-0000CE5F0000}"/>
    <cellStyle name="Currency 5 6 3 2 2 2 2 2" xfId="25658" xr:uid="{00000000-0005-0000-0000-0000CF5F0000}"/>
    <cellStyle name="Currency 5 6 3 2 2 2 2 2 2" xfId="25659" xr:uid="{00000000-0005-0000-0000-0000D05F0000}"/>
    <cellStyle name="Currency 5 6 3 2 2 2 2 3" xfId="25660" xr:uid="{00000000-0005-0000-0000-0000D15F0000}"/>
    <cellStyle name="Currency 5 6 3 2 2 2 3" xfId="25661" xr:uid="{00000000-0005-0000-0000-0000D25F0000}"/>
    <cellStyle name="Currency 5 6 3 2 2 2 3 2" xfId="25662" xr:uid="{00000000-0005-0000-0000-0000D35F0000}"/>
    <cellStyle name="Currency 5 6 3 2 2 2 4" xfId="25663" xr:uid="{00000000-0005-0000-0000-0000D45F0000}"/>
    <cellStyle name="Currency 5 6 3 2 2 3" xfId="25664" xr:uid="{00000000-0005-0000-0000-0000D55F0000}"/>
    <cellStyle name="Currency 5 6 3 2 2 3 2" xfId="25665" xr:uid="{00000000-0005-0000-0000-0000D65F0000}"/>
    <cellStyle name="Currency 5 6 3 2 2 3 2 2" xfId="25666" xr:uid="{00000000-0005-0000-0000-0000D75F0000}"/>
    <cellStyle name="Currency 5 6 3 2 2 3 2 2 2" xfId="25667" xr:uid="{00000000-0005-0000-0000-0000D85F0000}"/>
    <cellStyle name="Currency 5 6 3 2 2 3 2 3" xfId="25668" xr:uid="{00000000-0005-0000-0000-0000D95F0000}"/>
    <cellStyle name="Currency 5 6 3 2 2 3 3" xfId="25669" xr:uid="{00000000-0005-0000-0000-0000DA5F0000}"/>
    <cellStyle name="Currency 5 6 3 2 2 3 3 2" xfId="25670" xr:uid="{00000000-0005-0000-0000-0000DB5F0000}"/>
    <cellStyle name="Currency 5 6 3 2 2 3 4" xfId="25671" xr:uid="{00000000-0005-0000-0000-0000DC5F0000}"/>
    <cellStyle name="Currency 5 6 3 2 2 4" xfId="25672" xr:uid="{00000000-0005-0000-0000-0000DD5F0000}"/>
    <cellStyle name="Currency 5 6 3 2 2 4 2" xfId="25673" xr:uid="{00000000-0005-0000-0000-0000DE5F0000}"/>
    <cellStyle name="Currency 5 6 3 2 2 4 2 2" xfId="25674" xr:uid="{00000000-0005-0000-0000-0000DF5F0000}"/>
    <cellStyle name="Currency 5 6 3 2 2 4 3" xfId="25675" xr:uid="{00000000-0005-0000-0000-0000E05F0000}"/>
    <cellStyle name="Currency 5 6 3 2 2 5" xfId="25676" xr:uid="{00000000-0005-0000-0000-0000E15F0000}"/>
    <cellStyle name="Currency 5 6 3 2 2 5 2" xfId="25677" xr:uid="{00000000-0005-0000-0000-0000E25F0000}"/>
    <cellStyle name="Currency 5 6 3 2 2 6" xfId="25678" xr:uid="{00000000-0005-0000-0000-0000E35F0000}"/>
    <cellStyle name="Currency 5 6 3 2 2 7" xfId="25655" xr:uid="{00000000-0005-0000-0000-0000E45F0000}"/>
    <cellStyle name="Currency 5 6 3 2 3" xfId="25679" xr:uid="{00000000-0005-0000-0000-0000E55F0000}"/>
    <cellStyle name="Currency 5 6 3 2 3 2" xfId="25680" xr:uid="{00000000-0005-0000-0000-0000E65F0000}"/>
    <cellStyle name="Currency 5 6 3 2 3 2 2" xfId="25681" xr:uid="{00000000-0005-0000-0000-0000E75F0000}"/>
    <cellStyle name="Currency 5 6 3 2 3 2 2 2" xfId="25682" xr:uid="{00000000-0005-0000-0000-0000E85F0000}"/>
    <cellStyle name="Currency 5 6 3 2 3 2 2 2 2" xfId="25683" xr:uid="{00000000-0005-0000-0000-0000E95F0000}"/>
    <cellStyle name="Currency 5 6 3 2 3 2 2 3" xfId="25684" xr:uid="{00000000-0005-0000-0000-0000EA5F0000}"/>
    <cellStyle name="Currency 5 6 3 2 3 2 3" xfId="25685" xr:uid="{00000000-0005-0000-0000-0000EB5F0000}"/>
    <cellStyle name="Currency 5 6 3 2 3 2 3 2" xfId="25686" xr:uid="{00000000-0005-0000-0000-0000EC5F0000}"/>
    <cellStyle name="Currency 5 6 3 2 3 2 4" xfId="25687" xr:uid="{00000000-0005-0000-0000-0000ED5F0000}"/>
    <cellStyle name="Currency 5 6 3 2 3 3" xfId="25688" xr:uid="{00000000-0005-0000-0000-0000EE5F0000}"/>
    <cellStyle name="Currency 5 6 3 2 3 3 2" xfId="25689" xr:uid="{00000000-0005-0000-0000-0000EF5F0000}"/>
    <cellStyle name="Currency 5 6 3 2 3 3 2 2" xfId="25690" xr:uid="{00000000-0005-0000-0000-0000F05F0000}"/>
    <cellStyle name="Currency 5 6 3 2 3 3 3" xfId="25691" xr:uid="{00000000-0005-0000-0000-0000F15F0000}"/>
    <cellStyle name="Currency 5 6 3 2 3 4" xfId="25692" xr:uid="{00000000-0005-0000-0000-0000F25F0000}"/>
    <cellStyle name="Currency 5 6 3 2 3 4 2" xfId="25693" xr:uid="{00000000-0005-0000-0000-0000F35F0000}"/>
    <cellStyle name="Currency 5 6 3 2 3 5" xfId="25694" xr:uid="{00000000-0005-0000-0000-0000F45F0000}"/>
    <cellStyle name="Currency 5 6 3 2 4" xfId="25695" xr:uid="{00000000-0005-0000-0000-0000F55F0000}"/>
    <cellStyle name="Currency 5 6 3 2 4 2" xfId="25696" xr:uid="{00000000-0005-0000-0000-0000F65F0000}"/>
    <cellStyle name="Currency 5 6 3 2 4 2 2" xfId="25697" xr:uid="{00000000-0005-0000-0000-0000F75F0000}"/>
    <cellStyle name="Currency 5 6 3 2 4 2 2 2" xfId="25698" xr:uid="{00000000-0005-0000-0000-0000F85F0000}"/>
    <cellStyle name="Currency 5 6 3 2 4 2 2 2 2" xfId="25699" xr:uid="{00000000-0005-0000-0000-0000F95F0000}"/>
    <cellStyle name="Currency 5 6 3 2 4 2 2 3" xfId="25700" xr:uid="{00000000-0005-0000-0000-0000FA5F0000}"/>
    <cellStyle name="Currency 5 6 3 2 4 2 3" xfId="25701" xr:uid="{00000000-0005-0000-0000-0000FB5F0000}"/>
    <cellStyle name="Currency 5 6 3 2 4 2 3 2" xfId="25702" xr:uid="{00000000-0005-0000-0000-0000FC5F0000}"/>
    <cellStyle name="Currency 5 6 3 2 4 2 4" xfId="25703" xr:uid="{00000000-0005-0000-0000-0000FD5F0000}"/>
    <cellStyle name="Currency 5 6 3 2 4 3" xfId="25704" xr:uid="{00000000-0005-0000-0000-0000FE5F0000}"/>
    <cellStyle name="Currency 5 6 3 2 4 3 2" xfId="25705" xr:uid="{00000000-0005-0000-0000-0000FF5F0000}"/>
    <cellStyle name="Currency 5 6 3 2 4 3 2 2" xfId="25706" xr:uid="{00000000-0005-0000-0000-000000600000}"/>
    <cellStyle name="Currency 5 6 3 2 4 3 3" xfId="25707" xr:uid="{00000000-0005-0000-0000-000001600000}"/>
    <cellStyle name="Currency 5 6 3 2 4 4" xfId="25708" xr:uid="{00000000-0005-0000-0000-000002600000}"/>
    <cellStyle name="Currency 5 6 3 2 4 4 2" xfId="25709" xr:uid="{00000000-0005-0000-0000-000003600000}"/>
    <cellStyle name="Currency 5 6 3 2 4 5" xfId="25710" xr:uid="{00000000-0005-0000-0000-000004600000}"/>
    <cellStyle name="Currency 5 6 3 2 5" xfId="25711" xr:uid="{00000000-0005-0000-0000-000005600000}"/>
    <cellStyle name="Currency 5 6 3 2 5 2" xfId="25712" xr:uid="{00000000-0005-0000-0000-000006600000}"/>
    <cellStyle name="Currency 5 6 3 2 5 2 2" xfId="25713" xr:uid="{00000000-0005-0000-0000-000007600000}"/>
    <cellStyle name="Currency 5 6 3 2 5 2 2 2" xfId="25714" xr:uid="{00000000-0005-0000-0000-000008600000}"/>
    <cellStyle name="Currency 5 6 3 2 5 2 3" xfId="25715" xr:uid="{00000000-0005-0000-0000-000009600000}"/>
    <cellStyle name="Currency 5 6 3 2 5 3" xfId="25716" xr:uid="{00000000-0005-0000-0000-00000A600000}"/>
    <cellStyle name="Currency 5 6 3 2 5 3 2" xfId="25717" xr:uid="{00000000-0005-0000-0000-00000B600000}"/>
    <cellStyle name="Currency 5 6 3 2 5 4" xfId="25718" xr:uid="{00000000-0005-0000-0000-00000C600000}"/>
    <cellStyle name="Currency 5 6 3 2 6" xfId="25719" xr:uid="{00000000-0005-0000-0000-00000D600000}"/>
    <cellStyle name="Currency 5 6 3 2 6 2" xfId="25720" xr:uid="{00000000-0005-0000-0000-00000E600000}"/>
    <cellStyle name="Currency 5 6 3 2 6 2 2" xfId="25721" xr:uid="{00000000-0005-0000-0000-00000F600000}"/>
    <cellStyle name="Currency 5 6 3 2 6 2 2 2" xfId="25722" xr:uid="{00000000-0005-0000-0000-000010600000}"/>
    <cellStyle name="Currency 5 6 3 2 6 2 3" xfId="25723" xr:uid="{00000000-0005-0000-0000-000011600000}"/>
    <cellStyle name="Currency 5 6 3 2 6 3" xfId="25724" xr:uid="{00000000-0005-0000-0000-000012600000}"/>
    <cellStyle name="Currency 5 6 3 2 6 3 2" xfId="25725" xr:uid="{00000000-0005-0000-0000-000013600000}"/>
    <cellStyle name="Currency 5 6 3 2 6 4" xfId="25726" xr:uid="{00000000-0005-0000-0000-000014600000}"/>
    <cellStyle name="Currency 5 6 3 2 7" xfId="25727" xr:uid="{00000000-0005-0000-0000-000015600000}"/>
    <cellStyle name="Currency 5 6 3 2 7 2" xfId="25728" xr:uid="{00000000-0005-0000-0000-000016600000}"/>
    <cellStyle name="Currency 5 6 3 2 7 2 2" xfId="25729" xr:uid="{00000000-0005-0000-0000-000017600000}"/>
    <cellStyle name="Currency 5 6 3 2 7 2 2 2" xfId="25730" xr:uid="{00000000-0005-0000-0000-000018600000}"/>
    <cellStyle name="Currency 5 6 3 2 7 2 3" xfId="25731" xr:uid="{00000000-0005-0000-0000-000019600000}"/>
    <cellStyle name="Currency 5 6 3 2 7 3" xfId="25732" xr:uid="{00000000-0005-0000-0000-00001A600000}"/>
    <cellStyle name="Currency 5 6 3 2 7 3 2" xfId="25733" xr:uid="{00000000-0005-0000-0000-00001B600000}"/>
    <cellStyle name="Currency 5 6 3 2 7 4" xfId="25734" xr:uid="{00000000-0005-0000-0000-00001C600000}"/>
    <cellStyle name="Currency 5 6 3 2 8" xfId="25735" xr:uid="{00000000-0005-0000-0000-00001D600000}"/>
    <cellStyle name="Currency 5 6 3 2 8 2" xfId="25736" xr:uid="{00000000-0005-0000-0000-00001E600000}"/>
    <cellStyle name="Currency 5 6 3 2 8 2 2" xfId="25737" xr:uid="{00000000-0005-0000-0000-00001F600000}"/>
    <cellStyle name="Currency 5 6 3 2 8 3" xfId="25738" xr:uid="{00000000-0005-0000-0000-000020600000}"/>
    <cellStyle name="Currency 5 6 3 2 9" xfId="25739" xr:uid="{00000000-0005-0000-0000-000021600000}"/>
    <cellStyle name="Currency 5 6 3 2 9 2" xfId="25740" xr:uid="{00000000-0005-0000-0000-000022600000}"/>
    <cellStyle name="Currency 5 6 3 3" xfId="1372" xr:uid="{00000000-0005-0000-0000-000023600000}"/>
    <cellStyle name="Currency 5 6 3 3 2" xfId="25742" xr:uid="{00000000-0005-0000-0000-000024600000}"/>
    <cellStyle name="Currency 5 6 3 3 2 2" xfId="25743" xr:uid="{00000000-0005-0000-0000-000025600000}"/>
    <cellStyle name="Currency 5 6 3 3 2 2 2" xfId="25744" xr:uid="{00000000-0005-0000-0000-000026600000}"/>
    <cellStyle name="Currency 5 6 3 3 2 2 2 2" xfId="25745" xr:uid="{00000000-0005-0000-0000-000027600000}"/>
    <cellStyle name="Currency 5 6 3 3 2 2 3" xfId="25746" xr:uid="{00000000-0005-0000-0000-000028600000}"/>
    <cellStyle name="Currency 5 6 3 3 2 3" xfId="25747" xr:uid="{00000000-0005-0000-0000-000029600000}"/>
    <cellStyle name="Currency 5 6 3 3 2 3 2" xfId="25748" xr:uid="{00000000-0005-0000-0000-00002A600000}"/>
    <cellStyle name="Currency 5 6 3 3 2 4" xfId="25749" xr:uid="{00000000-0005-0000-0000-00002B600000}"/>
    <cellStyle name="Currency 5 6 3 3 3" xfId="25750" xr:uid="{00000000-0005-0000-0000-00002C600000}"/>
    <cellStyle name="Currency 5 6 3 3 3 2" xfId="25751" xr:uid="{00000000-0005-0000-0000-00002D600000}"/>
    <cellStyle name="Currency 5 6 3 3 3 2 2" xfId="25752" xr:uid="{00000000-0005-0000-0000-00002E600000}"/>
    <cellStyle name="Currency 5 6 3 3 3 2 2 2" xfId="25753" xr:uid="{00000000-0005-0000-0000-00002F600000}"/>
    <cellStyle name="Currency 5 6 3 3 3 2 3" xfId="25754" xr:uid="{00000000-0005-0000-0000-000030600000}"/>
    <cellStyle name="Currency 5 6 3 3 3 3" xfId="25755" xr:uid="{00000000-0005-0000-0000-000031600000}"/>
    <cellStyle name="Currency 5 6 3 3 3 3 2" xfId="25756" xr:uid="{00000000-0005-0000-0000-000032600000}"/>
    <cellStyle name="Currency 5 6 3 3 3 4" xfId="25757" xr:uid="{00000000-0005-0000-0000-000033600000}"/>
    <cellStyle name="Currency 5 6 3 3 4" xfId="25758" xr:uid="{00000000-0005-0000-0000-000034600000}"/>
    <cellStyle name="Currency 5 6 3 3 4 2" xfId="25759" xr:uid="{00000000-0005-0000-0000-000035600000}"/>
    <cellStyle name="Currency 5 6 3 3 4 2 2" xfId="25760" xr:uid="{00000000-0005-0000-0000-000036600000}"/>
    <cellStyle name="Currency 5 6 3 3 4 3" xfId="25761" xr:uid="{00000000-0005-0000-0000-000037600000}"/>
    <cellStyle name="Currency 5 6 3 3 5" xfId="25762" xr:uid="{00000000-0005-0000-0000-000038600000}"/>
    <cellStyle name="Currency 5 6 3 3 5 2" xfId="25763" xr:uid="{00000000-0005-0000-0000-000039600000}"/>
    <cellStyle name="Currency 5 6 3 3 6" xfId="25764" xr:uid="{00000000-0005-0000-0000-00003A600000}"/>
    <cellStyle name="Currency 5 6 3 3 7" xfId="25741" xr:uid="{00000000-0005-0000-0000-00003B600000}"/>
    <cellStyle name="Currency 5 6 3 4" xfId="25765" xr:uid="{00000000-0005-0000-0000-00003C600000}"/>
    <cellStyle name="Currency 5 6 3 4 2" xfId="25766" xr:uid="{00000000-0005-0000-0000-00003D600000}"/>
    <cellStyle name="Currency 5 6 3 4 2 2" xfId="25767" xr:uid="{00000000-0005-0000-0000-00003E600000}"/>
    <cellStyle name="Currency 5 6 3 4 2 2 2" xfId="25768" xr:uid="{00000000-0005-0000-0000-00003F600000}"/>
    <cellStyle name="Currency 5 6 3 4 2 2 2 2" xfId="25769" xr:uid="{00000000-0005-0000-0000-000040600000}"/>
    <cellStyle name="Currency 5 6 3 4 2 2 3" xfId="25770" xr:uid="{00000000-0005-0000-0000-000041600000}"/>
    <cellStyle name="Currency 5 6 3 4 2 3" xfId="25771" xr:uid="{00000000-0005-0000-0000-000042600000}"/>
    <cellStyle name="Currency 5 6 3 4 2 3 2" xfId="25772" xr:uid="{00000000-0005-0000-0000-000043600000}"/>
    <cellStyle name="Currency 5 6 3 4 2 4" xfId="25773" xr:uid="{00000000-0005-0000-0000-000044600000}"/>
    <cellStyle name="Currency 5 6 3 4 3" xfId="25774" xr:uid="{00000000-0005-0000-0000-000045600000}"/>
    <cellStyle name="Currency 5 6 3 4 3 2" xfId="25775" xr:uid="{00000000-0005-0000-0000-000046600000}"/>
    <cellStyle name="Currency 5 6 3 4 3 2 2" xfId="25776" xr:uid="{00000000-0005-0000-0000-000047600000}"/>
    <cellStyle name="Currency 5 6 3 4 3 3" xfId="25777" xr:uid="{00000000-0005-0000-0000-000048600000}"/>
    <cellStyle name="Currency 5 6 3 4 4" xfId="25778" xr:uid="{00000000-0005-0000-0000-000049600000}"/>
    <cellStyle name="Currency 5 6 3 4 4 2" xfId="25779" xr:uid="{00000000-0005-0000-0000-00004A600000}"/>
    <cellStyle name="Currency 5 6 3 4 5" xfId="25780" xr:uid="{00000000-0005-0000-0000-00004B600000}"/>
    <cellStyle name="Currency 5 6 3 5" xfId="25781" xr:uid="{00000000-0005-0000-0000-00004C600000}"/>
    <cellStyle name="Currency 5 6 3 5 2" xfId="25782" xr:uid="{00000000-0005-0000-0000-00004D600000}"/>
    <cellStyle name="Currency 5 6 3 5 2 2" xfId="25783" xr:uid="{00000000-0005-0000-0000-00004E600000}"/>
    <cellStyle name="Currency 5 6 3 5 2 2 2" xfId="25784" xr:uid="{00000000-0005-0000-0000-00004F600000}"/>
    <cellStyle name="Currency 5 6 3 5 2 2 2 2" xfId="25785" xr:uid="{00000000-0005-0000-0000-000050600000}"/>
    <cellStyle name="Currency 5 6 3 5 2 2 3" xfId="25786" xr:uid="{00000000-0005-0000-0000-000051600000}"/>
    <cellStyle name="Currency 5 6 3 5 2 3" xfId="25787" xr:uid="{00000000-0005-0000-0000-000052600000}"/>
    <cellStyle name="Currency 5 6 3 5 2 3 2" xfId="25788" xr:uid="{00000000-0005-0000-0000-000053600000}"/>
    <cellStyle name="Currency 5 6 3 5 2 4" xfId="25789" xr:uid="{00000000-0005-0000-0000-000054600000}"/>
    <cellStyle name="Currency 5 6 3 5 3" xfId="25790" xr:uid="{00000000-0005-0000-0000-000055600000}"/>
    <cellStyle name="Currency 5 6 3 5 3 2" xfId="25791" xr:uid="{00000000-0005-0000-0000-000056600000}"/>
    <cellStyle name="Currency 5 6 3 5 3 2 2" xfId="25792" xr:uid="{00000000-0005-0000-0000-000057600000}"/>
    <cellStyle name="Currency 5 6 3 5 3 3" xfId="25793" xr:uid="{00000000-0005-0000-0000-000058600000}"/>
    <cellStyle name="Currency 5 6 3 5 4" xfId="25794" xr:uid="{00000000-0005-0000-0000-000059600000}"/>
    <cellStyle name="Currency 5 6 3 5 4 2" xfId="25795" xr:uid="{00000000-0005-0000-0000-00005A600000}"/>
    <cellStyle name="Currency 5 6 3 5 5" xfId="25796" xr:uid="{00000000-0005-0000-0000-00005B600000}"/>
    <cellStyle name="Currency 5 6 3 6" xfId="25797" xr:uid="{00000000-0005-0000-0000-00005C600000}"/>
    <cellStyle name="Currency 5 6 3 6 2" xfId="25798" xr:uid="{00000000-0005-0000-0000-00005D600000}"/>
    <cellStyle name="Currency 5 6 3 6 2 2" xfId="25799" xr:uid="{00000000-0005-0000-0000-00005E600000}"/>
    <cellStyle name="Currency 5 6 3 6 2 2 2" xfId="25800" xr:uid="{00000000-0005-0000-0000-00005F600000}"/>
    <cellStyle name="Currency 5 6 3 6 2 3" xfId="25801" xr:uid="{00000000-0005-0000-0000-000060600000}"/>
    <cellStyle name="Currency 5 6 3 6 3" xfId="25802" xr:uid="{00000000-0005-0000-0000-000061600000}"/>
    <cellStyle name="Currency 5 6 3 6 3 2" xfId="25803" xr:uid="{00000000-0005-0000-0000-000062600000}"/>
    <cellStyle name="Currency 5 6 3 6 4" xfId="25804" xr:uid="{00000000-0005-0000-0000-000063600000}"/>
    <cellStyle name="Currency 5 6 3 7" xfId="25805" xr:uid="{00000000-0005-0000-0000-000064600000}"/>
    <cellStyle name="Currency 5 6 3 7 2" xfId="25806" xr:uid="{00000000-0005-0000-0000-000065600000}"/>
    <cellStyle name="Currency 5 6 3 7 2 2" xfId="25807" xr:uid="{00000000-0005-0000-0000-000066600000}"/>
    <cellStyle name="Currency 5 6 3 7 2 2 2" xfId="25808" xr:uid="{00000000-0005-0000-0000-000067600000}"/>
    <cellStyle name="Currency 5 6 3 7 2 3" xfId="25809" xr:uid="{00000000-0005-0000-0000-000068600000}"/>
    <cellStyle name="Currency 5 6 3 7 3" xfId="25810" xr:uid="{00000000-0005-0000-0000-000069600000}"/>
    <cellStyle name="Currency 5 6 3 7 3 2" xfId="25811" xr:uid="{00000000-0005-0000-0000-00006A600000}"/>
    <cellStyle name="Currency 5 6 3 7 4" xfId="25812" xr:uid="{00000000-0005-0000-0000-00006B600000}"/>
    <cellStyle name="Currency 5 6 3 8" xfId="25813" xr:uid="{00000000-0005-0000-0000-00006C600000}"/>
    <cellStyle name="Currency 5 6 3 8 2" xfId="25814" xr:uid="{00000000-0005-0000-0000-00006D600000}"/>
    <cellStyle name="Currency 5 6 3 8 2 2" xfId="25815" xr:uid="{00000000-0005-0000-0000-00006E600000}"/>
    <cellStyle name="Currency 5 6 3 8 2 2 2" xfId="25816" xr:uid="{00000000-0005-0000-0000-00006F600000}"/>
    <cellStyle name="Currency 5 6 3 8 2 3" xfId="25817" xr:uid="{00000000-0005-0000-0000-000070600000}"/>
    <cellStyle name="Currency 5 6 3 8 3" xfId="25818" xr:uid="{00000000-0005-0000-0000-000071600000}"/>
    <cellStyle name="Currency 5 6 3 8 3 2" xfId="25819" xr:uid="{00000000-0005-0000-0000-000072600000}"/>
    <cellStyle name="Currency 5 6 3 8 4" xfId="25820" xr:uid="{00000000-0005-0000-0000-000073600000}"/>
    <cellStyle name="Currency 5 6 3 9" xfId="25821" xr:uid="{00000000-0005-0000-0000-000074600000}"/>
    <cellStyle name="Currency 5 6 3 9 2" xfId="25822" xr:uid="{00000000-0005-0000-0000-000075600000}"/>
    <cellStyle name="Currency 5 6 3 9 2 2" xfId="25823" xr:uid="{00000000-0005-0000-0000-000076600000}"/>
    <cellStyle name="Currency 5 6 3 9 3" xfId="25824" xr:uid="{00000000-0005-0000-0000-000077600000}"/>
    <cellStyle name="Currency 5 6 4" xfId="427" xr:uid="{00000000-0005-0000-0000-000078600000}"/>
    <cellStyle name="Currency 5 6 5" xfId="953" xr:uid="{00000000-0005-0000-0000-000079600000}"/>
    <cellStyle name="Currency 5 6 5 10" xfId="25826" xr:uid="{00000000-0005-0000-0000-00007A600000}"/>
    <cellStyle name="Currency 5 6 5 11" xfId="25825" xr:uid="{00000000-0005-0000-0000-00007B600000}"/>
    <cellStyle name="Currency 5 6 5 2" xfId="1694" xr:uid="{00000000-0005-0000-0000-00007C600000}"/>
    <cellStyle name="Currency 5 6 5 2 2" xfId="25828" xr:uid="{00000000-0005-0000-0000-00007D600000}"/>
    <cellStyle name="Currency 5 6 5 2 2 2" xfId="25829" xr:uid="{00000000-0005-0000-0000-00007E600000}"/>
    <cellStyle name="Currency 5 6 5 2 2 2 2" xfId="25830" xr:uid="{00000000-0005-0000-0000-00007F600000}"/>
    <cellStyle name="Currency 5 6 5 2 2 2 2 2" xfId="25831" xr:uid="{00000000-0005-0000-0000-000080600000}"/>
    <cellStyle name="Currency 5 6 5 2 2 2 3" xfId="25832" xr:uid="{00000000-0005-0000-0000-000081600000}"/>
    <cellStyle name="Currency 5 6 5 2 2 3" xfId="25833" xr:uid="{00000000-0005-0000-0000-000082600000}"/>
    <cellStyle name="Currency 5 6 5 2 2 3 2" xfId="25834" xr:uid="{00000000-0005-0000-0000-000083600000}"/>
    <cellStyle name="Currency 5 6 5 2 2 4" xfId="25835" xr:uid="{00000000-0005-0000-0000-000084600000}"/>
    <cellStyle name="Currency 5 6 5 2 3" xfId="25836" xr:uid="{00000000-0005-0000-0000-000085600000}"/>
    <cellStyle name="Currency 5 6 5 2 3 2" xfId="25837" xr:uid="{00000000-0005-0000-0000-000086600000}"/>
    <cellStyle name="Currency 5 6 5 2 3 2 2" xfId="25838" xr:uid="{00000000-0005-0000-0000-000087600000}"/>
    <cellStyle name="Currency 5 6 5 2 3 2 2 2" xfId="25839" xr:uid="{00000000-0005-0000-0000-000088600000}"/>
    <cellStyle name="Currency 5 6 5 2 3 2 3" xfId="25840" xr:uid="{00000000-0005-0000-0000-000089600000}"/>
    <cellStyle name="Currency 5 6 5 2 3 3" xfId="25841" xr:uid="{00000000-0005-0000-0000-00008A600000}"/>
    <cellStyle name="Currency 5 6 5 2 3 3 2" xfId="25842" xr:uid="{00000000-0005-0000-0000-00008B600000}"/>
    <cellStyle name="Currency 5 6 5 2 3 4" xfId="25843" xr:uid="{00000000-0005-0000-0000-00008C600000}"/>
    <cellStyle name="Currency 5 6 5 2 4" xfId="25844" xr:uid="{00000000-0005-0000-0000-00008D600000}"/>
    <cellStyle name="Currency 5 6 5 2 4 2" xfId="25845" xr:uid="{00000000-0005-0000-0000-00008E600000}"/>
    <cellStyle name="Currency 5 6 5 2 4 2 2" xfId="25846" xr:uid="{00000000-0005-0000-0000-00008F600000}"/>
    <cellStyle name="Currency 5 6 5 2 4 3" xfId="25847" xr:uid="{00000000-0005-0000-0000-000090600000}"/>
    <cellStyle name="Currency 5 6 5 2 5" xfId="25848" xr:uid="{00000000-0005-0000-0000-000091600000}"/>
    <cellStyle name="Currency 5 6 5 2 5 2" xfId="25849" xr:uid="{00000000-0005-0000-0000-000092600000}"/>
    <cellStyle name="Currency 5 6 5 2 6" xfId="25850" xr:uid="{00000000-0005-0000-0000-000093600000}"/>
    <cellStyle name="Currency 5 6 5 2 7" xfId="25827" xr:uid="{00000000-0005-0000-0000-000094600000}"/>
    <cellStyle name="Currency 5 6 5 3" xfId="25851" xr:uid="{00000000-0005-0000-0000-000095600000}"/>
    <cellStyle name="Currency 5 6 5 3 2" xfId="25852" xr:uid="{00000000-0005-0000-0000-000096600000}"/>
    <cellStyle name="Currency 5 6 5 3 2 2" xfId="25853" xr:uid="{00000000-0005-0000-0000-000097600000}"/>
    <cellStyle name="Currency 5 6 5 3 2 2 2" xfId="25854" xr:uid="{00000000-0005-0000-0000-000098600000}"/>
    <cellStyle name="Currency 5 6 5 3 2 2 2 2" xfId="25855" xr:uid="{00000000-0005-0000-0000-000099600000}"/>
    <cellStyle name="Currency 5 6 5 3 2 2 3" xfId="25856" xr:uid="{00000000-0005-0000-0000-00009A600000}"/>
    <cellStyle name="Currency 5 6 5 3 2 3" xfId="25857" xr:uid="{00000000-0005-0000-0000-00009B600000}"/>
    <cellStyle name="Currency 5 6 5 3 2 3 2" xfId="25858" xr:uid="{00000000-0005-0000-0000-00009C600000}"/>
    <cellStyle name="Currency 5 6 5 3 2 4" xfId="25859" xr:uid="{00000000-0005-0000-0000-00009D600000}"/>
    <cellStyle name="Currency 5 6 5 3 3" xfId="25860" xr:uid="{00000000-0005-0000-0000-00009E600000}"/>
    <cellStyle name="Currency 5 6 5 3 3 2" xfId="25861" xr:uid="{00000000-0005-0000-0000-00009F600000}"/>
    <cellStyle name="Currency 5 6 5 3 3 2 2" xfId="25862" xr:uid="{00000000-0005-0000-0000-0000A0600000}"/>
    <cellStyle name="Currency 5 6 5 3 3 3" xfId="25863" xr:uid="{00000000-0005-0000-0000-0000A1600000}"/>
    <cellStyle name="Currency 5 6 5 3 4" xfId="25864" xr:uid="{00000000-0005-0000-0000-0000A2600000}"/>
    <cellStyle name="Currency 5 6 5 3 4 2" xfId="25865" xr:uid="{00000000-0005-0000-0000-0000A3600000}"/>
    <cellStyle name="Currency 5 6 5 3 5" xfId="25866" xr:uid="{00000000-0005-0000-0000-0000A4600000}"/>
    <cellStyle name="Currency 5 6 5 4" xfId="25867" xr:uid="{00000000-0005-0000-0000-0000A5600000}"/>
    <cellStyle name="Currency 5 6 5 4 2" xfId="25868" xr:uid="{00000000-0005-0000-0000-0000A6600000}"/>
    <cellStyle name="Currency 5 6 5 4 2 2" xfId="25869" xr:uid="{00000000-0005-0000-0000-0000A7600000}"/>
    <cellStyle name="Currency 5 6 5 4 2 2 2" xfId="25870" xr:uid="{00000000-0005-0000-0000-0000A8600000}"/>
    <cellStyle name="Currency 5 6 5 4 2 2 2 2" xfId="25871" xr:uid="{00000000-0005-0000-0000-0000A9600000}"/>
    <cellStyle name="Currency 5 6 5 4 2 2 3" xfId="25872" xr:uid="{00000000-0005-0000-0000-0000AA600000}"/>
    <cellStyle name="Currency 5 6 5 4 2 3" xfId="25873" xr:uid="{00000000-0005-0000-0000-0000AB600000}"/>
    <cellStyle name="Currency 5 6 5 4 2 3 2" xfId="25874" xr:uid="{00000000-0005-0000-0000-0000AC600000}"/>
    <cellStyle name="Currency 5 6 5 4 2 4" xfId="25875" xr:uid="{00000000-0005-0000-0000-0000AD600000}"/>
    <cellStyle name="Currency 5 6 5 4 3" xfId="25876" xr:uid="{00000000-0005-0000-0000-0000AE600000}"/>
    <cellStyle name="Currency 5 6 5 4 3 2" xfId="25877" xr:uid="{00000000-0005-0000-0000-0000AF600000}"/>
    <cellStyle name="Currency 5 6 5 4 3 2 2" xfId="25878" xr:uid="{00000000-0005-0000-0000-0000B0600000}"/>
    <cellStyle name="Currency 5 6 5 4 3 3" xfId="25879" xr:uid="{00000000-0005-0000-0000-0000B1600000}"/>
    <cellStyle name="Currency 5 6 5 4 4" xfId="25880" xr:uid="{00000000-0005-0000-0000-0000B2600000}"/>
    <cellStyle name="Currency 5 6 5 4 4 2" xfId="25881" xr:uid="{00000000-0005-0000-0000-0000B3600000}"/>
    <cellStyle name="Currency 5 6 5 4 5" xfId="25882" xr:uid="{00000000-0005-0000-0000-0000B4600000}"/>
    <cellStyle name="Currency 5 6 5 5" xfId="25883" xr:uid="{00000000-0005-0000-0000-0000B5600000}"/>
    <cellStyle name="Currency 5 6 5 5 2" xfId="25884" xr:uid="{00000000-0005-0000-0000-0000B6600000}"/>
    <cellStyle name="Currency 5 6 5 5 2 2" xfId="25885" xr:uid="{00000000-0005-0000-0000-0000B7600000}"/>
    <cellStyle name="Currency 5 6 5 5 2 2 2" xfId="25886" xr:uid="{00000000-0005-0000-0000-0000B8600000}"/>
    <cellStyle name="Currency 5 6 5 5 2 3" xfId="25887" xr:uid="{00000000-0005-0000-0000-0000B9600000}"/>
    <cellStyle name="Currency 5 6 5 5 3" xfId="25888" xr:uid="{00000000-0005-0000-0000-0000BA600000}"/>
    <cellStyle name="Currency 5 6 5 5 3 2" xfId="25889" xr:uid="{00000000-0005-0000-0000-0000BB600000}"/>
    <cellStyle name="Currency 5 6 5 5 4" xfId="25890" xr:uid="{00000000-0005-0000-0000-0000BC600000}"/>
    <cellStyle name="Currency 5 6 5 6" xfId="25891" xr:uid="{00000000-0005-0000-0000-0000BD600000}"/>
    <cellStyle name="Currency 5 6 5 6 2" xfId="25892" xr:uid="{00000000-0005-0000-0000-0000BE600000}"/>
    <cellStyle name="Currency 5 6 5 6 2 2" xfId="25893" xr:uid="{00000000-0005-0000-0000-0000BF600000}"/>
    <cellStyle name="Currency 5 6 5 6 2 2 2" xfId="25894" xr:uid="{00000000-0005-0000-0000-0000C0600000}"/>
    <cellStyle name="Currency 5 6 5 6 2 3" xfId="25895" xr:uid="{00000000-0005-0000-0000-0000C1600000}"/>
    <cellStyle name="Currency 5 6 5 6 3" xfId="25896" xr:uid="{00000000-0005-0000-0000-0000C2600000}"/>
    <cellStyle name="Currency 5 6 5 6 3 2" xfId="25897" xr:uid="{00000000-0005-0000-0000-0000C3600000}"/>
    <cellStyle name="Currency 5 6 5 6 4" xfId="25898" xr:uid="{00000000-0005-0000-0000-0000C4600000}"/>
    <cellStyle name="Currency 5 6 5 7" xfId="25899" xr:uid="{00000000-0005-0000-0000-0000C5600000}"/>
    <cellStyle name="Currency 5 6 5 7 2" xfId="25900" xr:uid="{00000000-0005-0000-0000-0000C6600000}"/>
    <cellStyle name="Currency 5 6 5 7 2 2" xfId="25901" xr:uid="{00000000-0005-0000-0000-0000C7600000}"/>
    <cellStyle name="Currency 5 6 5 7 2 2 2" xfId="25902" xr:uid="{00000000-0005-0000-0000-0000C8600000}"/>
    <cellStyle name="Currency 5 6 5 7 2 3" xfId="25903" xr:uid="{00000000-0005-0000-0000-0000C9600000}"/>
    <cellStyle name="Currency 5 6 5 7 3" xfId="25904" xr:uid="{00000000-0005-0000-0000-0000CA600000}"/>
    <cellStyle name="Currency 5 6 5 7 3 2" xfId="25905" xr:uid="{00000000-0005-0000-0000-0000CB600000}"/>
    <cellStyle name="Currency 5 6 5 7 4" xfId="25906" xr:uid="{00000000-0005-0000-0000-0000CC600000}"/>
    <cellStyle name="Currency 5 6 5 8" xfId="25907" xr:uid="{00000000-0005-0000-0000-0000CD600000}"/>
    <cellStyle name="Currency 5 6 5 8 2" xfId="25908" xr:uid="{00000000-0005-0000-0000-0000CE600000}"/>
    <cellStyle name="Currency 5 6 5 8 2 2" xfId="25909" xr:uid="{00000000-0005-0000-0000-0000CF600000}"/>
    <cellStyle name="Currency 5 6 5 8 3" xfId="25910" xr:uid="{00000000-0005-0000-0000-0000D0600000}"/>
    <cellStyle name="Currency 5 6 5 9" xfId="25911" xr:uid="{00000000-0005-0000-0000-0000D1600000}"/>
    <cellStyle name="Currency 5 6 5 9 2" xfId="25912" xr:uid="{00000000-0005-0000-0000-0000D2600000}"/>
    <cellStyle name="Currency 5 6 6" xfId="1369" xr:uid="{00000000-0005-0000-0000-0000D3600000}"/>
    <cellStyle name="Currency 5 6 6 2" xfId="25914" xr:uid="{00000000-0005-0000-0000-0000D4600000}"/>
    <cellStyle name="Currency 5 6 6 2 2" xfId="25915" xr:uid="{00000000-0005-0000-0000-0000D5600000}"/>
    <cellStyle name="Currency 5 6 6 2 2 2" xfId="25916" xr:uid="{00000000-0005-0000-0000-0000D6600000}"/>
    <cellStyle name="Currency 5 6 6 2 2 2 2" xfId="25917" xr:uid="{00000000-0005-0000-0000-0000D7600000}"/>
    <cellStyle name="Currency 5 6 6 2 2 3" xfId="25918" xr:uid="{00000000-0005-0000-0000-0000D8600000}"/>
    <cellStyle name="Currency 5 6 6 2 3" xfId="25919" xr:uid="{00000000-0005-0000-0000-0000D9600000}"/>
    <cellStyle name="Currency 5 6 6 2 3 2" xfId="25920" xr:uid="{00000000-0005-0000-0000-0000DA600000}"/>
    <cellStyle name="Currency 5 6 6 2 4" xfId="25921" xr:uid="{00000000-0005-0000-0000-0000DB600000}"/>
    <cellStyle name="Currency 5 6 6 3" xfId="25922" xr:uid="{00000000-0005-0000-0000-0000DC600000}"/>
    <cellStyle name="Currency 5 6 6 3 2" xfId="25923" xr:uid="{00000000-0005-0000-0000-0000DD600000}"/>
    <cellStyle name="Currency 5 6 6 3 2 2" xfId="25924" xr:uid="{00000000-0005-0000-0000-0000DE600000}"/>
    <cellStyle name="Currency 5 6 6 3 2 2 2" xfId="25925" xr:uid="{00000000-0005-0000-0000-0000DF600000}"/>
    <cellStyle name="Currency 5 6 6 3 2 3" xfId="25926" xr:uid="{00000000-0005-0000-0000-0000E0600000}"/>
    <cellStyle name="Currency 5 6 6 3 3" xfId="25927" xr:uid="{00000000-0005-0000-0000-0000E1600000}"/>
    <cellStyle name="Currency 5 6 6 3 3 2" xfId="25928" xr:uid="{00000000-0005-0000-0000-0000E2600000}"/>
    <cellStyle name="Currency 5 6 6 3 4" xfId="25929" xr:uid="{00000000-0005-0000-0000-0000E3600000}"/>
    <cellStyle name="Currency 5 6 6 4" xfId="25930" xr:uid="{00000000-0005-0000-0000-0000E4600000}"/>
    <cellStyle name="Currency 5 6 6 4 2" xfId="25931" xr:uid="{00000000-0005-0000-0000-0000E5600000}"/>
    <cellStyle name="Currency 5 6 6 4 2 2" xfId="25932" xr:uid="{00000000-0005-0000-0000-0000E6600000}"/>
    <cellStyle name="Currency 5 6 6 4 3" xfId="25933" xr:uid="{00000000-0005-0000-0000-0000E7600000}"/>
    <cellStyle name="Currency 5 6 6 5" xfId="25934" xr:uid="{00000000-0005-0000-0000-0000E8600000}"/>
    <cellStyle name="Currency 5 6 6 5 2" xfId="25935" xr:uid="{00000000-0005-0000-0000-0000E9600000}"/>
    <cellStyle name="Currency 5 6 6 6" xfId="25936" xr:uid="{00000000-0005-0000-0000-0000EA600000}"/>
    <cellStyle name="Currency 5 6 6 7" xfId="25913" xr:uid="{00000000-0005-0000-0000-0000EB600000}"/>
    <cellStyle name="Currency 5 6 7" xfId="25937" xr:uid="{00000000-0005-0000-0000-0000EC600000}"/>
    <cellStyle name="Currency 5 6 7 2" xfId="25938" xr:uid="{00000000-0005-0000-0000-0000ED600000}"/>
    <cellStyle name="Currency 5 6 7 2 2" xfId="25939" xr:uid="{00000000-0005-0000-0000-0000EE600000}"/>
    <cellStyle name="Currency 5 6 7 2 2 2" xfId="25940" xr:uid="{00000000-0005-0000-0000-0000EF600000}"/>
    <cellStyle name="Currency 5 6 7 2 2 2 2" xfId="25941" xr:uid="{00000000-0005-0000-0000-0000F0600000}"/>
    <cellStyle name="Currency 5 6 7 2 2 3" xfId="25942" xr:uid="{00000000-0005-0000-0000-0000F1600000}"/>
    <cellStyle name="Currency 5 6 7 2 3" xfId="25943" xr:uid="{00000000-0005-0000-0000-0000F2600000}"/>
    <cellStyle name="Currency 5 6 7 2 3 2" xfId="25944" xr:uid="{00000000-0005-0000-0000-0000F3600000}"/>
    <cellStyle name="Currency 5 6 7 2 4" xfId="25945" xr:uid="{00000000-0005-0000-0000-0000F4600000}"/>
    <cellStyle name="Currency 5 6 7 3" xfId="25946" xr:uid="{00000000-0005-0000-0000-0000F5600000}"/>
    <cellStyle name="Currency 5 6 7 3 2" xfId="25947" xr:uid="{00000000-0005-0000-0000-0000F6600000}"/>
    <cellStyle name="Currency 5 6 7 3 2 2" xfId="25948" xr:uid="{00000000-0005-0000-0000-0000F7600000}"/>
    <cellStyle name="Currency 5 6 7 3 3" xfId="25949" xr:uid="{00000000-0005-0000-0000-0000F8600000}"/>
    <cellStyle name="Currency 5 6 7 4" xfId="25950" xr:uid="{00000000-0005-0000-0000-0000F9600000}"/>
    <cellStyle name="Currency 5 6 7 4 2" xfId="25951" xr:uid="{00000000-0005-0000-0000-0000FA600000}"/>
    <cellStyle name="Currency 5 6 7 5" xfId="25952" xr:uid="{00000000-0005-0000-0000-0000FB600000}"/>
    <cellStyle name="Currency 5 6 8" xfId="25953" xr:uid="{00000000-0005-0000-0000-0000FC600000}"/>
    <cellStyle name="Currency 5 6 8 2" xfId="25954" xr:uid="{00000000-0005-0000-0000-0000FD600000}"/>
    <cellStyle name="Currency 5 6 8 2 2" xfId="25955" xr:uid="{00000000-0005-0000-0000-0000FE600000}"/>
    <cellStyle name="Currency 5 6 8 2 2 2" xfId="25956" xr:uid="{00000000-0005-0000-0000-0000FF600000}"/>
    <cellStyle name="Currency 5 6 8 2 2 2 2" xfId="25957" xr:uid="{00000000-0005-0000-0000-000000610000}"/>
    <cellStyle name="Currency 5 6 8 2 2 3" xfId="25958" xr:uid="{00000000-0005-0000-0000-000001610000}"/>
    <cellStyle name="Currency 5 6 8 2 3" xfId="25959" xr:uid="{00000000-0005-0000-0000-000002610000}"/>
    <cellStyle name="Currency 5 6 8 2 3 2" xfId="25960" xr:uid="{00000000-0005-0000-0000-000003610000}"/>
    <cellStyle name="Currency 5 6 8 2 4" xfId="25961" xr:uid="{00000000-0005-0000-0000-000004610000}"/>
    <cellStyle name="Currency 5 6 8 3" xfId="25962" xr:uid="{00000000-0005-0000-0000-000005610000}"/>
    <cellStyle name="Currency 5 6 8 3 2" xfId="25963" xr:uid="{00000000-0005-0000-0000-000006610000}"/>
    <cellStyle name="Currency 5 6 8 3 2 2" xfId="25964" xr:uid="{00000000-0005-0000-0000-000007610000}"/>
    <cellStyle name="Currency 5 6 8 3 3" xfId="25965" xr:uid="{00000000-0005-0000-0000-000008610000}"/>
    <cellStyle name="Currency 5 6 8 4" xfId="25966" xr:uid="{00000000-0005-0000-0000-000009610000}"/>
    <cellStyle name="Currency 5 6 8 4 2" xfId="25967" xr:uid="{00000000-0005-0000-0000-00000A610000}"/>
    <cellStyle name="Currency 5 6 8 5" xfId="25968" xr:uid="{00000000-0005-0000-0000-00000B610000}"/>
    <cellStyle name="Currency 5 6 9" xfId="25969" xr:uid="{00000000-0005-0000-0000-00000C610000}"/>
    <cellStyle name="Currency 5 6 9 2" xfId="25970" xr:uid="{00000000-0005-0000-0000-00000D610000}"/>
    <cellStyle name="Currency 5 6 9 2 2" xfId="25971" xr:uid="{00000000-0005-0000-0000-00000E610000}"/>
    <cellStyle name="Currency 5 6 9 2 2 2" xfId="25972" xr:uid="{00000000-0005-0000-0000-00000F610000}"/>
    <cellStyle name="Currency 5 6 9 2 3" xfId="25973" xr:uid="{00000000-0005-0000-0000-000010610000}"/>
    <cellStyle name="Currency 5 6 9 3" xfId="25974" xr:uid="{00000000-0005-0000-0000-000011610000}"/>
    <cellStyle name="Currency 5 6 9 3 2" xfId="25975" xr:uid="{00000000-0005-0000-0000-000012610000}"/>
    <cellStyle name="Currency 5 6 9 4" xfId="25976" xr:uid="{00000000-0005-0000-0000-000013610000}"/>
    <cellStyle name="Currency 5 7" xfId="428" xr:uid="{00000000-0005-0000-0000-000014610000}"/>
    <cellStyle name="Currency 5 7 10" xfId="25978" xr:uid="{00000000-0005-0000-0000-000015610000}"/>
    <cellStyle name="Currency 5 7 10 2" xfId="25979" xr:uid="{00000000-0005-0000-0000-000016610000}"/>
    <cellStyle name="Currency 5 7 10 2 2" xfId="25980" xr:uid="{00000000-0005-0000-0000-000017610000}"/>
    <cellStyle name="Currency 5 7 10 2 2 2" xfId="25981" xr:uid="{00000000-0005-0000-0000-000018610000}"/>
    <cellStyle name="Currency 5 7 10 2 3" xfId="25982" xr:uid="{00000000-0005-0000-0000-000019610000}"/>
    <cellStyle name="Currency 5 7 10 3" xfId="25983" xr:uid="{00000000-0005-0000-0000-00001A610000}"/>
    <cellStyle name="Currency 5 7 10 3 2" xfId="25984" xr:uid="{00000000-0005-0000-0000-00001B610000}"/>
    <cellStyle name="Currency 5 7 10 4" xfId="25985" xr:uid="{00000000-0005-0000-0000-00001C610000}"/>
    <cellStyle name="Currency 5 7 11" xfId="25986" xr:uid="{00000000-0005-0000-0000-00001D610000}"/>
    <cellStyle name="Currency 5 7 11 2" xfId="25987" xr:uid="{00000000-0005-0000-0000-00001E610000}"/>
    <cellStyle name="Currency 5 7 11 2 2" xfId="25988" xr:uid="{00000000-0005-0000-0000-00001F610000}"/>
    <cellStyle name="Currency 5 7 11 3" xfId="25989" xr:uid="{00000000-0005-0000-0000-000020610000}"/>
    <cellStyle name="Currency 5 7 12" xfId="25990" xr:uid="{00000000-0005-0000-0000-000021610000}"/>
    <cellStyle name="Currency 5 7 12 2" xfId="25991" xr:uid="{00000000-0005-0000-0000-000022610000}"/>
    <cellStyle name="Currency 5 7 12 2 2" xfId="25992" xr:uid="{00000000-0005-0000-0000-000023610000}"/>
    <cellStyle name="Currency 5 7 12 3" xfId="25993" xr:uid="{00000000-0005-0000-0000-000024610000}"/>
    <cellStyle name="Currency 5 7 13" xfId="25994" xr:uid="{00000000-0005-0000-0000-000025610000}"/>
    <cellStyle name="Currency 5 7 13 2" xfId="25995" xr:uid="{00000000-0005-0000-0000-000026610000}"/>
    <cellStyle name="Currency 5 7 13 2 2" xfId="25996" xr:uid="{00000000-0005-0000-0000-000027610000}"/>
    <cellStyle name="Currency 5 7 13 3" xfId="25997" xr:uid="{00000000-0005-0000-0000-000028610000}"/>
    <cellStyle name="Currency 5 7 14" xfId="25998" xr:uid="{00000000-0005-0000-0000-000029610000}"/>
    <cellStyle name="Currency 5 7 14 2" xfId="25999" xr:uid="{00000000-0005-0000-0000-00002A610000}"/>
    <cellStyle name="Currency 5 7 15" xfId="26000" xr:uid="{00000000-0005-0000-0000-00002B610000}"/>
    <cellStyle name="Currency 5 7 16" xfId="26001" xr:uid="{00000000-0005-0000-0000-00002C610000}"/>
    <cellStyle name="Currency 5 7 17" xfId="25977" xr:uid="{00000000-0005-0000-0000-00002D610000}"/>
    <cellStyle name="Currency 5 7 2" xfId="429" xr:uid="{00000000-0005-0000-0000-00002E610000}"/>
    <cellStyle name="Currency 5 7 2 10" xfId="26003" xr:uid="{00000000-0005-0000-0000-00002F610000}"/>
    <cellStyle name="Currency 5 7 2 10 2" xfId="26004" xr:uid="{00000000-0005-0000-0000-000030610000}"/>
    <cellStyle name="Currency 5 7 2 10 2 2" xfId="26005" xr:uid="{00000000-0005-0000-0000-000031610000}"/>
    <cellStyle name="Currency 5 7 2 10 3" xfId="26006" xr:uid="{00000000-0005-0000-0000-000032610000}"/>
    <cellStyle name="Currency 5 7 2 11" xfId="26007" xr:uid="{00000000-0005-0000-0000-000033610000}"/>
    <cellStyle name="Currency 5 7 2 11 2" xfId="26008" xr:uid="{00000000-0005-0000-0000-000034610000}"/>
    <cellStyle name="Currency 5 7 2 11 2 2" xfId="26009" xr:uid="{00000000-0005-0000-0000-000035610000}"/>
    <cellStyle name="Currency 5 7 2 11 3" xfId="26010" xr:uid="{00000000-0005-0000-0000-000036610000}"/>
    <cellStyle name="Currency 5 7 2 12" xfId="26011" xr:uid="{00000000-0005-0000-0000-000037610000}"/>
    <cellStyle name="Currency 5 7 2 12 2" xfId="26012" xr:uid="{00000000-0005-0000-0000-000038610000}"/>
    <cellStyle name="Currency 5 7 2 13" xfId="26013" xr:uid="{00000000-0005-0000-0000-000039610000}"/>
    <cellStyle name="Currency 5 7 2 14" xfId="26014" xr:uid="{00000000-0005-0000-0000-00003A610000}"/>
    <cellStyle name="Currency 5 7 2 15" xfId="26002" xr:uid="{00000000-0005-0000-0000-00003B610000}"/>
    <cellStyle name="Currency 5 7 2 2" xfId="958" xr:uid="{00000000-0005-0000-0000-00003C610000}"/>
    <cellStyle name="Currency 5 7 2 2 10" xfId="26016" xr:uid="{00000000-0005-0000-0000-00003D610000}"/>
    <cellStyle name="Currency 5 7 2 2 11" xfId="26015" xr:uid="{00000000-0005-0000-0000-00003E610000}"/>
    <cellStyle name="Currency 5 7 2 2 2" xfId="1699" xr:uid="{00000000-0005-0000-0000-00003F610000}"/>
    <cellStyle name="Currency 5 7 2 2 2 2" xfId="26018" xr:uid="{00000000-0005-0000-0000-000040610000}"/>
    <cellStyle name="Currency 5 7 2 2 2 2 2" xfId="26019" xr:uid="{00000000-0005-0000-0000-000041610000}"/>
    <cellStyle name="Currency 5 7 2 2 2 2 2 2" xfId="26020" xr:uid="{00000000-0005-0000-0000-000042610000}"/>
    <cellStyle name="Currency 5 7 2 2 2 2 2 2 2" xfId="26021" xr:uid="{00000000-0005-0000-0000-000043610000}"/>
    <cellStyle name="Currency 5 7 2 2 2 2 2 3" xfId="26022" xr:uid="{00000000-0005-0000-0000-000044610000}"/>
    <cellStyle name="Currency 5 7 2 2 2 2 3" xfId="26023" xr:uid="{00000000-0005-0000-0000-000045610000}"/>
    <cellStyle name="Currency 5 7 2 2 2 2 3 2" xfId="26024" xr:uid="{00000000-0005-0000-0000-000046610000}"/>
    <cellStyle name="Currency 5 7 2 2 2 2 4" xfId="26025" xr:uid="{00000000-0005-0000-0000-000047610000}"/>
    <cellStyle name="Currency 5 7 2 2 2 3" xfId="26026" xr:uid="{00000000-0005-0000-0000-000048610000}"/>
    <cellStyle name="Currency 5 7 2 2 2 3 2" xfId="26027" xr:uid="{00000000-0005-0000-0000-000049610000}"/>
    <cellStyle name="Currency 5 7 2 2 2 3 2 2" xfId="26028" xr:uid="{00000000-0005-0000-0000-00004A610000}"/>
    <cellStyle name="Currency 5 7 2 2 2 3 2 2 2" xfId="26029" xr:uid="{00000000-0005-0000-0000-00004B610000}"/>
    <cellStyle name="Currency 5 7 2 2 2 3 2 3" xfId="26030" xr:uid="{00000000-0005-0000-0000-00004C610000}"/>
    <cellStyle name="Currency 5 7 2 2 2 3 3" xfId="26031" xr:uid="{00000000-0005-0000-0000-00004D610000}"/>
    <cellStyle name="Currency 5 7 2 2 2 3 3 2" xfId="26032" xr:uid="{00000000-0005-0000-0000-00004E610000}"/>
    <cellStyle name="Currency 5 7 2 2 2 3 4" xfId="26033" xr:uid="{00000000-0005-0000-0000-00004F610000}"/>
    <cellStyle name="Currency 5 7 2 2 2 4" xfId="26034" xr:uid="{00000000-0005-0000-0000-000050610000}"/>
    <cellStyle name="Currency 5 7 2 2 2 4 2" xfId="26035" xr:uid="{00000000-0005-0000-0000-000051610000}"/>
    <cellStyle name="Currency 5 7 2 2 2 4 2 2" xfId="26036" xr:uid="{00000000-0005-0000-0000-000052610000}"/>
    <cellStyle name="Currency 5 7 2 2 2 4 3" xfId="26037" xr:uid="{00000000-0005-0000-0000-000053610000}"/>
    <cellStyle name="Currency 5 7 2 2 2 5" xfId="26038" xr:uid="{00000000-0005-0000-0000-000054610000}"/>
    <cellStyle name="Currency 5 7 2 2 2 5 2" xfId="26039" xr:uid="{00000000-0005-0000-0000-000055610000}"/>
    <cellStyle name="Currency 5 7 2 2 2 6" xfId="26040" xr:uid="{00000000-0005-0000-0000-000056610000}"/>
    <cellStyle name="Currency 5 7 2 2 2 7" xfId="26017" xr:uid="{00000000-0005-0000-0000-000057610000}"/>
    <cellStyle name="Currency 5 7 2 2 3" xfId="26041" xr:uid="{00000000-0005-0000-0000-000058610000}"/>
    <cellStyle name="Currency 5 7 2 2 3 2" xfId="26042" xr:uid="{00000000-0005-0000-0000-000059610000}"/>
    <cellStyle name="Currency 5 7 2 2 3 2 2" xfId="26043" xr:uid="{00000000-0005-0000-0000-00005A610000}"/>
    <cellStyle name="Currency 5 7 2 2 3 2 2 2" xfId="26044" xr:uid="{00000000-0005-0000-0000-00005B610000}"/>
    <cellStyle name="Currency 5 7 2 2 3 2 2 2 2" xfId="26045" xr:uid="{00000000-0005-0000-0000-00005C610000}"/>
    <cellStyle name="Currency 5 7 2 2 3 2 2 3" xfId="26046" xr:uid="{00000000-0005-0000-0000-00005D610000}"/>
    <cellStyle name="Currency 5 7 2 2 3 2 3" xfId="26047" xr:uid="{00000000-0005-0000-0000-00005E610000}"/>
    <cellStyle name="Currency 5 7 2 2 3 2 3 2" xfId="26048" xr:uid="{00000000-0005-0000-0000-00005F610000}"/>
    <cellStyle name="Currency 5 7 2 2 3 2 4" xfId="26049" xr:uid="{00000000-0005-0000-0000-000060610000}"/>
    <cellStyle name="Currency 5 7 2 2 3 3" xfId="26050" xr:uid="{00000000-0005-0000-0000-000061610000}"/>
    <cellStyle name="Currency 5 7 2 2 3 3 2" xfId="26051" xr:uid="{00000000-0005-0000-0000-000062610000}"/>
    <cellStyle name="Currency 5 7 2 2 3 3 2 2" xfId="26052" xr:uid="{00000000-0005-0000-0000-000063610000}"/>
    <cellStyle name="Currency 5 7 2 2 3 3 3" xfId="26053" xr:uid="{00000000-0005-0000-0000-000064610000}"/>
    <cellStyle name="Currency 5 7 2 2 3 4" xfId="26054" xr:uid="{00000000-0005-0000-0000-000065610000}"/>
    <cellStyle name="Currency 5 7 2 2 3 4 2" xfId="26055" xr:uid="{00000000-0005-0000-0000-000066610000}"/>
    <cellStyle name="Currency 5 7 2 2 3 5" xfId="26056" xr:uid="{00000000-0005-0000-0000-000067610000}"/>
    <cellStyle name="Currency 5 7 2 2 4" xfId="26057" xr:uid="{00000000-0005-0000-0000-000068610000}"/>
    <cellStyle name="Currency 5 7 2 2 4 2" xfId="26058" xr:uid="{00000000-0005-0000-0000-000069610000}"/>
    <cellStyle name="Currency 5 7 2 2 4 2 2" xfId="26059" xr:uid="{00000000-0005-0000-0000-00006A610000}"/>
    <cellStyle name="Currency 5 7 2 2 4 2 2 2" xfId="26060" xr:uid="{00000000-0005-0000-0000-00006B610000}"/>
    <cellStyle name="Currency 5 7 2 2 4 2 2 2 2" xfId="26061" xr:uid="{00000000-0005-0000-0000-00006C610000}"/>
    <cellStyle name="Currency 5 7 2 2 4 2 2 3" xfId="26062" xr:uid="{00000000-0005-0000-0000-00006D610000}"/>
    <cellStyle name="Currency 5 7 2 2 4 2 3" xfId="26063" xr:uid="{00000000-0005-0000-0000-00006E610000}"/>
    <cellStyle name="Currency 5 7 2 2 4 2 3 2" xfId="26064" xr:uid="{00000000-0005-0000-0000-00006F610000}"/>
    <cellStyle name="Currency 5 7 2 2 4 2 4" xfId="26065" xr:uid="{00000000-0005-0000-0000-000070610000}"/>
    <cellStyle name="Currency 5 7 2 2 4 3" xfId="26066" xr:uid="{00000000-0005-0000-0000-000071610000}"/>
    <cellStyle name="Currency 5 7 2 2 4 3 2" xfId="26067" xr:uid="{00000000-0005-0000-0000-000072610000}"/>
    <cellStyle name="Currency 5 7 2 2 4 3 2 2" xfId="26068" xr:uid="{00000000-0005-0000-0000-000073610000}"/>
    <cellStyle name="Currency 5 7 2 2 4 3 3" xfId="26069" xr:uid="{00000000-0005-0000-0000-000074610000}"/>
    <cellStyle name="Currency 5 7 2 2 4 4" xfId="26070" xr:uid="{00000000-0005-0000-0000-000075610000}"/>
    <cellStyle name="Currency 5 7 2 2 4 4 2" xfId="26071" xr:uid="{00000000-0005-0000-0000-000076610000}"/>
    <cellStyle name="Currency 5 7 2 2 4 5" xfId="26072" xr:uid="{00000000-0005-0000-0000-000077610000}"/>
    <cellStyle name="Currency 5 7 2 2 5" xfId="26073" xr:uid="{00000000-0005-0000-0000-000078610000}"/>
    <cellStyle name="Currency 5 7 2 2 5 2" xfId="26074" xr:uid="{00000000-0005-0000-0000-000079610000}"/>
    <cellStyle name="Currency 5 7 2 2 5 2 2" xfId="26075" xr:uid="{00000000-0005-0000-0000-00007A610000}"/>
    <cellStyle name="Currency 5 7 2 2 5 2 2 2" xfId="26076" xr:uid="{00000000-0005-0000-0000-00007B610000}"/>
    <cellStyle name="Currency 5 7 2 2 5 2 3" xfId="26077" xr:uid="{00000000-0005-0000-0000-00007C610000}"/>
    <cellStyle name="Currency 5 7 2 2 5 3" xfId="26078" xr:uid="{00000000-0005-0000-0000-00007D610000}"/>
    <cellStyle name="Currency 5 7 2 2 5 3 2" xfId="26079" xr:uid="{00000000-0005-0000-0000-00007E610000}"/>
    <cellStyle name="Currency 5 7 2 2 5 4" xfId="26080" xr:uid="{00000000-0005-0000-0000-00007F610000}"/>
    <cellStyle name="Currency 5 7 2 2 6" xfId="26081" xr:uid="{00000000-0005-0000-0000-000080610000}"/>
    <cellStyle name="Currency 5 7 2 2 6 2" xfId="26082" xr:uid="{00000000-0005-0000-0000-000081610000}"/>
    <cellStyle name="Currency 5 7 2 2 6 2 2" xfId="26083" xr:uid="{00000000-0005-0000-0000-000082610000}"/>
    <cellStyle name="Currency 5 7 2 2 6 2 2 2" xfId="26084" xr:uid="{00000000-0005-0000-0000-000083610000}"/>
    <cellStyle name="Currency 5 7 2 2 6 2 3" xfId="26085" xr:uid="{00000000-0005-0000-0000-000084610000}"/>
    <cellStyle name="Currency 5 7 2 2 6 3" xfId="26086" xr:uid="{00000000-0005-0000-0000-000085610000}"/>
    <cellStyle name="Currency 5 7 2 2 6 3 2" xfId="26087" xr:uid="{00000000-0005-0000-0000-000086610000}"/>
    <cellStyle name="Currency 5 7 2 2 6 4" xfId="26088" xr:uid="{00000000-0005-0000-0000-000087610000}"/>
    <cellStyle name="Currency 5 7 2 2 7" xfId="26089" xr:uid="{00000000-0005-0000-0000-000088610000}"/>
    <cellStyle name="Currency 5 7 2 2 7 2" xfId="26090" xr:uid="{00000000-0005-0000-0000-000089610000}"/>
    <cellStyle name="Currency 5 7 2 2 7 2 2" xfId="26091" xr:uid="{00000000-0005-0000-0000-00008A610000}"/>
    <cellStyle name="Currency 5 7 2 2 7 2 2 2" xfId="26092" xr:uid="{00000000-0005-0000-0000-00008B610000}"/>
    <cellStyle name="Currency 5 7 2 2 7 2 3" xfId="26093" xr:uid="{00000000-0005-0000-0000-00008C610000}"/>
    <cellStyle name="Currency 5 7 2 2 7 3" xfId="26094" xr:uid="{00000000-0005-0000-0000-00008D610000}"/>
    <cellStyle name="Currency 5 7 2 2 7 3 2" xfId="26095" xr:uid="{00000000-0005-0000-0000-00008E610000}"/>
    <cellStyle name="Currency 5 7 2 2 7 4" xfId="26096" xr:uid="{00000000-0005-0000-0000-00008F610000}"/>
    <cellStyle name="Currency 5 7 2 2 8" xfId="26097" xr:uid="{00000000-0005-0000-0000-000090610000}"/>
    <cellStyle name="Currency 5 7 2 2 8 2" xfId="26098" xr:uid="{00000000-0005-0000-0000-000091610000}"/>
    <cellStyle name="Currency 5 7 2 2 8 2 2" xfId="26099" xr:uid="{00000000-0005-0000-0000-000092610000}"/>
    <cellStyle name="Currency 5 7 2 2 8 3" xfId="26100" xr:uid="{00000000-0005-0000-0000-000093610000}"/>
    <cellStyle name="Currency 5 7 2 2 9" xfId="26101" xr:uid="{00000000-0005-0000-0000-000094610000}"/>
    <cellStyle name="Currency 5 7 2 2 9 2" xfId="26102" xr:uid="{00000000-0005-0000-0000-000095610000}"/>
    <cellStyle name="Currency 5 7 2 3" xfId="1374" xr:uid="{00000000-0005-0000-0000-000096610000}"/>
    <cellStyle name="Currency 5 7 2 3 2" xfId="26104" xr:uid="{00000000-0005-0000-0000-000097610000}"/>
    <cellStyle name="Currency 5 7 2 3 2 2" xfId="26105" xr:uid="{00000000-0005-0000-0000-000098610000}"/>
    <cellStyle name="Currency 5 7 2 3 2 2 2" xfId="26106" xr:uid="{00000000-0005-0000-0000-000099610000}"/>
    <cellStyle name="Currency 5 7 2 3 2 2 2 2" xfId="26107" xr:uid="{00000000-0005-0000-0000-00009A610000}"/>
    <cellStyle name="Currency 5 7 2 3 2 2 3" xfId="26108" xr:uid="{00000000-0005-0000-0000-00009B610000}"/>
    <cellStyle name="Currency 5 7 2 3 2 3" xfId="26109" xr:uid="{00000000-0005-0000-0000-00009C610000}"/>
    <cellStyle name="Currency 5 7 2 3 2 3 2" xfId="26110" xr:uid="{00000000-0005-0000-0000-00009D610000}"/>
    <cellStyle name="Currency 5 7 2 3 2 4" xfId="26111" xr:uid="{00000000-0005-0000-0000-00009E610000}"/>
    <cellStyle name="Currency 5 7 2 3 3" xfId="26112" xr:uid="{00000000-0005-0000-0000-00009F610000}"/>
    <cellStyle name="Currency 5 7 2 3 3 2" xfId="26113" xr:uid="{00000000-0005-0000-0000-0000A0610000}"/>
    <cellStyle name="Currency 5 7 2 3 3 2 2" xfId="26114" xr:uid="{00000000-0005-0000-0000-0000A1610000}"/>
    <cellStyle name="Currency 5 7 2 3 3 2 2 2" xfId="26115" xr:uid="{00000000-0005-0000-0000-0000A2610000}"/>
    <cellStyle name="Currency 5 7 2 3 3 2 3" xfId="26116" xr:uid="{00000000-0005-0000-0000-0000A3610000}"/>
    <cellStyle name="Currency 5 7 2 3 3 3" xfId="26117" xr:uid="{00000000-0005-0000-0000-0000A4610000}"/>
    <cellStyle name="Currency 5 7 2 3 3 3 2" xfId="26118" xr:uid="{00000000-0005-0000-0000-0000A5610000}"/>
    <cellStyle name="Currency 5 7 2 3 3 4" xfId="26119" xr:uid="{00000000-0005-0000-0000-0000A6610000}"/>
    <cellStyle name="Currency 5 7 2 3 4" xfId="26120" xr:uid="{00000000-0005-0000-0000-0000A7610000}"/>
    <cellStyle name="Currency 5 7 2 3 4 2" xfId="26121" xr:uid="{00000000-0005-0000-0000-0000A8610000}"/>
    <cellStyle name="Currency 5 7 2 3 4 2 2" xfId="26122" xr:uid="{00000000-0005-0000-0000-0000A9610000}"/>
    <cellStyle name="Currency 5 7 2 3 4 3" xfId="26123" xr:uid="{00000000-0005-0000-0000-0000AA610000}"/>
    <cellStyle name="Currency 5 7 2 3 5" xfId="26124" xr:uid="{00000000-0005-0000-0000-0000AB610000}"/>
    <cellStyle name="Currency 5 7 2 3 5 2" xfId="26125" xr:uid="{00000000-0005-0000-0000-0000AC610000}"/>
    <cellStyle name="Currency 5 7 2 3 6" xfId="26126" xr:uid="{00000000-0005-0000-0000-0000AD610000}"/>
    <cellStyle name="Currency 5 7 2 3 7" xfId="26103" xr:uid="{00000000-0005-0000-0000-0000AE610000}"/>
    <cellStyle name="Currency 5 7 2 4" xfId="26127" xr:uid="{00000000-0005-0000-0000-0000AF610000}"/>
    <cellStyle name="Currency 5 7 2 4 2" xfId="26128" xr:uid="{00000000-0005-0000-0000-0000B0610000}"/>
    <cellStyle name="Currency 5 7 2 4 2 2" xfId="26129" xr:uid="{00000000-0005-0000-0000-0000B1610000}"/>
    <cellStyle name="Currency 5 7 2 4 2 2 2" xfId="26130" xr:uid="{00000000-0005-0000-0000-0000B2610000}"/>
    <cellStyle name="Currency 5 7 2 4 2 2 2 2" xfId="26131" xr:uid="{00000000-0005-0000-0000-0000B3610000}"/>
    <cellStyle name="Currency 5 7 2 4 2 2 3" xfId="26132" xr:uid="{00000000-0005-0000-0000-0000B4610000}"/>
    <cellStyle name="Currency 5 7 2 4 2 3" xfId="26133" xr:uid="{00000000-0005-0000-0000-0000B5610000}"/>
    <cellStyle name="Currency 5 7 2 4 2 3 2" xfId="26134" xr:uid="{00000000-0005-0000-0000-0000B6610000}"/>
    <cellStyle name="Currency 5 7 2 4 2 4" xfId="26135" xr:uid="{00000000-0005-0000-0000-0000B7610000}"/>
    <cellStyle name="Currency 5 7 2 4 3" xfId="26136" xr:uid="{00000000-0005-0000-0000-0000B8610000}"/>
    <cellStyle name="Currency 5 7 2 4 3 2" xfId="26137" xr:uid="{00000000-0005-0000-0000-0000B9610000}"/>
    <cellStyle name="Currency 5 7 2 4 3 2 2" xfId="26138" xr:uid="{00000000-0005-0000-0000-0000BA610000}"/>
    <cellStyle name="Currency 5 7 2 4 3 3" xfId="26139" xr:uid="{00000000-0005-0000-0000-0000BB610000}"/>
    <cellStyle name="Currency 5 7 2 4 4" xfId="26140" xr:uid="{00000000-0005-0000-0000-0000BC610000}"/>
    <cellStyle name="Currency 5 7 2 4 4 2" xfId="26141" xr:uid="{00000000-0005-0000-0000-0000BD610000}"/>
    <cellStyle name="Currency 5 7 2 4 5" xfId="26142" xr:uid="{00000000-0005-0000-0000-0000BE610000}"/>
    <cellStyle name="Currency 5 7 2 5" xfId="26143" xr:uid="{00000000-0005-0000-0000-0000BF610000}"/>
    <cellStyle name="Currency 5 7 2 5 2" xfId="26144" xr:uid="{00000000-0005-0000-0000-0000C0610000}"/>
    <cellStyle name="Currency 5 7 2 5 2 2" xfId="26145" xr:uid="{00000000-0005-0000-0000-0000C1610000}"/>
    <cellStyle name="Currency 5 7 2 5 2 2 2" xfId="26146" xr:uid="{00000000-0005-0000-0000-0000C2610000}"/>
    <cellStyle name="Currency 5 7 2 5 2 2 2 2" xfId="26147" xr:uid="{00000000-0005-0000-0000-0000C3610000}"/>
    <cellStyle name="Currency 5 7 2 5 2 2 3" xfId="26148" xr:uid="{00000000-0005-0000-0000-0000C4610000}"/>
    <cellStyle name="Currency 5 7 2 5 2 3" xfId="26149" xr:uid="{00000000-0005-0000-0000-0000C5610000}"/>
    <cellStyle name="Currency 5 7 2 5 2 3 2" xfId="26150" xr:uid="{00000000-0005-0000-0000-0000C6610000}"/>
    <cellStyle name="Currency 5 7 2 5 2 4" xfId="26151" xr:uid="{00000000-0005-0000-0000-0000C7610000}"/>
    <cellStyle name="Currency 5 7 2 5 3" xfId="26152" xr:uid="{00000000-0005-0000-0000-0000C8610000}"/>
    <cellStyle name="Currency 5 7 2 5 3 2" xfId="26153" xr:uid="{00000000-0005-0000-0000-0000C9610000}"/>
    <cellStyle name="Currency 5 7 2 5 3 2 2" xfId="26154" xr:uid="{00000000-0005-0000-0000-0000CA610000}"/>
    <cellStyle name="Currency 5 7 2 5 3 3" xfId="26155" xr:uid="{00000000-0005-0000-0000-0000CB610000}"/>
    <cellStyle name="Currency 5 7 2 5 4" xfId="26156" xr:uid="{00000000-0005-0000-0000-0000CC610000}"/>
    <cellStyle name="Currency 5 7 2 5 4 2" xfId="26157" xr:uid="{00000000-0005-0000-0000-0000CD610000}"/>
    <cellStyle name="Currency 5 7 2 5 5" xfId="26158" xr:uid="{00000000-0005-0000-0000-0000CE610000}"/>
    <cellStyle name="Currency 5 7 2 6" xfId="26159" xr:uid="{00000000-0005-0000-0000-0000CF610000}"/>
    <cellStyle name="Currency 5 7 2 6 2" xfId="26160" xr:uid="{00000000-0005-0000-0000-0000D0610000}"/>
    <cellStyle name="Currency 5 7 2 6 2 2" xfId="26161" xr:uid="{00000000-0005-0000-0000-0000D1610000}"/>
    <cellStyle name="Currency 5 7 2 6 2 2 2" xfId="26162" xr:uid="{00000000-0005-0000-0000-0000D2610000}"/>
    <cellStyle name="Currency 5 7 2 6 2 3" xfId="26163" xr:uid="{00000000-0005-0000-0000-0000D3610000}"/>
    <cellStyle name="Currency 5 7 2 6 3" xfId="26164" xr:uid="{00000000-0005-0000-0000-0000D4610000}"/>
    <cellStyle name="Currency 5 7 2 6 3 2" xfId="26165" xr:uid="{00000000-0005-0000-0000-0000D5610000}"/>
    <cellStyle name="Currency 5 7 2 6 4" xfId="26166" xr:uid="{00000000-0005-0000-0000-0000D6610000}"/>
    <cellStyle name="Currency 5 7 2 7" xfId="26167" xr:uid="{00000000-0005-0000-0000-0000D7610000}"/>
    <cellStyle name="Currency 5 7 2 7 2" xfId="26168" xr:uid="{00000000-0005-0000-0000-0000D8610000}"/>
    <cellStyle name="Currency 5 7 2 7 2 2" xfId="26169" xr:uid="{00000000-0005-0000-0000-0000D9610000}"/>
    <cellStyle name="Currency 5 7 2 7 2 2 2" xfId="26170" xr:uid="{00000000-0005-0000-0000-0000DA610000}"/>
    <cellStyle name="Currency 5 7 2 7 2 3" xfId="26171" xr:uid="{00000000-0005-0000-0000-0000DB610000}"/>
    <cellStyle name="Currency 5 7 2 7 3" xfId="26172" xr:uid="{00000000-0005-0000-0000-0000DC610000}"/>
    <cellStyle name="Currency 5 7 2 7 3 2" xfId="26173" xr:uid="{00000000-0005-0000-0000-0000DD610000}"/>
    <cellStyle name="Currency 5 7 2 7 4" xfId="26174" xr:uid="{00000000-0005-0000-0000-0000DE610000}"/>
    <cellStyle name="Currency 5 7 2 8" xfId="26175" xr:uid="{00000000-0005-0000-0000-0000DF610000}"/>
    <cellStyle name="Currency 5 7 2 8 2" xfId="26176" xr:uid="{00000000-0005-0000-0000-0000E0610000}"/>
    <cellStyle name="Currency 5 7 2 8 2 2" xfId="26177" xr:uid="{00000000-0005-0000-0000-0000E1610000}"/>
    <cellStyle name="Currency 5 7 2 8 2 2 2" xfId="26178" xr:uid="{00000000-0005-0000-0000-0000E2610000}"/>
    <cellStyle name="Currency 5 7 2 8 2 3" xfId="26179" xr:uid="{00000000-0005-0000-0000-0000E3610000}"/>
    <cellStyle name="Currency 5 7 2 8 3" xfId="26180" xr:uid="{00000000-0005-0000-0000-0000E4610000}"/>
    <cellStyle name="Currency 5 7 2 8 3 2" xfId="26181" xr:uid="{00000000-0005-0000-0000-0000E5610000}"/>
    <cellStyle name="Currency 5 7 2 8 4" xfId="26182" xr:uid="{00000000-0005-0000-0000-0000E6610000}"/>
    <cellStyle name="Currency 5 7 2 9" xfId="26183" xr:uid="{00000000-0005-0000-0000-0000E7610000}"/>
    <cellStyle name="Currency 5 7 2 9 2" xfId="26184" xr:uid="{00000000-0005-0000-0000-0000E8610000}"/>
    <cellStyle name="Currency 5 7 2 9 2 2" xfId="26185" xr:uid="{00000000-0005-0000-0000-0000E9610000}"/>
    <cellStyle name="Currency 5 7 2 9 3" xfId="26186" xr:uid="{00000000-0005-0000-0000-0000EA610000}"/>
    <cellStyle name="Currency 5 7 3" xfId="430" xr:uid="{00000000-0005-0000-0000-0000EB610000}"/>
    <cellStyle name="Currency 5 7 4" xfId="957" xr:uid="{00000000-0005-0000-0000-0000EC610000}"/>
    <cellStyle name="Currency 5 7 4 10" xfId="26188" xr:uid="{00000000-0005-0000-0000-0000ED610000}"/>
    <cellStyle name="Currency 5 7 4 11" xfId="26187" xr:uid="{00000000-0005-0000-0000-0000EE610000}"/>
    <cellStyle name="Currency 5 7 4 2" xfId="1698" xr:uid="{00000000-0005-0000-0000-0000EF610000}"/>
    <cellStyle name="Currency 5 7 4 2 2" xfId="26190" xr:uid="{00000000-0005-0000-0000-0000F0610000}"/>
    <cellStyle name="Currency 5 7 4 2 2 2" xfId="26191" xr:uid="{00000000-0005-0000-0000-0000F1610000}"/>
    <cellStyle name="Currency 5 7 4 2 2 2 2" xfId="26192" xr:uid="{00000000-0005-0000-0000-0000F2610000}"/>
    <cellStyle name="Currency 5 7 4 2 2 2 2 2" xfId="26193" xr:uid="{00000000-0005-0000-0000-0000F3610000}"/>
    <cellStyle name="Currency 5 7 4 2 2 2 3" xfId="26194" xr:uid="{00000000-0005-0000-0000-0000F4610000}"/>
    <cellStyle name="Currency 5 7 4 2 2 3" xfId="26195" xr:uid="{00000000-0005-0000-0000-0000F5610000}"/>
    <cellStyle name="Currency 5 7 4 2 2 3 2" xfId="26196" xr:uid="{00000000-0005-0000-0000-0000F6610000}"/>
    <cellStyle name="Currency 5 7 4 2 2 4" xfId="26197" xr:uid="{00000000-0005-0000-0000-0000F7610000}"/>
    <cellStyle name="Currency 5 7 4 2 3" xfId="26198" xr:uid="{00000000-0005-0000-0000-0000F8610000}"/>
    <cellStyle name="Currency 5 7 4 2 3 2" xfId="26199" xr:uid="{00000000-0005-0000-0000-0000F9610000}"/>
    <cellStyle name="Currency 5 7 4 2 3 2 2" xfId="26200" xr:uid="{00000000-0005-0000-0000-0000FA610000}"/>
    <cellStyle name="Currency 5 7 4 2 3 2 2 2" xfId="26201" xr:uid="{00000000-0005-0000-0000-0000FB610000}"/>
    <cellStyle name="Currency 5 7 4 2 3 2 3" xfId="26202" xr:uid="{00000000-0005-0000-0000-0000FC610000}"/>
    <cellStyle name="Currency 5 7 4 2 3 3" xfId="26203" xr:uid="{00000000-0005-0000-0000-0000FD610000}"/>
    <cellStyle name="Currency 5 7 4 2 3 3 2" xfId="26204" xr:uid="{00000000-0005-0000-0000-0000FE610000}"/>
    <cellStyle name="Currency 5 7 4 2 3 4" xfId="26205" xr:uid="{00000000-0005-0000-0000-0000FF610000}"/>
    <cellStyle name="Currency 5 7 4 2 4" xfId="26206" xr:uid="{00000000-0005-0000-0000-000000620000}"/>
    <cellStyle name="Currency 5 7 4 2 4 2" xfId="26207" xr:uid="{00000000-0005-0000-0000-000001620000}"/>
    <cellStyle name="Currency 5 7 4 2 4 2 2" xfId="26208" xr:uid="{00000000-0005-0000-0000-000002620000}"/>
    <cellStyle name="Currency 5 7 4 2 4 3" xfId="26209" xr:uid="{00000000-0005-0000-0000-000003620000}"/>
    <cellStyle name="Currency 5 7 4 2 5" xfId="26210" xr:uid="{00000000-0005-0000-0000-000004620000}"/>
    <cellStyle name="Currency 5 7 4 2 5 2" xfId="26211" xr:uid="{00000000-0005-0000-0000-000005620000}"/>
    <cellStyle name="Currency 5 7 4 2 6" xfId="26212" xr:uid="{00000000-0005-0000-0000-000006620000}"/>
    <cellStyle name="Currency 5 7 4 2 7" xfId="26189" xr:uid="{00000000-0005-0000-0000-000007620000}"/>
    <cellStyle name="Currency 5 7 4 3" xfId="26213" xr:uid="{00000000-0005-0000-0000-000008620000}"/>
    <cellStyle name="Currency 5 7 4 3 2" xfId="26214" xr:uid="{00000000-0005-0000-0000-000009620000}"/>
    <cellStyle name="Currency 5 7 4 3 2 2" xfId="26215" xr:uid="{00000000-0005-0000-0000-00000A620000}"/>
    <cellStyle name="Currency 5 7 4 3 2 2 2" xfId="26216" xr:uid="{00000000-0005-0000-0000-00000B620000}"/>
    <cellStyle name="Currency 5 7 4 3 2 2 2 2" xfId="26217" xr:uid="{00000000-0005-0000-0000-00000C620000}"/>
    <cellStyle name="Currency 5 7 4 3 2 2 3" xfId="26218" xr:uid="{00000000-0005-0000-0000-00000D620000}"/>
    <cellStyle name="Currency 5 7 4 3 2 3" xfId="26219" xr:uid="{00000000-0005-0000-0000-00000E620000}"/>
    <cellStyle name="Currency 5 7 4 3 2 3 2" xfId="26220" xr:uid="{00000000-0005-0000-0000-00000F620000}"/>
    <cellStyle name="Currency 5 7 4 3 2 4" xfId="26221" xr:uid="{00000000-0005-0000-0000-000010620000}"/>
    <cellStyle name="Currency 5 7 4 3 3" xfId="26222" xr:uid="{00000000-0005-0000-0000-000011620000}"/>
    <cellStyle name="Currency 5 7 4 3 3 2" xfId="26223" xr:uid="{00000000-0005-0000-0000-000012620000}"/>
    <cellStyle name="Currency 5 7 4 3 3 2 2" xfId="26224" xr:uid="{00000000-0005-0000-0000-000013620000}"/>
    <cellStyle name="Currency 5 7 4 3 3 3" xfId="26225" xr:uid="{00000000-0005-0000-0000-000014620000}"/>
    <cellStyle name="Currency 5 7 4 3 4" xfId="26226" xr:uid="{00000000-0005-0000-0000-000015620000}"/>
    <cellStyle name="Currency 5 7 4 3 4 2" xfId="26227" xr:uid="{00000000-0005-0000-0000-000016620000}"/>
    <cellStyle name="Currency 5 7 4 3 5" xfId="26228" xr:uid="{00000000-0005-0000-0000-000017620000}"/>
    <cellStyle name="Currency 5 7 4 4" xfId="26229" xr:uid="{00000000-0005-0000-0000-000018620000}"/>
    <cellStyle name="Currency 5 7 4 4 2" xfId="26230" xr:uid="{00000000-0005-0000-0000-000019620000}"/>
    <cellStyle name="Currency 5 7 4 4 2 2" xfId="26231" xr:uid="{00000000-0005-0000-0000-00001A620000}"/>
    <cellStyle name="Currency 5 7 4 4 2 2 2" xfId="26232" xr:uid="{00000000-0005-0000-0000-00001B620000}"/>
    <cellStyle name="Currency 5 7 4 4 2 2 2 2" xfId="26233" xr:uid="{00000000-0005-0000-0000-00001C620000}"/>
    <cellStyle name="Currency 5 7 4 4 2 2 3" xfId="26234" xr:uid="{00000000-0005-0000-0000-00001D620000}"/>
    <cellStyle name="Currency 5 7 4 4 2 3" xfId="26235" xr:uid="{00000000-0005-0000-0000-00001E620000}"/>
    <cellStyle name="Currency 5 7 4 4 2 3 2" xfId="26236" xr:uid="{00000000-0005-0000-0000-00001F620000}"/>
    <cellStyle name="Currency 5 7 4 4 2 4" xfId="26237" xr:uid="{00000000-0005-0000-0000-000020620000}"/>
    <cellStyle name="Currency 5 7 4 4 3" xfId="26238" xr:uid="{00000000-0005-0000-0000-000021620000}"/>
    <cellStyle name="Currency 5 7 4 4 3 2" xfId="26239" xr:uid="{00000000-0005-0000-0000-000022620000}"/>
    <cellStyle name="Currency 5 7 4 4 3 2 2" xfId="26240" xr:uid="{00000000-0005-0000-0000-000023620000}"/>
    <cellStyle name="Currency 5 7 4 4 3 3" xfId="26241" xr:uid="{00000000-0005-0000-0000-000024620000}"/>
    <cellStyle name="Currency 5 7 4 4 4" xfId="26242" xr:uid="{00000000-0005-0000-0000-000025620000}"/>
    <cellStyle name="Currency 5 7 4 4 4 2" xfId="26243" xr:uid="{00000000-0005-0000-0000-000026620000}"/>
    <cellStyle name="Currency 5 7 4 4 5" xfId="26244" xr:uid="{00000000-0005-0000-0000-000027620000}"/>
    <cellStyle name="Currency 5 7 4 5" xfId="26245" xr:uid="{00000000-0005-0000-0000-000028620000}"/>
    <cellStyle name="Currency 5 7 4 5 2" xfId="26246" xr:uid="{00000000-0005-0000-0000-000029620000}"/>
    <cellStyle name="Currency 5 7 4 5 2 2" xfId="26247" xr:uid="{00000000-0005-0000-0000-00002A620000}"/>
    <cellStyle name="Currency 5 7 4 5 2 2 2" xfId="26248" xr:uid="{00000000-0005-0000-0000-00002B620000}"/>
    <cellStyle name="Currency 5 7 4 5 2 3" xfId="26249" xr:uid="{00000000-0005-0000-0000-00002C620000}"/>
    <cellStyle name="Currency 5 7 4 5 3" xfId="26250" xr:uid="{00000000-0005-0000-0000-00002D620000}"/>
    <cellStyle name="Currency 5 7 4 5 3 2" xfId="26251" xr:uid="{00000000-0005-0000-0000-00002E620000}"/>
    <cellStyle name="Currency 5 7 4 5 4" xfId="26252" xr:uid="{00000000-0005-0000-0000-00002F620000}"/>
    <cellStyle name="Currency 5 7 4 6" xfId="26253" xr:uid="{00000000-0005-0000-0000-000030620000}"/>
    <cellStyle name="Currency 5 7 4 6 2" xfId="26254" xr:uid="{00000000-0005-0000-0000-000031620000}"/>
    <cellStyle name="Currency 5 7 4 6 2 2" xfId="26255" xr:uid="{00000000-0005-0000-0000-000032620000}"/>
    <cellStyle name="Currency 5 7 4 6 2 2 2" xfId="26256" xr:uid="{00000000-0005-0000-0000-000033620000}"/>
    <cellStyle name="Currency 5 7 4 6 2 3" xfId="26257" xr:uid="{00000000-0005-0000-0000-000034620000}"/>
    <cellStyle name="Currency 5 7 4 6 3" xfId="26258" xr:uid="{00000000-0005-0000-0000-000035620000}"/>
    <cellStyle name="Currency 5 7 4 6 3 2" xfId="26259" xr:uid="{00000000-0005-0000-0000-000036620000}"/>
    <cellStyle name="Currency 5 7 4 6 4" xfId="26260" xr:uid="{00000000-0005-0000-0000-000037620000}"/>
    <cellStyle name="Currency 5 7 4 7" xfId="26261" xr:uid="{00000000-0005-0000-0000-000038620000}"/>
    <cellStyle name="Currency 5 7 4 7 2" xfId="26262" xr:uid="{00000000-0005-0000-0000-000039620000}"/>
    <cellStyle name="Currency 5 7 4 7 2 2" xfId="26263" xr:uid="{00000000-0005-0000-0000-00003A620000}"/>
    <cellStyle name="Currency 5 7 4 7 2 2 2" xfId="26264" xr:uid="{00000000-0005-0000-0000-00003B620000}"/>
    <cellStyle name="Currency 5 7 4 7 2 3" xfId="26265" xr:uid="{00000000-0005-0000-0000-00003C620000}"/>
    <cellStyle name="Currency 5 7 4 7 3" xfId="26266" xr:uid="{00000000-0005-0000-0000-00003D620000}"/>
    <cellStyle name="Currency 5 7 4 7 3 2" xfId="26267" xr:uid="{00000000-0005-0000-0000-00003E620000}"/>
    <cellStyle name="Currency 5 7 4 7 4" xfId="26268" xr:uid="{00000000-0005-0000-0000-00003F620000}"/>
    <cellStyle name="Currency 5 7 4 8" xfId="26269" xr:uid="{00000000-0005-0000-0000-000040620000}"/>
    <cellStyle name="Currency 5 7 4 8 2" xfId="26270" xr:uid="{00000000-0005-0000-0000-000041620000}"/>
    <cellStyle name="Currency 5 7 4 8 2 2" xfId="26271" xr:uid="{00000000-0005-0000-0000-000042620000}"/>
    <cellStyle name="Currency 5 7 4 8 3" xfId="26272" xr:uid="{00000000-0005-0000-0000-000043620000}"/>
    <cellStyle name="Currency 5 7 4 9" xfId="26273" xr:uid="{00000000-0005-0000-0000-000044620000}"/>
    <cellStyle name="Currency 5 7 4 9 2" xfId="26274" xr:uid="{00000000-0005-0000-0000-000045620000}"/>
    <cellStyle name="Currency 5 7 5" xfId="1373" xr:uid="{00000000-0005-0000-0000-000046620000}"/>
    <cellStyle name="Currency 5 7 5 2" xfId="26276" xr:uid="{00000000-0005-0000-0000-000047620000}"/>
    <cellStyle name="Currency 5 7 5 2 2" xfId="26277" xr:uid="{00000000-0005-0000-0000-000048620000}"/>
    <cellStyle name="Currency 5 7 5 2 2 2" xfId="26278" xr:uid="{00000000-0005-0000-0000-000049620000}"/>
    <cellStyle name="Currency 5 7 5 2 2 2 2" xfId="26279" xr:uid="{00000000-0005-0000-0000-00004A620000}"/>
    <cellStyle name="Currency 5 7 5 2 2 3" xfId="26280" xr:uid="{00000000-0005-0000-0000-00004B620000}"/>
    <cellStyle name="Currency 5 7 5 2 3" xfId="26281" xr:uid="{00000000-0005-0000-0000-00004C620000}"/>
    <cellStyle name="Currency 5 7 5 2 3 2" xfId="26282" xr:uid="{00000000-0005-0000-0000-00004D620000}"/>
    <cellStyle name="Currency 5 7 5 2 4" xfId="26283" xr:uid="{00000000-0005-0000-0000-00004E620000}"/>
    <cellStyle name="Currency 5 7 5 3" xfId="26284" xr:uid="{00000000-0005-0000-0000-00004F620000}"/>
    <cellStyle name="Currency 5 7 5 3 2" xfId="26285" xr:uid="{00000000-0005-0000-0000-000050620000}"/>
    <cellStyle name="Currency 5 7 5 3 2 2" xfId="26286" xr:uid="{00000000-0005-0000-0000-000051620000}"/>
    <cellStyle name="Currency 5 7 5 3 2 2 2" xfId="26287" xr:uid="{00000000-0005-0000-0000-000052620000}"/>
    <cellStyle name="Currency 5 7 5 3 2 3" xfId="26288" xr:uid="{00000000-0005-0000-0000-000053620000}"/>
    <cellStyle name="Currency 5 7 5 3 3" xfId="26289" xr:uid="{00000000-0005-0000-0000-000054620000}"/>
    <cellStyle name="Currency 5 7 5 3 3 2" xfId="26290" xr:uid="{00000000-0005-0000-0000-000055620000}"/>
    <cellStyle name="Currency 5 7 5 3 4" xfId="26291" xr:uid="{00000000-0005-0000-0000-000056620000}"/>
    <cellStyle name="Currency 5 7 5 4" xfId="26292" xr:uid="{00000000-0005-0000-0000-000057620000}"/>
    <cellStyle name="Currency 5 7 5 4 2" xfId="26293" xr:uid="{00000000-0005-0000-0000-000058620000}"/>
    <cellStyle name="Currency 5 7 5 4 2 2" xfId="26294" xr:uid="{00000000-0005-0000-0000-000059620000}"/>
    <cellStyle name="Currency 5 7 5 4 3" xfId="26295" xr:uid="{00000000-0005-0000-0000-00005A620000}"/>
    <cellStyle name="Currency 5 7 5 5" xfId="26296" xr:uid="{00000000-0005-0000-0000-00005B620000}"/>
    <cellStyle name="Currency 5 7 5 5 2" xfId="26297" xr:uid="{00000000-0005-0000-0000-00005C620000}"/>
    <cellStyle name="Currency 5 7 5 6" xfId="26298" xr:uid="{00000000-0005-0000-0000-00005D620000}"/>
    <cellStyle name="Currency 5 7 5 7" xfId="26275" xr:uid="{00000000-0005-0000-0000-00005E620000}"/>
    <cellStyle name="Currency 5 7 6" xfId="26299" xr:uid="{00000000-0005-0000-0000-00005F620000}"/>
    <cellStyle name="Currency 5 7 6 2" xfId="26300" xr:uid="{00000000-0005-0000-0000-000060620000}"/>
    <cellStyle name="Currency 5 7 6 2 2" xfId="26301" xr:uid="{00000000-0005-0000-0000-000061620000}"/>
    <cellStyle name="Currency 5 7 6 2 2 2" xfId="26302" xr:uid="{00000000-0005-0000-0000-000062620000}"/>
    <cellStyle name="Currency 5 7 6 2 2 2 2" xfId="26303" xr:uid="{00000000-0005-0000-0000-000063620000}"/>
    <cellStyle name="Currency 5 7 6 2 2 3" xfId="26304" xr:uid="{00000000-0005-0000-0000-000064620000}"/>
    <cellStyle name="Currency 5 7 6 2 3" xfId="26305" xr:uid="{00000000-0005-0000-0000-000065620000}"/>
    <cellStyle name="Currency 5 7 6 2 3 2" xfId="26306" xr:uid="{00000000-0005-0000-0000-000066620000}"/>
    <cellStyle name="Currency 5 7 6 2 4" xfId="26307" xr:uid="{00000000-0005-0000-0000-000067620000}"/>
    <cellStyle name="Currency 5 7 6 3" xfId="26308" xr:uid="{00000000-0005-0000-0000-000068620000}"/>
    <cellStyle name="Currency 5 7 6 3 2" xfId="26309" xr:uid="{00000000-0005-0000-0000-000069620000}"/>
    <cellStyle name="Currency 5 7 6 3 2 2" xfId="26310" xr:uid="{00000000-0005-0000-0000-00006A620000}"/>
    <cellStyle name="Currency 5 7 6 3 3" xfId="26311" xr:uid="{00000000-0005-0000-0000-00006B620000}"/>
    <cellStyle name="Currency 5 7 6 4" xfId="26312" xr:uid="{00000000-0005-0000-0000-00006C620000}"/>
    <cellStyle name="Currency 5 7 6 4 2" xfId="26313" xr:uid="{00000000-0005-0000-0000-00006D620000}"/>
    <cellStyle name="Currency 5 7 6 5" xfId="26314" xr:uid="{00000000-0005-0000-0000-00006E620000}"/>
    <cellStyle name="Currency 5 7 7" xfId="26315" xr:uid="{00000000-0005-0000-0000-00006F620000}"/>
    <cellStyle name="Currency 5 7 7 2" xfId="26316" xr:uid="{00000000-0005-0000-0000-000070620000}"/>
    <cellStyle name="Currency 5 7 7 2 2" xfId="26317" xr:uid="{00000000-0005-0000-0000-000071620000}"/>
    <cellStyle name="Currency 5 7 7 2 2 2" xfId="26318" xr:uid="{00000000-0005-0000-0000-000072620000}"/>
    <cellStyle name="Currency 5 7 7 2 2 2 2" xfId="26319" xr:uid="{00000000-0005-0000-0000-000073620000}"/>
    <cellStyle name="Currency 5 7 7 2 2 3" xfId="26320" xr:uid="{00000000-0005-0000-0000-000074620000}"/>
    <cellStyle name="Currency 5 7 7 2 3" xfId="26321" xr:uid="{00000000-0005-0000-0000-000075620000}"/>
    <cellStyle name="Currency 5 7 7 2 3 2" xfId="26322" xr:uid="{00000000-0005-0000-0000-000076620000}"/>
    <cellStyle name="Currency 5 7 7 2 4" xfId="26323" xr:uid="{00000000-0005-0000-0000-000077620000}"/>
    <cellStyle name="Currency 5 7 7 3" xfId="26324" xr:uid="{00000000-0005-0000-0000-000078620000}"/>
    <cellStyle name="Currency 5 7 7 3 2" xfId="26325" xr:uid="{00000000-0005-0000-0000-000079620000}"/>
    <cellStyle name="Currency 5 7 7 3 2 2" xfId="26326" xr:uid="{00000000-0005-0000-0000-00007A620000}"/>
    <cellStyle name="Currency 5 7 7 3 3" xfId="26327" xr:uid="{00000000-0005-0000-0000-00007B620000}"/>
    <cellStyle name="Currency 5 7 7 4" xfId="26328" xr:uid="{00000000-0005-0000-0000-00007C620000}"/>
    <cellStyle name="Currency 5 7 7 4 2" xfId="26329" xr:uid="{00000000-0005-0000-0000-00007D620000}"/>
    <cellStyle name="Currency 5 7 7 5" xfId="26330" xr:uid="{00000000-0005-0000-0000-00007E620000}"/>
    <cellStyle name="Currency 5 7 8" xfId="26331" xr:uid="{00000000-0005-0000-0000-00007F620000}"/>
    <cellStyle name="Currency 5 7 8 2" xfId="26332" xr:uid="{00000000-0005-0000-0000-000080620000}"/>
    <cellStyle name="Currency 5 7 8 2 2" xfId="26333" xr:uid="{00000000-0005-0000-0000-000081620000}"/>
    <cellStyle name="Currency 5 7 8 2 2 2" xfId="26334" xr:uid="{00000000-0005-0000-0000-000082620000}"/>
    <cellStyle name="Currency 5 7 8 2 3" xfId="26335" xr:uid="{00000000-0005-0000-0000-000083620000}"/>
    <cellStyle name="Currency 5 7 8 3" xfId="26336" xr:uid="{00000000-0005-0000-0000-000084620000}"/>
    <cellStyle name="Currency 5 7 8 3 2" xfId="26337" xr:uid="{00000000-0005-0000-0000-000085620000}"/>
    <cellStyle name="Currency 5 7 8 4" xfId="26338" xr:uid="{00000000-0005-0000-0000-000086620000}"/>
    <cellStyle name="Currency 5 7 9" xfId="26339" xr:uid="{00000000-0005-0000-0000-000087620000}"/>
    <cellStyle name="Currency 5 7 9 2" xfId="26340" xr:uid="{00000000-0005-0000-0000-000088620000}"/>
    <cellStyle name="Currency 5 7 9 2 2" xfId="26341" xr:uid="{00000000-0005-0000-0000-000089620000}"/>
    <cellStyle name="Currency 5 7 9 2 2 2" xfId="26342" xr:uid="{00000000-0005-0000-0000-00008A620000}"/>
    <cellStyle name="Currency 5 7 9 2 3" xfId="26343" xr:uid="{00000000-0005-0000-0000-00008B620000}"/>
    <cellStyle name="Currency 5 7 9 3" xfId="26344" xr:uid="{00000000-0005-0000-0000-00008C620000}"/>
    <cellStyle name="Currency 5 7 9 3 2" xfId="26345" xr:uid="{00000000-0005-0000-0000-00008D620000}"/>
    <cellStyle name="Currency 5 7 9 4" xfId="26346" xr:uid="{00000000-0005-0000-0000-00008E620000}"/>
    <cellStyle name="Currency 5 8" xfId="431" xr:uid="{00000000-0005-0000-0000-00008F620000}"/>
    <cellStyle name="Currency 5 8 10" xfId="26348" xr:uid="{00000000-0005-0000-0000-000090620000}"/>
    <cellStyle name="Currency 5 8 10 2" xfId="26349" xr:uid="{00000000-0005-0000-0000-000091620000}"/>
    <cellStyle name="Currency 5 8 10 2 2" xfId="26350" xr:uid="{00000000-0005-0000-0000-000092620000}"/>
    <cellStyle name="Currency 5 8 10 3" xfId="26351" xr:uid="{00000000-0005-0000-0000-000093620000}"/>
    <cellStyle name="Currency 5 8 11" xfId="26352" xr:uid="{00000000-0005-0000-0000-000094620000}"/>
    <cellStyle name="Currency 5 8 11 2" xfId="26353" xr:uid="{00000000-0005-0000-0000-000095620000}"/>
    <cellStyle name="Currency 5 8 11 2 2" xfId="26354" xr:uid="{00000000-0005-0000-0000-000096620000}"/>
    <cellStyle name="Currency 5 8 11 3" xfId="26355" xr:uid="{00000000-0005-0000-0000-000097620000}"/>
    <cellStyle name="Currency 5 8 12" xfId="26356" xr:uid="{00000000-0005-0000-0000-000098620000}"/>
    <cellStyle name="Currency 5 8 12 2" xfId="26357" xr:uid="{00000000-0005-0000-0000-000099620000}"/>
    <cellStyle name="Currency 5 8 13" xfId="26358" xr:uid="{00000000-0005-0000-0000-00009A620000}"/>
    <cellStyle name="Currency 5 8 14" xfId="26359" xr:uid="{00000000-0005-0000-0000-00009B620000}"/>
    <cellStyle name="Currency 5 8 15" xfId="26347" xr:uid="{00000000-0005-0000-0000-00009C620000}"/>
    <cellStyle name="Currency 5 8 2" xfId="959" xr:uid="{00000000-0005-0000-0000-00009D620000}"/>
    <cellStyle name="Currency 5 8 2 10" xfId="26361" xr:uid="{00000000-0005-0000-0000-00009E620000}"/>
    <cellStyle name="Currency 5 8 2 11" xfId="26360" xr:uid="{00000000-0005-0000-0000-00009F620000}"/>
    <cellStyle name="Currency 5 8 2 2" xfId="1700" xr:uid="{00000000-0005-0000-0000-0000A0620000}"/>
    <cellStyle name="Currency 5 8 2 2 2" xfId="26363" xr:uid="{00000000-0005-0000-0000-0000A1620000}"/>
    <cellStyle name="Currency 5 8 2 2 2 2" xfId="26364" xr:uid="{00000000-0005-0000-0000-0000A2620000}"/>
    <cellStyle name="Currency 5 8 2 2 2 2 2" xfId="26365" xr:uid="{00000000-0005-0000-0000-0000A3620000}"/>
    <cellStyle name="Currency 5 8 2 2 2 2 2 2" xfId="26366" xr:uid="{00000000-0005-0000-0000-0000A4620000}"/>
    <cellStyle name="Currency 5 8 2 2 2 2 3" xfId="26367" xr:uid="{00000000-0005-0000-0000-0000A5620000}"/>
    <cellStyle name="Currency 5 8 2 2 2 3" xfId="26368" xr:uid="{00000000-0005-0000-0000-0000A6620000}"/>
    <cellStyle name="Currency 5 8 2 2 2 3 2" xfId="26369" xr:uid="{00000000-0005-0000-0000-0000A7620000}"/>
    <cellStyle name="Currency 5 8 2 2 2 4" xfId="26370" xr:uid="{00000000-0005-0000-0000-0000A8620000}"/>
    <cellStyle name="Currency 5 8 2 2 3" xfId="26371" xr:uid="{00000000-0005-0000-0000-0000A9620000}"/>
    <cellStyle name="Currency 5 8 2 2 3 2" xfId="26372" xr:uid="{00000000-0005-0000-0000-0000AA620000}"/>
    <cellStyle name="Currency 5 8 2 2 3 2 2" xfId="26373" xr:uid="{00000000-0005-0000-0000-0000AB620000}"/>
    <cellStyle name="Currency 5 8 2 2 3 2 2 2" xfId="26374" xr:uid="{00000000-0005-0000-0000-0000AC620000}"/>
    <cellStyle name="Currency 5 8 2 2 3 2 3" xfId="26375" xr:uid="{00000000-0005-0000-0000-0000AD620000}"/>
    <cellStyle name="Currency 5 8 2 2 3 3" xfId="26376" xr:uid="{00000000-0005-0000-0000-0000AE620000}"/>
    <cellStyle name="Currency 5 8 2 2 3 3 2" xfId="26377" xr:uid="{00000000-0005-0000-0000-0000AF620000}"/>
    <cellStyle name="Currency 5 8 2 2 3 4" xfId="26378" xr:uid="{00000000-0005-0000-0000-0000B0620000}"/>
    <cellStyle name="Currency 5 8 2 2 4" xfId="26379" xr:uid="{00000000-0005-0000-0000-0000B1620000}"/>
    <cellStyle name="Currency 5 8 2 2 4 2" xfId="26380" xr:uid="{00000000-0005-0000-0000-0000B2620000}"/>
    <cellStyle name="Currency 5 8 2 2 4 2 2" xfId="26381" xr:uid="{00000000-0005-0000-0000-0000B3620000}"/>
    <cellStyle name="Currency 5 8 2 2 4 3" xfId="26382" xr:uid="{00000000-0005-0000-0000-0000B4620000}"/>
    <cellStyle name="Currency 5 8 2 2 5" xfId="26383" xr:uid="{00000000-0005-0000-0000-0000B5620000}"/>
    <cellStyle name="Currency 5 8 2 2 5 2" xfId="26384" xr:uid="{00000000-0005-0000-0000-0000B6620000}"/>
    <cellStyle name="Currency 5 8 2 2 6" xfId="26385" xr:uid="{00000000-0005-0000-0000-0000B7620000}"/>
    <cellStyle name="Currency 5 8 2 2 7" xfId="26362" xr:uid="{00000000-0005-0000-0000-0000B8620000}"/>
    <cellStyle name="Currency 5 8 2 3" xfId="26386" xr:uid="{00000000-0005-0000-0000-0000B9620000}"/>
    <cellStyle name="Currency 5 8 2 3 2" xfId="26387" xr:uid="{00000000-0005-0000-0000-0000BA620000}"/>
    <cellStyle name="Currency 5 8 2 3 2 2" xfId="26388" xr:uid="{00000000-0005-0000-0000-0000BB620000}"/>
    <cellStyle name="Currency 5 8 2 3 2 2 2" xfId="26389" xr:uid="{00000000-0005-0000-0000-0000BC620000}"/>
    <cellStyle name="Currency 5 8 2 3 2 2 2 2" xfId="26390" xr:uid="{00000000-0005-0000-0000-0000BD620000}"/>
    <cellStyle name="Currency 5 8 2 3 2 2 3" xfId="26391" xr:uid="{00000000-0005-0000-0000-0000BE620000}"/>
    <cellStyle name="Currency 5 8 2 3 2 3" xfId="26392" xr:uid="{00000000-0005-0000-0000-0000BF620000}"/>
    <cellStyle name="Currency 5 8 2 3 2 3 2" xfId="26393" xr:uid="{00000000-0005-0000-0000-0000C0620000}"/>
    <cellStyle name="Currency 5 8 2 3 2 4" xfId="26394" xr:uid="{00000000-0005-0000-0000-0000C1620000}"/>
    <cellStyle name="Currency 5 8 2 3 3" xfId="26395" xr:uid="{00000000-0005-0000-0000-0000C2620000}"/>
    <cellStyle name="Currency 5 8 2 3 3 2" xfId="26396" xr:uid="{00000000-0005-0000-0000-0000C3620000}"/>
    <cellStyle name="Currency 5 8 2 3 3 2 2" xfId="26397" xr:uid="{00000000-0005-0000-0000-0000C4620000}"/>
    <cellStyle name="Currency 5 8 2 3 3 3" xfId="26398" xr:uid="{00000000-0005-0000-0000-0000C5620000}"/>
    <cellStyle name="Currency 5 8 2 3 4" xfId="26399" xr:uid="{00000000-0005-0000-0000-0000C6620000}"/>
    <cellStyle name="Currency 5 8 2 3 4 2" xfId="26400" xr:uid="{00000000-0005-0000-0000-0000C7620000}"/>
    <cellStyle name="Currency 5 8 2 3 5" xfId="26401" xr:uid="{00000000-0005-0000-0000-0000C8620000}"/>
    <cellStyle name="Currency 5 8 2 4" xfId="26402" xr:uid="{00000000-0005-0000-0000-0000C9620000}"/>
    <cellStyle name="Currency 5 8 2 4 2" xfId="26403" xr:uid="{00000000-0005-0000-0000-0000CA620000}"/>
    <cellStyle name="Currency 5 8 2 4 2 2" xfId="26404" xr:uid="{00000000-0005-0000-0000-0000CB620000}"/>
    <cellStyle name="Currency 5 8 2 4 2 2 2" xfId="26405" xr:uid="{00000000-0005-0000-0000-0000CC620000}"/>
    <cellStyle name="Currency 5 8 2 4 2 2 2 2" xfId="26406" xr:uid="{00000000-0005-0000-0000-0000CD620000}"/>
    <cellStyle name="Currency 5 8 2 4 2 2 3" xfId="26407" xr:uid="{00000000-0005-0000-0000-0000CE620000}"/>
    <cellStyle name="Currency 5 8 2 4 2 3" xfId="26408" xr:uid="{00000000-0005-0000-0000-0000CF620000}"/>
    <cellStyle name="Currency 5 8 2 4 2 3 2" xfId="26409" xr:uid="{00000000-0005-0000-0000-0000D0620000}"/>
    <cellStyle name="Currency 5 8 2 4 2 4" xfId="26410" xr:uid="{00000000-0005-0000-0000-0000D1620000}"/>
    <cellStyle name="Currency 5 8 2 4 3" xfId="26411" xr:uid="{00000000-0005-0000-0000-0000D2620000}"/>
    <cellStyle name="Currency 5 8 2 4 3 2" xfId="26412" xr:uid="{00000000-0005-0000-0000-0000D3620000}"/>
    <cellStyle name="Currency 5 8 2 4 3 2 2" xfId="26413" xr:uid="{00000000-0005-0000-0000-0000D4620000}"/>
    <cellStyle name="Currency 5 8 2 4 3 3" xfId="26414" xr:uid="{00000000-0005-0000-0000-0000D5620000}"/>
    <cellStyle name="Currency 5 8 2 4 4" xfId="26415" xr:uid="{00000000-0005-0000-0000-0000D6620000}"/>
    <cellStyle name="Currency 5 8 2 4 4 2" xfId="26416" xr:uid="{00000000-0005-0000-0000-0000D7620000}"/>
    <cellStyle name="Currency 5 8 2 4 5" xfId="26417" xr:uid="{00000000-0005-0000-0000-0000D8620000}"/>
    <cellStyle name="Currency 5 8 2 5" xfId="26418" xr:uid="{00000000-0005-0000-0000-0000D9620000}"/>
    <cellStyle name="Currency 5 8 2 5 2" xfId="26419" xr:uid="{00000000-0005-0000-0000-0000DA620000}"/>
    <cellStyle name="Currency 5 8 2 5 2 2" xfId="26420" xr:uid="{00000000-0005-0000-0000-0000DB620000}"/>
    <cellStyle name="Currency 5 8 2 5 2 2 2" xfId="26421" xr:uid="{00000000-0005-0000-0000-0000DC620000}"/>
    <cellStyle name="Currency 5 8 2 5 2 3" xfId="26422" xr:uid="{00000000-0005-0000-0000-0000DD620000}"/>
    <cellStyle name="Currency 5 8 2 5 3" xfId="26423" xr:uid="{00000000-0005-0000-0000-0000DE620000}"/>
    <cellStyle name="Currency 5 8 2 5 3 2" xfId="26424" xr:uid="{00000000-0005-0000-0000-0000DF620000}"/>
    <cellStyle name="Currency 5 8 2 5 4" xfId="26425" xr:uid="{00000000-0005-0000-0000-0000E0620000}"/>
    <cellStyle name="Currency 5 8 2 6" xfId="26426" xr:uid="{00000000-0005-0000-0000-0000E1620000}"/>
    <cellStyle name="Currency 5 8 2 6 2" xfId="26427" xr:uid="{00000000-0005-0000-0000-0000E2620000}"/>
    <cellStyle name="Currency 5 8 2 6 2 2" xfId="26428" xr:uid="{00000000-0005-0000-0000-0000E3620000}"/>
    <cellStyle name="Currency 5 8 2 6 2 2 2" xfId="26429" xr:uid="{00000000-0005-0000-0000-0000E4620000}"/>
    <cellStyle name="Currency 5 8 2 6 2 3" xfId="26430" xr:uid="{00000000-0005-0000-0000-0000E5620000}"/>
    <cellStyle name="Currency 5 8 2 6 3" xfId="26431" xr:uid="{00000000-0005-0000-0000-0000E6620000}"/>
    <cellStyle name="Currency 5 8 2 6 3 2" xfId="26432" xr:uid="{00000000-0005-0000-0000-0000E7620000}"/>
    <cellStyle name="Currency 5 8 2 6 4" xfId="26433" xr:uid="{00000000-0005-0000-0000-0000E8620000}"/>
    <cellStyle name="Currency 5 8 2 7" xfId="26434" xr:uid="{00000000-0005-0000-0000-0000E9620000}"/>
    <cellStyle name="Currency 5 8 2 7 2" xfId="26435" xr:uid="{00000000-0005-0000-0000-0000EA620000}"/>
    <cellStyle name="Currency 5 8 2 7 2 2" xfId="26436" xr:uid="{00000000-0005-0000-0000-0000EB620000}"/>
    <cellStyle name="Currency 5 8 2 7 2 2 2" xfId="26437" xr:uid="{00000000-0005-0000-0000-0000EC620000}"/>
    <cellStyle name="Currency 5 8 2 7 2 3" xfId="26438" xr:uid="{00000000-0005-0000-0000-0000ED620000}"/>
    <cellStyle name="Currency 5 8 2 7 3" xfId="26439" xr:uid="{00000000-0005-0000-0000-0000EE620000}"/>
    <cellStyle name="Currency 5 8 2 7 3 2" xfId="26440" xr:uid="{00000000-0005-0000-0000-0000EF620000}"/>
    <cellStyle name="Currency 5 8 2 7 4" xfId="26441" xr:uid="{00000000-0005-0000-0000-0000F0620000}"/>
    <cellStyle name="Currency 5 8 2 8" xfId="26442" xr:uid="{00000000-0005-0000-0000-0000F1620000}"/>
    <cellStyle name="Currency 5 8 2 8 2" xfId="26443" xr:uid="{00000000-0005-0000-0000-0000F2620000}"/>
    <cellStyle name="Currency 5 8 2 8 2 2" xfId="26444" xr:uid="{00000000-0005-0000-0000-0000F3620000}"/>
    <cellStyle name="Currency 5 8 2 8 3" xfId="26445" xr:uid="{00000000-0005-0000-0000-0000F4620000}"/>
    <cellStyle name="Currency 5 8 2 9" xfId="26446" xr:uid="{00000000-0005-0000-0000-0000F5620000}"/>
    <cellStyle name="Currency 5 8 2 9 2" xfId="26447" xr:uid="{00000000-0005-0000-0000-0000F6620000}"/>
    <cellStyle name="Currency 5 8 3" xfId="1375" xr:uid="{00000000-0005-0000-0000-0000F7620000}"/>
    <cellStyle name="Currency 5 8 3 2" xfId="26449" xr:uid="{00000000-0005-0000-0000-0000F8620000}"/>
    <cellStyle name="Currency 5 8 3 2 2" xfId="26450" xr:uid="{00000000-0005-0000-0000-0000F9620000}"/>
    <cellStyle name="Currency 5 8 3 2 2 2" xfId="26451" xr:uid="{00000000-0005-0000-0000-0000FA620000}"/>
    <cellStyle name="Currency 5 8 3 2 2 2 2" xfId="26452" xr:uid="{00000000-0005-0000-0000-0000FB620000}"/>
    <cellStyle name="Currency 5 8 3 2 2 3" xfId="26453" xr:uid="{00000000-0005-0000-0000-0000FC620000}"/>
    <cellStyle name="Currency 5 8 3 2 3" xfId="26454" xr:uid="{00000000-0005-0000-0000-0000FD620000}"/>
    <cellStyle name="Currency 5 8 3 2 3 2" xfId="26455" xr:uid="{00000000-0005-0000-0000-0000FE620000}"/>
    <cellStyle name="Currency 5 8 3 2 4" xfId="26456" xr:uid="{00000000-0005-0000-0000-0000FF620000}"/>
    <cellStyle name="Currency 5 8 3 3" xfId="26457" xr:uid="{00000000-0005-0000-0000-000000630000}"/>
    <cellStyle name="Currency 5 8 3 3 2" xfId="26458" xr:uid="{00000000-0005-0000-0000-000001630000}"/>
    <cellStyle name="Currency 5 8 3 3 2 2" xfId="26459" xr:uid="{00000000-0005-0000-0000-000002630000}"/>
    <cellStyle name="Currency 5 8 3 3 2 2 2" xfId="26460" xr:uid="{00000000-0005-0000-0000-000003630000}"/>
    <cellStyle name="Currency 5 8 3 3 2 3" xfId="26461" xr:uid="{00000000-0005-0000-0000-000004630000}"/>
    <cellStyle name="Currency 5 8 3 3 3" xfId="26462" xr:uid="{00000000-0005-0000-0000-000005630000}"/>
    <cellStyle name="Currency 5 8 3 3 3 2" xfId="26463" xr:uid="{00000000-0005-0000-0000-000006630000}"/>
    <cellStyle name="Currency 5 8 3 3 4" xfId="26464" xr:uid="{00000000-0005-0000-0000-000007630000}"/>
    <cellStyle name="Currency 5 8 3 4" xfId="26465" xr:uid="{00000000-0005-0000-0000-000008630000}"/>
    <cellStyle name="Currency 5 8 3 4 2" xfId="26466" xr:uid="{00000000-0005-0000-0000-000009630000}"/>
    <cellStyle name="Currency 5 8 3 4 2 2" xfId="26467" xr:uid="{00000000-0005-0000-0000-00000A630000}"/>
    <cellStyle name="Currency 5 8 3 4 3" xfId="26468" xr:uid="{00000000-0005-0000-0000-00000B630000}"/>
    <cellStyle name="Currency 5 8 3 5" xfId="26469" xr:uid="{00000000-0005-0000-0000-00000C630000}"/>
    <cellStyle name="Currency 5 8 3 5 2" xfId="26470" xr:uid="{00000000-0005-0000-0000-00000D630000}"/>
    <cellStyle name="Currency 5 8 3 6" xfId="26471" xr:uid="{00000000-0005-0000-0000-00000E630000}"/>
    <cellStyle name="Currency 5 8 3 7" xfId="26448" xr:uid="{00000000-0005-0000-0000-00000F630000}"/>
    <cellStyle name="Currency 5 8 4" xfId="26472" xr:uid="{00000000-0005-0000-0000-000010630000}"/>
    <cellStyle name="Currency 5 8 4 2" xfId="26473" xr:uid="{00000000-0005-0000-0000-000011630000}"/>
    <cellStyle name="Currency 5 8 4 2 2" xfId="26474" xr:uid="{00000000-0005-0000-0000-000012630000}"/>
    <cellStyle name="Currency 5 8 4 2 2 2" xfId="26475" xr:uid="{00000000-0005-0000-0000-000013630000}"/>
    <cellStyle name="Currency 5 8 4 2 2 2 2" xfId="26476" xr:uid="{00000000-0005-0000-0000-000014630000}"/>
    <cellStyle name="Currency 5 8 4 2 2 3" xfId="26477" xr:uid="{00000000-0005-0000-0000-000015630000}"/>
    <cellStyle name="Currency 5 8 4 2 3" xfId="26478" xr:uid="{00000000-0005-0000-0000-000016630000}"/>
    <cellStyle name="Currency 5 8 4 2 3 2" xfId="26479" xr:uid="{00000000-0005-0000-0000-000017630000}"/>
    <cellStyle name="Currency 5 8 4 2 4" xfId="26480" xr:uid="{00000000-0005-0000-0000-000018630000}"/>
    <cellStyle name="Currency 5 8 4 3" xfId="26481" xr:uid="{00000000-0005-0000-0000-000019630000}"/>
    <cellStyle name="Currency 5 8 4 3 2" xfId="26482" xr:uid="{00000000-0005-0000-0000-00001A630000}"/>
    <cellStyle name="Currency 5 8 4 3 2 2" xfId="26483" xr:uid="{00000000-0005-0000-0000-00001B630000}"/>
    <cellStyle name="Currency 5 8 4 3 3" xfId="26484" xr:uid="{00000000-0005-0000-0000-00001C630000}"/>
    <cellStyle name="Currency 5 8 4 4" xfId="26485" xr:uid="{00000000-0005-0000-0000-00001D630000}"/>
    <cellStyle name="Currency 5 8 4 4 2" xfId="26486" xr:uid="{00000000-0005-0000-0000-00001E630000}"/>
    <cellStyle name="Currency 5 8 4 5" xfId="26487" xr:uid="{00000000-0005-0000-0000-00001F630000}"/>
    <cellStyle name="Currency 5 8 5" xfId="26488" xr:uid="{00000000-0005-0000-0000-000020630000}"/>
    <cellStyle name="Currency 5 8 5 2" xfId="26489" xr:uid="{00000000-0005-0000-0000-000021630000}"/>
    <cellStyle name="Currency 5 8 5 2 2" xfId="26490" xr:uid="{00000000-0005-0000-0000-000022630000}"/>
    <cellStyle name="Currency 5 8 5 2 2 2" xfId="26491" xr:uid="{00000000-0005-0000-0000-000023630000}"/>
    <cellStyle name="Currency 5 8 5 2 2 2 2" xfId="26492" xr:uid="{00000000-0005-0000-0000-000024630000}"/>
    <cellStyle name="Currency 5 8 5 2 2 3" xfId="26493" xr:uid="{00000000-0005-0000-0000-000025630000}"/>
    <cellStyle name="Currency 5 8 5 2 3" xfId="26494" xr:uid="{00000000-0005-0000-0000-000026630000}"/>
    <cellStyle name="Currency 5 8 5 2 3 2" xfId="26495" xr:uid="{00000000-0005-0000-0000-000027630000}"/>
    <cellStyle name="Currency 5 8 5 2 4" xfId="26496" xr:uid="{00000000-0005-0000-0000-000028630000}"/>
    <cellStyle name="Currency 5 8 5 3" xfId="26497" xr:uid="{00000000-0005-0000-0000-000029630000}"/>
    <cellStyle name="Currency 5 8 5 3 2" xfId="26498" xr:uid="{00000000-0005-0000-0000-00002A630000}"/>
    <cellStyle name="Currency 5 8 5 3 2 2" xfId="26499" xr:uid="{00000000-0005-0000-0000-00002B630000}"/>
    <cellStyle name="Currency 5 8 5 3 3" xfId="26500" xr:uid="{00000000-0005-0000-0000-00002C630000}"/>
    <cellStyle name="Currency 5 8 5 4" xfId="26501" xr:uid="{00000000-0005-0000-0000-00002D630000}"/>
    <cellStyle name="Currency 5 8 5 4 2" xfId="26502" xr:uid="{00000000-0005-0000-0000-00002E630000}"/>
    <cellStyle name="Currency 5 8 5 5" xfId="26503" xr:uid="{00000000-0005-0000-0000-00002F630000}"/>
    <cellStyle name="Currency 5 8 6" xfId="26504" xr:uid="{00000000-0005-0000-0000-000030630000}"/>
    <cellStyle name="Currency 5 8 6 2" xfId="26505" xr:uid="{00000000-0005-0000-0000-000031630000}"/>
    <cellStyle name="Currency 5 8 6 2 2" xfId="26506" xr:uid="{00000000-0005-0000-0000-000032630000}"/>
    <cellStyle name="Currency 5 8 6 2 2 2" xfId="26507" xr:uid="{00000000-0005-0000-0000-000033630000}"/>
    <cellStyle name="Currency 5 8 6 2 3" xfId="26508" xr:uid="{00000000-0005-0000-0000-000034630000}"/>
    <cellStyle name="Currency 5 8 6 3" xfId="26509" xr:uid="{00000000-0005-0000-0000-000035630000}"/>
    <cellStyle name="Currency 5 8 6 3 2" xfId="26510" xr:uid="{00000000-0005-0000-0000-000036630000}"/>
    <cellStyle name="Currency 5 8 6 4" xfId="26511" xr:uid="{00000000-0005-0000-0000-000037630000}"/>
    <cellStyle name="Currency 5 8 7" xfId="26512" xr:uid="{00000000-0005-0000-0000-000038630000}"/>
    <cellStyle name="Currency 5 8 7 2" xfId="26513" xr:uid="{00000000-0005-0000-0000-000039630000}"/>
    <cellStyle name="Currency 5 8 7 2 2" xfId="26514" xr:uid="{00000000-0005-0000-0000-00003A630000}"/>
    <cellStyle name="Currency 5 8 7 2 2 2" xfId="26515" xr:uid="{00000000-0005-0000-0000-00003B630000}"/>
    <cellStyle name="Currency 5 8 7 2 3" xfId="26516" xr:uid="{00000000-0005-0000-0000-00003C630000}"/>
    <cellStyle name="Currency 5 8 7 3" xfId="26517" xr:uid="{00000000-0005-0000-0000-00003D630000}"/>
    <cellStyle name="Currency 5 8 7 3 2" xfId="26518" xr:uid="{00000000-0005-0000-0000-00003E630000}"/>
    <cellStyle name="Currency 5 8 7 4" xfId="26519" xr:uid="{00000000-0005-0000-0000-00003F630000}"/>
    <cellStyle name="Currency 5 8 8" xfId="26520" xr:uid="{00000000-0005-0000-0000-000040630000}"/>
    <cellStyle name="Currency 5 8 8 2" xfId="26521" xr:uid="{00000000-0005-0000-0000-000041630000}"/>
    <cellStyle name="Currency 5 8 8 2 2" xfId="26522" xr:uid="{00000000-0005-0000-0000-000042630000}"/>
    <cellStyle name="Currency 5 8 8 2 2 2" xfId="26523" xr:uid="{00000000-0005-0000-0000-000043630000}"/>
    <cellStyle name="Currency 5 8 8 2 3" xfId="26524" xr:uid="{00000000-0005-0000-0000-000044630000}"/>
    <cellStyle name="Currency 5 8 8 3" xfId="26525" xr:uid="{00000000-0005-0000-0000-000045630000}"/>
    <cellStyle name="Currency 5 8 8 3 2" xfId="26526" xr:uid="{00000000-0005-0000-0000-000046630000}"/>
    <cellStyle name="Currency 5 8 8 4" xfId="26527" xr:uid="{00000000-0005-0000-0000-000047630000}"/>
    <cellStyle name="Currency 5 8 9" xfId="26528" xr:uid="{00000000-0005-0000-0000-000048630000}"/>
    <cellStyle name="Currency 5 8 9 2" xfId="26529" xr:uid="{00000000-0005-0000-0000-000049630000}"/>
    <cellStyle name="Currency 5 8 9 2 2" xfId="26530" xr:uid="{00000000-0005-0000-0000-00004A630000}"/>
    <cellStyle name="Currency 5 8 9 3" xfId="26531" xr:uid="{00000000-0005-0000-0000-00004B630000}"/>
    <cellStyle name="Currency 5 9" xfId="432" xr:uid="{00000000-0005-0000-0000-00004C630000}"/>
    <cellStyle name="Currency 6" xfId="433" xr:uid="{00000000-0005-0000-0000-00004D630000}"/>
    <cellStyle name="Currency 6 2" xfId="1929" xr:uid="{00000000-0005-0000-0000-00004E630000}"/>
    <cellStyle name="Currency 7" xfId="434" xr:uid="{00000000-0005-0000-0000-00004F630000}"/>
    <cellStyle name="Currency 7 2" xfId="26532" xr:uid="{00000000-0005-0000-0000-000050630000}"/>
    <cellStyle name="Currency 8" xfId="435" xr:uid="{00000000-0005-0000-0000-000051630000}"/>
    <cellStyle name="Currency 8 10" xfId="26534" xr:uid="{00000000-0005-0000-0000-000052630000}"/>
    <cellStyle name="Currency 8 10 2" xfId="26535" xr:uid="{00000000-0005-0000-0000-000053630000}"/>
    <cellStyle name="Currency 8 10 2 2" xfId="26536" xr:uid="{00000000-0005-0000-0000-000054630000}"/>
    <cellStyle name="Currency 8 10 2 2 2" xfId="26537" xr:uid="{00000000-0005-0000-0000-000055630000}"/>
    <cellStyle name="Currency 8 10 2 3" xfId="26538" xr:uid="{00000000-0005-0000-0000-000056630000}"/>
    <cellStyle name="Currency 8 10 3" xfId="26539" xr:uid="{00000000-0005-0000-0000-000057630000}"/>
    <cellStyle name="Currency 8 10 3 2" xfId="26540" xr:uid="{00000000-0005-0000-0000-000058630000}"/>
    <cellStyle name="Currency 8 10 4" xfId="26541" xr:uid="{00000000-0005-0000-0000-000059630000}"/>
    <cellStyle name="Currency 8 11" xfId="26542" xr:uid="{00000000-0005-0000-0000-00005A630000}"/>
    <cellStyle name="Currency 8 11 2" xfId="26543" xr:uid="{00000000-0005-0000-0000-00005B630000}"/>
    <cellStyle name="Currency 8 11 2 2" xfId="26544" xr:uid="{00000000-0005-0000-0000-00005C630000}"/>
    <cellStyle name="Currency 8 11 3" xfId="26545" xr:uid="{00000000-0005-0000-0000-00005D630000}"/>
    <cellStyle name="Currency 8 12" xfId="26546" xr:uid="{00000000-0005-0000-0000-00005E630000}"/>
    <cellStyle name="Currency 8 12 2" xfId="26547" xr:uid="{00000000-0005-0000-0000-00005F630000}"/>
    <cellStyle name="Currency 8 12 2 2" xfId="26548" xr:uid="{00000000-0005-0000-0000-000060630000}"/>
    <cellStyle name="Currency 8 12 3" xfId="26549" xr:uid="{00000000-0005-0000-0000-000061630000}"/>
    <cellStyle name="Currency 8 13" xfId="26550" xr:uid="{00000000-0005-0000-0000-000062630000}"/>
    <cellStyle name="Currency 8 13 2" xfId="26551" xr:uid="{00000000-0005-0000-0000-000063630000}"/>
    <cellStyle name="Currency 8 13 2 2" xfId="26552" xr:uid="{00000000-0005-0000-0000-000064630000}"/>
    <cellStyle name="Currency 8 13 3" xfId="26553" xr:uid="{00000000-0005-0000-0000-000065630000}"/>
    <cellStyle name="Currency 8 14" xfId="26554" xr:uid="{00000000-0005-0000-0000-000066630000}"/>
    <cellStyle name="Currency 8 14 2" xfId="26555" xr:uid="{00000000-0005-0000-0000-000067630000}"/>
    <cellStyle name="Currency 8 15" xfId="26556" xr:uid="{00000000-0005-0000-0000-000068630000}"/>
    <cellStyle name="Currency 8 16" xfId="26557" xr:uid="{00000000-0005-0000-0000-000069630000}"/>
    <cellStyle name="Currency 8 17" xfId="26533" xr:uid="{00000000-0005-0000-0000-00006A630000}"/>
    <cellStyle name="Currency 8 2" xfId="436" xr:uid="{00000000-0005-0000-0000-00006B630000}"/>
    <cellStyle name="Currency 8 2 10" xfId="26559" xr:uid="{00000000-0005-0000-0000-00006C630000}"/>
    <cellStyle name="Currency 8 2 10 2" xfId="26560" xr:uid="{00000000-0005-0000-0000-00006D630000}"/>
    <cellStyle name="Currency 8 2 10 2 2" xfId="26561" xr:uid="{00000000-0005-0000-0000-00006E630000}"/>
    <cellStyle name="Currency 8 2 10 3" xfId="26562" xr:uid="{00000000-0005-0000-0000-00006F630000}"/>
    <cellStyle name="Currency 8 2 11" xfId="26563" xr:uid="{00000000-0005-0000-0000-000070630000}"/>
    <cellStyle name="Currency 8 2 11 2" xfId="26564" xr:uid="{00000000-0005-0000-0000-000071630000}"/>
    <cellStyle name="Currency 8 2 11 2 2" xfId="26565" xr:uid="{00000000-0005-0000-0000-000072630000}"/>
    <cellStyle name="Currency 8 2 11 3" xfId="26566" xr:uid="{00000000-0005-0000-0000-000073630000}"/>
    <cellStyle name="Currency 8 2 12" xfId="26567" xr:uid="{00000000-0005-0000-0000-000074630000}"/>
    <cellStyle name="Currency 8 2 12 2" xfId="26568" xr:uid="{00000000-0005-0000-0000-000075630000}"/>
    <cellStyle name="Currency 8 2 13" xfId="26569" xr:uid="{00000000-0005-0000-0000-000076630000}"/>
    <cellStyle name="Currency 8 2 14" xfId="26570" xr:uid="{00000000-0005-0000-0000-000077630000}"/>
    <cellStyle name="Currency 8 2 15" xfId="26558" xr:uid="{00000000-0005-0000-0000-000078630000}"/>
    <cellStyle name="Currency 8 2 2" xfId="961" xr:uid="{00000000-0005-0000-0000-000079630000}"/>
    <cellStyle name="Currency 8 2 2 10" xfId="26572" xr:uid="{00000000-0005-0000-0000-00007A630000}"/>
    <cellStyle name="Currency 8 2 2 11" xfId="26571" xr:uid="{00000000-0005-0000-0000-00007B630000}"/>
    <cellStyle name="Currency 8 2 2 2" xfId="1702" xr:uid="{00000000-0005-0000-0000-00007C630000}"/>
    <cellStyle name="Currency 8 2 2 2 2" xfId="26574" xr:uid="{00000000-0005-0000-0000-00007D630000}"/>
    <cellStyle name="Currency 8 2 2 2 2 2" xfId="26575" xr:uid="{00000000-0005-0000-0000-00007E630000}"/>
    <cellStyle name="Currency 8 2 2 2 2 2 2" xfId="26576" xr:uid="{00000000-0005-0000-0000-00007F630000}"/>
    <cellStyle name="Currency 8 2 2 2 2 2 2 2" xfId="26577" xr:uid="{00000000-0005-0000-0000-000080630000}"/>
    <cellStyle name="Currency 8 2 2 2 2 2 3" xfId="26578" xr:uid="{00000000-0005-0000-0000-000081630000}"/>
    <cellStyle name="Currency 8 2 2 2 2 3" xfId="26579" xr:uid="{00000000-0005-0000-0000-000082630000}"/>
    <cellStyle name="Currency 8 2 2 2 2 3 2" xfId="26580" xr:uid="{00000000-0005-0000-0000-000083630000}"/>
    <cellStyle name="Currency 8 2 2 2 2 4" xfId="26581" xr:uid="{00000000-0005-0000-0000-000084630000}"/>
    <cellStyle name="Currency 8 2 2 2 3" xfId="26582" xr:uid="{00000000-0005-0000-0000-000085630000}"/>
    <cellStyle name="Currency 8 2 2 2 3 2" xfId="26583" xr:uid="{00000000-0005-0000-0000-000086630000}"/>
    <cellStyle name="Currency 8 2 2 2 3 2 2" xfId="26584" xr:uid="{00000000-0005-0000-0000-000087630000}"/>
    <cellStyle name="Currency 8 2 2 2 3 2 2 2" xfId="26585" xr:uid="{00000000-0005-0000-0000-000088630000}"/>
    <cellStyle name="Currency 8 2 2 2 3 2 3" xfId="26586" xr:uid="{00000000-0005-0000-0000-000089630000}"/>
    <cellStyle name="Currency 8 2 2 2 3 3" xfId="26587" xr:uid="{00000000-0005-0000-0000-00008A630000}"/>
    <cellStyle name="Currency 8 2 2 2 3 3 2" xfId="26588" xr:uid="{00000000-0005-0000-0000-00008B630000}"/>
    <cellStyle name="Currency 8 2 2 2 3 4" xfId="26589" xr:uid="{00000000-0005-0000-0000-00008C630000}"/>
    <cellStyle name="Currency 8 2 2 2 4" xfId="26590" xr:uid="{00000000-0005-0000-0000-00008D630000}"/>
    <cellStyle name="Currency 8 2 2 2 4 2" xfId="26591" xr:uid="{00000000-0005-0000-0000-00008E630000}"/>
    <cellStyle name="Currency 8 2 2 2 4 2 2" xfId="26592" xr:uid="{00000000-0005-0000-0000-00008F630000}"/>
    <cellStyle name="Currency 8 2 2 2 4 3" xfId="26593" xr:uid="{00000000-0005-0000-0000-000090630000}"/>
    <cellStyle name="Currency 8 2 2 2 5" xfId="26594" xr:uid="{00000000-0005-0000-0000-000091630000}"/>
    <cellStyle name="Currency 8 2 2 2 5 2" xfId="26595" xr:uid="{00000000-0005-0000-0000-000092630000}"/>
    <cellStyle name="Currency 8 2 2 2 6" xfId="26596" xr:uid="{00000000-0005-0000-0000-000093630000}"/>
    <cellStyle name="Currency 8 2 2 2 7" xfId="26573" xr:uid="{00000000-0005-0000-0000-000094630000}"/>
    <cellStyle name="Currency 8 2 2 3" xfId="26597" xr:uid="{00000000-0005-0000-0000-000095630000}"/>
    <cellStyle name="Currency 8 2 2 3 2" xfId="26598" xr:uid="{00000000-0005-0000-0000-000096630000}"/>
    <cellStyle name="Currency 8 2 2 3 2 2" xfId="26599" xr:uid="{00000000-0005-0000-0000-000097630000}"/>
    <cellStyle name="Currency 8 2 2 3 2 2 2" xfId="26600" xr:uid="{00000000-0005-0000-0000-000098630000}"/>
    <cellStyle name="Currency 8 2 2 3 2 2 2 2" xfId="26601" xr:uid="{00000000-0005-0000-0000-000099630000}"/>
    <cellStyle name="Currency 8 2 2 3 2 2 3" xfId="26602" xr:uid="{00000000-0005-0000-0000-00009A630000}"/>
    <cellStyle name="Currency 8 2 2 3 2 3" xfId="26603" xr:uid="{00000000-0005-0000-0000-00009B630000}"/>
    <cellStyle name="Currency 8 2 2 3 2 3 2" xfId="26604" xr:uid="{00000000-0005-0000-0000-00009C630000}"/>
    <cellStyle name="Currency 8 2 2 3 2 4" xfId="26605" xr:uid="{00000000-0005-0000-0000-00009D630000}"/>
    <cellStyle name="Currency 8 2 2 3 3" xfId="26606" xr:uid="{00000000-0005-0000-0000-00009E630000}"/>
    <cellStyle name="Currency 8 2 2 3 3 2" xfId="26607" xr:uid="{00000000-0005-0000-0000-00009F630000}"/>
    <cellStyle name="Currency 8 2 2 3 3 2 2" xfId="26608" xr:uid="{00000000-0005-0000-0000-0000A0630000}"/>
    <cellStyle name="Currency 8 2 2 3 3 3" xfId="26609" xr:uid="{00000000-0005-0000-0000-0000A1630000}"/>
    <cellStyle name="Currency 8 2 2 3 4" xfId="26610" xr:uid="{00000000-0005-0000-0000-0000A2630000}"/>
    <cellStyle name="Currency 8 2 2 3 4 2" xfId="26611" xr:uid="{00000000-0005-0000-0000-0000A3630000}"/>
    <cellStyle name="Currency 8 2 2 3 5" xfId="26612" xr:uid="{00000000-0005-0000-0000-0000A4630000}"/>
    <cellStyle name="Currency 8 2 2 4" xfId="26613" xr:uid="{00000000-0005-0000-0000-0000A5630000}"/>
    <cellStyle name="Currency 8 2 2 4 2" xfId="26614" xr:uid="{00000000-0005-0000-0000-0000A6630000}"/>
    <cellStyle name="Currency 8 2 2 4 2 2" xfId="26615" xr:uid="{00000000-0005-0000-0000-0000A7630000}"/>
    <cellStyle name="Currency 8 2 2 4 2 2 2" xfId="26616" xr:uid="{00000000-0005-0000-0000-0000A8630000}"/>
    <cellStyle name="Currency 8 2 2 4 2 2 2 2" xfId="26617" xr:uid="{00000000-0005-0000-0000-0000A9630000}"/>
    <cellStyle name="Currency 8 2 2 4 2 2 3" xfId="26618" xr:uid="{00000000-0005-0000-0000-0000AA630000}"/>
    <cellStyle name="Currency 8 2 2 4 2 3" xfId="26619" xr:uid="{00000000-0005-0000-0000-0000AB630000}"/>
    <cellStyle name="Currency 8 2 2 4 2 3 2" xfId="26620" xr:uid="{00000000-0005-0000-0000-0000AC630000}"/>
    <cellStyle name="Currency 8 2 2 4 2 4" xfId="26621" xr:uid="{00000000-0005-0000-0000-0000AD630000}"/>
    <cellStyle name="Currency 8 2 2 4 3" xfId="26622" xr:uid="{00000000-0005-0000-0000-0000AE630000}"/>
    <cellStyle name="Currency 8 2 2 4 3 2" xfId="26623" xr:uid="{00000000-0005-0000-0000-0000AF630000}"/>
    <cellStyle name="Currency 8 2 2 4 3 2 2" xfId="26624" xr:uid="{00000000-0005-0000-0000-0000B0630000}"/>
    <cellStyle name="Currency 8 2 2 4 3 3" xfId="26625" xr:uid="{00000000-0005-0000-0000-0000B1630000}"/>
    <cellStyle name="Currency 8 2 2 4 4" xfId="26626" xr:uid="{00000000-0005-0000-0000-0000B2630000}"/>
    <cellStyle name="Currency 8 2 2 4 4 2" xfId="26627" xr:uid="{00000000-0005-0000-0000-0000B3630000}"/>
    <cellStyle name="Currency 8 2 2 4 5" xfId="26628" xr:uid="{00000000-0005-0000-0000-0000B4630000}"/>
    <cellStyle name="Currency 8 2 2 5" xfId="26629" xr:uid="{00000000-0005-0000-0000-0000B5630000}"/>
    <cellStyle name="Currency 8 2 2 5 2" xfId="26630" xr:uid="{00000000-0005-0000-0000-0000B6630000}"/>
    <cellStyle name="Currency 8 2 2 5 2 2" xfId="26631" xr:uid="{00000000-0005-0000-0000-0000B7630000}"/>
    <cellStyle name="Currency 8 2 2 5 2 2 2" xfId="26632" xr:uid="{00000000-0005-0000-0000-0000B8630000}"/>
    <cellStyle name="Currency 8 2 2 5 2 3" xfId="26633" xr:uid="{00000000-0005-0000-0000-0000B9630000}"/>
    <cellStyle name="Currency 8 2 2 5 3" xfId="26634" xr:uid="{00000000-0005-0000-0000-0000BA630000}"/>
    <cellStyle name="Currency 8 2 2 5 3 2" xfId="26635" xr:uid="{00000000-0005-0000-0000-0000BB630000}"/>
    <cellStyle name="Currency 8 2 2 5 4" xfId="26636" xr:uid="{00000000-0005-0000-0000-0000BC630000}"/>
    <cellStyle name="Currency 8 2 2 6" xfId="26637" xr:uid="{00000000-0005-0000-0000-0000BD630000}"/>
    <cellStyle name="Currency 8 2 2 6 2" xfId="26638" xr:uid="{00000000-0005-0000-0000-0000BE630000}"/>
    <cellStyle name="Currency 8 2 2 6 2 2" xfId="26639" xr:uid="{00000000-0005-0000-0000-0000BF630000}"/>
    <cellStyle name="Currency 8 2 2 6 2 2 2" xfId="26640" xr:uid="{00000000-0005-0000-0000-0000C0630000}"/>
    <cellStyle name="Currency 8 2 2 6 2 3" xfId="26641" xr:uid="{00000000-0005-0000-0000-0000C1630000}"/>
    <cellStyle name="Currency 8 2 2 6 3" xfId="26642" xr:uid="{00000000-0005-0000-0000-0000C2630000}"/>
    <cellStyle name="Currency 8 2 2 6 3 2" xfId="26643" xr:uid="{00000000-0005-0000-0000-0000C3630000}"/>
    <cellStyle name="Currency 8 2 2 6 4" xfId="26644" xr:uid="{00000000-0005-0000-0000-0000C4630000}"/>
    <cellStyle name="Currency 8 2 2 7" xfId="26645" xr:uid="{00000000-0005-0000-0000-0000C5630000}"/>
    <cellStyle name="Currency 8 2 2 7 2" xfId="26646" xr:uid="{00000000-0005-0000-0000-0000C6630000}"/>
    <cellStyle name="Currency 8 2 2 7 2 2" xfId="26647" xr:uid="{00000000-0005-0000-0000-0000C7630000}"/>
    <cellStyle name="Currency 8 2 2 7 2 2 2" xfId="26648" xr:uid="{00000000-0005-0000-0000-0000C8630000}"/>
    <cellStyle name="Currency 8 2 2 7 2 3" xfId="26649" xr:uid="{00000000-0005-0000-0000-0000C9630000}"/>
    <cellStyle name="Currency 8 2 2 7 3" xfId="26650" xr:uid="{00000000-0005-0000-0000-0000CA630000}"/>
    <cellStyle name="Currency 8 2 2 7 3 2" xfId="26651" xr:uid="{00000000-0005-0000-0000-0000CB630000}"/>
    <cellStyle name="Currency 8 2 2 7 4" xfId="26652" xr:uid="{00000000-0005-0000-0000-0000CC630000}"/>
    <cellStyle name="Currency 8 2 2 8" xfId="26653" xr:uid="{00000000-0005-0000-0000-0000CD630000}"/>
    <cellStyle name="Currency 8 2 2 8 2" xfId="26654" xr:uid="{00000000-0005-0000-0000-0000CE630000}"/>
    <cellStyle name="Currency 8 2 2 8 2 2" xfId="26655" xr:uid="{00000000-0005-0000-0000-0000CF630000}"/>
    <cellStyle name="Currency 8 2 2 8 3" xfId="26656" xr:uid="{00000000-0005-0000-0000-0000D0630000}"/>
    <cellStyle name="Currency 8 2 2 9" xfId="26657" xr:uid="{00000000-0005-0000-0000-0000D1630000}"/>
    <cellStyle name="Currency 8 2 2 9 2" xfId="26658" xr:uid="{00000000-0005-0000-0000-0000D2630000}"/>
    <cellStyle name="Currency 8 2 3" xfId="1377" xr:uid="{00000000-0005-0000-0000-0000D3630000}"/>
    <cellStyle name="Currency 8 2 3 2" xfId="26660" xr:uid="{00000000-0005-0000-0000-0000D4630000}"/>
    <cellStyle name="Currency 8 2 3 2 2" xfId="26661" xr:uid="{00000000-0005-0000-0000-0000D5630000}"/>
    <cellStyle name="Currency 8 2 3 2 2 2" xfId="26662" xr:uid="{00000000-0005-0000-0000-0000D6630000}"/>
    <cellStyle name="Currency 8 2 3 2 2 2 2" xfId="26663" xr:uid="{00000000-0005-0000-0000-0000D7630000}"/>
    <cellStyle name="Currency 8 2 3 2 2 3" xfId="26664" xr:uid="{00000000-0005-0000-0000-0000D8630000}"/>
    <cellStyle name="Currency 8 2 3 2 3" xfId="26665" xr:uid="{00000000-0005-0000-0000-0000D9630000}"/>
    <cellStyle name="Currency 8 2 3 2 3 2" xfId="26666" xr:uid="{00000000-0005-0000-0000-0000DA630000}"/>
    <cellStyle name="Currency 8 2 3 2 4" xfId="26667" xr:uid="{00000000-0005-0000-0000-0000DB630000}"/>
    <cellStyle name="Currency 8 2 3 3" xfId="26668" xr:uid="{00000000-0005-0000-0000-0000DC630000}"/>
    <cellStyle name="Currency 8 2 3 3 2" xfId="26669" xr:uid="{00000000-0005-0000-0000-0000DD630000}"/>
    <cellStyle name="Currency 8 2 3 3 2 2" xfId="26670" xr:uid="{00000000-0005-0000-0000-0000DE630000}"/>
    <cellStyle name="Currency 8 2 3 3 2 2 2" xfId="26671" xr:uid="{00000000-0005-0000-0000-0000DF630000}"/>
    <cellStyle name="Currency 8 2 3 3 2 3" xfId="26672" xr:uid="{00000000-0005-0000-0000-0000E0630000}"/>
    <cellStyle name="Currency 8 2 3 3 3" xfId="26673" xr:uid="{00000000-0005-0000-0000-0000E1630000}"/>
    <cellStyle name="Currency 8 2 3 3 3 2" xfId="26674" xr:uid="{00000000-0005-0000-0000-0000E2630000}"/>
    <cellStyle name="Currency 8 2 3 3 4" xfId="26675" xr:uid="{00000000-0005-0000-0000-0000E3630000}"/>
    <cellStyle name="Currency 8 2 3 4" xfId="26676" xr:uid="{00000000-0005-0000-0000-0000E4630000}"/>
    <cellStyle name="Currency 8 2 3 4 2" xfId="26677" xr:uid="{00000000-0005-0000-0000-0000E5630000}"/>
    <cellStyle name="Currency 8 2 3 4 2 2" xfId="26678" xr:uid="{00000000-0005-0000-0000-0000E6630000}"/>
    <cellStyle name="Currency 8 2 3 4 3" xfId="26679" xr:uid="{00000000-0005-0000-0000-0000E7630000}"/>
    <cellStyle name="Currency 8 2 3 5" xfId="26680" xr:uid="{00000000-0005-0000-0000-0000E8630000}"/>
    <cellStyle name="Currency 8 2 3 5 2" xfId="26681" xr:uid="{00000000-0005-0000-0000-0000E9630000}"/>
    <cellStyle name="Currency 8 2 3 6" xfId="26682" xr:uid="{00000000-0005-0000-0000-0000EA630000}"/>
    <cellStyle name="Currency 8 2 3 7" xfId="26659" xr:uid="{00000000-0005-0000-0000-0000EB630000}"/>
    <cellStyle name="Currency 8 2 4" xfId="26683" xr:uid="{00000000-0005-0000-0000-0000EC630000}"/>
    <cellStyle name="Currency 8 2 4 2" xfId="26684" xr:uid="{00000000-0005-0000-0000-0000ED630000}"/>
    <cellStyle name="Currency 8 2 4 2 2" xfId="26685" xr:uid="{00000000-0005-0000-0000-0000EE630000}"/>
    <cellStyle name="Currency 8 2 4 2 2 2" xfId="26686" xr:uid="{00000000-0005-0000-0000-0000EF630000}"/>
    <cellStyle name="Currency 8 2 4 2 2 2 2" xfId="26687" xr:uid="{00000000-0005-0000-0000-0000F0630000}"/>
    <cellStyle name="Currency 8 2 4 2 2 3" xfId="26688" xr:uid="{00000000-0005-0000-0000-0000F1630000}"/>
    <cellStyle name="Currency 8 2 4 2 3" xfId="26689" xr:uid="{00000000-0005-0000-0000-0000F2630000}"/>
    <cellStyle name="Currency 8 2 4 2 3 2" xfId="26690" xr:uid="{00000000-0005-0000-0000-0000F3630000}"/>
    <cellStyle name="Currency 8 2 4 2 4" xfId="26691" xr:uid="{00000000-0005-0000-0000-0000F4630000}"/>
    <cellStyle name="Currency 8 2 4 3" xfId="26692" xr:uid="{00000000-0005-0000-0000-0000F5630000}"/>
    <cellStyle name="Currency 8 2 4 3 2" xfId="26693" xr:uid="{00000000-0005-0000-0000-0000F6630000}"/>
    <cellStyle name="Currency 8 2 4 3 2 2" xfId="26694" xr:uid="{00000000-0005-0000-0000-0000F7630000}"/>
    <cellStyle name="Currency 8 2 4 3 3" xfId="26695" xr:uid="{00000000-0005-0000-0000-0000F8630000}"/>
    <cellStyle name="Currency 8 2 4 4" xfId="26696" xr:uid="{00000000-0005-0000-0000-0000F9630000}"/>
    <cellStyle name="Currency 8 2 4 4 2" xfId="26697" xr:uid="{00000000-0005-0000-0000-0000FA630000}"/>
    <cellStyle name="Currency 8 2 4 5" xfId="26698" xr:uid="{00000000-0005-0000-0000-0000FB630000}"/>
    <cellStyle name="Currency 8 2 5" xfId="26699" xr:uid="{00000000-0005-0000-0000-0000FC630000}"/>
    <cellStyle name="Currency 8 2 5 2" xfId="26700" xr:uid="{00000000-0005-0000-0000-0000FD630000}"/>
    <cellStyle name="Currency 8 2 5 2 2" xfId="26701" xr:uid="{00000000-0005-0000-0000-0000FE630000}"/>
    <cellStyle name="Currency 8 2 5 2 2 2" xfId="26702" xr:uid="{00000000-0005-0000-0000-0000FF630000}"/>
    <cellStyle name="Currency 8 2 5 2 2 2 2" xfId="26703" xr:uid="{00000000-0005-0000-0000-000000640000}"/>
    <cellStyle name="Currency 8 2 5 2 2 3" xfId="26704" xr:uid="{00000000-0005-0000-0000-000001640000}"/>
    <cellStyle name="Currency 8 2 5 2 3" xfId="26705" xr:uid="{00000000-0005-0000-0000-000002640000}"/>
    <cellStyle name="Currency 8 2 5 2 3 2" xfId="26706" xr:uid="{00000000-0005-0000-0000-000003640000}"/>
    <cellStyle name="Currency 8 2 5 2 4" xfId="26707" xr:uid="{00000000-0005-0000-0000-000004640000}"/>
    <cellStyle name="Currency 8 2 5 3" xfId="26708" xr:uid="{00000000-0005-0000-0000-000005640000}"/>
    <cellStyle name="Currency 8 2 5 3 2" xfId="26709" xr:uid="{00000000-0005-0000-0000-000006640000}"/>
    <cellStyle name="Currency 8 2 5 3 2 2" xfId="26710" xr:uid="{00000000-0005-0000-0000-000007640000}"/>
    <cellStyle name="Currency 8 2 5 3 3" xfId="26711" xr:uid="{00000000-0005-0000-0000-000008640000}"/>
    <cellStyle name="Currency 8 2 5 4" xfId="26712" xr:uid="{00000000-0005-0000-0000-000009640000}"/>
    <cellStyle name="Currency 8 2 5 4 2" xfId="26713" xr:uid="{00000000-0005-0000-0000-00000A640000}"/>
    <cellStyle name="Currency 8 2 5 5" xfId="26714" xr:uid="{00000000-0005-0000-0000-00000B640000}"/>
    <cellStyle name="Currency 8 2 6" xfId="26715" xr:uid="{00000000-0005-0000-0000-00000C640000}"/>
    <cellStyle name="Currency 8 2 6 2" xfId="26716" xr:uid="{00000000-0005-0000-0000-00000D640000}"/>
    <cellStyle name="Currency 8 2 6 2 2" xfId="26717" xr:uid="{00000000-0005-0000-0000-00000E640000}"/>
    <cellStyle name="Currency 8 2 6 2 2 2" xfId="26718" xr:uid="{00000000-0005-0000-0000-00000F640000}"/>
    <cellStyle name="Currency 8 2 6 2 3" xfId="26719" xr:uid="{00000000-0005-0000-0000-000010640000}"/>
    <cellStyle name="Currency 8 2 6 3" xfId="26720" xr:uid="{00000000-0005-0000-0000-000011640000}"/>
    <cellStyle name="Currency 8 2 6 3 2" xfId="26721" xr:uid="{00000000-0005-0000-0000-000012640000}"/>
    <cellStyle name="Currency 8 2 6 4" xfId="26722" xr:uid="{00000000-0005-0000-0000-000013640000}"/>
    <cellStyle name="Currency 8 2 7" xfId="26723" xr:uid="{00000000-0005-0000-0000-000014640000}"/>
    <cellStyle name="Currency 8 2 7 2" xfId="26724" xr:uid="{00000000-0005-0000-0000-000015640000}"/>
    <cellStyle name="Currency 8 2 7 2 2" xfId="26725" xr:uid="{00000000-0005-0000-0000-000016640000}"/>
    <cellStyle name="Currency 8 2 7 2 2 2" xfId="26726" xr:uid="{00000000-0005-0000-0000-000017640000}"/>
    <cellStyle name="Currency 8 2 7 2 3" xfId="26727" xr:uid="{00000000-0005-0000-0000-000018640000}"/>
    <cellStyle name="Currency 8 2 7 3" xfId="26728" xr:uid="{00000000-0005-0000-0000-000019640000}"/>
    <cellStyle name="Currency 8 2 7 3 2" xfId="26729" xr:uid="{00000000-0005-0000-0000-00001A640000}"/>
    <cellStyle name="Currency 8 2 7 4" xfId="26730" xr:uid="{00000000-0005-0000-0000-00001B640000}"/>
    <cellStyle name="Currency 8 2 8" xfId="26731" xr:uid="{00000000-0005-0000-0000-00001C640000}"/>
    <cellStyle name="Currency 8 2 8 2" xfId="26732" xr:uid="{00000000-0005-0000-0000-00001D640000}"/>
    <cellStyle name="Currency 8 2 8 2 2" xfId="26733" xr:uid="{00000000-0005-0000-0000-00001E640000}"/>
    <cellStyle name="Currency 8 2 8 2 2 2" xfId="26734" xr:uid="{00000000-0005-0000-0000-00001F640000}"/>
    <cellStyle name="Currency 8 2 8 2 3" xfId="26735" xr:uid="{00000000-0005-0000-0000-000020640000}"/>
    <cellStyle name="Currency 8 2 8 3" xfId="26736" xr:uid="{00000000-0005-0000-0000-000021640000}"/>
    <cellStyle name="Currency 8 2 8 3 2" xfId="26737" xr:uid="{00000000-0005-0000-0000-000022640000}"/>
    <cellStyle name="Currency 8 2 8 4" xfId="26738" xr:uid="{00000000-0005-0000-0000-000023640000}"/>
    <cellStyle name="Currency 8 2 9" xfId="26739" xr:uid="{00000000-0005-0000-0000-000024640000}"/>
    <cellStyle name="Currency 8 2 9 2" xfId="26740" xr:uid="{00000000-0005-0000-0000-000025640000}"/>
    <cellStyle name="Currency 8 2 9 2 2" xfId="26741" xr:uid="{00000000-0005-0000-0000-000026640000}"/>
    <cellStyle name="Currency 8 2 9 3" xfId="26742" xr:uid="{00000000-0005-0000-0000-000027640000}"/>
    <cellStyle name="Currency 8 3" xfId="437" xr:uid="{00000000-0005-0000-0000-000028640000}"/>
    <cellStyle name="Currency 8 4" xfId="960" xr:uid="{00000000-0005-0000-0000-000029640000}"/>
    <cellStyle name="Currency 8 4 10" xfId="26744" xr:uid="{00000000-0005-0000-0000-00002A640000}"/>
    <cellStyle name="Currency 8 4 11" xfId="26743" xr:uid="{00000000-0005-0000-0000-00002B640000}"/>
    <cellStyle name="Currency 8 4 2" xfId="1701" xr:uid="{00000000-0005-0000-0000-00002C640000}"/>
    <cellStyle name="Currency 8 4 2 2" xfId="26746" xr:uid="{00000000-0005-0000-0000-00002D640000}"/>
    <cellStyle name="Currency 8 4 2 2 2" xfId="26747" xr:uid="{00000000-0005-0000-0000-00002E640000}"/>
    <cellStyle name="Currency 8 4 2 2 2 2" xfId="26748" xr:uid="{00000000-0005-0000-0000-00002F640000}"/>
    <cellStyle name="Currency 8 4 2 2 2 2 2" xfId="26749" xr:uid="{00000000-0005-0000-0000-000030640000}"/>
    <cellStyle name="Currency 8 4 2 2 2 3" xfId="26750" xr:uid="{00000000-0005-0000-0000-000031640000}"/>
    <cellStyle name="Currency 8 4 2 2 3" xfId="26751" xr:uid="{00000000-0005-0000-0000-000032640000}"/>
    <cellStyle name="Currency 8 4 2 2 3 2" xfId="26752" xr:uid="{00000000-0005-0000-0000-000033640000}"/>
    <cellStyle name="Currency 8 4 2 2 4" xfId="26753" xr:uid="{00000000-0005-0000-0000-000034640000}"/>
    <cellStyle name="Currency 8 4 2 3" xfId="26754" xr:uid="{00000000-0005-0000-0000-000035640000}"/>
    <cellStyle name="Currency 8 4 2 3 2" xfId="26755" xr:uid="{00000000-0005-0000-0000-000036640000}"/>
    <cellStyle name="Currency 8 4 2 3 2 2" xfId="26756" xr:uid="{00000000-0005-0000-0000-000037640000}"/>
    <cellStyle name="Currency 8 4 2 3 2 2 2" xfId="26757" xr:uid="{00000000-0005-0000-0000-000038640000}"/>
    <cellStyle name="Currency 8 4 2 3 2 3" xfId="26758" xr:uid="{00000000-0005-0000-0000-000039640000}"/>
    <cellStyle name="Currency 8 4 2 3 3" xfId="26759" xr:uid="{00000000-0005-0000-0000-00003A640000}"/>
    <cellStyle name="Currency 8 4 2 3 3 2" xfId="26760" xr:uid="{00000000-0005-0000-0000-00003B640000}"/>
    <cellStyle name="Currency 8 4 2 3 4" xfId="26761" xr:uid="{00000000-0005-0000-0000-00003C640000}"/>
    <cellStyle name="Currency 8 4 2 4" xfId="26762" xr:uid="{00000000-0005-0000-0000-00003D640000}"/>
    <cellStyle name="Currency 8 4 2 4 2" xfId="26763" xr:uid="{00000000-0005-0000-0000-00003E640000}"/>
    <cellStyle name="Currency 8 4 2 4 2 2" xfId="26764" xr:uid="{00000000-0005-0000-0000-00003F640000}"/>
    <cellStyle name="Currency 8 4 2 4 3" xfId="26765" xr:uid="{00000000-0005-0000-0000-000040640000}"/>
    <cellStyle name="Currency 8 4 2 5" xfId="26766" xr:uid="{00000000-0005-0000-0000-000041640000}"/>
    <cellStyle name="Currency 8 4 2 5 2" xfId="26767" xr:uid="{00000000-0005-0000-0000-000042640000}"/>
    <cellStyle name="Currency 8 4 2 6" xfId="26768" xr:uid="{00000000-0005-0000-0000-000043640000}"/>
    <cellStyle name="Currency 8 4 2 7" xfId="26745" xr:uid="{00000000-0005-0000-0000-000044640000}"/>
    <cellStyle name="Currency 8 4 3" xfId="26769" xr:uid="{00000000-0005-0000-0000-000045640000}"/>
    <cellStyle name="Currency 8 4 3 2" xfId="26770" xr:uid="{00000000-0005-0000-0000-000046640000}"/>
    <cellStyle name="Currency 8 4 3 2 2" xfId="26771" xr:uid="{00000000-0005-0000-0000-000047640000}"/>
    <cellStyle name="Currency 8 4 3 2 2 2" xfId="26772" xr:uid="{00000000-0005-0000-0000-000048640000}"/>
    <cellStyle name="Currency 8 4 3 2 2 2 2" xfId="26773" xr:uid="{00000000-0005-0000-0000-000049640000}"/>
    <cellStyle name="Currency 8 4 3 2 2 3" xfId="26774" xr:uid="{00000000-0005-0000-0000-00004A640000}"/>
    <cellStyle name="Currency 8 4 3 2 3" xfId="26775" xr:uid="{00000000-0005-0000-0000-00004B640000}"/>
    <cellStyle name="Currency 8 4 3 2 3 2" xfId="26776" xr:uid="{00000000-0005-0000-0000-00004C640000}"/>
    <cellStyle name="Currency 8 4 3 2 4" xfId="26777" xr:uid="{00000000-0005-0000-0000-00004D640000}"/>
    <cellStyle name="Currency 8 4 3 3" xfId="26778" xr:uid="{00000000-0005-0000-0000-00004E640000}"/>
    <cellStyle name="Currency 8 4 3 3 2" xfId="26779" xr:uid="{00000000-0005-0000-0000-00004F640000}"/>
    <cellStyle name="Currency 8 4 3 3 2 2" xfId="26780" xr:uid="{00000000-0005-0000-0000-000050640000}"/>
    <cellStyle name="Currency 8 4 3 3 3" xfId="26781" xr:uid="{00000000-0005-0000-0000-000051640000}"/>
    <cellStyle name="Currency 8 4 3 4" xfId="26782" xr:uid="{00000000-0005-0000-0000-000052640000}"/>
    <cellStyle name="Currency 8 4 3 4 2" xfId="26783" xr:uid="{00000000-0005-0000-0000-000053640000}"/>
    <cellStyle name="Currency 8 4 3 5" xfId="26784" xr:uid="{00000000-0005-0000-0000-000054640000}"/>
    <cellStyle name="Currency 8 4 4" xfId="26785" xr:uid="{00000000-0005-0000-0000-000055640000}"/>
    <cellStyle name="Currency 8 4 4 2" xfId="26786" xr:uid="{00000000-0005-0000-0000-000056640000}"/>
    <cellStyle name="Currency 8 4 4 2 2" xfId="26787" xr:uid="{00000000-0005-0000-0000-000057640000}"/>
    <cellStyle name="Currency 8 4 4 2 2 2" xfId="26788" xr:uid="{00000000-0005-0000-0000-000058640000}"/>
    <cellStyle name="Currency 8 4 4 2 2 2 2" xfId="26789" xr:uid="{00000000-0005-0000-0000-000059640000}"/>
    <cellStyle name="Currency 8 4 4 2 2 3" xfId="26790" xr:uid="{00000000-0005-0000-0000-00005A640000}"/>
    <cellStyle name="Currency 8 4 4 2 3" xfId="26791" xr:uid="{00000000-0005-0000-0000-00005B640000}"/>
    <cellStyle name="Currency 8 4 4 2 3 2" xfId="26792" xr:uid="{00000000-0005-0000-0000-00005C640000}"/>
    <cellStyle name="Currency 8 4 4 2 4" xfId="26793" xr:uid="{00000000-0005-0000-0000-00005D640000}"/>
    <cellStyle name="Currency 8 4 4 3" xfId="26794" xr:uid="{00000000-0005-0000-0000-00005E640000}"/>
    <cellStyle name="Currency 8 4 4 3 2" xfId="26795" xr:uid="{00000000-0005-0000-0000-00005F640000}"/>
    <cellStyle name="Currency 8 4 4 3 2 2" xfId="26796" xr:uid="{00000000-0005-0000-0000-000060640000}"/>
    <cellStyle name="Currency 8 4 4 3 3" xfId="26797" xr:uid="{00000000-0005-0000-0000-000061640000}"/>
    <cellStyle name="Currency 8 4 4 4" xfId="26798" xr:uid="{00000000-0005-0000-0000-000062640000}"/>
    <cellStyle name="Currency 8 4 4 4 2" xfId="26799" xr:uid="{00000000-0005-0000-0000-000063640000}"/>
    <cellStyle name="Currency 8 4 4 5" xfId="26800" xr:uid="{00000000-0005-0000-0000-000064640000}"/>
    <cellStyle name="Currency 8 4 5" xfId="26801" xr:uid="{00000000-0005-0000-0000-000065640000}"/>
    <cellStyle name="Currency 8 4 5 2" xfId="26802" xr:uid="{00000000-0005-0000-0000-000066640000}"/>
    <cellStyle name="Currency 8 4 5 2 2" xfId="26803" xr:uid="{00000000-0005-0000-0000-000067640000}"/>
    <cellStyle name="Currency 8 4 5 2 2 2" xfId="26804" xr:uid="{00000000-0005-0000-0000-000068640000}"/>
    <cellStyle name="Currency 8 4 5 2 3" xfId="26805" xr:uid="{00000000-0005-0000-0000-000069640000}"/>
    <cellStyle name="Currency 8 4 5 3" xfId="26806" xr:uid="{00000000-0005-0000-0000-00006A640000}"/>
    <cellStyle name="Currency 8 4 5 3 2" xfId="26807" xr:uid="{00000000-0005-0000-0000-00006B640000}"/>
    <cellStyle name="Currency 8 4 5 4" xfId="26808" xr:uid="{00000000-0005-0000-0000-00006C640000}"/>
    <cellStyle name="Currency 8 4 6" xfId="26809" xr:uid="{00000000-0005-0000-0000-00006D640000}"/>
    <cellStyle name="Currency 8 4 6 2" xfId="26810" xr:uid="{00000000-0005-0000-0000-00006E640000}"/>
    <cellStyle name="Currency 8 4 6 2 2" xfId="26811" xr:uid="{00000000-0005-0000-0000-00006F640000}"/>
    <cellStyle name="Currency 8 4 6 2 2 2" xfId="26812" xr:uid="{00000000-0005-0000-0000-000070640000}"/>
    <cellStyle name="Currency 8 4 6 2 3" xfId="26813" xr:uid="{00000000-0005-0000-0000-000071640000}"/>
    <cellStyle name="Currency 8 4 6 3" xfId="26814" xr:uid="{00000000-0005-0000-0000-000072640000}"/>
    <cellStyle name="Currency 8 4 6 3 2" xfId="26815" xr:uid="{00000000-0005-0000-0000-000073640000}"/>
    <cellStyle name="Currency 8 4 6 4" xfId="26816" xr:uid="{00000000-0005-0000-0000-000074640000}"/>
    <cellStyle name="Currency 8 4 7" xfId="26817" xr:uid="{00000000-0005-0000-0000-000075640000}"/>
    <cellStyle name="Currency 8 4 7 2" xfId="26818" xr:uid="{00000000-0005-0000-0000-000076640000}"/>
    <cellStyle name="Currency 8 4 7 2 2" xfId="26819" xr:uid="{00000000-0005-0000-0000-000077640000}"/>
    <cellStyle name="Currency 8 4 7 2 2 2" xfId="26820" xr:uid="{00000000-0005-0000-0000-000078640000}"/>
    <cellStyle name="Currency 8 4 7 2 3" xfId="26821" xr:uid="{00000000-0005-0000-0000-000079640000}"/>
    <cellStyle name="Currency 8 4 7 3" xfId="26822" xr:uid="{00000000-0005-0000-0000-00007A640000}"/>
    <cellStyle name="Currency 8 4 7 3 2" xfId="26823" xr:uid="{00000000-0005-0000-0000-00007B640000}"/>
    <cellStyle name="Currency 8 4 7 4" xfId="26824" xr:uid="{00000000-0005-0000-0000-00007C640000}"/>
    <cellStyle name="Currency 8 4 8" xfId="26825" xr:uid="{00000000-0005-0000-0000-00007D640000}"/>
    <cellStyle name="Currency 8 4 8 2" xfId="26826" xr:uid="{00000000-0005-0000-0000-00007E640000}"/>
    <cellStyle name="Currency 8 4 8 2 2" xfId="26827" xr:uid="{00000000-0005-0000-0000-00007F640000}"/>
    <cellStyle name="Currency 8 4 8 3" xfId="26828" xr:uid="{00000000-0005-0000-0000-000080640000}"/>
    <cellStyle name="Currency 8 4 9" xfId="26829" xr:uid="{00000000-0005-0000-0000-000081640000}"/>
    <cellStyle name="Currency 8 4 9 2" xfId="26830" xr:uid="{00000000-0005-0000-0000-000082640000}"/>
    <cellStyle name="Currency 8 5" xfId="1376" xr:uid="{00000000-0005-0000-0000-000083640000}"/>
    <cellStyle name="Currency 8 5 2" xfId="26832" xr:uid="{00000000-0005-0000-0000-000084640000}"/>
    <cellStyle name="Currency 8 5 2 2" xfId="26833" xr:uid="{00000000-0005-0000-0000-000085640000}"/>
    <cellStyle name="Currency 8 5 2 2 2" xfId="26834" xr:uid="{00000000-0005-0000-0000-000086640000}"/>
    <cellStyle name="Currency 8 5 2 2 2 2" xfId="26835" xr:uid="{00000000-0005-0000-0000-000087640000}"/>
    <cellStyle name="Currency 8 5 2 2 3" xfId="26836" xr:uid="{00000000-0005-0000-0000-000088640000}"/>
    <cellStyle name="Currency 8 5 2 3" xfId="26837" xr:uid="{00000000-0005-0000-0000-000089640000}"/>
    <cellStyle name="Currency 8 5 2 3 2" xfId="26838" xr:uid="{00000000-0005-0000-0000-00008A640000}"/>
    <cellStyle name="Currency 8 5 2 4" xfId="26839" xr:uid="{00000000-0005-0000-0000-00008B640000}"/>
    <cellStyle name="Currency 8 5 3" xfId="26840" xr:uid="{00000000-0005-0000-0000-00008C640000}"/>
    <cellStyle name="Currency 8 5 3 2" xfId="26841" xr:uid="{00000000-0005-0000-0000-00008D640000}"/>
    <cellStyle name="Currency 8 5 3 2 2" xfId="26842" xr:uid="{00000000-0005-0000-0000-00008E640000}"/>
    <cellStyle name="Currency 8 5 3 2 2 2" xfId="26843" xr:uid="{00000000-0005-0000-0000-00008F640000}"/>
    <cellStyle name="Currency 8 5 3 2 3" xfId="26844" xr:uid="{00000000-0005-0000-0000-000090640000}"/>
    <cellStyle name="Currency 8 5 3 3" xfId="26845" xr:uid="{00000000-0005-0000-0000-000091640000}"/>
    <cellStyle name="Currency 8 5 3 3 2" xfId="26846" xr:uid="{00000000-0005-0000-0000-000092640000}"/>
    <cellStyle name="Currency 8 5 3 4" xfId="26847" xr:uid="{00000000-0005-0000-0000-000093640000}"/>
    <cellStyle name="Currency 8 5 4" xfId="26848" xr:uid="{00000000-0005-0000-0000-000094640000}"/>
    <cellStyle name="Currency 8 5 4 2" xfId="26849" xr:uid="{00000000-0005-0000-0000-000095640000}"/>
    <cellStyle name="Currency 8 5 4 2 2" xfId="26850" xr:uid="{00000000-0005-0000-0000-000096640000}"/>
    <cellStyle name="Currency 8 5 4 3" xfId="26851" xr:uid="{00000000-0005-0000-0000-000097640000}"/>
    <cellStyle name="Currency 8 5 5" xfId="26852" xr:uid="{00000000-0005-0000-0000-000098640000}"/>
    <cellStyle name="Currency 8 5 5 2" xfId="26853" xr:uid="{00000000-0005-0000-0000-000099640000}"/>
    <cellStyle name="Currency 8 5 6" xfId="26854" xr:uid="{00000000-0005-0000-0000-00009A640000}"/>
    <cellStyle name="Currency 8 5 7" xfId="26831" xr:uid="{00000000-0005-0000-0000-00009B640000}"/>
    <cellStyle name="Currency 8 6" xfId="26855" xr:uid="{00000000-0005-0000-0000-00009C640000}"/>
    <cellStyle name="Currency 8 6 2" xfId="26856" xr:uid="{00000000-0005-0000-0000-00009D640000}"/>
    <cellStyle name="Currency 8 6 2 2" xfId="26857" xr:uid="{00000000-0005-0000-0000-00009E640000}"/>
    <cellStyle name="Currency 8 6 2 2 2" xfId="26858" xr:uid="{00000000-0005-0000-0000-00009F640000}"/>
    <cellStyle name="Currency 8 6 2 2 2 2" xfId="26859" xr:uid="{00000000-0005-0000-0000-0000A0640000}"/>
    <cellStyle name="Currency 8 6 2 2 3" xfId="26860" xr:uid="{00000000-0005-0000-0000-0000A1640000}"/>
    <cellStyle name="Currency 8 6 2 3" xfId="26861" xr:uid="{00000000-0005-0000-0000-0000A2640000}"/>
    <cellStyle name="Currency 8 6 2 3 2" xfId="26862" xr:uid="{00000000-0005-0000-0000-0000A3640000}"/>
    <cellStyle name="Currency 8 6 2 4" xfId="26863" xr:uid="{00000000-0005-0000-0000-0000A4640000}"/>
    <cellStyle name="Currency 8 6 3" xfId="26864" xr:uid="{00000000-0005-0000-0000-0000A5640000}"/>
    <cellStyle name="Currency 8 6 3 2" xfId="26865" xr:uid="{00000000-0005-0000-0000-0000A6640000}"/>
    <cellStyle name="Currency 8 6 3 2 2" xfId="26866" xr:uid="{00000000-0005-0000-0000-0000A7640000}"/>
    <cellStyle name="Currency 8 6 3 3" xfId="26867" xr:uid="{00000000-0005-0000-0000-0000A8640000}"/>
    <cellStyle name="Currency 8 6 4" xfId="26868" xr:uid="{00000000-0005-0000-0000-0000A9640000}"/>
    <cellStyle name="Currency 8 6 4 2" xfId="26869" xr:uid="{00000000-0005-0000-0000-0000AA640000}"/>
    <cellStyle name="Currency 8 6 5" xfId="26870" xr:uid="{00000000-0005-0000-0000-0000AB640000}"/>
    <cellStyle name="Currency 8 7" xfId="26871" xr:uid="{00000000-0005-0000-0000-0000AC640000}"/>
    <cellStyle name="Currency 8 7 2" xfId="26872" xr:uid="{00000000-0005-0000-0000-0000AD640000}"/>
    <cellStyle name="Currency 8 7 2 2" xfId="26873" xr:uid="{00000000-0005-0000-0000-0000AE640000}"/>
    <cellStyle name="Currency 8 7 2 2 2" xfId="26874" xr:uid="{00000000-0005-0000-0000-0000AF640000}"/>
    <cellStyle name="Currency 8 7 2 2 2 2" xfId="26875" xr:uid="{00000000-0005-0000-0000-0000B0640000}"/>
    <cellStyle name="Currency 8 7 2 2 3" xfId="26876" xr:uid="{00000000-0005-0000-0000-0000B1640000}"/>
    <cellStyle name="Currency 8 7 2 3" xfId="26877" xr:uid="{00000000-0005-0000-0000-0000B2640000}"/>
    <cellStyle name="Currency 8 7 2 3 2" xfId="26878" xr:uid="{00000000-0005-0000-0000-0000B3640000}"/>
    <cellStyle name="Currency 8 7 2 4" xfId="26879" xr:uid="{00000000-0005-0000-0000-0000B4640000}"/>
    <cellStyle name="Currency 8 7 3" xfId="26880" xr:uid="{00000000-0005-0000-0000-0000B5640000}"/>
    <cellStyle name="Currency 8 7 3 2" xfId="26881" xr:uid="{00000000-0005-0000-0000-0000B6640000}"/>
    <cellStyle name="Currency 8 7 3 2 2" xfId="26882" xr:uid="{00000000-0005-0000-0000-0000B7640000}"/>
    <cellStyle name="Currency 8 7 3 3" xfId="26883" xr:uid="{00000000-0005-0000-0000-0000B8640000}"/>
    <cellStyle name="Currency 8 7 4" xfId="26884" xr:uid="{00000000-0005-0000-0000-0000B9640000}"/>
    <cellStyle name="Currency 8 7 4 2" xfId="26885" xr:uid="{00000000-0005-0000-0000-0000BA640000}"/>
    <cellStyle name="Currency 8 7 5" xfId="26886" xr:uid="{00000000-0005-0000-0000-0000BB640000}"/>
    <cellStyle name="Currency 8 8" xfId="26887" xr:uid="{00000000-0005-0000-0000-0000BC640000}"/>
    <cellStyle name="Currency 8 8 2" xfId="26888" xr:uid="{00000000-0005-0000-0000-0000BD640000}"/>
    <cellStyle name="Currency 8 8 2 2" xfId="26889" xr:uid="{00000000-0005-0000-0000-0000BE640000}"/>
    <cellStyle name="Currency 8 8 2 2 2" xfId="26890" xr:uid="{00000000-0005-0000-0000-0000BF640000}"/>
    <cellStyle name="Currency 8 8 2 3" xfId="26891" xr:uid="{00000000-0005-0000-0000-0000C0640000}"/>
    <cellStyle name="Currency 8 8 3" xfId="26892" xr:uid="{00000000-0005-0000-0000-0000C1640000}"/>
    <cellStyle name="Currency 8 8 3 2" xfId="26893" xr:uid="{00000000-0005-0000-0000-0000C2640000}"/>
    <cellStyle name="Currency 8 8 4" xfId="26894" xr:uid="{00000000-0005-0000-0000-0000C3640000}"/>
    <cellStyle name="Currency 8 9" xfId="26895" xr:uid="{00000000-0005-0000-0000-0000C4640000}"/>
    <cellStyle name="Currency 8 9 2" xfId="26896" xr:uid="{00000000-0005-0000-0000-0000C5640000}"/>
    <cellStyle name="Currency 8 9 2 2" xfId="26897" xr:uid="{00000000-0005-0000-0000-0000C6640000}"/>
    <cellStyle name="Currency 8 9 2 2 2" xfId="26898" xr:uid="{00000000-0005-0000-0000-0000C7640000}"/>
    <cellStyle name="Currency 8 9 2 3" xfId="26899" xr:uid="{00000000-0005-0000-0000-0000C8640000}"/>
    <cellStyle name="Currency 8 9 3" xfId="26900" xr:uid="{00000000-0005-0000-0000-0000C9640000}"/>
    <cellStyle name="Currency 8 9 3 2" xfId="26901" xr:uid="{00000000-0005-0000-0000-0000CA640000}"/>
    <cellStyle name="Currency 8 9 4" xfId="26902" xr:uid="{00000000-0005-0000-0000-0000CB640000}"/>
    <cellStyle name="Currency 9" xfId="438" xr:uid="{00000000-0005-0000-0000-0000CC640000}"/>
    <cellStyle name="Currency 9 2" xfId="26903" xr:uid="{00000000-0005-0000-0000-0000CD640000}"/>
    <cellStyle name="Explanatory Text 2" xfId="439" xr:uid="{00000000-0005-0000-0000-0000CE640000}"/>
    <cellStyle name="Explanatory Text 2 2" xfId="440" xr:uid="{00000000-0005-0000-0000-0000CF640000}"/>
    <cellStyle name="Explanatory Text 3" xfId="441" xr:uid="{00000000-0005-0000-0000-0000D0640000}"/>
    <cellStyle name="Explanatory Text 4" xfId="442" xr:uid="{00000000-0005-0000-0000-0000D1640000}"/>
    <cellStyle name="Explanatory Text 5" xfId="443" xr:uid="{00000000-0005-0000-0000-0000D2640000}"/>
    <cellStyle name="Explanatory Text 6" xfId="444" xr:uid="{00000000-0005-0000-0000-0000D3640000}"/>
    <cellStyle name="Explanatory Text 6 2" xfId="962" xr:uid="{00000000-0005-0000-0000-0000D4640000}"/>
    <cellStyle name="Explanatory Text 6 3" xfId="26904" xr:uid="{00000000-0005-0000-0000-0000D5640000}"/>
    <cellStyle name="Explanatory Text 7" xfId="445" xr:uid="{00000000-0005-0000-0000-0000D6640000}"/>
    <cellStyle name="Explanatory Text 8" xfId="446" xr:uid="{00000000-0005-0000-0000-0000D7640000}"/>
    <cellStyle name="Good 2" xfId="447" xr:uid="{00000000-0005-0000-0000-0000D8640000}"/>
    <cellStyle name="Good 2 2" xfId="448" xr:uid="{00000000-0005-0000-0000-0000D9640000}"/>
    <cellStyle name="Good 3" xfId="449" xr:uid="{00000000-0005-0000-0000-0000DA640000}"/>
    <cellStyle name="Good 4" xfId="450" xr:uid="{00000000-0005-0000-0000-0000DB640000}"/>
    <cellStyle name="Good 5" xfId="451" xr:uid="{00000000-0005-0000-0000-0000DC640000}"/>
    <cellStyle name="Good 6" xfId="452" xr:uid="{00000000-0005-0000-0000-0000DD640000}"/>
    <cellStyle name="Good 6 2" xfId="963" xr:uid="{00000000-0005-0000-0000-0000DE640000}"/>
    <cellStyle name="Good 6 3" xfId="26905" xr:uid="{00000000-0005-0000-0000-0000DF640000}"/>
    <cellStyle name="Good 7" xfId="453" xr:uid="{00000000-0005-0000-0000-0000E0640000}"/>
    <cellStyle name="Good 8" xfId="454" xr:uid="{00000000-0005-0000-0000-0000E1640000}"/>
    <cellStyle name="Heading 1 2" xfId="455" xr:uid="{00000000-0005-0000-0000-0000E2640000}"/>
    <cellStyle name="Heading 1 2 2" xfId="456" xr:uid="{00000000-0005-0000-0000-0000E3640000}"/>
    <cellStyle name="Heading 1 3" xfId="457" xr:uid="{00000000-0005-0000-0000-0000E4640000}"/>
    <cellStyle name="Heading 1 4" xfId="458" xr:uid="{00000000-0005-0000-0000-0000E5640000}"/>
    <cellStyle name="Heading 1 5" xfId="459" xr:uid="{00000000-0005-0000-0000-0000E6640000}"/>
    <cellStyle name="Heading 1 6" xfId="460" xr:uid="{00000000-0005-0000-0000-0000E7640000}"/>
    <cellStyle name="Heading 1 6 2" xfId="964" xr:uid="{00000000-0005-0000-0000-0000E8640000}"/>
    <cellStyle name="Heading 1 6 3" xfId="26906" xr:uid="{00000000-0005-0000-0000-0000E9640000}"/>
    <cellStyle name="Heading 1 7" xfId="461" xr:uid="{00000000-0005-0000-0000-0000EA640000}"/>
    <cellStyle name="Heading 1 8" xfId="462" xr:uid="{00000000-0005-0000-0000-0000EB640000}"/>
    <cellStyle name="Heading 2 2" xfId="463" xr:uid="{00000000-0005-0000-0000-0000EC640000}"/>
    <cellStyle name="Heading 2 2 2" xfId="464" xr:uid="{00000000-0005-0000-0000-0000ED640000}"/>
    <cellStyle name="Heading 2 3" xfId="465" xr:uid="{00000000-0005-0000-0000-0000EE640000}"/>
    <cellStyle name="Heading 2 4" xfId="466" xr:uid="{00000000-0005-0000-0000-0000EF640000}"/>
    <cellStyle name="Heading 2 5" xfId="467" xr:uid="{00000000-0005-0000-0000-0000F0640000}"/>
    <cellStyle name="Heading 2 6" xfId="468" xr:uid="{00000000-0005-0000-0000-0000F1640000}"/>
    <cellStyle name="Heading 2 6 2" xfId="965" xr:uid="{00000000-0005-0000-0000-0000F2640000}"/>
    <cellStyle name="Heading 2 6 3" xfId="26907" xr:uid="{00000000-0005-0000-0000-0000F3640000}"/>
    <cellStyle name="Heading 2 7" xfId="469" xr:uid="{00000000-0005-0000-0000-0000F4640000}"/>
    <cellStyle name="Heading 2 8" xfId="470" xr:uid="{00000000-0005-0000-0000-0000F5640000}"/>
    <cellStyle name="Heading 3 2" xfId="471" xr:uid="{00000000-0005-0000-0000-0000F6640000}"/>
    <cellStyle name="Heading 3 2 2" xfId="472" xr:uid="{00000000-0005-0000-0000-0000F7640000}"/>
    <cellStyle name="Heading 3 3" xfId="473" xr:uid="{00000000-0005-0000-0000-0000F8640000}"/>
    <cellStyle name="Heading 3 4" xfId="474" xr:uid="{00000000-0005-0000-0000-0000F9640000}"/>
    <cellStyle name="Heading 3 5" xfId="475" xr:uid="{00000000-0005-0000-0000-0000FA640000}"/>
    <cellStyle name="Heading 3 6" xfId="476" xr:uid="{00000000-0005-0000-0000-0000FB640000}"/>
    <cellStyle name="Heading 3 6 2" xfId="966" xr:uid="{00000000-0005-0000-0000-0000FC640000}"/>
    <cellStyle name="Heading 3 6 3" xfId="26908" xr:uid="{00000000-0005-0000-0000-0000FD640000}"/>
    <cellStyle name="Heading 3 7" xfId="477" xr:uid="{00000000-0005-0000-0000-0000FE640000}"/>
    <cellStyle name="Heading 3 8" xfId="478" xr:uid="{00000000-0005-0000-0000-0000FF640000}"/>
    <cellStyle name="Heading 4 2" xfId="479" xr:uid="{00000000-0005-0000-0000-000000650000}"/>
    <cellStyle name="Heading 4 2 2" xfId="480" xr:uid="{00000000-0005-0000-0000-000001650000}"/>
    <cellStyle name="Heading 4 3" xfId="481" xr:uid="{00000000-0005-0000-0000-000002650000}"/>
    <cellStyle name="Heading 4 4" xfId="482" xr:uid="{00000000-0005-0000-0000-000003650000}"/>
    <cellStyle name="Heading 4 5" xfId="483" xr:uid="{00000000-0005-0000-0000-000004650000}"/>
    <cellStyle name="Heading 4 6" xfId="484" xr:uid="{00000000-0005-0000-0000-000005650000}"/>
    <cellStyle name="Heading 4 6 2" xfId="967" xr:uid="{00000000-0005-0000-0000-000006650000}"/>
    <cellStyle name="Heading 4 6 3" xfId="26909" xr:uid="{00000000-0005-0000-0000-000007650000}"/>
    <cellStyle name="Heading 4 7" xfId="485" xr:uid="{00000000-0005-0000-0000-000008650000}"/>
    <cellStyle name="Heading 4 8" xfId="486" xr:uid="{00000000-0005-0000-0000-000009650000}"/>
    <cellStyle name="Hyperlink 10" xfId="968" xr:uid="{00000000-0005-0000-0000-00000A650000}"/>
    <cellStyle name="Hyperlink 11" xfId="26910" xr:uid="{00000000-0005-0000-0000-00000B650000}"/>
    <cellStyle name="Hyperlink 2" xfId="487" xr:uid="{00000000-0005-0000-0000-00000C650000}"/>
    <cellStyle name="Hyperlink 2 2" xfId="488" xr:uid="{00000000-0005-0000-0000-00000D650000}"/>
    <cellStyle name="Hyperlink 2 3" xfId="26911" xr:uid="{00000000-0005-0000-0000-00000E650000}"/>
    <cellStyle name="Hyperlink 2_Project_Profile_DB" xfId="489" xr:uid="{00000000-0005-0000-0000-00000F650000}"/>
    <cellStyle name="Hyperlink 3" xfId="490" xr:uid="{00000000-0005-0000-0000-000010650000}"/>
    <cellStyle name="Hyperlink 3 2" xfId="491" xr:uid="{00000000-0005-0000-0000-000011650000}"/>
    <cellStyle name="Hyperlink 3 2 2" xfId="492" xr:uid="{00000000-0005-0000-0000-000012650000}"/>
    <cellStyle name="Hyperlink 3 2 2 2" xfId="493" xr:uid="{00000000-0005-0000-0000-000013650000}"/>
    <cellStyle name="Hyperlink 3 2 2_Project_Profile_DB" xfId="494" xr:uid="{00000000-0005-0000-0000-000014650000}"/>
    <cellStyle name="Hyperlink 3 2 3" xfId="495" xr:uid="{00000000-0005-0000-0000-000015650000}"/>
    <cellStyle name="Hyperlink 3 3" xfId="496" xr:uid="{00000000-0005-0000-0000-000016650000}"/>
    <cellStyle name="Hyperlink 3_Project_Profile_DB" xfId="497" xr:uid="{00000000-0005-0000-0000-000017650000}"/>
    <cellStyle name="Hyperlink 4" xfId="498" xr:uid="{00000000-0005-0000-0000-000018650000}"/>
    <cellStyle name="Hyperlink 4 2" xfId="499" xr:uid="{00000000-0005-0000-0000-000019650000}"/>
    <cellStyle name="Hyperlink 4 2 2" xfId="500" xr:uid="{00000000-0005-0000-0000-00001A650000}"/>
    <cellStyle name="Hyperlink 4 2_Project_Profile_DB" xfId="501" xr:uid="{00000000-0005-0000-0000-00001B650000}"/>
    <cellStyle name="Hyperlink 4 3" xfId="502" xr:uid="{00000000-0005-0000-0000-00001C650000}"/>
    <cellStyle name="Hyperlink 4_Project_Profile_DB" xfId="503" xr:uid="{00000000-0005-0000-0000-00001D650000}"/>
    <cellStyle name="Hyperlink 5" xfId="504" xr:uid="{00000000-0005-0000-0000-00001E650000}"/>
    <cellStyle name="Hyperlink 6" xfId="505" xr:uid="{00000000-0005-0000-0000-00001F650000}"/>
    <cellStyle name="Hyperlink 6 2" xfId="969" xr:uid="{00000000-0005-0000-0000-000020650000}"/>
    <cellStyle name="Hyperlink 6 3" xfId="26912" xr:uid="{00000000-0005-0000-0000-000021650000}"/>
    <cellStyle name="Hyperlink 7" xfId="506" xr:uid="{00000000-0005-0000-0000-000022650000}"/>
    <cellStyle name="Hyperlink 8" xfId="507" xr:uid="{00000000-0005-0000-0000-000023650000}"/>
    <cellStyle name="Hyperlink 9" xfId="773" xr:uid="{00000000-0005-0000-0000-000024650000}"/>
    <cellStyle name="Hyperlink 9 2" xfId="970" xr:uid="{00000000-0005-0000-0000-000025650000}"/>
    <cellStyle name="Hyperlink 9 3" xfId="26913" xr:uid="{00000000-0005-0000-0000-000026650000}"/>
    <cellStyle name="Input 2" xfId="508" xr:uid="{00000000-0005-0000-0000-000027650000}"/>
    <cellStyle name="Input 2 2" xfId="509" xr:uid="{00000000-0005-0000-0000-000028650000}"/>
    <cellStyle name="Input 3" xfId="510" xr:uid="{00000000-0005-0000-0000-000029650000}"/>
    <cellStyle name="Input 4" xfId="511" xr:uid="{00000000-0005-0000-0000-00002A650000}"/>
    <cellStyle name="Input 5" xfId="512" xr:uid="{00000000-0005-0000-0000-00002B650000}"/>
    <cellStyle name="Input 6" xfId="513" xr:uid="{00000000-0005-0000-0000-00002C650000}"/>
    <cellStyle name="Input 6 2" xfId="971" xr:uid="{00000000-0005-0000-0000-00002D650000}"/>
    <cellStyle name="Input 6 3" xfId="26914" xr:uid="{00000000-0005-0000-0000-00002E650000}"/>
    <cellStyle name="Input 7" xfId="514" xr:uid="{00000000-0005-0000-0000-00002F650000}"/>
    <cellStyle name="Input 8" xfId="515" xr:uid="{00000000-0005-0000-0000-000030650000}"/>
    <cellStyle name="Input Label" xfId="26915" xr:uid="{00000000-0005-0000-0000-000031650000}"/>
    <cellStyle name="Linked Cell 2" xfId="516" xr:uid="{00000000-0005-0000-0000-000032650000}"/>
    <cellStyle name="Linked Cell 2 2" xfId="517" xr:uid="{00000000-0005-0000-0000-000033650000}"/>
    <cellStyle name="Linked Cell 3" xfId="518" xr:uid="{00000000-0005-0000-0000-000034650000}"/>
    <cellStyle name="Linked Cell 4" xfId="519" xr:uid="{00000000-0005-0000-0000-000035650000}"/>
    <cellStyle name="Linked Cell 5" xfId="520" xr:uid="{00000000-0005-0000-0000-000036650000}"/>
    <cellStyle name="Linked Cell 6" xfId="521" xr:uid="{00000000-0005-0000-0000-000037650000}"/>
    <cellStyle name="Linked Cell 6 2" xfId="972" xr:uid="{00000000-0005-0000-0000-000038650000}"/>
    <cellStyle name="Linked Cell 6 3" xfId="26916" xr:uid="{00000000-0005-0000-0000-000039650000}"/>
    <cellStyle name="Linked Cell 7" xfId="522" xr:uid="{00000000-0005-0000-0000-00003A650000}"/>
    <cellStyle name="Linked Cell 8" xfId="523" xr:uid="{00000000-0005-0000-0000-00003B650000}"/>
    <cellStyle name="Neutral 2" xfId="524" xr:uid="{00000000-0005-0000-0000-00003C650000}"/>
    <cellStyle name="Neutral 2 2" xfId="525" xr:uid="{00000000-0005-0000-0000-00003D650000}"/>
    <cellStyle name="Neutral 3" xfId="526" xr:uid="{00000000-0005-0000-0000-00003E650000}"/>
    <cellStyle name="Neutral 4" xfId="527" xr:uid="{00000000-0005-0000-0000-00003F650000}"/>
    <cellStyle name="Neutral 5" xfId="528" xr:uid="{00000000-0005-0000-0000-000040650000}"/>
    <cellStyle name="Neutral 6" xfId="529" xr:uid="{00000000-0005-0000-0000-000041650000}"/>
    <cellStyle name="Neutral 6 2" xfId="973" xr:uid="{00000000-0005-0000-0000-000042650000}"/>
    <cellStyle name="Neutral 6 3" xfId="26917" xr:uid="{00000000-0005-0000-0000-000043650000}"/>
    <cellStyle name="Neutral 7" xfId="530" xr:uid="{00000000-0005-0000-0000-000044650000}"/>
    <cellStyle name="Neutral 8" xfId="531" xr:uid="{00000000-0005-0000-0000-000045650000}"/>
    <cellStyle name="NODOL" xfId="532" xr:uid="{00000000-0005-0000-0000-000046650000}"/>
    <cellStyle name="NODOL 2" xfId="26918" xr:uid="{00000000-0005-0000-0000-000047650000}"/>
    <cellStyle name="Normal" xfId="0" builtinId="0"/>
    <cellStyle name="Normal 10" xfId="17" xr:uid="{00000000-0005-0000-0000-000049650000}"/>
    <cellStyle name="Normal 10 2" xfId="790" xr:uid="{00000000-0005-0000-0000-00004A650000}"/>
    <cellStyle name="Normal 10 2 2" xfId="975" xr:uid="{00000000-0005-0000-0000-00004B650000}"/>
    <cellStyle name="Normal 10 2 2 2" xfId="1704" xr:uid="{00000000-0005-0000-0000-00004C650000}"/>
    <cellStyle name="Normal 10 2 2 3" xfId="26921" xr:uid="{00000000-0005-0000-0000-00004D650000}"/>
    <cellStyle name="Normal 10 2 3" xfId="1548" xr:uid="{00000000-0005-0000-0000-00004E650000}"/>
    <cellStyle name="Normal 10 2 3 2" xfId="26922" xr:uid="{00000000-0005-0000-0000-00004F650000}"/>
    <cellStyle name="Normal 10 2 4" xfId="26923" xr:uid="{00000000-0005-0000-0000-000050650000}"/>
    <cellStyle name="Normal 10 2 5" xfId="26920" xr:uid="{00000000-0005-0000-0000-000051650000}"/>
    <cellStyle name="Normal 10 3" xfId="533" xr:uid="{00000000-0005-0000-0000-000052650000}"/>
    <cellStyle name="Normal 10 3 2" xfId="26924" xr:uid="{00000000-0005-0000-0000-000053650000}"/>
    <cellStyle name="Normal 10 4" xfId="974" xr:uid="{00000000-0005-0000-0000-000054650000}"/>
    <cellStyle name="Normal 10 4 2" xfId="1703" xr:uid="{00000000-0005-0000-0000-000055650000}"/>
    <cellStyle name="Normal 10 4 3" xfId="26925" xr:uid="{00000000-0005-0000-0000-000056650000}"/>
    <cellStyle name="Normal 10 5" xfId="1227" xr:uid="{00000000-0005-0000-0000-000057650000}"/>
    <cellStyle name="Normal 10 5 2" xfId="26926" xr:uid="{00000000-0005-0000-0000-000058650000}"/>
    <cellStyle name="Normal 10 6" xfId="26927" xr:uid="{00000000-0005-0000-0000-000059650000}"/>
    <cellStyle name="Normal 10 7" xfId="26919" xr:uid="{00000000-0005-0000-0000-00005A650000}"/>
    <cellStyle name="Normal 11" xfId="534" xr:uid="{00000000-0005-0000-0000-00005B650000}"/>
    <cellStyle name="Normal 11 10" xfId="976" xr:uid="{00000000-0005-0000-0000-00005C650000}"/>
    <cellStyle name="Normal 11 10 10" xfId="26930" xr:uid="{00000000-0005-0000-0000-00005D650000}"/>
    <cellStyle name="Normal 11 10 11" xfId="26929" xr:uid="{00000000-0005-0000-0000-00005E650000}"/>
    <cellStyle name="Normal 11 10 2" xfId="1705" xr:uid="{00000000-0005-0000-0000-00005F650000}"/>
    <cellStyle name="Normal 11 10 2 2" xfId="26932" xr:uid="{00000000-0005-0000-0000-000060650000}"/>
    <cellStyle name="Normal 11 10 2 2 2" xfId="26933" xr:uid="{00000000-0005-0000-0000-000061650000}"/>
    <cellStyle name="Normal 11 10 2 2 2 2" xfId="26934" xr:uid="{00000000-0005-0000-0000-000062650000}"/>
    <cellStyle name="Normal 11 10 2 2 2 2 2" xfId="26935" xr:uid="{00000000-0005-0000-0000-000063650000}"/>
    <cellStyle name="Normal 11 10 2 2 2 3" xfId="26936" xr:uid="{00000000-0005-0000-0000-000064650000}"/>
    <cellStyle name="Normal 11 10 2 2 3" xfId="26937" xr:uid="{00000000-0005-0000-0000-000065650000}"/>
    <cellStyle name="Normal 11 10 2 2 3 2" xfId="26938" xr:uid="{00000000-0005-0000-0000-000066650000}"/>
    <cellStyle name="Normal 11 10 2 2 4" xfId="26939" xr:uid="{00000000-0005-0000-0000-000067650000}"/>
    <cellStyle name="Normal 11 10 2 3" xfId="26940" xr:uid="{00000000-0005-0000-0000-000068650000}"/>
    <cellStyle name="Normal 11 10 2 3 2" xfId="26941" xr:uid="{00000000-0005-0000-0000-000069650000}"/>
    <cellStyle name="Normal 11 10 2 3 2 2" xfId="26942" xr:uid="{00000000-0005-0000-0000-00006A650000}"/>
    <cellStyle name="Normal 11 10 2 3 2 2 2" xfId="26943" xr:uid="{00000000-0005-0000-0000-00006B650000}"/>
    <cellStyle name="Normal 11 10 2 3 2 3" xfId="26944" xr:uid="{00000000-0005-0000-0000-00006C650000}"/>
    <cellStyle name="Normal 11 10 2 3 3" xfId="26945" xr:uid="{00000000-0005-0000-0000-00006D650000}"/>
    <cellStyle name="Normal 11 10 2 3 3 2" xfId="26946" xr:uid="{00000000-0005-0000-0000-00006E650000}"/>
    <cellStyle name="Normal 11 10 2 3 4" xfId="26947" xr:uid="{00000000-0005-0000-0000-00006F650000}"/>
    <cellStyle name="Normal 11 10 2 4" xfId="26948" xr:uid="{00000000-0005-0000-0000-000070650000}"/>
    <cellStyle name="Normal 11 10 2 4 2" xfId="26949" xr:uid="{00000000-0005-0000-0000-000071650000}"/>
    <cellStyle name="Normal 11 10 2 4 2 2" xfId="26950" xr:uid="{00000000-0005-0000-0000-000072650000}"/>
    <cellStyle name="Normal 11 10 2 4 3" xfId="26951" xr:uid="{00000000-0005-0000-0000-000073650000}"/>
    <cellStyle name="Normal 11 10 2 5" xfId="26952" xr:uid="{00000000-0005-0000-0000-000074650000}"/>
    <cellStyle name="Normal 11 10 2 5 2" xfId="26953" xr:uid="{00000000-0005-0000-0000-000075650000}"/>
    <cellStyle name="Normal 11 10 2 6" xfId="26954" xr:uid="{00000000-0005-0000-0000-000076650000}"/>
    <cellStyle name="Normal 11 10 2 7" xfId="26931" xr:uid="{00000000-0005-0000-0000-000077650000}"/>
    <cellStyle name="Normal 11 10 3" xfId="26955" xr:uid="{00000000-0005-0000-0000-000078650000}"/>
    <cellStyle name="Normal 11 10 3 2" xfId="26956" xr:uid="{00000000-0005-0000-0000-000079650000}"/>
    <cellStyle name="Normal 11 10 3 2 2" xfId="26957" xr:uid="{00000000-0005-0000-0000-00007A650000}"/>
    <cellStyle name="Normal 11 10 3 2 2 2" xfId="26958" xr:uid="{00000000-0005-0000-0000-00007B650000}"/>
    <cellStyle name="Normal 11 10 3 2 2 2 2" xfId="26959" xr:uid="{00000000-0005-0000-0000-00007C650000}"/>
    <cellStyle name="Normal 11 10 3 2 2 3" xfId="26960" xr:uid="{00000000-0005-0000-0000-00007D650000}"/>
    <cellStyle name="Normal 11 10 3 2 3" xfId="26961" xr:uid="{00000000-0005-0000-0000-00007E650000}"/>
    <cellStyle name="Normal 11 10 3 2 3 2" xfId="26962" xr:uid="{00000000-0005-0000-0000-00007F650000}"/>
    <cellStyle name="Normal 11 10 3 2 4" xfId="26963" xr:uid="{00000000-0005-0000-0000-000080650000}"/>
    <cellStyle name="Normal 11 10 3 3" xfId="26964" xr:uid="{00000000-0005-0000-0000-000081650000}"/>
    <cellStyle name="Normal 11 10 3 3 2" xfId="26965" xr:uid="{00000000-0005-0000-0000-000082650000}"/>
    <cellStyle name="Normal 11 10 3 3 2 2" xfId="26966" xr:uid="{00000000-0005-0000-0000-000083650000}"/>
    <cellStyle name="Normal 11 10 3 3 3" xfId="26967" xr:uid="{00000000-0005-0000-0000-000084650000}"/>
    <cellStyle name="Normal 11 10 3 4" xfId="26968" xr:uid="{00000000-0005-0000-0000-000085650000}"/>
    <cellStyle name="Normal 11 10 3 4 2" xfId="26969" xr:uid="{00000000-0005-0000-0000-000086650000}"/>
    <cellStyle name="Normal 11 10 3 5" xfId="26970" xr:uid="{00000000-0005-0000-0000-000087650000}"/>
    <cellStyle name="Normal 11 10 4" xfId="26971" xr:uid="{00000000-0005-0000-0000-000088650000}"/>
    <cellStyle name="Normal 11 10 4 2" xfId="26972" xr:uid="{00000000-0005-0000-0000-000089650000}"/>
    <cellStyle name="Normal 11 10 4 2 2" xfId="26973" xr:uid="{00000000-0005-0000-0000-00008A650000}"/>
    <cellStyle name="Normal 11 10 4 2 2 2" xfId="26974" xr:uid="{00000000-0005-0000-0000-00008B650000}"/>
    <cellStyle name="Normal 11 10 4 2 2 2 2" xfId="26975" xr:uid="{00000000-0005-0000-0000-00008C650000}"/>
    <cellStyle name="Normal 11 10 4 2 2 3" xfId="26976" xr:uid="{00000000-0005-0000-0000-00008D650000}"/>
    <cellStyle name="Normal 11 10 4 2 3" xfId="26977" xr:uid="{00000000-0005-0000-0000-00008E650000}"/>
    <cellStyle name="Normal 11 10 4 2 3 2" xfId="26978" xr:uid="{00000000-0005-0000-0000-00008F650000}"/>
    <cellStyle name="Normal 11 10 4 2 4" xfId="26979" xr:uid="{00000000-0005-0000-0000-000090650000}"/>
    <cellStyle name="Normal 11 10 4 3" xfId="26980" xr:uid="{00000000-0005-0000-0000-000091650000}"/>
    <cellStyle name="Normal 11 10 4 3 2" xfId="26981" xr:uid="{00000000-0005-0000-0000-000092650000}"/>
    <cellStyle name="Normal 11 10 4 3 2 2" xfId="26982" xr:uid="{00000000-0005-0000-0000-000093650000}"/>
    <cellStyle name="Normal 11 10 4 3 3" xfId="26983" xr:uid="{00000000-0005-0000-0000-000094650000}"/>
    <cellStyle name="Normal 11 10 4 4" xfId="26984" xr:uid="{00000000-0005-0000-0000-000095650000}"/>
    <cellStyle name="Normal 11 10 4 4 2" xfId="26985" xr:uid="{00000000-0005-0000-0000-000096650000}"/>
    <cellStyle name="Normal 11 10 4 5" xfId="26986" xr:uid="{00000000-0005-0000-0000-000097650000}"/>
    <cellStyle name="Normal 11 10 5" xfId="26987" xr:uid="{00000000-0005-0000-0000-000098650000}"/>
    <cellStyle name="Normal 11 10 5 2" xfId="26988" xr:uid="{00000000-0005-0000-0000-000099650000}"/>
    <cellStyle name="Normal 11 10 5 2 2" xfId="26989" xr:uid="{00000000-0005-0000-0000-00009A650000}"/>
    <cellStyle name="Normal 11 10 5 2 2 2" xfId="26990" xr:uid="{00000000-0005-0000-0000-00009B650000}"/>
    <cellStyle name="Normal 11 10 5 2 3" xfId="26991" xr:uid="{00000000-0005-0000-0000-00009C650000}"/>
    <cellStyle name="Normal 11 10 5 3" xfId="26992" xr:uid="{00000000-0005-0000-0000-00009D650000}"/>
    <cellStyle name="Normal 11 10 5 3 2" xfId="26993" xr:uid="{00000000-0005-0000-0000-00009E650000}"/>
    <cellStyle name="Normal 11 10 5 4" xfId="26994" xr:uid="{00000000-0005-0000-0000-00009F650000}"/>
    <cellStyle name="Normal 11 10 6" xfId="26995" xr:uid="{00000000-0005-0000-0000-0000A0650000}"/>
    <cellStyle name="Normal 11 10 6 2" xfId="26996" xr:uid="{00000000-0005-0000-0000-0000A1650000}"/>
    <cellStyle name="Normal 11 10 6 2 2" xfId="26997" xr:uid="{00000000-0005-0000-0000-0000A2650000}"/>
    <cellStyle name="Normal 11 10 6 2 2 2" xfId="26998" xr:uid="{00000000-0005-0000-0000-0000A3650000}"/>
    <cellStyle name="Normal 11 10 6 2 3" xfId="26999" xr:uid="{00000000-0005-0000-0000-0000A4650000}"/>
    <cellStyle name="Normal 11 10 6 3" xfId="27000" xr:uid="{00000000-0005-0000-0000-0000A5650000}"/>
    <cellStyle name="Normal 11 10 6 3 2" xfId="27001" xr:uid="{00000000-0005-0000-0000-0000A6650000}"/>
    <cellStyle name="Normal 11 10 6 4" xfId="27002" xr:uid="{00000000-0005-0000-0000-0000A7650000}"/>
    <cellStyle name="Normal 11 10 7" xfId="27003" xr:uid="{00000000-0005-0000-0000-0000A8650000}"/>
    <cellStyle name="Normal 11 10 7 2" xfId="27004" xr:uid="{00000000-0005-0000-0000-0000A9650000}"/>
    <cellStyle name="Normal 11 10 7 2 2" xfId="27005" xr:uid="{00000000-0005-0000-0000-0000AA650000}"/>
    <cellStyle name="Normal 11 10 7 2 2 2" xfId="27006" xr:uid="{00000000-0005-0000-0000-0000AB650000}"/>
    <cellStyle name="Normal 11 10 7 2 3" xfId="27007" xr:uid="{00000000-0005-0000-0000-0000AC650000}"/>
    <cellStyle name="Normal 11 10 7 3" xfId="27008" xr:uid="{00000000-0005-0000-0000-0000AD650000}"/>
    <cellStyle name="Normal 11 10 7 3 2" xfId="27009" xr:uid="{00000000-0005-0000-0000-0000AE650000}"/>
    <cellStyle name="Normal 11 10 7 4" xfId="27010" xr:uid="{00000000-0005-0000-0000-0000AF650000}"/>
    <cellStyle name="Normal 11 10 8" xfId="27011" xr:uid="{00000000-0005-0000-0000-0000B0650000}"/>
    <cellStyle name="Normal 11 10 8 2" xfId="27012" xr:uid="{00000000-0005-0000-0000-0000B1650000}"/>
    <cellStyle name="Normal 11 10 8 2 2" xfId="27013" xr:uid="{00000000-0005-0000-0000-0000B2650000}"/>
    <cellStyle name="Normal 11 10 8 3" xfId="27014" xr:uid="{00000000-0005-0000-0000-0000B3650000}"/>
    <cellStyle name="Normal 11 10 9" xfId="27015" xr:uid="{00000000-0005-0000-0000-0000B4650000}"/>
    <cellStyle name="Normal 11 10 9 2" xfId="27016" xr:uid="{00000000-0005-0000-0000-0000B5650000}"/>
    <cellStyle name="Normal 11 11" xfId="1378" xr:uid="{00000000-0005-0000-0000-0000B6650000}"/>
    <cellStyle name="Normal 11 11 2" xfId="27018" xr:uid="{00000000-0005-0000-0000-0000B7650000}"/>
    <cellStyle name="Normal 11 11 2 2" xfId="27019" xr:uid="{00000000-0005-0000-0000-0000B8650000}"/>
    <cellStyle name="Normal 11 11 2 2 2" xfId="27020" xr:uid="{00000000-0005-0000-0000-0000B9650000}"/>
    <cellStyle name="Normal 11 11 2 2 2 2" xfId="27021" xr:uid="{00000000-0005-0000-0000-0000BA650000}"/>
    <cellStyle name="Normal 11 11 2 2 3" xfId="27022" xr:uid="{00000000-0005-0000-0000-0000BB650000}"/>
    <cellStyle name="Normal 11 11 2 3" xfId="27023" xr:uid="{00000000-0005-0000-0000-0000BC650000}"/>
    <cellStyle name="Normal 11 11 2 3 2" xfId="27024" xr:uid="{00000000-0005-0000-0000-0000BD650000}"/>
    <cellStyle name="Normal 11 11 2 4" xfId="27025" xr:uid="{00000000-0005-0000-0000-0000BE650000}"/>
    <cellStyle name="Normal 11 11 3" xfId="27026" xr:uid="{00000000-0005-0000-0000-0000BF650000}"/>
    <cellStyle name="Normal 11 11 3 2" xfId="27027" xr:uid="{00000000-0005-0000-0000-0000C0650000}"/>
    <cellStyle name="Normal 11 11 3 2 2" xfId="27028" xr:uid="{00000000-0005-0000-0000-0000C1650000}"/>
    <cellStyle name="Normal 11 11 3 2 2 2" xfId="27029" xr:uid="{00000000-0005-0000-0000-0000C2650000}"/>
    <cellStyle name="Normal 11 11 3 2 3" xfId="27030" xr:uid="{00000000-0005-0000-0000-0000C3650000}"/>
    <cellStyle name="Normal 11 11 3 3" xfId="27031" xr:uid="{00000000-0005-0000-0000-0000C4650000}"/>
    <cellStyle name="Normal 11 11 3 3 2" xfId="27032" xr:uid="{00000000-0005-0000-0000-0000C5650000}"/>
    <cellStyle name="Normal 11 11 3 4" xfId="27033" xr:uid="{00000000-0005-0000-0000-0000C6650000}"/>
    <cellStyle name="Normal 11 11 4" xfId="27034" xr:uid="{00000000-0005-0000-0000-0000C7650000}"/>
    <cellStyle name="Normal 11 11 4 2" xfId="27035" xr:uid="{00000000-0005-0000-0000-0000C8650000}"/>
    <cellStyle name="Normal 11 11 4 2 2" xfId="27036" xr:uid="{00000000-0005-0000-0000-0000C9650000}"/>
    <cellStyle name="Normal 11 11 4 3" xfId="27037" xr:uid="{00000000-0005-0000-0000-0000CA650000}"/>
    <cellStyle name="Normal 11 11 5" xfId="27038" xr:uid="{00000000-0005-0000-0000-0000CB650000}"/>
    <cellStyle name="Normal 11 11 5 2" xfId="27039" xr:uid="{00000000-0005-0000-0000-0000CC650000}"/>
    <cellStyle name="Normal 11 11 6" xfId="27040" xr:uid="{00000000-0005-0000-0000-0000CD650000}"/>
    <cellStyle name="Normal 11 11 7" xfId="27017" xr:uid="{00000000-0005-0000-0000-0000CE650000}"/>
    <cellStyle name="Normal 11 12" xfId="27041" xr:uid="{00000000-0005-0000-0000-0000CF650000}"/>
    <cellStyle name="Normal 11 12 2" xfId="27042" xr:uid="{00000000-0005-0000-0000-0000D0650000}"/>
    <cellStyle name="Normal 11 12 2 2" xfId="27043" xr:uid="{00000000-0005-0000-0000-0000D1650000}"/>
    <cellStyle name="Normal 11 12 2 2 2" xfId="27044" xr:uid="{00000000-0005-0000-0000-0000D2650000}"/>
    <cellStyle name="Normal 11 12 2 2 2 2" xfId="27045" xr:uid="{00000000-0005-0000-0000-0000D3650000}"/>
    <cellStyle name="Normal 11 12 2 2 3" xfId="27046" xr:uid="{00000000-0005-0000-0000-0000D4650000}"/>
    <cellStyle name="Normal 11 12 2 3" xfId="27047" xr:uid="{00000000-0005-0000-0000-0000D5650000}"/>
    <cellStyle name="Normal 11 12 2 3 2" xfId="27048" xr:uid="{00000000-0005-0000-0000-0000D6650000}"/>
    <cellStyle name="Normal 11 12 2 4" xfId="27049" xr:uid="{00000000-0005-0000-0000-0000D7650000}"/>
    <cellStyle name="Normal 11 12 3" xfId="27050" xr:uid="{00000000-0005-0000-0000-0000D8650000}"/>
    <cellStyle name="Normal 11 12 3 2" xfId="27051" xr:uid="{00000000-0005-0000-0000-0000D9650000}"/>
    <cellStyle name="Normal 11 12 3 2 2" xfId="27052" xr:uid="{00000000-0005-0000-0000-0000DA650000}"/>
    <cellStyle name="Normal 11 12 3 3" xfId="27053" xr:uid="{00000000-0005-0000-0000-0000DB650000}"/>
    <cellStyle name="Normal 11 12 4" xfId="27054" xr:uid="{00000000-0005-0000-0000-0000DC650000}"/>
    <cellStyle name="Normal 11 12 4 2" xfId="27055" xr:uid="{00000000-0005-0000-0000-0000DD650000}"/>
    <cellStyle name="Normal 11 12 5" xfId="27056" xr:uid="{00000000-0005-0000-0000-0000DE650000}"/>
    <cellStyle name="Normal 11 13" xfId="27057" xr:uid="{00000000-0005-0000-0000-0000DF650000}"/>
    <cellStyle name="Normal 11 13 2" xfId="27058" xr:uid="{00000000-0005-0000-0000-0000E0650000}"/>
    <cellStyle name="Normal 11 13 2 2" xfId="27059" xr:uid="{00000000-0005-0000-0000-0000E1650000}"/>
    <cellStyle name="Normal 11 13 2 2 2" xfId="27060" xr:uid="{00000000-0005-0000-0000-0000E2650000}"/>
    <cellStyle name="Normal 11 13 2 2 2 2" xfId="27061" xr:uid="{00000000-0005-0000-0000-0000E3650000}"/>
    <cellStyle name="Normal 11 13 2 2 3" xfId="27062" xr:uid="{00000000-0005-0000-0000-0000E4650000}"/>
    <cellStyle name="Normal 11 13 2 3" xfId="27063" xr:uid="{00000000-0005-0000-0000-0000E5650000}"/>
    <cellStyle name="Normal 11 13 2 3 2" xfId="27064" xr:uid="{00000000-0005-0000-0000-0000E6650000}"/>
    <cellStyle name="Normal 11 13 2 4" xfId="27065" xr:uid="{00000000-0005-0000-0000-0000E7650000}"/>
    <cellStyle name="Normal 11 13 3" xfId="27066" xr:uid="{00000000-0005-0000-0000-0000E8650000}"/>
    <cellStyle name="Normal 11 13 3 2" xfId="27067" xr:uid="{00000000-0005-0000-0000-0000E9650000}"/>
    <cellStyle name="Normal 11 13 3 2 2" xfId="27068" xr:uid="{00000000-0005-0000-0000-0000EA650000}"/>
    <cellStyle name="Normal 11 13 3 3" xfId="27069" xr:uid="{00000000-0005-0000-0000-0000EB650000}"/>
    <cellStyle name="Normal 11 13 4" xfId="27070" xr:uid="{00000000-0005-0000-0000-0000EC650000}"/>
    <cellStyle name="Normal 11 13 4 2" xfId="27071" xr:uid="{00000000-0005-0000-0000-0000ED650000}"/>
    <cellStyle name="Normal 11 13 5" xfId="27072" xr:uid="{00000000-0005-0000-0000-0000EE650000}"/>
    <cellStyle name="Normal 11 14" xfId="27073" xr:uid="{00000000-0005-0000-0000-0000EF650000}"/>
    <cellStyle name="Normal 11 14 2" xfId="27074" xr:uid="{00000000-0005-0000-0000-0000F0650000}"/>
    <cellStyle name="Normal 11 14 2 2" xfId="27075" xr:uid="{00000000-0005-0000-0000-0000F1650000}"/>
    <cellStyle name="Normal 11 14 2 2 2" xfId="27076" xr:uid="{00000000-0005-0000-0000-0000F2650000}"/>
    <cellStyle name="Normal 11 14 2 3" xfId="27077" xr:uid="{00000000-0005-0000-0000-0000F3650000}"/>
    <cellStyle name="Normal 11 14 3" xfId="27078" xr:uid="{00000000-0005-0000-0000-0000F4650000}"/>
    <cellStyle name="Normal 11 14 3 2" xfId="27079" xr:uid="{00000000-0005-0000-0000-0000F5650000}"/>
    <cellStyle name="Normal 11 14 4" xfId="27080" xr:uid="{00000000-0005-0000-0000-0000F6650000}"/>
    <cellStyle name="Normal 11 15" xfId="27081" xr:uid="{00000000-0005-0000-0000-0000F7650000}"/>
    <cellStyle name="Normal 11 15 2" xfId="27082" xr:uid="{00000000-0005-0000-0000-0000F8650000}"/>
    <cellStyle name="Normal 11 15 2 2" xfId="27083" xr:uid="{00000000-0005-0000-0000-0000F9650000}"/>
    <cellStyle name="Normal 11 15 2 2 2" xfId="27084" xr:uid="{00000000-0005-0000-0000-0000FA650000}"/>
    <cellStyle name="Normal 11 15 2 3" xfId="27085" xr:uid="{00000000-0005-0000-0000-0000FB650000}"/>
    <cellStyle name="Normal 11 15 3" xfId="27086" xr:uid="{00000000-0005-0000-0000-0000FC650000}"/>
    <cellStyle name="Normal 11 15 3 2" xfId="27087" xr:uid="{00000000-0005-0000-0000-0000FD650000}"/>
    <cellStyle name="Normal 11 15 4" xfId="27088" xr:uid="{00000000-0005-0000-0000-0000FE650000}"/>
    <cellStyle name="Normal 11 16" xfId="27089" xr:uid="{00000000-0005-0000-0000-0000FF650000}"/>
    <cellStyle name="Normal 11 16 2" xfId="27090" xr:uid="{00000000-0005-0000-0000-000000660000}"/>
    <cellStyle name="Normal 11 16 2 2" xfId="27091" xr:uid="{00000000-0005-0000-0000-000001660000}"/>
    <cellStyle name="Normal 11 16 2 2 2" xfId="27092" xr:uid="{00000000-0005-0000-0000-000002660000}"/>
    <cellStyle name="Normal 11 16 2 3" xfId="27093" xr:uid="{00000000-0005-0000-0000-000003660000}"/>
    <cellStyle name="Normal 11 16 3" xfId="27094" xr:uid="{00000000-0005-0000-0000-000004660000}"/>
    <cellStyle name="Normal 11 16 3 2" xfId="27095" xr:uid="{00000000-0005-0000-0000-000005660000}"/>
    <cellStyle name="Normal 11 16 4" xfId="27096" xr:uid="{00000000-0005-0000-0000-000006660000}"/>
    <cellStyle name="Normal 11 17" xfId="27097" xr:uid="{00000000-0005-0000-0000-000007660000}"/>
    <cellStyle name="Normal 11 17 2" xfId="27098" xr:uid="{00000000-0005-0000-0000-000008660000}"/>
    <cellStyle name="Normal 11 17 2 2" xfId="27099" xr:uid="{00000000-0005-0000-0000-000009660000}"/>
    <cellStyle name="Normal 11 17 3" xfId="27100" xr:uid="{00000000-0005-0000-0000-00000A660000}"/>
    <cellStyle name="Normal 11 18" xfId="27101" xr:uid="{00000000-0005-0000-0000-00000B660000}"/>
    <cellStyle name="Normal 11 18 2" xfId="27102" xr:uid="{00000000-0005-0000-0000-00000C660000}"/>
    <cellStyle name="Normal 11 18 2 2" xfId="27103" xr:uid="{00000000-0005-0000-0000-00000D660000}"/>
    <cellStyle name="Normal 11 18 3" xfId="27104" xr:uid="{00000000-0005-0000-0000-00000E660000}"/>
    <cellStyle name="Normal 11 19" xfId="27105" xr:uid="{00000000-0005-0000-0000-00000F660000}"/>
    <cellStyle name="Normal 11 19 2" xfId="27106" xr:uid="{00000000-0005-0000-0000-000010660000}"/>
    <cellStyle name="Normal 11 19 2 2" xfId="27107" xr:uid="{00000000-0005-0000-0000-000011660000}"/>
    <cellStyle name="Normal 11 19 3" xfId="27108" xr:uid="{00000000-0005-0000-0000-000012660000}"/>
    <cellStyle name="Normal 11 2" xfId="535" xr:uid="{00000000-0005-0000-0000-000013660000}"/>
    <cellStyle name="Normal 11 2 10" xfId="1379" xr:uid="{00000000-0005-0000-0000-000014660000}"/>
    <cellStyle name="Normal 11 2 10 2" xfId="27111" xr:uid="{00000000-0005-0000-0000-000015660000}"/>
    <cellStyle name="Normal 11 2 10 2 2" xfId="27112" xr:uid="{00000000-0005-0000-0000-000016660000}"/>
    <cellStyle name="Normal 11 2 10 2 2 2" xfId="27113" xr:uid="{00000000-0005-0000-0000-000017660000}"/>
    <cellStyle name="Normal 11 2 10 2 2 2 2" xfId="27114" xr:uid="{00000000-0005-0000-0000-000018660000}"/>
    <cellStyle name="Normal 11 2 10 2 2 3" xfId="27115" xr:uid="{00000000-0005-0000-0000-000019660000}"/>
    <cellStyle name="Normal 11 2 10 2 3" xfId="27116" xr:uid="{00000000-0005-0000-0000-00001A660000}"/>
    <cellStyle name="Normal 11 2 10 2 3 2" xfId="27117" xr:uid="{00000000-0005-0000-0000-00001B660000}"/>
    <cellStyle name="Normal 11 2 10 2 4" xfId="27118" xr:uid="{00000000-0005-0000-0000-00001C660000}"/>
    <cellStyle name="Normal 11 2 10 3" xfId="27119" xr:uid="{00000000-0005-0000-0000-00001D660000}"/>
    <cellStyle name="Normal 11 2 10 3 2" xfId="27120" xr:uid="{00000000-0005-0000-0000-00001E660000}"/>
    <cellStyle name="Normal 11 2 10 3 2 2" xfId="27121" xr:uid="{00000000-0005-0000-0000-00001F660000}"/>
    <cellStyle name="Normal 11 2 10 3 2 2 2" xfId="27122" xr:uid="{00000000-0005-0000-0000-000020660000}"/>
    <cellStyle name="Normal 11 2 10 3 2 3" xfId="27123" xr:uid="{00000000-0005-0000-0000-000021660000}"/>
    <cellStyle name="Normal 11 2 10 3 3" xfId="27124" xr:uid="{00000000-0005-0000-0000-000022660000}"/>
    <cellStyle name="Normal 11 2 10 3 3 2" xfId="27125" xr:uid="{00000000-0005-0000-0000-000023660000}"/>
    <cellStyle name="Normal 11 2 10 3 4" xfId="27126" xr:uid="{00000000-0005-0000-0000-000024660000}"/>
    <cellStyle name="Normal 11 2 10 4" xfId="27127" xr:uid="{00000000-0005-0000-0000-000025660000}"/>
    <cellStyle name="Normal 11 2 10 4 2" xfId="27128" xr:uid="{00000000-0005-0000-0000-000026660000}"/>
    <cellStyle name="Normal 11 2 10 4 2 2" xfId="27129" xr:uid="{00000000-0005-0000-0000-000027660000}"/>
    <cellStyle name="Normal 11 2 10 4 3" xfId="27130" xr:uid="{00000000-0005-0000-0000-000028660000}"/>
    <cellStyle name="Normal 11 2 10 5" xfId="27131" xr:uid="{00000000-0005-0000-0000-000029660000}"/>
    <cellStyle name="Normal 11 2 10 5 2" xfId="27132" xr:uid="{00000000-0005-0000-0000-00002A660000}"/>
    <cellStyle name="Normal 11 2 10 6" xfId="27133" xr:uid="{00000000-0005-0000-0000-00002B660000}"/>
    <cellStyle name="Normal 11 2 10 7" xfId="27110" xr:uid="{00000000-0005-0000-0000-00002C660000}"/>
    <cellStyle name="Normal 11 2 11" xfId="27134" xr:uid="{00000000-0005-0000-0000-00002D660000}"/>
    <cellStyle name="Normal 11 2 11 2" xfId="27135" xr:uid="{00000000-0005-0000-0000-00002E660000}"/>
    <cellStyle name="Normal 11 2 11 2 2" xfId="27136" xr:uid="{00000000-0005-0000-0000-00002F660000}"/>
    <cellStyle name="Normal 11 2 11 2 2 2" xfId="27137" xr:uid="{00000000-0005-0000-0000-000030660000}"/>
    <cellStyle name="Normal 11 2 11 2 2 2 2" xfId="27138" xr:uid="{00000000-0005-0000-0000-000031660000}"/>
    <cellStyle name="Normal 11 2 11 2 2 3" xfId="27139" xr:uid="{00000000-0005-0000-0000-000032660000}"/>
    <cellStyle name="Normal 11 2 11 2 3" xfId="27140" xr:uid="{00000000-0005-0000-0000-000033660000}"/>
    <cellStyle name="Normal 11 2 11 2 3 2" xfId="27141" xr:uid="{00000000-0005-0000-0000-000034660000}"/>
    <cellStyle name="Normal 11 2 11 2 4" xfId="27142" xr:uid="{00000000-0005-0000-0000-000035660000}"/>
    <cellStyle name="Normal 11 2 11 3" xfId="27143" xr:uid="{00000000-0005-0000-0000-000036660000}"/>
    <cellStyle name="Normal 11 2 11 3 2" xfId="27144" xr:uid="{00000000-0005-0000-0000-000037660000}"/>
    <cellStyle name="Normal 11 2 11 3 2 2" xfId="27145" xr:uid="{00000000-0005-0000-0000-000038660000}"/>
    <cellStyle name="Normal 11 2 11 3 3" xfId="27146" xr:uid="{00000000-0005-0000-0000-000039660000}"/>
    <cellStyle name="Normal 11 2 11 4" xfId="27147" xr:uid="{00000000-0005-0000-0000-00003A660000}"/>
    <cellStyle name="Normal 11 2 11 4 2" xfId="27148" xr:uid="{00000000-0005-0000-0000-00003B660000}"/>
    <cellStyle name="Normal 11 2 11 5" xfId="27149" xr:uid="{00000000-0005-0000-0000-00003C660000}"/>
    <cellStyle name="Normal 11 2 12" xfId="27150" xr:uid="{00000000-0005-0000-0000-00003D660000}"/>
    <cellStyle name="Normal 11 2 12 2" xfId="27151" xr:uid="{00000000-0005-0000-0000-00003E660000}"/>
    <cellStyle name="Normal 11 2 12 2 2" xfId="27152" xr:uid="{00000000-0005-0000-0000-00003F660000}"/>
    <cellStyle name="Normal 11 2 12 2 2 2" xfId="27153" xr:uid="{00000000-0005-0000-0000-000040660000}"/>
    <cellStyle name="Normal 11 2 12 2 2 2 2" xfId="27154" xr:uid="{00000000-0005-0000-0000-000041660000}"/>
    <cellStyle name="Normal 11 2 12 2 2 3" xfId="27155" xr:uid="{00000000-0005-0000-0000-000042660000}"/>
    <cellStyle name="Normal 11 2 12 2 3" xfId="27156" xr:uid="{00000000-0005-0000-0000-000043660000}"/>
    <cellStyle name="Normal 11 2 12 2 3 2" xfId="27157" xr:uid="{00000000-0005-0000-0000-000044660000}"/>
    <cellStyle name="Normal 11 2 12 2 4" xfId="27158" xr:uid="{00000000-0005-0000-0000-000045660000}"/>
    <cellStyle name="Normal 11 2 12 3" xfId="27159" xr:uid="{00000000-0005-0000-0000-000046660000}"/>
    <cellStyle name="Normal 11 2 12 3 2" xfId="27160" xr:uid="{00000000-0005-0000-0000-000047660000}"/>
    <cellStyle name="Normal 11 2 12 3 2 2" xfId="27161" xr:uid="{00000000-0005-0000-0000-000048660000}"/>
    <cellStyle name="Normal 11 2 12 3 3" xfId="27162" xr:uid="{00000000-0005-0000-0000-000049660000}"/>
    <cellStyle name="Normal 11 2 12 4" xfId="27163" xr:uid="{00000000-0005-0000-0000-00004A660000}"/>
    <cellStyle name="Normal 11 2 12 4 2" xfId="27164" xr:uid="{00000000-0005-0000-0000-00004B660000}"/>
    <cellStyle name="Normal 11 2 12 5" xfId="27165" xr:uid="{00000000-0005-0000-0000-00004C660000}"/>
    <cellStyle name="Normal 11 2 13" xfId="27166" xr:uid="{00000000-0005-0000-0000-00004D660000}"/>
    <cellStyle name="Normal 11 2 13 2" xfId="27167" xr:uid="{00000000-0005-0000-0000-00004E660000}"/>
    <cellStyle name="Normal 11 2 13 2 2" xfId="27168" xr:uid="{00000000-0005-0000-0000-00004F660000}"/>
    <cellStyle name="Normal 11 2 13 2 2 2" xfId="27169" xr:uid="{00000000-0005-0000-0000-000050660000}"/>
    <cellStyle name="Normal 11 2 13 2 3" xfId="27170" xr:uid="{00000000-0005-0000-0000-000051660000}"/>
    <cellStyle name="Normal 11 2 13 3" xfId="27171" xr:uid="{00000000-0005-0000-0000-000052660000}"/>
    <cellStyle name="Normal 11 2 13 3 2" xfId="27172" xr:uid="{00000000-0005-0000-0000-000053660000}"/>
    <cellStyle name="Normal 11 2 13 4" xfId="27173" xr:uid="{00000000-0005-0000-0000-000054660000}"/>
    <cellStyle name="Normal 11 2 14" xfId="27174" xr:uid="{00000000-0005-0000-0000-000055660000}"/>
    <cellStyle name="Normal 11 2 14 2" xfId="27175" xr:uid="{00000000-0005-0000-0000-000056660000}"/>
    <cellStyle name="Normal 11 2 14 2 2" xfId="27176" xr:uid="{00000000-0005-0000-0000-000057660000}"/>
    <cellStyle name="Normal 11 2 14 2 2 2" xfId="27177" xr:uid="{00000000-0005-0000-0000-000058660000}"/>
    <cellStyle name="Normal 11 2 14 2 3" xfId="27178" xr:uid="{00000000-0005-0000-0000-000059660000}"/>
    <cellStyle name="Normal 11 2 14 3" xfId="27179" xr:uid="{00000000-0005-0000-0000-00005A660000}"/>
    <cellStyle name="Normal 11 2 14 3 2" xfId="27180" xr:uid="{00000000-0005-0000-0000-00005B660000}"/>
    <cellStyle name="Normal 11 2 14 4" xfId="27181" xr:uid="{00000000-0005-0000-0000-00005C660000}"/>
    <cellStyle name="Normal 11 2 15" xfId="27182" xr:uid="{00000000-0005-0000-0000-00005D660000}"/>
    <cellStyle name="Normal 11 2 15 2" xfId="27183" xr:uid="{00000000-0005-0000-0000-00005E660000}"/>
    <cellStyle name="Normal 11 2 15 2 2" xfId="27184" xr:uid="{00000000-0005-0000-0000-00005F660000}"/>
    <cellStyle name="Normal 11 2 15 2 2 2" xfId="27185" xr:uid="{00000000-0005-0000-0000-000060660000}"/>
    <cellStyle name="Normal 11 2 15 2 3" xfId="27186" xr:uid="{00000000-0005-0000-0000-000061660000}"/>
    <cellStyle name="Normal 11 2 15 3" xfId="27187" xr:uid="{00000000-0005-0000-0000-000062660000}"/>
    <cellStyle name="Normal 11 2 15 3 2" xfId="27188" xr:uid="{00000000-0005-0000-0000-000063660000}"/>
    <cellStyle name="Normal 11 2 15 4" xfId="27189" xr:uid="{00000000-0005-0000-0000-000064660000}"/>
    <cellStyle name="Normal 11 2 16" xfId="27190" xr:uid="{00000000-0005-0000-0000-000065660000}"/>
    <cellStyle name="Normal 11 2 16 2" xfId="27191" xr:uid="{00000000-0005-0000-0000-000066660000}"/>
    <cellStyle name="Normal 11 2 16 2 2" xfId="27192" xr:uid="{00000000-0005-0000-0000-000067660000}"/>
    <cellStyle name="Normal 11 2 16 3" xfId="27193" xr:uid="{00000000-0005-0000-0000-000068660000}"/>
    <cellStyle name="Normal 11 2 17" xfId="27194" xr:uid="{00000000-0005-0000-0000-000069660000}"/>
    <cellStyle name="Normal 11 2 17 2" xfId="27195" xr:uid="{00000000-0005-0000-0000-00006A660000}"/>
    <cellStyle name="Normal 11 2 17 2 2" xfId="27196" xr:uid="{00000000-0005-0000-0000-00006B660000}"/>
    <cellStyle name="Normal 11 2 17 3" xfId="27197" xr:uid="{00000000-0005-0000-0000-00006C660000}"/>
    <cellStyle name="Normal 11 2 18" xfId="27198" xr:uid="{00000000-0005-0000-0000-00006D660000}"/>
    <cellStyle name="Normal 11 2 18 2" xfId="27199" xr:uid="{00000000-0005-0000-0000-00006E660000}"/>
    <cellStyle name="Normal 11 2 18 2 2" xfId="27200" xr:uid="{00000000-0005-0000-0000-00006F660000}"/>
    <cellStyle name="Normal 11 2 18 3" xfId="27201" xr:uid="{00000000-0005-0000-0000-000070660000}"/>
    <cellStyle name="Normal 11 2 19" xfId="27202" xr:uid="{00000000-0005-0000-0000-000071660000}"/>
    <cellStyle name="Normal 11 2 19 2" xfId="27203" xr:uid="{00000000-0005-0000-0000-000072660000}"/>
    <cellStyle name="Normal 11 2 2" xfId="536" xr:uid="{00000000-0005-0000-0000-000073660000}"/>
    <cellStyle name="Normal 11 2 2 10" xfId="27205" xr:uid="{00000000-0005-0000-0000-000074660000}"/>
    <cellStyle name="Normal 11 2 2 10 2" xfId="27206" xr:uid="{00000000-0005-0000-0000-000075660000}"/>
    <cellStyle name="Normal 11 2 2 10 2 2" xfId="27207" xr:uid="{00000000-0005-0000-0000-000076660000}"/>
    <cellStyle name="Normal 11 2 2 10 2 2 2" xfId="27208" xr:uid="{00000000-0005-0000-0000-000077660000}"/>
    <cellStyle name="Normal 11 2 2 10 2 2 2 2" xfId="27209" xr:uid="{00000000-0005-0000-0000-000078660000}"/>
    <cellStyle name="Normal 11 2 2 10 2 2 3" xfId="27210" xr:uid="{00000000-0005-0000-0000-000079660000}"/>
    <cellStyle name="Normal 11 2 2 10 2 3" xfId="27211" xr:uid="{00000000-0005-0000-0000-00007A660000}"/>
    <cellStyle name="Normal 11 2 2 10 2 3 2" xfId="27212" xr:uid="{00000000-0005-0000-0000-00007B660000}"/>
    <cellStyle name="Normal 11 2 2 10 2 4" xfId="27213" xr:uid="{00000000-0005-0000-0000-00007C660000}"/>
    <cellStyle name="Normal 11 2 2 10 3" xfId="27214" xr:uid="{00000000-0005-0000-0000-00007D660000}"/>
    <cellStyle name="Normal 11 2 2 10 3 2" xfId="27215" xr:uid="{00000000-0005-0000-0000-00007E660000}"/>
    <cellStyle name="Normal 11 2 2 10 3 2 2" xfId="27216" xr:uid="{00000000-0005-0000-0000-00007F660000}"/>
    <cellStyle name="Normal 11 2 2 10 3 3" xfId="27217" xr:uid="{00000000-0005-0000-0000-000080660000}"/>
    <cellStyle name="Normal 11 2 2 10 4" xfId="27218" xr:uid="{00000000-0005-0000-0000-000081660000}"/>
    <cellStyle name="Normal 11 2 2 10 4 2" xfId="27219" xr:uid="{00000000-0005-0000-0000-000082660000}"/>
    <cellStyle name="Normal 11 2 2 10 5" xfId="27220" xr:uid="{00000000-0005-0000-0000-000083660000}"/>
    <cellStyle name="Normal 11 2 2 11" xfId="27221" xr:uid="{00000000-0005-0000-0000-000084660000}"/>
    <cellStyle name="Normal 11 2 2 11 2" xfId="27222" xr:uid="{00000000-0005-0000-0000-000085660000}"/>
    <cellStyle name="Normal 11 2 2 11 2 2" xfId="27223" xr:uid="{00000000-0005-0000-0000-000086660000}"/>
    <cellStyle name="Normal 11 2 2 11 2 2 2" xfId="27224" xr:uid="{00000000-0005-0000-0000-000087660000}"/>
    <cellStyle name="Normal 11 2 2 11 2 3" xfId="27225" xr:uid="{00000000-0005-0000-0000-000088660000}"/>
    <cellStyle name="Normal 11 2 2 11 3" xfId="27226" xr:uid="{00000000-0005-0000-0000-000089660000}"/>
    <cellStyle name="Normal 11 2 2 11 3 2" xfId="27227" xr:uid="{00000000-0005-0000-0000-00008A660000}"/>
    <cellStyle name="Normal 11 2 2 11 4" xfId="27228" xr:uid="{00000000-0005-0000-0000-00008B660000}"/>
    <cellStyle name="Normal 11 2 2 12" xfId="27229" xr:uid="{00000000-0005-0000-0000-00008C660000}"/>
    <cellStyle name="Normal 11 2 2 12 2" xfId="27230" xr:uid="{00000000-0005-0000-0000-00008D660000}"/>
    <cellStyle name="Normal 11 2 2 12 2 2" xfId="27231" xr:uid="{00000000-0005-0000-0000-00008E660000}"/>
    <cellStyle name="Normal 11 2 2 12 2 2 2" xfId="27232" xr:uid="{00000000-0005-0000-0000-00008F660000}"/>
    <cellStyle name="Normal 11 2 2 12 2 3" xfId="27233" xr:uid="{00000000-0005-0000-0000-000090660000}"/>
    <cellStyle name="Normal 11 2 2 12 3" xfId="27234" xr:uid="{00000000-0005-0000-0000-000091660000}"/>
    <cellStyle name="Normal 11 2 2 12 3 2" xfId="27235" xr:uid="{00000000-0005-0000-0000-000092660000}"/>
    <cellStyle name="Normal 11 2 2 12 4" xfId="27236" xr:uid="{00000000-0005-0000-0000-000093660000}"/>
    <cellStyle name="Normal 11 2 2 13" xfId="27237" xr:uid="{00000000-0005-0000-0000-000094660000}"/>
    <cellStyle name="Normal 11 2 2 13 2" xfId="27238" xr:uid="{00000000-0005-0000-0000-000095660000}"/>
    <cellStyle name="Normal 11 2 2 13 2 2" xfId="27239" xr:uid="{00000000-0005-0000-0000-000096660000}"/>
    <cellStyle name="Normal 11 2 2 13 2 2 2" xfId="27240" xr:uid="{00000000-0005-0000-0000-000097660000}"/>
    <cellStyle name="Normal 11 2 2 13 2 3" xfId="27241" xr:uid="{00000000-0005-0000-0000-000098660000}"/>
    <cellStyle name="Normal 11 2 2 13 3" xfId="27242" xr:uid="{00000000-0005-0000-0000-000099660000}"/>
    <cellStyle name="Normal 11 2 2 13 3 2" xfId="27243" xr:uid="{00000000-0005-0000-0000-00009A660000}"/>
    <cellStyle name="Normal 11 2 2 13 4" xfId="27244" xr:uid="{00000000-0005-0000-0000-00009B660000}"/>
    <cellStyle name="Normal 11 2 2 14" xfId="27245" xr:uid="{00000000-0005-0000-0000-00009C660000}"/>
    <cellStyle name="Normal 11 2 2 14 2" xfId="27246" xr:uid="{00000000-0005-0000-0000-00009D660000}"/>
    <cellStyle name="Normal 11 2 2 14 2 2" xfId="27247" xr:uid="{00000000-0005-0000-0000-00009E660000}"/>
    <cellStyle name="Normal 11 2 2 14 3" xfId="27248" xr:uid="{00000000-0005-0000-0000-00009F660000}"/>
    <cellStyle name="Normal 11 2 2 15" xfId="27249" xr:uid="{00000000-0005-0000-0000-0000A0660000}"/>
    <cellStyle name="Normal 11 2 2 15 2" xfId="27250" xr:uid="{00000000-0005-0000-0000-0000A1660000}"/>
    <cellStyle name="Normal 11 2 2 15 2 2" xfId="27251" xr:uid="{00000000-0005-0000-0000-0000A2660000}"/>
    <cellStyle name="Normal 11 2 2 15 3" xfId="27252" xr:uid="{00000000-0005-0000-0000-0000A3660000}"/>
    <cellStyle name="Normal 11 2 2 16" xfId="27253" xr:uid="{00000000-0005-0000-0000-0000A4660000}"/>
    <cellStyle name="Normal 11 2 2 16 2" xfId="27254" xr:uid="{00000000-0005-0000-0000-0000A5660000}"/>
    <cellStyle name="Normal 11 2 2 16 2 2" xfId="27255" xr:uid="{00000000-0005-0000-0000-0000A6660000}"/>
    <cellStyle name="Normal 11 2 2 16 3" xfId="27256" xr:uid="{00000000-0005-0000-0000-0000A7660000}"/>
    <cellStyle name="Normal 11 2 2 17" xfId="27257" xr:uid="{00000000-0005-0000-0000-0000A8660000}"/>
    <cellStyle name="Normal 11 2 2 17 2" xfId="27258" xr:uid="{00000000-0005-0000-0000-0000A9660000}"/>
    <cellStyle name="Normal 11 2 2 18" xfId="27259" xr:uid="{00000000-0005-0000-0000-0000AA660000}"/>
    <cellStyle name="Normal 11 2 2 19" xfId="27260" xr:uid="{00000000-0005-0000-0000-0000AB660000}"/>
    <cellStyle name="Normal 11 2 2 2" xfId="537" xr:uid="{00000000-0005-0000-0000-0000AC660000}"/>
    <cellStyle name="Normal 11 2 2 2 10" xfId="27262" xr:uid="{00000000-0005-0000-0000-0000AD660000}"/>
    <cellStyle name="Normal 11 2 2 2 10 2" xfId="27263" xr:uid="{00000000-0005-0000-0000-0000AE660000}"/>
    <cellStyle name="Normal 11 2 2 2 10 2 2" xfId="27264" xr:uid="{00000000-0005-0000-0000-0000AF660000}"/>
    <cellStyle name="Normal 11 2 2 2 10 2 2 2" xfId="27265" xr:uid="{00000000-0005-0000-0000-0000B0660000}"/>
    <cellStyle name="Normal 11 2 2 2 10 2 3" xfId="27266" xr:uid="{00000000-0005-0000-0000-0000B1660000}"/>
    <cellStyle name="Normal 11 2 2 2 10 3" xfId="27267" xr:uid="{00000000-0005-0000-0000-0000B2660000}"/>
    <cellStyle name="Normal 11 2 2 2 10 3 2" xfId="27268" xr:uid="{00000000-0005-0000-0000-0000B3660000}"/>
    <cellStyle name="Normal 11 2 2 2 10 4" xfId="27269" xr:uid="{00000000-0005-0000-0000-0000B4660000}"/>
    <cellStyle name="Normal 11 2 2 2 11" xfId="27270" xr:uid="{00000000-0005-0000-0000-0000B5660000}"/>
    <cellStyle name="Normal 11 2 2 2 11 2" xfId="27271" xr:uid="{00000000-0005-0000-0000-0000B6660000}"/>
    <cellStyle name="Normal 11 2 2 2 11 2 2" xfId="27272" xr:uid="{00000000-0005-0000-0000-0000B7660000}"/>
    <cellStyle name="Normal 11 2 2 2 11 2 2 2" xfId="27273" xr:uid="{00000000-0005-0000-0000-0000B8660000}"/>
    <cellStyle name="Normal 11 2 2 2 11 2 3" xfId="27274" xr:uid="{00000000-0005-0000-0000-0000B9660000}"/>
    <cellStyle name="Normal 11 2 2 2 11 3" xfId="27275" xr:uid="{00000000-0005-0000-0000-0000BA660000}"/>
    <cellStyle name="Normal 11 2 2 2 11 3 2" xfId="27276" xr:uid="{00000000-0005-0000-0000-0000BB660000}"/>
    <cellStyle name="Normal 11 2 2 2 11 4" xfId="27277" xr:uid="{00000000-0005-0000-0000-0000BC660000}"/>
    <cellStyle name="Normal 11 2 2 2 12" xfId="27278" xr:uid="{00000000-0005-0000-0000-0000BD660000}"/>
    <cellStyle name="Normal 11 2 2 2 12 2" xfId="27279" xr:uid="{00000000-0005-0000-0000-0000BE660000}"/>
    <cellStyle name="Normal 11 2 2 2 12 2 2" xfId="27280" xr:uid="{00000000-0005-0000-0000-0000BF660000}"/>
    <cellStyle name="Normal 11 2 2 2 12 2 2 2" xfId="27281" xr:uid="{00000000-0005-0000-0000-0000C0660000}"/>
    <cellStyle name="Normal 11 2 2 2 12 2 3" xfId="27282" xr:uid="{00000000-0005-0000-0000-0000C1660000}"/>
    <cellStyle name="Normal 11 2 2 2 12 3" xfId="27283" xr:uid="{00000000-0005-0000-0000-0000C2660000}"/>
    <cellStyle name="Normal 11 2 2 2 12 3 2" xfId="27284" xr:uid="{00000000-0005-0000-0000-0000C3660000}"/>
    <cellStyle name="Normal 11 2 2 2 12 4" xfId="27285" xr:uid="{00000000-0005-0000-0000-0000C4660000}"/>
    <cellStyle name="Normal 11 2 2 2 13" xfId="27286" xr:uid="{00000000-0005-0000-0000-0000C5660000}"/>
    <cellStyle name="Normal 11 2 2 2 13 2" xfId="27287" xr:uid="{00000000-0005-0000-0000-0000C6660000}"/>
    <cellStyle name="Normal 11 2 2 2 13 2 2" xfId="27288" xr:uid="{00000000-0005-0000-0000-0000C7660000}"/>
    <cellStyle name="Normal 11 2 2 2 13 3" xfId="27289" xr:uid="{00000000-0005-0000-0000-0000C8660000}"/>
    <cellStyle name="Normal 11 2 2 2 14" xfId="27290" xr:uid="{00000000-0005-0000-0000-0000C9660000}"/>
    <cellStyle name="Normal 11 2 2 2 14 2" xfId="27291" xr:uid="{00000000-0005-0000-0000-0000CA660000}"/>
    <cellStyle name="Normal 11 2 2 2 14 2 2" xfId="27292" xr:uid="{00000000-0005-0000-0000-0000CB660000}"/>
    <cellStyle name="Normal 11 2 2 2 14 3" xfId="27293" xr:uid="{00000000-0005-0000-0000-0000CC660000}"/>
    <cellStyle name="Normal 11 2 2 2 15" xfId="27294" xr:uid="{00000000-0005-0000-0000-0000CD660000}"/>
    <cellStyle name="Normal 11 2 2 2 15 2" xfId="27295" xr:uid="{00000000-0005-0000-0000-0000CE660000}"/>
    <cellStyle name="Normal 11 2 2 2 15 2 2" xfId="27296" xr:uid="{00000000-0005-0000-0000-0000CF660000}"/>
    <cellStyle name="Normal 11 2 2 2 15 3" xfId="27297" xr:uid="{00000000-0005-0000-0000-0000D0660000}"/>
    <cellStyle name="Normal 11 2 2 2 16" xfId="27298" xr:uid="{00000000-0005-0000-0000-0000D1660000}"/>
    <cellStyle name="Normal 11 2 2 2 16 2" xfId="27299" xr:uid="{00000000-0005-0000-0000-0000D2660000}"/>
    <cellStyle name="Normal 11 2 2 2 17" xfId="27300" xr:uid="{00000000-0005-0000-0000-0000D3660000}"/>
    <cellStyle name="Normal 11 2 2 2 18" xfId="27301" xr:uid="{00000000-0005-0000-0000-0000D4660000}"/>
    <cellStyle name="Normal 11 2 2 2 19" xfId="27261" xr:uid="{00000000-0005-0000-0000-0000D5660000}"/>
    <cellStyle name="Normal 11 2 2 2 2" xfId="538" xr:uid="{00000000-0005-0000-0000-0000D6660000}"/>
    <cellStyle name="Normal 11 2 2 2 2 10" xfId="27303" xr:uid="{00000000-0005-0000-0000-0000D7660000}"/>
    <cellStyle name="Normal 11 2 2 2 2 10 2" xfId="27304" xr:uid="{00000000-0005-0000-0000-0000D8660000}"/>
    <cellStyle name="Normal 11 2 2 2 2 10 2 2" xfId="27305" xr:uid="{00000000-0005-0000-0000-0000D9660000}"/>
    <cellStyle name="Normal 11 2 2 2 2 10 2 2 2" xfId="27306" xr:uid="{00000000-0005-0000-0000-0000DA660000}"/>
    <cellStyle name="Normal 11 2 2 2 2 10 2 3" xfId="27307" xr:uid="{00000000-0005-0000-0000-0000DB660000}"/>
    <cellStyle name="Normal 11 2 2 2 2 10 3" xfId="27308" xr:uid="{00000000-0005-0000-0000-0000DC660000}"/>
    <cellStyle name="Normal 11 2 2 2 2 10 3 2" xfId="27309" xr:uid="{00000000-0005-0000-0000-0000DD660000}"/>
    <cellStyle name="Normal 11 2 2 2 2 10 4" xfId="27310" xr:uid="{00000000-0005-0000-0000-0000DE660000}"/>
    <cellStyle name="Normal 11 2 2 2 2 11" xfId="27311" xr:uid="{00000000-0005-0000-0000-0000DF660000}"/>
    <cellStyle name="Normal 11 2 2 2 2 11 2" xfId="27312" xr:uid="{00000000-0005-0000-0000-0000E0660000}"/>
    <cellStyle name="Normal 11 2 2 2 2 11 2 2" xfId="27313" xr:uid="{00000000-0005-0000-0000-0000E1660000}"/>
    <cellStyle name="Normal 11 2 2 2 2 11 2 2 2" xfId="27314" xr:uid="{00000000-0005-0000-0000-0000E2660000}"/>
    <cellStyle name="Normal 11 2 2 2 2 11 2 3" xfId="27315" xr:uid="{00000000-0005-0000-0000-0000E3660000}"/>
    <cellStyle name="Normal 11 2 2 2 2 11 3" xfId="27316" xr:uid="{00000000-0005-0000-0000-0000E4660000}"/>
    <cellStyle name="Normal 11 2 2 2 2 11 3 2" xfId="27317" xr:uid="{00000000-0005-0000-0000-0000E5660000}"/>
    <cellStyle name="Normal 11 2 2 2 2 11 4" xfId="27318" xr:uid="{00000000-0005-0000-0000-0000E6660000}"/>
    <cellStyle name="Normal 11 2 2 2 2 12" xfId="27319" xr:uid="{00000000-0005-0000-0000-0000E7660000}"/>
    <cellStyle name="Normal 11 2 2 2 2 12 2" xfId="27320" xr:uid="{00000000-0005-0000-0000-0000E8660000}"/>
    <cellStyle name="Normal 11 2 2 2 2 12 2 2" xfId="27321" xr:uid="{00000000-0005-0000-0000-0000E9660000}"/>
    <cellStyle name="Normal 11 2 2 2 2 12 3" xfId="27322" xr:uid="{00000000-0005-0000-0000-0000EA660000}"/>
    <cellStyle name="Normal 11 2 2 2 2 13" xfId="27323" xr:uid="{00000000-0005-0000-0000-0000EB660000}"/>
    <cellStyle name="Normal 11 2 2 2 2 13 2" xfId="27324" xr:uid="{00000000-0005-0000-0000-0000EC660000}"/>
    <cellStyle name="Normal 11 2 2 2 2 13 2 2" xfId="27325" xr:uid="{00000000-0005-0000-0000-0000ED660000}"/>
    <cellStyle name="Normal 11 2 2 2 2 13 3" xfId="27326" xr:uid="{00000000-0005-0000-0000-0000EE660000}"/>
    <cellStyle name="Normal 11 2 2 2 2 14" xfId="27327" xr:uid="{00000000-0005-0000-0000-0000EF660000}"/>
    <cellStyle name="Normal 11 2 2 2 2 14 2" xfId="27328" xr:uid="{00000000-0005-0000-0000-0000F0660000}"/>
    <cellStyle name="Normal 11 2 2 2 2 14 2 2" xfId="27329" xr:uid="{00000000-0005-0000-0000-0000F1660000}"/>
    <cellStyle name="Normal 11 2 2 2 2 14 3" xfId="27330" xr:uid="{00000000-0005-0000-0000-0000F2660000}"/>
    <cellStyle name="Normal 11 2 2 2 2 15" xfId="27331" xr:uid="{00000000-0005-0000-0000-0000F3660000}"/>
    <cellStyle name="Normal 11 2 2 2 2 15 2" xfId="27332" xr:uid="{00000000-0005-0000-0000-0000F4660000}"/>
    <cellStyle name="Normal 11 2 2 2 2 16" xfId="27333" xr:uid="{00000000-0005-0000-0000-0000F5660000}"/>
    <cellStyle name="Normal 11 2 2 2 2 17" xfId="27334" xr:uid="{00000000-0005-0000-0000-0000F6660000}"/>
    <cellStyle name="Normal 11 2 2 2 2 18" xfId="27302" xr:uid="{00000000-0005-0000-0000-0000F7660000}"/>
    <cellStyle name="Normal 11 2 2 2 2 2" xfId="539" xr:uid="{00000000-0005-0000-0000-0000F8660000}"/>
    <cellStyle name="Normal 11 2 2 2 2 2 10" xfId="27336" xr:uid="{00000000-0005-0000-0000-0000F9660000}"/>
    <cellStyle name="Normal 11 2 2 2 2 2 10 2" xfId="27337" xr:uid="{00000000-0005-0000-0000-0000FA660000}"/>
    <cellStyle name="Normal 11 2 2 2 2 2 10 2 2" xfId="27338" xr:uid="{00000000-0005-0000-0000-0000FB660000}"/>
    <cellStyle name="Normal 11 2 2 2 2 2 10 2 2 2" xfId="27339" xr:uid="{00000000-0005-0000-0000-0000FC660000}"/>
    <cellStyle name="Normal 11 2 2 2 2 2 10 2 3" xfId="27340" xr:uid="{00000000-0005-0000-0000-0000FD660000}"/>
    <cellStyle name="Normal 11 2 2 2 2 2 10 3" xfId="27341" xr:uid="{00000000-0005-0000-0000-0000FE660000}"/>
    <cellStyle name="Normal 11 2 2 2 2 2 10 3 2" xfId="27342" xr:uid="{00000000-0005-0000-0000-0000FF660000}"/>
    <cellStyle name="Normal 11 2 2 2 2 2 10 4" xfId="27343" xr:uid="{00000000-0005-0000-0000-000000670000}"/>
    <cellStyle name="Normal 11 2 2 2 2 2 11" xfId="27344" xr:uid="{00000000-0005-0000-0000-000001670000}"/>
    <cellStyle name="Normal 11 2 2 2 2 2 11 2" xfId="27345" xr:uid="{00000000-0005-0000-0000-000002670000}"/>
    <cellStyle name="Normal 11 2 2 2 2 2 11 2 2" xfId="27346" xr:uid="{00000000-0005-0000-0000-000003670000}"/>
    <cellStyle name="Normal 11 2 2 2 2 2 11 3" xfId="27347" xr:uid="{00000000-0005-0000-0000-000004670000}"/>
    <cellStyle name="Normal 11 2 2 2 2 2 12" xfId="27348" xr:uid="{00000000-0005-0000-0000-000005670000}"/>
    <cellStyle name="Normal 11 2 2 2 2 2 12 2" xfId="27349" xr:uid="{00000000-0005-0000-0000-000006670000}"/>
    <cellStyle name="Normal 11 2 2 2 2 2 12 2 2" xfId="27350" xr:uid="{00000000-0005-0000-0000-000007670000}"/>
    <cellStyle name="Normal 11 2 2 2 2 2 12 3" xfId="27351" xr:uid="{00000000-0005-0000-0000-000008670000}"/>
    <cellStyle name="Normal 11 2 2 2 2 2 13" xfId="27352" xr:uid="{00000000-0005-0000-0000-000009670000}"/>
    <cellStyle name="Normal 11 2 2 2 2 2 13 2" xfId="27353" xr:uid="{00000000-0005-0000-0000-00000A670000}"/>
    <cellStyle name="Normal 11 2 2 2 2 2 13 2 2" xfId="27354" xr:uid="{00000000-0005-0000-0000-00000B670000}"/>
    <cellStyle name="Normal 11 2 2 2 2 2 13 3" xfId="27355" xr:uid="{00000000-0005-0000-0000-00000C670000}"/>
    <cellStyle name="Normal 11 2 2 2 2 2 14" xfId="27356" xr:uid="{00000000-0005-0000-0000-00000D670000}"/>
    <cellStyle name="Normal 11 2 2 2 2 2 14 2" xfId="27357" xr:uid="{00000000-0005-0000-0000-00000E670000}"/>
    <cellStyle name="Normal 11 2 2 2 2 2 15" xfId="27358" xr:uid="{00000000-0005-0000-0000-00000F670000}"/>
    <cellStyle name="Normal 11 2 2 2 2 2 16" xfId="27359" xr:uid="{00000000-0005-0000-0000-000010670000}"/>
    <cellStyle name="Normal 11 2 2 2 2 2 17" xfId="27335" xr:uid="{00000000-0005-0000-0000-000011670000}"/>
    <cellStyle name="Normal 11 2 2 2 2 2 2" xfId="540" xr:uid="{00000000-0005-0000-0000-000012670000}"/>
    <cellStyle name="Normal 11 2 2 2 2 2 2 10" xfId="27361" xr:uid="{00000000-0005-0000-0000-000013670000}"/>
    <cellStyle name="Normal 11 2 2 2 2 2 2 10 2" xfId="27362" xr:uid="{00000000-0005-0000-0000-000014670000}"/>
    <cellStyle name="Normal 11 2 2 2 2 2 2 10 2 2" xfId="27363" xr:uid="{00000000-0005-0000-0000-000015670000}"/>
    <cellStyle name="Normal 11 2 2 2 2 2 2 10 3" xfId="27364" xr:uid="{00000000-0005-0000-0000-000016670000}"/>
    <cellStyle name="Normal 11 2 2 2 2 2 2 11" xfId="27365" xr:uid="{00000000-0005-0000-0000-000017670000}"/>
    <cellStyle name="Normal 11 2 2 2 2 2 2 11 2" xfId="27366" xr:uid="{00000000-0005-0000-0000-000018670000}"/>
    <cellStyle name="Normal 11 2 2 2 2 2 2 11 2 2" xfId="27367" xr:uid="{00000000-0005-0000-0000-000019670000}"/>
    <cellStyle name="Normal 11 2 2 2 2 2 2 11 3" xfId="27368" xr:uid="{00000000-0005-0000-0000-00001A670000}"/>
    <cellStyle name="Normal 11 2 2 2 2 2 2 12" xfId="27369" xr:uid="{00000000-0005-0000-0000-00001B670000}"/>
    <cellStyle name="Normal 11 2 2 2 2 2 2 12 2" xfId="27370" xr:uid="{00000000-0005-0000-0000-00001C670000}"/>
    <cellStyle name="Normal 11 2 2 2 2 2 2 13" xfId="27371" xr:uid="{00000000-0005-0000-0000-00001D670000}"/>
    <cellStyle name="Normal 11 2 2 2 2 2 2 14" xfId="27372" xr:uid="{00000000-0005-0000-0000-00001E670000}"/>
    <cellStyle name="Normal 11 2 2 2 2 2 2 15" xfId="27360" xr:uid="{00000000-0005-0000-0000-00001F670000}"/>
    <cellStyle name="Normal 11 2 2 2 2 2 2 2" xfId="982" xr:uid="{00000000-0005-0000-0000-000020670000}"/>
    <cellStyle name="Normal 11 2 2 2 2 2 2 2 10" xfId="27374" xr:uid="{00000000-0005-0000-0000-000021670000}"/>
    <cellStyle name="Normal 11 2 2 2 2 2 2 2 11" xfId="27373" xr:uid="{00000000-0005-0000-0000-000022670000}"/>
    <cellStyle name="Normal 11 2 2 2 2 2 2 2 2" xfId="1711" xr:uid="{00000000-0005-0000-0000-000023670000}"/>
    <cellStyle name="Normal 11 2 2 2 2 2 2 2 2 2" xfId="27376" xr:uid="{00000000-0005-0000-0000-000024670000}"/>
    <cellStyle name="Normal 11 2 2 2 2 2 2 2 2 2 2" xfId="27377" xr:uid="{00000000-0005-0000-0000-000025670000}"/>
    <cellStyle name="Normal 11 2 2 2 2 2 2 2 2 2 2 2" xfId="27378" xr:uid="{00000000-0005-0000-0000-000026670000}"/>
    <cellStyle name="Normal 11 2 2 2 2 2 2 2 2 2 2 2 2" xfId="27379" xr:uid="{00000000-0005-0000-0000-000027670000}"/>
    <cellStyle name="Normal 11 2 2 2 2 2 2 2 2 2 2 3" xfId="27380" xr:uid="{00000000-0005-0000-0000-000028670000}"/>
    <cellStyle name="Normal 11 2 2 2 2 2 2 2 2 2 3" xfId="27381" xr:uid="{00000000-0005-0000-0000-000029670000}"/>
    <cellStyle name="Normal 11 2 2 2 2 2 2 2 2 2 3 2" xfId="27382" xr:uid="{00000000-0005-0000-0000-00002A670000}"/>
    <cellStyle name="Normal 11 2 2 2 2 2 2 2 2 2 4" xfId="27383" xr:uid="{00000000-0005-0000-0000-00002B670000}"/>
    <cellStyle name="Normal 11 2 2 2 2 2 2 2 2 3" xfId="27384" xr:uid="{00000000-0005-0000-0000-00002C670000}"/>
    <cellStyle name="Normal 11 2 2 2 2 2 2 2 2 3 2" xfId="27385" xr:uid="{00000000-0005-0000-0000-00002D670000}"/>
    <cellStyle name="Normal 11 2 2 2 2 2 2 2 2 3 2 2" xfId="27386" xr:uid="{00000000-0005-0000-0000-00002E670000}"/>
    <cellStyle name="Normal 11 2 2 2 2 2 2 2 2 3 2 2 2" xfId="27387" xr:uid="{00000000-0005-0000-0000-00002F670000}"/>
    <cellStyle name="Normal 11 2 2 2 2 2 2 2 2 3 2 3" xfId="27388" xr:uid="{00000000-0005-0000-0000-000030670000}"/>
    <cellStyle name="Normal 11 2 2 2 2 2 2 2 2 3 3" xfId="27389" xr:uid="{00000000-0005-0000-0000-000031670000}"/>
    <cellStyle name="Normal 11 2 2 2 2 2 2 2 2 3 3 2" xfId="27390" xr:uid="{00000000-0005-0000-0000-000032670000}"/>
    <cellStyle name="Normal 11 2 2 2 2 2 2 2 2 3 4" xfId="27391" xr:uid="{00000000-0005-0000-0000-000033670000}"/>
    <cellStyle name="Normal 11 2 2 2 2 2 2 2 2 4" xfId="27392" xr:uid="{00000000-0005-0000-0000-000034670000}"/>
    <cellStyle name="Normal 11 2 2 2 2 2 2 2 2 4 2" xfId="27393" xr:uid="{00000000-0005-0000-0000-000035670000}"/>
    <cellStyle name="Normal 11 2 2 2 2 2 2 2 2 4 2 2" xfId="27394" xr:uid="{00000000-0005-0000-0000-000036670000}"/>
    <cellStyle name="Normal 11 2 2 2 2 2 2 2 2 4 3" xfId="27395" xr:uid="{00000000-0005-0000-0000-000037670000}"/>
    <cellStyle name="Normal 11 2 2 2 2 2 2 2 2 5" xfId="27396" xr:uid="{00000000-0005-0000-0000-000038670000}"/>
    <cellStyle name="Normal 11 2 2 2 2 2 2 2 2 5 2" xfId="27397" xr:uid="{00000000-0005-0000-0000-000039670000}"/>
    <cellStyle name="Normal 11 2 2 2 2 2 2 2 2 6" xfId="27398" xr:uid="{00000000-0005-0000-0000-00003A670000}"/>
    <cellStyle name="Normal 11 2 2 2 2 2 2 2 2 7" xfId="27375" xr:uid="{00000000-0005-0000-0000-00003B670000}"/>
    <cellStyle name="Normal 11 2 2 2 2 2 2 2 3" xfId="27399" xr:uid="{00000000-0005-0000-0000-00003C670000}"/>
    <cellStyle name="Normal 11 2 2 2 2 2 2 2 3 2" xfId="27400" xr:uid="{00000000-0005-0000-0000-00003D670000}"/>
    <cellStyle name="Normal 11 2 2 2 2 2 2 2 3 2 2" xfId="27401" xr:uid="{00000000-0005-0000-0000-00003E670000}"/>
    <cellStyle name="Normal 11 2 2 2 2 2 2 2 3 2 2 2" xfId="27402" xr:uid="{00000000-0005-0000-0000-00003F670000}"/>
    <cellStyle name="Normal 11 2 2 2 2 2 2 2 3 2 2 2 2" xfId="27403" xr:uid="{00000000-0005-0000-0000-000040670000}"/>
    <cellStyle name="Normal 11 2 2 2 2 2 2 2 3 2 2 3" xfId="27404" xr:uid="{00000000-0005-0000-0000-000041670000}"/>
    <cellStyle name="Normal 11 2 2 2 2 2 2 2 3 2 3" xfId="27405" xr:uid="{00000000-0005-0000-0000-000042670000}"/>
    <cellStyle name="Normal 11 2 2 2 2 2 2 2 3 2 3 2" xfId="27406" xr:uid="{00000000-0005-0000-0000-000043670000}"/>
    <cellStyle name="Normal 11 2 2 2 2 2 2 2 3 2 4" xfId="27407" xr:uid="{00000000-0005-0000-0000-000044670000}"/>
    <cellStyle name="Normal 11 2 2 2 2 2 2 2 3 3" xfId="27408" xr:uid="{00000000-0005-0000-0000-000045670000}"/>
    <cellStyle name="Normal 11 2 2 2 2 2 2 2 3 3 2" xfId="27409" xr:uid="{00000000-0005-0000-0000-000046670000}"/>
    <cellStyle name="Normal 11 2 2 2 2 2 2 2 3 3 2 2" xfId="27410" xr:uid="{00000000-0005-0000-0000-000047670000}"/>
    <cellStyle name="Normal 11 2 2 2 2 2 2 2 3 3 3" xfId="27411" xr:uid="{00000000-0005-0000-0000-000048670000}"/>
    <cellStyle name="Normal 11 2 2 2 2 2 2 2 3 4" xfId="27412" xr:uid="{00000000-0005-0000-0000-000049670000}"/>
    <cellStyle name="Normal 11 2 2 2 2 2 2 2 3 4 2" xfId="27413" xr:uid="{00000000-0005-0000-0000-00004A670000}"/>
    <cellStyle name="Normal 11 2 2 2 2 2 2 2 3 5" xfId="27414" xr:uid="{00000000-0005-0000-0000-00004B670000}"/>
    <cellStyle name="Normal 11 2 2 2 2 2 2 2 4" xfId="27415" xr:uid="{00000000-0005-0000-0000-00004C670000}"/>
    <cellStyle name="Normal 11 2 2 2 2 2 2 2 4 2" xfId="27416" xr:uid="{00000000-0005-0000-0000-00004D670000}"/>
    <cellStyle name="Normal 11 2 2 2 2 2 2 2 4 2 2" xfId="27417" xr:uid="{00000000-0005-0000-0000-00004E670000}"/>
    <cellStyle name="Normal 11 2 2 2 2 2 2 2 4 2 2 2" xfId="27418" xr:uid="{00000000-0005-0000-0000-00004F670000}"/>
    <cellStyle name="Normal 11 2 2 2 2 2 2 2 4 2 2 2 2" xfId="27419" xr:uid="{00000000-0005-0000-0000-000050670000}"/>
    <cellStyle name="Normal 11 2 2 2 2 2 2 2 4 2 2 3" xfId="27420" xr:uid="{00000000-0005-0000-0000-000051670000}"/>
    <cellStyle name="Normal 11 2 2 2 2 2 2 2 4 2 3" xfId="27421" xr:uid="{00000000-0005-0000-0000-000052670000}"/>
    <cellStyle name="Normal 11 2 2 2 2 2 2 2 4 2 3 2" xfId="27422" xr:uid="{00000000-0005-0000-0000-000053670000}"/>
    <cellStyle name="Normal 11 2 2 2 2 2 2 2 4 2 4" xfId="27423" xr:uid="{00000000-0005-0000-0000-000054670000}"/>
    <cellStyle name="Normal 11 2 2 2 2 2 2 2 4 3" xfId="27424" xr:uid="{00000000-0005-0000-0000-000055670000}"/>
    <cellStyle name="Normal 11 2 2 2 2 2 2 2 4 3 2" xfId="27425" xr:uid="{00000000-0005-0000-0000-000056670000}"/>
    <cellStyle name="Normal 11 2 2 2 2 2 2 2 4 3 2 2" xfId="27426" xr:uid="{00000000-0005-0000-0000-000057670000}"/>
    <cellStyle name="Normal 11 2 2 2 2 2 2 2 4 3 3" xfId="27427" xr:uid="{00000000-0005-0000-0000-000058670000}"/>
    <cellStyle name="Normal 11 2 2 2 2 2 2 2 4 4" xfId="27428" xr:uid="{00000000-0005-0000-0000-000059670000}"/>
    <cellStyle name="Normal 11 2 2 2 2 2 2 2 4 4 2" xfId="27429" xr:uid="{00000000-0005-0000-0000-00005A670000}"/>
    <cellStyle name="Normal 11 2 2 2 2 2 2 2 4 5" xfId="27430" xr:uid="{00000000-0005-0000-0000-00005B670000}"/>
    <cellStyle name="Normal 11 2 2 2 2 2 2 2 5" xfId="27431" xr:uid="{00000000-0005-0000-0000-00005C670000}"/>
    <cellStyle name="Normal 11 2 2 2 2 2 2 2 5 2" xfId="27432" xr:uid="{00000000-0005-0000-0000-00005D670000}"/>
    <cellStyle name="Normal 11 2 2 2 2 2 2 2 5 2 2" xfId="27433" xr:uid="{00000000-0005-0000-0000-00005E670000}"/>
    <cellStyle name="Normal 11 2 2 2 2 2 2 2 5 2 2 2" xfId="27434" xr:uid="{00000000-0005-0000-0000-00005F670000}"/>
    <cellStyle name="Normal 11 2 2 2 2 2 2 2 5 2 3" xfId="27435" xr:uid="{00000000-0005-0000-0000-000060670000}"/>
    <cellStyle name="Normal 11 2 2 2 2 2 2 2 5 3" xfId="27436" xr:uid="{00000000-0005-0000-0000-000061670000}"/>
    <cellStyle name="Normal 11 2 2 2 2 2 2 2 5 3 2" xfId="27437" xr:uid="{00000000-0005-0000-0000-000062670000}"/>
    <cellStyle name="Normal 11 2 2 2 2 2 2 2 5 4" xfId="27438" xr:uid="{00000000-0005-0000-0000-000063670000}"/>
    <cellStyle name="Normal 11 2 2 2 2 2 2 2 6" xfId="27439" xr:uid="{00000000-0005-0000-0000-000064670000}"/>
    <cellStyle name="Normal 11 2 2 2 2 2 2 2 6 2" xfId="27440" xr:uid="{00000000-0005-0000-0000-000065670000}"/>
    <cellStyle name="Normal 11 2 2 2 2 2 2 2 6 2 2" xfId="27441" xr:uid="{00000000-0005-0000-0000-000066670000}"/>
    <cellStyle name="Normal 11 2 2 2 2 2 2 2 6 2 2 2" xfId="27442" xr:uid="{00000000-0005-0000-0000-000067670000}"/>
    <cellStyle name="Normal 11 2 2 2 2 2 2 2 6 2 3" xfId="27443" xr:uid="{00000000-0005-0000-0000-000068670000}"/>
    <cellStyle name="Normal 11 2 2 2 2 2 2 2 6 3" xfId="27444" xr:uid="{00000000-0005-0000-0000-000069670000}"/>
    <cellStyle name="Normal 11 2 2 2 2 2 2 2 6 3 2" xfId="27445" xr:uid="{00000000-0005-0000-0000-00006A670000}"/>
    <cellStyle name="Normal 11 2 2 2 2 2 2 2 6 4" xfId="27446" xr:uid="{00000000-0005-0000-0000-00006B670000}"/>
    <cellStyle name="Normal 11 2 2 2 2 2 2 2 7" xfId="27447" xr:uid="{00000000-0005-0000-0000-00006C670000}"/>
    <cellStyle name="Normal 11 2 2 2 2 2 2 2 7 2" xfId="27448" xr:uid="{00000000-0005-0000-0000-00006D670000}"/>
    <cellStyle name="Normal 11 2 2 2 2 2 2 2 7 2 2" xfId="27449" xr:uid="{00000000-0005-0000-0000-00006E670000}"/>
    <cellStyle name="Normal 11 2 2 2 2 2 2 2 7 2 2 2" xfId="27450" xr:uid="{00000000-0005-0000-0000-00006F670000}"/>
    <cellStyle name="Normal 11 2 2 2 2 2 2 2 7 2 3" xfId="27451" xr:uid="{00000000-0005-0000-0000-000070670000}"/>
    <cellStyle name="Normal 11 2 2 2 2 2 2 2 7 3" xfId="27452" xr:uid="{00000000-0005-0000-0000-000071670000}"/>
    <cellStyle name="Normal 11 2 2 2 2 2 2 2 7 3 2" xfId="27453" xr:uid="{00000000-0005-0000-0000-000072670000}"/>
    <cellStyle name="Normal 11 2 2 2 2 2 2 2 7 4" xfId="27454" xr:uid="{00000000-0005-0000-0000-000073670000}"/>
    <cellStyle name="Normal 11 2 2 2 2 2 2 2 8" xfId="27455" xr:uid="{00000000-0005-0000-0000-000074670000}"/>
    <cellStyle name="Normal 11 2 2 2 2 2 2 2 8 2" xfId="27456" xr:uid="{00000000-0005-0000-0000-000075670000}"/>
    <cellStyle name="Normal 11 2 2 2 2 2 2 2 8 2 2" xfId="27457" xr:uid="{00000000-0005-0000-0000-000076670000}"/>
    <cellStyle name="Normal 11 2 2 2 2 2 2 2 8 3" xfId="27458" xr:uid="{00000000-0005-0000-0000-000077670000}"/>
    <cellStyle name="Normal 11 2 2 2 2 2 2 2 9" xfId="27459" xr:uid="{00000000-0005-0000-0000-000078670000}"/>
    <cellStyle name="Normal 11 2 2 2 2 2 2 2 9 2" xfId="27460" xr:uid="{00000000-0005-0000-0000-000079670000}"/>
    <cellStyle name="Normal 11 2 2 2 2 2 2 3" xfId="1384" xr:uid="{00000000-0005-0000-0000-00007A670000}"/>
    <cellStyle name="Normal 11 2 2 2 2 2 2 3 2" xfId="27462" xr:uid="{00000000-0005-0000-0000-00007B670000}"/>
    <cellStyle name="Normal 11 2 2 2 2 2 2 3 2 2" xfId="27463" xr:uid="{00000000-0005-0000-0000-00007C670000}"/>
    <cellStyle name="Normal 11 2 2 2 2 2 2 3 2 2 2" xfId="27464" xr:uid="{00000000-0005-0000-0000-00007D670000}"/>
    <cellStyle name="Normal 11 2 2 2 2 2 2 3 2 2 2 2" xfId="27465" xr:uid="{00000000-0005-0000-0000-00007E670000}"/>
    <cellStyle name="Normal 11 2 2 2 2 2 2 3 2 2 3" xfId="27466" xr:uid="{00000000-0005-0000-0000-00007F670000}"/>
    <cellStyle name="Normal 11 2 2 2 2 2 2 3 2 3" xfId="27467" xr:uid="{00000000-0005-0000-0000-000080670000}"/>
    <cellStyle name="Normal 11 2 2 2 2 2 2 3 2 3 2" xfId="27468" xr:uid="{00000000-0005-0000-0000-000081670000}"/>
    <cellStyle name="Normal 11 2 2 2 2 2 2 3 2 4" xfId="27469" xr:uid="{00000000-0005-0000-0000-000082670000}"/>
    <cellStyle name="Normal 11 2 2 2 2 2 2 3 3" xfId="27470" xr:uid="{00000000-0005-0000-0000-000083670000}"/>
    <cellStyle name="Normal 11 2 2 2 2 2 2 3 3 2" xfId="27471" xr:uid="{00000000-0005-0000-0000-000084670000}"/>
    <cellStyle name="Normal 11 2 2 2 2 2 2 3 3 2 2" xfId="27472" xr:uid="{00000000-0005-0000-0000-000085670000}"/>
    <cellStyle name="Normal 11 2 2 2 2 2 2 3 3 2 2 2" xfId="27473" xr:uid="{00000000-0005-0000-0000-000086670000}"/>
    <cellStyle name="Normal 11 2 2 2 2 2 2 3 3 2 3" xfId="27474" xr:uid="{00000000-0005-0000-0000-000087670000}"/>
    <cellStyle name="Normal 11 2 2 2 2 2 2 3 3 3" xfId="27475" xr:uid="{00000000-0005-0000-0000-000088670000}"/>
    <cellStyle name="Normal 11 2 2 2 2 2 2 3 3 3 2" xfId="27476" xr:uid="{00000000-0005-0000-0000-000089670000}"/>
    <cellStyle name="Normal 11 2 2 2 2 2 2 3 3 4" xfId="27477" xr:uid="{00000000-0005-0000-0000-00008A670000}"/>
    <cellStyle name="Normal 11 2 2 2 2 2 2 3 4" xfId="27478" xr:uid="{00000000-0005-0000-0000-00008B670000}"/>
    <cellStyle name="Normal 11 2 2 2 2 2 2 3 4 2" xfId="27479" xr:uid="{00000000-0005-0000-0000-00008C670000}"/>
    <cellStyle name="Normal 11 2 2 2 2 2 2 3 4 2 2" xfId="27480" xr:uid="{00000000-0005-0000-0000-00008D670000}"/>
    <cellStyle name="Normal 11 2 2 2 2 2 2 3 4 3" xfId="27481" xr:uid="{00000000-0005-0000-0000-00008E670000}"/>
    <cellStyle name="Normal 11 2 2 2 2 2 2 3 5" xfId="27482" xr:uid="{00000000-0005-0000-0000-00008F670000}"/>
    <cellStyle name="Normal 11 2 2 2 2 2 2 3 5 2" xfId="27483" xr:uid="{00000000-0005-0000-0000-000090670000}"/>
    <cellStyle name="Normal 11 2 2 2 2 2 2 3 6" xfId="27484" xr:uid="{00000000-0005-0000-0000-000091670000}"/>
    <cellStyle name="Normal 11 2 2 2 2 2 2 3 7" xfId="27461" xr:uid="{00000000-0005-0000-0000-000092670000}"/>
    <cellStyle name="Normal 11 2 2 2 2 2 2 4" xfId="27485" xr:uid="{00000000-0005-0000-0000-000093670000}"/>
    <cellStyle name="Normal 11 2 2 2 2 2 2 4 2" xfId="27486" xr:uid="{00000000-0005-0000-0000-000094670000}"/>
    <cellStyle name="Normal 11 2 2 2 2 2 2 4 2 2" xfId="27487" xr:uid="{00000000-0005-0000-0000-000095670000}"/>
    <cellStyle name="Normal 11 2 2 2 2 2 2 4 2 2 2" xfId="27488" xr:uid="{00000000-0005-0000-0000-000096670000}"/>
    <cellStyle name="Normal 11 2 2 2 2 2 2 4 2 2 2 2" xfId="27489" xr:uid="{00000000-0005-0000-0000-000097670000}"/>
    <cellStyle name="Normal 11 2 2 2 2 2 2 4 2 2 3" xfId="27490" xr:uid="{00000000-0005-0000-0000-000098670000}"/>
    <cellStyle name="Normal 11 2 2 2 2 2 2 4 2 3" xfId="27491" xr:uid="{00000000-0005-0000-0000-000099670000}"/>
    <cellStyle name="Normal 11 2 2 2 2 2 2 4 2 3 2" xfId="27492" xr:uid="{00000000-0005-0000-0000-00009A670000}"/>
    <cellStyle name="Normal 11 2 2 2 2 2 2 4 2 4" xfId="27493" xr:uid="{00000000-0005-0000-0000-00009B670000}"/>
    <cellStyle name="Normal 11 2 2 2 2 2 2 4 3" xfId="27494" xr:uid="{00000000-0005-0000-0000-00009C670000}"/>
    <cellStyle name="Normal 11 2 2 2 2 2 2 4 3 2" xfId="27495" xr:uid="{00000000-0005-0000-0000-00009D670000}"/>
    <cellStyle name="Normal 11 2 2 2 2 2 2 4 3 2 2" xfId="27496" xr:uid="{00000000-0005-0000-0000-00009E670000}"/>
    <cellStyle name="Normal 11 2 2 2 2 2 2 4 3 3" xfId="27497" xr:uid="{00000000-0005-0000-0000-00009F670000}"/>
    <cellStyle name="Normal 11 2 2 2 2 2 2 4 4" xfId="27498" xr:uid="{00000000-0005-0000-0000-0000A0670000}"/>
    <cellStyle name="Normal 11 2 2 2 2 2 2 4 4 2" xfId="27499" xr:uid="{00000000-0005-0000-0000-0000A1670000}"/>
    <cellStyle name="Normal 11 2 2 2 2 2 2 4 5" xfId="27500" xr:uid="{00000000-0005-0000-0000-0000A2670000}"/>
    <cellStyle name="Normal 11 2 2 2 2 2 2 5" xfId="27501" xr:uid="{00000000-0005-0000-0000-0000A3670000}"/>
    <cellStyle name="Normal 11 2 2 2 2 2 2 5 2" xfId="27502" xr:uid="{00000000-0005-0000-0000-0000A4670000}"/>
    <cellStyle name="Normal 11 2 2 2 2 2 2 5 2 2" xfId="27503" xr:uid="{00000000-0005-0000-0000-0000A5670000}"/>
    <cellStyle name="Normal 11 2 2 2 2 2 2 5 2 2 2" xfId="27504" xr:uid="{00000000-0005-0000-0000-0000A6670000}"/>
    <cellStyle name="Normal 11 2 2 2 2 2 2 5 2 2 2 2" xfId="27505" xr:uid="{00000000-0005-0000-0000-0000A7670000}"/>
    <cellStyle name="Normal 11 2 2 2 2 2 2 5 2 2 3" xfId="27506" xr:uid="{00000000-0005-0000-0000-0000A8670000}"/>
    <cellStyle name="Normal 11 2 2 2 2 2 2 5 2 3" xfId="27507" xr:uid="{00000000-0005-0000-0000-0000A9670000}"/>
    <cellStyle name="Normal 11 2 2 2 2 2 2 5 2 3 2" xfId="27508" xr:uid="{00000000-0005-0000-0000-0000AA670000}"/>
    <cellStyle name="Normal 11 2 2 2 2 2 2 5 2 4" xfId="27509" xr:uid="{00000000-0005-0000-0000-0000AB670000}"/>
    <cellStyle name="Normal 11 2 2 2 2 2 2 5 3" xfId="27510" xr:uid="{00000000-0005-0000-0000-0000AC670000}"/>
    <cellStyle name="Normal 11 2 2 2 2 2 2 5 3 2" xfId="27511" xr:uid="{00000000-0005-0000-0000-0000AD670000}"/>
    <cellStyle name="Normal 11 2 2 2 2 2 2 5 3 2 2" xfId="27512" xr:uid="{00000000-0005-0000-0000-0000AE670000}"/>
    <cellStyle name="Normal 11 2 2 2 2 2 2 5 3 3" xfId="27513" xr:uid="{00000000-0005-0000-0000-0000AF670000}"/>
    <cellStyle name="Normal 11 2 2 2 2 2 2 5 4" xfId="27514" xr:uid="{00000000-0005-0000-0000-0000B0670000}"/>
    <cellStyle name="Normal 11 2 2 2 2 2 2 5 4 2" xfId="27515" xr:uid="{00000000-0005-0000-0000-0000B1670000}"/>
    <cellStyle name="Normal 11 2 2 2 2 2 2 5 5" xfId="27516" xr:uid="{00000000-0005-0000-0000-0000B2670000}"/>
    <cellStyle name="Normal 11 2 2 2 2 2 2 6" xfId="27517" xr:uid="{00000000-0005-0000-0000-0000B3670000}"/>
    <cellStyle name="Normal 11 2 2 2 2 2 2 6 2" xfId="27518" xr:uid="{00000000-0005-0000-0000-0000B4670000}"/>
    <cellStyle name="Normal 11 2 2 2 2 2 2 6 2 2" xfId="27519" xr:uid="{00000000-0005-0000-0000-0000B5670000}"/>
    <cellStyle name="Normal 11 2 2 2 2 2 2 6 2 2 2" xfId="27520" xr:uid="{00000000-0005-0000-0000-0000B6670000}"/>
    <cellStyle name="Normal 11 2 2 2 2 2 2 6 2 3" xfId="27521" xr:uid="{00000000-0005-0000-0000-0000B7670000}"/>
    <cellStyle name="Normal 11 2 2 2 2 2 2 6 3" xfId="27522" xr:uid="{00000000-0005-0000-0000-0000B8670000}"/>
    <cellStyle name="Normal 11 2 2 2 2 2 2 6 3 2" xfId="27523" xr:uid="{00000000-0005-0000-0000-0000B9670000}"/>
    <cellStyle name="Normal 11 2 2 2 2 2 2 6 4" xfId="27524" xr:uid="{00000000-0005-0000-0000-0000BA670000}"/>
    <cellStyle name="Normal 11 2 2 2 2 2 2 7" xfId="27525" xr:uid="{00000000-0005-0000-0000-0000BB670000}"/>
    <cellStyle name="Normal 11 2 2 2 2 2 2 7 2" xfId="27526" xr:uid="{00000000-0005-0000-0000-0000BC670000}"/>
    <cellStyle name="Normal 11 2 2 2 2 2 2 7 2 2" xfId="27527" xr:uid="{00000000-0005-0000-0000-0000BD670000}"/>
    <cellStyle name="Normal 11 2 2 2 2 2 2 7 2 2 2" xfId="27528" xr:uid="{00000000-0005-0000-0000-0000BE670000}"/>
    <cellStyle name="Normal 11 2 2 2 2 2 2 7 2 3" xfId="27529" xr:uid="{00000000-0005-0000-0000-0000BF670000}"/>
    <cellStyle name="Normal 11 2 2 2 2 2 2 7 3" xfId="27530" xr:uid="{00000000-0005-0000-0000-0000C0670000}"/>
    <cellStyle name="Normal 11 2 2 2 2 2 2 7 3 2" xfId="27531" xr:uid="{00000000-0005-0000-0000-0000C1670000}"/>
    <cellStyle name="Normal 11 2 2 2 2 2 2 7 4" xfId="27532" xr:uid="{00000000-0005-0000-0000-0000C2670000}"/>
    <cellStyle name="Normal 11 2 2 2 2 2 2 8" xfId="27533" xr:uid="{00000000-0005-0000-0000-0000C3670000}"/>
    <cellStyle name="Normal 11 2 2 2 2 2 2 8 2" xfId="27534" xr:uid="{00000000-0005-0000-0000-0000C4670000}"/>
    <cellStyle name="Normal 11 2 2 2 2 2 2 8 2 2" xfId="27535" xr:uid="{00000000-0005-0000-0000-0000C5670000}"/>
    <cellStyle name="Normal 11 2 2 2 2 2 2 8 2 2 2" xfId="27536" xr:uid="{00000000-0005-0000-0000-0000C6670000}"/>
    <cellStyle name="Normal 11 2 2 2 2 2 2 8 2 3" xfId="27537" xr:uid="{00000000-0005-0000-0000-0000C7670000}"/>
    <cellStyle name="Normal 11 2 2 2 2 2 2 8 3" xfId="27538" xr:uid="{00000000-0005-0000-0000-0000C8670000}"/>
    <cellStyle name="Normal 11 2 2 2 2 2 2 8 3 2" xfId="27539" xr:uid="{00000000-0005-0000-0000-0000C9670000}"/>
    <cellStyle name="Normal 11 2 2 2 2 2 2 8 4" xfId="27540" xr:uid="{00000000-0005-0000-0000-0000CA670000}"/>
    <cellStyle name="Normal 11 2 2 2 2 2 2 9" xfId="27541" xr:uid="{00000000-0005-0000-0000-0000CB670000}"/>
    <cellStyle name="Normal 11 2 2 2 2 2 2 9 2" xfId="27542" xr:uid="{00000000-0005-0000-0000-0000CC670000}"/>
    <cellStyle name="Normal 11 2 2 2 2 2 2 9 2 2" xfId="27543" xr:uid="{00000000-0005-0000-0000-0000CD670000}"/>
    <cellStyle name="Normal 11 2 2 2 2 2 2 9 3" xfId="27544" xr:uid="{00000000-0005-0000-0000-0000CE670000}"/>
    <cellStyle name="Normal 11 2 2 2 2 2 3" xfId="541" xr:uid="{00000000-0005-0000-0000-0000CF670000}"/>
    <cellStyle name="Normal 11 2 2 2 2 2 3 10" xfId="27546" xr:uid="{00000000-0005-0000-0000-0000D0670000}"/>
    <cellStyle name="Normal 11 2 2 2 2 2 3 10 2" xfId="27547" xr:uid="{00000000-0005-0000-0000-0000D1670000}"/>
    <cellStyle name="Normal 11 2 2 2 2 2 3 10 2 2" xfId="27548" xr:uid="{00000000-0005-0000-0000-0000D2670000}"/>
    <cellStyle name="Normal 11 2 2 2 2 2 3 10 3" xfId="27549" xr:uid="{00000000-0005-0000-0000-0000D3670000}"/>
    <cellStyle name="Normal 11 2 2 2 2 2 3 11" xfId="27550" xr:uid="{00000000-0005-0000-0000-0000D4670000}"/>
    <cellStyle name="Normal 11 2 2 2 2 2 3 11 2" xfId="27551" xr:uid="{00000000-0005-0000-0000-0000D5670000}"/>
    <cellStyle name="Normal 11 2 2 2 2 2 3 11 2 2" xfId="27552" xr:uid="{00000000-0005-0000-0000-0000D6670000}"/>
    <cellStyle name="Normal 11 2 2 2 2 2 3 11 3" xfId="27553" xr:uid="{00000000-0005-0000-0000-0000D7670000}"/>
    <cellStyle name="Normal 11 2 2 2 2 2 3 12" xfId="27554" xr:uid="{00000000-0005-0000-0000-0000D8670000}"/>
    <cellStyle name="Normal 11 2 2 2 2 2 3 12 2" xfId="27555" xr:uid="{00000000-0005-0000-0000-0000D9670000}"/>
    <cellStyle name="Normal 11 2 2 2 2 2 3 13" xfId="27556" xr:uid="{00000000-0005-0000-0000-0000DA670000}"/>
    <cellStyle name="Normal 11 2 2 2 2 2 3 14" xfId="27557" xr:uid="{00000000-0005-0000-0000-0000DB670000}"/>
    <cellStyle name="Normal 11 2 2 2 2 2 3 15" xfId="27545" xr:uid="{00000000-0005-0000-0000-0000DC670000}"/>
    <cellStyle name="Normal 11 2 2 2 2 2 3 2" xfId="983" xr:uid="{00000000-0005-0000-0000-0000DD670000}"/>
    <cellStyle name="Normal 11 2 2 2 2 2 3 2 10" xfId="27559" xr:uid="{00000000-0005-0000-0000-0000DE670000}"/>
    <cellStyle name="Normal 11 2 2 2 2 2 3 2 11" xfId="27558" xr:uid="{00000000-0005-0000-0000-0000DF670000}"/>
    <cellStyle name="Normal 11 2 2 2 2 2 3 2 2" xfId="1712" xr:uid="{00000000-0005-0000-0000-0000E0670000}"/>
    <cellStyle name="Normal 11 2 2 2 2 2 3 2 2 2" xfId="27561" xr:uid="{00000000-0005-0000-0000-0000E1670000}"/>
    <cellStyle name="Normal 11 2 2 2 2 2 3 2 2 2 2" xfId="27562" xr:uid="{00000000-0005-0000-0000-0000E2670000}"/>
    <cellStyle name="Normal 11 2 2 2 2 2 3 2 2 2 2 2" xfId="27563" xr:uid="{00000000-0005-0000-0000-0000E3670000}"/>
    <cellStyle name="Normal 11 2 2 2 2 2 3 2 2 2 2 2 2" xfId="27564" xr:uid="{00000000-0005-0000-0000-0000E4670000}"/>
    <cellStyle name="Normal 11 2 2 2 2 2 3 2 2 2 2 3" xfId="27565" xr:uid="{00000000-0005-0000-0000-0000E5670000}"/>
    <cellStyle name="Normal 11 2 2 2 2 2 3 2 2 2 3" xfId="27566" xr:uid="{00000000-0005-0000-0000-0000E6670000}"/>
    <cellStyle name="Normal 11 2 2 2 2 2 3 2 2 2 3 2" xfId="27567" xr:uid="{00000000-0005-0000-0000-0000E7670000}"/>
    <cellStyle name="Normal 11 2 2 2 2 2 3 2 2 2 4" xfId="27568" xr:uid="{00000000-0005-0000-0000-0000E8670000}"/>
    <cellStyle name="Normal 11 2 2 2 2 2 3 2 2 3" xfId="27569" xr:uid="{00000000-0005-0000-0000-0000E9670000}"/>
    <cellStyle name="Normal 11 2 2 2 2 2 3 2 2 3 2" xfId="27570" xr:uid="{00000000-0005-0000-0000-0000EA670000}"/>
    <cellStyle name="Normal 11 2 2 2 2 2 3 2 2 3 2 2" xfId="27571" xr:uid="{00000000-0005-0000-0000-0000EB670000}"/>
    <cellStyle name="Normal 11 2 2 2 2 2 3 2 2 3 2 2 2" xfId="27572" xr:uid="{00000000-0005-0000-0000-0000EC670000}"/>
    <cellStyle name="Normal 11 2 2 2 2 2 3 2 2 3 2 3" xfId="27573" xr:uid="{00000000-0005-0000-0000-0000ED670000}"/>
    <cellStyle name="Normal 11 2 2 2 2 2 3 2 2 3 3" xfId="27574" xr:uid="{00000000-0005-0000-0000-0000EE670000}"/>
    <cellStyle name="Normal 11 2 2 2 2 2 3 2 2 3 3 2" xfId="27575" xr:uid="{00000000-0005-0000-0000-0000EF670000}"/>
    <cellStyle name="Normal 11 2 2 2 2 2 3 2 2 3 4" xfId="27576" xr:uid="{00000000-0005-0000-0000-0000F0670000}"/>
    <cellStyle name="Normal 11 2 2 2 2 2 3 2 2 4" xfId="27577" xr:uid="{00000000-0005-0000-0000-0000F1670000}"/>
    <cellStyle name="Normal 11 2 2 2 2 2 3 2 2 4 2" xfId="27578" xr:uid="{00000000-0005-0000-0000-0000F2670000}"/>
    <cellStyle name="Normal 11 2 2 2 2 2 3 2 2 4 2 2" xfId="27579" xr:uid="{00000000-0005-0000-0000-0000F3670000}"/>
    <cellStyle name="Normal 11 2 2 2 2 2 3 2 2 4 3" xfId="27580" xr:uid="{00000000-0005-0000-0000-0000F4670000}"/>
    <cellStyle name="Normal 11 2 2 2 2 2 3 2 2 5" xfId="27581" xr:uid="{00000000-0005-0000-0000-0000F5670000}"/>
    <cellStyle name="Normal 11 2 2 2 2 2 3 2 2 5 2" xfId="27582" xr:uid="{00000000-0005-0000-0000-0000F6670000}"/>
    <cellStyle name="Normal 11 2 2 2 2 2 3 2 2 6" xfId="27583" xr:uid="{00000000-0005-0000-0000-0000F7670000}"/>
    <cellStyle name="Normal 11 2 2 2 2 2 3 2 2 7" xfId="27560" xr:uid="{00000000-0005-0000-0000-0000F8670000}"/>
    <cellStyle name="Normal 11 2 2 2 2 2 3 2 3" xfId="27584" xr:uid="{00000000-0005-0000-0000-0000F9670000}"/>
    <cellStyle name="Normal 11 2 2 2 2 2 3 2 3 2" xfId="27585" xr:uid="{00000000-0005-0000-0000-0000FA670000}"/>
    <cellStyle name="Normal 11 2 2 2 2 2 3 2 3 2 2" xfId="27586" xr:uid="{00000000-0005-0000-0000-0000FB670000}"/>
    <cellStyle name="Normal 11 2 2 2 2 2 3 2 3 2 2 2" xfId="27587" xr:uid="{00000000-0005-0000-0000-0000FC670000}"/>
    <cellStyle name="Normal 11 2 2 2 2 2 3 2 3 2 2 2 2" xfId="27588" xr:uid="{00000000-0005-0000-0000-0000FD670000}"/>
    <cellStyle name="Normal 11 2 2 2 2 2 3 2 3 2 2 3" xfId="27589" xr:uid="{00000000-0005-0000-0000-0000FE670000}"/>
    <cellStyle name="Normal 11 2 2 2 2 2 3 2 3 2 3" xfId="27590" xr:uid="{00000000-0005-0000-0000-0000FF670000}"/>
    <cellStyle name="Normal 11 2 2 2 2 2 3 2 3 2 3 2" xfId="27591" xr:uid="{00000000-0005-0000-0000-000000680000}"/>
    <cellStyle name="Normal 11 2 2 2 2 2 3 2 3 2 4" xfId="27592" xr:uid="{00000000-0005-0000-0000-000001680000}"/>
    <cellStyle name="Normal 11 2 2 2 2 2 3 2 3 3" xfId="27593" xr:uid="{00000000-0005-0000-0000-000002680000}"/>
    <cellStyle name="Normal 11 2 2 2 2 2 3 2 3 3 2" xfId="27594" xr:uid="{00000000-0005-0000-0000-000003680000}"/>
    <cellStyle name="Normal 11 2 2 2 2 2 3 2 3 3 2 2" xfId="27595" xr:uid="{00000000-0005-0000-0000-000004680000}"/>
    <cellStyle name="Normal 11 2 2 2 2 2 3 2 3 3 3" xfId="27596" xr:uid="{00000000-0005-0000-0000-000005680000}"/>
    <cellStyle name="Normal 11 2 2 2 2 2 3 2 3 4" xfId="27597" xr:uid="{00000000-0005-0000-0000-000006680000}"/>
    <cellStyle name="Normal 11 2 2 2 2 2 3 2 3 4 2" xfId="27598" xr:uid="{00000000-0005-0000-0000-000007680000}"/>
    <cellStyle name="Normal 11 2 2 2 2 2 3 2 3 5" xfId="27599" xr:uid="{00000000-0005-0000-0000-000008680000}"/>
    <cellStyle name="Normal 11 2 2 2 2 2 3 2 4" xfId="27600" xr:uid="{00000000-0005-0000-0000-000009680000}"/>
    <cellStyle name="Normal 11 2 2 2 2 2 3 2 4 2" xfId="27601" xr:uid="{00000000-0005-0000-0000-00000A680000}"/>
    <cellStyle name="Normal 11 2 2 2 2 2 3 2 4 2 2" xfId="27602" xr:uid="{00000000-0005-0000-0000-00000B680000}"/>
    <cellStyle name="Normal 11 2 2 2 2 2 3 2 4 2 2 2" xfId="27603" xr:uid="{00000000-0005-0000-0000-00000C680000}"/>
    <cellStyle name="Normal 11 2 2 2 2 2 3 2 4 2 2 2 2" xfId="27604" xr:uid="{00000000-0005-0000-0000-00000D680000}"/>
    <cellStyle name="Normal 11 2 2 2 2 2 3 2 4 2 2 3" xfId="27605" xr:uid="{00000000-0005-0000-0000-00000E680000}"/>
    <cellStyle name="Normal 11 2 2 2 2 2 3 2 4 2 3" xfId="27606" xr:uid="{00000000-0005-0000-0000-00000F680000}"/>
    <cellStyle name="Normal 11 2 2 2 2 2 3 2 4 2 3 2" xfId="27607" xr:uid="{00000000-0005-0000-0000-000010680000}"/>
    <cellStyle name="Normal 11 2 2 2 2 2 3 2 4 2 4" xfId="27608" xr:uid="{00000000-0005-0000-0000-000011680000}"/>
    <cellStyle name="Normal 11 2 2 2 2 2 3 2 4 3" xfId="27609" xr:uid="{00000000-0005-0000-0000-000012680000}"/>
    <cellStyle name="Normal 11 2 2 2 2 2 3 2 4 3 2" xfId="27610" xr:uid="{00000000-0005-0000-0000-000013680000}"/>
    <cellStyle name="Normal 11 2 2 2 2 2 3 2 4 3 2 2" xfId="27611" xr:uid="{00000000-0005-0000-0000-000014680000}"/>
    <cellStyle name="Normal 11 2 2 2 2 2 3 2 4 3 3" xfId="27612" xr:uid="{00000000-0005-0000-0000-000015680000}"/>
    <cellStyle name="Normal 11 2 2 2 2 2 3 2 4 4" xfId="27613" xr:uid="{00000000-0005-0000-0000-000016680000}"/>
    <cellStyle name="Normal 11 2 2 2 2 2 3 2 4 4 2" xfId="27614" xr:uid="{00000000-0005-0000-0000-000017680000}"/>
    <cellStyle name="Normal 11 2 2 2 2 2 3 2 4 5" xfId="27615" xr:uid="{00000000-0005-0000-0000-000018680000}"/>
    <cellStyle name="Normal 11 2 2 2 2 2 3 2 5" xfId="27616" xr:uid="{00000000-0005-0000-0000-000019680000}"/>
    <cellStyle name="Normal 11 2 2 2 2 2 3 2 5 2" xfId="27617" xr:uid="{00000000-0005-0000-0000-00001A680000}"/>
    <cellStyle name="Normal 11 2 2 2 2 2 3 2 5 2 2" xfId="27618" xr:uid="{00000000-0005-0000-0000-00001B680000}"/>
    <cellStyle name="Normal 11 2 2 2 2 2 3 2 5 2 2 2" xfId="27619" xr:uid="{00000000-0005-0000-0000-00001C680000}"/>
    <cellStyle name="Normal 11 2 2 2 2 2 3 2 5 2 3" xfId="27620" xr:uid="{00000000-0005-0000-0000-00001D680000}"/>
    <cellStyle name="Normal 11 2 2 2 2 2 3 2 5 3" xfId="27621" xr:uid="{00000000-0005-0000-0000-00001E680000}"/>
    <cellStyle name="Normal 11 2 2 2 2 2 3 2 5 3 2" xfId="27622" xr:uid="{00000000-0005-0000-0000-00001F680000}"/>
    <cellStyle name="Normal 11 2 2 2 2 2 3 2 5 4" xfId="27623" xr:uid="{00000000-0005-0000-0000-000020680000}"/>
    <cellStyle name="Normal 11 2 2 2 2 2 3 2 6" xfId="27624" xr:uid="{00000000-0005-0000-0000-000021680000}"/>
    <cellStyle name="Normal 11 2 2 2 2 2 3 2 6 2" xfId="27625" xr:uid="{00000000-0005-0000-0000-000022680000}"/>
    <cellStyle name="Normal 11 2 2 2 2 2 3 2 6 2 2" xfId="27626" xr:uid="{00000000-0005-0000-0000-000023680000}"/>
    <cellStyle name="Normal 11 2 2 2 2 2 3 2 6 2 2 2" xfId="27627" xr:uid="{00000000-0005-0000-0000-000024680000}"/>
    <cellStyle name="Normal 11 2 2 2 2 2 3 2 6 2 3" xfId="27628" xr:uid="{00000000-0005-0000-0000-000025680000}"/>
    <cellStyle name="Normal 11 2 2 2 2 2 3 2 6 3" xfId="27629" xr:uid="{00000000-0005-0000-0000-000026680000}"/>
    <cellStyle name="Normal 11 2 2 2 2 2 3 2 6 3 2" xfId="27630" xr:uid="{00000000-0005-0000-0000-000027680000}"/>
    <cellStyle name="Normal 11 2 2 2 2 2 3 2 6 4" xfId="27631" xr:uid="{00000000-0005-0000-0000-000028680000}"/>
    <cellStyle name="Normal 11 2 2 2 2 2 3 2 7" xfId="27632" xr:uid="{00000000-0005-0000-0000-000029680000}"/>
    <cellStyle name="Normal 11 2 2 2 2 2 3 2 7 2" xfId="27633" xr:uid="{00000000-0005-0000-0000-00002A680000}"/>
    <cellStyle name="Normal 11 2 2 2 2 2 3 2 7 2 2" xfId="27634" xr:uid="{00000000-0005-0000-0000-00002B680000}"/>
    <cellStyle name="Normal 11 2 2 2 2 2 3 2 7 2 2 2" xfId="27635" xr:uid="{00000000-0005-0000-0000-00002C680000}"/>
    <cellStyle name="Normal 11 2 2 2 2 2 3 2 7 2 3" xfId="27636" xr:uid="{00000000-0005-0000-0000-00002D680000}"/>
    <cellStyle name="Normal 11 2 2 2 2 2 3 2 7 3" xfId="27637" xr:uid="{00000000-0005-0000-0000-00002E680000}"/>
    <cellStyle name="Normal 11 2 2 2 2 2 3 2 7 3 2" xfId="27638" xr:uid="{00000000-0005-0000-0000-00002F680000}"/>
    <cellStyle name="Normal 11 2 2 2 2 2 3 2 7 4" xfId="27639" xr:uid="{00000000-0005-0000-0000-000030680000}"/>
    <cellStyle name="Normal 11 2 2 2 2 2 3 2 8" xfId="27640" xr:uid="{00000000-0005-0000-0000-000031680000}"/>
    <cellStyle name="Normal 11 2 2 2 2 2 3 2 8 2" xfId="27641" xr:uid="{00000000-0005-0000-0000-000032680000}"/>
    <cellStyle name="Normal 11 2 2 2 2 2 3 2 8 2 2" xfId="27642" xr:uid="{00000000-0005-0000-0000-000033680000}"/>
    <cellStyle name="Normal 11 2 2 2 2 2 3 2 8 3" xfId="27643" xr:uid="{00000000-0005-0000-0000-000034680000}"/>
    <cellStyle name="Normal 11 2 2 2 2 2 3 2 9" xfId="27644" xr:uid="{00000000-0005-0000-0000-000035680000}"/>
    <cellStyle name="Normal 11 2 2 2 2 2 3 2 9 2" xfId="27645" xr:uid="{00000000-0005-0000-0000-000036680000}"/>
    <cellStyle name="Normal 11 2 2 2 2 2 3 3" xfId="1385" xr:uid="{00000000-0005-0000-0000-000037680000}"/>
    <cellStyle name="Normal 11 2 2 2 2 2 3 3 2" xfId="27647" xr:uid="{00000000-0005-0000-0000-000038680000}"/>
    <cellStyle name="Normal 11 2 2 2 2 2 3 3 2 2" xfId="27648" xr:uid="{00000000-0005-0000-0000-000039680000}"/>
    <cellStyle name="Normal 11 2 2 2 2 2 3 3 2 2 2" xfId="27649" xr:uid="{00000000-0005-0000-0000-00003A680000}"/>
    <cellStyle name="Normal 11 2 2 2 2 2 3 3 2 2 2 2" xfId="27650" xr:uid="{00000000-0005-0000-0000-00003B680000}"/>
    <cellStyle name="Normal 11 2 2 2 2 2 3 3 2 2 3" xfId="27651" xr:uid="{00000000-0005-0000-0000-00003C680000}"/>
    <cellStyle name="Normal 11 2 2 2 2 2 3 3 2 3" xfId="27652" xr:uid="{00000000-0005-0000-0000-00003D680000}"/>
    <cellStyle name="Normal 11 2 2 2 2 2 3 3 2 3 2" xfId="27653" xr:uid="{00000000-0005-0000-0000-00003E680000}"/>
    <cellStyle name="Normal 11 2 2 2 2 2 3 3 2 4" xfId="27654" xr:uid="{00000000-0005-0000-0000-00003F680000}"/>
    <cellStyle name="Normal 11 2 2 2 2 2 3 3 3" xfId="27655" xr:uid="{00000000-0005-0000-0000-000040680000}"/>
    <cellStyle name="Normal 11 2 2 2 2 2 3 3 3 2" xfId="27656" xr:uid="{00000000-0005-0000-0000-000041680000}"/>
    <cellStyle name="Normal 11 2 2 2 2 2 3 3 3 2 2" xfId="27657" xr:uid="{00000000-0005-0000-0000-000042680000}"/>
    <cellStyle name="Normal 11 2 2 2 2 2 3 3 3 2 2 2" xfId="27658" xr:uid="{00000000-0005-0000-0000-000043680000}"/>
    <cellStyle name="Normal 11 2 2 2 2 2 3 3 3 2 3" xfId="27659" xr:uid="{00000000-0005-0000-0000-000044680000}"/>
    <cellStyle name="Normal 11 2 2 2 2 2 3 3 3 3" xfId="27660" xr:uid="{00000000-0005-0000-0000-000045680000}"/>
    <cellStyle name="Normal 11 2 2 2 2 2 3 3 3 3 2" xfId="27661" xr:uid="{00000000-0005-0000-0000-000046680000}"/>
    <cellStyle name="Normal 11 2 2 2 2 2 3 3 3 4" xfId="27662" xr:uid="{00000000-0005-0000-0000-000047680000}"/>
    <cellStyle name="Normal 11 2 2 2 2 2 3 3 4" xfId="27663" xr:uid="{00000000-0005-0000-0000-000048680000}"/>
    <cellStyle name="Normal 11 2 2 2 2 2 3 3 4 2" xfId="27664" xr:uid="{00000000-0005-0000-0000-000049680000}"/>
    <cellStyle name="Normal 11 2 2 2 2 2 3 3 4 2 2" xfId="27665" xr:uid="{00000000-0005-0000-0000-00004A680000}"/>
    <cellStyle name="Normal 11 2 2 2 2 2 3 3 4 3" xfId="27666" xr:uid="{00000000-0005-0000-0000-00004B680000}"/>
    <cellStyle name="Normal 11 2 2 2 2 2 3 3 5" xfId="27667" xr:uid="{00000000-0005-0000-0000-00004C680000}"/>
    <cellStyle name="Normal 11 2 2 2 2 2 3 3 5 2" xfId="27668" xr:uid="{00000000-0005-0000-0000-00004D680000}"/>
    <cellStyle name="Normal 11 2 2 2 2 2 3 3 6" xfId="27669" xr:uid="{00000000-0005-0000-0000-00004E680000}"/>
    <cellStyle name="Normal 11 2 2 2 2 2 3 3 7" xfId="27646" xr:uid="{00000000-0005-0000-0000-00004F680000}"/>
    <cellStyle name="Normal 11 2 2 2 2 2 3 4" xfId="27670" xr:uid="{00000000-0005-0000-0000-000050680000}"/>
    <cellStyle name="Normal 11 2 2 2 2 2 3 4 2" xfId="27671" xr:uid="{00000000-0005-0000-0000-000051680000}"/>
    <cellStyle name="Normal 11 2 2 2 2 2 3 4 2 2" xfId="27672" xr:uid="{00000000-0005-0000-0000-000052680000}"/>
    <cellStyle name="Normal 11 2 2 2 2 2 3 4 2 2 2" xfId="27673" xr:uid="{00000000-0005-0000-0000-000053680000}"/>
    <cellStyle name="Normal 11 2 2 2 2 2 3 4 2 2 2 2" xfId="27674" xr:uid="{00000000-0005-0000-0000-000054680000}"/>
    <cellStyle name="Normal 11 2 2 2 2 2 3 4 2 2 3" xfId="27675" xr:uid="{00000000-0005-0000-0000-000055680000}"/>
    <cellStyle name="Normal 11 2 2 2 2 2 3 4 2 3" xfId="27676" xr:uid="{00000000-0005-0000-0000-000056680000}"/>
    <cellStyle name="Normal 11 2 2 2 2 2 3 4 2 3 2" xfId="27677" xr:uid="{00000000-0005-0000-0000-000057680000}"/>
    <cellStyle name="Normal 11 2 2 2 2 2 3 4 2 4" xfId="27678" xr:uid="{00000000-0005-0000-0000-000058680000}"/>
    <cellStyle name="Normal 11 2 2 2 2 2 3 4 3" xfId="27679" xr:uid="{00000000-0005-0000-0000-000059680000}"/>
    <cellStyle name="Normal 11 2 2 2 2 2 3 4 3 2" xfId="27680" xr:uid="{00000000-0005-0000-0000-00005A680000}"/>
    <cellStyle name="Normal 11 2 2 2 2 2 3 4 3 2 2" xfId="27681" xr:uid="{00000000-0005-0000-0000-00005B680000}"/>
    <cellStyle name="Normal 11 2 2 2 2 2 3 4 3 3" xfId="27682" xr:uid="{00000000-0005-0000-0000-00005C680000}"/>
    <cellStyle name="Normal 11 2 2 2 2 2 3 4 4" xfId="27683" xr:uid="{00000000-0005-0000-0000-00005D680000}"/>
    <cellStyle name="Normal 11 2 2 2 2 2 3 4 4 2" xfId="27684" xr:uid="{00000000-0005-0000-0000-00005E680000}"/>
    <cellStyle name="Normal 11 2 2 2 2 2 3 4 5" xfId="27685" xr:uid="{00000000-0005-0000-0000-00005F680000}"/>
    <cellStyle name="Normal 11 2 2 2 2 2 3 5" xfId="27686" xr:uid="{00000000-0005-0000-0000-000060680000}"/>
    <cellStyle name="Normal 11 2 2 2 2 2 3 5 2" xfId="27687" xr:uid="{00000000-0005-0000-0000-000061680000}"/>
    <cellStyle name="Normal 11 2 2 2 2 2 3 5 2 2" xfId="27688" xr:uid="{00000000-0005-0000-0000-000062680000}"/>
    <cellStyle name="Normal 11 2 2 2 2 2 3 5 2 2 2" xfId="27689" xr:uid="{00000000-0005-0000-0000-000063680000}"/>
    <cellStyle name="Normal 11 2 2 2 2 2 3 5 2 2 2 2" xfId="27690" xr:uid="{00000000-0005-0000-0000-000064680000}"/>
    <cellStyle name="Normal 11 2 2 2 2 2 3 5 2 2 3" xfId="27691" xr:uid="{00000000-0005-0000-0000-000065680000}"/>
    <cellStyle name="Normal 11 2 2 2 2 2 3 5 2 3" xfId="27692" xr:uid="{00000000-0005-0000-0000-000066680000}"/>
    <cellStyle name="Normal 11 2 2 2 2 2 3 5 2 3 2" xfId="27693" xr:uid="{00000000-0005-0000-0000-000067680000}"/>
    <cellStyle name="Normal 11 2 2 2 2 2 3 5 2 4" xfId="27694" xr:uid="{00000000-0005-0000-0000-000068680000}"/>
    <cellStyle name="Normal 11 2 2 2 2 2 3 5 3" xfId="27695" xr:uid="{00000000-0005-0000-0000-000069680000}"/>
    <cellStyle name="Normal 11 2 2 2 2 2 3 5 3 2" xfId="27696" xr:uid="{00000000-0005-0000-0000-00006A680000}"/>
    <cellStyle name="Normal 11 2 2 2 2 2 3 5 3 2 2" xfId="27697" xr:uid="{00000000-0005-0000-0000-00006B680000}"/>
    <cellStyle name="Normal 11 2 2 2 2 2 3 5 3 3" xfId="27698" xr:uid="{00000000-0005-0000-0000-00006C680000}"/>
    <cellStyle name="Normal 11 2 2 2 2 2 3 5 4" xfId="27699" xr:uid="{00000000-0005-0000-0000-00006D680000}"/>
    <cellStyle name="Normal 11 2 2 2 2 2 3 5 4 2" xfId="27700" xr:uid="{00000000-0005-0000-0000-00006E680000}"/>
    <cellStyle name="Normal 11 2 2 2 2 2 3 5 5" xfId="27701" xr:uid="{00000000-0005-0000-0000-00006F680000}"/>
    <cellStyle name="Normal 11 2 2 2 2 2 3 6" xfId="27702" xr:uid="{00000000-0005-0000-0000-000070680000}"/>
    <cellStyle name="Normal 11 2 2 2 2 2 3 6 2" xfId="27703" xr:uid="{00000000-0005-0000-0000-000071680000}"/>
    <cellStyle name="Normal 11 2 2 2 2 2 3 6 2 2" xfId="27704" xr:uid="{00000000-0005-0000-0000-000072680000}"/>
    <cellStyle name="Normal 11 2 2 2 2 2 3 6 2 2 2" xfId="27705" xr:uid="{00000000-0005-0000-0000-000073680000}"/>
    <cellStyle name="Normal 11 2 2 2 2 2 3 6 2 3" xfId="27706" xr:uid="{00000000-0005-0000-0000-000074680000}"/>
    <cellStyle name="Normal 11 2 2 2 2 2 3 6 3" xfId="27707" xr:uid="{00000000-0005-0000-0000-000075680000}"/>
    <cellStyle name="Normal 11 2 2 2 2 2 3 6 3 2" xfId="27708" xr:uid="{00000000-0005-0000-0000-000076680000}"/>
    <cellStyle name="Normal 11 2 2 2 2 2 3 6 4" xfId="27709" xr:uid="{00000000-0005-0000-0000-000077680000}"/>
    <cellStyle name="Normal 11 2 2 2 2 2 3 7" xfId="27710" xr:uid="{00000000-0005-0000-0000-000078680000}"/>
    <cellStyle name="Normal 11 2 2 2 2 2 3 7 2" xfId="27711" xr:uid="{00000000-0005-0000-0000-000079680000}"/>
    <cellStyle name="Normal 11 2 2 2 2 2 3 7 2 2" xfId="27712" xr:uid="{00000000-0005-0000-0000-00007A680000}"/>
    <cellStyle name="Normal 11 2 2 2 2 2 3 7 2 2 2" xfId="27713" xr:uid="{00000000-0005-0000-0000-00007B680000}"/>
    <cellStyle name="Normal 11 2 2 2 2 2 3 7 2 3" xfId="27714" xr:uid="{00000000-0005-0000-0000-00007C680000}"/>
    <cellStyle name="Normal 11 2 2 2 2 2 3 7 3" xfId="27715" xr:uid="{00000000-0005-0000-0000-00007D680000}"/>
    <cellStyle name="Normal 11 2 2 2 2 2 3 7 3 2" xfId="27716" xr:uid="{00000000-0005-0000-0000-00007E680000}"/>
    <cellStyle name="Normal 11 2 2 2 2 2 3 7 4" xfId="27717" xr:uid="{00000000-0005-0000-0000-00007F680000}"/>
    <cellStyle name="Normal 11 2 2 2 2 2 3 8" xfId="27718" xr:uid="{00000000-0005-0000-0000-000080680000}"/>
    <cellStyle name="Normal 11 2 2 2 2 2 3 8 2" xfId="27719" xr:uid="{00000000-0005-0000-0000-000081680000}"/>
    <cellStyle name="Normal 11 2 2 2 2 2 3 8 2 2" xfId="27720" xr:uid="{00000000-0005-0000-0000-000082680000}"/>
    <cellStyle name="Normal 11 2 2 2 2 2 3 8 2 2 2" xfId="27721" xr:uid="{00000000-0005-0000-0000-000083680000}"/>
    <cellStyle name="Normal 11 2 2 2 2 2 3 8 2 3" xfId="27722" xr:uid="{00000000-0005-0000-0000-000084680000}"/>
    <cellStyle name="Normal 11 2 2 2 2 2 3 8 3" xfId="27723" xr:uid="{00000000-0005-0000-0000-000085680000}"/>
    <cellStyle name="Normal 11 2 2 2 2 2 3 8 3 2" xfId="27724" xr:uid="{00000000-0005-0000-0000-000086680000}"/>
    <cellStyle name="Normal 11 2 2 2 2 2 3 8 4" xfId="27725" xr:uid="{00000000-0005-0000-0000-000087680000}"/>
    <cellStyle name="Normal 11 2 2 2 2 2 3 9" xfId="27726" xr:uid="{00000000-0005-0000-0000-000088680000}"/>
    <cellStyle name="Normal 11 2 2 2 2 2 3 9 2" xfId="27727" xr:uid="{00000000-0005-0000-0000-000089680000}"/>
    <cellStyle name="Normal 11 2 2 2 2 2 3 9 2 2" xfId="27728" xr:uid="{00000000-0005-0000-0000-00008A680000}"/>
    <cellStyle name="Normal 11 2 2 2 2 2 3 9 3" xfId="27729" xr:uid="{00000000-0005-0000-0000-00008B680000}"/>
    <cellStyle name="Normal 11 2 2 2 2 2 4" xfId="981" xr:uid="{00000000-0005-0000-0000-00008C680000}"/>
    <cellStyle name="Normal 11 2 2 2 2 2 4 10" xfId="27731" xr:uid="{00000000-0005-0000-0000-00008D680000}"/>
    <cellStyle name="Normal 11 2 2 2 2 2 4 11" xfId="27730" xr:uid="{00000000-0005-0000-0000-00008E680000}"/>
    <cellStyle name="Normal 11 2 2 2 2 2 4 2" xfId="1710" xr:uid="{00000000-0005-0000-0000-00008F680000}"/>
    <cellStyle name="Normal 11 2 2 2 2 2 4 2 2" xfId="27733" xr:uid="{00000000-0005-0000-0000-000090680000}"/>
    <cellStyle name="Normal 11 2 2 2 2 2 4 2 2 2" xfId="27734" xr:uid="{00000000-0005-0000-0000-000091680000}"/>
    <cellStyle name="Normal 11 2 2 2 2 2 4 2 2 2 2" xfId="27735" xr:uid="{00000000-0005-0000-0000-000092680000}"/>
    <cellStyle name="Normal 11 2 2 2 2 2 4 2 2 2 2 2" xfId="27736" xr:uid="{00000000-0005-0000-0000-000093680000}"/>
    <cellStyle name="Normal 11 2 2 2 2 2 4 2 2 2 3" xfId="27737" xr:uid="{00000000-0005-0000-0000-000094680000}"/>
    <cellStyle name="Normal 11 2 2 2 2 2 4 2 2 3" xfId="27738" xr:uid="{00000000-0005-0000-0000-000095680000}"/>
    <cellStyle name="Normal 11 2 2 2 2 2 4 2 2 3 2" xfId="27739" xr:uid="{00000000-0005-0000-0000-000096680000}"/>
    <cellStyle name="Normal 11 2 2 2 2 2 4 2 2 4" xfId="27740" xr:uid="{00000000-0005-0000-0000-000097680000}"/>
    <cellStyle name="Normal 11 2 2 2 2 2 4 2 3" xfId="27741" xr:uid="{00000000-0005-0000-0000-000098680000}"/>
    <cellStyle name="Normal 11 2 2 2 2 2 4 2 3 2" xfId="27742" xr:uid="{00000000-0005-0000-0000-000099680000}"/>
    <cellStyle name="Normal 11 2 2 2 2 2 4 2 3 2 2" xfId="27743" xr:uid="{00000000-0005-0000-0000-00009A680000}"/>
    <cellStyle name="Normal 11 2 2 2 2 2 4 2 3 2 2 2" xfId="27744" xr:uid="{00000000-0005-0000-0000-00009B680000}"/>
    <cellStyle name="Normal 11 2 2 2 2 2 4 2 3 2 3" xfId="27745" xr:uid="{00000000-0005-0000-0000-00009C680000}"/>
    <cellStyle name="Normal 11 2 2 2 2 2 4 2 3 3" xfId="27746" xr:uid="{00000000-0005-0000-0000-00009D680000}"/>
    <cellStyle name="Normal 11 2 2 2 2 2 4 2 3 3 2" xfId="27747" xr:uid="{00000000-0005-0000-0000-00009E680000}"/>
    <cellStyle name="Normal 11 2 2 2 2 2 4 2 3 4" xfId="27748" xr:uid="{00000000-0005-0000-0000-00009F680000}"/>
    <cellStyle name="Normal 11 2 2 2 2 2 4 2 4" xfId="27749" xr:uid="{00000000-0005-0000-0000-0000A0680000}"/>
    <cellStyle name="Normal 11 2 2 2 2 2 4 2 4 2" xfId="27750" xr:uid="{00000000-0005-0000-0000-0000A1680000}"/>
    <cellStyle name="Normal 11 2 2 2 2 2 4 2 4 2 2" xfId="27751" xr:uid="{00000000-0005-0000-0000-0000A2680000}"/>
    <cellStyle name="Normal 11 2 2 2 2 2 4 2 4 3" xfId="27752" xr:uid="{00000000-0005-0000-0000-0000A3680000}"/>
    <cellStyle name="Normal 11 2 2 2 2 2 4 2 5" xfId="27753" xr:uid="{00000000-0005-0000-0000-0000A4680000}"/>
    <cellStyle name="Normal 11 2 2 2 2 2 4 2 5 2" xfId="27754" xr:uid="{00000000-0005-0000-0000-0000A5680000}"/>
    <cellStyle name="Normal 11 2 2 2 2 2 4 2 6" xfId="27755" xr:uid="{00000000-0005-0000-0000-0000A6680000}"/>
    <cellStyle name="Normal 11 2 2 2 2 2 4 2 7" xfId="27732" xr:uid="{00000000-0005-0000-0000-0000A7680000}"/>
    <cellStyle name="Normal 11 2 2 2 2 2 4 3" xfId="27756" xr:uid="{00000000-0005-0000-0000-0000A8680000}"/>
    <cellStyle name="Normal 11 2 2 2 2 2 4 3 2" xfId="27757" xr:uid="{00000000-0005-0000-0000-0000A9680000}"/>
    <cellStyle name="Normal 11 2 2 2 2 2 4 3 2 2" xfId="27758" xr:uid="{00000000-0005-0000-0000-0000AA680000}"/>
    <cellStyle name="Normal 11 2 2 2 2 2 4 3 2 2 2" xfId="27759" xr:uid="{00000000-0005-0000-0000-0000AB680000}"/>
    <cellStyle name="Normal 11 2 2 2 2 2 4 3 2 2 2 2" xfId="27760" xr:uid="{00000000-0005-0000-0000-0000AC680000}"/>
    <cellStyle name="Normal 11 2 2 2 2 2 4 3 2 2 3" xfId="27761" xr:uid="{00000000-0005-0000-0000-0000AD680000}"/>
    <cellStyle name="Normal 11 2 2 2 2 2 4 3 2 3" xfId="27762" xr:uid="{00000000-0005-0000-0000-0000AE680000}"/>
    <cellStyle name="Normal 11 2 2 2 2 2 4 3 2 3 2" xfId="27763" xr:uid="{00000000-0005-0000-0000-0000AF680000}"/>
    <cellStyle name="Normal 11 2 2 2 2 2 4 3 2 4" xfId="27764" xr:uid="{00000000-0005-0000-0000-0000B0680000}"/>
    <cellStyle name="Normal 11 2 2 2 2 2 4 3 3" xfId="27765" xr:uid="{00000000-0005-0000-0000-0000B1680000}"/>
    <cellStyle name="Normal 11 2 2 2 2 2 4 3 3 2" xfId="27766" xr:uid="{00000000-0005-0000-0000-0000B2680000}"/>
    <cellStyle name="Normal 11 2 2 2 2 2 4 3 3 2 2" xfId="27767" xr:uid="{00000000-0005-0000-0000-0000B3680000}"/>
    <cellStyle name="Normal 11 2 2 2 2 2 4 3 3 3" xfId="27768" xr:uid="{00000000-0005-0000-0000-0000B4680000}"/>
    <cellStyle name="Normal 11 2 2 2 2 2 4 3 4" xfId="27769" xr:uid="{00000000-0005-0000-0000-0000B5680000}"/>
    <cellStyle name="Normal 11 2 2 2 2 2 4 3 4 2" xfId="27770" xr:uid="{00000000-0005-0000-0000-0000B6680000}"/>
    <cellStyle name="Normal 11 2 2 2 2 2 4 3 5" xfId="27771" xr:uid="{00000000-0005-0000-0000-0000B7680000}"/>
    <cellStyle name="Normal 11 2 2 2 2 2 4 4" xfId="27772" xr:uid="{00000000-0005-0000-0000-0000B8680000}"/>
    <cellStyle name="Normal 11 2 2 2 2 2 4 4 2" xfId="27773" xr:uid="{00000000-0005-0000-0000-0000B9680000}"/>
    <cellStyle name="Normal 11 2 2 2 2 2 4 4 2 2" xfId="27774" xr:uid="{00000000-0005-0000-0000-0000BA680000}"/>
    <cellStyle name="Normal 11 2 2 2 2 2 4 4 2 2 2" xfId="27775" xr:uid="{00000000-0005-0000-0000-0000BB680000}"/>
    <cellStyle name="Normal 11 2 2 2 2 2 4 4 2 2 2 2" xfId="27776" xr:uid="{00000000-0005-0000-0000-0000BC680000}"/>
    <cellStyle name="Normal 11 2 2 2 2 2 4 4 2 2 3" xfId="27777" xr:uid="{00000000-0005-0000-0000-0000BD680000}"/>
    <cellStyle name="Normal 11 2 2 2 2 2 4 4 2 3" xfId="27778" xr:uid="{00000000-0005-0000-0000-0000BE680000}"/>
    <cellStyle name="Normal 11 2 2 2 2 2 4 4 2 3 2" xfId="27779" xr:uid="{00000000-0005-0000-0000-0000BF680000}"/>
    <cellStyle name="Normal 11 2 2 2 2 2 4 4 2 4" xfId="27780" xr:uid="{00000000-0005-0000-0000-0000C0680000}"/>
    <cellStyle name="Normal 11 2 2 2 2 2 4 4 3" xfId="27781" xr:uid="{00000000-0005-0000-0000-0000C1680000}"/>
    <cellStyle name="Normal 11 2 2 2 2 2 4 4 3 2" xfId="27782" xr:uid="{00000000-0005-0000-0000-0000C2680000}"/>
    <cellStyle name="Normal 11 2 2 2 2 2 4 4 3 2 2" xfId="27783" xr:uid="{00000000-0005-0000-0000-0000C3680000}"/>
    <cellStyle name="Normal 11 2 2 2 2 2 4 4 3 3" xfId="27784" xr:uid="{00000000-0005-0000-0000-0000C4680000}"/>
    <cellStyle name="Normal 11 2 2 2 2 2 4 4 4" xfId="27785" xr:uid="{00000000-0005-0000-0000-0000C5680000}"/>
    <cellStyle name="Normal 11 2 2 2 2 2 4 4 4 2" xfId="27786" xr:uid="{00000000-0005-0000-0000-0000C6680000}"/>
    <cellStyle name="Normal 11 2 2 2 2 2 4 4 5" xfId="27787" xr:uid="{00000000-0005-0000-0000-0000C7680000}"/>
    <cellStyle name="Normal 11 2 2 2 2 2 4 5" xfId="27788" xr:uid="{00000000-0005-0000-0000-0000C8680000}"/>
    <cellStyle name="Normal 11 2 2 2 2 2 4 5 2" xfId="27789" xr:uid="{00000000-0005-0000-0000-0000C9680000}"/>
    <cellStyle name="Normal 11 2 2 2 2 2 4 5 2 2" xfId="27790" xr:uid="{00000000-0005-0000-0000-0000CA680000}"/>
    <cellStyle name="Normal 11 2 2 2 2 2 4 5 2 2 2" xfId="27791" xr:uid="{00000000-0005-0000-0000-0000CB680000}"/>
    <cellStyle name="Normal 11 2 2 2 2 2 4 5 2 3" xfId="27792" xr:uid="{00000000-0005-0000-0000-0000CC680000}"/>
    <cellStyle name="Normal 11 2 2 2 2 2 4 5 3" xfId="27793" xr:uid="{00000000-0005-0000-0000-0000CD680000}"/>
    <cellStyle name="Normal 11 2 2 2 2 2 4 5 3 2" xfId="27794" xr:uid="{00000000-0005-0000-0000-0000CE680000}"/>
    <cellStyle name="Normal 11 2 2 2 2 2 4 5 4" xfId="27795" xr:uid="{00000000-0005-0000-0000-0000CF680000}"/>
    <cellStyle name="Normal 11 2 2 2 2 2 4 6" xfId="27796" xr:uid="{00000000-0005-0000-0000-0000D0680000}"/>
    <cellStyle name="Normal 11 2 2 2 2 2 4 6 2" xfId="27797" xr:uid="{00000000-0005-0000-0000-0000D1680000}"/>
    <cellStyle name="Normal 11 2 2 2 2 2 4 6 2 2" xfId="27798" xr:uid="{00000000-0005-0000-0000-0000D2680000}"/>
    <cellStyle name="Normal 11 2 2 2 2 2 4 6 2 2 2" xfId="27799" xr:uid="{00000000-0005-0000-0000-0000D3680000}"/>
    <cellStyle name="Normal 11 2 2 2 2 2 4 6 2 3" xfId="27800" xr:uid="{00000000-0005-0000-0000-0000D4680000}"/>
    <cellStyle name="Normal 11 2 2 2 2 2 4 6 3" xfId="27801" xr:uid="{00000000-0005-0000-0000-0000D5680000}"/>
    <cellStyle name="Normal 11 2 2 2 2 2 4 6 3 2" xfId="27802" xr:uid="{00000000-0005-0000-0000-0000D6680000}"/>
    <cellStyle name="Normal 11 2 2 2 2 2 4 6 4" xfId="27803" xr:uid="{00000000-0005-0000-0000-0000D7680000}"/>
    <cellStyle name="Normal 11 2 2 2 2 2 4 7" xfId="27804" xr:uid="{00000000-0005-0000-0000-0000D8680000}"/>
    <cellStyle name="Normal 11 2 2 2 2 2 4 7 2" xfId="27805" xr:uid="{00000000-0005-0000-0000-0000D9680000}"/>
    <cellStyle name="Normal 11 2 2 2 2 2 4 7 2 2" xfId="27806" xr:uid="{00000000-0005-0000-0000-0000DA680000}"/>
    <cellStyle name="Normal 11 2 2 2 2 2 4 7 2 2 2" xfId="27807" xr:uid="{00000000-0005-0000-0000-0000DB680000}"/>
    <cellStyle name="Normal 11 2 2 2 2 2 4 7 2 3" xfId="27808" xr:uid="{00000000-0005-0000-0000-0000DC680000}"/>
    <cellStyle name="Normal 11 2 2 2 2 2 4 7 3" xfId="27809" xr:uid="{00000000-0005-0000-0000-0000DD680000}"/>
    <cellStyle name="Normal 11 2 2 2 2 2 4 7 3 2" xfId="27810" xr:uid="{00000000-0005-0000-0000-0000DE680000}"/>
    <cellStyle name="Normal 11 2 2 2 2 2 4 7 4" xfId="27811" xr:uid="{00000000-0005-0000-0000-0000DF680000}"/>
    <cellStyle name="Normal 11 2 2 2 2 2 4 8" xfId="27812" xr:uid="{00000000-0005-0000-0000-0000E0680000}"/>
    <cellStyle name="Normal 11 2 2 2 2 2 4 8 2" xfId="27813" xr:uid="{00000000-0005-0000-0000-0000E1680000}"/>
    <cellStyle name="Normal 11 2 2 2 2 2 4 8 2 2" xfId="27814" xr:uid="{00000000-0005-0000-0000-0000E2680000}"/>
    <cellStyle name="Normal 11 2 2 2 2 2 4 8 3" xfId="27815" xr:uid="{00000000-0005-0000-0000-0000E3680000}"/>
    <cellStyle name="Normal 11 2 2 2 2 2 4 9" xfId="27816" xr:uid="{00000000-0005-0000-0000-0000E4680000}"/>
    <cellStyle name="Normal 11 2 2 2 2 2 4 9 2" xfId="27817" xr:uid="{00000000-0005-0000-0000-0000E5680000}"/>
    <cellStyle name="Normal 11 2 2 2 2 2 5" xfId="1383" xr:uid="{00000000-0005-0000-0000-0000E6680000}"/>
    <cellStyle name="Normal 11 2 2 2 2 2 5 2" xfId="27819" xr:uid="{00000000-0005-0000-0000-0000E7680000}"/>
    <cellStyle name="Normal 11 2 2 2 2 2 5 2 2" xfId="27820" xr:uid="{00000000-0005-0000-0000-0000E8680000}"/>
    <cellStyle name="Normal 11 2 2 2 2 2 5 2 2 2" xfId="27821" xr:uid="{00000000-0005-0000-0000-0000E9680000}"/>
    <cellStyle name="Normal 11 2 2 2 2 2 5 2 2 2 2" xfId="27822" xr:uid="{00000000-0005-0000-0000-0000EA680000}"/>
    <cellStyle name="Normal 11 2 2 2 2 2 5 2 2 3" xfId="27823" xr:uid="{00000000-0005-0000-0000-0000EB680000}"/>
    <cellStyle name="Normal 11 2 2 2 2 2 5 2 3" xfId="27824" xr:uid="{00000000-0005-0000-0000-0000EC680000}"/>
    <cellStyle name="Normal 11 2 2 2 2 2 5 2 3 2" xfId="27825" xr:uid="{00000000-0005-0000-0000-0000ED680000}"/>
    <cellStyle name="Normal 11 2 2 2 2 2 5 2 4" xfId="27826" xr:uid="{00000000-0005-0000-0000-0000EE680000}"/>
    <cellStyle name="Normal 11 2 2 2 2 2 5 3" xfId="27827" xr:uid="{00000000-0005-0000-0000-0000EF680000}"/>
    <cellStyle name="Normal 11 2 2 2 2 2 5 3 2" xfId="27828" xr:uid="{00000000-0005-0000-0000-0000F0680000}"/>
    <cellStyle name="Normal 11 2 2 2 2 2 5 3 2 2" xfId="27829" xr:uid="{00000000-0005-0000-0000-0000F1680000}"/>
    <cellStyle name="Normal 11 2 2 2 2 2 5 3 2 2 2" xfId="27830" xr:uid="{00000000-0005-0000-0000-0000F2680000}"/>
    <cellStyle name="Normal 11 2 2 2 2 2 5 3 2 3" xfId="27831" xr:uid="{00000000-0005-0000-0000-0000F3680000}"/>
    <cellStyle name="Normal 11 2 2 2 2 2 5 3 3" xfId="27832" xr:uid="{00000000-0005-0000-0000-0000F4680000}"/>
    <cellStyle name="Normal 11 2 2 2 2 2 5 3 3 2" xfId="27833" xr:uid="{00000000-0005-0000-0000-0000F5680000}"/>
    <cellStyle name="Normal 11 2 2 2 2 2 5 3 4" xfId="27834" xr:uid="{00000000-0005-0000-0000-0000F6680000}"/>
    <cellStyle name="Normal 11 2 2 2 2 2 5 4" xfId="27835" xr:uid="{00000000-0005-0000-0000-0000F7680000}"/>
    <cellStyle name="Normal 11 2 2 2 2 2 5 4 2" xfId="27836" xr:uid="{00000000-0005-0000-0000-0000F8680000}"/>
    <cellStyle name="Normal 11 2 2 2 2 2 5 4 2 2" xfId="27837" xr:uid="{00000000-0005-0000-0000-0000F9680000}"/>
    <cellStyle name="Normal 11 2 2 2 2 2 5 4 3" xfId="27838" xr:uid="{00000000-0005-0000-0000-0000FA680000}"/>
    <cellStyle name="Normal 11 2 2 2 2 2 5 5" xfId="27839" xr:uid="{00000000-0005-0000-0000-0000FB680000}"/>
    <cellStyle name="Normal 11 2 2 2 2 2 5 5 2" xfId="27840" xr:uid="{00000000-0005-0000-0000-0000FC680000}"/>
    <cellStyle name="Normal 11 2 2 2 2 2 5 6" xfId="27841" xr:uid="{00000000-0005-0000-0000-0000FD680000}"/>
    <cellStyle name="Normal 11 2 2 2 2 2 5 7" xfId="27818" xr:uid="{00000000-0005-0000-0000-0000FE680000}"/>
    <cellStyle name="Normal 11 2 2 2 2 2 6" xfId="27842" xr:uid="{00000000-0005-0000-0000-0000FF680000}"/>
    <cellStyle name="Normal 11 2 2 2 2 2 6 2" xfId="27843" xr:uid="{00000000-0005-0000-0000-000000690000}"/>
    <cellStyle name="Normal 11 2 2 2 2 2 6 2 2" xfId="27844" xr:uid="{00000000-0005-0000-0000-000001690000}"/>
    <cellStyle name="Normal 11 2 2 2 2 2 6 2 2 2" xfId="27845" xr:uid="{00000000-0005-0000-0000-000002690000}"/>
    <cellStyle name="Normal 11 2 2 2 2 2 6 2 2 2 2" xfId="27846" xr:uid="{00000000-0005-0000-0000-000003690000}"/>
    <cellStyle name="Normal 11 2 2 2 2 2 6 2 2 3" xfId="27847" xr:uid="{00000000-0005-0000-0000-000004690000}"/>
    <cellStyle name="Normal 11 2 2 2 2 2 6 2 3" xfId="27848" xr:uid="{00000000-0005-0000-0000-000005690000}"/>
    <cellStyle name="Normal 11 2 2 2 2 2 6 2 3 2" xfId="27849" xr:uid="{00000000-0005-0000-0000-000006690000}"/>
    <cellStyle name="Normal 11 2 2 2 2 2 6 2 4" xfId="27850" xr:uid="{00000000-0005-0000-0000-000007690000}"/>
    <cellStyle name="Normal 11 2 2 2 2 2 6 3" xfId="27851" xr:uid="{00000000-0005-0000-0000-000008690000}"/>
    <cellStyle name="Normal 11 2 2 2 2 2 6 3 2" xfId="27852" xr:uid="{00000000-0005-0000-0000-000009690000}"/>
    <cellStyle name="Normal 11 2 2 2 2 2 6 3 2 2" xfId="27853" xr:uid="{00000000-0005-0000-0000-00000A690000}"/>
    <cellStyle name="Normal 11 2 2 2 2 2 6 3 3" xfId="27854" xr:uid="{00000000-0005-0000-0000-00000B690000}"/>
    <cellStyle name="Normal 11 2 2 2 2 2 6 4" xfId="27855" xr:uid="{00000000-0005-0000-0000-00000C690000}"/>
    <cellStyle name="Normal 11 2 2 2 2 2 6 4 2" xfId="27856" xr:uid="{00000000-0005-0000-0000-00000D690000}"/>
    <cellStyle name="Normal 11 2 2 2 2 2 6 5" xfId="27857" xr:uid="{00000000-0005-0000-0000-00000E690000}"/>
    <cellStyle name="Normal 11 2 2 2 2 2 7" xfId="27858" xr:uid="{00000000-0005-0000-0000-00000F690000}"/>
    <cellStyle name="Normal 11 2 2 2 2 2 7 2" xfId="27859" xr:uid="{00000000-0005-0000-0000-000010690000}"/>
    <cellStyle name="Normal 11 2 2 2 2 2 7 2 2" xfId="27860" xr:uid="{00000000-0005-0000-0000-000011690000}"/>
    <cellStyle name="Normal 11 2 2 2 2 2 7 2 2 2" xfId="27861" xr:uid="{00000000-0005-0000-0000-000012690000}"/>
    <cellStyle name="Normal 11 2 2 2 2 2 7 2 2 2 2" xfId="27862" xr:uid="{00000000-0005-0000-0000-000013690000}"/>
    <cellStyle name="Normal 11 2 2 2 2 2 7 2 2 3" xfId="27863" xr:uid="{00000000-0005-0000-0000-000014690000}"/>
    <cellStyle name="Normal 11 2 2 2 2 2 7 2 3" xfId="27864" xr:uid="{00000000-0005-0000-0000-000015690000}"/>
    <cellStyle name="Normal 11 2 2 2 2 2 7 2 3 2" xfId="27865" xr:uid="{00000000-0005-0000-0000-000016690000}"/>
    <cellStyle name="Normal 11 2 2 2 2 2 7 2 4" xfId="27866" xr:uid="{00000000-0005-0000-0000-000017690000}"/>
    <cellStyle name="Normal 11 2 2 2 2 2 7 3" xfId="27867" xr:uid="{00000000-0005-0000-0000-000018690000}"/>
    <cellStyle name="Normal 11 2 2 2 2 2 7 3 2" xfId="27868" xr:uid="{00000000-0005-0000-0000-000019690000}"/>
    <cellStyle name="Normal 11 2 2 2 2 2 7 3 2 2" xfId="27869" xr:uid="{00000000-0005-0000-0000-00001A690000}"/>
    <cellStyle name="Normal 11 2 2 2 2 2 7 3 3" xfId="27870" xr:uid="{00000000-0005-0000-0000-00001B690000}"/>
    <cellStyle name="Normal 11 2 2 2 2 2 7 4" xfId="27871" xr:uid="{00000000-0005-0000-0000-00001C690000}"/>
    <cellStyle name="Normal 11 2 2 2 2 2 7 4 2" xfId="27872" xr:uid="{00000000-0005-0000-0000-00001D690000}"/>
    <cellStyle name="Normal 11 2 2 2 2 2 7 5" xfId="27873" xr:uid="{00000000-0005-0000-0000-00001E690000}"/>
    <cellStyle name="Normal 11 2 2 2 2 2 8" xfId="27874" xr:uid="{00000000-0005-0000-0000-00001F690000}"/>
    <cellStyle name="Normal 11 2 2 2 2 2 8 2" xfId="27875" xr:uid="{00000000-0005-0000-0000-000020690000}"/>
    <cellStyle name="Normal 11 2 2 2 2 2 8 2 2" xfId="27876" xr:uid="{00000000-0005-0000-0000-000021690000}"/>
    <cellStyle name="Normal 11 2 2 2 2 2 8 2 2 2" xfId="27877" xr:uid="{00000000-0005-0000-0000-000022690000}"/>
    <cellStyle name="Normal 11 2 2 2 2 2 8 2 3" xfId="27878" xr:uid="{00000000-0005-0000-0000-000023690000}"/>
    <cellStyle name="Normal 11 2 2 2 2 2 8 3" xfId="27879" xr:uid="{00000000-0005-0000-0000-000024690000}"/>
    <cellStyle name="Normal 11 2 2 2 2 2 8 3 2" xfId="27880" xr:uid="{00000000-0005-0000-0000-000025690000}"/>
    <cellStyle name="Normal 11 2 2 2 2 2 8 4" xfId="27881" xr:uid="{00000000-0005-0000-0000-000026690000}"/>
    <cellStyle name="Normal 11 2 2 2 2 2 9" xfId="27882" xr:uid="{00000000-0005-0000-0000-000027690000}"/>
    <cellStyle name="Normal 11 2 2 2 2 2 9 2" xfId="27883" xr:uid="{00000000-0005-0000-0000-000028690000}"/>
    <cellStyle name="Normal 11 2 2 2 2 2 9 2 2" xfId="27884" xr:uid="{00000000-0005-0000-0000-000029690000}"/>
    <cellStyle name="Normal 11 2 2 2 2 2 9 2 2 2" xfId="27885" xr:uid="{00000000-0005-0000-0000-00002A690000}"/>
    <cellStyle name="Normal 11 2 2 2 2 2 9 2 3" xfId="27886" xr:uid="{00000000-0005-0000-0000-00002B690000}"/>
    <cellStyle name="Normal 11 2 2 2 2 2 9 3" xfId="27887" xr:uid="{00000000-0005-0000-0000-00002C690000}"/>
    <cellStyle name="Normal 11 2 2 2 2 2 9 3 2" xfId="27888" xr:uid="{00000000-0005-0000-0000-00002D690000}"/>
    <cellStyle name="Normal 11 2 2 2 2 2 9 4" xfId="27889" xr:uid="{00000000-0005-0000-0000-00002E690000}"/>
    <cellStyle name="Normal 11 2 2 2 2 3" xfId="542" xr:uid="{00000000-0005-0000-0000-00002F690000}"/>
    <cellStyle name="Normal 11 2 2 2 2 3 10" xfId="27891" xr:uid="{00000000-0005-0000-0000-000030690000}"/>
    <cellStyle name="Normal 11 2 2 2 2 3 10 2" xfId="27892" xr:uid="{00000000-0005-0000-0000-000031690000}"/>
    <cellStyle name="Normal 11 2 2 2 2 3 10 2 2" xfId="27893" xr:uid="{00000000-0005-0000-0000-000032690000}"/>
    <cellStyle name="Normal 11 2 2 2 2 3 10 3" xfId="27894" xr:uid="{00000000-0005-0000-0000-000033690000}"/>
    <cellStyle name="Normal 11 2 2 2 2 3 11" xfId="27895" xr:uid="{00000000-0005-0000-0000-000034690000}"/>
    <cellStyle name="Normal 11 2 2 2 2 3 11 2" xfId="27896" xr:uid="{00000000-0005-0000-0000-000035690000}"/>
    <cellStyle name="Normal 11 2 2 2 2 3 11 2 2" xfId="27897" xr:uid="{00000000-0005-0000-0000-000036690000}"/>
    <cellStyle name="Normal 11 2 2 2 2 3 11 3" xfId="27898" xr:uid="{00000000-0005-0000-0000-000037690000}"/>
    <cellStyle name="Normal 11 2 2 2 2 3 12" xfId="27899" xr:uid="{00000000-0005-0000-0000-000038690000}"/>
    <cellStyle name="Normal 11 2 2 2 2 3 12 2" xfId="27900" xr:uid="{00000000-0005-0000-0000-000039690000}"/>
    <cellStyle name="Normal 11 2 2 2 2 3 13" xfId="27901" xr:uid="{00000000-0005-0000-0000-00003A690000}"/>
    <cellStyle name="Normal 11 2 2 2 2 3 14" xfId="27902" xr:uid="{00000000-0005-0000-0000-00003B690000}"/>
    <cellStyle name="Normal 11 2 2 2 2 3 15" xfId="27890" xr:uid="{00000000-0005-0000-0000-00003C690000}"/>
    <cellStyle name="Normal 11 2 2 2 2 3 2" xfId="984" xr:uid="{00000000-0005-0000-0000-00003D690000}"/>
    <cellStyle name="Normal 11 2 2 2 2 3 2 10" xfId="27904" xr:uid="{00000000-0005-0000-0000-00003E690000}"/>
    <cellStyle name="Normal 11 2 2 2 2 3 2 11" xfId="27903" xr:uid="{00000000-0005-0000-0000-00003F690000}"/>
    <cellStyle name="Normal 11 2 2 2 2 3 2 2" xfId="1713" xr:uid="{00000000-0005-0000-0000-000040690000}"/>
    <cellStyle name="Normal 11 2 2 2 2 3 2 2 2" xfId="27906" xr:uid="{00000000-0005-0000-0000-000041690000}"/>
    <cellStyle name="Normal 11 2 2 2 2 3 2 2 2 2" xfId="27907" xr:uid="{00000000-0005-0000-0000-000042690000}"/>
    <cellStyle name="Normal 11 2 2 2 2 3 2 2 2 2 2" xfId="27908" xr:uid="{00000000-0005-0000-0000-000043690000}"/>
    <cellStyle name="Normal 11 2 2 2 2 3 2 2 2 2 2 2" xfId="27909" xr:uid="{00000000-0005-0000-0000-000044690000}"/>
    <cellStyle name="Normal 11 2 2 2 2 3 2 2 2 2 3" xfId="27910" xr:uid="{00000000-0005-0000-0000-000045690000}"/>
    <cellStyle name="Normal 11 2 2 2 2 3 2 2 2 3" xfId="27911" xr:uid="{00000000-0005-0000-0000-000046690000}"/>
    <cellStyle name="Normal 11 2 2 2 2 3 2 2 2 3 2" xfId="27912" xr:uid="{00000000-0005-0000-0000-000047690000}"/>
    <cellStyle name="Normal 11 2 2 2 2 3 2 2 2 4" xfId="27913" xr:uid="{00000000-0005-0000-0000-000048690000}"/>
    <cellStyle name="Normal 11 2 2 2 2 3 2 2 3" xfId="27914" xr:uid="{00000000-0005-0000-0000-000049690000}"/>
    <cellStyle name="Normal 11 2 2 2 2 3 2 2 3 2" xfId="27915" xr:uid="{00000000-0005-0000-0000-00004A690000}"/>
    <cellStyle name="Normal 11 2 2 2 2 3 2 2 3 2 2" xfId="27916" xr:uid="{00000000-0005-0000-0000-00004B690000}"/>
    <cellStyle name="Normal 11 2 2 2 2 3 2 2 3 2 2 2" xfId="27917" xr:uid="{00000000-0005-0000-0000-00004C690000}"/>
    <cellStyle name="Normal 11 2 2 2 2 3 2 2 3 2 3" xfId="27918" xr:uid="{00000000-0005-0000-0000-00004D690000}"/>
    <cellStyle name="Normal 11 2 2 2 2 3 2 2 3 3" xfId="27919" xr:uid="{00000000-0005-0000-0000-00004E690000}"/>
    <cellStyle name="Normal 11 2 2 2 2 3 2 2 3 3 2" xfId="27920" xr:uid="{00000000-0005-0000-0000-00004F690000}"/>
    <cellStyle name="Normal 11 2 2 2 2 3 2 2 3 4" xfId="27921" xr:uid="{00000000-0005-0000-0000-000050690000}"/>
    <cellStyle name="Normal 11 2 2 2 2 3 2 2 4" xfId="27922" xr:uid="{00000000-0005-0000-0000-000051690000}"/>
    <cellStyle name="Normal 11 2 2 2 2 3 2 2 4 2" xfId="27923" xr:uid="{00000000-0005-0000-0000-000052690000}"/>
    <cellStyle name="Normal 11 2 2 2 2 3 2 2 4 2 2" xfId="27924" xr:uid="{00000000-0005-0000-0000-000053690000}"/>
    <cellStyle name="Normal 11 2 2 2 2 3 2 2 4 3" xfId="27925" xr:uid="{00000000-0005-0000-0000-000054690000}"/>
    <cellStyle name="Normal 11 2 2 2 2 3 2 2 5" xfId="27926" xr:uid="{00000000-0005-0000-0000-000055690000}"/>
    <cellStyle name="Normal 11 2 2 2 2 3 2 2 5 2" xfId="27927" xr:uid="{00000000-0005-0000-0000-000056690000}"/>
    <cellStyle name="Normal 11 2 2 2 2 3 2 2 6" xfId="27928" xr:uid="{00000000-0005-0000-0000-000057690000}"/>
    <cellStyle name="Normal 11 2 2 2 2 3 2 2 7" xfId="27905" xr:uid="{00000000-0005-0000-0000-000058690000}"/>
    <cellStyle name="Normal 11 2 2 2 2 3 2 3" xfId="27929" xr:uid="{00000000-0005-0000-0000-000059690000}"/>
    <cellStyle name="Normal 11 2 2 2 2 3 2 3 2" xfId="27930" xr:uid="{00000000-0005-0000-0000-00005A690000}"/>
    <cellStyle name="Normal 11 2 2 2 2 3 2 3 2 2" xfId="27931" xr:uid="{00000000-0005-0000-0000-00005B690000}"/>
    <cellStyle name="Normal 11 2 2 2 2 3 2 3 2 2 2" xfId="27932" xr:uid="{00000000-0005-0000-0000-00005C690000}"/>
    <cellStyle name="Normal 11 2 2 2 2 3 2 3 2 2 2 2" xfId="27933" xr:uid="{00000000-0005-0000-0000-00005D690000}"/>
    <cellStyle name="Normal 11 2 2 2 2 3 2 3 2 2 3" xfId="27934" xr:uid="{00000000-0005-0000-0000-00005E690000}"/>
    <cellStyle name="Normal 11 2 2 2 2 3 2 3 2 3" xfId="27935" xr:uid="{00000000-0005-0000-0000-00005F690000}"/>
    <cellStyle name="Normal 11 2 2 2 2 3 2 3 2 3 2" xfId="27936" xr:uid="{00000000-0005-0000-0000-000060690000}"/>
    <cellStyle name="Normal 11 2 2 2 2 3 2 3 2 4" xfId="27937" xr:uid="{00000000-0005-0000-0000-000061690000}"/>
    <cellStyle name="Normal 11 2 2 2 2 3 2 3 3" xfId="27938" xr:uid="{00000000-0005-0000-0000-000062690000}"/>
    <cellStyle name="Normal 11 2 2 2 2 3 2 3 3 2" xfId="27939" xr:uid="{00000000-0005-0000-0000-000063690000}"/>
    <cellStyle name="Normal 11 2 2 2 2 3 2 3 3 2 2" xfId="27940" xr:uid="{00000000-0005-0000-0000-000064690000}"/>
    <cellStyle name="Normal 11 2 2 2 2 3 2 3 3 3" xfId="27941" xr:uid="{00000000-0005-0000-0000-000065690000}"/>
    <cellStyle name="Normal 11 2 2 2 2 3 2 3 4" xfId="27942" xr:uid="{00000000-0005-0000-0000-000066690000}"/>
    <cellStyle name="Normal 11 2 2 2 2 3 2 3 4 2" xfId="27943" xr:uid="{00000000-0005-0000-0000-000067690000}"/>
    <cellStyle name="Normal 11 2 2 2 2 3 2 3 5" xfId="27944" xr:uid="{00000000-0005-0000-0000-000068690000}"/>
    <cellStyle name="Normal 11 2 2 2 2 3 2 4" xfId="27945" xr:uid="{00000000-0005-0000-0000-000069690000}"/>
    <cellStyle name="Normal 11 2 2 2 2 3 2 4 2" xfId="27946" xr:uid="{00000000-0005-0000-0000-00006A690000}"/>
    <cellStyle name="Normal 11 2 2 2 2 3 2 4 2 2" xfId="27947" xr:uid="{00000000-0005-0000-0000-00006B690000}"/>
    <cellStyle name="Normal 11 2 2 2 2 3 2 4 2 2 2" xfId="27948" xr:uid="{00000000-0005-0000-0000-00006C690000}"/>
    <cellStyle name="Normal 11 2 2 2 2 3 2 4 2 2 2 2" xfId="27949" xr:uid="{00000000-0005-0000-0000-00006D690000}"/>
    <cellStyle name="Normal 11 2 2 2 2 3 2 4 2 2 3" xfId="27950" xr:uid="{00000000-0005-0000-0000-00006E690000}"/>
    <cellStyle name="Normal 11 2 2 2 2 3 2 4 2 3" xfId="27951" xr:uid="{00000000-0005-0000-0000-00006F690000}"/>
    <cellStyle name="Normal 11 2 2 2 2 3 2 4 2 3 2" xfId="27952" xr:uid="{00000000-0005-0000-0000-000070690000}"/>
    <cellStyle name="Normal 11 2 2 2 2 3 2 4 2 4" xfId="27953" xr:uid="{00000000-0005-0000-0000-000071690000}"/>
    <cellStyle name="Normal 11 2 2 2 2 3 2 4 3" xfId="27954" xr:uid="{00000000-0005-0000-0000-000072690000}"/>
    <cellStyle name="Normal 11 2 2 2 2 3 2 4 3 2" xfId="27955" xr:uid="{00000000-0005-0000-0000-000073690000}"/>
    <cellStyle name="Normal 11 2 2 2 2 3 2 4 3 2 2" xfId="27956" xr:uid="{00000000-0005-0000-0000-000074690000}"/>
    <cellStyle name="Normal 11 2 2 2 2 3 2 4 3 3" xfId="27957" xr:uid="{00000000-0005-0000-0000-000075690000}"/>
    <cellStyle name="Normal 11 2 2 2 2 3 2 4 4" xfId="27958" xr:uid="{00000000-0005-0000-0000-000076690000}"/>
    <cellStyle name="Normal 11 2 2 2 2 3 2 4 4 2" xfId="27959" xr:uid="{00000000-0005-0000-0000-000077690000}"/>
    <cellStyle name="Normal 11 2 2 2 2 3 2 4 5" xfId="27960" xr:uid="{00000000-0005-0000-0000-000078690000}"/>
    <cellStyle name="Normal 11 2 2 2 2 3 2 5" xfId="27961" xr:uid="{00000000-0005-0000-0000-000079690000}"/>
    <cellStyle name="Normal 11 2 2 2 2 3 2 5 2" xfId="27962" xr:uid="{00000000-0005-0000-0000-00007A690000}"/>
    <cellStyle name="Normal 11 2 2 2 2 3 2 5 2 2" xfId="27963" xr:uid="{00000000-0005-0000-0000-00007B690000}"/>
    <cellStyle name="Normal 11 2 2 2 2 3 2 5 2 2 2" xfId="27964" xr:uid="{00000000-0005-0000-0000-00007C690000}"/>
    <cellStyle name="Normal 11 2 2 2 2 3 2 5 2 3" xfId="27965" xr:uid="{00000000-0005-0000-0000-00007D690000}"/>
    <cellStyle name="Normal 11 2 2 2 2 3 2 5 3" xfId="27966" xr:uid="{00000000-0005-0000-0000-00007E690000}"/>
    <cellStyle name="Normal 11 2 2 2 2 3 2 5 3 2" xfId="27967" xr:uid="{00000000-0005-0000-0000-00007F690000}"/>
    <cellStyle name="Normal 11 2 2 2 2 3 2 5 4" xfId="27968" xr:uid="{00000000-0005-0000-0000-000080690000}"/>
    <cellStyle name="Normal 11 2 2 2 2 3 2 6" xfId="27969" xr:uid="{00000000-0005-0000-0000-000081690000}"/>
    <cellStyle name="Normal 11 2 2 2 2 3 2 6 2" xfId="27970" xr:uid="{00000000-0005-0000-0000-000082690000}"/>
    <cellStyle name="Normal 11 2 2 2 2 3 2 6 2 2" xfId="27971" xr:uid="{00000000-0005-0000-0000-000083690000}"/>
    <cellStyle name="Normal 11 2 2 2 2 3 2 6 2 2 2" xfId="27972" xr:uid="{00000000-0005-0000-0000-000084690000}"/>
    <cellStyle name="Normal 11 2 2 2 2 3 2 6 2 3" xfId="27973" xr:uid="{00000000-0005-0000-0000-000085690000}"/>
    <cellStyle name="Normal 11 2 2 2 2 3 2 6 3" xfId="27974" xr:uid="{00000000-0005-0000-0000-000086690000}"/>
    <cellStyle name="Normal 11 2 2 2 2 3 2 6 3 2" xfId="27975" xr:uid="{00000000-0005-0000-0000-000087690000}"/>
    <cellStyle name="Normal 11 2 2 2 2 3 2 6 4" xfId="27976" xr:uid="{00000000-0005-0000-0000-000088690000}"/>
    <cellStyle name="Normal 11 2 2 2 2 3 2 7" xfId="27977" xr:uid="{00000000-0005-0000-0000-000089690000}"/>
    <cellStyle name="Normal 11 2 2 2 2 3 2 7 2" xfId="27978" xr:uid="{00000000-0005-0000-0000-00008A690000}"/>
    <cellStyle name="Normal 11 2 2 2 2 3 2 7 2 2" xfId="27979" xr:uid="{00000000-0005-0000-0000-00008B690000}"/>
    <cellStyle name="Normal 11 2 2 2 2 3 2 7 2 2 2" xfId="27980" xr:uid="{00000000-0005-0000-0000-00008C690000}"/>
    <cellStyle name="Normal 11 2 2 2 2 3 2 7 2 3" xfId="27981" xr:uid="{00000000-0005-0000-0000-00008D690000}"/>
    <cellStyle name="Normal 11 2 2 2 2 3 2 7 3" xfId="27982" xr:uid="{00000000-0005-0000-0000-00008E690000}"/>
    <cellStyle name="Normal 11 2 2 2 2 3 2 7 3 2" xfId="27983" xr:uid="{00000000-0005-0000-0000-00008F690000}"/>
    <cellStyle name="Normal 11 2 2 2 2 3 2 7 4" xfId="27984" xr:uid="{00000000-0005-0000-0000-000090690000}"/>
    <cellStyle name="Normal 11 2 2 2 2 3 2 8" xfId="27985" xr:uid="{00000000-0005-0000-0000-000091690000}"/>
    <cellStyle name="Normal 11 2 2 2 2 3 2 8 2" xfId="27986" xr:uid="{00000000-0005-0000-0000-000092690000}"/>
    <cellStyle name="Normal 11 2 2 2 2 3 2 8 2 2" xfId="27987" xr:uid="{00000000-0005-0000-0000-000093690000}"/>
    <cellStyle name="Normal 11 2 2 2 2 3 2 8 3" xfId="27988" xr:uid="{00000000-0005-0000-0000-000094690000}"/>
    <cellStyle name="Normal 11 2 2 2 2 3 2 9" xfId="27989" xr:uid="{00000000-0005-0000-0000-000095690000}"/>
    <cellStyle name="Normal 11 2 2 2 2 3 2 9 2" xfId="27990" xr:uid="{00000000-0005-0000-0000-000096690000}"/>
    <cellStyle name="Normal 11 2 2 2 2 3 3" xfId="1386" xr:uid="{00000000-0005-0000-0000-000097690000}"/>
    <cellStyle name="Normal 11 2 2 2 2 3 3 2" xfId="27992" xr:uid="{00000000-0005-0000-0000-000098690000}"/>
    <cellStyle name="Normal 11 2 2 2 2 3 3 2 2" xfId="27993" xr:uid="{00000000-0005-0000-0000-000099690000}"/>
    <cellStyle name="Normal 11 2 2 2 2 3 3 2 2 2" xfId="27994" xr:uid="{00000000-0005-0000-0000-00009A690000}"/>
    <cellStyle name="Normal 11 2 2 2 2 3 3 2 2 2 2" xfId="27995" xr:uid="{00000000-0005-0000-0000-00009B690000}"/>
    <cellStyle name="Normal 11 2 2 2 2 3 3 2 2 3" xfId="27996" xr:uid="{00000000-0005-0000-0000-00009C690000}"/>
    <cellStyle name="Normal 11 2 2 2 2 3 3 2 3" xfId="27997" xr:uid="{00000000-0005-0000-0000-00009D690000}"/>
    <cellStyle name="Normal 11 2 2 2 2 3 3 2 3 2" xfId="27998" xr:uid="{00000000-0005-0000-0000-00009E690000}"/>
    <cellStyle name="Normal 11 2 2 2 2 3 3 2 4" xfId="27999" xr:uid="{00000000-0005-0000-0000-00009F690000}"/>
    <cellStyle name="Normal 11 2 2 2 2 3 3 3" xfId="28000" xr:uid="{00000000-0005-0000-0000-0000A0690000}"/>
    <cellStyle name="Normal 11 2 2 2 2 3 3 3 2" xfId="28001" xr:uid="{00000000-0005-0000-0000-0000A1690000}"/>
    <cellStyle name="Normal 11 2 2 2 2 3 3 3 2 2" xfId="28002" xr:uid="{00000000-0005-0000-0000-0000A2690000}"/>
    <cellStyle name="Normal 11 2 2 2 2 3 3 3 2 2 2" xfId="28003" xr:uid="{00000000-0005-0000-0000-0000A3690000}"/>
    <cellStyle name="Normal 11 2 2 2 2 3 3 3 2 3" xfId="28004" xr:uid="{00000000-0005-0000-0000-0000A4690000}"/>
    <cellStyle name="Normal 11 2 2 2 2 3 3 3 3" xfId="28005" xr:uid="{00000000-0005-0000-0000-0000A5690000}"/>
    <cellStyle name="Normal 11 2 2 2 2 3 3 3 3 2" xfId="28006" xr:uid="{00000000-0005-0000-0000-0000A6690000}"/>
    <cellStyle name="Normal 11 2 2 2 2 3 3 3 4" xfId="28007" xr:uid="{00000000-0005-0000-0000-0000A7690000}"/>
    <cellStyle name="Normal 11 2 2 2 2 3 3 4" xfId="28008" xr:uid="{00000000-0005-0000-0000-0000A8690000}"/>
    <cellStyle name="Normal 11 2 2 2 2 3 3 4 2" xfId="28009" xr:uid="{00000000-0005-0000-0000-0000A9690000}"/>
    <cellStyle name="Normal 11 2 2 2 2 3 3 4 2 2" xfId="28010" xr:uid="{00000000-0005-0000-0000-0000AA690000}"/>
    <cellStyle name="Normal 11 2 2 2 2 3 3 4 3" xfId="28011" xr:uid="{00000000-0005-0000-0000-0000AB690000}"/>
    <cellStyle name="Normal 11 2 2 2 2 3 3 5" xfId="28012" xr:uid="{00000000-0005-0000-0000-0000AC690000}"/>
    <cellStyle name="Normal 11 2 2 2 2 3 3 5 2" xfId="28013" xr:uid="{00000000-0005-0000-0000-0000AD690000}"/>
    <cellStyle name="Normal 11 2 2 2 2 3 3 6" xfId="28014" xr:uid="{00000000-0005-0000-0000-0000AE690000}"/>
    <cellStyle name="Normal 11 2 2 2 2 3 3 7" xfId="27991" xr:uid="{00000000-0005-0000-0000-0000AF690000}"/>
    <cellStyle name="Normal 11 2 2 2 2 3 4" xfId="28015" xr:uid="{00000000-0005-0000-0000-0000B0690000}"/>
    <cellStyle name="Normal 11 2 2 2 2 3 4 2" xfId="28016" xr:uid="{00000000-0005-0000-0000-0000B1690000}"/>
    <cellStyle name="Normal 11 2 2 2 2 3 4 2 2" xfId="28017" xr:uid="{00000000-0005-0000-0000-0000B2690000}"/>
    <cellStyle name="Normal 11 2 2 2 2 3 4 2 2 2" xfId="28018" xr:uid="{00000000-0005-0000-0000-0000B3690000}"/>
    <cellStyle name="Normal 11 2 2 2 2 3 4 2 2 2 2" xfId="28019" xr:uid="{00000000-0005-0000-0000-0000B4690000}"/>
    <cellStyle name="Normal 11 2 2 2 2 3 4 2 2 3" xfId="28020" xr:uid="{00000000-0005-0000-0000-0000B5690000}"/>
    <cellStyle name="Normal 11 2 2 2 2 3 4 2 3" xfId="28021" xr:uid="{00000000-0005-0000-0000-0000B6690000}"/>
    <cellStyle name="Normal 11 2 2 2 2 3 4 2 3 2" xfId="28022" xr:uid="{00000000-0005-0000-0000-0000B7690000}"/>
    <cellStyle name="Normal 11 2 2 2 2 3 4 2 4" xfId="28023" xr:uid="{00000000-0005-0000-0000-0000B8690000}"/>
    <cellStyle name="Normal 11 2 2 2 2 3 4 3" xfId="28024" xr:uid="{00000000-0005-0000-0000-0000B9690000}"/>
    <cellStyle name="Normal 11 2 2 2 2 3 4 3 2" xfId="28025" xr:uid="{00000000-0005-0000-0000-0000BA690000}"/>
    <cellStyle name="Normal 11 2 2 2 2 3 4 3 2 2" xfId="28026" xr:uid="{00000000-0005-0000-0000-0000BB690000}"/>
    <cellStyle name="Normal 11 2 2 2 2 3 4 3 3" xfId="28027" xr:uid="{00000000-0005-0000-0000-0000BC690000}"/>
    <cellStyle name="Normal 11 2 2 2 2 3 4 4" xfId="28028" xr:uid="{00000000-0005-0000-0000-0000BD690000}"/>
    <cellStyle name="Normal 11 2 2 2 2 3 4 4 2" xfId="28029" xr:uid="{00000000-0005-0000-0000-0000BE690000}"/>
    <cellStyle name="Normal 11 2 2 2 2 3 4 5" xfId="28030" xr:uid="{00000000-0005-0000-0000-0000BF690000}"/>
    <cellStyle name="Normal 11 2 2 2 2 3 5" xfId="28031" xr:uid="{00000000-0005-0000-0000-0000C0690000}"/>
    <cellStyle name="Normal 11 2 2 2 2 3 5 2" xfId="28032" xr:uid="{00000000-0005-0000-0000-0000C1690000}"/>
    <cellStyle name="Normal 11 2 2 2 2 3 5 2 2" xfId="28033" xr:uid="{00000000-0005-0000-0000-0000C2690000}"/>
    <cellStyle name="Normal 11 2 2 2 2 3 5 2 2 2" xfId="28034" xr:uid="{00000000-0005-0000-0000-0000C3690000}"/>
    <cellStyle name="Normal 11 2 2 2 2 3 5 2 2 2 2" xfId="28035" xr:uid="{00000000-0005-0000-0000-0000C4690000}"/>
    <cellStyle name="Normal 11 2 2 2 2 3 5 2 2 3" xfId="28036" xr:uid="{00000000-0005-0000-0000-0000C5690000}"/>
    <cellStyle name="Normal 11 2 2 2 2 3 5 2 3" xfId="28037" xr:uid="{00000000-0005-0000-0000-0000C6690000}"/>
    <cellStyle name="Normal 11 2 2 2 2 3 5 2 3 2" xfId="28038" xr:uid="{00000000-0005-0000-0000-0000C7690000}"/>
    <cellStyle name="Normal 11 2 2 2 2 3 5 2 4" xfId="28039" xr:uid="{00000000-0005-0000-0000-0000C8690000}"/>
    <cellStyle name="Normal 11 2 2 2 2 3 5 3" xfId="28040" xr:uid="{00000000-0005-0000-0000-0000C9690000}"/>
    <cellStyle name="Normal 11 2 2 2 2 3 5 3 2" xfId="28041" xr:uid="{00000000-0005-0000-0000-0000CA690000}"/>
    <cellStyle name="Normal 11 2 2 2 2 3 5 3 2 2" xfId="28042" xr:uid="{00000000-0005-0000-0000-0000CB690000}"/>
    <cellStyle name="Normal 11 2 2 2 2 3 5 3 3" xfId="28043" xr:uid="{00000000-0005-0000-0000-0000CC690000}"/>
    <cellStyle name="Normal 11 2 2 2 2 3 5 4" xfId="28044" xr:uid="{00000000-0005-0000-0000-0000CD690000}"/>
    <cellStyle name="Normal 11 2 2 2 2 3 5 4 2" xfId="28045" xr:uid="{00000000-0005-0000-0000-0000CE690000}"/>
    <cellStyle name="Normal 11 2 2 2 2 3 5 5" xfId="28046" xr:uid="{00000000-0005-0000-0000-0000CF690000}"/>
    <cellStyle name="Normal 11 2 2 2 2 3 6" xfId="28047" xr:uid="{00000000-0005-0000-0000-0000D0690000}"/>
    <cellStyle name="Normal 11 2 2 2 2 3 6 2" xfId="28048" xr:uid="{00000000-0005-0000-0000-0000D1690000}"/>
    <cellStyle name="Normal 11 2 2 2 2 3 6 2 2" xfId="28049" xr:uid="{00000000-0005-0000-0000-0000D2690000}"/>
    <cellStyle name="Normal 11 2 2 2 2 3 6 2 2 2" xfId="28050" xr:uid="{00000000-0005-0000-0000-0000D3690000}"/>
    <cellStyle name="Normal 11 2 2 2 2 3 6 2 3" xfId="28051" xr:uid="{00000000-0005-0000-0000-0000D4690000}"/>
    <cellStyle name="Normal 11 2 2 2 2 3 6 3" xfId="28052" xr:uid="{00000000-0005-0000-0000-0000D5690000}"/>
    <cellStyle name="Normal 11 2 2 2 2 3 6 3 2" xfId="28053" xr:uid="{00000000-0005-0000-0000-0000D6690000}"/>
    <cellStyle name="Normal 11 2 2 2 2 3 6 4" xfId="28054" xr:uid="{00000000-0005-0000-0000-0000D7690000}"/>
    <cellStyle name="Normal 11 2 2 2 2 3 7" xfId="28055" xr:uid="{00000000-0005-0000-0000-0000D8690000}"/>
    <cellStyle name="Normal 11 2 2 2 2 3 7 2" xfId="28056" xr:uid="{00000000-0005-0000-0000-0000D9690000}"/>
    <cellStyle name="Normal 11 2 2 2 2 3 7 2 2" xfId="28057" xr:uid="{00000000-0005-0000-0000-0000DA690000}"/>
    <cellStyle name="Normal 11 2 2 2 2 3 7 2 2 2" xfId="28058" xr:uid="{00000000-0005-0000-0000-0000DB690000}"/>
    <cellStyle name="Normal 11 2 2 2 2 3 7 2 3" xfId="28059" xr:uid="{00000000-0005-0000-0000-0000DC690000}"/>
    <cellStyle name="Normal 11 2 2 2 2 3 7 3" xfId="28060" xr:uid="{00000000-0005-0000-0000-0000DD690000}"/>
    <cellStyle name="Normal 11 2 2 2 2 3 7 3 2" xfId="28061" xr:uid="{00000000-0005-0000-0000-0000DE690000}"/>
    <cellStyle name="Normal 11 2 2 2 2 3 7 4" xfId="28062" xr:uid="{00000000-0005-0000-0000-0000DF690000}"/>
    <cellStyle name="Normal 11 2 2 2 2 3 8" xfId="28063" xr:uid="{00000000-0005-0000-0000-0000E0690000}"/>
    <cellStyle name="Normal 11 2 2 2 2 3 8 2" xfId="28064" xr:uid="{00000000-0005-0000-0000-0000E1690000}"/>
    <cellStyle name="Normal 11 2 2 2 2 3 8 2 2" xfId="28065" xr:uid="{00000000-0005-0000-0000-0000E2690000}"/>
    <cellStyle name="Normal 11 2 2 2 2 3 8 2 2 2" xfId="28066" xr:uid="{00000000-0005-0000-0000-0000E3690000}"/>
    <cellStyle name="Normal 11 2 2 2 2 3 8 2 3" xfId="28067" xr:uid="{00000000-0005-0000-0000-0000E4690000}"/>
    <cellStyle name="Normal 11 2 2 2 2 3 8 3" xfId="28068" xr:uid="{00000000-0005-0000-0000-0000E5690000}"/>
    <cellStyle name="Normal 11 2 2 2 2 3 8 3 2" xfId="28069" xr:uid="{00000000-0005-0000-0000-0000E6690000}"/>
    <cellStyle name="Normal 11 2 2 2 2 3 8 4" xfId="28070" xr:uid="{00000000-0005-0000-0000-0000E7690000}"/>
    <cellStyle name="Normal 11 2 2 2 2 3 9" xfId="28071" xr:uid="{00000000-0005-0000-0000-0000E8690000}"/>
    <cellStyle name="Normal 11 2 2 2 2 3 9 2" xfId="28072" xr:uid="{00000000-0005-0000-0000-0000E9690000}"/>
    <cellStyle name="Normal 11 2 2 2 2 3 9 2 2" xfId="28073" xr:uid="{00000000-0005-0000-0000-0000EA690000}"/>
    <cellStyle name="Normal 11 2 2 2 2 3 9 3" xfId="28074" xr:uid="{00000000-0005-0000-0000-0000EB690000}"/>
    <cellStyle name="Normal 11 2 2 2 2 4" xfId="543" xr:uid="{00000000-0005-0000-0000-0000EC690000}"/>
    <cellStyle name="Normal 11 2 2 2 2 4 10" xfId="28076" xr:uid="{00000000-0005-0000-0000-0000ED690000}"/>
    <cellStyle name="Normal 11 2 2 2 2 4 10 2" xfId="28077" xr:uid="{00000000-0005-0000-0000-0000EE690000}"/>
    <cellStyle name="Normal 11 2 2 2 2 4 10 2 2" xfId="28078" xr:uid="{00000000-0005-0000-0000-0000EF690000}"/>
    <cellStyle name="Normal 11 2 2 2 2 4 10 3" xfId="28079" xr:uid="{00000000-0005-0000-0000-0000F0690000}"/>
    <cellStyle name="Normal 11 2 2 2 2 4 11" xfId="28080" xr:uid="{00000000-0005-0000-0000-0000F1690000}"/>
    <cellStyle name="Normal 11 2 2 2 2 4 11 2" xfId="28081" xr:uid="{00000000-0005-0000-0000-0000F2690000}"/>
    <cellStyle name="Normal 11 2 2 2 2 4 11 2 2" xfId="28082" xr:uid="{00000000-0005-0000-0000-0000F3690000}"/>
    <cellStyle name="Normal 11 2 2 2 2 4 11 3" xfId="28083" xr:uid="{00000000-0005-0000-0000-0000F4690000}"/>
    <cellStyle name="Normal 11 2 2 2 2 4 12" xfId="28084" xr:uid="{00000000-0005-0000-0000-0000F5690000}"/>
    <cellStyle name="Normal 11 2 2 2 2 4 12 2" xfId="28085" xr:uid="{00000000-0005-0000-0000-0000F6690000}"/>
    <cellStyle name="Normal 11 2 2 2 2 4 13" xfId="28086" xr:uid="{00000000-0005-0000-0000-0000F7690000}"/>
    <cellStyle name="Normal 11 2 2 2 2 4 14" xfId="28087" xr:uid="{00000000-0005-0000-0000-0000F8690000}"/>
    <cellStyle name="Normal 11 2 2 2 2 4 15" xfId="28075" xr:uid="{00000000-0005-0000-0000-0000F9690000}"/>
    <cellStyle name="Normal 11 2 2 2 2 4 2" xfId="985" xr:uid="{00000000-0005-0000-0000-0000FA690000}"/>
    <cellStyle name="Normal 11 2 2 2 2 4 2 10" xfId="28089" xr:uid="{00000000-0005-0000-0000-0000FB690000}"/>
    <cellStyle name="Normal 11 2 2 2 2 4 2 11" xfId="28088" xr:uid="{00000000-0005-0000-0000-0000FC690000}"/>
    <cellStyle name="Normal 11 2 2 2 2 4 2 2" xfId="1714" xr:uid="{00000000-0005-0000-0000-0000FD690000}"/>
    <cellStyle name="Normal 11 2 2 2 2 4 2 2 2" xfId="28091" xr:uid="{00000000-0005-0000-0000-0000FE690000}"/>
    <cellStyle name="Normal 11 2 2 2 2 4 2 2 2 2" xfId="28092" xr:uid="{00000000-0005-0000-0000-0000FF690000}"/>
    <cellStyle name="Normal 11 2 2 2 2 4 2 2 2 2 2" xfId="28093" xr:uid="{00000000-0005-0000-0000-0000006A0000}"/>
    <cellStyle name="Normal 11 2 2 2 2 4 2 2 2 2 2 2" xfId="28094" xr:uid="{00000000-0005-0000-0000-0000016A0000}"/>
    <cellStyle name="Normal 11 2 2 2 2 4 2 2 2 2 3" xfId="28095" xr:uid="{00000000-0005-0000-0000-0000026A0000}"/>
    <cellStyle name="Normal 11 2 2 2 2 4 2 2 2 3" xfId="28096" xr:uid="{00000000-0005-0000-0000-0000036A0000}"/>
    <cellStyle name="Normal 11 2 2 2 2 4 2 2 2 3 2" xfId="28097" xr:uid="{00000000-0005-0000-0000-0000046A0000}"/>
    <cellStyle name="Normal 11 2 2 2 2 4 2 2 2 4" xfId="28098" xr:uid="{00000000-0005-0000-0000-0000056A0000}"/>
    <cellStyle name="Normal 11 2 2 2 2 4 2 2 3" xfId="28099" xr:uid="{00000000-0005-0000-0000-0000066A0000}"/>
    <cellStyle name="Normal 11 2 2 2 2 4 2 2 3 2" xfId="28100" xr:uid="{00000000-0005-0000-0000-0000076A0000}"/>
    <cellStyle name="Normal 11 2 2 2 2 4 2 2 3 2 2" xfId="28101" xr:uid="{00000000-0005-0000-0000-0000086A0000}"/>
    <cellStyle name="Normal 11 2 2 2 2 4 2 2 3 2 2 2" xfId="28102" xr:uid="{00000000-0005-0000-0000-0000096A0000}"/>
    <cellStyle name="Normal 11 2 2 2 2 4 2 2 3 2 3" xfId="28103" xr:uid="{00000000-0005-0000-0000-00000A6A0000}"/>
    <cellStyle name="Normal 11 2 2 2 2 4 2 2 3 3" xfId="28104" xr:uid="{00000000-0005-0000-0000-00000B6A0000}"/>
    <cellStyle name="Normal 11 2 2 2 2 4 2 2 3 3 2" xfId="28105" xr:uid="{00000000-0005-0000-0000-00000C6A0000}"/>
    <cellStyle name="Normal 11 2 2 2 2 4 2 2 3 4" xfId="28106" xr:uid="{00000000-0005-0000-0000-00000D6A0000}"/>
    <cellStyle name="Normal 11 2 2 2 2 4 2 2 4" xfId="28107" xr:uid="{00000000-0005-0000-0000-00000E6A0000}"/>
    <cellStyle name="Normal 11 2 2 2 2 4 2 2 4 2" xfId="28108" xr:uid="{00000000-0005-0000-0000-00000F6A0000}"/>
    <cellStyle name="Normal 11 2 2 2 2 4 2 2 4 2 2" xfId="28109" xr:uid="{00000000-0005-0000-0000-0000106A0000}"/>
    <cellStyle name="Normal 11 2 2 2 2 4 2 2 4 3" xfId="28110" xr:uid="{00000000-0005-0000-0000-0000116A0000}"/>
    <cellStyle name="Normal 11 2 2 2 2 4 2 2 5" xfId="28111" xr:uid="{00000000-0005-0000-0000-0000126A0000}"/>
    <cellStyle name="Normal 11 2 2 2 2 4 2 2 5 2" xfId="28112" xr:uid="{00000000-0005-0000-0000-0000136A0000}"/>
    <cellStyle name="Normal 11 2 2 2 2 4 2 2 6" xfId="28113" xr:uid="{00000000-0005-0000-0000-0000146A0000}"/>
    <cellStyle name="Normal 11 2 2 2 2 4 2 2 7" xfId="28090" xr:uid="{00000000-0005-0000-0000-0000156A0000}"/>
    <cellStyle name="Normal 11 2 2 2 2 4 2 3" xfId="28114" xr:uid="{00000000-0005-0000-0000-0000166A0000}"/>
    <cellStyle name="Normal 11 2 2 2 2 4 2 3 2" xfId="28115" xr:uid="{00000000-0005-0000-0000-0000176A0000}"/>
    <cellStyle name="Normal 11 2 2 2 2 4 2 3 2 2" xfId="28116" xr:uid="{00000000-0005-0000-0000-0000186A0000}"/>
    <cellStyle name="Normal 11 2 2 2 2 4 2 3 2 2 2" xfId="28117" xr:uid="{00000000-0005-0000-0000-0000196A0000}"/>
    <cellStyle name="Normal 11 2 2 2 2 4 2 3 2 2 2 2" xfId="28118" xr:uid="{00000000-0005-0000-0000-00001A6A0000}"/>
    <cellStyle name="Normal 11 2 2 2 2 4 2 3 2 2 3" xfId="28119" xr:uid="{00000000-0005-0000-0000-00001B6A0000}"/>
    <cellStyle name="Normal 11 2 2 2 2 4 2 3 2 3" xfId="28120" xr:uid="{00000000-0005-0000-0000-00001C6A0000}"/>
    <cellStyle name="Normal 11 2 2 2 2 4 2 3 2 3 2" xfId="28121" xr:uid="{00000000-0005-0000-0000-00001D6A0000}"/>
    <cellStyle name="Normal 11 2 2 2 2 4 2 3 2 4" xfId="28122" xr:uid="{00000000-0005-0000-0000-00001E6A0000}"/>
    <cellStyle name="Normal 11 2 2 2 2 4 2 3 3" xfId="28123" xr:uid="{00000000-0005-0000-0000-00001F6A0000}"/>
    <cellStyle name="Normal 11 2 2 2 2 4 2 3 3 2" xfId="28124" xr:uid="{00000000-0005-0000-0000-0000206A0000}"/>
    <cellStyle name="Normal 11 2 2 2 2 4 2 3 3 2 2" xfId="28125" xr:uid="{00000000-0005-0000-0000-0000216A0000}"/>
    <cellStyle name="Normal 11 2 2 2 2 4 2 3 3 3" xfId="28126" xr:uid="{00000000-0005-0000-0000-0000226A0000}"/>
    <cellStyle name="Normal 11 2 2 2 2 4 2 3 4" xfId="28127" xr:uid="{00000000-0005-0000-0000-0000236A0000}"/>
    <cellStyle name="Normal 11 2 2 2 2 4 2 3 4 2" xfId="28128" xr:uid="{00000000-0005-0000-0000-0000246A0000}"/>
    <cellStyle name="Normal 11 2 2 2 2 4 2 3 5" xfId="28129" xr:uid="{00000000-0005-0000-0000-0000256A0000}"/>
    <cellStyle name="Normal 11 2 2 2 2 4 2 4" xfId="28130" xr:uid="{00000000-0005-0000-0000-0000266A0000}"/>
    <cellStyle name="Normal 11 2 2 2 2 4 2 4 2" xfId="28131" xr:uid="{00000000-0005-0000-0000-0000276A0000}"/>
    <cellStyle name="Normal 11 2 2 2 2 4 2 4 2 2" xfId="28132" xr:uid="{00000000-0005-0000-0000-0000286A0000}"/>
    <cellStyle name="Normal 11 2 2 2 2 4 2 4 2 2 2" xfId="28133" xr:uid="{00000000-0005-0000-0000-0000296A0000}"/>
    <cellStyle name="Normal 11 2 2 2 2 4 2 4 2 2 2 2" xfId="28134" xr:uid="{00000000-0005-0000-0000-00002A6A0000}"/>
    <cellStyle name="Normal 11 2 2 2 2 4 2 4 2 2 3" xfId="28135" xr:uid="{00000000-0005-0000-0000-00002B6A0000}"/>
    <cellStyle name="Normal 11 2 2 2 2 4 2 4 2 3" xfId="28136" xr:uid="{00000000-0005-0000-0000-00002C6A0000}"/>
    <cellStyle name="Normal 11 2 2 2 2 4 2 4 2 3 2" xfId="28137" xr:uid="{00000000-0005-0000-0000-00002D6A0000}"/>
    <cellStyle name="Normal 11 2 2 2 2 4 2 4 2 4" xfId="28138" xr:uid="{00000000-0005-0000-0000-00002E6A0000}"/>
    <cellStyle name="Normal 11 2 2 2 2 4 2 4 3" xfId="28139" xr:uid="{00000000-0005-0000-0000-00002F6A0000}"/>
    <cellStyle name="Normal 11 2 2 2 2 4 2 4 3 2" xfId="28140" xr:uid="{00000000-0005-0000-0000-0000306A0000}"/>
    <cellStyle name="Normal 11 2 2 2 2 4 2 4 3 2 2" xfId="28141" xr:uid="{00000000-0005-0000-0000-0000316A0000}"/>
    <cellStyle name="Normal 11 2 2 2 2 4 2 4 3 3" xfId="28142" xr:uid="{00000000-0005-0000-0000-0000326A0000}"/>
    <cellStyle name="Normal 11 2 2 2 2 4 2 4 4" xfId="28143" xr:uid="{00000000-0005-0000-0000-0000336A0000}"/>
    <cellStyle name="Normal 11 2 2 2 2 4 2 4 4 2" xfId="28144" xr:uid="{00000000-0005-0000-0000-0000346A0000}"/>
    <cellStyle name="Normal 11 2 2 2 2 4 2 4 5" xfId="28145" xr:uid="{00000000-0005-0000-0000-0000356A0000}"/>
    <cellStyle name="Normal 11 2 2 2 2 4 2 5" xfId="28146" xr:uid="{00000000-0005-0000-0000-0000366A0000}"/>
    <cellStyle name="Normal 11 2 2 2 2 4 2 5 2" xfId="28147" xr:uid="{00000000-0005-0000-0000-0000376A0000}"/>
    <cellStyle name="Normal 11 2 2 2 2 4 2 5 2 2" xfId="28148" xr:uid="{00000000-0005-0000-0000-0000386A0000}"/>
    <cellStyle name="Normal 11 2 2 2 2 4 2 5 2 2 2" xfId="28149" xr:uid="{00000000-0005-0000-0000-0000396A0000}"/>
    <cellStyle name="Normal 11 2 2 2 2 4 2 5 2 3" xfId="28150" xr:uid="{00000000-0005-0000-0000-00003A6A0000}"/>
    <cellStyle name="Normal 11 2 2 2 2 4 2 5 3" xfId="28151" xr:uid="{00000000-0005-0000-0000-00003B6A0000}"/>
    <cellStyle name="Normal 11 2 2 2 2 4 2 5 3 2" xfId="28152" xr:uid="{00000000-0005-0000-0000-00003C6A0000}"/>
    <cellStyle name="Normal 11 2 2 2 2 4 2 5 4" xfId="28153" xr:uid="{00000000-0005-0000-0000-00003D6A0000}"/>
    <cellStyle name="Normal 11 2 2 2 2 4 2 6" xfId="28154" xr:uid="{00000000-0005-0000-0000-00003E6A0000}"/>
    <cellStyle name="Normal 11 2 2 2 2 4 2 6 2" xfId="28155" xr:uid="{00000000-0005-0000-0000-00003F6A0000}"/>
    <cellStyle name="Normal 11 2 2 2 2 4 2 6 2 2" xfId="28156" xr:uid="{00000000-0005-0000-0000-0000406A0000}"/>
    <cellStyle name="Normal 11 2 2 2 2 4 2 6 2 2 2" xfId="28157" xr:uid="{00000000-0005-0000-0000-0000416A0000}"/>
    <cellStyle name="Normal 11 2 2 2 2 4 2 6 2 3" xfId="28158" xr:uid="{00000000-0005-0000-0000-0000426A0000}"/>
    <cellStyle name="Normal 11 2 2 2 2 4 2 6 3" xfId="28159" xr:uid="{00000000-0005-0000-0000-0000436A0000}"/>
    <cellStyle name="Normal 11 2 2 2 2 4 2 6 3 2" xfId="28160" xr:uid="{00000000-0005-0000-0000-0000446A0000}"/>
    <cellStyle name="Normal 11 2 2 2 2 4 2 6 4" xfId="28161" xr:uid="{00000000-0005-0000-0000-0000456A0000}"/>
    <cellStyle name="Normal 11 2 2 2 2 4 2 7" xfId="28162" xr:uid="{00000000-0005-0000-0000-0000466A0000}"/>
    <cellStyle name="Normal 11 2 2 2 2 4 2 7 2" xfId="28163" xr:uid="{00000000-0005-0000-0000-0000476A0000}"/>
    <cellStyle name="Normal 11 2 2 2 2 4 2 7 2 2" xfId="28164" xr:uid="{00000000-0005-0000-0000-0000486A0000}"/>
    <cellStyle name="Normal 11 2 2 2 2 4 2 7 2 2 2" xfId="28165" xr:uid="{00000000-0005-0000-0000-0000496A0000}"/>
    <cellStyle name="Normal 11 2 2 2 2 4 2 7 2 3" xfId="28166" xr:uid="{00000000-0005-0000-0000-00004A6A0000}"/>
    <cellStyle name="Normal 11 2 2 2 2 4 2 7 3" xfId="28167" xr:uid="{00000000-0005-0000-0000-00004B6A0000}"/>
    <cellStyle name="Normal 11 2 2 2 2 4 2 7 3 2" xfId="28168" xr:uid="{00000000-0005-0000-0000-00004C6A0000}"/>
    <cellStyle name="Normal 11 2 2 2 2 4 2 7 4" xfId="28169" xr:uid="{00000000-0005-0000-0000-00004D6A0000}"/>
    <cellStyle name="Normal 11 2 2 2 2 4 2 8" xfId="28170" xr:uid="{00000000-0005-0000-0000-00004E6A0000}"/>
    <cellStyle name="Normal 11 2 2 2 2 4 2 8 2" xfId="28171" xr:uid="{00000000-0005-0000-0000-00004F6A0000}"/>
    <cellStyle name="Normal 11 2 2 2 2 4 2 8 2 2" xfId="28172" xr:uid="{00000000-0005-0000-0000-0000506A0000}"/>
    <cellStyle name="Normal 11 2 2 2 2 4 2 8 3" xfId="28173" xr:uid="{00000000-0005-0000-0000-0000516A0000}"/>
    <cellStyle name="Normal 11 2 2 2 2 4 2 9" xfId="28174" xr:uid="{00000000-0005-0000-0000-0000526A0000}"/>
    <cellStyle name="Normal 11 2 2 2 2 4 2 9 2" xfId="28175" xr:uid="{00000000-0005-0000-0000-0000536A0000}"/>
    <cellStyle name="Normal 11 2 2 2 2 4 3" xfId="1387" xr:uid="{00000000-0005-0000-0000-0000546A0000}"/>
    <cellStyle name="Normal 11 2 2 2 2 4 3 2" xfId="28177" xr:uid="{00000000-0005-0000-0000-0000556A0000}"/>
    <cellStyle name="Normal 11 2 2 2 2 4 3 2 2" xfId="28178" xr:uid="{00000000-0005-0000-0000-0000566A0000}"/>
    <cellStyle name="Normal 11 2 2 2 2 4 3 2 2 2" xfId="28179" xr:uid="{00000000-0005-0000-0000-0000576A0000}"/>
    <cellStyle name="Normal 11 2 2 2 2 4 3 2 2 2 2" xfId="28180" xr:uid="{00000000-0005-0000-0000-0000586A0000}"/>
    <cellStyle name="Normal 11 2 2 2 2 4 3 2 2 3" xfId="28181" xr:uid="{00000000-0005-0000-0000-0000596A0000}"/>
    <cellStyle name="Normal 11 2 2 2 2 4 3 2 3" xfId="28182" xr:uid="{00000000-0005-0000-0000-00005A6A0000}"/>
    <cellStyle name="Normal 11 2 2 2 2 4 3 2 3 2" xfId="28183" xr:uid="{00000000-0005-0000-0000-00005B6A0000}"/>
    <cellStyle name="Normal 11 2 2 2 2 4 3 2 4" xfId="28184" xr:uid="{00000000-0005-0000-0000-00005C6A0000}"/>
    <cellStyle name="Normal 11 2 2 2 2 4 3 3" xfId="28185" xr:uid="{00000000-0005-0000-0000-00005D6A0000}"/>
    <cellStyle name="Normal 11 2 2 2 2 4 3 3 2" xfId="28186" xr:uid="{00000000-0005-0000-0000-00005E6A0000}"/>
    <cellStyle name="Normal 11 2 2 2 2 4 3 3 2 2" xfId="28187" xr:uid="{00000000-0005-0000-0000-00005F6A0000}"/>
    <cellStyle name="Normal 11 2 2 2 2 4 3 3 2 2 2" xfId="28188" xr:uid="{00000000-0005-0000-0000-0000606A0000}"/>
    <cellStyle name="Normal 11 2 2 2 2 4 3 3 2 3" xfId="28189" xr:uid="{00000000-0005-0000-0000-0000616A0000}"/>
    <cellStyle name="Normal 11 2 2 2 2 4 3 3 3" xfId="28190" xr:uid="{00000000-0005-0000-0000-0000626A0000}"/>
    <cellStyle name="Normal 11 2 2 2 2 4 3 3 3 2" xfId="28191" xr:uid="{00000000-0005-0000-0000-0000636A0000}"/>
    <cellStyle name="Normal 11 2 2 2 2 4 3 3 4" xfId="28192" xr:uid="{00000000-0005-0000-0000-0000646A0000}"/>
    <cellStyle name="Normal 11 2 2 2 2 4 3 4" xfId="28193" xr:uid="{00000000-0005-0000-0000-0000656A0000}"/>
    <cellStyle name="Normal 11 2 2 2 2 4 3 4 2" xfId="28194" xr:uid="{00000000-0005-0000-0000-0000666A0000}"/>
    <cellStyle name="Normal 11 2 2 2 2 4 3 4 2 2" xfId="28195" xr:uid="{00000000-0005-0000-0000-0000676A0000}"/>
    <cellStyle name="Normal 11 2 2 2 2 4 3 4 3" xfId="28196" xr:uid="{00000000-0005-0000-0000-0000686A0000}"/>
    <cellStyle name="Normal 11 2 2 2 2 4 3 5" xfId="28197" xr:uid="{00000000-0005-0000-0000-0000696A0000}"/>
    <cellStyle name="Normal 11 2 2 2 2 4 3 5 2" xfId="28198" xr:uid="{00000000-0005-0000-0000-00006A6A0000}"/>
    <cellStyle name="Normal 11 2 2 2 2 4 3 6" xfId="28199" xr:uid="{00000000-0005-0000-0000-00006B6A0000}"/>
    <cellStyle name="Normal 11 2 2 2 2 4 3 7" xfId="28176" xr:uid="{00000000-0005-0000-0000-00006C6A0000}"/>
    <cellStyle name="Normal 11 2 2 2 2 4 4" xfId="28200" xr:uid="{00000000-0005-0000-0000-00006D6A0000}"/>
    <cellStyle name="Normal 11 2 2 2 2 4 4 2" xfId="28201" xr:uid="{00000000-0005-0000-0000-00006E6A0000}"/>
    <cellStyle name="Normal 11 2 2 2 2 4 4 2 2" xfId="28202" xr:uid="{00000000-0005-0000-0000-00006F6A0000}"/>
    <cellStyle name="Normal 11 2 2 2 2 4 4 2 2 2" xfId="28203" xr:uid="{00000000-0005-0000-0000-0000706A0000}"/>
    <cellStyle name="Normal 11 2 2 2 2 4 4 2 2 2 2" xfId="28204" xr:uid="{00000000-0005-0000-0000-0000716A0000}"/>
    <cellStyle name="Normal 11 2 2 2 2 4 4 2 2 3" xfId="28205" xr:uid="{00000000-0005-0000-0000-0000726A0000}"/>
    <cellStyle name="Normal 11 2 2 2 2 4 4 2 3" xfId="28206" xr:uid="{00000000-0005-0000-0000-0000736A0000}"/>
    <cellStyle name="Normal 11 2 2 2 2 4 4 2 3 2" xfId="28207" xr:uid="{00000000-0005-0000-0000-0000746A0000}"/>
    <cellStyle name="Normal 11 2 2 2 2 4 4 2 4" xfId="28208" xr:uid="{00000000-0005-0000-0000-0000756A0000}"/>
    <cellStyle name="Normal 11 2 2 2 2 4 4 3" xfId="28209" xr:uid="{00000000-0005-0000-0000-0000766A0000}"/>
    <cellStyle name="Normal 11 2 2 2 2 4 4 3 2" xfId="28210" xr:uid="{00000000-0005-0000-0000-0000776A0000}"/>
    <cellStyle name="Normal 11 2 2 2 2 4 4 3 2 2" xfId="28211" xr:uid="{00000000-0005-0000-0000-0000786A0000}"/>
    <cellStyle name="Normal 11 2 2 2 2 4 4 3 3" xfId="28212" xr:uid="{00000000-0005-0000-0000-0000796A0000}"/>
    <cellStyle name="Normal 11 2 2 2 2 4 4 4" xfId="28213" xr:uid="{00000000-0005-0000-0000-00007A6A0000}"/>
    <cellStyle name="Normal 11 2 2 2 2 4 4 4 2" xfId="28214" xr:uid="{00000000-0005-0000-0000-00007B6A0000}"/>
    <cellStyle name="Normal 11 2 2 2 2 4 4 5" xfId="28215" xr:uid="{00000000-0005-0000-0000-00007C6A0000}"/>
    <cellStyle name="Normal 11 2 2 2 2 4 5" xfId="28216" xr:uid="{00000000-0005-0000-0000-00007D6A0000}"/>
    <cellStyle name="Normal 11 2 2 2 2 4 5 2" xfId="28217" xr:uid="{00000000-0005-0000-0000-00007E6A0000}"/>
    <cellStyle name="Normal 11 2 2 2 2 4 5 2 2" xfId="28218" xr:uid="{00000000-0005-0000-0000-00007F6A0000}"/>
    <cellStyle name="Normal 11 2 2 2 2 4 5 2 2 2" xfId="28219" xr:uid="{00000000-0005-0000-0000-0000806A0000}"/>
    <cellStyle name="Normal 11 2 2 2 2 4 5 2 2 2 2" xfId="28220" xr:uid="{00000000-0005-0000-0000-0000816A0000}"/>
    <cellStyle name="Normal 11 2 2 2 2 4 5 2 2 3" xfId="28221" xr:uid="{00000000-0005-0000-0000-0000826A0000}"/>
    <cellStyle name="Normal 11 2 2 2 2 4 5 2 3" xfId="28222" xr:uid="{00000000-0005-0000-0000-0000836A0000}"/>
    <cellStyle name="Normal 11 2 2 2 2 4 5 2 3 2" xfId="28223" xr:uid="{00000000-0005-0000-0000-0000846A0000}"/>
    <cellStyle name="Normal 11 2 2 2 2 4 5 2 4" xfId="28224" xr:uid="{00000000-0005-0000-0000-0000856A0000}"/>
    <cellStyle name="Normal 11 2 2 2 2 4 5 3" xfId="28225" xr:uid="{00000000-0005-0000-0000-0000866A0000}"/>
    <cellStyle name="Normal 11 2 2 2 2 4 5 3 2" xfId="28226" xr:uid="{00000000-0005-0000-0000-0000876A0000}"/>
    <cellStyle name="Normal 11 2 2 2 2 4 5 3 2 2" xfId="28227" xr:uid="{00000000-0005-0000-0000-0000886A0000}"/>
    <cellStyle name="Normal 11 2 2 2 2 4 5 3 3" xfId="28228" xr:uid="{00000000-0005-0000-0000-0000896A0000}"/>
    <cellStyle name="Normal 11 2 2 2 2 4 5 4" xfId="28229" xr:uid="{00000000-0005-0000-0000-00008A6A0000}"/>
    <cellStyle name="Normal 11 2 2 2 2 4 5 4 2" xfId="28230" xr:uid="{00000000-0005-0000-0000-00008B6A0000}"/>
    <cellStyle name="Normal 11 2 2 2 2 4 5 5" xfId="28231" xr:uid="{00000000-0005-0000-0000-00008C6A0000}"/>
    <cellStyle name="Normal 11 2 2 2 2 4 6" xfId="28232" xr:uid="{00000000-0005-0000-0000-00008D6A0000}"/>
    <cellStyle name="Normal 11 2 2 2 2 4 6 2" xfId="28233" xr:uid="{00000000-0005-0000-0000-00008E6A0000}"/>
    <cellStyle name="Normal 11 2 2 2 2 4 6 2 2" xfId="28234" xr:uid="{00000000-0005-0000-0000-00008F6A0000}"/>
    <cellStyle name="Normal 11 2 2 2 2 4 6 2 2 2" xfId="28235" xr:uid="{00000000-0005-0000-0000-0000906A0000}"/>
    <cellStyle name="Normal 11 2 2 2 2 4 6 2 3" xfId="28236" xr:uid="{00000000-0005-0000-0000-0000916A0000}"/>
    <cellStyle name="Normal 11 2 2 2 2 4 6 3" xfId="28237" xr:uid="{00000000-0005-0000-0000-0000926A0000}"/>
    <cellStyle name="Normal 11 2 2 2 2 4 6 3 2" xfId="28238" xr:uid="{00000000-0005-0000-0000-0000936A0000}"/>
    <cellStyle name="Normal 11 2 2 2 2 4 6 4" xfId="28239" xr:uid="{00000000-0005-0000-0000-0000946A0000}"/>
    <cellStyle name="Normal 11 2 2 2 2 4 7" xfId="28240" xr:uid="{00000000-0005-0000-0000-0000956A0000}"/>
    <cellStyle name="Normal 11 2 2 2 2 4 7 2" xfId="28241" xr:uid="{00000000-0005-0000-0000-0000966A0000}"/>
    <cellStyle name="Normal 11 2 2 2 2 4 7 2 2" xfId="28242" xr:uid="{00000000-0005-0000-0000-0000976A0000}"/>
    <cellStyle name="Normal 11 2 2 2 2 4 7 2 2 2" xfId="28243" xr:uid="{00000000-0005-0000-0000-0000986A0000}"/>
    <cellStyle name="Normal 11 2 2 2 2 4 7 2 3" xfId="28244" xr:uid="{00000000-0005-0000-0000-0000996A0000}"/>
    <cellStyle name="Normal 11 2 2 2 2 4 7 3" xfId="28245" xr:uid="{00000000-0005-0000-0000-00009A6A0000}"/>
    <cellStyle name="Normal 11 2 2 2 2 4 7 3 2" xfId="28246" xr:uid="{00000000-0005-0000-0000-00009B6A0000}"/>
    <cellStyle name="Normal 11 2 2 2 2 4 7 4" xfId="28247" xr:uid="{00000000-0005-0000-0000-00009C6A0000}"/>
    <cellStyle name="Normal 11 2 2 2 2 4 8" xfId="28248" xr:uid="{00000000-0005-0000-0000-00009D6A0000}"/>
    <cellStyle name="Normal 11 2 2 2 2 4 8 2" xfId="28249" xr:uid="{00000000-0005-0000-0000-00009E6A0000}"/>
    <cellStyle name="Normal 11 2 2 2 2 4 8 2 2" xfId="28250" xr:uid="{00000000-0005-0000-0000-00009F6A0000}"/>
    <cellStyle name="Normal 11 2 2 2 2 4 8 2 2 2" xfId="28251" xr:uid="{00000000-0005-0000-0000-0000A06A0000}"/>
    <cellStyle name="Normal 11 2 2 2 2 4 8 2 3" xfId="28252" xr:uid="{00000000-0005-0000-0000-0000A16A0000}"/>
    <cellStyle name="Normal 11 2 2 2 2 4 8 3" xfId="28253" xr:uid="{00000000-0005-0000-0000-0000A26A0000}"/>
    <cellStyle name="Normal 11 2 2 2 2 4 8 3 2" xfId="28254" xr:uid="{00000000-0005-0000-0000-0000A36A0000}"/>
    <cellStyle name="Normal 11 2 2 2 2 4 8 4" xfId="28255" xr:uid="{00000000-0005-0000-0000-0000A46A0000}"/>
    <cellStyle name="Normal 11 2 2 2 2 4 9" xfId="28256" xr:uid="{00000000-0005-0000-0000-0000A56A0000}"/>
    <cellStyle name="Normal 11 2 2 2 2 4 9 2" xfId="28257" xr:uid="{00000000-0005-0000-0000-0000A66A0000}"/>
    <cellStyle name="Normal 11 2 2 2 2 4 9 2 2" xfId="28258" xr:uid="{00000000-0005-0000-0000-0000A76A0000}"/>
    <cellStyle name="Normal 11 2 2 2 2 4 9 3" xfId="28259" xr:uid="{00000000-0005-0000-0000-0000A86A0000}"/>
    <cellStyle name="Normal 11 2 2 2 2 5" xfId="980" xr:uid="{00000000-0005-0000-0000-0000A96A0000}"/>
    <cellStyle name="Normal 11 2 2 2 2 5 10" xfId="28261" xr:uid="{00000000-0005-0000-0000-0000AA6A0000}"/>
    <cellStyle name="Normal 11 2 2 2 2 5 11" xfId="28260" xr:uid="{00000000-0005-0000-0000-0000AB6A0000}"/>
    <cellStyle name="Normal 11 2 2 2 2 5 2" xfId="1709" xr:uid="{00000000-0005-0000-0000-0000AC6A0000}"/>
    <cellStyle name="Normal 11 2 2 2 2 5 2 2" xfId="28263" xr:uid="{00000000-0005-0000-0000-0000AD6A0000}"/>
    <cellStyle name="Normal 11 2 2 2 2 5 2 2 2" xfId="28264" xr:uid="{00000000-0005-0000-0000-0000AE6A0000}"/>
    <cellStyle name="Normal 11 2 2 2 2 5 2 2 2 2" xfId="28265" xr:uid="{00000000-0005-0000-0000-0000AF6A0000}"/>
    <cellStyle name="Normal 11 2 2 2 2 5 2 2 2 2 2" xfId="28266" xr:uid="{00000000-0005-0000-0000-0000B06A0000}"/>
    <cellStyle name="Normal 11 2 2 2 2 5 2 2 2 3" xfId="28267" xr:uid="{00000000-0005-0000-0000-0000B16A0000}"/>
    <cellStyle name="Normal 11 2 2 2 2 5 2 2 3" xfId="28268" xr:uid="{00000000-0005-0000-0000-0000B26A0000}"/>
    <cellStyle name="Normal 11 2 2 2 2 5 2 2 3 2" xfId="28269" xr:uid="{00000000-0005-0000-0000-0000B36A0000}"/>
    <cellStyle name="Normal 11 2 2 2 2 5 2 2 4" xfId="28270" xr:uid="{00000000-0005-0000-0000-0000B46A0000}"/>
    <cellStyle name="Normal 11 2 2 2 2 5 2 3" xfId="28271" xr:uid="{00000000-0005-0000-0000-0000B56A0000}"/>
    <cellStyle name="Normal 11 2 2 2 2 5 2 3 2" xfId="28272" xr:uid="{00000000-0005-0000-0000-0000B66A0000}"/>
    <cellStyle name="Normal 11 2 2 2 2 5 2 3 2 2" xfId="28273" xr:uid="{00000000-0005-0000-0000-0000B76A0000}"/>
    <cellStyle name="Normal 11 2 2 2 2 5 2 3 2 2 2" xfId="28274" xr:uid="{00000000-0005-0000-0000-0000B86A0000}"/>
    <cellStyle name="Normal 11 2 2 2 2 5 2 3 2 3" xfId="28275" xr:uid="{00000000-0005-0000-0000-0000B96A0000}"/>
    <cellStyle name="Normal 11 2 2 2 2 5 2 3 3" xfId="28276" xr:uid="{00000000-0005-0000-0000-0000BA6A0000}"/>
    <cellStyle name="Normal 11 2 2 2 2 5 2 3 3 2" xfId="28277" xr:uid="{00000000-0005-0000-0000-0000BB6A0000}"/>
    <cellStyle name="Normal 11 2 2 2 2 5 2 3 4" xfId="28278" xr:uid="{00000000-0005-0000-0000-0000BC6A0000}"/>
    <cellStyle name="Normal 11 2 2 2 2 5 2 4" xfId="28279" xr:uid="{00000000-0005-0000-0000-0000BD6A0000}"/>
    <cellStyle name="Normal 11 2 2 2 2 5 2 4 2" xfId="28280" xr:uid="{00000000-0005-0000-0000-0000BE6A0000}"/>
    <cellStyle name="Normal 11 2 2 2 2 5 2 4 2 2" xfId="28281" xr:uid="{00000000-0005-0000-0000-0000BF6A0000}"/>
    <cellStyle name="Normal 11 2 2 2 2 5 2 4 3" xfId="28282" xr:uid="{00000000-0005-0000-0000-0000C06A0000}"/>
    <cellStyle name="Normal 11 2 2 2 2 5 2 5" xfId="28283" xr:uid="{00000000-0005-0000-0000-0000C16A0000}"/>
    <cellStyle name="Normal 11 2 2 2 2 5 2 5 2" xfId="28284" xr:uid="{00000000-0005-0000-0000-0000C26A0000}"/>
    <cellStyle name="Normal 11 2 2 2 2 5 2 6" xfId="28285" xr:uid="{00000000-0005-0000-0000-0000C36A0000}"/>
    <cellStyle name="Normal 11 2 2 2 2 5 2 7" xfId="28262" xr:uid="{00000000-0005-0000-0000-0000C46A0000}"/>
    <cellStyle name="Normal 11 2 2 2 2 5 3" xfId="28286" xr:uid="{00000000-0005-0000-0000-0000C56A0000}"/>
    <cellStyle name="Normal 11 2 2 2 2 5 3 2" xfId="28287" xr:uid="{00000000-0005-0000-0000-0000C66A0000}"/>
    <cellStyle name="Normal 11 2 2 2 2 5 3 2 2" xfId="28288" xr:uid="{00000000-0005-0000-0000-0000C76A0000}"/>
    <cellStyle name="Normal 11 2 2 2 2 5 3 2 2 2" xfId="28289" xr:uid="{00000000-0005-0000-0000-0000C86A0000}"/>
    <cellStyle name="Normal 11 2 2 2 2 5 3 2 2 2 2" xfId="28290" xr:uid="{00000000-0005-0000-0000-0000C96A0000}"/>
    <cellStyle name="Normal 11 2 2 2 2 5 3 2 2 3" xfId="28291" xr:uid="{00000000-0005-0000-0000-0000CA6A0000}"/>
    <cellStyle name="Normal 11 2 2 2 2 5 3 2 3" xfId="28292" xr:uid="{00000000-0005-0000-0000-0000CB6A0000}"/>
    <cellStyle name="Normal 11 2 2 2 2 5 3 2 3 2" xfId="28293" xr:uid="{00000000-0005-0000-0000-0000CC6A0000}"/>
    <cellStyle name="Normal 11 2 2 2 2 5 3 2 4" xfId="28294" xr:uid="{00000000-0005-0000-0000-0000CD6A0000}"/>
    <cellStyle name="Normal 11 2 2 2 2 5 3 3" xfId="28295" xr:uid="{00000000-0005-0000-0000-0000CE6A0000}"/>
    <cellStyle name="Normal 11 2 2 2 2 5 3 3 2" xfId="28296" xr:uid="{00000000-0005-0000-0000-0000CF6A0000}"/>
    <cellStyle name="Normal 11 2 2 2 2 5 3 3 2 2" xfId="28297" xr:uid="{00000000-0005-0000-0000-0000D06A0000}"/>
    <cellStyle name="Normal 11 2 2 2 2 5 3 3 3" xfId="28298" xr:uid="{00000000-0005-0000-0000-0000D16A0000}"/>
    <cellStyle name="Normal 11 2 2 2 2 5 3 4" xfId="28299" xr:uid="{00000000-0005-0000-0000-0000D26A0000}"/>
    <cellStyle name="Normal 11 2 2 2 2 5 3 4 2" xfId="28300" xr:uid="{00000000-0005-0000-0000-0000D36A0000}"/>
    <cellStyle name="Normal 11 2 2 2 2 5 3 5" xfId="28301" xr:uid="{00000000-0005-0000-0000-0000D46A0000}"/>
    <cellStyle name="Normal 11 2 2 2 2 5 4" xfId="28302" xr:uid="{00000000-0005-0000-0000-0000D56A0000}"/>
    <cellStyle name="Normal 11 2 2 2 2 5 4 2" xfId="28303" xr:uid="{00000000-0005-0000-0000-0000D66A0000}"/>
    <cellStyle name="Normal 11 2 2 2 2 5 4 2 2" xfId="28304" xr:uid="{00000000-0005-0000-0000-0000D76A0000}"/>
    <cellStyle name="Normal 11 2 2 2 2 5 4 2 2 2" xfId="28305" xr:uid="{00000000-0005-0000-0000-0000D86A0000}"/>
    <cellStyle name="Normal 11 2 2 2 2 5 4 2 2 2 2" xfId="28306" xr:uid="{00000000-0005-0000-0000-0000D96A0000}"/>
    <cellStyle name="Normal 11 2 2 2 2 5 4 2 2 3" xfId="28307" xr:uid="{00000000-0005-0000-0000-0000DA6A0000}"/>
    <cellStyle name="Normal 11 2 2 2 2 5 4 2 3" xfId="28308" xr:uid="{00000000-0005-0000-0000-0000DB6A0000}"/>
    <cellStyle name="Normal 11 2 2 2 2 5 4 2 3 2" xfId="28309" xr:uid="{00000000-0005-0000-0000-0000DC6A0000}"/>
    <cellStyle name="Normal 11 2 2 2 2 5 4 2 4" xfId="28310" xr:uid="{00000000-0005-0000-0000-0000DD6A0000}"/>
    <cellStyle name="Normal 11 2 2 2 2 5 4 3" xfId="28311" xr:uid="{00000000-0005-0000-0000-0000DE6A0000}"/>
    <cellStyle name="Normal 11 2 2 2 2 5 4 3 2" xfId="28312" xr:uid="{00000000-0005-0000-0000-0000DF6A0000}"/>
    <cellStyle name="Normal 11 2 2 2 2 5 4 3 2 2" xfId="28313" xr:uid="{00000000-0005-0000-0000-0000E06A0000}"/>
    <cellStyle name="Normal 11 2 2 2 2 5 4 3 3" xfId="28314" xr:uid="{00000000-0005-0000-0000-0000E16A0000}"/>
    <cellStyle name="Normal 11 2 2 2 2 5 4 4" xfId="28315" xr:uid="{00000000-0005-0000-0000-0000E26A0000}"/>
    <cellStyle name="Normal 11 2 2 2 2 5 4 4 2" xfId="28316" xr:uid="{00000000-0005-0000-0000-0000E36A0000}"/>
    <cellStyle name="Normal 11 2 2 2 2 5 4 5" xfId="28317" xr:uid="{00000000-0005-0000-0000-0000E46A0000}"/>
    <cellStyle name="Normal 11 2 2 2 2 5 5" xfId="28318" xr:uid="{00000000-0005-0000-0000-0000E56A0000}"/>
    <cellStyle name="Normal 11 2 2 2 2 5 5 2" xfId="28319" xr:uid="{00000000-0005-0000-0000-0000E66A0000}"/>
    <cellStyle name="Normal 11 2 2 2 2 5 5 2 2" xfId="28320" xr:uid="{00000000-0005-0000-0000-0000E76A0000}"/>
    <cellStyle name="Normal 11 2 2 2 2 5 5 2 2 2" xfId="28321" xr:uid="{00000000-0005-0000-0000-0000E86A0000}"/>
    <cellStyle name="Normal 11 2 2 2 2 5 5 2 3" xfId="28322" xr:uid="{00000000-0005-0000-0000-0000E96A0000}"/>
    <cellStyle name="Normal 11 2 2 2 2 5 5 3" xfId="28323" xr:uid="{00000000-0005-0000-0000-0000EA6A0000}"/>
    <cellStyle name="Normal 11 2 2 2 2 5 5 3 2" xfId="28324" xr:uid="{00000000-0005-0000-0000-0000EB6A0000}"/>
    <cellStyle name="Normal 11 2 2 2 2 5 5 4" xfId="28325" xr:uid="{00000000-0005-0000-0000-0000EC6A0000}"/>
    <cellStyle name="Normal 11 2 2 2 2 5 6" xfId="28326" xr:uid="{00000000-0005-0000-0000-0000ED6A0000}"/>
    <cellStyle name="Normal 11 2 2 2 2 5 6 2" xfId="28327" xr:uid="{00000000-0005-0000-0000-0000EE6A0000}"/>
    <cellStyle name="Normal 11 2 2 2 2 5 6 2 2" xfId="28328" xr:uid="{00000000-0005-0000-0000-0000EF6A0000}"/>
    <cellStyle name="Normal 11 2 2 2 2 5 6 2 2 2" xfId="28329" xr:uid="{00000000-0005-0000-0000-0000F06A0000}"/>
    <cellStyle name="Normal 11 2 2 2 2 5 6 2 3" xfId="28330" xr:uid="{00000000-0005-0000-0000-0000F16A0000}"/>
    <cellStyle name="Normal 11 2 2 2 2 5 6 3" xfId="28331" xr:uid="{00000000-0005-0000-0000-0000F26A0000}"/>
    <cellStyle name="Normal 11 2 2 2 2 5 6 3 2" xfId="28332" xr:uid="{00000000-0005-0000-0000-0000F36A0000}"/>
    <cellStyle name="Normal 11 2 2 2 2 5 6 4" xfId="28333" xr:uid="{00000000-0005-0000-0000-0000F46A0000}"/>
    <cellStyle name="Normal 11 2 2 2 2 5 7" xfId="28334" xr:uid="{00000000-0005-0000-0000-0000F56A0000}"/>
    <cellStyle name="Normal 11 2 2 2 2 5 7 2" xfId="28335" xr:uid="{00000000-0005-0000-0000-0000F66A0000}"/>
    <cellStyle name="Normal 11 2 2 2 2 5 7 2 2" xfId="28336" xr:uid="{00000000-0005-0000-0000-0000F76A0000}"/>
    <cellStyle name="Normal 11 2 2 2 2 5 7 2 2 2" xfId="28337" xr:uid="{00000000-0005-0000-0000-0000F86A0000}"/>
    <cellStyle name="Normal 11 2 2 2 2 5 7 2 3" xfId="28338" xr:uid="{00000000-0005-0000-0000-0000F96A0000}"/>
    <cellStyle name="Normal 11 2 2 2 2 5 7 3" xfId="28339" xr:uid="{00000000-0005-0000-0000-0000FA6A0000}"/>
    <cellStyle name="Normal 11 2 2 2 2 5 7 3 2" xfId="28340" xr:uid="{00000000-0005-0000-0000-0000FB6A0000}"/>
    <cellStyle name="Normal 11 2 2 2 2 5 7 4" xfId="28341" xr:uid="{00000000-0005-0000-0000-0000FC6A0000}"/>
    <cellStyle name="Normal 11 2 2 2 2 5 8" xfId="28342" xr:uid="{00000000-0005-0000-0000-0000FD6A0000}"/>
    <cellStyle name="Normal 11 2 2 2 2 5 8 2" xfId="28343" xr:uid="{00000000-0005-0000-0000-0000FE6A0000}"/>
    <cellStyle name="Normal 11 2 2 2 2 5 8 2 2" xfId="28344" xr:uid="{00000000-0005-0000-0000-0000FF6A0000}"/>
    <cellStyle name="Normal 11 2 2 2 2 5 8 3" xfId="28345" xr:uid="{00000000-0005-0000-0000-0000006B0000}"/>
    <cellStyle name="Normal 11 2 2 2 2 5 9" xfId="28346" xr:uid="{00000000-0005-0000-0000-0000016B0000}"/>
    <cellStyle name="Normal 11 2 2 2 2 5 9 2" xfId="28347" xr:uid="{00000000-0005-0000-0000-0000026B0000}"/>
    <cellStyle name="Normal 11 2 2 2 2 6" xfId="1382" xr:uid="{00000000-0005-0000-0000-0000036B0000}"/>
    <cellStyle name="Normal 11 2 2 2 2 6 2" xfId="28349" xr:uid="{00000000-0005-0000-0000-0000046B0000}"/>
    <cellStyle name="Normal 11 2 2 2 2 6 2 2" xfId="28350" xr:uid="{00000000-0005-0000-0000-0000056B0000}"/>
    <cellStyle name="Normal 11 2 2 2 2 6 2 2 2" xfId="28351" xr:uid="{00000000-0005-0000-0000-0000066B0000}"/>
    <cellStyle name="Normal 11 2 2 2 2 6 2 2 2 2" xfId="28352" xr:uid="{00000000-0005-0000-0000-0000076B0000}"/>
    <cellStyle name="Normal 11 2 2 2 2 6 2 2 3" xfId="28353" xr:uid="{00000000-0005-0000-0000-0000086B0000}"/>
    <cellStyle name="Normal 11 2 2 2 2 6 2 3" xfId="28354" xr:uid="{00000000-0005-0000-0000-0000096B0000}"/>
    <cellStyle name="Normal 11 2 2 2 2 6 2 3 2" xfId="28355" xr:uid="{00000000-0005-0000-0000-00000A6B0000}"/>
    <cellStyle name="Normal 11 2 2 2 2 6 2 4" xfId="28356" xr:uid="{00000000-0005-0000-0000-00000B6B0000}"/>
    <cellStyle name="Normal 11 2 2 2 2 6 3" xfId="28357" xr:uid="{00000000-0005-0000-0000-00000C6B0000}"/>
    <cellStyle name="Normal 11 2 2 2 2 6 3 2" xfId="28358" xr:uid="{00000000-0005-0000-0000-00000D6B0000}"/>
    <cellStyle name="Normal 11 2 2 2 2 6 3 2 2" xfId="28359" xr:uid="{00000000-0005-0000-0000-00000E6B0000}"/>
    <cellStyle name="Normal 11 2 2 2 2 6 3 2 2 2" xfId="28360" xr:uid="{00000000-0005-0000-0000-00000F6B0000}"/>
    <cellStyle name="Normal 11 2 2 2 2 6 3 2 3" xfId="28361" xr:uid="{00000000-0005-0000-0000-0000106B0000}"/>
    <cellStyle name="Normal 11 2 2 2 2 6 3 3" xfId="28362" xr:uid="{00000000-0005-0000-0000-0000116B0000}"/>
    <cellStyle name="Normal 11 2 2 2 2 6 3 3 2" xfId="28363" xr:uid="{00000000-0005-0000-0000-0000126B0000}"/>
    <cellStyle name="Normal 11 2 2 2 2 6 3 4" xfId="28364" xr:uid="{00000000-0005-0000-0000-0000136B0000}"/>
    <cellStyle name="Normal 11 2 2 2 2 6 4" xfId="28365" xr:uid="{00000000-0005-0000-0000-0000146B0000}"/>
    <cellStyle name="Normal 11 2 2 2 2 6 4 2" xfId="28366" xr:uid="{00000000-0005-0000-0000-0000156B0000}"/>
    <cellStyle name="Normal 11 2 2 2 2 6 4 2 2" xfId="28367" xr:uid="{00000000-0005-0000-0000-0000166B0000}"/>
    <cellStyle name="Normal 11 2 2 2 2 6 4 3" xfId="28368" xr:uid="{00000000-0005-0000-0000-0000176B0000}"/>
    <cellStyle name="Normal 11 2 2 2 2 6 5" xfId="28369" xr:uid="{00000000-0005-0000-0000-0000186B0000}"/>
    <cellStyle name="Normal 11 2 2 2 2 6 5 2" xfId="28370" xr:uid="{00000000-0005-0000-0000-0000196B0000}"/>
    <cellStyle name="Normal 11 2 2 2 2 6 6" xfId="28371" xr:uid="{00000000-0005-0000-0000-00001A6B0000}"/>
    <cellStyle name="Normal 11 2 2 2 2 6 7" xfId="28348" xr:uid="{00000000-0005-0000-0000-00001B6B0000}"/>
    <cellStyle name="Normal 11 2 2 2 2 7" xfId="28372" xr:uid="{00000000-0005-0000-0000-00001C6B0000}"/>
    <cellStyle name="Normal 11 2 2 2 2 7 2" xfId="28373" xr:uid="{00000000-0005-0000-0000-00001D6B0000}"/>
    <cellStyle name="Normal 11 2 2 2 2 7 2 2" xfId="28374" xr:uid="{00000000-0005-0000-0000-00001E6B0000}"/>
    <cellStyle name="Normal 11 2 2 2 2 7 2 2 2" xfId="28375" xr:uid="{00000000-0005-0000-0000-00001F6B0000}"/>
    <cellStyle name="Normal 11 2 2 2 2 7 2 2 2 2" xfId="28376" xr:uid="{00000000-0005-0000-0000-0000206B0000}"/>
    <cellStyle name="Normal 11 2 2 2 2 7 2 2 3" xfId="28377" xr:uid="{00000000-0005-0000-0000-0000216B0000}"/>
    <cellStyle name="Normal 11 2 2 2 2 7 2 3" xfId="28378" xr:uid="{00000000-0005-0000-0000-0000226B0000}"/>
    <cellStyle name="Normal 11 2 2 2 2 7 2 3 2" xfId="28379" xr:uid="{00000000-0005-0000-0000-0000236B0000}"/>
    <cellStyle name="Normal 11 2 2 2 2 7 2 4" xfId="28380" xr:uid="{00000000-0005-0000-0000-0000246B0000}"/>
    <cellStyle name="Normal 11 2 2 2 2 7 3" xfId="28381" xr:uid="{00000000-0005-0000-0000-0000256B0000}"/>
    <cellStyle name="Normal 11 2 2 2 2 7 3 2" xfId="28382" xr:uid="{00000000-0005-0000-0000-0000266B0000}"/>
    <cellStyle name="Normal 11 2 2 2 2 7 3 2 2" xfId="28383" xr:uid="{00000000-0005-0000-0000-0000276B0000}"/>
    <cellStyle name="Normal 11 2 2 2 2 7 3 3" xfId="28384" xr:uid="{00000000-0005-0000-0000-0000286B0000}"/>
    <cellStyle name="Normal 11 2 2 2 2 7 4" xfId="28385" xr:uid="{00000000-0005-0000-0000-0000296B0000}"/>
    <cellStyle name="Normal 11 2 2 2 2 7 4 2" xfId="28386" xr:uid="{00000000-0005-0000-0000-00002A6B0000}"/>
    <cellStyle name="Normal 11 2 2 2 2 7 5" xfId="28387" xr:uid="{00000000-0005-0000-0000-00002B6B0000}"/>
    <cellStyle name="Normal 11 2 2 2 2 8" xfId="28388" xr:uid="{00000000-0005-0000-0000-00002C6B0000}"/>
    <cellStyle name="Normal 11 2 2 2 2 8 2" xfId="28389" xr:uid="{00000000-0005-0000-0000-00002D6B0000}"/>
    <cellStyle name="Normal 11 2 2 2 2 8 2 2" xfId="28390" xr:uid="{00000000-0005-0000-0000-00002E6B0000}"/>
    <cellStyle name="Normal 11 2 2 2 2 8 2 2 2" xfId="28391" xr:uid="{00000000-0005-0000-0000-00002F6B0000}"/>
    <cellStyle name="Normal 11 2 2 2 2 8 2 2 2 2" xfId="28392" xr:uid="{00000000-0005-0000-0000-0000306B0000}"/>
    <cellStyle name="Normal 11 2 2 2 2 8 2 2 3" xfId="28393" xr:uid="{00000000-0005-0000-0000-0000316B0000}"/>
    <cellStyle name="Normal 11 2 2 2 2 8 2 3" xfId="28394" xr:uid="{00000000-0005-0000-0000-0000326B0000}"/>
    <cellStyle name="Normal 11 2 2 2 2 8 2 3 2" xfId="28395" xr:uid="{00000000-0005-0000-0000-0000336B0000}"/>
    <cellStyle name="Normal 11 2 2 2 2 8 2 4" xfId="28396" xr:uid="{00000000-0005-0000-0000-0000346B0000}"/>
    <cellStyle name="Normal 11 2 2 2 2 8 3" xfId="28397" xr:uid="{00000000-0005-0000-0000-0000356B0000}"/>
    <cellStyle name="Normal 11 2 2 2 2 8 3 2" xfId="28398" xr:uid="{00000000-0005-0000-0000-0000366B0000}"/>
    <cellStyle name="Normal 11 2 2 2 2 8 3 2 2" xfId="28399" xr:uid="{00000000-0005-0000-0000-0000376B0000}"/>
    <cellStyle name="Normal 11 2 2 2 2 8 3 3" xfId="28400" xr:uid="{00000000-0005-0000-0000-0000386B0000}"/>
    <cellStyle name="Normal 11 2 2 2 2 8 4" xfId="28401" xr:uid="{00000000-0005-0000-0000-0000396B0000}"/>
    <cellStyle name="Normal 11 2 2 2 2 8 4 2" xfId="28402" xr:uid="{00000000-0005-0000-0000-00003A6B0000}"/>
    <cellStyle name="Normal 11 2 2 2 2 8 5" xfId="28403" xr:uid="{00000000-0005-0000-0000-00003B6B0000}"/>
    <cellStyle name="Normal 11 2 2 2 2 9" xfId="28404" xr:uid="{00000000-0005-0000-0000-00003C6B0000}"/>
    <cellStyle name="Normal 11 2 2 2 2 9 2" xfId="28405" xr:uid="{00000000-0005-0000-0000-00003D6B0000}"/>
    <cellStyle name="Normal 11 2 2 2 2 9 2 2" xfId="28406" xr:uid="{00000000-0005-0000-0000-00003E6B0000}"/>
    <cellStyle name="Normal 11 2 2 2 2 9 2 2 2" xfId="28407" xr:uid="{00000000-0005-0000-0000-00003F6B0000}"/>
    <cellStyle name="Normal 11 2 2 2 2 9 2 3" xfId="28408" xr:uid="{00000000-0005-0000-0000-0000406B0000}"/>
    <cellStyle name="Normal 11 2 2 2 2 9 3" xfId="28409" xr:uid="{00000000-0005-0000-0000-0000416B0000}"/>
    <cellStyle name="Normal 11 2 2 2 2 9 3 2" xfId="28410" xr:uid="{00000000-0005-0000-0000-0000426B0000}"/>
    <cellStyle name="Normal 11 2 2 2 2 9 4" xfId="28411" xr:uid="{00000000-0005-0000-0000-0000436B0000}"/>
    <cellStyle name="Normal 11 2 2 2 3" xfId="544" xr:uid="{00000000-0005-0000-0000-0000446B0000}"/>
    <cellStyle name="Normal 11 2 2 2 3 10" xfId="28413" xr:uid="{00000000-0005-0000-0000-0000456B0000}"/>
    <cellStyle name="Normal 11 2 2 2 3 10 2" xfId="28414" xr:uid="{00000000-0005-0000-0000-0000466B0000}"/>
    <cellStyle name="Normal 11 2 2 2 3 10 2 2" xfId="28415" xr:uid="{00000000-0005-0000-0000-0000476B0000}"/>
    <cellStyle name="Normal 11 2 2 2 3 10 2 2 2" xfId="28416" xr:uid="{00000000-0005-0000-0000-0000486B0000}"/>
    <cellStyle name="Normal 11 2 2 2 3 10 2 3" xfId="28417" xr:uid="{00000000-0005-0000-0000-0000496B0000}"/>
    <cellStyle name="Normal 11 2 2 2 3 10 3" xfId="28418" xr:uid="{00000000-0005-0000-0000-00004A6B0000}"/>
    <cellStyle name="Normal 11 2 2 2 3 10 3 2" xfId="28419" xr:uid="{00000000-0005-0000-0000-00004B6B0000}"/>
    <cellStyle name="Normal 11 2 2 2 3 10 4" xfId="28420" xr:uid="{00000000-0005-0000-0000-00004C6B0000}"/>
    <cellStyle name="Normal 11 2 2 2 3 11" xfId="28421" xr:uid="{00000000-0005-0000-0000-00004D6B0000}"/>
    <cellStyle name="Normal 11 2 2 2 3 11 2" xfId="28422" xr:uid="{00000000-0005-0000-0000-00004E6B0000}"/>
    <cellStyle name="Normal 11 2 2 2 3 11 2 2" xfId="28423" xr:uid="{00000000-0005-0000-0000-00004F6B0000}"/>
    <cellStyle name="Normal 11 2 2 2 3 11 3" xfId="28424" xr:uid="{00000000-0005-0000-0000-0000506B0000}"/>
    <cellStyle name="Normal 11 2 2 2 3 12" xfId="28425" xr:uid="{00000000-0005-0000-0000-0000516B0000}"/>
    <cellStyle name="Normal 11 2 2 2 3 12 2" xfId="28426" xr:uid="{00000000-0005-0000-0000-0000526B0000}"/>
    <cellStyle name="Normal 11 2 2 2 3 12 2 2" xfId="28427" xr:uid="{00000000-0005-0000-0000-0000536B0000}"/>
    <cellStyle name="Normal 11 2 2 2 3 12 3" xfId="28428" xr:uid="{00000000-0005-0000-0000-0000546B0000}"/>
    <cellStyle name="Normal 11 2 2 2 3 13" xfId="28429" xr:uid="{00000000-0005-0000-0000-0000556B0000}"/>
    <cellStyle name="Normal 11 2 2 2 3 13 2" xfId="28430" xr:uid="{00000000-0005-0000-0000-0000566B0000}"/>
    <cellStyle name="Normal 11 2 2 2 3 13 2 2" xfId="28431" xr:uid="{00000000-0005-0000-0000-0000576B0000}"/>
    <cellStyle name="Normal 11 2 2 2 3 13 3" xfId="28432" xr:uid="{00000000-0005-0000-0000-0000586B0000}"/>
    <cellStyle name="Normal 11 2 2 2 3 14" xfId="28433" xr:uid="{00000000-0005-0000-0000-0000596B0000}"/>
    <cellStyle name="Normal 11 2 2 2 3 14 2" xfId="28434" xr:uid="{00000000-0005-0000-0000-00005A6B0000}"/>
    <cellStyle name="Normal 11 2 2 2 3 15" xfId="28435" xr:uid="{00000000-0005-0000-0000-00005B6B0000}"/>
    <cellStyle name="Normal 11 2 2 2 3 16" xfId="28436" xr:uid="{00000000-0005-0000-0000-00005C6B0000}"/>
    <cellStyle name="Normal 11 2 2 2 3 17" xfId="28412" xr:uid="{00000000-0005-0000-0000-00005D6B0000}"/>
    <cellStyle name="Normal 11 2 2 2 3 2" xfId="545" xr:uid="{00000000-0005-0000-0000-00005E6B0000}"/>
    <cellStyle name="Normal 11 2 2 2 3 2 10" xfId="28438" xr:uid="{00000000-0005-0000-0000-00005F6B0000}"/>
    <cellStyle name="Normal 11 2 2 2 3 2 10 2" xfId="28439" xr:uid="{00000000-0005-0000-0000-0000606B0000}"/>
    <cellStyle name="Normal 11 2 2 2 3 2 10 2 2" xfId="28440" xr:uid="{00000000-0005-0000-0000-0000616B0000}"/>
    <cellStyle name="Normal 11 2 2 2 3 2 10 3" xfId="28441" xr:uid="{00000000-0005-0000-0000-0000626B0000}"/>
    <cellStyle name="Normal 11 2 2 2 3 2 11" xfId="28442" xr:uid="{00000000-0005-0000-0000-0000636B0000}"/>
    <cellStyle name="Normal 11 2 2 2 3 2 11 2" xfId="28443" xr:uid="{00000000-0005-0000-0000-0000646B0000}"/>
    <cellStyle name="Normal 11 2 2 2 3 2 11 2 2" xfId="28444" xr:uid="{00000000-0005-0000-0000-0000656B0000}"/>
    <cellStyle name="Normal 11 2 2 2 3 2 11 3" xfId="28445" xr:uid="{00000000-0005-0000-0000-0000666B0000}"/>
    <cellStyle name="Normal 11 2 2 2 3 2 12" xfId="28446" xr:uid="{00000000-0005-0000-0000-0000676B0000}"/>
    <cellStyle name="Normal 11 2 2 2 3 2 12 2" xfId="28447" xr:uid="{00000000-0005-0000-0000-0000686B0000}"/>
    <cellStyle name="Normal 11 2 2 2 3 2 13" xfId="28448" xr:uid="{00000000-0005-0000-0000-0000696B0000}"/>
    <cellStyle name="Normal 11 2 2 2 3 2 14" xfId="28449" xr:uid="{00000000-0005-0000-0000-00006A6B0000}"/>
    <cellStyle name="Normal 11 2 2 2 3 2 15" xfId="28437" xr:uid="{00000000-0005-0000-0000-00006B6B0000}"/>
    <cellStyle name="Normal 11 2 2 2 3 2 2" xfId="987" xr:uid="{00000000-0005-0000-0000-00006C6B0000}"/>
    <cellStyle name="Normal 11 2 2 2 3 2 2 10" xfId="28451" xr:uid="{00000000-0005-0000-0000-00006D6B0000}"/>
    <cellStyle name="Normal 11 2 2 2 3 2 2 11" xfId="28450" xr:uid="{00000000-0005-0000-0000-00006E6B0000}"/>
    <cellStyle name="Normal 11 2 2 2 3 2 2 2" xfId="1716" xr:uid="{00000000-0005-0000-0000-00006F6B0000}"/>
    <cellStyle name="Normal 11 2 2 2 3 2 2 2 2" xfId="28453" xr:uid="{00000000-0005-0000-0000-0000706B0000}"/>
    <cellStyle name="Normal 11 2 2 2 3 2 2 2 2 2" xfId="28454" xr:uid="{00000000-0005-0000-0000-0000716B0000}"/>
    <cellStyle name="Normal 11 2 2 2 3 2 2 2 2 2 2" xfId="28455" xr:uid="{00000000-0005-0000-0000-0000726B0000}"/>
    <cellStyle name="Normal 11 2 2 2 3 2 2 2 2 2 2 2" xfId="28456" xr:uid="{00000000-0005-0000-0000-0000736B0000}"/>
    <cellStyle name="Normal 11 2 2 2 3 2 2 2 2 2 3" xfId="28457" xr:uid="{00000000-0005-0000-0000-0000746B0000}"/>
    <cellStyle name="Normal 11 2 2 2 3 2 2 2 2 3" xfId="28458" xr:uid="{00000000-0005-0000-0000-0000756B0000}"/>
    <cellStyle name="Normal 11 2 2 2 3 2 2 2 2 3 2" xfId="28459" xr:uid="{00000000-0005-0000-0000-0000766B0000}"/>
    <cellStyle name="Normal 11 2 2 2 3 2 2 2 2 4" xfId="28460" xr:uid="{00000000-0005-0000-0000-0000776B0000}"/>
    <cellStyle name="Normal 11 2 2 2 3 2 2 2 3" xfId="28461" xr:uid="{00000000-0005-0000-0000-0000786B0000}"/>
    <cellStyle name="Normal 11 2 2 2 3 2 2 2 3 2" xfId="28462" xr:uid="{00000000-0005-0000-0000-0000796B0000}"/>
    <cellStyle name="Normal 11 2 2 2 3 2 2 2 3 2 2" xfId="28463" xr:uid="{00000000-0005-0000-0000-00007A6B0000}"/>
    <cellStyle name="Normal 11 2 2 2 3 2 2 2 3 2 2 2" xfId="28464" xr:uid="{00000000-0005-0000-0000-00007B6B0000}"/>
    <cellStyle name="Normal 11 2 2 2 3 2 2 2 3 2 3" xfId="28465" xr:uid="{00000000-0005-0000-0000-00007C6B0000}"/>
    <cellStyle name="Normal 11 2 2 2 3 2 2 2 3 3" xfId="28466" xr:uid="{00000000-0005-0000-0000-00007D6B0000}"/>
    <cellStyle name="Normal 11 2 2 2 3 2 2 2 3 3 2" xfId="28467" xr:uid="{00000000-0005-0000-0000-00007E6B0000}"/>
    <cellStyle name="Normal 11 2 2 2 3 2 2 2 3 4" xfId="28468" xr:uid="{00000000-0005-0000-0000-00007F6B0000}"/>
    <cellStyle name="Normal 11 2 2 2 3 2 2 2 4" xfId="28469" xr:uid="{00000000-0005-0000-0000-0000806B0000}"/>
    <cellStyle name="Normal 11 2 2 2 3 2 2 2 4 2" xfId="28470" xr:uid="{00000000-0005-0000-0000-0000816B0000}"/>
    <cellStyle name="Normal 11 2 2 2 3 2 2 2 4 2 2" xfId="28471" xr:uid="{00000000-0005-0000-0000-0000826B0000}"/>
    <cellStyle name="Normal 11 2 2 2 3 2 2 2 4 3" xfId="28472" xr:uid="{00000000-0005-0000-0000-0000836B0000}"/>
    <cellStyle name="Normal 11 2 2 2 3 2 2 2 5" xfId="28473" xr:uid="{00000000-0005-0000-0000-0000846B0000}"/>
    <cellStyle name="Normal 11 2 2 2 3 2 2 2 5 2" xfId="28474" xr:uid="{00000000-0005-0000-0000-0000856B0000}"/>
    <cellStyle name="Normal 11 2 2 2 3 2 2 2 6" xfId="28475" xr:uid="{00000000-0005-0000-0000-0000866B0000}"/>
    <cellStyle name="Normal 11 2 2 2 3 2 2 2 7" xfId="28452" xr:uid="{00000000-0005-0000-0000-0000876B0000}"/>
    <cellStyle name="Normal 11 2 2 2 3 2 2 3" xfId="28476" xr:uid="{00000000-0005-0000-0000-0000886B0000}"/>
    <cellStyle name="Normal 11 2 2 2 3 2 2 3 2" xfId="28477" xr:uid="{00000000-0005-0000-0000-0000896B0000}"/>
    <cellStyle name="Normal 11 2 2 2 3 2 2 3 2 2" xfId="28478" xr:uid="{00000000-0005-0000-0000-00008A6B0000}"/>
    <cellStyle name="Normal 11 2 2 2 3 2 2 3 2 2 2" xfId="28479" xr:uid="{00000000-0005-0000-0000-00008B6B0000}"/>
    <cellStyle name="Normal 11 2 2 2 3 2 2 3 2 2 2 2" xfId="28480" xr:uid="{00000000-0005-0000-0000-00008C6B0000}"/>
    <cellStyle name="Normal 11 2 2 2 3 2 2 3 2 2 3" xfId="28481" xr:uid="{00000000-0005-0000-0000-00008D6B0000}"/>
    <cellStyle name="Normal 11 2 2 2 3 2 2 3 2 3" xfId="28482" xr:uid="{00000000-0005-0000-0000-00008E6B0000}"/>
    <cellStyle name="Normal 11 2 2 2 3 2 2 3 2 3 2" xfId="28483" xr:uid="{00000000-0005-0000-0000-00008F6B0000}"/>
    <cellStyle name="Normal 11 2 2 2 3 2 2 3 2 4" xfId="28484" xr:uid="{00000000-0005-0000-0000-0000906B0000}"/>
    <cellStyle name="Normal 11 2 2 2 3 2 2 3 3" xfId="28485" xr:uid="{00000000-0005-0000-0000-0000916B0000}"/>
    <cellStyle name="Normal 11 2 2 2 3 2 2 3 3 2" xfId="28486" xr:uid="{00000000-0005-0000-0000-0000926B0000}"/>
    <cellStyle name="Normal 11 2 2 2 3 2 2 3 3 2 2" xfId="28487" xr:uid="{00000000-0005-0000-0000-0000936B0000}"/>
    <cellStyle name="Normal 11 2 2 2 3 2 2 3 3 3" xfId="28488" xr:uid="{00000000-0005-0000-0000-0000946B0000}"/>
    <cellStyle name="Normal 11 2 2 2 3 2 2 3 4" xfId="28489" xr:uid="{00000000-0005-0000-0000-0000956B0000}"/>
    <cellStyle name="Normal 11 2 2 2 3 2 2 3 4 2" xfId="28490" xr:uid="{00000000-0005-0000-0000-0000966B0000}"/>
    <cellStyle name="Normal 11 2 2 2 3 2 2 3 5" xfId="28491" xr:uid="{00000000-0005-0000-0000-0000976B0000}"/>
    <cellStyle name="Normal 11 2 2 2 3 2 2 4" xfId="28492" xr:uid="{00000000-0005-0000-0000-0000986B0000}"/>
    <cellStyle name="Normal 11 2 2 2 3 2 2 4 2" xfId="28493" xr:uid="{00000000-0005-0000-0000-0000996B0000}"/>
    <cellStyle name="Normal 11 2 2 2 3 2 2 4 2 2" xfId="28494" xr:uid="{00000000-0005-0000-0000-00009A6B0000}"/>
    <cellStyle name="Normal 11 2 2 2 3 2 2 4 2 2 2" xfId="28495" xr:uid="{00000000-0005-0000-0000-00009B6B0000}"/>
    <cellStyle name="Normal 11 2 2 2 3 2 2 4 2 2 2 2" xfId="28496" xr:uid="{00000000-0005-0000-0000-00009C6B0000}"/>
    <cellStyle name="Normal 11 2 2 2 3 2 2 4 2 2 3" xfId="28497" xr:uid="{00000000-0005-0000-0000-00009D6B0000}"/>
    <cellStyle name="Normal 11 2 2 2 3 2 2 4 2 3" xfId="28498" xr:uid="{00000000-0005-0000-0000-00009E6B0000}"/>
    <cellStyle name="Normal 11 2 2 2 3 2 2 4 2 3 2" xfId="28499" xr:uid="{00000000-0005-0000-0000-00009F6B0000}"/>
    <cellStyle name="Normal 11 2 2 2 3 2 2 4 2 4" xfId="28500" xr:uid="{00000000-0005-0000-0000-0000A06B0000}"/>
    <cellStyle name="Normal 11 2 2 2 3 2 2 4 3" xfId="28501" xr:uid="{00000000-0005-0000-0000-0000A16B0000}"/>
    <cellStyle name="Normal 11 2 2 2 3 2 2 4 3 2" xfId="28502" xr:uid="{00000000-0005-0000-0000-0000A26B0000}"/>
    <cellStyle name="Normal 11 2 2 2 3 2 2 4 3 2 2" xfId="28503" xr:uid="{00000000-0005-0000-0000-0000A36B0000}"/>
    <cellStyle name="Normal 11 2 2 2 3 2 2 4 3 3" xfId="28504" xr:uid="{00000000-0005-0000-0000-0000A46B0000}"/>
    <cellStyle name="Normal 11 2 2 2 3 2 2 4 4" xfId="28505" xr:uid="{00000000-0005-0000-0000-0000A56B0000}"/>
    <cellStyle name="Normal 11 2 2 2 3 2 2 4 4 2" xfId="28506" xr:uid="{00000000-0005-0000-0000-0000A66B0000}"/>
    <cellStyle name="Normal 11 2 2 2 3 2 2 4 5" xfId="28507" xr:uid="{00000000-0005-0000-0000-0000A76B0000}"/>
    <cellStyle name="Normal 11 2 2 2 3 2 2 5" xfId="28508" xr:uid="{00000000-0005-0000-0000-0000A86B0000}"/>
    <cellStyle name="Normal 11 2 2 2 3 2 2 5 2" xfId="28509" xr:uid="{00000000-0005-0000-0000-0000A96B0000}"/>
    <cellStyle name="Normal 11 2 2 2 3 2 2 5 2 2" xfId="28510" xr:uid="{00000000-0005-0000-0000-0000AA6B0000}"/>
    <cellStyle name="Normal 11 2 2 2 3 2 2 5 2 2 2" xfId="28511" xr:uid="{00000000-0005-0000-0000-0000AB6B0000}"/>
    <cellStyle name="Normal 11 2 2 2 3 2 2 5 2 3" xfId="28512" xr:uid="{00000000-0005-0000-0000-0000AC6B0000}"/>
    <cellStyle name="Normal 11 2 2 2 3 2 2 5 3" xfId="28513" xr:uid="{00000000-0005-0000-0000-0000AD6B0000}"/>
    <cellStyle name="Normal 11 2 2 2 3 2 2 5 3 2" xfId="28514" xr:uid="{00000000-0005-0000-0000-0000AE6B0000}"/>
    <cellStyle name="Normal 11 2 2 2 3 2 2 5 4" xfId="28515" xr:uid="{00000000-0005-0000-0000-0000AF6B0000}"/>
    <cellStyle name="Normal 11 2 2 2 3 2 2 6" xfId="28516" xr:uid="{00000000-0005-0000-0000-0000B06B0000}"/>
    <cellStyle name="Normal 11 2 2 2 3 2 2 6 2" xfId="28517" xr:uid="{00000000-0005-0000-0000-0000B16B0000}"/>
    <cellStyle name="Normal 11 2 2 2 3 2 2 6 2 2" xfId="28518" xr:uid="{00000000-0005-0000-0000-0000B26B0000}"/>
    <cellStyle name="Normal 11 2 2 2 3 2 2 6 2 2 2" xfId="28519" xr:uid="{00000000-0005-0000-0000-0000B36B0000}"/>
    <cellStyle name="Normal 11 2 2 2 3 2 2 6 2 3" xfId="28520" xr:uid="{00000000-0005-0000-0000-0000B46B0000}"/>
    <cellStyle name="Normal 11 2 2 2 3 2 2 6 3" xfId="28521" xr:uid="{00000000-0005-0000-0000-0000B56B0000}"/>
    <cellStyle name="Normal 11 2 2 2 3 2 2 6 3 2" xfId="28522" xr:uid="{00000000-0005-0000-0000-0000B66B0000}"/>
    <cellStyle name="Normal 11 2 2 2 3 2 2 6 4" xfId="28523" xr:uid="{00000000-0005-0000-0000-0000B76B0000}"/>
    <cellStyle name="Normal 11 2 2 2 3 2 2 7" xfId="28524" xr:uid="{00000000-0005-0000-0000-0000B86B0000}"/>
    <cellStyle name="Normal 11 2 2 2 3 2 2 7 2" xfId="28525" xr:uid="{00000000-0005-0000-0000-0000B96B0000}"/>
    <cellStyle name="Normal 11 2 2 2 3 2 2 7 2 2" xfId="28526" xr:uid="{00000000-0005-0000-0000-0000BA6B0000}"/>
    <cellStyle name="Normal 11 2 2 2 3 2 2 7 2 2 2" xfId="28527" xr:uid="{00000000-0005-0000-0000-0000BB6B0000}"/>
    <cellStyle name="Normal 11 2 2 2 3 2 2 7 2 3" xfId="28528" xr:uid="{00000000-0005-0000-0000-0000BC6B0000}"/>
    <cellStyle name="Normal 11 2 2 2 3 2 2 7 3" xfId="28529" xr:uid="{00000000-0005-0000-0000-0000BD6B0000}"/>
    <cellStyle name="Normal 11 2 2 2 3 2 2 7 3 2" xfId="28530" xr:uid="{00000000-0005-0000-0000-0000BE6B0000}"/>
    <cellStyle name="Normal 11 2 2 2 3 2 2 7 4" xfId="28531" xr:uid="{00000000-0005-0000-0000-0000BF6B0000}"/>
    <cellStyle name="Normal 11 2 2 2 3 2 2 8" xfId="28532" xr:uid="{00000000-0005-0000-0000-0000C06B0000}"/>
    <cellStyle name="Normal 11 2 2 2 3 2 2 8 2" xfId="28533" xr:uid="{00000000-0005-0000-0000-0000C16B0000}"/>
    <cellStyle name="Normal 11 2 2 2 3 2 2 8 2 2" xfId="28534" xr:uid="{00000000-0005-0000-0000-0000C26B0000}"/>
    <cellStyle name="Normal 11 2 2 2 3 2 2 8 3" xfId="28535" xr:uid="{00000000-0005-0000-0000-0000C36B0000}"/>
    <cellStyle name="Normal 11 2 2 2 3 2 2 9" xfId="28536" xr:uid="{00000000-0005-0000-0000-0000C46B0000}"/>
    <cellStyle name="Normal 11 2 2 2 3 2 2 9 2" xfId="28537" xr:uid="{00000000-0005-0000-0000-0000C56B0000}"/>
    <cellStyle name="Normal 11 2 2 2 3 2 3" xfId="1389" xr:uid="{00000000-0005-0000-0000-0000C66B0000}"/>
    <cellStyle name="Normal 11 2 2 2 3 2 3 2" xfId="28539" xr:uid="{00000000-0005-0000-0000-0000C76B0000}"/>
    <cellStyle name="Normal 11 2 2 2 3 2 3 2 2" xfId="28540" xr:uid="{00000000-0005-0000-0000-0000C86B0000}"/>
    <cellStyle name="Normal 11 2 2 2 3 2 3 2 2 2" xfId="28541" xr:uid="{00000000-0005-0000-0000-0000C96B0000}"/>
    <cellStyle name="Normal 11 2 2 2 3 2 3 2 2 2 2" xfId="28542" xr:uid="{00000000-0005-0000-0000-0000CA6B0000}"/>
    <cellStyle name="Normal 11 2 2 2 3 2 3 2 2 3" xfId="28543" xr:uid="{00000000-0005-0000-0000-0000CB6B0000}"/>
    <cellStyle name="Normal 11 2 2 2 3 2 3 2 3" xfId="28544" xr:uid="{00000000-0005-0000-0000-0000CC6B0000}"/>
    <cellStyle name="Normal 11 2 2 2 3 2 3 2 3 2" xfId="28545" xr:uid="{00000000-0005-0000-0000-0000CD6B0000}"/>
    <cellStyle name="Normal 11 2 2 2 3 2 3 2 4" xfId="28546" xr:uid="{00000000-0005-0000-0000-0000CE6B0000}"/>
    <cellStyle name="Normal 11 2 2 2 3 2 3 3" xfId="28547" xr:uid="{00000000-0005-0000-0000-0000CF6B0000}"/>
    <cellStyle name="Normal 11 2 2 2 3 2 3 3 2" xfId="28548" xr:uid="{00000000-0005-0000-0000-0000D06B0000}"/>
    <cellStyle name="Normal 11 2 2 2 3 2 3 3 2 2" xfId="28549" xr:uid="{00000000-0005-0000-0000-0000D16B0000}"/>
    <cellStyle name="Normal 11 2 2 2 3 2 3 3 2 2 2" xfId="28550" xr:uid="{00000000-0005-0000-0000-0000D26B0000}"/>
    <cellStyle name="Normal 11 2 2 2 3 2 3 3 2 3" xfId="28551" xr:uid="{00000000-0005-0000-0000-0000D36B0000}"/>
    <cellStyle name="Normal 11 2 2 2 3 2 3 3 3" xfId="28552" xr:uid="{00000000-0005-0000-0000-0000D46B0000}"/>
    <cellStyle name="Normal 11 2 2 2 3 2 3 3 3 2" xfId="28553" xr:uid="{00000000-0005-0000-0000-0000D56B0000}"/>
    <cellStyle name="Normal 11 2 2 2 3 2 3 3 4" xfId="28554" xr:uid="{00000000-0005-0000-0000-0000D66B0000}"/>
    <cellStyle name="Normal 11 2 2 2 3 2 3 4" xfId="28555" xr:uid="{00000000-0005-0000-0000-0000D76B0000}"/>
    <cellStyle name="Normal 11 2 2 2 3 2 3 4 2" xfId="28556" xr:uid="{00000000-0005-0000-0000-0000D86B0000}"/>
    <cellStyle name="Normal 11 2 2 2 3 2 3 4 2 2" xfId="28557" xr:uid="{00000000-0005-0000-0000-0000D96B0000}"/>
    <cellStyle name="Normal 11 2 2 2 3 2 3 4 3" xfId="28558" xr:uid="{00000000-0005-0000-0000-0000DA6B0000}"/>
    <cellStyle name="Normal 11 2 2 2 3 2 3 5" xfId="28559" xr:uid="{00000000-0005-0000-0000-0000DB6B0000}"/>
    <cellStyle name="Normal 11 2 2 2 3 2 3 5 2" xfId="28560" xr:uid="{00000000-0005-0000-0000-0000DC6B0000}"/>
    <cellStyle name="Normal 11 2 2 2 3 2 3 6" xfId="28561" xr:uid="{00000000-0005-0000-0000-0000DD6B0000}"/>
    <cellStyle name="Normal 11 2 2 2 3 2 3 7" xfId="28538" xr:uid="{00000000-0005-0000-0000-0000DE6B0000}"/>
    <cellStyle name="Normal 11 2 2 2 3 2 4" xfId="28562" xr:uid="{00000000-0005-0000-0000-0000DF6B0000}"/>
    <cellStyle name="Normal 11 2 2 2 3 2 4 2" xfId="28563" xr:uid="{00000000-0005-0000-0000-0000E06B0000}"/>
    <cellStyle name="Normal 11 2 2 2 3 2 4 2 2" xfId="28564" xr:uid="{00000000-0005-0000-0000-0000E16B0000}"/>
    <cellStyle name="Normal 11 2 2 2 3 2 4 2 2 2" xfId="28565" xr:uid="{00000000-0005-0000-0000-0000E26B0000}"/>
    <cellStyle name="Normal 11 2 2 2 3 2 4 2 2 2 2" xfId="28566" xr:uid="{00000000-0005-0000-0000-0000E36B0000}"/>
    <cellStyle name="Normal 11 2 2 2 3 2 4 2 2 3" xfId="28567" xr:uid="{00000000-0005-0000-0000-0000E46B0000}"/>
    <cellStyle name="Normal 11 2 2 2 3 2 4 2 3" xfId="28568" xr:uid="{00000000-0005-0000-0000-0000E56B0000}"/>
    <cellStyle name="Normal 11 2 2 2 3 2 4 2 3 2" xfId="28569" xr:uid="{00000000-0005-0000-0000-0000E66B0000}"/>
    <cellStyle name="Normal 11 2 2 2 3 2 4 2 4" xfId="28570" xr:uid="{00000000-0005-0000-0000-0000E76B0000}"/>
    <cellStyle name="Normal 11 2 2 2 3 2 4 3" xfId="28571" xr:uid="{00000000-0005-0000-0000-0000E86B0000}"/>
    <cellStyle name="Normal 11 2 2 2 3 2 4 3 2" xfId="28572" xr:uid="{00000000-0005-0000-0000-0000E96B0000}"/>
    <cellStyle name="Normal 11 2 2 2 3 2 4 3 2 2" xfId="28573" xr:uid="{00000000-0005-0000-0000-0000EA6B0000}"/>
    <cellStyle name="Normal 11 2 2 2 3 2 4 3 3" xfId="28574" xr:uid="{00000000-0005-0000-0000-0000EB6B0000}"/>
    <cellStyle name="Normal 11 2 2 2 3 2 4 4" xfId="28575" xr:uid="{00000000-0005-0000-0000-0000EC6B0000}"/>
    <cellStyle name="Normal 11 2 2 2 3 2 4 4 2" xfId="28576" xr:uid="{00000000-0005-0000-0000-0000ED6B0000}"/>
    <cellStyle name="Normal 11 2 2 2 3 2 4 5" xfId="28577" xr:uid="{00000000-0005-0000-0000-0000EE6B0000}"/>
    <cellStyle name="Normal 11 2 2 2 3 2 5" xfId="28578" xr:uid="{00000000-0005-0000-0000-0000EF6B0000}"/>
    <cellStyle name="Normal 11 2 2 2 3 2 5 2" xfId="28579" xr:uid="{00000000-0005-0000-0000-0000F06B0000}"/>
    <cellStyle name="Normal 11 2 2 2 3 2 5 2 2" xfId="28580" xr:uid="{00000000-0005-0000-0000-0000F16B0000}"/>
    <cellStyle name="Normal 11 2 2 2 3 2 5 2 2 2" xfId="28581" xr:uid="{00000000-0005-0000-0000-0000F26B0000}"/>
    <cellStyle name="Normal 11 2 2 2 3 2 5 2 2 2 2" xfId="28582" xr:uid="{00000000-0005-0000-0000-0000F36B0000}"/>
    <cellStyle name="Normal 11 2 2 2 3 2 5 2 2 3" xfId="28583" xr:uid="{00000000-0005-0000-0000-0000F46B0000}"/>
    <cellStyle name="Normal 11 2 2 2 3 2 5 2 3" xfId="28584" xr:uid="{00000000-0005-0000-0000-0000F56B0000}"/>
    <cellStyle name="Normal 11 2 2 2 3 2 5 2 3 2" xfId="28585" xr:uid="{00000000-0005-0000-0000-0000F66B0000}"/>
    <cellStyle name="Normal 11 2 2 2 3 2 5 2 4" xfId="28586" xr:uid="{00000000-0005-0000-0000-0000F76B0000}"/>
    <cellStyle name="Normal 11 2 2 2 3 2 5 3" xfId="28587" xr:uid="{00000000-0005-0000-0000-0000F86B0000}"/>
    <cellStyle name="Normal 11 2 2 2 3 2 5 3 2" xfId="28588" xr:uid="{00000000-0005-0000-0000-0000F96B0000}"/>
    <cellStyle name="Normal 11 2 2 2 3 2 5 3 2 2" xfId="28589" xr:uid="{00000000-0005-0000-0000-0000FA6B0000}"/>
    <cellStyle name="Normal 11 2 2 2 3 2 5 3 3" xfId="28590" xr:uid="{00000000-0005-0000-0000-0000FB6B0000}"/>
    <cellStyle name="Normal 11 2 2 2 3 2 5 4" xfId="28591" xr:uid="{00000000-0005-0000-0000-0000FC6B0000}"/>
    <cellStyle name="Normal 11 2 2 2 3 2 5 4 2" xfId="28592" xr:uid="{00000000-0005-0000-0000-0000FD6B0000}"/>
    <cellStyle name="Normal 11 2 2 2 3 2 5 5" xfId="28593" xr:uid="{00000000-0005-0000-0000-0000FE6B0000}"/>
    <cellStyle name="Normal 11 2 2 2 3 2 6" xfId="28594" xr:uid="{00000000-0005-0000-0000-0000FF6B0000}"/>
    <cellStyle name="Normal 11 2 2 2 3 2 6 2" xfId="28595" xr:uid="{00000000-0005-0000-0000-0000006C0000}"/>
    <cellStyle name="Normal 11 2 2 2 3 2 6 2 2" xfId="28596" xr:uid="{00000000-0005-0000-0000-0000016C0000}"/>
    <cellStyle name="Normal 11 2 2 2 3 2 6 2 2 2" xfId="28597" xr:uid="{00000000-0005-0000-0000-0000026C0000}"/>
    <cellStyle name="Normal 11 2 2 2 3 2 6 2 3" xfId="28598" xr:uid="{00000000-0005-0000-0000-0000036C0000}"/>
    <cellStyle name="Normal 11 2 2 2 3 2 6 3" xfId="28599" xr:uid="{00000000-0005-0000-0000-0000046C0000}"/>
    <cellStyle name="Normal 11 2 2 2 3 2 6 3 2" xfId="28600" xr:uid="{00000000-0005-0000-0000-0000056C0000}"/>
    <cellStyle name="Normal 11 2 2 2 3 2 6 4" xfId="28601" xr:uid="{00000000-0005-0000-0000-0000066C0000}"/>
    <cellStyle name="Normal 11 2 2 2 3 2 7" xfId="28602" xr:uid="{00000000-0005-0000-0000-0000076C0000}"/>
    <cellStyle name="Normal 11 2 2 2 3 2 7 2" xfId="28603" xr:uid="{00000000-0005-0000-0000-0000086C0000}"/>
    <cellStyle name="Normal 11 2 2 2 3 2 7 2 2" xfId="28604" xr:uid="{00000000-0005-0000-0000-0000096C0000}"/>
    <cellStyle name="Normal 11 2 2 2 3 2 7 2 2 2" xfId="28605" xr:uid="{00000000-0005-0000-0000-00000A6C0000}"/>
    <cellStyle name="Normal 11 2 2 2 3 2 7 2 3" xfId="28606" xr:uid="{00000000-0005-0000-0000-00000B6C0000}"/>
    <cellStyle name="Normal 11 2 2 2 3 2 7 3" xfId="28607" xr:uid="{00000000-0005-0000-0000-00000C6C0000}"/>
    <cellStyle name="Normal 11 2 2 2 3 2 7 3 2" xfId="28608" xr:uid="{00000000-0005-0000-0000-00000D6C0000}"/>
    <cellStyle name="Normal 11 2 2 2 3 2 7 4" xfId="28609" xr:uid="{00000000-0005-0000-0000-00000E6C0000}"/>
    <cellStyle name="Normal 11 2 2 2 3 2 8" xfId="28610" xr:uid="{00000000-0005-0000-0000-00000F6C0000}"/>
    <cellStyle name="Normal 11 2 2 2 3 2 8 2" xfId="28611" xr:uid="{00000000-0005-0000-0000-0000106C0000}"/>
    <cellStyle name="Normal 11 2 2 2 3 2 8 2 2" xfId="28612" xr:uid="{00000000-0005-0000-0000-0000116C0000}"/>
    <cellStyle name="Normal 11 2 2 2 3 2 8 2 2 2" xfId="28613" xr:uid="{00000000-0005-0000-0000-0000126C0000}"/>
    <cellStyle name="Normal 11 2 2 2 3 2 8 2 3" xfId="28614" xr:uid="{00000000-0005-0000-0000-0000136C0000}"/>
    <cellStyle name="Normal 11 2 2 2 3 2 8 3" xfId="28615" xr:uid="{00000000-0005-0000-0000-0000146C0000}"/>
    <cellStyle name="Normal 11 2 2 2 3 2 8 3 2" xfId="28616" xr:uid="{00000000-0005-0000-0000-0000156C0000}"/>
    <cellStyle name="Normal 11 2 2 2 3 2 8 4" xfId="28617" xr:uid="{00000000-0005-0000-0000-0000166C0000}"/>
    <cellStyle name="Normal 11 2 2 2 3 2 9" xfId="28618" xr:uid="{00000000-0005-0000-0000-0000176C0000}"/>
    <cellStyle name="Normal 11 2 2 2 3 2 9 2" xfId="28619" xr:uid="{00000000-0005-0000-0000-0000186C0000}"/>
    <cellStyle name="Normal 11 2 2 2 3 2 9 2 2" xfId="28620" xr:uid="{00000000-0005-0000-0000-0000196C0000}"/>
    <cellStyle name="Normal 11 2 2 2 3 2 9 3" xfId="28621" xr:uid="{00000000-0005-0000-0000-00001A6C0000}"/>
    <cellStyle name="Normal 11 2 2 2 3 3" xfId="546" xr:uid="{00000000-0005-0000-0000-00001B6C0000}"/>
    <cellStyle name="Normal 11 2 2 2 3 3 10" xfId="28623" xr:uid="{00000000-0005-0000-0000-00001C6C0000}"/>
    <cellStyle name="Normal 11 2 2 2 3 3 10 2" xfId="28624" xr:uid="{00000000-0005-0000-0000-00001D6C0000}"/>
    <cellStyle name="Normal 11 2 2 2 3 3 10 2 2" xfId="28625" xr:uid="{00000000-0005-0000-0000-00001E6C0000}"/>
    <cellStyle name="Normal 11 2 2 2 3 3 10 3" xfId="28626" xr:uid="{00000000-0005-0000-0000-00001F6C0000}"/>
    <cellStyle name="Normal 11 2 2 2 3 3 11" xfId="28627" xr:uid="{00000000-0005-0000-0000-0000206C0000}"/>
    <cellStyle name="Normal 11 2 2 2 3 3 11 2" xfId="28628" xr:uid="{00000000-0005-0000-0000-0000216C0000}"/>
    <cellStyle name="Normal 11 2 2 2 3 3 11 2 2" xfId="28629" xr:uid="{00000000-0005-0000-0000-0000226C0000}"/>
    <cellStyle name="Normal 11 2 2 2 3 3 11 3" xfId="28630" xr:uid="{00000000-0005-0000-0000-0000236C0000}"/>
    <cellStyle name="Normal 11 2 2 2 3 3 12" xfId="28631" xr:uid="{00000000-0005-0000-0000-0000246C0000}"/>
    <cellStyle name="Normal 11 2 2 2 3 3 12 2" xfId="28632" xr:uid="{00000000-0005-0000-0000-0000256C0000}"/>
    <cellStyle name="Normal 11 2 2 2 3 3 13" xfId="28633" xr:uid="{00000000-0005-0000-0000-0000266C0000}"/>
    <cellStyle name="Normal 11 2 2 2 3 3 14" xfId="28634" xr:uid="{00000000-0005-0000-0000-0000276C0000}"/>
    <cellStyle name="Normal 11 2 2 2 3 3 15" xfId="28622" xr:uid="{00000000-0005-0000-0000-0000286C0000}"/>
    <cellStyle name="Normal 11 2 2 2 3 3 2" xfId="988" xr:uid="{00000000-0005-0000-0000-0000296C0000}"/>
    <cellStyle name="Normal 11 2 2 2 3 3 2 10" xfId="28636" xr:uid="{00000000-0005-0000-0000-00002A6C0000}"/>
    <cellStyle name="Normal 11 2 2 2 3 3 2 11" xfId="28635" xr:uid="{00000000-0005-0000-0000-00002B6C0000}"/>
    <cellStyle name="Normal 11 2 2 2 3 3 2 2" xfId="1717" xr:uid="{00000000-0005-0000-0000-00002C6C0000}"/>
    <cellStyle name="Normal 11 2 2 2 3 3 2 2 2" xfId="28638" xr:uid="{00000000-0005-0000-0000-00002D6C0000}"/>
    <cellStyle name="Normal 11 2 2 2 3 3 2 2 2 2" xfId="28639" xr:uid="{00000000-0005-0000-0000-00002E6C0000}"/>
    <cellStyle name="Normal 11 2 2 2 3 3 2 2 2 2 2" xfId="28640" xr:uid="{00000000-0005-0000-0000-00002F6C0000}"/>
    <cellStyle name="Normal 11 2 2 2 3 3 2 2 2 2 2 2" xfId="28641" xr:uid="{00000000-0005-0000-0000-0000306C0000}"/>
    <cellStyle name="Normal 11 2 2 2 3 3 2 2 2 2 3" xfId="28642" xr:uid="{00000000-0005-0000-0000-0000316C0000}"/>
    <cellStyle name="Normal 11 2 2 2 3 3 2 2 2 3" xfId="28643" xr:uid="{00000000-0005-0000-0000-0000326C0000}"/>
    <cellStyle name="Normal 11 2 2 2 3 3 2 2 2 3 2" xfId="28644" xr:uid="{00000000-0005-0000-0000-0000336C0000}"/>
    <cellStyle name="Normal 11 2 2 2 3 3 2 2 2 4" xfId="28645" xr:uid="{00000000-0005-0000-0000-0000346C0000}"/>
    <cellStyle name="Normal 11 2 2 2 3 3 2 2 3" xfId="28646" xr:uid="{00000000-0005-0000-0000-0000356C0000}"/>
    <cellStyle name="Normal 11 2 2 2 3 3 2 2 3 2" xfId="28647" xr:uid="{00000000-0005-0000-0000-0000366C0000}"/>
    <cellStyle name="Normal 11 2 2 2 3 3 2 2 3 2 2" xfId="28648" xr:uid="{00000000-0005-0000-0000-0000376C0000}"/>
    <cellStyle name="Normal 11 2 2 2 3 3 2 2 3 2 2 2" xfId="28649" xr:uid="{00000000-0005-0000-0000-0000386C0000}"/>
    <cellStyle name="Normal 11 2 2 2 3 3 2 2 3 2 3" xfId="28650" xr:uid="{00000000-0005-0000-0000-0000396C0000}"/>
    <cellStyle name="Normal 11 2 2 2 3 3 2 2 3 3" xfId="28651" xr:uid="{00000000-0005-0000-0000-00003A6C0000}"/>
    <cellStyle name="Normal 11 2 2 2 3 3 2 2 3 3 2" xfId="28652" xr:uid="{00000000-0005-0000-0000-00003B6C0000}"/>
    <cellStyle name="Normal 11 2 2 2 3 3 2 2 3 4" xfId="28653" xr:uid="{00000000-0005-0000-0000-00003C6C0000}"/>
    <cellStyle name="Normal 11 2 2 2 3 3 2 2 4" xfId="28654" xr:uid="{00000000-0005-0000-0000-00003D6C0000}"/>
    <cellStyle name="Normal 11 2 2 2 3 3 2 2 4 2" xfId="28655" xr:uid="{00000000-0005-0000-0000-00003E6C0000}"/>
    <cellStyle name="Normal 11 2 2 2 3 3 2 2 4 2 2" xfId="28656" xr:uid="{00000000-0005-0000-0000-00003F6C0000}"/>
    <cellStyle name="Normal 11 2 2 2 3 3 2 2 4 3" xfId="28657" xr:uid="{00000000-0005-0000-0000-0000406C0000}"/>
    <cellStyle name="Normal 11 2 2 2 3 3 2 2 5" xfId="28658" xr:uid="{00000000-0005-0000-0000-0000416C0000}"/>
    <cellStyle name="Normal 11 2 2 2 3 3 2 2 5 2" xfId="28659" xr:uid="{00000000-0005-0000-0000-0000426C0000}"/>
    <cellStyle name="Normal 11 2 2 2 3 3 2 2 6" xfId="28660" xr:uid="{00000000-0005-0000-0000-0000436C0000}"/>
    <cellStyle name="Normal 11 2 2 2 3 3 2 2 7" xfId="28637" xr:uid="{00000000-0005-0000-0000-0000446C0000}"/>
    <cellStyle name="Normal 11 2 2 2 3 3 2 3" xfId="28661" xr:uid="{00000000-0005-0000-0000-0000456C0000}"/>
    <cellStyle name="Normal 11 2 2 2 3 3 2 3 2" xfId="28662" xr:uid="{00000000-0005-0000-0000-0000466C0000}"/>
    <cellStyle name="Normal 11 2 2 2 3 3 2 3 2 2" xfId="28663" xr:uid="{00000000-0005-0000-0000-0000476C0000}"/>
    <cellStyle name="Normal 11 2 2 2 3 3 2 3 2 2 2" xfId="28664" xr:uid="{00000000-0005-0000-0000-0000486C0000}"/>
    <cellStyle name="Normal 11 2 2 2 3 3 2 3 2 2 2 2" xfId="28665" xr:uid="{00000000-0005-0000-0000-0000496C0000}"/>
    <cellStyle name="Normal 11 2 2 2 3 3 2 3 2 2 3" xfId="28666" xr:uid="{00000000-0005-0000-0000-00004A6C0000}"/>
    <cellStyle name="Normal 11 2 2 2 3 3 2 3 2 3" xfId="28667" xr:uid="{00000000-0005-0000-0000-00004B6C0000}"/>
    <cellStyle name="Normal 11 2 2 2 3 3 2 3 2 3 2" xfId="28668" xr:uid="{00000000-0005-0000-0000-00004C6C0000}"/>
    <cellStyle name="Normal 11 2 2 2 3 3 2 3 2 4" xfId="28669" xr:uid="{00000000-0005-0000-0000-00004D6C0000}"/>
    <cellStyle name="Normal 11 2 2 2 3 3 2 3 3" xfId="28670" xr:uid="{00000000-0005-0000-0000-00004E6C0000}"/>
    <cellStyle name="Normal 11 2 2 2 3 3 2 3 3 2" xfId="28671" xr:uid="{00000000-0005-0000-0000-00004F6C0000}"/>
    <cellStyle name="Normal 11 2 2 2 3 3 2 3 3 2 2" xfId="28672" xr:uid="{00000000-0005-0000-0000-0000506C0000}"/>
    <cellStyle name="Normal 11 2 2 2 3 3 2 3 3 3" xfId="28673" xr:uid="{00000000-0005-0000-0000-0000516C0000}"/>
    <cellStyle name="Normal 11 2 2 2 3 3 2 3 4" xfId="28674" xr:uid="{00000000-0005-0000-0000-0000526C0000}"/>
    <cellStyle name="Normal 11 2 2 2 3 3 2 3 4 2" xfId="28675" xr:uid="{00000000-0005-0000-0000-0000536C0000}"/>
    <cellStyle name="Normal 11 2 2 2 3 3 2 3 5" xfId="28676" xr:uid="{00000000-0005-0000-0000-0000546C0000}"/>
    <cellStyle name="Normal 11 2 2 2 3 3 2 4" xfId="28677" xr:uid="{00000000-0005-0000-0000-0000556C0000}"/>
    <cellStyle name="Normal 11 2 2 2 3 3 2 4 2" xfId="28678" xr:uid="{00000000-0005-0000-0000-0000566C0000}"/>
    <cellStyle name="Normal 11 2 2 2 3 3 2 4 2 2" xfId="28679" xr:uid="{00000000-0005-0000-0000-0000576C0000}"/>
    <cellStyle name="Normal 11 2 2 2 3 3 2 4 2 2 2" xfId="28680" xr:uid="{00000000-0005-0000-0000-0000586C0000}"/>
    <cellStyle name="Normal 11 2 2 2 3 3 2 4 2 2 2 2" xfId="28681" xr:uid="{00000000-0005-0000-0000-0000596C0000}"/>
    <cellStyle name="Normal 11 2 2 2 3 3 2 4 2 2 3" xfId="28682" xr:uid="{00000000-0005-0000-0000-00005A6C0000}"/>
    <cellStyle name="Normal 11 2 2 2 3 3 2 4 2 3" xfId="28683" xr:uid="{00000000-0005-0000-0000-00005B6C0000}"/>
    <cellStyle name="Normal 11 2 2 2 3 3 2 4 2 3 2" xfId="28684" xr:uid="{00000000-0005-0000-0000-00005C6C0000}"/>
    <cellStyle name="Normal 11 2 2 2 3 3 2 4 2 4" xfId="28685" xr:uid="{00000000-0005-0000-0000-00005D6C0000}"/>
    <cellStyle name="Normal 11 2 2 2 3 3 2 4 3" xfId="28686" xr:uid="{00000000-0005-0000-0000-00005E6C0000}"/>
    <cellStyle name="Normal 11 2 2 2 3 3 2 4 3 2" xfId="28687" xr:uid="{00000000-0005-0000-0000-00005F6C0000}"/>
    <cellStyle name="Normal 11 2 2 2 3 3 2 4 3 2 2" xfId="28688" xr:uid="{00000000-0005-0000-0000-0000606C0000}"/>
    <cellStyle name="Normal 11 2 2 2 3 3 2 4 3 3" xfId="28689" xr:uid="{00000000-0005-0000-0000-0000616C0000}"/>
    <cellStyle name="Normal 11 2 2 2 3 3 2 4 4" xfId="28690" xr:uid="{00000000-0005-0000-0000-0000626C0000}"/>
    <cellStyle name="Normal 11 2 2 2 3 3 2 4 4 2" xfId="28691" xr:uid="{00000000-0005-0000-0000-0000636C0000}"/>
    <cellStyle name="Normal 11 2 2 2 3 3 2 4 5" xfId="28692" xr:uid="{00000000-0005-0000-0000-0000646C0000}"/>
    <cellStyle name="Normal 11 2 2 2 3 3 2 5" xfId="28693" xr:uid="{00000000-0005-0000-0000-0000656C0000}"/>
    <cellStyle name="Normal 11 2 2 2 3 3 2 5 2" xfId="28694" xr:uid="{00000000-0005-0000-0000-0000666C0000}"/>
    <cellStyle name="Normal 11 2 2 2 3 3 2 5 2 2" xfId="28695" xr:uid="{00000000-0005-0000-0000-0000676C0000}"/>
    <cellStyle name="Normal 11 2 2 2 3 3 2 5 2 2 2" xfId="28696" xr:uid="{00000000-0005-0000-0000-0000686C0000}"/>
    <cellStyle name="Normal 11 2 2 2 3 3 2 5 2 3" xfId="28697" xr:uid="{00000000-0005-0000-0000-0000696C0000}"/>
    <cellStyle name="Normal 11 2 2 2 3 3 2 5 3" xfId="28698" xr:uid="{00000000-0005-0000-0000-00006A6C0000}"/>
    <cellStyle name="Normal 11 2 2 2 3 3 2 5 3 2" xfId="28699" xr:uid="{00000000-0005-0000-0000-00006B6C0000}"/>
    <cellStyle name="Normal 11 2 2 2 3 3 2 5 4" xfId="28700" xr:uid="{00000000-0005-0000-0000-00006C6C0000}"/>
    <cellStyle name="Normal 11 2 2 2 3 3 2 6" xfId="28701" xr:uid="{00000000-0005-0000-0000-00006D6C0000}"/>
    <cellStyle name="Normal 11 2 2 2 3 3 2 6 2" xfId="28702" xr:uid="{00000000-0005-0000-0000-00006E6C0000}"/>
    <cellStyle name="Normal 11 2 2 2 3 3 2 6 2 2" xfId="28703" xr:uid="{00000000-0005-0000-0000-00006F6C0000}"/>
    <cellStyle name="Normal 11 2 2 2 3 3 2 6 2 2 2" xfId="28704" xr:uid="{00000000-0005-0000-0000-0000706C0000}"/>
    <cellStyle name="Normal 11 2 2 2 3 3 2 6 2 3" xfId="28705" xr:uid="{00000000-0005-0000-0000-0000716C0000}"/>
    <cellStyle name="Normal 11 2 2 2 3 3 2 6 3" xfId="28706" xr:uid="{00000000-0005-0000-0000-0000726C0000}"/>
    <cellStyle name="Normal 11 2 2 2 3 3 2 6 3 2" xfId="28707" xr:uid="{00000000-0005-0000-0000-0000736C0000}"/>
    <cellStyle name="Normal 11 2 2 2 3 3 2 6 4" xfId="28708" xr:uid="{00000000-0005-0000-0000-0000746C0000}"/>
    <cellStyle name="Normal 11 2 2 2 3 3 2 7" xfId="28709" xr:uid="{00000000-0005-0000-0000-0000756C0000}"/>
    <cellStyle name="Normal 11 2 2 2 3 3 2 7 2" xfId="28710" xr:uid="{00000000-0005-0000-0000-0000766C0000}"/>
    <cellStyle name="Normal 11 2 2 2 3 3 2 7 2 2" xfId="28711" xr:uid="{00000000-0005-0000-0000-0000776C0000}"/>
    <cellStyle name="Normal 11 2 2 2 3 3 2 7 2 2 2" xfId="28712" xr:uid="{00000000-0005-0000-0000-0000786C0000}"/>
    <cellStyle name="Normal 11 2 2 2 3 3 2 7 2 3" xfId="28713" xr:uid="{00000000-0005-0000-0000-0000796C0000}"/>
    <cellStyle name="Normal 11 2 2 2 3 3 2 7 3" xfId="28714" xr:uid="{00000000-0005-0000-0000-00007A6C0000}"/>
    <cellStyle name="Normal 11 2 2 2 3 3 2 7 3 2" xfId="28715" xr:uid="{00000000-0005-0000-0000-00007B6C0000}"/>
    <cellStyle name="Normal 11 2 2 2 3 3 2 7 4" xfId="28716" xr:uid="{00000000-0005-0000-0000-00007C6C0000}"/>
    <cellStyle name="Normal 11 2 2 2 3 3 2 8" xfId="28717" xr:uid="{00000000-0005-0000-0000-00007D6C0000}"/>
    <cellStyle name="Normal 11 2 2 2 3 3 2 8 2" xfId="28718" xr:uid="{00000000-0005-0000-0000-00007E6C0000}"/>
    <cellStyle name="Normal 11 2 2 2 3 3 2 8 2 2" xfId="28719" xr:uid="{00000000-0005-0000-0000-00007F6C0000}"/>
    <cellStyle name="Normal 11 2 2 2 3 3 2 8 3" xfId="28720" xr:uid="{00000000-0005-0000-0000-0000806C0000}"/>
    <cellStyle name="Normal 11 2 2 2 3 3 2 9" xfId="28721" xr:uid="{00000000-0005-0000-0000-0000816C0000}"/>
    <cellStyle name="Normal 11 2 2 2 3 3 2 9 2" xfId="28722" xr:uid="{00000000-0005-0000-0000-0000826C0000}"/>
    <cellStyle name="Normal 11 2 2 2 3 3 3" xfId="1390" xr:uid="{00000000-0005-0000-0000-0000836C0000}"/>
    <cellStyle name="Normal 11 2 2 2 3 3 3 2" xfId="28724" xr:uid="{00000000-0005-0000-0000-0000846C0000}"/>
    <cellStyle name="Normal 11 2 2 2 3 3 3 2 2" xfId="28725" xr:uid="{00000000-0005-0000-0000-0000856C0000}"/>
    <cellStyle name="Normal 11 2 2 2 3 3 3 2 2 2" xfId="28726" xr:uid="{00000000-0005-0000-0000-0000866C0000}"/>
    <cellStyle name="Normal 11 2 2 2 3 3 3 2 2 2 2" xfId="28727" xr:uid="{00000000-0005-0000-0000-0000876C0000}"/>
    <cellStyle name="Normal 11 2 2 2 3 3 3 2 2 3" xfId="28728" xr:uid="{00000000-0005-0000-0000-0000886C0000}"/>
    <cellStyle name="Normal 11 2 2 2 3 3 3 2 3" xfId="28729" xr:uid="{00000000-0005-0000-0000-0000896C0000}"/>
    <cellStyle name="Normal 11 2 2 2 3 3 3 2 3 2" xfId="28730" xr:uid="{00000000-0005-0000-0000-00008A6C0000}"/>
    <cellStyle name="Normal 11 2 2 2 3 3 3 2 4" xfId="28731" xr:uid="{00000000-0005-0000-0000-00008B6C0000}"/>
    <cellStyle name="Normal 11 2 2 2 3 3 3 3" xfId="28732" xr:uid="{00000000-0005-0000-0000-00008C6C0000}"/>
    <cellStyle name="Normal 11 2 2 2 3 3 3 3 2" xfId="28733" xr:uid="{00000000-0005-0000-0000-00008D6C0000}"/>
    <cellStyle name="Normal 11 2 2 2 3 3 3 3 2 2" xfId="28734" xr:uid="{00000000-0005-0000-0000-00008E6C0000}"/>
    <cellStyle name="Normal 11 2 2 2 3 3 3 3 2 2 2" xfId="28735" xr:uid="{00000000-0005-0000-0000-00008F6C0000}"/>
    <cellStyle name="Normal 11 2 2 2 3 3 3 3 2 3" xfId="28736" xr:uid="{00000000-0005-0000-0000-0000906C0000}"/>
    <cellStyle name="Normal 11 2 2 2 3 3 3 3 3" xfId="28737" xr:uid="{00000000-0005-0000-0000-0000916C0000}"/>
    <cellStyle name="Normal 11 2 2 2 3 3 3 3 3 2" xfId="28738" xr:uid="{00000000-0005-0000-0000-0000926C0000}"/>
    <cellStyle name="Normal 11 2 2 2 3 3 3 3 4" xfId="28739" xr:uid="{00000000-0005-0000-0000-0000936C0000}"/>
    <cellStyle name="Normal 11 2 2 2 3 3 3 4" xfId="28740" xr:uid="{00000000-0005-0000-0000-0000946C0000}"/>
    <cellStyle name="Normal 11 2 2 2 3 3 3 4 2" xfId="28741" xr:uid="{00000000-0005-0000-0000-0000956C0000}"/>
    <cellStyle name="Normal 11 2 2 2 3 3 3 4 2 2" xfId="28742" xr:uid="{00000000-0005-0000-0000-0000966C0000}"/>
    <cellStyle name="Normal 11 2 2 2 3 3 3 4 3" xfId="28743" xr:uid="{00000000-0005-0000-0000-0000976C0000}"/>
    <cellStyle name="Normal 11 2 2 2 3 3 3 5" xfId="28744" xr:uid="{00000000-0005-0000-0000-0000986C0000}"/>
    <cellStyle name="Normal 11 2 2 2 3 3 3 5 2" xfId="28745" xr:uid="{00000000-0005-0000-0000-0000996C0000}"/>
    <cellStyle name="Normal 11 2 2 2 3 3 3 6" xfId="28746" xr:uid="{00000000-0005-0000-0000-00009A6C0000}"/>
    <cellStyle name="Normal 11 2 2 2 3 3 3 7" xfId="28723" xr:uid="{00000000-0005-0000-0000-00009B6C0000}"/>
    <cellStyle name="Normal 11 2 2 2 3 3 4" xfId="28747" xr:uid="{00000000-0005-0000-0000-00009C6C0000}"/>
    <cellStyle name="Normal 11 2 2 2 3 3 4 2" xfId="28748" xr:uid="{00000000-0005-0000-0000-00009D6C0000}"/>
    <cellStyle name="Normal 11 2 2 2 3 3 4 2 2" xfId="28749" xr:uid="{00000000-0005-0000-0000-00009E6C0000}"/>
    <cellStyle name="Normal 11 2 2 2 3 3 4 2 2 2" xfId="28750" xr:uid="{00000000-0005-0000-0000-00009F6C0000}"/>
    <cellStyle name="Normal 11 2 2 2 3 3 4 2 2 2 2" xfId="28751" xr:uid="{00000000-0005-0000-0000-0000A06C0000}"/>
    <cellStyle name="Normal 11 2 2 2 3 3 4 2 2 3" xfId="28752" xr:uid="{00000000-0005-0000-0000-0000A16C0000}"/>
    <cellStyle name="Normal 11 2 2 2 3 3 4 2 3" xfId="28753" xr:uid="{00000000-0005-0000-0000-0000A26C0000}"/>
    <cellStyle name="Normal 11 2 2 2 3 3 4 2 3 2" xfId="28754" xr:uid="{00000000-0005-0000-0000-0000A36C0000}"/>
    <cellStyle name="Normal 11 2 2 2 3 3 4 2 4" xfId="28755" xr:uid="{00000000-0005-0000-0000-0000A46C0000}"/>
    <cellStyle name="Normal 11 2 2 2 3 3 4 3" xfId="28756" xr:uid="{00000000-0005-0000-0000-0000A56C0000}"/>
    <cellStyle name="Normal 11 2 2 2 3 3 4 3 2" xfId="28757" xr:uid="{00000000-0005-0000-0000-0000A66C0000}"/>
    <cellStyle name="Normal 11 2 2 2 3 3 4 3 2 2" xfId="28758" xr:uid="{00000000-0005-0000-0000-0000A76C0000}"/>
    <cellStyle name="Normal 11 2 2 2 3 3 4 3 3" xfId="28759" xr:uid="{00000000-0005-0000-0000-0000A86C0000}"/>
    <cellStyle name="Normal 11 2 2 2 3 3 4 4" xfId="28760" xr:uid="{00000000-0005-0000-0000-0000A96C0000}"/>
    <cellStyle name="Normal 11 2 2 2 3 3 4 4 2" xfId="28761" xr:uid="{00000000-0005-0000-0000-0000AA6C0000}"/>
    <cellStyle name="Normal 11 2 2 2 3 3 4 5" xfId="28762" xr:uid="{00000000-0005-0000-0000-0000AB6C0000}"/>
    <cellStyle name="Normal 11 2 2 2 3 3 5" xfId="28763" xr:uid="{00000000-0005-0000-0000-0000AC6C0000}"/>
    <cellStyle name="Normal 11 2 2 2 3 3 5 2" xfId="28764" xr:uid="{00000000-0005-0000-0000-0000AD6C0000}"/>
    <cellStyle name="Normal 11 2 2 2 3 3 5 2 2" xfId="28765" xr:uid="{00000000-0005-0000-0000-0000AE6C0000}"/>
    <cellStyle name="Normal 11 2 2 2 3 3 5 2 2 2" xfId="28766" xr:uid="{00000000-0005-0000-0000-0000AF6C0000}"/>
    <cellStyle name="Normal 11 2 2 2 3 3 5 2 2 2 2" xfId="28767" xr:uid="{00000000-0005-0000-0000-0000B06C0000}"/>
    <cellStyle name="Normal 11 2 2 2 3 3 5 2 2 3" xfId="28768" xr:uid="{00000000-0005-0000-0000-0000B16C0000}"/>
    <cellStyle name="Normal 11 2 2 2 3 3 5 2 3" xfId="28769" xr:uid="{00000000-0005-0000-0000-0000B26C0000}"/>
    <cellStyle name="Normal 11 2 2 2 3 3 5 2 3 2" xfId="28770" xr:uid="{00000000-0005-0000-0000-0000B36C0000}"/>
    <cellStyle name="Normal 11 2 2 2 3 3 5 2 4" xfId="28771" xr:uid="{00000000-0005-0000-0000-0000B46C0000}"/>
    <cellStyle name="Normal 11 2 2 2 3 3 5 3" xfId="28772" xr:uid="{00000000-0005-0000-0000-0000B56C0000}"/>
    <cellStyle name="Normal 11 2 2 2 3 3 5 3 2" xfId="28773" xr:uid="{00000000-0005-0000-0000-0000B66C0000}"/>
    <cellStyle name="Normal 11 2 2 2 3 3 5 3 2 2" xfId="28774" xr:uid="{00000000-0005-0000-0000-0000B76C0000}"/>
    <cellStyle name="Normal 11 2 2 2 3 3 5 3 3" xfId="28775" xr:uid="{00000000-0005-0000-0000-0000B86C0000}"/>
    <cellStyle name="Normal 11 2 2 2 3 3 5 4" xfId="28776" xr:uid="{00000000-0005-0000-0000-0000B96C0000}"/>
    <cellStyle name="Normal 11 2 2 2 3 3 5 4 2" xfId="28777" xr:uid="{00000000-0005-0000-0000-0000BA6C0000}"/>
    <cellStyle name="Normal 11 2 2 2 3 3 5 5" xfId="28778" xr:uid="{00000000-0005-0000-0000-0000BB6C0000}"/>
    <cellStyle name="Normal 11 2 2 2 3 3 6" xfId="28779" xr:uid="{00000000-0005-0000-0000-0000BC6C0000}"/>
    <cellStyle name="Normal 11 2 2 2 3 3 6 2" xfId="28780" xr:uid="{00000000-0005-0000-0000-0000BD6C0000}"/>
    <cellStyle name="Normal 11 2 2 2 3 3 6 2 2" xfId="28781" xr:uid="{00000000-0005-0000-0000-0000BE6C0000}"/>
    <cellStyle name="Normal 11 2 2 2 3 3 6 2 2 2" xfId="28782" xr:uid="{00000000-0005-0000-0000-0000BF6C0000}"/>
    <cellStyle name="Normal 11 2 2 2 3 3 6 2 3" xfId="28783" xr:uid="{00000000-0005-0000-0000-0000C06C0000}"/>
    <cellStyle name="Normal 11 2 2 2 3 3 6 3" xfId="28784" xr:uid="{00000000-0005-0000-0000-0000C16C0000}"/>
    <cellStyle name="Normal 11 2 2 2 3 3 6 3 2" xfId="28785" xr:uid="{00000000-0005-0000-0000-0000C26C0000}"/>
    <cellStyle name="Normal 11 2 2 2 3 3 6 4" xfId="28786" xr:uid="{00000000-0005-0000-0000-0000C36C0000}"/>
    <cellStyle name="Normal 11 2 2 2 3 3 7" xfId="28787" xr:uid="{00000000-0005-0000-0000-0000C46C0000}"/>
    <cellStyle name="Normal 11 2 2 2 3 3 7 2" xfId="28788" xr:uid="{00000000-0005-0000-0000-0000C56C0000}"/>
    <cellStyle name="Normal 11 2 2 2 3 3 7 2 2" xfId="28789" xr:uid="{00000000-0005-0000-0000-0000C66C0000}"/>
    <cellStyle name="Normal 11 2 2 2 3 3 7 2 2 2" xfId="28790" xr:uid="{00000000-0005-0000-0000-0000C76C0000}"/>
    <cellStyle name="Normal 11 2 2 2 3 3 7 2 3" xfId="28791" xr:uid="{00000000-0005-0000-0000-0000C86C0000}"/>
    <cellStyle name="Normal 11 2 2 2 3 3 7 3" xfId="28792" xr:uid="{00000000-0005-0000-0000-0000C96C0000}"/>
    <cellStyle name="Normal 11 2 2 2 3 3 7 3 2" xfId="28793" xr:uid="{00000000-0005-0000-0000-0000CA6C0000}"/>
    <cellStyle name="Normal 11 2 2 2 3 3 7 4" xfId="28794" xr:uid="{00000000-0005-0000-0000-0000CB6C0000}"/>
    <cellStyle name="Normal 11 2 2 2 3 3 8" xfId="28795" xr:uid="{00000000-0005-0000-0000-0000CC6C0000}"/>
    <cellStyle name="Normal 11 2 2 2 3 3 8 2" xfId="28796" xr:uid="{00000000-0005-0000-0000-0000CD6C0000}"/>
    <cellStyle name="Normal 11 2 2 2 3 3 8 2 2" xfId="28797" xr:uid="{00000000-0005-0000-0000-0000CE6C0000}"/>
    <cellStyle name="Normal 11 2 2 2 3 3 8 2 2 2" xfId="28798" xr:uid="{00000000-0005-0000-0000-0000CF6C0000}"/>
    <cellStyle name="Normal 11 2 2 2 3 3 8 2 3" xfId="28799" xr:uid="{00000000-0005-0000-0000-0000D06C0000}"/>
    <cellStyle name="Normal 11 2 2 2 3 3 8 3" xfId="28800" xr:uid="{00000000-0005-0000-0000-0000D16C0000}"/>
    <cellStyle name="Normal 11 2 2 2 3 3 8 3 2" xfId="28801" xr:uid="{00000000-0005-0000-0000-0000D26C0000}"/>
    <cellStyle name="Normal 11 2 2 2 3 3 8 4" xfId="28802" xr:uid="{00000000-0005-0000-0000-0000D36C0000}"/>
    <cellStyle name="Normal 11 2 2 2 3 3 9" xfId="28803" xr:uid="{00000000-0005-0000-0000-0000D46C0000}"/>
    <cellStyle name="Normal 11 2 2 2 3 3 9 2" xfId="28804" xr:uid="{00000000-0005-0000-0000-0000D56C0000}"/>
    <cellStyle name="Normal 11 2 2 2 3 3 9 2 2" xfId="28805" xr:uid="{00000000-0005-0000-0000-0000D66C0000}"/>
    <cellStyle name="Normal 11 2 2 2 3 3 9 3" xfId="28806" xr:uid="{00000000-0005-0000-0000-0000D76C0000}"/>
    <cellStyle name="Normal 11 2 2 2 3 4" xfId="986" xr:uid="{00000000-0005-0000-0000-0000D86C0000}"/>
    <cellStyle name="Normal 11 2 2 2 3 4 10" xfId="28808" xr:uid="{00000000-0005-0000-0000-0000D96C0000}"/>
    <cellStyle name="Normal 11 2 2 2 3 4 11" xfId="28807" xr:uid="{00000000-0005-0000-0000-0000DA6C0000}"/>
    <cellStyle name="Normal 11 2 2 2 3 4 2" xfId="1715" xr:uid="{00000000-0005-0000-0000-0000DB6C0000}"/>
    <cellStyle name="Normal 11 2 2 2 3 4 2 2" xfId="28810" xr:uid="{00000000-0005-0000-0000-0000DC6C0000}"/>
    <cellStyle name="Normal 11 2 2 2 3 4 2 2 2" xfId="28811" xr:uid="{00000000-0005-0000-0000-0000DD6C0000}"/>
    <cellStyle name="Normal 11 2 2 2 3 4 2 2 2 2" xfId="28812" xr:uid="{00000000-0005-0000-0000-0000DE6C0000}"/>
    <cellStyle name="Normal 11 2 2 2 3 4 2 2 2 2 2" xfId="28813" xr:uid="{00000000-0005-0000-0000-0000DF6C0000}"/>
    <cellStyle name="Normal 11 2 2 2 3 4 2 2 2 3" xfId="28814" xr:uid="{00000000-0005-0000-0000-0000E06C0000}"/>
    <cellStyle name="Normal 11 2 2 2 3 4 2 2 3" xfId="28815" xr:uid="{00000000-0005-0000-0000-0000E16C0000}"/>
    <cellStyle name="Normal 11 2 2 2 3 4 2 2 3 2" xfId="28816" xr:uid="{00000000-0005-0000-0000-0000E26C0000}"/>
    <cellStyle name="Normal 11 2 2 2 3 4 2 2 4" xfId="28817" xr:uid="{00000000-0005-0000-0000-0000E36C0000}"/>
    <cellStyle name="Normal 11 2 2 2 3 4 2 3" xfId="28818" xr:uid="{00000000-0005-0000-0000-0000E46C0000}"/>
    <cellStyle name="Normal 11 2 2 2 3 4 2 3 2" xfId="28819" xr:uid="{00000000-0005-0000-0000-0000E56C0000}"/>
    <cellStyle name="Normal 11 2 2 2 3 4 2 3 2 2" xfId="28820" xr:uid="{00000000-0005-0000-0000-0000E66C0000}"/>
    <cellStyle name="Normal 11 2 2 2 3 4 2 3 2 2 2" xfId="28821" xr:uid="{00000000-0005-0000-0000-0000E76C0000}"/>
    <cellStyle name="Normal 11 2 2 2 3 4 2 3 2 3" xfId="28822" xr:uid="{00000000-0005-0000-0000-0000E86C0000}"/>
    <cellStyle name="Normal 11 2 2 2 3 4 2 3 3" xfId="28823" xr:uid="{00000000-0005-0000-0000-0000E96C0000}"/>
    <cellStyle name="Normal 11 2 2 2 3 4 2 3 3 2" xfId="28824" xr:uid="{00000000-0005-0000-0000-0000EA6C0000}"/>
    <cellStyle name="Normal 11 2 2 2 3 4 2 3 4" xfId="28825" xr:uid="{00000000-0005-0000-0000-0000EB6C0000}"/>
    <cellStyle name="Normal 11 2 2 2 3 4 2 4" xfId="28826" xr:uid="{00000000-0005-0000-0000-0000EC6C0000}"/>
    <cellStyle name="Normal 11 2 2 2 3 4 2 4 2" xfId="28827" xr:uid="{00000000-0005-0000-0000-0000ED6C0000}"/>
    <cellStyle name="Normal 11 2 2 2 3 4 2 4 2 2" xfId="28828" xr:uid="{00000000-0005-0000-0000-0000EE6C0000}"/>
    <cellStyle name="Normal 11 2 2 2 3 4 2 4 3" xfId="28829" xr:uid="{00000000-0005-0000-0000-0000EF6C0000}"/>
    <cellStyle name="Normal 11 2 2 2 3 4 2 5" xfId="28830" xr:uid="{00000000-0005-0000-0000-0000F06C0000}"/>
    <cellStyle name="Normal 11 2 2 2 3 4 2 5 2" xfId="28831" xr:uid="{00000000-0005-0000-0000-0000F16C0000}"/>
    <cellStyle name="Normal 11 2 2 2 3 4 2 6" xfId="28832" xr:uid="{00000000-0005-0000-0000-0000F26C0000}"/>
    <cellStyle name="Normal 11 2 2 2 3 4 2 7" xfId="28809" xr:uid="{00000000-0005-0000-0000-0000F36C0000}"/>
    <cellStyle name="Normal 11 2 2 2 3 4 3" xfId="28833" xr:uid="{00000000-0005-0000-0000-0000F46C0000}"/>
    <cellStyle name="Normal 11 2 2 2 3 4 3 2" xfId="28834" xr:uid="{00000000-0005-0000-0000-0000F56C0000}"/>
    <cellStyle name="Normal 11 2 2 2 3 4 3 2 2" xfId="28835" xr:uid="{00000000-0005-0000-0000-0000F66C0000}"/>
    <cellStyle name="Normal 11 2 2 2 3 4 3 2 2 2" xfId="28836" xr:uid="{00000000-0005-0000-0000-0000F76C0000}"/>
    <cellStyle name="Normal 11 2 2 2 3 4 3 2 2 2 2" xfId="28837" xr:uid="{00000000-0005-0000-0000-0000F86C0000}"/>
    <cellStyle name="Normal 11 2 2 2 3 4 3 2 2 3" xfId="28838" xr:uid="{00000000-0005-0000-0000-0000F96C0000}"/>
    <cellStyle name="Normal 11 2 2 2 3 4 3 2 3" xfId="28839" xr:uid="{00000000-0005-0000-0000-0000FA6C0000}"/>
    <cellStyle name="Normal 11 2 2 2 3 4 3 2 3 2" xfId="28840" xr:uid="{00000000-0005-0000-0000-0000FB6C0000}"/>
    <cellStyle name="Normal 11 2 2 2 3 4 3 2 4" xfId="28841" xr:uid="{00000000-0005-0000-0000-0000FC6C0000}"/>
    <cellStyle name="Normal 11 2 2 2 3 4 3 3" xfId="28842" xr:uid="{00000000-0005-0000-0000-0000FD6C0000}"/>
    <cellStyle name="Normal 11 2 2 2 3 4 3 3 2" xfId="28843" xr:uid="{00000000-0005-0000-0000-0000FE6C0000}"/>
    <cellStyle name="Normal 11 2 2 2 3 4 3 3 2 2" xfId="28844" xr:uid="{00000000-0005-0000-0000-0000FF6C0000}"/>
    <cellStyle name="Normal 11 2 2 2 3 4 3 3 3" xfId="28845" xr:uid="{00000000-0005-0000-0000-0000006D0000}"/>
    <cellStyle name="Normal 11 2 2 2 3 4 3 4" xfId="28846" xr:uid="{00000000-0005-0000-0000-0000016D0000}"/>
    <cellStyle name="Normal 11 2 2 2 3 4 3 4 2" xfId="28847" xr:uid="{00000000-0005-0000-0000-0000026D0000}"/>
    <cellStyle name="Normal 11 2 2 2 3 4 3 5" xfId="28848" xr:uid="{00000000-0005-0000-0000-0000036D0000}"/>
    <cellStyle name="Normal 11 2 2 2 3 4 4" xfId="28849" xr:uid="{00000000-0005-0000-0000-0000046D0000}"/>
    <cellStyle name="Normal 11 2 2 2 3 4 4 2" xfId="28850" xr:uid="{00000000-0005-0000-0000-0000056D0000}"/>
    <cellStyle name="Normal 11 2 2 2 3 4 4 2 2" xfId="28851" xr:uid="{00000000-0005-0000-0000-0000066D0000}"/>
    <cellStyle name="Normal 11 2 2 2 3 4 4 2 2 2" xfId="28852" xr:uid="{00000000-0005-0000-0000-0000076D0000}"/>
    <cellStyle name="Normal 11 2 2 2 3 4 4 2 2 2 2" xfId="28853" xr:uid="{00000000-0005-0000-0000-0000086D0000}"/>
    <cellStyle name="Normal 11 2 2 2 3 4 4 2 2 3" xfId="28854" xr:uid="{00000000-0005-0000-0000-0000096D0000}"/>
    <cellStyle name="Normal 11 2 2 2 3 4 4 2 3" xfId="28855" xr:uid="{00000000-0005-0000-0000-00000A6D0000}"/>
    <cellStyle name="Normal 11 2 2 2 3 4 4 2 3 2" xfId="28856" xr:uid="{00000000-0005-0000-0000-00000B6D0000}"/>
    <cellStyle name="Normal 11 2 2 2 3 4 4 2 4" xfId="28857" xr:uid="{00000000-0005-0000-0000-00000C6D0000}"/>
    <cellStyle name="Normal 11 2 2 2 3 4 4 3" xfId="28858" xr:uid="{00000000-0005-0000-0000-00000D6D0000}"/>
    <cellStyle name="Normal 11 2 2 2 3 4 4 3 2" xfId="28859" xr:uid="{00000000-0005-0000-0000-00000E6D0000}"/>
    <cellStyle name="Normal 11 2 2 2 3 4 4 3 2 2" xfId="28860" xr:uid="{00000000-0005-0000-0000-00000F6D0000}"/>
    <cellStyle name="Normal 11 2 2 2 3 4 4 3 3" xfId="28861" xr:uid="{00000000-0005-0000-0000-0000106D0000}"/>
    <cellStyle name="Normal 11 2 2 2 3 4 4 4" xfId="28862" xr:uid="{00000000-0005-0000-0000-0000116D0000}"/>
    <cellStyle name="Normal 11 2 2 2 3 4 4 4 2" xfId="28863" xr:uid="{00000000-0005-0000-0000-0000126D0000}"/>
    <cellStyle name="Normal 11 2 2 2 3 4 4 5" xfId="28864" xr:uid="{00000000-0005-0000-0000-0000136D0000}"/>
    <cellStyle name="Normal 11 2 2 2 3 4 5" xfId="28865" xr:uid="{00000000-0005-0000-0000-0000146D0000}"/>
    <cellStyle name="Normal 11 2 2 2 3 4 5 2" xfId="28866" xr:uid="{00000000-0005-0000-0000-0000156D0000}"/>
    <cellStyle name="Normal 11 2 2 2 3 4 5 2 2" xfId="28867" xr:uid="{00000000-0005-0000-0000-0000166D0000}"/>
    <cellStyle name="Normal 11 2 2 2 3 4 5 2 2 2" xfId="28868" xr:uid="{00000000-0005-0000-0000-0000176D0000}"/>
    <cellStyle name="Normal 11 2 2 2 3 4 5 2 3" xfId="28869" xr:uid="{00000000-0005-0000-0000-0000186D0000}"/>
    <cellStyle name="Normal 11 2 2 2 3 4 5 3" xfId="28870" xr:uid="{00000000-0005-0000-0000-0000196D0000}"/>
    <cellStyle name="Normal 11 2 2 2 3 4 5 3 2" xfId="28871" xr:uid="{00000000-0005-0000-0000-00001A6D0000}"/>
    <cellStyle name="Normal 11 2 2 2 3 4 5 4" xfId="28872" xr:uid="{00000000-0005-0000-0000-00001B6D0000}"/>
    <cellStyle name="Normal 11 2 2 2 3 4 6" xfId="28873" xr:uid="{00000000-0005-0000-0000-00001C6D0000}"/>
    <cellStyle name="Normal 11 2 2 2 3 4 6 2" xfId="28874" xr:uid="{00000000-0005-0000-0000-00001D6D0000}"/>
    <cellStyle name="Normal 11 2 2 2 3 4 6 2 2" xfId="28875" xr:uid="{00000000-0005-0000-0000-00001E6D0000}"/>
    <cellStyle name="Normal 11 2 2 2 3 4 6 2 2 2" xfId="28876" xr:uid="{00000000-0005-0000-0000-00001F6D0000}"/>
    <cellStyle name="Normal 11 2 2 2 3 4 6 2 3" xfId="28877" xr:uid="{00000000-0005-0000-0000-0000206D0000}"/>
    <cellStyle name="Normal 11 2 2 2 3 4 6 3" xfId="28878" xr:uid="{00000000-0005-0000-0000-0000216D0000}"/>
    <cellStyle name="Normal 11 2 2 2 3 4 6 3 2" xfId="28879" xr:uid="{00000000-0005-0000-0000-0000226D0000}"/>
    <cellStyle name="Normal 11 2 2 2 3 4 6 4" xfId="28880" xr:uid="{00000000-0005-0000-0000-0000236D0000}"/>
    <cellStyle name="Normal 11 2 2 2 3 4 7" xfId="28881" xr:uid="{00000000-0005-0000-0000-0000246D0000}"/>
    <cellStyle name="Normal 11 2 2 2 3 4 7 2" xfId="28882" xr:uid="{00000000-0005-0000-0000-0000256D0000}"/>
    <cellStyle name="Normal 11 2 2 2 3 4 7 2 2" xfId="28883" xr:uid="{00000000-0005-0000-0000-0000266D0000}"/>
    <cellStyle name="Normal 11 2 2 2 3 4 7 2 2 2" xfId="28884" xr:uid="{00000000-0005-0000-0000-0000276D0000}"/>
    <cellStyle name="Normal 11 2 2 2 3 4 7 2 3" xfId="28885" xr:uid="{00000000-0005-0000-0000-0000286D0000}"/>
    <cellStyle name="Normal 11 2 2 2 3 4 7 3" xfId="28886" xr:uid="{00000000-0005-0000-0000-0000296D0000}"/>
    <cellStyle name="Normal 11 2 2 2 3 4 7 3 2" xfId="28887" xr:uid="{00000000-0005-0000-0000-00002A6D0000}"/>
    <cellStyle name="Normal 11 2 2 2 3 4 7 4" xfId="28888" xr:uid="{00000000-0005-0000-0000-00002B6D0000}"/>
    <cellStyle name="Normal 11 2 2 2 3 4 8" xfId="28889" xr:uid="{00000000-0005-0000-0000-00002C6D0000}"/>
    <cellStyle name="Normal 11 2 2 2 3 4 8 2" xfId="28890" xr:uid="{00000000-0005-0000-0000-00002D6D0000}"/>
    <cellStyle name="Normal 11 2 2 2 3 4 8 2 2" xfId="28891" xr:uid="{00000000-0005-0000-0000-00002E6D0000}"/>
    <cellStyle name="Normal 11 2 2 2 3 4 8 3" xfId="28892" xr:uid="{00000000-0005-0000-0000-00002F6D0000}"/>
    <cellStyle name="Normal 11 2 2 2 3 4 9" xfId="28893" xr:uid="{00000000-0005-0000-0000-0000306D0000}"/>
    <cellStyle name="Normal 11 2 2 2 3 4 9 2" xfId="28894" xr:uid="{00000000-0005-0000-0000-0000316D0000}"/>
    <cellStyle name="Normal 11 2 2 2 3 5" xfId="1388" xr:uid="{00000000-0005-0000-0000-0000326D0000}"/>
    <cellStyle name="Normal 11 2 2 2 3 5 2" xfId="28896" xr:uid="{00000000-0005-0000-0000-0000336D0000}"/>
    <cellStyle name="Normal 11 2 2 2 3 5 2 2" xfId="28897" xr:uid="{00000000-0005-0000-0000-0000346D0000}"/>
    <cellStyle name="Normal 11 2 2 2 3 5 2 2 2" xfId="28898" xr:uid="{00000000-0005-0000-0000-0000356D0000}"/>
    <cellStyle name="Normal 11 2 2 2 3 5 2 2 2 2" xfId="28899" xr:uid="{00000000-0005-0000-0000-0000366D0000}"/>
    <cellStyle name="Normal 11 2 2 2 3 5 2 2 3" xfId="28900" xr:uid="{00000000-0005-0000-0000-0000376D0000}"/>
    <cellStyle name="Normal 11 2 2 2 3 5 2 3" xfId="28901" xr:uid="{00000000-0005-0000-0000-0000386D0000}"/>
    <cellStyle name="Normal 11 2 2 2 3 5 2 3 2" xfId="28902" xr:uid="{00000000-0005-0000-0000-0000396D0000}"/>
    <cellStyle name="Normal 11 2 2 2 3 5 2 4" xfId="28903" xr:uid="{00000000-0005-0000-0000-00003A6D0000}"/>
    <cellStyle name="Normal 11 2 2 2 3 5 3" xfId="28904" xr:uid="{00000000-0005-0000-0000-00003B6D0000}"/>
    <cellStyle name="Normal 11 2 2 2 3 5 3 2" xfId="28905" xr:uid="{00000000-0005-0000-0000-00003C6D0000}"/>
    <cellStyle name="Normal 11 2 2 2 3 5 3 2 2" xfId="28906" xr:uid="{00000000-0005-0000-0000-00003D6D0000}"/>
    <cellStyle name="Normal 11 2 2 2 3 5 3 2 2 2" xfId="28907" xr:uid="{00000000-0005-0000-0000-00003E6D0000}"/>
    <cellStyle name="Normal 11 2 2 2 3 5 3 2 3" xfId="28908" xr:uid="{00000000-0005-0000-0000-00003F6D0000}"/>
    <cellStyle name="Normal 11 2 2 2 3 5 3 3" xfId="28909" xr:uid="{00000000-0005-0000-0000-0000406D0000}"/>
    <cellStyle name="Normal 11 2 2 2 3 5 3 3 2" xfId="28910" xr:uid="{00000000-0005-0000-0000-0000416D0000}"/>
    <cellStyle name="Normal 11 2 2 2 3 5 3 4" xfId="28911" xr:uid="{00000000-0005-0000-0000-0000426D0000}"/>
    <cellStyle name="Normal 11 2 2 2 3 5 4" xfId="28912" xr:uid="{00000000-0005-0000-0000-0000436D0000}"/>
    <cellStyle name="Normal 11 2 2 2 3 5 4 2" xfId="28913" xr:uid="{00000000-0005-0000-0000-0000446D0000}"/>
    <cellStyle name="Normal 11 2 2 2 3 5 4 2 2" xfId="28914" xr:uid="{00000000-0005-0000-0000-0000456D0000}"/>
    <cellStyle name="Normal 11 2 2 2 3 5 4 3" xfId="28915" xr:uid="{00000000-0005-0000-0000-0000466D0000}"/>
    <cellStyle name="Normal 11 2 2 2 3 5 5" xfId="28916" xr:uid="{00000000-0005-0000-0000-0000476D0000}"/>
    <cellStyle name="Normal 11 2 2 2 3 5 5 2" xfId="28917" xr:uid="{00000000-0005-0000-0000-0000486D0000}"/>
    <cellStyle name="Normal 11 2 2 2 3 5 6" xfId="28918" xr:uid="{00000000-0005-0000-0000-0000496D0000}"/>
    <cellStyle name="Normal 11 2 2 2 3 5 7" xfId="28895" xr:uid="{00000000-0005-0000-0000-00004A6D0000}"/>
    <cellStyle name="Normal 11 2 2 2 3 6" xfId="28919" xr:uid="{00000000-0005-0000-0000-00004B6D0000}"/>
    <cellStyle name="Normal 11 2 2 2 3 6 2" xfId="28920" xr:uid="{00000000-0005-0000-0000-00004C6D0000}"/>
    <cellStyle name="Normal 11 2 2 2 3 6 2 2" xfId="28921" xr:uid="{00000000-0005-0000-0000-00004D6D0000}"/>
    <cellStyle name="Normal 11 2 2 2 3 6 2 2 2" xfId="28922" xr:uid="{00000000-0005-0000-0000-00004E6D0000}"/>
    <cellStyle name="Normal 11 2 2 2 3 6 2 2 2 2" xfId="28923" xr:uid="{00000000-0005-0000-0000-00004F6D0000}"/>
    <cellStyle name="Normal 11 2 2 2 3 6 2 2 3" xfId="28924" xr:uid="{00000000-0005-0000-0000-0000506D0000}"/>
    <cellStyle name="Normal 11 2 2 2 3 6 2 3" xfId="28925" xr:uid="{00000000-0005-0000-0000-0000516D0000}"/>
    <cellStyle name="Normal 11 2 2 2 3 6 2 3 2" xfId="28926" xr:uid="{00000000-0005-0000-0000-0000526D0000}"/>
    <cellStyle name="Normal 11 2 2 2 3 6 2 4" xfId="28927" xr:uid="{00000000-0005-0000-0000-0000536D0000}"/>
    <cellStyle name="Normal 11 2 2 2 3 6 3" xfId="28928" xr:uid="{00000000-0005-0000-0000-0000546D0000}"/>
    <cellStyle name="Normal 11 2 2 2 3 6 3 2" xfId="28929" xr:uid="{00000000-0005-0000-0000-0000556D0000}"/>
    <cellStyle name="Normal 11 2 2 2 3 6 3 2 2" xfId="28930" xr:uid="{00000000-0005-0000-0000-0000566D0000}"/>
    <cellStyle name="Normal 11 2 2 2 3 6 3 3" xfId="28931" xr:uid="{00000000-0005-0000-0000-0000576D0000}"/>
    <cellStyle name="Normal 11 2 2 2 3 6 4" xfId="28932" xr:uid="{00000000-0005-0000-0000-0000586D0000}"/>
    <cellStyle name="Normal 11 2 2 2 3 6 4 2" xfId="28933" xr:uid="{00000000-0005-0000-0000-0000596D0000}"/>
    <cellStyle name="Normal 11 2 2 2 3 6 5" xfId="28934" xr:uid="{00000000-0005-0000-0000-00005A6D0000}"/>
    <cellStyle name="Normal 11 2 2 2 3 7" xfId="28935" xr:uid="{00000000-0005-0000-0000-00005B6D0000}"/>
    <cellStyle name="Normal 11 2 2 2 3 7 2" xfId="28936" xr:uid="{00000000-0005-0000-0000-00005C6D0000}"/>
    <cellStyle name="Normal 11 2 2 2 3 7 2 2" xfId="28937" xr:uid="{00000000-0005-0000-0000-00005D6D0000}"/>
    <cellStyle name="Normal 11 2 2 2 3 7 2 2 2" xfId="28938" xr:uid="{00000000-0005-0000-0000-00005E6D0000}"/>
    <cellStyle name="Normal 11 2 2 2 3 7 2 2 2 2" xfId="28939" xr:uid="{00000000-0005-0000-0000-00005F6D0000}"/>
    <cellStyle name="Normal 11 2 2 2 3 7 2 2 3" xfId="28940" xr:uid="{00000000-0005-0000-0000-0000606D0000}"/>
    <cellStyle name="Normal 11 2 2 2 3 7 2 3" xfId="28941" xr:uid="{00000000-0005-0000-0000-0000616D0000}"/>
    <cellStyle name="Normal 11 2 2 2 3 7 2 3 2" xfId="28942" xr:uid="{00000000-0005-0000-0000-0000626D0000}"/>
    <cellStyle name="Normal 11 2 2 2 3 7 2 4" xfId="28943" xr:uid="{00000000-0005-0000-0000-0000636D0000}"/>
    <cellStyle name="Normal 11 2 2 2 3 7 3" xfId="28944" xr:uid="{00000000-0005-0000-0000-0000646D0000}"/>
    <cellStyle name="Normal 11 2 2 2 3 7 3 2" xfId="28945" xr:uid="{00000000-0005-0000-0000-0000656D0000}"/>
    <cellStyle name="Normal 11 2 2 2 3 7 3 2 2" xfId="28946" xr:uid="{00000000-0005-0000-0000-0000666D0000}"/>
    <cellStyle name="Normal 11 2 2 2 3 7 3 3" xfId="28947" xr:uid="{00000000-0005-0000-0000-0000676D0000}"/>
    <cellStyle name="Normal 11 2 2 2 3 7 4" xfId="28948" xr:uid="{00000000-0005-0000-0000-0000686D0000}"/>
    <cellStyle name="Normal 11 2 2 2 3 7 4 2" xfId="28949" xr:uid="{00000000-0005-0000-0000-0000696D0000}"/>
    <cellStyle name="Normal 11 2 2 2 3 7 5" xfId="28950" xr:uid="{00000000-0005-0000-0000-00006A6D0000}"/>
    <cellStyle name="Normal 11 2 2 2 3 8" xfId="28951" xr:uid="{00000000-0005-0000-0000-00006B6D0000}"/>
    <cellStyle name="Normal 11 2 2 2 3 8 2" xfId="28952" xr:uid="{00000000-0005-0000-0000-00006C6D0000}"/>
    <cellStyle name="Normal 11 2 2 2 3 8 2 2" xfId="28953" xr:uid="{00000000-0005-0000-0000-00006D6D0000}"/>
    <cellStyle name="Normal 11 2 2 2 3 8 2 2 2" xfId="28954" xr:uid="{00000000-0005-0000-0000-00006E6D0000}"/>
    <cellStyle name="Normal 11 2 2 2 3 8 2 3" xfId="28955" xr:uid="{00000000-0005-0000-0000-00006F6D0000}"/>
    <cellStyle name="Normal 11 2 2 2 3 8 3" xfId="28956" xr:uid="{00000000-0005-0000-0000-0000706D0000}"/>
    <cellStyle name="Normal 11 2 2 2 3 8 3 2" xfId="28957" xr:uid="{00000000-0005-0000-0000-0000716D0000}"/>
    <cellStyle name="Normal 11 2 2 2 3 8 4" xfId="28958" xr:uid="{00000000-0005-0000-0000-0000726D0000}"/>
    <cellStyle name="Normal 11 2 2 2 3 9" xfId="28959" xr:uid="{00000000-0005-0000-0000-0000736D0000}"/>
    <cellStyle name="Normal 11 2 2 2 3 9 2" xfId="28960" xr:uid="{00000000-0005-0000-0000-0000746D0000}"/>
    <cellStyle name="Normal 11 2 2 2 3 9 2 2" xfId="28961" xr:uid="{00000000-0005-0000-0000-0000756D0000}"/>
    <cellStyle name="Normal 11 2 2 2 3 9 2 2 2" xfId="28962" xr:uid="{00000000-0005-0000-0000-0000766D0000}"/>
    <cellStyle name="Normal 11 2 2 2 3 9 2 3" xfId="28963" xr:uid="{00000000-0005-0000-0000-0000776D0000}"/>
    <cellStyle name="Normal 11 2 2 2 3 9 3" xfId="28964" xr:uid="{00000000-0005-0000-0000-0000786D0000}"/>
    <cellStyle name="Normal 11 2 2 2 3 9 3 2" xfId="28965" xr:uid="{00000000-0005-0000-0000-0000796D0000}"/>
    <cellStyle name="Normal 11 2 2 2 3 9 4" xfId="28966" xr:uid="{00000000-0005-0000-0000-00007A6D0000}"/>
    <cellStyle name="Normal 11 2 2 2 4" xfId="547" xr:uid="{00000000-0005-0000-0000-00007B6D0000}"/>
    <cellStyle name="Normal 11 2 2 2 4 10" xfId="28968" xr:uid="{00000000-0005-0000-0000-00007C6D0000}"/>
    <cellStyle name="Normal 11 2 2 2 4 10 2" xfId="28969" xr:uid="{00000000-0005-0000-0000-00007D6D0000}"/>
    <cellStyle name="Normal 11 2 2 2 4 10 2 2" xfId="28970" xr:uid="{00000000-0005-0000-0000-00007E6D0000}"/>
    <cellStyle name="Normal 11 2 2 2 4 10 3" xfId="28971" xr:uid="{00000000-0005-0000-0000-00007F6D0000}"/>
    <cellStyle name="Normal 11 2 2 2 4 11" xfId="28972" xr:uid="{00000000-0005-0000-0000-0000806D0000}"/>
    <cellStyle name="Normal 11 2 2 2 4 11 2" xfId="28973" xr:uid="{00000000-0005-0000-0000-0000816D0000}"/>
    <cellStyle name="Normal 11 2 2 2 4 11 2 2" xfId="28974" xr:uid="{00000000-0005-0000-0000-0000826D0000}"/>
    <cellStyle name="Normal 11 2 2 2 4 11 3" xfId="28975" xr:uid="{00000000-0005-0000-0000-0000836D0000}"/>
    <cellStyle name="Normal 11 2 2 2 4 12" xfId="28976" xr:uid="{00000000-0005-0000-0000-0000846D0000}"/>
    <cellStyle name="Normal 11 2 2 2 4 12 2" xfId="28977" xr:uid="{00000000-0005-0000-0000-0000856D0000}"/>
    <cellStyle name="Normal 11 2 2 2 4 13" xfId="28978" xr:uid="{00000000-0005-0000-0000-0000866D0000}"/>
    <cellStyle name="Normal 11 2 2 2 4 14" xfId="28979" xr:uid="{00000000-0005-0000-0000-0000876D0000}"/>
    <cellStyle name="Normal 11 2 2 2 4 15" xfId="28967" xr:uid="{00000000-0005-0000-0000-0000886D0000}"/>
    <cellStyle name="Normal 11 2 2 2 4 2" xfId="989" xr:uid="{00000000-0005-0000-0000-0000896D0000}"/>
    <cellStyle name="Normal 11 2 2 2 4 2 10" xfId="28981" xr:uid="{00000000-0005-0000-0000-00008A6D0000}"/>
    <cellStyle name="Normal 11 2 2 2 4 2 11" xfId="28980" xr:uid="{00000000-0005-0000-0000-00008B6D0000}"/>
    <cellStyle name="Normal 11 2 2 2 4 2 2" xfId="1718" xr:uid="{00000000-0005-0000-0000-00008C6D0000}"/>
    <cellStyle name="Normal 11 2 2 2 4 2 2 2" xfId="28983" xr:uid="{00000000-0005-0000-0000-00008D6D0000}"/>
    <cellStyle name="Normal 11 2 2 2 4 2 2 2 2" xfId="28984" xr:uid="{00000000-0005-0000-0000-00008E6D0000}"/>
    <cellStyle name="Normal 11 2 2 2 4 2 2 2 2 2" xfId="28985" xr:uid="{00000000-0005-0000-0000-00008F6D0000}"/>
    <cellStyle name="Normal 11 2 2 2 4 2 2 2 2 2 2" xfId="28986" xr:uid="{00000000-0005-0000-0000-0000906D0000}"/>
    <cellStyle name="Normal 11 2 2 2 4 2 2 2 2 3" xfId="28987" xr:uid="{00000000-0005-0000-0000-0000916D0000}"/>
    <cellStyle name="Normal 11 2 2 2 4 2 2 2 3" xfId="28988" xr:uid="{00000000-0005-0000-0000-0000926D0000}"/>
    <cellStyle name="Normal 11 2 2 2 4 2 2 2 3 2" xfId="28989" xr:uid="{00000000-0005-0000-0000-0000936D0000}"/>
    <cellStyle name="Normal 11 2 2 2 4 2 2 2 4" xfId="28990" xr:uid="{00000000-0005-0000-0000-0000946D0000}"/>
    <cellStyle name="Normal 11 2 2 2 4 2 2 3" xfId="28991" xr:uid="{00000000-0005-0000-0000-0000956D0000}"/>
    <cellStyle name="Normal 11 2 2 2 4 2 2 3 2" xfId="28992" xr:uid="{00000000-0005-0000-0000-0000966D0000}"/>
    <cellStyle name="Normal 11 2 2 2 4 2 2 3 2 2" xfId="28993" xr:uid="{00000000-0005-0000-0000-0000976D0000}"/>
    <cellStyle name="Normal 11 2 2 2 4 2 2 3 2 2 2" xfId="28994" xr:uid="{00000000-0005-0000-0000-0000986D0000}"/>
    <cellStyle name="Normal 11 2 2 2 4 2 2 3 2 3" xfId="28995" xr:uid="{00000000-0005-0000-0000-0000996D0000}"/>
    <cellStyle name="Normal 11 2 2 2 4 2 2 3 3" xfId="28996" xr:uid="{00000000-0005-0000-0000-00009A6D0000}"/>
    <cellStyle name="Normal 11 2 2 2 4 2 2 3 3 2" xfId="28997" xr:uid="{00000000-0005-0000-0000-00009B6D0000}"/>
    <cellStyle name="Normal 11 2 2 2 4 2 2 3 4" xfId="28998" xr:uid="{00000000-0005-0000-0000-00009C6D0000}"/>
    <cellStyle name="Normal 11 2 2 2 4 2 2 4" xfId="28999" xr:uid="{00000000-0005-0000-0000-00009D6D0000}"/>
    <cellStyle name="Normal 11 2 2 2 4 2 2 4 2" xfId="29000" xr:uid="{00000000-0005-0000-0000-00009E6D0000}"/>
    <cellStyle name="Normal 11 2 2 2 4 2 2 4 2 2" xfId="29001" xr:uid="{00000000-0005-0000-0000-00009F6D0000}"/>
    <cellStyle name="Normal 11 2 2 2 4 2 2 4 3" xfId="29002" xr:uid="{00000000-0005-0000-0000-0000A06D0000}"/>
    <cellStyle name="Normal 11 2 2 2 4 2 2 5" xfId="29003" xr:uid="{00000000-0005-0000-0000-0000A16D0000}"/>
    <cellStyle name="Normal 11 2 2 2 4 2 2 5 2" xfId="29004" xr:uid="{00000000-0005-0000-0000-0000A26D0000}"/>
    <cellStyle name="Normal 11 2 2 2 4 2 2 6" xfId="29005" xr:uid="{00000000-0005-0000-0000-0000A36D0000}"/>
    <cellStyle name="Normal 11 2 2 2 4 2 2 7" xfId="28982" xr:uid="{00000000-0005-0000-0000-0000A46D0000}"/>
    <cellStyle name="Normal 11 2 2 2 4 2 3" xfId="29006" xr:uid="{00000000-0005-0000-0000-0000A56D0000}"/>
    <cellStyle name="Normal 11 2 2 2 4 2 3 2" xfId="29007" xr:uid="{00000000-0005-0000-0000-0000A66D0000}"/>
    <cellStyle name="Normal 11 2 2 2 4 2 3 2 2" xfId="29008" xr:uid="{00000000-0005-0000-0000-0000A76D0000}"/>
    <cellStyle name="Normal 11 2 2 2 4 2 3 2 2 2" xfId="29009" xr:uid="{00000000-0005-0000-0000-0000A86D0000}"/>
    <cellStyle name="Normal 11 2 2 2 4 2 3 2 2 2 2" xfId="29010" xr:uid="{00000000-0005-0000-0000-0000A96D0000}"/>
    <cellStyle name="Normal 11 2 2 2 4 2 3 2 2 3" xfId="29011" xr:uid="{00000000-0005-0000-0000-0000AA6D0000}"/>
    <cellStyle name="Normal 11 2 2 2 4 2 3 2 3" xfId="29012" xr:uid="{00000000-0005-0000-0000-0000AB6D0000}"/>
    <cellStyle name="Normal 11 2 2 2 4 2 3 2 3 2" xfId="29013" xr:uid="{00000000-0005-0000-0000-0000AC6D0000}"/>
    <cellStyle name="Normal 11 2 2 2 4 2 3 2 4" xfId="29014" xr:uid="{00000000-0005-0000-0000-0000AD6D0000}"/>
    <cellStyle name="Normal 11 2 2 2 4 2 3 3" xfId="29015" xr:uid="{00000000-0005-0000-0000-0000AE6D0000}"/>
    <cellStyle name="Normal 11 2 2 2 4 2 3 3 2" xfId="29016" xr:uid="{00000000-0005-0000-0000-0000AF6D0000}"/>
    <cellStyle name="Normal 11 2 2 2 4 2 3 3 2 2" xfId="29017" xr:uid="{00000000-0005-0000-0000-0000B06D0000}"/>
    <cellStyle name="Normal 11 2 2 2 4 2 3 3 3" xfId="29018" xr:uid="{00000000-0005-0000-0000-0000B16D0000}"/>
    <cellStyle name="Normal 11 2 2 2 4 2 3 4" xfId="29019" xr:uid="{00000000-0005-0000-0000-0000B26D0000}"/>
    <cellStyle name="Normal 11 2 2 2 4 2 3 4 2" xfId="29020" xr:uid="{00000000-0005-0000-0000-0000B36D0000}"/>
    <cellStyle name="Normal 11 2 2 2 4 2 3 5" xfId="29021" xr:uid="{00000000-0005-0000-0000-0000B46D0000}"/>
    <cellStyle name="Normal 11 2 2 2 4 2 4" xfId="29022" xr:uid="{00000000-0005-0000-0000-0000B56D0000}"/>
    <cellStyle name="Normal 11 2 2 2 4 2 4 2" xfId="29023" xr:uid="{00000000-0005-0000-0000-0000B66D0000}"/>
    <cellStyle name="Normal 11 2 2 2 4 2 4 2 2" xfId="29024" xr:uid="{00000000-0005-0000-0000-0000B76D0000}"/>
    <cellStyle name="Normal 11 2 2 2 4 2 4 2 2 2" xfId="29025" xr:uid="{00000000-0005-0000-0000-0000B86D0000}"/>
    <cellStyle name="Normal 11 2 2 2 4 2 4 2 2 2 2" xfId="29026" xr:uid="{00000000-0005-0000-0000-0000B96D0000}"/>
    <cellStyle name="Normal 11 2 2 2 4 2 4 2 2 3" xfId="29027" xr:uid="{00000000-0005-0000-0000-0000BA6D0000}"/>
    <cellStyle name="Normal 11 2 2 2 4 2 4 2 3" xfId="29028" xr:uid="{00000000-0005-0000-0000-0000BB6D0000}"/>
    <cellStyle name="Normal 11 2 2 2 4 2 4 2 3 2" xfId="29029" xr:uid="{00000000-0005-0000-0000-0000BC6D0000}"/>
    <cellStyle name="Normal 11 2 2 2 4 2 4 2 4" xfId="29030" xr:uid="{00000000-0005-0000-0000-0000BD6D0000}"/>
    <cellStyle name="Normal 11 2 2 2 4 2 4 3" xfId="29031" xr:uid="{00000000-0005-0000-0000-0000BE6D0000}"/>
    <cellStyle name="Normal 11 2 2 2 4 2 4 3 2" xfId="29032" xr:uid="{00000000-0005-0000-0000-0000BF6D0000}"/>
    <cellStyle name="Normal 11 2 2 2 4 2 4 3 2 2" xfId="29033" xr:uid="{00000000-0005-0000-0000-0000C06D0000}"/>
    <cellStyle name="Normal 11 2 2 2 4 2 4 3 3" xfId="29034" xr:uid="{00000000-0005-0000-0000-0000C16D0000}"/>
    <cellStyle name="Normal 11 2 2 2 4 2 4 4" xfId="29035" xr:uid="{00000000-0005-0000-0000-0000C26D0000}"/>
    <cellStyle name="Normal 11 2 2 2 4 2 4 4 2" xfId="29036" xr:uid="{00000000-0005-0000-0000-0000C36D0000}"/>
    <cellStyle name="Normal 11 2 2 2 4 2 4 5" xfId="29037" xr:uid="{00000000-0005-0000-0000-0000C46D0000}"/>
    <cellStyle name="Normal 11 2 2 2 4 2 5" xfId="29038" xr:uid="{00000000-0005-0000-0000-0000C56D0000}"/>
    <cellStyle name="Normal 11 2 2 2 4 2 5 2" xfId="29039" xr:uid="{00000000-0005-0000-0000-0000C66D0000}"/>
    <cellStyle name="Normal 11 2 2 2 4 2 5 2 2" xfId="29040" xr:uid="{00000000-0005-0000-0000-0000C76D0000}"/>
    <cellStyle name="Normal 11 2 2 2 4 2 5 2 2 2" xfId="29041" xr:uid="{00000000-0005-0000-0000-0000C86D0000}"/>
    <cellStyle name="Normal 11 2 2 2 4 2 5 2 3" xfId="29042" xr:uid="{00000000-0005-0000-0000-0000C96D0000}"/>
    <cellStyle name="Normal 11 2 2 2 4 2 5 3" xfId="29043" xr:uid="{00000000-0005-0000-0000-0000CA6D0000}"/>
    <cellStyle name="Normal 11 2 2 2 4 2 5 3 2" xfId="29044" xr:uid="{00000000-0005-0000-0000-0000CB6D0000}"/>
    <cellStyle name="Normal 11 2 2 2 4 2 5 4" xfId="29045" xr:uid="{00000000-0005-0000-0000-0000CC6D0000}"/>
    <cellStyle name="Normal 11 2 2 2 4 2 6" xfId="29046" xr:uid="{00000000-0005-0000-0000-0000CD6D0000}"/>
    <cellStyle name="Normal 11 2 2 2 4 2 6 2" xfId="29047" xr:uid="{00000000-0005-0000-0000-0000CE6D0000}"/>
    <cellStyle name="Normal 11 2 2 2 4 2 6 2 2" xfId="29048" xr:uid="{00000000-0005-0000-0000-0000CF6D0000}"/>
    <cellStyle name="Normal 11 2 2 2 4 2 6 2 2 2" xfId="29049" xr:uid="{00000000-0005-0000-0000-0000D06D0000}"/>
    <cellStyle name="Normal 11 2 2 2 4 2 6 2 3" xfId="29050" xr:uid="{00000000-0005-0000-0000-0000D16D0000}"/>
    <cellStyle name="Normal 11 2 2 2 4 2 6 3" xfId="29051" xr:uid="{00000000-0005-0000-0000-0000D26D0000}"/>
    <cellStyle name="Normal 11 2 2 2 4 2 6 3 2" xfId="29052" xr:uid="{00000000-0005-0000-0000-0000D36D0000}"/>
    <cellStyle name="Normal 11 2 2 2 4 2 6 4" xfId="29053" xr:uid="{00000000-0005-0000-0000-0000D46D0000}"/>
    <cellStyle name="Normal 11 2 2 2 4 2 7" xfId="29054" xr:uid="{00000000-0005-0000-0000-0000D56D0000}"/>
    <cellStyle name="Normal 11 2 2 2 4 2 7 2" xfId="29055" xr:uid="{00000000-0005-0000-0000-0000D66D0000}"/>
    <cellStyle name="Normal 11 2 2 2 4 2 7 2 2" xfId="29056" xr:uid="{00000000-0005-0000-0000-0000D76D0000}"/>
    <cellStyle name="Normal 11 2 2 2 4 2 7 2 2 2" xfId="29057" xr:uid="{00000000-0005-0000-0000-0000D86D0000}"/>
    <cellStyle name="Normal 11 2 2 2 4 2 7 2 3" xfId="29058" xr:uid="{00000000-0005-0000-0000-0000D96D0000}"/>
    <cellStyle name="Normal 11 2 2 2 4 2 7 3" xfId="29059" xr:uid="{00000000-0005-0000-0000-0000DA6D0000}"/>
    <cellStyle name="Normal 11 2 2 2 4 2 7 3 2" xfId="29060" xr:uid="{00000000-0005-0000-0000-0000DB6D0000}"/>
    <cellStyle name="Normal 11 2 2 2 4 2 7 4" xfId="29061" xr:uid="{00000000-0005-0000-0000-0000DC6D0000}"/>
    <cellStyle name="Normal 11 2 2 2 4 2 8" xfId="29062" xr:uid="{00000000-0005-0000-0000-0000DD6D0000}"/>
    <cellStyle name="Normal 11 2 2 2 4 2 8 2" xfId="29063" xr:uid="{00000000-0005-0000-0000-0000DE6D0000}"/>
    <cellStyle name="Normal 11 2 2 2 4 2 8 2 2" xfId="29064" xr:uid="{00000000-0005-0000-0000-0000DF6D0000}"/>
    <cellStyle name="Normal 11 2 2 2 4 2 8 3" xfId="29065" xr:uid="{00000000-0005-0000-0000-0000E06D0000}"/>
    <cellStyle name="Normal 11 2 2 2 4 2 9" xfId="29066" xr:uid="{00000000-0005-0000-0000-0000E16D0000}"/>
    <cellStyle name="Normal 11 2 2 2 4 2 9 2" xfId="29067" xr:uid="{00000000-0005-0000-0000-0000E26D0000}"/>
    <cellStyle name="Normal 11 2 2 2 4 3" xfId="1391" xr:uid="{00000000-0005-0000-0000-0000E36D0000}"/>
    <cellStyle name="Normal 11 2 2 2 4 3 2" xfId="29069" xr:uid="{00000000-0005-0000-0000-0000E46D0000}"/>
    <cellStyle name="Normal 11 2 2 2 4 3 2 2" xfId="29070" xr:uid="{00000000-0005-0000-0000-0000E56D0000}"/>
    <cellStyle name="Normal 11 2 2 2 4 3 2 2 2" xfId="29071" xr:uid="{00000000-0005-0000-0000-0000E66D0000}"/>
    <cellStyle name="Normal 11 2 2 2 4 3 2 2 2 2" xfId="29072" xr:uid="{00000000-0005-0000-0000-0000E76D0000}"/>
    <cellStyle name="Normal 11 2 2 2 4 3 2 2 3" xfId="29073" xr:uid="{00000000-0005-0000-0000-0000E86D0000}"/>
    <cellStyle name="Normal 11 2 2 2 4 3 2 3" xfId="29074" xr:uid="{00000000-0005-0000-0000-0000E96D0000}"/>
    <cellStyle name="Normal 11 2 2 2 4 3 2 3 2" xfId="29075" xr:uid="{00000000-0005-0000-0000-0000EA6D0000}"/>
    <cellStyle name="Normal 11 2 2 2 4 3 2 4" xfId="29076" xr:uid="{00000000-0005-0000-0000-0000EB6D0000}"/>
    <cellStyle name="Normal 11 2 2 2 4 3 3" xfId="29077" xr:uid="{00000000-0005-0000-0000-0000EC6D0000}"/>
    <cellStyle name="Normal 11 2 2 2 4 3 3 2" xfId="29078" xr:uid="{00000000-0005-0000-0000-0000ED6D0000}"/>
    <cellStyle name="Normal 11 2 2 2 4 3 3 2 2" xfId="29079" xr:uid="{00000000-0005-0000-0000-0000EE6D0000}"/>
    <cellStyle name="Normal 11 2 2 2 4 3 3 2 2 2" xfId="29080" xr:uid="{00000000-0005-0000-0000-0000EF6D0000}"/>
    <cellStyle name="Normal 11 2 2 2 4 3 3 2 3" xfId="29081" xr:uid="{00000000-0005-0000-0000-0000F06D0000}"/>
    <cellStyle name="Normal 11 2 2 2 4 3 3 3" xfId="29082" xr:uid="{00000000-0005-0000-0000-0000F16D0000}"/>
    <cellStyle name="Normal 11 2 2 2 4 3 3 3 2" xfId="29083" xr:uid="{00000000-0005-0000-0000-0000F26D0000}"/>
    <cellStyle name="Normal 11 2 2 2 4 3 3 4" xfId="29084" xr:uid="{00000000-0005-0000-0000-0000F36D0000}"/>
    <cellStyle name="Normal 11 2 2 2 4 3 4" xfId="29085" xr:uid="{00000000-0005-0000-0000-0000F46D0000}"/>
    <cellStyle name="Normal 11 2 2 2 4 3 4 2" xfId="29086" xr:uid="{00000000-0005-0000-0000-0000F56D0000}"/>
    <cellStyle name="Normal 11 2 2 2 4 3 4 2 2" xfId="29087" xr:uid="{00000000-0005-0000-0000-0000F66D0000}"/>
    <cellStyle name="Normal 11 2 2 2 4 3 4 3" xfId="29088" xr:uid="{00000000-0005-0000-0000-0000F76D0000}"/>
    <cellStyle name="Normal 11 2 2 2 4 3 5" xfId="29089" xr:uid="{00000000-0005-0000-0000-0000F86D0000}"/>
    <cellStyle name="Normal 11 2 2 2 4 3 5 2" xfId="29090" xr:uid="{00000000-0005-0000-0000-0000F96D0000}"/>
    <cellStyle name="Normal 11 2 2 2 4 3 6" xfId="29091" xr:uid="{00000000-0005-0000-0000-0000FA6D0000}"/>
    <cellStyle name="Normal 11 2 2 2 4 3 7" xfId="29068" xr:uid="{00000000-0005-0000-0000-0000FB6D0000}"/>
    <cellStyle name="Normal 11 2 2 2 4 4" xfId="29092" xr:uid="{00000000-0005-0000-0000-0000FC6D0000}"/>
    <cellStyle name="Normal 11 2 2 2 4 4 2" xfId="29093" xr:uid="{00000000-0005-0000-0000-0000FD6D0000}"/>
    <cellStyle name="Normal 11 2 2 2 4 4 2 2" xfId="29094" xr:uid="{00000000-0005-0000-0000-0000FE6D0000}"/>
    <cellStyle name="Normal 11 2 2 2 4 4 2 2 2" xfId="29095" xr:uid="{00000000-0005-0000-0000-0000FF6D0000}"/>
    <cellStyle name="Normal 11 2 2 2 4 4 2 2 2 2" xfId="29096" xr:uid="{00000000-0005-0000-0000-0000006E0000}"/>
    <cellStyle name="Normal 11 2 2 2 4 4 2 2 3" xfId="29097" xr:uid="{00000000-0005-0000-0000-0000016E0000}"/>
    <cellStyle name="Normal 11 2 2 2 4 4 2 3" xfId="29098" xr:uid="{00000000-0005-0000-0000-0000026E0000}"/>
    <cellStyle name="Normal 11 2 2 2 4 4 2 3 2" xfId="29099" xr:uid="{00000000-0005-0000-0000-0000036E0000}"/>
    <cellStyle name="Normal 11 2 2 2 4 4 2 4" xfId="29100" xr:uid="{00000000-0005-0000-0000-0000046E0000}"/>
    <cellStyle name="Normal 11 2 2 2 4 4 3" xfId="29101" xr:uid="{00000000-0005-0000-0000-0000056E0000}"/>
    <cellStyle name="Normal 11 2 2 2 4 4 3 2" xfId="29102" xr:uid="{00000000-0005-0000-0000-0000066E0000}"/>
    <cellStyle name="Normal 11 2 2 2 4 4 3 2 2" xfId="29103" xr:uid="{00000000-0005-0000-0000-0000076E0000}"/>
    <cellStyle name="Normal 11 2 2 2 4 4 3 3" xfId="29104" xr:uid="{00000000-0005-0000-0000-0000086E0000}"/>
    <cellStyle name="Normal 11 2 2 2 4 4 4" xfId="29105" xr:uid="{00000000-0005-0000-0000-0000096E0000}"/>
    <cellStyle name="Normal 11 2 2 2 4 4 4 2" xfId="29106" xr:uid="{00000000-0005-0000-0000-00000A6E0000}"/>
    <cellStyle name="Normal 11 2 2 2 4 4 5" xfId="29107" xr:uid="{00000000-0005-0000-0000-00000B6E0000}"/>
    <cellStyle name="Normal 11 2 2 2 4 5" xfId="29108" xr:uid="{00000000-0005-0000-0000-00000C6E0000}"/>
    <cellStyle name="Normal 11 2 2 2 4 5 2" xfId="29109" xr:uid="{00000000-0005-0000-0000-00000D6E0000}"/>
    <cellStyle name="Normal 11 2 2 2 4 5 2 2" xfId="29110" xr:uid="{00000000-0005-0000-0000-00000E6E0000}"/>
    <cellStyle name="Normal 11 2 2 2 4 5 2 2 2" xfId="29111" xr:uid="{00000000-0005-0000-0000-00000F6E0000}"/>
    <cellStyle name="Normal 11 2 2 2 4 5 2 2 2 2" xfId="29112" xr:uid="{00000000-0005-0000-0000-0000106E0000}"/>
    <cellStyle name="Normal 11 2 2 2 4 5 2 2 3" xfId="29113" xr:uid="{00000000-0005-0000-0000-0000116E0000}"/>
    <cellStyle name="Normal 11 2 2 2 4 5 2 3" xfId="29114" xr:uid="{00000000-0005-0000-0000-0000126E0000}"/>
    <cellStyle name="Normal 11 2 2 2 4 5 2 3 2" xfId="29115" xr:uid="{00000000-0005-0000-0000-0000136E0000}"/>
    <cellStyle name="Normal 11 2 2 2 4 5 2 4" xfId="29116" xr:uid="{00000000-0005-0000-0000-0000146E0000}"/>
    <cellStyle name="Normal 11 2 2 2 4 5 3" xfId="29117" xr:uid="{00000000-0005-0000-0000-0000156E0000}"/>
    <cellStyle name="Normal 11 2 2 2 4 5 3 2" xfId="29118" xr:uid="{00000000-0005-0000-0000-0000166E0000}"/>
    <cellStyle name="Normal 11 2 2 2 4 5 3 2 2" xfId="29119" xr:uid="{00000000-0005-0000-0000-0000176E0000}"/>
    <cellStyle name="Normal 11 2 2 2 4 5 3 3" xfId="29120" xr:uid="{00000000-0005-0000-0000-0000186E0000}"/>
    <cellStyle name="Normal 11 2 2 2 4 5 4" xfId="29121" xr:uid="{00000000-0005-0000-0000-0000196E0000}"/>
    <cellStyle name="Normal 11 2 2 2 4 5 4 2" xfId="29122" xr:uid="{00000000-0005-0000-0000-00001A6E0000}"/>
    <cellStyle name="Normal 11 2 2 2 4 5 5" xfId="29123" xr:uid="{00000000-0005-0000-0000-00001B6E0000}"/>
    <cellStyle name="Normal 11 2 2 2 4 6" xfId="29124" xr:uid="{00000000-0005-0000-0000-00001C6E0000}"/>
    <cellStyle name="Normal 11 2 2 2 4 6 2" xfId="29125" xr:uid="{00000000-0005-0000-0000-00001D6E0000}"/>
    <cellStyle name="Normal 11 2 2 2 4 6 2 2" xfId="29126" xr:uid="{00000000-0005-0000-0000-00001E6E0000}"/>
    <cellStyle name="Normal 11 2 2 2 4 6 2 2 2" xfId="29127" xr:uid="{00000000-0005-0000-0000-00001F6E0000}"/>
    <cellStyle name="Normal 11 2 2 2 4 6 2 3" xfId="29128" xr:uid="{00000000-0005-0000-0000-0000206E0000}"/>
    <cellStyle name="Normal 11 2 2 2 4 6 3" xfId="29129" xr:uid="{00000000-0005-0000-0000-0000216E0000}"/>
    <cellStyle name="Normal 11 2 2 2 4 6 3 2" xfId="29130" xr:uid="{00000000-0005-0000-0000-0000226E0000}"/>
    <cellStyle name="Normal 11 2 2 2 4 6 4" xfId="29131" xr:uid="{00000000-0005-0000-0000-0000236E0000}"/>
    <cellStyle name="Normal 11 2 2 2 4 7" xfId="29132" xr:uid="{00000000-0005-0000-0000-0000246E0000}"/>
    <cellStyle name="Normal 11 2 2 2 4 7 2" xfId="29133" xr:uid="{00000000-0005-0000-0000-0000256E0000}"/>
    <cellStyle name="Normal 11 2 2 2 4 7 2 2" xfId="29134" xr:uid="{00000000-0005-0000-0000-0000266E0000}"/>
    <cellStyle name="Normal 11 2 2 2 4 7 2 2 2" xfId="29135" xr:uid="{00000000-0005-0000-0000-0000276E0000}"/>
    <cellStyle name="Normal 11 2 2 2 4 7 2 3" xfId="29136" xr:uid="{00000000-0005-0000-0000-0000286E0000}"/>
    <cellStyle name="Normal 11 2 2 2 4 7 3" xfId="29137" xr:uid="{00000000-0005-0000-0000-0000296E0000}"/>
    <cellStyle name="Normal 11 2 2 2 4 7 3 2" xfId="29138" xr:uid="{00000000-0005-0000-0000-00002A6E0000}"/>
    <cellStyle name="Normal 11 2 2 2 4 7 4" xfId="29139" xr:uid="{00000000-0005-0000-0000-00002B6E0000}"/>
    <cellStyle name="Normal 11 2 2 2 4 8" xfId="29140" xr:uid="{00000000-0005-0000-0000-00002C6E0000}"/>
    <cellStyle name="Normal 11 2 2 2 4 8 2" xfId="29141" xr:uid="{00000000-0005-0000-0000-00002D6E0000}"/>
    <cellStyle name="Normal 11 2 2 2 4 8 2 2" xfId="29142" xr:uid="{00000000-0005-0000-0000-00002E6E0000}"/>
    <cellStyle name="Normal 11 2 2 2 4 8 2 2 2" xfId="29143" xr:uid="{00000000-0005-0000-0000-00002F6E0000}"/>
    <cellStyle name="Normal 11 2 2 2 4 8 2 3" xfId="29144" xr:uid="{00000000-0005-0000-0000-0000306E0000}"/>
    <cellStyle name="Normal 11 2 2 2 4 8 3" xfId="29145" xr:uid="{00000000-0005-0000-0000-0000316E0000}"/>
    <cellStyle name="Normal 11 2 2 2 4 8 3 2" xfId="29146" xr:uid="{00000000-0005-0000-0000-0000326E0000}"/>
    <cellStyle name="Normal 11 2 2 2 4 8 4" xfId="29147" xr:uid="{00000000-0005-0000-0000-0000336E0000}"/>
    <cellStyle name="Normal 11 2 2 2 4 9" xfId="29148" xr:uid="{00000000-0005-0000-0000-0000346E0000}"/>
    <cellStyle name="Normal 11 2 2 2 4 9 2" xfId="29149" xr:uid="{00000000-0005-0000-0000-0000356E0000}"/>
    <cellStyle name="Normal 11 2 2 2 4 9 2 2" xfId="29150" xr:uid="{00000000-0005-0000-0000-0000366E0000}"/>
    <cellStyle name="Normal 11 2 2 2 4 9 3" xfId="29151" xr:uid="{00000000-0005-0000-0000-0000376E0000}"/>
    <cellStyle name="Normal 11 2 2 2 5" xfId="548" xr:uid="{00000000-0005-0000-0000-0000386E0000}"/>
    <cellStyle name="Normal 11 2 2 2 5 10" xfId="29153" xr:uid="{00000000-0005-0000-0000-0000396E0000}"/>
    <cellStyle name="Normal 11 2 2 2 5 10 2" xfId="29154" xr:uid="{00000000-0005-0000-0000-00003A6E0000}"/>
    <cellStyle name="Normal 11 2 2 2 5 10 2 2" xfId="29155" xr:uid="{00000000-0005-0000-0000-00003B6E0000}"/>
    <cellStyle name="Normal 11 2 2 2 5 10 3" xfId="29156" xr:uid="{00000000-0005-0000-0000-00003C6E0000}"/>
    <cellStyle name="Normal 11 2 2 2 5 11" xfId="29157" xr:uid="{00000000-0005-0000-0000-00003D6E0000}"/>
    <cellStyle name="Normal 11 2 2 2 5 11 2" xfId="29158" xr:uid="{00000000-0005-0000-0000-00003E6E0000}"/>
    <cellStyle name="Normal 11 2 2 2 5 11 2 2" xfId="29159" xr:uid="{00000000-0005-0000-0000-00003F6E0000}"/>
    <cellStyle name="Normal 11 2 2 2 5 11 3" xfId="29160" xr:uid="{00000000-0005-0000-0000-0000406E0000}"/>
    <cellStyle name="Normal 11 2 2 2 5 12" xfId="29161" xr:uid="{00000000-0005-0000-0000-0000416E0000}"/>
    <cellStyle name="Normal 11 2 2 2 5 12 2" xfId="29162" xr:uid="{00000000-0005-0000-0000-0000426E0000}"/>
    <cellStyle name="Normal 11 2 2 2 5 13" xfId="29163" xr:uid="{00000000-0005-0000-0000-0000436E0000}"/>
    <cellStyle name="Normal 11 2 2 2 5 14" xfId="29164" xr:uid="{00000000-0005-0000-0000-0000446E0000}"/>
    <cellStyle name="Normal 11 2 2 2 5 15" xfId="29152" xr:uid="{00000000-0005-0000-0000-0000456E0000}"/>
    <cellStyle name="Normal 11 2 2 2 5 2" xfId="990" xr:uid="{00000000-0005-0000-0000-0000466E0000}"/>
    <cellStyle name="Normal 11 2 2 2 5 2 10" xfId="29166" xr:uid="{00000000-0005-0000-0000-0000476E0000}"/>
    <cellStyle name="Normal 11 2 2 2 5 2 11" xfId="29165" xr:uid="{00000000-0005-0000-0000-0000486E0000}"/>
    <cellStyle name="Normal 11 2 2 2 5 2 2" xfId="1719" xr:uid="{00000000-0005-0000-0000-0000496E0000}"/>
    <cellStyle name="Normal 11 2 2 2 5 2 2 2" xfId="29168" xr:uid="{00000000-0005-0000-0000-00004A6E0000}"/>
    <cellStyle name="Normal 11 2 2 2 5 2 2 2 2" xfId="29169" xr:uid="{00000000-0005-0000-0000-00004B6E0000}"/>
    <cellStyle name="Normal 11 2 2 2 5 2 2 2 2 2" xfId="29170" xr:uid="{00000000-0005-0000-0000-00004C6E0000}"/>
    <cellStyle name="Normal 11 2 2 2 5 2 2 2 2 2 2" xfId="29171" xr:uid="{00000000-0005-0000-0000-00004D6E0000}"/>
    <cellStyle name="Normal 11 2 2 2 5 2 2 2 2 3" xfId="29172" xr:uid="{00000000-0005-0000-0000-00004E6E0000}"/>
    <cellStyle name="Normal 11 2 2 2 5 2 2 2 3" xfId="29173" xr:uid="{00000000-0005-0000-0000-00004F6E0000}"/>
    <cellStyle name="Normal 11 2 2 2 5 2 2 2 3 2" xfId="29174" xr:uid="{00000000-0005-0000-0000-0000506E0000}"/>
    <cellStyle name="Normal 11 2 2 2 5 2 2 2 4" xfId="29175" xr:uid="{00000000-0005-0000-0000-0000516E0000}"/>
    <cellStyle name="Normal 11 2 2 2 5 2 2 3" xfId="29176" xr:uid="{00000000-0005-0000-0000-0000526E0000}"/>
    <cellStyle name="Normal 11 2 2 2 5 2 2 3 2" xfId="29177" xr:uid="{00000000-0005-0000-0000-0000536E0000}"/>
    <cellStyle name="Normal 11 2 2 2 5 2 2 3 2 2" xfId="29178" xr:uid="{00000000-0005-0000-0000-0000546E0000}"/>
    <cellStyle name="Normal 11 2 2 2 5 2 2 3 2 2 2" xfId="29179" xr:uid="{00000000-0005-0000-0000-0000556E0000}"/>
    <cellStyle name="Normal 11 2 2 2 5 2 2 3 2 3" xfId="29180" xr:uid="{00000000-0005-0000-0000-0000566E0000}"/>
    <cellStyle name="Normal 11 2 2 2 5 2 2 3 3" xfId="29181" xr:uid="{00000000-0005-0000-0000-0000576E0000}"/>
    <cellStyle name="Normal 11 2 2 2 5 2 2 3 3 2" xfId="29182" xr:uid="{00000000-0005-0000-0000-0000586E0000}"/>
    <cellStyle name="Normal 11 2 2 2 5 2 2 3 4" xfId="29183" xr:uid="{00000000-0005-0000-0000-0000596E0000}"/>
    <cellStyle name="Normal 11 2 2 2 5 2 2 4" xfId="29184" xr:uid="{00000000-0005-0000-0000-00005A6E0000}"/>
    <cellStyle name="Normal 11 2 2 2 5 2 2 4 2" xfId="29185" xr:uid="{00000000-0005-0000-0000-00005B6E0000}"/>
    <cellStyle name="Normal 11 2 2 2 5 2 2 4 2 2" xfId="29186" xr:uid="{00000000-0005-0000-0000-00005C6E0000}"/>
    <cellStyle name="Normal 11 2 2 2 5 2 2 4 3" xfId="29187" xr:uid="{00000000-0005-0000-0000-00005D6E0000}"/>
    <cellStyle name="Normal 11 2 2 2 5 2 2 5" xfId="29188" xr:uid="{00000000-0005-0000-0000-00005E6E0000}"/>
    <cellStyle name="Normal 11 2 2 2 5 2 2 5 2" xfId="29189" xr:uid="{00000000-0005-0000-0000-00005F6E0000}"/>
    <cellStyle name="Normal 11 2 2 2 5 2 2 6" xfId="29190" xr:uid="{00000000-0005-0000-0000-0000606E0000}"/>
    <cellStyle name="Normal 11 2 2 2 5 2 2 7" xfId="29167" xr:uid="{00000000-0005-0000-0000-0000616E0000}"/>
    <cellStyle name="Normal 11 2 2 2 5 2 3" xfId="29191" xr:uid="{00000000-0005-0000-0000-0000626E0000}"/>
    <cellStyle name="Normal 11 2 2 2 5 2 3 2" xfId="29192" xr:uid="{00000000-0005-0000-0000-0000636E0000}"/>
    <cellStyle name="Normal 11 2 2 2 5 2 3 2 2" xfId="29193" xr:uid="{00000000-0005-0000-0000-0000646E0000}"/>
    <cellStyle name="Normal 11 2 2 2 5 2 3 2 2 2" xfId="29194" xr:uid="{00000000-0005-0000-0000-0000656E0000}"/>
    <cellStyle name="Normal 11 2 2 2 5 2 3 2 2 2 2" xfId="29195" xr:uid="{00000000-0005-0000-0000-0000666E0000}"/>
    <cellStyle name="Normal 11 2 2 2 5 2 3 2 2 3" xfId="29196" xr:uid="{00000000-0005-0000-0000-0000676E0000}"/>
    <cellStyle name="Normal 11 2 2 2 5 2 3 2 3" xfId="29197" xr:uid="{00000000-0005-0000-0000-0000686E0000}"/>
    <cellStyle name="Normal 11 2 2 2 5 2 3 2 3 2" xfId="29198" xr:uid="{00000000-0005-0000-0000-0000696E0000}"/>
    <cellStyle name="Normal 11 2 2 2 5 2 3 2 4" xfId="29199" xr:uid="{00000000-0005-0000-0000-00006A6E0000}"/>
    <cellStyle name="Normal 11 2 2 2 5 2 3 3" xfId="29200" xr:uid="{00000000-0005-0000-0000-00006B6E0000}"/>
    <cellStyle name="Normal 11 2 2 2 5 2 3 3 2" xfId="29201" xr:uid="{00000000-0005-0000-0000-00006C6E0000}"/>
    <cellStyle name="Normal 11 2 2 2 5 2 3 3 2 2" xfId="29202" xr:uid="{00000000-0005-0000-0000-00006D6E0000}"/>
    <cellStyle name="Normal 11 2 2 2 5 2 3 3 3" xfId="29203" xr:uid="{00000000-0005-0000-0000-00006E6E0000}"/>
    <cellStyle name="Normal 11 2 2 2 5 2 3 4" xfId="29204" xr:uid="{00000000-0005-0000-0000-00006F6E0000}"/>
    <cellStyle name="Normal 11 2 2 2 5 2 3 4 2" xfId="29205" xr:uid="{00000000-0005-0000-0000-0000706E0000}"/>
    <cellStyle name="Normal 11 2 2 2 5 2 3 5" xfId="29206" xr:uid="{00000000-0005-0000-0000-0000716E0000}"/>
    <cellStyle name="Normal 11 2 2 2 5 2 4" xfId="29207" xr:uid="{00000000-0005-0000-0000-0000726E0000}"/>
    <cellStyle name="Normal 11 2 2 2 5 2 4 2" xfId="29208" xr:uid="{00000000-0005-0000-0000-0000736E0000}"/>
    <cellStyle name="Normal 11 2 2 2 5 2 4 2 2" xfId="29209" xr:uid="{00000000-0005-0000-0000-0000746E0000}"/>
    <cellStyle name="Normal 11 2 2 2 5 2 4 2 2 2" xfId="29210" xr:uid="{00000000-0005-0000-0000-0000756E0000}"/>
    <cellStyle name="Normal 11 2 2 2 5 2 4 2 2 2 2" xfId="29211" xr:uid="{00000000-0005-0000-0000-0000766E0000}"/>
    <cellStyle name="Normal 11 2 2 2 5 2 4 2 2 3" xfId="29212" xr:uid="{00000000-0005-0000-0000-0000776E0000}"/>
    <cellStyle name="Normal 11 2 2 2 5 2 4 2 3" xfId="29213" xr:uid="{00000000-0005-0000-0000-0000786E0000}"/>
    <cellStyle name="Normal 11 2 2 2 5 2 4 2 3 2" xfId="29214" xr:uid="{00000000-0005-0000-0000-0000796E0000}"/>
    <cellStyle name="Normal 11 2 2 2 5 2 4 2 4" xfId="29215" xr:uid="{00000000-0005-0000-0000-00007A6E0000}"/>
    <cellStyle name="Normal 11 2 2 2 5 2 4 3" xfId="29216" xr:uid="{00000000-0005-0000-0000-00007B6E0000}"/>
    <cellStyle name="Normal 11 2 2 2 5 2 4 3 2" xfId="29217" xr:uid="{00000000-0005-0000-0000-00007C6E0000}"/>
    <cellStyle name="Normal 11 2 2 2 5 2 4 3 2 2" xfId="29218" xr:uid="{00000000-0005-0000-0000-00007D6E0000}"/>
    <cellStyle name="Normal 11 2 2 2 5 2 4 3 3" xfId="29219" xr:uid="{00000000-0005-0000-0000-00007E6E0000}"/>
    <cellStyle name="Normal 11 2 2 2 5 2 4 4" xfId="29220" xr:uid="{00000000-0005-0000-0000-00007F6E0000}"/>
    <cellStyle name="Normal 11 2 2 2 5 2 4 4 2" xfId="29221" xr:uid="{00000000-0005-0000-0000-0000806E0000}"/>
    <cellStyle name="Normal 11 2 2 2 5 2 4 5" xfId="29222" xr:uid="{00000000-0005-0000-0000-0000816E0000}"/>
    <cellStyle name="Normal 11 2 2 2 5 2 5" xfId="29223" xr:uid="{00000000-0005-0000-0000-0000826E0000}"/>
    <cellStyle name="Normal 11 2 2 2 5 2 5 2" xfId="29224" xr:uid="{00000000-0005-0000-0000-0000836E0000}"/>
    <cellStyle name="Normal 11 2 2 2 5 2 5 2 2" xfId="29225" xr:uid="{00000000-0005-0000-0000-0000846E0000}"/>
    <cellStyle name="Normal 11 2 2 2 5 2 5 2 2 2" xfId="29226" xr:uid="{00000000-0005-0000-0000-0000856E0000}"/>
    <cellStyle name="Normal 11 2 2 2 5 2 5 2 3" xfId="29227" xr:uid="{00000000-0005-0000-0000-0000866E0000}"/>
    <cellStyle name="Normal 11 2 2 2 5 2 5 3" xfId="29228" xr:uid="{00000000-0005-0000-0000-0000876E0000}"/>
    <cellStyle name="Normal 11 2 2 2 5 2 5 3 2" xfId="29229" xr:uid="{00000000-0005-0000-0000-0000886E0000}"/>
    <cellStyle name="Normal 11 2 2 2 5 2 5 4" xfId="29230" xr:uid="{00000000-0005-0000-0000-0000896E0000}"/>
    <cellStyle name="Normal 11 2 2 2 5 2 6" xfId="29231" xr:uid="{00000000-0005-0000-0000-00008A6E0000}"/>
    <cellStyle name="Normal 11 2 2 2 5 2 6 2" xfId="29232" xr:uid="{00000000-0005-0000-0000-00008B6E0000}"/>
    <cellStyle name="Normal 11 2 2 2 5 2 6 2 2" xfId="29233" xr:uid="{00000000-0005-0000-0000-00008C6E0000}"/>
    <cellStyle name="Normal 11 2 2 2 5 2 6 2 2 2" xfId="29234" xr:uid="{00000000-0005-0000-0000-00008D6E0000}"/>
    <cellStyle name="Normal 11 2 2 2 5 2 6 2 3" xfId="29235" xr:uid="{00000000-0005-0000-0000-00008E6E0000}"/>
    <cellStyle name="Normal 11 2 2 2 5 2 6 3" xfId="29236" xr:uid="{00000000-0005-0000-0000-00008F6E0000}"/>
    <cellStyle name="Normal 11 2 2 2 5 2 6 3 2" xfId="29237" xr:uid="{00000000-0005-0000-0000-0000906E0000}"/>
    <cellStyle name="Normal 11 2 2 2 5 2 6 4" xfId="29238" xr:uid="{00000000-0005-0000-0000-0000916E0000}"/>
    <cellStyle name="Normal 11 2 2 2 5 2 7" xfId="29239" xr:uid="{00000000-0005-0000-0000-0000926E0000}"/>
    <cellStyle name="Normal 11 2 2 2 5 2 7 2" xfId="29240" xr:uid="{00000000-0005-0000-0000-0000936E0000}"/>
    <cellStyle name="Normal 11 2 2 2 5 2 7 2 2" xfId="29241" xr:uid="{00000000-0005-0000-0000-0000946E0000}"/>
    <cellStyle name="Normal 11 2 2 2 5 2 7 2 2 2" xfId="29242" xr:uid="{00000000-0005-0000-0000-0000956E0000}"/>
    <cellStyle name="Normal 11 2 2 2 5 2 7 2 3" xfId="29243" xr:uid="{00000000-0005-0000-0000-0000966E0000}"/>
    <cellStyle name="Normal 11 2 2 2 5 2 7 3" xfId="29244" xr:uid="{00000000-0005-0000-0000-0000976E0000}"/>
    <cellStyle name="Normal 11 2 2 2 5 2 7 3 2" xfId="29245" xr:uid="{00000000-0005-0000-0000-0000986E0000}"/>
    <cellStyle name="Normal 11 2 2 2 5 2 7 4" xfId="29246" xr:uid="{00000000-0005-0000-0000-0000996E0000}"/>
    <cellStyle name="Normal 11 2 2 2 5 2 8" xfId="29247" xr:uid="{00000000-0005-0000-0000-00009A6E0000}"/>
    <cellStyle name="Normal 11 2 2 2 5 2 8 2" xfId="29248" xr:uid="{00000000-0005-0000-0000-00009B6E0000}"/>
    <cellStyle name="Normal 11 2 2 2 5 2 8 2 2" xfId="29249" xr:uid="{00000000-0005-0000-0000-00009C6E0000}"/>
    <cellStyle name="Normal 11 2 2 2 5 2 8 3" xfId="29250" xr:uid="{00000000-0005-0000-0000-00009D6E0000}"/>
    <cellStyle name="Normal 11 2 2 2 5 2 9" xfId="29251" xr:uid="{00000000-0005-0000-0000-00009E6E0000}"/>
    <cellStyle name="Normal 11 2 2 2 5 2 9 2" xfId="29252" xr:uid="{00000000-0005-0000-0000-00009F6E0000}"/>
    <cellStyle name="Normal 11 2 2 2 5 3" xfId="1392" xr:uid="{00000000-0005-0000-0000-0000A06E0000}"/>
    <cellStyle name="Normal 11 2 2 2 5 3 2" xfId="29254" xr:uid="{00000000-0005-0000-0000-0000A16E0000}"/>
    <cellStyle name="Normal 11 2 2 2 5 3 2 2" xfId="29255" xr:uid="{00000000-0005-0000-0000-0000A26E0000}"/>
    <cellStyle name="Normal 11 2 2 2 5 3 2 2 2" xfId="29256" xr:uid="{00000000-0005-0000-0000-0000A36E0000}"/>
    <cellStyle name="Normal 11 2 2 2 5 3 2 2 2 2" xfId="29257" xr:uid="{00000000-0005-0000-0000-0000A46E0000}"/>
    <cellStyle name="Normal 11 2 2 2 5 3 2 2 3" xfId="29258" xr:uid="{00000000-0005-0000-0000-0000A56E0000}"/>
    <cellStyle name="Normal 11 2 2 2 5 3 2 3" xfId="29259" xr:uid="{00000000-0005-0000-0000-0000A66E0000}"/>
    <cellStyle name="Normal 11 2 2 2 5 3 2 3 2" xfId="29260" xr:uid="{00000000-0005-0000-0000-0000A76E0000}"/>
    <cellStyle name="Normal 11 2 2 2 5 3 2 4" xfId="29261" xr:uid="{00000000-0005-0000-0000-0000A86E0000}"/>
    <cellStyle name="Normal 11 2 2 2 5 3 3" xfId="29262" xr:uid="{00000000-0005-0000-0000-0000A96E0000}"/>
    <cellStyle name="Normal 11 2 2 2 5 3 3 2" xfId="29263" xr:uid="{00000000-0005-0000-0000-0000AA6E0000}"/>
    <cellStyle name="Normal 11 2 2 2 5 3 3 2 2" xfId="29264" xr:uid="{00000000-0005-0000-0000-0000AB6E0000}"/>
    <cellStyle name="Normal 11 2 2 2 5 3 3 2 2 2" xfId="29265" xr:uid="{00000000-0005-0000-0000-0000AC6E0000}"/>
    <cellStyle name="Normal 11 2 2 2 5 3 3 2 3" xfId="29266" xr:uid="{00000000-0005-0000-0000-0000AD6E0000}"/>
    <cellStyle name="Normal 11 2 2 2 5 3 3 3" xfId="29267" xr:uid="{00000000-0005-0000-0000-0000AE6E0000}"/>
    <cellStyle name="Normal 11 2 2 2 5 3 3 3 2" xfId="29268" xr:uid="{00000000-0005-0000-0000-0000AF6E0000}"/>
    <cellStyle name="Normal 11 2 2 2 5 3 3 4" xfId="29269" xr:uid="{00000000-0005-0000-0000-0000B06E0000}"/>
    <cellStyle name="Normal 11 2 2 2 5 3 4" xfId="29270" xr:uid="{00000000-0005-0000-0000-0000B16E0000}"/>
    <cellStyle name="Normal 11 2 2 2 5 3 4 2" xfId="29271" xr:uid="{00000000-0005-0000-0000-0000B26E0000}"/>
    <cellStyle name="Normal 11 2 2 2 5 3 4 2 2" xfId="29272" xr:uid="{00000000-0005-0000-0000-0000B36E0000}"/>
    <cellStyle name="Normal 11 2 2 2 5 3 4 3" xfId="29273" xr:uid="{00000000-0005-0000-0000-0000B46E0000}"/>
    <cellStyle name="Normal 11 2 2 2 5 3 5" xfId="29274" xr:uid="{00000000-0005-0000-0000-0000B56E0000}"/>
    <cellStyle name="Normal 11 2 2 2 5 3 5 2" xfId="29275" xr:uid="{00000000-0005-0000-0000-0000B66E0000}"/>
    <cellStyle name="Normal 11 2 2 2 5 3 6" xfId="29276" xr:uid="{00000000-0005-0000-0000-0000B76E0000}"/>
    <cellStyle name="Normal 11 2 2 2 5 3 7" xfId="29253" xr:uid="{00000000-0005-0000-0000-0000B86E0000}"/>
    <cellStyle name="Normal 11 2 2 2 5 4" xfId="29277" xr:uid="{00000000-0005-0000-0000-0000B96E0000}"/>
    <cellStyle name="Normal 11 2 2 2 5 4 2" xfId="29278" xr:uid="{00000000-0005-0000-0000-0000BA6E0000}"/>
    <cellStyle name="Normal 11 2 2 2 5 4 2 2" xfId="29279" xr:uid="{00000000-0005-0000-0000-0000BB6E0000}"/>
    <cellStyle name="Normal 11 2 2 2 5 4 2 2 2" xfId="29280" xr:uid="{00000000-0005-0000-0000-0000BC6E0000}"/>
    <cellStyle name="Normal 11 2 2 2 5 4 2 2 2 2" xfId="29281" xr:uid="{00000000-0005-0000-0000-0000BD6E0000}"/>
    <cellStyle name="Normal 11 2 2 2 5 4 2 2 3" xfId="29282" xr:uid="{00000000-0005-0000-0000-0000BE6E0000}"/>
    <cellStyle name="Normal 11 2 2 2 5 4 2 3" xfId="29283" xr:uid="{00000000-0005-0000-0000-0000BF6E0000}"/>
    <cellStyle name="Normal 11 2 2 2 5 4 2 3 2" xfId="29284" xr:uid="{00000000-0005-0000-0000-0000C06E0000}"/>
    <cellStyle name="Normal 11 2 2 2 5 4 2 4" xfId="29285" xr:uid="{00000000-0005-0000-0000-0000C16E0000}"/>
    <cellStyle name="Normal 11 2 2 2 5 4 3" xfId="29286" xr:uid="{00000000-0005-0000-0000-0000C26E0000}"/>
    <cellStyle name="Normal 11 2 2 2 5 4 3 2" xfId="29287" xr:uid="{00000000-0005-0000-0000-0000C36E0000}"/>
    <cellStyle name="Normal 11 2 2 2 5 4 3 2 2" xfId="29288" xr:uid="{00000000-0005-0000-0000-0000C46E0000}"/>
    <cellStyle name="Normal 11 2 2 2 5 4 3 3" xfId="29289" xr:uid="{00000000-0005-0000-0000-0000C56E0000}"/>
    <cellStyle name="Normal 11 2 2 2 5 4 4" xfId="29290" xr:uid="{00000000-0005-0000-0000-0000C66E0000}"/>
    <cellStyle name="Normal 11 2 2 2 5 4 4 2" xfId="29291" xr:uid="{00000000-0005-0000-0000-0000C76E0000}"/>
    <cellStyle name="Normal 11 2 2 2 5 4 5" xfId="29292" xr:uid="{00000000-0005-0000-0000-0000C86E0000}"/>
    <cellStyle name="Normal 11 2 2 2 5 5" xfId="29293" xr:uid="{00000000-0005-0000-0000-0000C96E0000}"/>
    <cellStyle name="Normal 11 2 2 2 5 5 2" xfId="29294" xr:uid="{00000000-0005-0000-0000-0000CA6E0000}"/>
    <cellStyle name="Normal 11 2 2 2 5 5 2 2" xfId="29295" xr:uid="{00000000-0005-0000-0000-0000CB6E0000}"/>
    <cellStyle name="Normal 11 2 2 2 5 5 2 2 2" xfId="29296" xr:uid="{00000000-0005-0000-0000-0000CC6E0000}"/>
    <cellStyle name="Normal 11 2 2 2 5 5 2 2 2 2" xfId="29297" xr:uid="{00000000-0005-0000-0000-0000CD6E0000}"/>
    <cellStyle name="Normal 11 2 2 2 5 5 2 2 3" xfId="29298" xr:uid="{00000000-0005-0000-0000-0000CE6E0000}"/>
    <cellStyle name="Normal 11 2 2 2 5 5 2 3" xfId="29299" xr:uid="{00000000-0005-0000-0000-0000CF6E0000}"/>
    <cellStyle name="Normal 11 2 2 2 5 5 2 3 2" xfId="29300" xr:uid="{00000000-0005-0000-0000-0000D06E0000}"/>
    <cellStyle name="Normal 11 2 2 2 5 5 2 4" xfId="29301" xr:uid="{00000000-0005-0000-0000-0000D16E0000}"/>
    <cellStyle name="Normal 11 2 2 2 5 5 3" xfId="29302" xr:uid="{00000000-0005-0000-0000-0000D26E0000}"/>
    <cellStyle name="Normal 11 2 2 2 5 5 3 2" xfId="29303" xr:uid="{00000000-0005-0000-0000-0000D36E0000}"/>
    <cellStyle name="Normal 11 2 2 2 5 5 3 2 2" xfId="29304" xr:uid="{00000000-0005-0000-0000-0000D46E0000}"/>
    <cellStyle name="Normal 11 2 2 2 5 5 3 3" xfId="29305" xr:uid="{00000000-0005-0000-0000-0000D56E0000}"/>
    <cellStyle name="Normal 11 2 2 2 5 5 4" xfId="29306" xr:uid="{00000000-0005-0000-0000-0000D66E0000}"/>
    <cellStyle name="Normal 11 2 2 2 5 5 4 2" xfId="29307" xr:uid="{00000000-0005-0000-0000-0000D76E0000}"/>
    <cellStyle name="Normal 11 2 2 2 5 5 5" xfId="29308" xr:uid="{00000000-0005-0000-0000-0000D86E0000}"/>
    <cellStyle name="Normal 11 2 2 2 5 6" xfId="29309" xr:uid="{00000000-0005-0000-0000-0000D96E0000}"/>
    <cellStyle name="Normal 11 2 2 2 5 6 2" xfId="29310" xr:uid="{00000000-0005-0000-0000-0000DA6E0000}"/>
    <cellStyle name="Normal 11 2 2 2 5 6 2 2" xfId="29311" xr:uid="{00000000-0005-0000-0000-0000DB6E0000}"/>
    <cellStyle name="Normal 11 2 2 2 5 6 2 2 2" xfId="29312" xr:uid="{00000000-0005-0000-0000-0000DC6E0000}"/>
    <cellStyle name="Normal 11 2 2 2 5 6 2 3" xfId="29313" xr:uid="{00000000-0005-0000-0000-0000DD6E0000}"/>
    <cellStyle name="Normal 11 2 2 2 5 6 3" xfId="29314" xr:uid="{00000000-0005-0000-0000-0000DE6E0000}"/>
    <cellStyle name="Normal 11 2 2 2 5 6 3 2" xfId="29315" xr:uid="{00000000-0005-0000-0000-0000DF6E0000}"/>
    <cellStyle name="Normal 11 2 2 2 5 6 4" xfId="29316" xr:uid="{00000000-0005-0000-0000-0000E06E0000}"/>
    <cellStyle name="Normal 11 2 2 2 5 7" xfId="29317" xr:uid="{00000000-0005-0000-0000-0000E16E0000}"/>
    <cellStyle name="Normal 11 2 2 2 5 7 2" xfId="29318" xr:uid="{00000000-0005-0000-0000-0000E26E0000}"/>
    <cellStyle name="Normal 11 2 2 2 5 7 2 2" xfId="29319" xr:uid="{00000000-0005-0000-0000-0000E36E0000}"/>
    <cellStyle name="Normal 11 2 2 2 5 7 2 2 2" xfId="29320" xr:uid="{00000000-0005-0000-0000-0000E46E0000}"/>
    <cellStyle name="Normal 11 2 2 2 5 7 2 3" xfId="29321" xr:uid="{00000000-0005-0000-0000-0000E56E0000}"/>
    <cellStyle name="Normal 11 2 2 2 5 7 3" xfId="29322" xr:uid="{00000000-0005-0000-0000-0000E66E0000}"/>
    <cellStyle name="Normal 11 2 2 2 5 7 3 2" xfId="29323" xr:uid="{00000000-0005-0000-0000-0000E76E0000}"/>
    <cellStyle name="Normal 11 2 2 2 5 7 4" xfId="29324" xr:uid="{00000000-0005-0000-0000-0000E86E0000}"/>
    <cellStyle name="Normal 11 2 2 2 5 8" xfId="29325" xr:uid="{00000000-0005-0000-0000-0000E96E0000}"/>
    <cellStyle name="Normal 11 2 2 2 5 8 2" xfId="29326" xr:uid="{00000000-0005-0000-0000-0000EA6E0000}"/>
    <cellStyle name="Normal 11 2 2 2 5 8 2 2" xfId="29327" xr:uid="{00000000-0005-0000-0000-0000EB6E0000}"/>
    <cellStyle name="Normal 11 2 2 2 5 8 2 2 2" xfId="29328" xr:uid="{00000000-0005-0000-0000-0000EC6E0000}"/>
    <cellStyle name="Normal 11 2 2 2 5 8 2 3" xfId="29329" xr:uid="{00000000-0005-0000-0000-0000ED6E0000}"/>
    <cellStyle name="Normal 11 2 2 2 5 8 3" xfId="29330" xr:uid="{00000000-0005-0000-0000-0000EE6E0000}"/>
    <cellStyle name="Normal 11 2 2 2 5 8 3 2" xfId="29331" xr:uid="{00000000-0005-0000-0000-0000EF6E0000}"/>
    <cellStyle name="Normal 11 2 2 2 5 8 4" xfId="29332" xr:uid="{00000000-0005-0000-0000-0000F06E0000}"/>
    <cellStyle name="Normal 11 2 2 2 5 9" xfId="29333" xr:uid="{00000000-0005-0000-0000-0000F16E0000}"/>
    <cellStyle name="Normal 11 2 2 2 5 9 2" xfId="29334" xr:uid="{00000000-0005-0000-0000-0000F26E0000}"/>
    <cellStyle name="Normal 11 2 2 2 5 9 2 2" xfId="29335" xr:uid="{00000000-0005-0000-0000-0000F36E0000}"/>
    <cellStyle name="Normal 11 2 2 2 5 9 3" xfId="29336" xr:uid="{00000000-0005-0000-0000-0000F46E0000}"/>
    <cellStyle name="Normal 11 2 2 2 6" xfId="979" xr:uid="{00000000-0005-0000-0000-0000F56E0000}"/>
    <cellStyle name="Normal 11 2 2 2 6 10" xfId="29338" xr:uid="{00000000-0005-0000-0000-0000F66E0000}"/>
    <cellStyle name="Normal 11 2 2 2 6 11" xfId="29337" xr:uid="{00000000-0005-0000-0000-0000F76E0000}"/>
    <cellStyle name="Normal 11 2 2 2 6 2" xfId="1708" xr:uid="{00000000-0005-0000-0000-0000F86E0000}"/>
    <cellStyle name="Normal 11 2 2 2 6 2 2" xfId="29340" xr:uid="{00000000-0005-0000-0000-0000F96E0000}"/>
    <cellStyle name="Normal 11 2 2 2 6 2 2 2" xfId="29341" xr:uid="{00000000-0005-0000-0000-0000FA6E0000}"/>
    <cellStyle name="Normal 11 2 2 2 6 2 2 2 2" xfId="29342" xr:uid="{00000000-0005-0000-0000-0000FB6E0000}"/>
    <cellStyle name="Normal 11 2 2 2 6 2 2 2 2 2" xfId="29343" xr:uid="{00000000-0005-0000-0000-0000FC6E0000}"/>
    <cellStyle name="Normal 11 2 2 2 6 2 2 2 3" xfId="29344" xr:uid="{00000000-0005-0000-0000-0000FD6E0000}"/>
    <cellStyle name="Normal 11 2 2 2 6 2 2 3" xfId="29345" xr:uid="{00000000-0005-0000-0000-0000FE6E0000}"/>
    <cellStyle name="Normal 11 2 2 2 6 2 2 3 2" xfId="29346" xr:uid="{00000000-0005-0000-0000-0000FF6E0000}"/>
    <cellStyle name="Normal 11 2 2 2 6 2 2 4" xfId="29347" xr:uid="{00000000-0005-0000-0000-0000006F0000}"/>
    <cellStyle name="Normal 11 2 2 2 6 2 3" xfId="29348" xr:uid="{00000000-0005-0000-0000-0000016F0000}"/>
    <cellStyle name="Normal 11 2 2 2 6 2 3 2" xfId="29349" xr:uid="{00000000-0005-0000-0000-0000026F0000}"/>
    <cellStyle name="Normal 11 2 2 2 6 2 3 2 2" xfId="29350" xr:uid="{00000000-0005-0000-0000-0000036F0000}"/>
    <cellStyle name="Normal 11 2 2 2 6 2 3 2 2 2" xfId="29351" xr:uid="{00000000-0005-0000-0000-0000046F0000}"/>
    <cellStyle name="Normal 11 2 2 2 6 2 3 2 3" xfId="29352" xr:uid="{00000000-0005-0000-0000-0000056F0000}"/>
    <cellStyle name="Normal 11 2 2 2 6 2 3 3" xfId="29353" xr:uid="{00000000-0005-0000-0000-0000066F0000}"/>
    <cellStyle name="Normal 11 2 2 2 6 2 3 3 2" xfId="29354" xr:uid="{00000000-0005-0000-0000-0000076F0000}"/>
    <cellStyle name="Normal 11 2 2 2 6 2 3 4" xfId="29355" xr:uid="{00000000-0005-0000-0000-0000086F0000}"/>
    <cellStyle name="Normal 11 2 2 2 6 2 4" xfId="29356" xr:uid="{00000000-0005-0000-0000-0000096F0000}"/>
    <cellStyle name="Normal 11 2 2 2 6 2 4 2" xfId="29357" xr:uid="{00000000-0005-0000-0000-00000A6F0000}"/>
    <cellStyle name="Normal 11 2 2 2 6 2 4 2 2" xfId="29358" xr:uid="{00000000-0005-0000-0000-00000B6F0000}"/>
    <cellStyle name="Normal 11 2 2 2 6 2 4 3" xfId="29359" xr:uid="{00000000-0005-0000-0000-00000C6F0000}"/>
    <cellStyle name="Normal 11 2 2 2 6 2 5" xfId="29360" xr:uid="{00000000-0005-0000-0000-00000D6F0000}"/>
    <cellStyle name="Normal 11 2 2 2 6 2 5 2" xfId="29361" xr:uid="{00000000-0005-0000-0000-00000E6F0000}"/>
    <cellStyle name="Normal 11 2 2 2 6 2 6" xfId="29362" xr:uid="{00000000-0005-0000-0000-00000F6F0000}"/>
    <cellStyle name="Normal 11 2 2 2 6 2 7" xfId="29339" xr:uid="{00000000-0005-0000-0000-0000106F0000}"/>
    <cellStyle name="Normal 11 2 2 2 6 3" xfId="29363" xr:uid="{00000000-0005-0000-0000-0000116F0000}"/>
    <cellStyle name="Normal 11 2 2 2 6 3 2" xfId="29364" xr:uid="{00000000-0005-0000-0000-0000126F0000}"/>
    <cellStyle name="Normal 11 2 2 2 6 3 2 2" xfId="29365" xr:uid="{00000000-0005-0000-0000-0000136F0000}"/>
    <cellStyle name="Normal 11 2 2 2 6 3 2 2 2" xfId="29366" xr:uid="{00000000-0005-0000-0000-0000146F0000}"/>
    <cellStyle name="Normal 11 2 2 2 6 3 2 2 2 2" xfId="29367" xr:uid="{00000000-0005-0000-0000-0000156F0000}"/>
    <cellStyle name="Normal 11 2 2 2 6 3 2 2 3" xfId="29368" xr:uid="{00000000-0005-0000-0000-0000166F0000}"/>
    <cellStyle name="Normal 11 2 2 2 6 3 2 3" xfId="29369" xr:uid="{00000000-0005-0000-0000-0000176F0000}"/>
    <cellStyle name="Normal 11 2 2 2 6 3 2 3 2" xfId="29370" xr:uid="{00000000-0005-0000-0000-0000186F0000}"/>
    <cellStyle name="Normal 11 2 2 2 6 3 2 4" xfId="29371" xr:uid="{00000000-0005-0000-0000-0000196F0000}"/>
    <cellStyle name="Normal 11 2 2 2 6 3 3" xfId="29372" xr:uid="{00000000-0005-0000-0000-00001A6F0000}"/>
    <cellStyle name="Normal 11 2 2 2 6 3 3 2" xfId="29373" xr:uid="{00000000-0005-0000-0000-00001B6F0000}"/>
    <cellStyle name="Normal 11 2 2 2 6 3 3 2 2" xfId="29374" xr:uid="{00000000-0005-0000-0000-00001C6F0000}"/>
    <cellStyle name="Normal 11 2 2 2 6 3 3 3" xfId="29375" xr:uid="{00000000-0005-0000-0000-00001D6F0000}"/>
    <cellStyle name="Normal 11 2 2 2 6 3 4" xfId="29376" xr:uid="{00000000-0005-0000-0000-00001E6F0000}"/>
    <cellStyle name="Normal 11 2 2 2 6 3 4 2" xfId="29377" xr:uid="{00000000-0005-0000-0000-00001F6F0000}"/>
    <cellStyle name="Normal 11 2 2 2 6 3 5" xfId="29378" xr:uid="{00000000-0005-0000-0000-0000206F0000}"/>
    <cellStyle name="Normal 11 2 2 2 6 4" xfId="29379" xr:uid="{00000000-0005-0000-0000-0000216F0000}"/>
    <cellStyle name="Normal 11 2 2 2 6 4 2" xfId="29380" xr:uid="{00000000-0005-0000-0000-0000226F0000}"/>
    <cellStyle name="Normal 11 2 2 2 6 4 2 2" xfId="29381" xr:uid="{00000000-0005-0000-0000-0000236F0000}"/>
    <cellStyle name="Normal 11 2 2 2 6 4 2 2 2" xfId="29382" xr:uid="{00000000-0005-0000-0000-0000246F0000}"/>
    <cellStyle name="Normal 11 2 2 2 6 4 2 2 2 2" xfId="29383" xr:uid="{00000000-0005-0000-0000-0000256F0000}"/>
    <cellStyle name="Normal 11 2 2 2 6 4 2 2 3" xfId="29384" xr:uid="{00000000-0005-0000-0000-0000266F0000}"/>
    <cellStyle name="Normal 11 2 2 2 6 4 2 3" xfId="29385" xr:uid="{00000000-0005-0000-0000-0000276F0000}"/>
    <cellStyle name="Normal 11 2 2 2 6 4 2 3 2" xfId="29386" xr:uid="{00000000-0005-0000-0000-0000286F0000}"/>
    <cellStyle name="Normal 11 2 2 2 6 4 2 4" xfId="29387" xr:uid="{00000000-0005-0000-0000-0000296F0000}"/>
    <cellStyle name="Normal 11 2 2 2 6 4 3" xfId="29388" xr:uid="{00000000-0005-0000-0000-00002A6F0000}"/>
    <cellStyle name="Normal 11 2 2 2 6 4 3 2" xfId="29389" xr:uid="{00000000-0005-0000-0000-00002B6F0000}"/>
    <cellStyle name="Normal 11 2 2 2 6 4 3 2 2" xfId="29390" xr:uid="{00000000-0005-0000-0000-00002C6F0000}"/>
    <cellStyle name="Normal 11 2 2 2 6 4 3 3" xfId="29391" xr:uid="{00000000-0005-0000-0000-00002D6F0000}"/>
    <cellStyle name="Normal 11 2 2 2 6 4 4" xfId="29392" xr:uid="{00000000-0005-0000-0000-00002E6F0000}"/>
    <cellStyle name="Normal 11 2 2 2 6 4 4 2" xfId="29393" xr:uid="{00000000-0005-0000-0000-00002F6F0000}"/>
    <cellStyle name="Normal 11 2 2 2 6 4 5" xfId="29394" xr:uid="{00000000-0005-0000-0000-0000306F0000}"/>
    <cellStyle name="Normal 11 2 2 2 6 5" xfId="29395" xr:uid="{00000000-0005-0000-0000-0000316F0000}"/>
    <cellStyle name="Normal 11 2 2 2 6 5 2" xfId="29396" xr:uid="{00000000-0005-0000-0000-0000326F0000}"/>
    <cellStyle name="Normal 11 2 2 2 6 5 2 2" xfId="29397" xr:uid="{00000000-0005-0000-0000-0000336F0000}"/>
    <cellStyle name="Normal 11 2 2 2 6 5 2 2 2" xfId="29398" xr:uid="{00000000-0005-0000-0000-0000346F0000}"/>
    <cellStyle name="Normal 11 2 2 2 6 5 2 3" xfId="29399" xr:uid="{00000000-0005-0000-0000-0000356F0000}"/>
    <cellStyle name="Normal 11 2 2 2 6 5 3" xfId="29400" xr:uid="{00000000-0005-0000-0000-0000366F0000}"/>
    <cellStyle name="Normal 11 2 2 2 6 5 3 2" xfId="29401" xr:uid="{00000000-0005-0000-0000-0000376F0000}"/>
    <cellStyle name="Normal 11 2 2 2 6 5 4" xfId="29402" xr:uid="{00000000-0005-0000-0000-0000386F0000}"/>
    <cellStyle name="Normal 11 2 2 2 6 6" xfId="29403" xr:uid="{00000000-0005-0000-0000-0000396F0000}"/>
    <cellStyle name="Normal 11 2 2 2 6 6 2" xfId="29404" xr:uid="{00000000-0005-0000-0000-00003A6F0000}"/>
    <cellStyle name="Normal 11 2 2 2 6 6 2 2" xfId="29405" xr:uid="{00000000-0005-0000-0000-00003B6F0000}"/>
    <cellStyle name="Normal 11 2 2 2 6 6 2 2 2" xfId="29406" xr:uid="{00000000-0005-0000-0000-00003C6F0000}"/>
    <cellStyle name="Normal 11 2 2 2 6 6 2 3" xfId="29407" xr:uid="{00000000-0005-0000-0000-00003D6F0000}"/>
    <cellStyle name="Normal 11 2 2 2 6 6 3" xfId="29408" xr:uid="{00000000-0005-0000-0000-00003E6F0000}"/>
    <cellStyle name="Normal 11 2 2 2 6 6 3 2" xfId="29409" xr:uid="{00000000-0005-0000-0000-00003F6F0000}"/>
    <cellStyle name="Normal 11 2 2 2 6 6 4" xfId="29410" xr:uid="{00000000-0005-0000-0000-0000406F0000}"/>
    <cellStyle name="Normal 11 2 2 2 6 7" xfId="29411" xr:uid="{00000000-0005-0000-0000-0000416F0000}"/>
    <cellStyle name="Normal 11 2 2 2 6 7 2" xfId="29412" xr:uid="{00000000-0005-0000-0000-0000426F0000}"/>
    <cellStyle name="Normal 11 2 2 2 6 7 2 2" xfId="29413" xr:uid="{00000000-0005-0000-0000-0000436F0000}"/>
    <cellStyle name="Normal 11 2 2 2 6 7 2 2 2" xfId="29414" xr:uid="{00000000-0005-0000-0000-0000446F0000}"/>
    <cellStyle name="Normal 11 2 2 2 6 7 2 3" xfId="29415" xr:uid="{00000000-0005-0000-0000-0000456F0000}"/>
    <cellStyle name="Normal 11 2 2 2 6 7 3" xfId="29416" xr:uid="{00000000-0005-0000-0000-0000466F0000}"/>
    <cellStyle name="Normal 11 2 2 2 6 7 3 2" xfId="29417" xr:uid="{00000000-0005-0000-0000-0000476F0000}"/>
    <cellStyle name="Normal 11 2 2 2 6 7 4" xfId="29418" xr:uid="{00000000-0005-0000-0000-0000486F0000}"/>
    <cellStyle name="Normal 11 2 2 2 6 8" xfId="29419" xr:uid="{00000000-0005-0000-0000-0000496F0000}"/>
    <cellStyle name="Normal 11 2 2 2 6 8 2" xfId="29420" xr:uid="{00000000-0005-0000-0000-00004A6F0000}"/>
    <cellStyle name="Normal 11 2 2 2 6 8 2 2" xfId="29421" xr:uid="{00000000-0005-0000-0000-00004B6F0000}"/>
    <cellStyle name="Normal 11 2 2 2 6 8 3" xfId="29422" xr:uid="{00000000-0005-0000-0000-00004C6F0000}"/>
    <cellStyle name="Normal 11 2 2 2 6 9" xfId="29423" xr:uid="{00000000-0005-0000-0000-00004D6F0000}"/>
    <cellStyle name="Normal 11 2 2 2 6 9 2" xfId="29424" xr:uid="{00000000-0005-0000-0000-00004E6F0000}"/>
    <cellStyle name="Normal 11 2 2 2 7" xfId="1381" xr:uid="{00000000-0005-0000-0000-00004F6F0000}"/>
    <cellStyle name="Normal 11 2 2 2 7 2" xfId="29426" xr:uid="{00000000-0005-0000-0000-0000506F0000}"/>
    <cellStyle name="Normal 11 2 2 2 7 2 2" xfId="29427" xr:uid="{00000000-0005-0000-0000-0000516F0000}"/>
    <cellStyle name="Normal 11 2 2 2 7 2 2 2" xfId="29428" xr:uid="{00000000-0005-0000-0000-0000526F0000}"/>
    <cellStyle name="Normal 11 2 2 2 7 2 2 2 2" xfId="29429" xr:uid="{00000000-0005-0000-0000-0000536F0000}"/>
    <cellStyle name="Normal 11 2 2 2 7 2 2 3" xfId="29430" xr:uid="{00000000-0005-0000-0000-0000546F0000}"/>
    <cellStyle name="Normal 11 2 2 2 7 2 3" xfId="29431" xr:uid="{00000000-0005-0000-0000-0000556F0000}"/>
    <cellStyle name="Normal 11 2 2 2 7 2 3 2" xfId="29432" xr:uid="{00000000-0005-0000-0000-0000566F0000}"/>
    <cellStyle name="Normal 11 2 2 2 7 2 4" xfId="29433" xr:uid="{00000000-0005-0000-0000-0000576F0000}"/>
    <cellStyle name="Normal 11 2 2 2 7 3" xfId="29434" xr:uid="{00000000-0005-0000-0000-0000586F0000}"/>
    <cellStyle name="Normal 11 2 2 2 7 3 2" xfId="29435" xr:uid="{00000000-0005-0000-0000-0000596F0000}"/>
    <cellStyle name="Normal 11 2 2 2 7 3 2 2" xfId="29436" xr:uid="{00000000-0005-0000-0000-00005A6F0000}"/>
    <cellStyle name="Normal 11 2 2 2 7 3 2 2 2" xfId="29437" xr:uid="{00000000-0005-0000-0000-00005B6F0000}"/>
    <cellStyle name="Normal 11 2 2 2 7 3 2 3" xfId="29438" xr:uid="{00000000-0005-0000-0000-00005C6F0000}"/>
    <cellStyle name="Normal 11 2 2 2 7 3 3" xfId="29439" xr:uid="{00000000-0005-0000-0000-00005D6F0000}"/>
    <cellStyle name="Normal 11 2 2 2 7 3 3 2" xfId="29440" xr:uid="{00000000-0005-0000-0000-00005E6F0000}"/>
    <cellStyle name="Normal 11 2 2 2 7 3 4" xfId="29441" xr:uid="{00000000-0005-0000-0000-00005F6F0000}"/>
    <cellStyle name="Normal 11 2 2 2 7 4" xfId="29442" xr:uid="{00000000-0005-0000-0000-0000606F0000}"/>
    <cellStyle name="Normal 11 2 2 2 7 4 2" xfId="29443" xr:uid="{00000000-0005-0000-0000-0000616F0000}"/>
    <cellStyle name="Normal 11 2 2 2 7 4 2 2" xfId="29444" xr:uid="{00000000-0005-0000-0000-0000626F0000}"/>
    <cellStyle name="Normal 11 2 2 2 7 4 3" xfId="29445" xr:uid="{00000000-0005-0000-0000-0000636F0000}"/>
    <cellStyle name="Normal 11 2 2 2 7 5" xfId="29446" xr:uid="{00000000-0005-0000-0000-0000646F0000}"/>
    <cellStyle name="Normal 11 2 2 2 7 5 2" xfId="29447" xr:uid="{00000000-0005-0000-0000-0000656F0000}"/>
    <cellStyle name="Normal 11 2 2 2 7 6" xfId="29448" xr:uid="{00000000-0005-0000-0000-0000666F0000}"/>
    <cellStyle name="Normal 11 2 2 2 7 7" xfId="29425" xr:uid="{00000000-0005-0000-0000-0000676F0000}"/>
    <cellStyle name="Normal 11 2 2 2 8" xfId="29449" xr:uid="{00000000-0005-0000-0000-0000686F0000}"/>
    <cellStyle name="Normal 11 2 2 2 8 2" xfId="29450" xr:uid="{00000000-0005-0000-0000-0000696F0000}"/>
    <cellStyle name="Normal 11 2 2 2 8 2 2" xfId="29451" xr:uid="{00000000-0005-0000-0000-00006A6F0000}"/>
    <cellStyle name="Normal 11 2 2 2 8 2 2 2" xfId="29452" xr:uid="{00000000-0005-0000-0000-00006B6F0000}"/>
    <cellStyle name="Normal 11 2 2 2 8 2 2 2 2" xfId="29453" xr:uid="{00000000-0005-0000-0000-00006C6F0000}"/>
    <cellStyle name="Normal 11 2 2 2 8 2 2 3" xfId="29454" xr:uid="{00000000-0005-0000-0000-00006D6F0000}"/>
    <cellStyle name="Normal 11 2 2 2 8 2 3" xfId="29455" xr:uid="{00000000-0005-0000-0000-00006E6F0000}"/>
    <cellStyle name="Normal 11 2 2 2 8 2 3 2" xfId="29456" xr:uid="{00000000-0005-0000-0000-00006F6F0000}"/>
    <cellStyle name="Normal 11 2 2 2 8 2 4" xfId="29457" xr:uid="{00000000-0005-0000-0000-0000706F0000}"/>
    <cellStyle name="Normal 11 2 2 2 8 3" xfId="29458" xr:uid="{00000000-0005-0000-0000-0000716F0000}"/>
    <cellStyle name="Normal 11 2 2 2 8 3 2" xfId="29459" xr:uid="{00000000-0005-0000-0000-0000726F0000}"/>
    <cellStyle name="Normal 11 2 2 2 8 3 2 2" xfId="29460" xr:uid="{00000000-0005-0000-0000-0000736F0000}"/>
    <cellStyle name="Normal 11 2 2 2 8 3 3" xfId="29461" xr:uid="{00000000-0005-0000-0000-0000746F0000}"/>
    <cellStyle name="Normal 11 2 2 2 8 4" xfId="29462" xr:uid="{00000000-0005-0000-0000-0000756F0000}"/>
    <cellStyle name="Normal 11 2 2 2 8 4 2" xfId="29463" xr:uid="{00000000-0005-0000-0000-0000766F0000}"/>
    <cellStyle name="Normal 11 2 2 2 8 5" xfId="29464" xr:uid="{00000000-0005-0000-0000-0000776F0000}"/>
    <cellStyle name="Normal 11 2 2 2 9" xfId="29465" xr:uid="{00000000-0005-0000-0000-0000786F0000}"/>
    <cellStyle name="Normal 11 2 2 2 9 2" xfId="29466" xr:uid="{00000000-0005-0000-0000-0000796F0000}"/>
    <cellStyle name="Normal 11 2 2 2 9 2 2" xfId="29467" xr:uid="{00000000-0005-0000-0000-00007A6F0000}"/>
    <cellStyle name="Normal 11 2 2 2 9 2 2 2" xfId="29468" xr:uid="{00000000-0005-0000-0000-00007B6F0000}"/>
    <cellStyle name="Normal 11 2 2 2 9 2 2 2 2" xfId="29469" xr:uid="{00000000-0005-0000-0000-00007C6F0000}"/>
    <cellStyle name="Normal 11 2 2 2 9 2 2 3" xfId="29470" xr:uid="{00000000-0005-0000-0000-00007D6F0000}"/>
    <cellStyle name="Normal 11 2 2 2 9 2 3" xfId="29471" xr:uid="{00000000-0005-0000-0000-00007E6F0000}"/>
    <cellStyle name="Normal 11 2 2 2 9 2 3 2" xfId="29472" xr:uid="{00000000-0005-0000-0000-00007F6F0000}"/>
    <cellStyle name="Normal 11 2 2 2 9 2 4" xfId="29473" xr:uid="{00000000-0005-0000-0000-0000806F0000}"/>
    <cellStyle name="Normal 11 2 2 2 9 3" xfId="29474" xr:uid="{00000000-0005-0000-0000-0000816F0000}"/>
    <cellStyle name="Normal 11 2 2 2 9 3 2" xfId="29475" xr:uid="{00000000-0005-0000-0000-0000826F0000}"/>
    <cellStyle name="Normal 11 2 2 2 9 3 2 2" xfId="29476" xr:uid="{00000000-0005-0000-0000-0000836F0000}"/>
    <cellStyle name="Normal 11 2 2 2 9 3 3" xfId="29477" xr:uid="{00000000-0005-0000-0000-0000846F0000}"/>
    <cellStyle name="Normal 11 2 2 2 9 4" xfId="29478" xr:uid="{00000000-0005-0000-0000-0000856F0000}"/>
    <cellStyle name="Normal 11 2 2 2 9 4 2" xfId="29479" xr:uid="{00000000-0005-0000-0000-0000866F0000}"/>
    <cellStyle name="Normal 11 2 2 2 9 5" xfId="29480" xr:uid="{00000000-0005-0000-0000-0000876F0000}"/>
    <cellStyle name="Normal 11 2 2 20" xfId="27204" xr:uid="{00000000-0005-0000-0000-0000886F0000}"/>
    <cellStyle name="Normal 11 2 2 3" xfId="549" xr:uid="{00000000-0005-0000-0000-0000896F0000}"/>
    <cellStyle name="Normal 11 2 2 3 10" xfId="29482" xr:uid="{00000000-0005-0000-0000-00008A6F0000}"/>
    <cellStyle name="Normal 11 2 2 3 10 2" xfId="29483" xr:uid="{00000000-0005-0000-0000-00008B6F0000}"/>
    <cellStyle name="Normal 11 2 2 3 10 2 2" xfId="29484" xr:uid="{00000000-0005-0000-0000-00008C6F0000}"/>
    <cellStyle name="Normal 11 2 2 3 10 2 2 2" xfId="29485" xr:uid="{00000000-0005-0000-0000-00008D6F0000}"/>
    <cellStyle name="Normal 11 2 2 3 10 2 3" xfId="29486" xr:uid="{00000000-0005-0000-0000-00008E6F0000}"/>
    <cellStyle name="Normal 11 2 2 3 10 3" xfId="29487" xr:uid="{00000000-0005-0000-0000-00008F6F0000}"/>
    <cellStyle name="Normal 11 2 2 3 10 3 2" xfId="29488" xr:uid="{00000000-0005-0000-0000-0000906F0000}"/>
    <cellStyle name="Normal 11 2 2 3 10 4" xfId="29489" xr:uid="{00000000-0005-0000-0000-0000916F0000}"/>
    <cellStyle name="Normal 11 2 2 3 11" xfId="29490" xr:uid="{00000000-0005-0000-0000-0000926F0000}"/>
    <cellStyle name="Normal 11 2 2 3 11 2" xfId="29491" xr:uid="{00000000-0005-0000-0000-0000936F0000}"/>
    <cellStyle name="Normal 11 2 2 3 11 2 2" xfId="29492" xr:uid="{00000000-0005-0000-0000-0000946F0000}"/>
    <cellStyle name="Normal 11 2 2 3 11 2 2 2" xfId="29493" xr:uid="{00000000-0005-0000-0000-0000956F0000}"/>
    <cellStyle name="Normal 11 2 2 3 11 2 3" xfId="29494" xr:uid="{00000000-0005-0000-0000-0000966F0000}"/>
    <cellStyle name="Normal 11 2 2 3 11 3" xfId="29495" xr:uid="{00000000-0005-0000-0000-0000976F0000}"/>
    <cellStyle name="Normal 11 2 2 3 11 3 2" xfId="29496" xr:uid="{00000000-0005-0000-0000-0000986F0000}"/>
    <cellStyle name="Normal 11 2 2 3 11 4" xfId="29497" xr:uid="{00000000-0005-0000-0000-0000996F0000}"/>
    <cellStyle name="Normal 11 2 2 3 12" xfId="29498" xr:uid="{00000000-0005-0000-0000-00009A6F0000}"/>
    <cellStyle name="Normal 11 2 2 3 12 2" xfId="29499" xr:uid="{00000000-0005-0000-0000-00009B6F0000}"/>
    <cellStyle name="Normal 11 2 2 3 12 2 2" xfId="29500" xr:uid="{00000000-0005-0000-0000-00009C6F0000}"/>
    <cellStyle name="Normal 11 2 2 3 12 3" xfId="29501" xr:uid="{00000000-0005-0000-0000-00009D6F0000}"/>
    <cellStyle name="Normal 11 2 2 3 13" xfId="29502" xr:uid="{00000000-0005-0000-0000-00009E6F0000}"/>
    <cellStyle name="Normal 11 2 2 3 13 2" xfId="29503" xr:uid="{00000000-0005-0000-0000-00009F6F0000}"/>
    <cellStyle name="Normal 11 2 2 3 13 2 2" xfId="29504" xr:uid="{00000000-0005-0000-0000-0000A06F0000}"/>
    <cellStyle name="Normal 11 2 2 3 13 3" xfId="29505" xr:uid="{00000000-0005-0000-0000-0000A16F0000}"/>
    <cellStyle name="Normal 11 2 2 3 14" xfId="29506" xr:uid="{00000000-0005-0000-0000-0000A26F0000}"/>
    <cellStyle name="Normal 11 2 2 3 14 2" xfId="29507" xr:uid="{00000000-0005-0000-0000-0000A36F0000}"/>
    <cellStyle name="Normal 11 2 2 3 14 2 2" xfId="29508" xr:uid="{00000000-0005-0000-0000-0000A46F0000}"/>
    <cellStyle name="Normal 11 2 2 3 14 3" xfId="29509" xr:uid="{00000000-0005-0000-0000-0000A56F0000}"/>
    <cellStyle name="Normal 11 2 2 3 15" xfId="29510" xr:uid="{00000000-0005-0000-0000-0000A66F0000}"/>
    <cellStyle name="Normal 11 2 2 3 15 2" xfId="29511" xr:uid="{00000000-0005-0000-0000-0000A76F0000}"/>
    <cellStyle name="Normal 11 2 2 3 16" xfId="29512" xr:uid="{00000000-0005-0000-0000-0000A86F0000}"/>
    <cellStyle name="Normal 11 2 2 3 17" xfId="29513" xr:uid="{00000000-0005-0000-0000-0000A96F0000}"/>
    <cellStyle name="Normal 11 2 2 3 18" xfId="29481" xr:uid="{00000000-0005-0000-0000-0000AA6F0000}"/>
    <cellStyle name="Normal 11 2 2 3 2" xfId="550" xr:uid="{00000000-0005-0000-0000-0000AB6F0000}"/>
    <cellStyle name="Normal 11 2 2 3 2 10" xfId="29515" xr:uid="{00000000-0005-0000-0000-0000AC6F0000}"/>
    <cellStyle name="Normal 11 2 2 3 2 10 2" xfId="29516" xr:uid="{00000000-0005-0000-0000-0000AD6F0000}"/>
    <cellStyle name="Normal 11 2 2 3 2 10 2 2" xfId="29517" xr:uid="{00000000-0005-0000-0000-0000AE6F0000}"/>
    <cellStyle name="Normal 11 2 2 3 2 10 2 2 2" xfId="29518" xr:uid="{00000000-0005-0000-0000-0000AF6F0000}"/>
    <cellStyle name="Normal 11 2 2 3 2 10 2 3" xfId="29519" xr:uid="{00000000-0005-0000-0000-0000B06F0000}"/>
    <cellStyle name="Normal 11 2 2 3 2 10 3" xfId="29520" xr:uid="{00000000-0005-0000-0000-0000B16F0000}"/>
    <cellStyle name="Normal 11 2 2 3 2 10 3 2" xfId="29521" xr:uid="{00000000-0005-0000-0000-0000B26F0000}"/>
    <cellStyle name="Normal 11 2 2 3 2 10 4" xfId="29522" xr:uid="{00000000-0005-0000-0000-0000B36F0000}"/>
    <cellStyle name="Normal 11 2 2 3 2 11" xfId="29523" xr:uid="{00000000-0005-0000-0000-0000B46F0000}"/>
    <cellStyle name="Normal 11 2 2 3 2 11 2" xfId="29524" xr:uid="{00000000-0005-0000-0000-0000B56F0000}"/>
    <cellStyle name="Normal 11 2 2 3 2 11 2 2" xfId="29525" xr:uid="{00000000-0005-0000-0000-0000B66F0000}"/>
    <cellStyle name="Normal 11 2 2 3 2 11 3" xfId="29526" xr:uid="{00000000-0005-0000-0000-0000B76F0000}"/>
    <cellStyle name="Normal 11 2 2 3 2 12" xfId="29527" xr:uid="{00000000-0005-0000-0000-0000B86F0000}"/>
    <cellStyle name="Normal 11 2 2 3 2 12 2" xfId="29528" xr:uid="{00000000-0005-0000-0000-0000B96F0000}"/>
    <cellStyle name="Normal 11 2 2 3 2 12 2 2" xfId="29529" xr:uid="{00000000-0005-0000-0000-0000BA6F0000}"/>
    <cellStyle name="Normal 11 2 2 3 2 12 3" xfId="29530" xr:uid="{00000000-0005-0000-0000-0000BB6F0000}"/>
    <cellStyle name="Normal 11 2 2 3 2 13" xfId="29531" xr:uid="{00000000-0005-0000-0000-0000BC6F0000}"/>
    <cellStyle name="Normal 11 2 2 3 2 13 2" xfId="29532" xr:uid="{00000000-0005-0000-0000-0000BD6F0000}"/>
    <cellStyle name="Normal 11 2 2 3 2 13 2 2" xfId="29533" xr:uid="{00000000-0005-0000-0000-0000BE6F0000}"/>
    <cellStyle name="Normal 11 2 2 3 2 13 3" xfId="29534" xr:uid="{00000000-0005-0000-0000-0000BF6F0000}"/>
    <cellStyle name="Normal 11 2 2 3 2 14" xfId="29535" xr:uid="{00000000-0005-0000-0000-0000C06F0000}"/>
    <cellStyle name="Normal 11 2 2 3 2 14 2" xfId="29536" xr:uid="{00000000-0005-0000-0000-0000C16F0000}"/>
    <cellStyle name="Normal 11 2 2 3 2 15" xfId="29537" xr:uid="{00000000-0005-0000-0000-0000C26F0000}"/>
    <cellStyle name="Normal 11 2 2 3 2 16" xfId="29538" xr:uid="{00000000-0005-0000-0000-0000C36F0000}"/>
    <cellStyle name="Normal 11 2 2 3 2 17" xfId="29514" xr:uid="{00000000-0005-0000-0000-0000C46F0000}"/>
    <cellStyle name="Normal 11 2 2 3 2 2" xfId="551" xr:uid="{00000000-0005-0000-0000-0000C56F0000}"/>
    <cellStyle name="Normal 11 2 2 3 2 2 10" xfId="29540" xr:uid="{00000000-0005-0000-0000-0000C66F0000}"/>
    <cellStyle name="Normal 11 2 2 3 2 2 10 2" xfId="29541" xr:uid="{00000000-0005-0000-0000-0000C76F0000}"/>
    <cellStyle name="Normal 11 2 2 3 2 2 10 2 2" xfId="29542" xr:uid="{00000000-0005-0000-0000-0000C86F0000}"/>
    <cellStyle name="Normal 11 2 2 3 2 2 10 3" xfId="29543" xr:uid="{00000000-0005-0000-0000-0000C96F0000}"/>
    <cellStyle name="Normal 11 2 2 3 2 2 11" xfId="29544" xr:uid="{00000000-0005-0000-0000-0000CA6F0000}"/>
    <cellStyle name="Normal 11 2 2 3 2 2 11 2" xfId="29545" xr:uid="{00000000-0005-0000-0000-0000CB6F0000}"/>
    <cellStyle name="Normal 11 2 2 3 2 2 11 2 2" xfId="29546" xr:uid="{00000000-0005-0000-0000-0000CC6F0000}"/>
    <cellStyle name="Normal 11 2 2 3 2 2 11 3" xfId="29547" xr:uid="{00000000-0005-0000-0000-0000CD6F0000}"/>
    <cellStyle name="Normal 11 2 2 3 2 2 12" xfId="29548" xr:uid="{00000000-0005-0000-0000-0000CE6F0000}"/>
    <cellStyle name="Normal 11 2 2 3 2 2 12 2" xfId="29549" xr:uid="{00000000-0005-0000-0000-0000CF6F0000}"/>
    <cellStyle name="Normal 11 2 2 3 2 2 13" xfId="29550" xr:uid="{00000000-0005-0000-0000-0000D06F0000}"/>
    <cellStyle name="Normal 11 2 2 3 2 2 14" xfId="29551" xr:uid="{00000000-0005-0000-0000-0000D16F0000}"/>
    <cellStyle name="Normal 11 2 2 3 2 2 15" xfId="29539" xr:uid="{00000000-0005-0000-0000-0000D26F0000}"/>
    <cellStyle name="Normal 11 2 2 3 2 2 2" xfId="993" xr:uid="{00000000-0005-0000-0000-0000D36F0000}"/>
    <cellStyle name="Normal 11 2 2 3 2 2 2 10" xfId="29553" xr:uid="{00000000-0005-0000-0000-0000D46F0000}"/>
    <cellStyle name="Normal 11 2 2 3 2 2 2 11" xfId="29552" xr:uid="{00000000-0005-0000-0000-0000D56F0000}"/>
    <cellStyle name="Normal 11 2 2 3 2 2 2 2" xfId="1722" xr:uid="{00000000-0005-0000-0000-0000D66F0000}"/>
    <cellStyle name="Normal 11 2 2 3 2 2 2 2 2" xfId="29555" xr:uid="{00000000-0005-0000-0000-0000D76F0000}"/>
    <cellStyle name="Normal 11 2 2 3 2 2 2 2 2 2" xfId="29556" xr:uid="{00000000-0005-0000-0000-0000D86F0000}"/>
    <cellStyle name="Normal 11 2 2 3 2 2 2 2 2 2 2" xfId="29557" xr:uid="{00000000-0005-0000-0000-0000D96F0000}"/>
    <cellStyle name="Normal 11 2 2 3 2 2 2 2 2 2 2 2" xfId="29558" xr:uid="{00000000-0005-0000-0000-0000DA6F0000}"/>
    <cellStyle name="Normal 11 2 2 3 2 2 2 2 2 2 3" xfId="29559" xr:uid="{00000000-0005-0000-0000-0000DB6F0000}"/>
    <cellStyle name="Normal 11 2 2 3 2 2 2 2 2 3" xfId="29560" xr:uid="{00000000-0005-0000-0000-0000DC6F0000}"/>
    <cellStyle name="Normal 11 2 2 3 2 2 2 2 2 3 2" xfId="29561" xr:uid="{00000000-0005-0000-0000-0000DD6F0000}"/>
    <cellStyle name="Normal 11 2 2 3 2 2 2 2 2 4" xfId="29562" xr:uid="{00000000-0005-0000-0000-0000DE6F0000}"/>
    <cellStyle name="Normal 11 2 2 3 2 2 2 2 3" xfId="29563" xr:uid="{00000000-0005-0000-0000-0000DF6F0000}"/>
    <cellStyle name="Normal 11 2 2 3 2 2 2 2 3 2" xfId="29564" xr:uid="{00000000-0005-0000-0000-0000E06F0000}"/>
    <cellStyle name="Normal 11 2 2 3 2 2 2 2 3 2 2" xfId="29565" xr:uid="{00000000-0005-0000-0000-0000E16F0000}"/>
    <cellStyle name="Normal 11 2 2 3 2 2 2 2 3 2 2 2" xfId="29566" xr:uid="{00000000-0005-0000-0000-0000E26F0000}"/>
    <cellStyle name="Normal 11 2 2 3 2 2 2 2 3 2 3" xfId="29567" xr:uid="{00000000-0005-0000-0000-0000E36F0000}"/>
    <cellStyle name="Normal 11 2 2 3 2 2 2 2 3 3" xfId="29568" xr:uid="{00000000-0005-0000-0000-0000E46F0000}"/>
    <cellStyle name="Normal 11 2 2 3 2 2 2 2 3 3 2" xfId="29569" xr:uid="{00000000-0005-0000-0000-0000E56F0000}"/>
    <cellStyle name="Normal 11 2 2 3 2 2 2 2 3 4" xfId="29570" xr:uid="{00000000-0005-0000-0000-0000E66F0000}"/>
    <cellStyle name="Normal 11 2 2 3 2 2 2 2 4" xfId="29571" xr:uid="{00000000-0005-0000-0000-0000E76F0000}"/>
    <cellStyle name="Normal 11 2 2 3 2 2 2 2 4 2" xfId="29572" xr:uid="{00000000-0005-0000-0000-0000E86F0000}"/>
    <cellStyle name="Normal 11 2 2 3 2 2 2 2 4 2 2" xfId="29573" xr:uid="{00000000-0005-0000-0000-0000E96F0000}"/>
    <cellStyle name="Normal 11 2 2 3 2 2 2 2 4 3" xfId="29574" xr:uid="{00000000-0005-0000-0000-0000EA6F0000}"/>
    <cellStyle name="Normal 11 2 2 3 2 2 2 2 5" xfId="29575" xr:uid="{00000000-0005-0000-0000-0000EB6F0000}"/>
    <cellStyle name="Normal 11 2 2 3 2 2 2 2 5 2" xfId="29576" xr:uid="{00000000-0005-0000-0000-0000EC6F0000}"/>
    <cellStyle name="Normal 11 2 2 3 2 2 2 2 6" xfId="29577" xr:uid="{00000000-0005-0000-0000-0000ED6F0000}"/>
    <cellStyle name="Normal 11 2 2 3 2 2 2 2 7" xfId="29554" xr:uid="{00000000-0005-0000-0000-0000EE6F0000}"/>
    <cellStyle name="Normal 11 2 2 3 2 2 2 3" xfId="29578" xr:uid="{00000000-0005-0000-0000-0000EF6F0000}"/>
    <cellStyle name="Normal 11 2 2 3 2 2 2 3 2" xfId="29579" xr:uid="{00000000-0005-0000-0000-0000F06F0000}"/>
    <cellStyle name="Normal 11 2 2 3 2 2 2 3 2 2" xfId="29580" xr:uid="{00000000-0005-0000-0000-0000F16F0000}"/>
    <cellStyle name="Normal 11 2 2 3 2 2 2 3 2 2 2" xfId="29581" xr:uid="{00000000-0005-0000-0000-0000F26F0000}"/>
    <cellStyle name="Normal 11 2 2 3 2 2 2 3 2 2 2 2" xfId="29582" xr:uid="{00000000-0005-0000-0000-0000F36F0000}"/>
    <cellStyle name="Normal 11 2 2 3 2 2 2 3 2 2 3" xfId="29583" xr:uid="{00000000-0005-0000-0000-0000F46F0000}"/>
    <cellStyle name="Normal 11 2 2 3 2 2 2 3 2 3" xfId="29584" xr:uid="{00000000-0005-0000-0000-0000F56F0000}"/>
    <cellStyle name="Normal 11 2 2 3 2 2 2 3 2 3 2" xfId="29585" xr:uid="{00000000-0005-0000-0000-0000F66F0000}"/>
    <cellStyle name="Normal 11 2 2 3 2 2 2 3 2 4" xfId="29586" xr:uid="{00000000-0005-0000-0000-0000F76F0000}"/>
    <cellStyle name="Normal 11 2 2 3 2 2 2 3 3" xfId="29587" xr:uid="{00000000-0005-0000-0000-0000F86F0000}"/>
    <cellStyle name="Normal 11 2 2 3 2 2 2 3 3 2" xfId="29588" xr:uid="{00000000-0005-0000-0000-0000F96F0000}"/>
    <cellStyle name="Normal 11 2 2 3 2 2 2 3 3 2 2" xfId="29589" xr:uid="{00000000-0005-0000-0000-0000FA6F0000}"/>
    <cellStyle name="Normal 11 2 2 3 2 2 2 3 3 3" xfId="29590" xr:uid="{00000000-0005-0000-0000-0000FB6F0000}"/>
    <cellStyle name="Normal 11 2 2 3 2 2 2 3 4" xfId="29591" xr:uid="{00000000-0005-0000-0000-0000FC6F0000}"/>
    <cellStyle name="Normal 11 2 2 3 2 2 2 3 4 2" xfId="29592" xr:uid="{00000000-0005-0000-0000-0000FD6F0000}"/>
    <cellStyle name="Normal 11 2 2 3 2 2 2 3 5" xfId="29593" xr:uid="{00000000-0005-0000-0000-0000FE6F0000}"/>
    <cellStyle name="Normal 11 2 2 3 2 2 2 4" xfId="29594" xr:uid="{00000000-0005-0000-0000-0000FF6F0000}"/>
    <cellStyle name="Normal 11 2 2 3 2 2 2 4 2" xfId="29595" xr:uid="{00000000-0005-0000-0000-000000700000}"/>
    <cellStyle name="Normal 11 2 2 3 2 2 2 4 2 2" xfId="29596" xr:uid="{00000000-0005-0000-0000-000001700000}"/>
    <cellStyle name="Normal 11 2 2 3 2 2 2 4 2 2 2" xfId="29597" xr:uid="{00000000-0005-0000-0000-000002700000}"/>
    <cellStyle name="Normal 11 2 2 3 2 2 2 4 2 2 2 2" xfId="29598" xr:uid="{00000000-0005-0000-0000-000003700000}"/>
    <cellStyle name="Normal 11 2 2 3 2 2 2 4 2 2 3" xfId="29599" xr:uid="{00000000-0005-0000-0000-000004700000}"/>
    <cellStyle name="Normal 11 2 2 3 2 2 2 4 2 3" xfId="29600" xr:uid="{00000000-0005-0000-0000-000005700000}"/>
    <cellStyle name="Normal 11 2 2 3 2 2 2 4 2 3 2" xfId="29601" xr:uid="{00000000-0005-0000-0000-000006700000}"/>
    <cellStyle name="Normal 11 2 2 3 2 2 2 4 2 4" xfId="29602" xr:uid="{00000000-0005-0000-0000-000007700000}"/>
    <cellStyle name="Normal 11 2 2 3 2 2 2 4 3" xfId="29603" xr:uid="{00000000-0005-0000-0000-000008700000}"/>
    <cellStyle name="Normal 11 2 2 3 2 2 2 4 3 2" xfId="29604" xr:uid="{00000000-0005-0000-0000-000009700000}"/>
    <cellStyle name="Normal 11 2 2 3 2 2 2 4 3 2 2" xfId="29605" xr:uid="{00000000-0005-0000-0000-00000A700000}"/>
    <cellStyle name="Normal 11 2 2 3 2 2 2 4 3 3" xfId="29606" xr:uid="{00000000-0005-0000-0000-00000B700000}"/>
    <cellStyle name="Normal 11 2 2 3 2 2 2 4 4" xfId="29607" xr:uid="{00000000-0005-0000-0000-00000C700000}"/>
    <cellStyle name="Normal 11 2 2 3 2 2 2 4 4 2" xfId="29608" xr:uid="{00000000-0005-0000-0000-00000D700000}"/>
    <cellStyle name="Normal 11 2 2 3 2 2 2 4 5" xfId="29609" xr:uid="{00000000-0005-0000-0000-00000E700000}"/>
    <cellStyle name="Normal 11 2 2 3 2 2 2 5" xfId="29610" xr:uid="{00000000-0005-0000-0000-00000F700000}"/>
    <cellStyle name="Normal 11 2 2 3 2 2 2 5 2" xfId="29611" xr:uid="{00000000-0005-0000-0000-000010700000}"/>
    <cellStyle name="Normal 11 2 2 3 2 2 2 5 2 2" xfId="29612" xr:uid="{00000000-0005-0000-0000-000011700000}"/>
    <cellStyle name="Normal 11 2 2 3 2 2 2 5 2 2 2" xfId="29613" xr:uid="{00000000-0005-0000-0000-000012700000}"/>
    <cellStyle name="Normal 11 2 2 3 2 2 2 5 2 3" xfId="29614" xr:uid="{00000000-0005-0000-0000-000013700000}"/>
    <cellStyle name="Normal 11 2 2 3 2 2 2 5 3" xfId="29615" xr:uid="{00000000-0005-0000-0000-000014700000}"/>
    <cellStyle name="Normal 11 2 2 3 2 2 2 5 3 2" xfId="29616" xr:uid="{00000000-0005-0000-0000-000015700000}"/>
    <cellStyle name="Normal 11 2 2 3 2 2 2 5 4" xfId="29617" xr:uid="{00000000-0005-0000-0000-000016700000}"/>
    <cellStyle name="Normal 11 2 2 3 2 2 2 6" xfId="29618" xr:uid="{00000000-0005-0000-0000-000017700000}"/>
    <cellStyle name="Normal 11 2 2 3 2 2 2 6 2" xfId="29619" xr:uid="{00000000-0005-0000-0000-000018700000}"/>
    <cellStyle name="Normal 11 2 2 3 2 2 2 6 2 2" xfId="29620" xr:uid="{00000000-0005-0000-0000-000019700000}"/>
    <cellStyle name="Normal 11 2 2 3 2 2 2 6 2 2 2" xfId="29621" xr:uid="{00000000-0005-0000-0000-00001A700000}"/>
    <cellStyle name="Normal 11 2 2 3 2 2 2 6 2 3" xfId="29622" xr:uid="{00000000-0005-0000-0000-00001B700000}"/>
    <cellStyle name="Normal 11 2 2 3 2 2 2 6 3" xfId="29623" xr:uid="{00000000-0005-0000-0000-00001C700000}"/>
    <cellStyle name="Normal 11 2 2 3 2 2 2 6 3 2" xfId="29624" xr:uid="{00000000-0005-0000-0000-00001D700000}"/>
    <cellStyle name="Normal 11 2 2 3 2 2 2 6 4" xfId="29625" xr:uid="{00000000-0005-0000-0000-00001E700000}"/>
    <cellStyle name="Normal 11 2 2 3 2 2 2 7" xfId="29626" xr:uid="{00000000-0005-0000-0000-00001F700000}"/>
    <cellStyle name="Normal 11 2 2 3 2 2 2 7 2" xfId="29627" xr:uid="{00000000-0005-0000-0000-000020700000}"/>
    <cellStyle name="Normal 11 2 2 3 2 2 2 7 2 2" xfId="29628" xr:uid="{00000000-0005-0000-0000-000021700000}"/>
    <cellStyle name="Normal 11 2 2 3 2 2 2 7 2 2 2" xfId="29629" xr:uid="{00000000-0005-0000-0000-000022700000}"/>
    <cellStyle name="Normal 11 2 2 3 2 2 2 7 2 3" xfId="29630" xr:uid="{00000000-0005-0000-0000-000023700000}"/>
    <cellStyle name="Normal 11 2 2 3 2 2 2 7 3" xfId="29631" xr:uid="{00000000-0005-0000-0000-000024700000}"/>
    <cellStyle name="Normal 11 2 2 3 2 2 2 7 3 2" xfId="29632" xr:uid="{00000000-0005-0000-0000-000025700000}"/>
    <cellStyle name="Normal 11 2 2 3 2 2 2 7 4" xfId="29633" xr:uid="{00000000-0005-0000-0000-000026700000}"/>
    <cellStyle name="Normal 11 2 2 3 2 2 2 8" xfId="29634" xr:uid="{00000000-0005-0000-0000-000027700000}"/>
    <cellStyle name="Normal 11 2 2 3 2 2 2 8 2" xfId="29635" xr:uid="{00000000-0005-0000-0000-000028700000}"/>
    <cellStyle name="Normal 11 2 2 3 2 2 2 8 2 2" xfId="29636" xr:uid="{00000000-0005-0000-0000-000029700000}"/>
    <cellStyle name="Normal 11 2 2 3 2 2 2 8 3" xfId="29637" xr:uid="{00000000-0005-0000-0000-00002A700000}"/>
    <cellStyle name="Normal 11 2 2 3 2 2 2 9" xfId="29638" xr:uid="{00000000-0005-0000-0000-00002B700000}"/>
    <cellStyle name="Normal 11 2 2 3 2 2 2 9 2" xfId="29639" xr:uid="{00000000-0005-0000-0000-00002C700000}"/>
    <cellStyle name="Normal 11 2 2 3 2 2 3" xfId="1395" xr:uid="{00000000-0005-0000-0000-00002D700000}"/>
    <cellStyle name="Normal 11 2 2 3 2 2 3 2" xfId="29641" xr:uid="{00000000-0005-0000-0000-00002E700000}"/>
    <cellStyle name="Normal 11 2 2 3 2 2 3 2 2" xfId="29642" xr:uid="{00000000-0005-0000-0000-00002F700000}"/>
    <cellStyle name="Normal 11 2 2 3 2 2 3 2 2 2" xfId="29643" xr:uid="{00000000-0005-0000-0000-000030700000}"/>
    <cellStyle name="Normal 11 2 2 3 2 2 3 2 2 2 2" xfId="29644" xr:uid="{00000000-0005-0000-0000-000031700000}"/>
    <cellStyle name="Normal 11 2 2 3 2 2 3 2 2 3" xfId="29645" xr:uid="{00000000-0005-0000-0000-000032700000}"/>
    <cellStyle name="Normal 11 2 2 3 2 2 3 2 3" xfId="29646" xr:uid="{00000000-0005-0000-0000-000033700000}"/>
    <cellStyle name="Normal 11 2 2 3 2 2 3 2 3 2" xfId="29647" xr:uid="{00000000-0005-0000-0000-000034700000}"/>
    <cellStyle name="Normal 11 2 2 3 2 2 3 2 4" xfId="29648" xr:uid="{00000000-0005-0000-0000-000035700000}"/>
    <cellStyle name="Normal 11 2 2 3 2 2 3 3" xfId="29649" xr:uid="{00000000-0005-0000-0000-000036700000}"/>
    <cellStyle name="Normal 11 2 2 3 2 2 3 3 2" xfId="29650" xr:uid="{00000000-0005-0000-0000-000037700000}"/>
    <cellStyle name="Normal 11 2 2 3 2 2 3 3 2 2" xfId="29651" xr:uid="{00000000-0005-0000-0000-000038700000}"/>
    <cellStyle name="Normal 11 2 2 3 2 2 3 3 2 2 2" xfId="29652" xr:uid="{00000000-0005-0000-0000-000039700000}"/>
    <cellStyle name="Normal 11 2 2 3 2 2 3 3 2 3" xfId="29653" xr:uid="{00000000-0005-0000-0000-00003A700000}"/>
    <cellStyle name="Normal 11 2 2 3 2 2 3 3 3" xfId="29654" xr:uid="{00000000-0005-0000-0000-00003B700000}"/>
    <cellStyle name="Normal 11 2 2 3 2 2 3 3 3 2" xfId="29655" xr:uid="{00000000-0005-0000-0000-00003C700000}"/>
    <cellStyle name="Normal 11 2 2 3 2 2 3 3 4" xfId="29656" xr:uid="{00000000-0005-0000-0000-00003D700000}"/>
    <cellStyle name="Normal 11 2 2 3 2 2 3 4" xfId="29657" xr:uid="{00000000-0005-0000-0000-00003E700000}"/>
    <cellStyle name="Normal 11 2 2 3 2 2 3 4 2" xfId="29658" xr:uid="{00000000-0005-0000-0000-00003F700000}"/>
    <cellStyle name="Normal 11 2 2 3 2 2 3 4 2 2" xfId="29659" xr:uid="{00000000-0005-0000-0000-000040700000}"/>
    <cellStyle name="Normal 11 2 2 3 2 2 3 4 3" xfId="29660" xr:uid="{00000000-0005-0000-0000-000041700000}"/>
    <cellStyle name="Normal 11 2 2 3 2 2 3 5" xfId="29661" xr:uid="{00000000-0005-0000-0000-000042700000}"/>
    <cellStyle name="Normal 11 2 2 3 2 2 3 5 2" xfId="29662" xr:uid="{00000000-0005-0000-0000-000043700000}"/>
    <cellStyle name="Normal 11 2 2 3 2 2 3 6" xfId="29663" xr:uid="{00000000-0005-0000-0000-000044700000}"/>
    <cellStyle name="Normal 11 2 2 3 2 2 3 7" xfId="29640" xr:uid="{00000000-0005-0000-0000-000045700000}"/>
    <cellStyle name="Normal 11 2 2 3 2 2 4" xfId="29664" xr:uid="{00000000-0005-0000-0000-000046700000}"/>
    <cellStyle name="Normal 11 2 2 3 2 2 4 2" xfId="29665" xr:uid="{00000000-0005-0000-0000-000047700000}"/>
    <cellStyle name="Normal 11 2 2 3 2 2 4 2 2" xfId="29666" xr:uid="{00000000-0005-0000-0000-000048700000}"/>
    <cellStyle name="Normal 11 2 2 3 2 2 4 2 2 2" xfId="29667" xr:uid="{00000000-0005-0000-0000-000049700000}"/>
    <cellStyle name="Normal 11 2 2 3 2 2 4 2 2 2 2" xfId="29668" xr:uid="{00000000-0005-0000-0000-00004A700000}"/>
    <cellStyle name="Normal 11 2 2 3 2 2 4 2 2 3" xfId="29669" xr:uid="{00000000-0005-0000-0000-00004B700000}"/>
    <cellStyle name="Normal 11 2 2 3 2 2 4 2 3" xfId="29670" xr:uid="{00000000-0005-0000-0000-00004C700000}"/>
    <cellStyle name="Normal 11 2 2 3 2 2 4 2 3 2" xfId="29671" xr:uid="{00000000-0005-0000-0000-00004D700000}"/>
    <cellStyle name="Normal 11 2 2 3 2 2 4 2 4" xfId="29672" xr:uid="{00000000-0005-0000-0000-00004E700000}"/>
    <cellStyle name="Normal 11 2 2 3 2 2 4 3" xfId="29673" xr:uid="{00000000-0005-0000-0000-00004F700000}"/>
    <cellStyle name="Normal 11 2 2 3 2 2 4 3 2" xfId="29674" xr:uid="{00000000-0005-0000-0000-000050700000}"/>
    <cellStyle name="Normal 11 2 2 3 2 2 4 3 2 2" xfId="29675" xr:uid="{00000000-0005-0000-0000-000051700000}"/>
    <cellStyle name="Normal 11 2 2 3 2 2 4 3 3" xfId="29676" xr:uid="{00000000-0005-0000-0000-000052700000}"/>
    <cellStyle name="Normal 11 2 2 3 2 2 4 4" xfId="29677" xr:uid="{00000000-0005-0000-0000-000053700000}"/>
    <cellStyle name="Normal 11 2 2 3 2 2 4 4 2" xfId="29678" xr:uid="{00000000-0005-0000-0000-000054700000}"/>
    <cellStyle name="Normal 11 2 2 3 2 2 4 5" xfId="29679" xr:uid="{00000000-0005-0000-0000-000055700000}"/>
    <cellStyle name="Normal 11 2 2 3 2 2 5" xfId="29680" xr:uid="{00000000-0005-0000-0000-000056700000}"/>
    <cellStyle name="Normal 11 2 2 3 2 2 5 2" xfId="29681" xr:uid="{00000000-0005-0000-0000-000057700000}"/>
    <cellStyle name="Normal 11 2 2 3 2 2 5 2 2" xfId="29682" xr:uid="{00000000-0005-0000-0000-000058700000}"/>
    <cellStyle name="Normal 11 2 2 3 2 2 5 2 2 2" xfId="29683" xr:uid="{00000000-0005-0000-0000-000059700000}"/>
    <cellStyle name="Normal 11 2 2 3 2 2 5 2 2 2 2" xfId="29684" xr:uid="{00000000-0005-0000-0000-00005A700000}"/>
    <cellStyle name="Normal 11 2 2 3 2 2 5 2 2 3" xfId="29685" xr:uid="{00000000-0005-0000-0000-00005B700000}"/>
    <cellStyle name="Normal 11 2 2 3 2 2 5 2 3" xfId="29686" xr:uid="{00000000-0005-0000-0000-00005C700000}"/>
    <cellStyle name="Normal 11 2 2 3 2 2 5 2 3 2" xfId="29687" xr:uid="{00000000-0005-0000-0000-00005D700000}"/>
    <cellStyle name="Normal 11 2 2 3 2 2 5 2 4" xfId="29688" xr:uid="{00000000-0005-0000-0000-00005E700000}"/>
    <cellStyle name="Normal 11 2 2 3 2 2 5 3" xfId="29689" xr:uid="{00000000-0005-0000-0000-00005F700000}"/>
    <cellStyle name="Normal 11 2 2 3 2 2 5 3 2" xfId="29690" xr:uid="{00000000-0005-0000-0000-000060700000}"/>
    <cellStyle name="Normal 11 2 2 3 2 2 5 3 2 2" xfId="29691" xr:uid="{00000000-0005-0000-0000-000061700000}"/>
    <cellStyle name="Normal 11 2 2 3 2 2 5 3 3" xfId="29692" xr:uid="{00000000-0005-0000-0000-000062700000}"/>
    <cellStyle name="Normal 11 2 2 3 2 2 5 4" xfId="29693" xr:uid="{00000000-0005-0000-0000-000063700000}"/>
    <cellStyle name="Normal 11 2 2 3 2 2 5 4 2" xfId="29694" xr:uid="{00000000-0005-0000-0000-000064700000}"/>
    <cellStyle name="Normal 11 2 2 3 2 2 5 5" xfId="29695" xr:uid="{00000000-0005-0000-0000-000065700000}"/>
    <cellStyle name="Normal 11 2 2 3 2 2 6" xfId="29696" xr:uid="{00000000-0005-0000-0000-000066700000}"/>
    <cellStyle name="Normal 11 2 2 3 2 2 6 2" xfId="29697" xr:uid="{00000000-0005-0000-0000-000067700000}"/>
    <cellStyle name="Normal 11 2 2 3 2 2 6 2 2" xfId="29698" xr:uid="{00000000-0005-0000-0000-000068700000}"/>
    <cellStyle name="Normal 11 2 2 3 2 2 6 2 2 2" xfId="29699" xr:uid="{00000000-0005-0000-0000-000069700000}"/>
    <cellStyle name="Normal 11 2 2 3 2 2 6 2 3" xfId="29700" xr:uid="{00000000-0005-0000-0000-00006A700000}"/>
    <cellStyle name="Normal 11 2 2 3 2 2 6 3" xfId="29701" xr:uid="{00000000-0005-0000-0000-00006B700000}"/>
    <cellStyle name="Normal 11 2 2 3 2 2 6 3 2" xfId="29702" xr:uid="{00000000-0005-0000-0000-00006C700000}"/>
    <cellStyle name="Normal 11 2 2 3 2 2 6 4" xfId="29703" xr:uid="{00000000-0005-0000-0000-00006D700000}"/>
    <cellStyle name="Normal 11 2 2 3 2 2 7" xfId="29704" xr:uid="{00000000-0005-0000-0000-00006E700000}"/>
    <cellStyle name="Normal 11 2 2 3 2 2 7 2" xfId="29705" xr:uid="{00000000-0005-0000-0000-00006F700000}"/>
    <cellStyle name="Normal 11 2 2 3 2 2 7 2 2" xfId="29706" xr:uid="{00000000-0005-0000-0000-000070700000}"/>
    <cellStyle name="Normal 11 2 2 3 2 2 7 2 2 2" xfId="29707" xr:uid="{00000000-0005-0000-0000-000071700000}"/>
    <cellStyle name="Normal 11 2 2 3 2 2 7 2 3" xfId="29708" xr:uid="{00000000-0005-0000-0000-000072700000}"/>
    <cellStyle name="Normal 11 2 2 3 2 2 7 3" xfId="29709" xr:uid="{00000000-0005-0000-0000-000073700000}"/>
    <cellStyle name="Normal 11 2 2 3 2 2 7 3 2" xfId="29710" xr:uid="{00000000-0005-0000-0000-000074700000}"/>
    <cellStyle name="Normal 11 2 2 3 2 2 7 4" xfId="29711" xr:uid="{00000000-0005-0000-0000-000075700000}"/>
    <cellStyle name="Normal 11 2 2 3 2 2 8" xfId="29712" xr:uid="{00000000-0005-0000-0000-000076700000}"/>
    <cellStyle name="Normal 11 2 2 3 2 2 8 2" xfId="29713" xr:uid="{00000000-0005-0000-0000-000077700000}"/>
    <cellStyle name="Normal 11 2 2 3 2 2 8 2 2" xfId="29714" xr:uid="{00000000-0005-0000-0000-000078700000}"/>
    <cellStyle name="Normal 11 2 2 3 2 2 8 2 2 2" xfId="29715" xr:uid="{00000000-0005-0000-0000-000079700000}"/>
    <cellStyle name="Normal 11 2 2 3 2 2 8 2 3" xfId="29716" xr:uid="{00000000-0005-0000-0000-00007A700000}"/>
    <cellStyle name="Normal 11 2 2 3 2 2 8 3" xfId="29717" xr:uid="{00000000-0005-0000-0000-00007B700000}"/>
    <cellStyle name="Normal 11 2 2 3 2 2 8 3 2" xfId="29718" xr:uid="{00000000-0005-0000-0000-00007C700000}"/>
    <cellStyle name="Normal 11 2 2 3 2 2 8 4" xfId="29719" xr:uid="{00000000-0005-0000-0000-00007D700000}"/>
    <cellStyle name="Normal 11 2 2 3 2 2 9" xfId="29720" xr:uid="{00000000-0005-0000-0000-00007E700000}"/>
    <cellStyle name="Normal 11 2 2 3 2 2 9 2" xfId="29721" xr:uid="{00000000-0005-0000-0000-00007F700000}"/>
    <cellStyle name="Normal 11 2 2 3 2 2 9 2 2" xfId="29722" xr:uid="{00000000-0005-0000-0000-000080700000}"/>
    <cellStyle name="Normal 11 2 2 3 2 2 9 3" xfId="29723" xr:uid="{00000000-0005-0000-0000-000081700000}"/>
    <cellStyle name="Normal 11 2 2 3 2 3" xfId="552" xr:uid="{00000000-0005-0000-0000-000082700000}"/>
    <cellStyle name="Normal 11 2 2 3 2 3 10" xfId="29725" xr:uid="{00000000-0005-0000-0000-000083700000}"/>
    <cellStyle name="Normal 11 2 2 3 2 3 10 2" xfId="29726" xr:uid="{00000000-0005-0000-0000-000084700000}"/>
    <cellStyle name="Normal 11 2 2 3 2 3 10 2 2" xfId="29727" xr:uid="{00000000-0005-0000-0000-000085700000}"/>
    <cellStyle name="Normal 11 2 2 3 2 3 10 3" xfId="29728" xr:uid="{00000000-0005-0000-0000-000086700000}"/>
    <cellStyle name="Normal 11 2 2 3 2 3 11" xfId="29729" xr:uid="{00000000-0005-0000-0000-000087700000}"/>
    <cellStyle name="Normal 11 2 2 3 2 3 11 2" xfId="29730" xr:uid="{00000000-0005-0000-0000-000088700000}"/>
    <cellStyle name="Normal 11 2 2 3 2 3 11 2 2" xfId="29731" xr:uid="{00000000-0005-0000-0000-000089700000}"/>
    <cellStyle name="Normal 11 2 2 3 2 3 11 3" xfId="29732" xr:uid="{00000000-0005-0000-0000-00008A700000}"/>
    <cellStyle name="Normal 11 2 2 3 2 3 12" xfId="29733" xr:uid="{00000000-0005-0000-0000-00008B700000}"/>
    <cellStyle name="Normal 11 2 2 3 2 3 12 2" xfId="29734" xr:uid="{00000000-0005-0000-0000-00008C700000}"/>
    <cellStyle name="Normal 11 2 2 3 2 3 13" xfId="29735" xr:uid="{00000000-0005-0000-0000-00008D700000}"/>
    <cellStyle name="Normal 11 2 2 3 2 3 14" xfId="29736" xr:uid="{00000000-0005-0000-0000-00008E700000}"/>
    <cellStyle name="Normal 11 2 2 3 2 3 15" xfId="29724" xr:uid="{00000000-0005-0000-0000-00008F700000}"/>
    <cellStyle name="Normal 11 2 2 3 2 3 2" xfId="994" xr:uid="{00000000-0005-0000-0000-000090700000}"/>
    <cellStyle name="Normal 11 2 2 3 2 3 2 10" xfId="29738" xr:uid="{00000000-0005-0000-0000-000091700000}"/>
    <cellStyle name="Normal 11 2 2 3 2 3 2 11" xfId="29737" xr:uid="{00000000-0005-0000-0000-000092700000}"/>
    <cellStyle name="Normal 11 2 2 3 2 3 2 2" xfId="1723" xr:uid="{00000000-0005-0000-0000-000093700000}"/>
    <cellStyle name="Normal 11 2 2 3 2 3 2 2 2" xfId="29740" xr:uid="{00000000-0005-0000-0000-000094700000}"/>
    <cellStyle name="Normal 11 2 2 3 2 3 2 2 2 2" xfId="29741" xr:uid="{00000000-0005-0000-0000-000095700000}"/>
    <cellStyle name="Normal 11 2 2 3 2 3 2 2 2 2 2" xfId="29742" xr:uid="{00000000-0005-0000-0000-000096700000}"/>
    <cellStyle name="Normal 11 2 2 3 2 3 2 2 2 2 2 2" xfId="29743" xr:uid="{00000000-0005-0000-0000-000097700000}"/>
    <cellStyle name="Normal 11 2 2 3 2 3 2 2 2 2 3" xfId="29744" xr:uid="{00000000-0005-0000-0000-000098700000}"/>
    <cellStyle name="Normal 11 2 2 3 2 3 2 2 2 3" xfId="29745" xr:uid="{00000000-0005-0000-0000-000099700000}"/>
    <cellStyle name="Normal 11 2 2 3 2 3 2 2 2 3 2" xfId="29746" xr:uid="{00000000-0005-0000-0000-00009A700000}"/>
    <cellStyle name="Normal 11 2 2 3 2 3 2 2 2 4" xfId="29747" xr:uid="{00000000-0005-0000-0000-00009B700000}"/>
    <cellStyle name="Normal 11 2 2 3 2 3 2 2 3" xfId="29748" xr:uid="{00000000-0005-0000-0000-00009C700000}"/>
    <cellStyle name="Normal 11 2 2 3 2 3 2 2 3 2" xfId="29749" xr:uid="{00000000-0005-0000-0000-00009D700000}"/>
    <cellStyle name="Normal 11 2 2 3 2 3 2 2 3 2 2" xfId="29750" xr:uid="{00000000-0005-0000-0000-00009E700000}"/>
    <cellStyle name="Normal 11 2 2 3 2 3 2 2 3 2 2 2" xfId="29751" xr:uid="{00000000-0005-0000-0000-00009F700000}"/>
    <cellStyle name="Normal 11 2 2 3 2 3 2 2 3 2 3" xfId="29752" xr:uid="{00000000-0005-0000-0000-0000A0700000}"/>
    <cellStyle name="Normal 11 2 2 3 2 3 2 2 3 3" xfId="29753" xr:uid="{00000000-0005-0000-0000-0000A1700000}"/>
    <cellStyle name="Normal 11 2 2 3 2 3 2 2 3 3 2" xfId="29754" xr:uid="{00000000-0005-0000-0000-0000A2700000}"/>
    <cellStyle name="Normal 11 2 2 3 2 3 2 2 3 4" xfId="29755" xr:uid="{00000000-0005-0000-0000-0000A3700000}"/>
    <cellStyle name="Normal 11 2 2 3 2 3 2 2 4" xfId="29756" xr:uid="{00000000-0005-0000-0000-0000A4700000}"/>
    <cellStyle name="Normal 11 2 2 3 2 3 2 2 4 2" xfId="29757" xr:uid="{00000000-0005-0000-0000-0000A5700000}"/>
    <cellStyle name="Normal 11 2 2 3 2 3 2 2 4 2 2" xfId="29758" xr:uid="{00000000-0005-0000-0000-0000A6700000}"/>
    <cellStyle name="Normal 11 2 2 3 2 3 2 2 4 3" xfId="29759" xr:uid="{00000000-0005-0000-0000-0000A7700000}"/>
    <cellStyle name="Normal 11 2 2 3 2 3 2 2 5" xfId="29760" xr:uid="{00000000-0005-0000-0000-0000A8700000}"/>
    <cellStyle name="Normal 11 2 2 3 2 3 2 2 5 2" xfId="29761" xr:uid="{00000000-0005-0000-0000-0000A9700000}"/>
    <cellStyle name="Normal 11 2 2 3 2 3 2 2 6" xfId="29762" xr:uid="{00000000-0005-0000-0000-0000AA700000}"/>
    <cellStyle name="Normal 11 2 2 3 2 3 2 2 7" xfId="29739" xr:uid="{00000000-0005-0000-0000-0000AB700000}"/>
    <cellStyle name="Normal 11 2 2 3 2 3 2 3" xfId="29763" xr:uid="{00000000-0005-0000-0000-0000AC700000}"/>
    <cellStyle name="Normal 11 2 2 3 2 3 2 3 2" xfId="29764" xr:uid="{00000000-0005-0000-0000-0000AD700000}"/>
    <cellStyle name="Normal 11 2 2 3 2 3 2 3 2 2" xfId="29765" xr:uid="{00000000-0005-0000-0000-0000AE700000}"/>
    <cellStyle name="Normal 11 2 2 3 2 3 2 3 2 2 2" xfId="29766" xr:uid="{00000000-0005-0000-0000-0000AF700000}"/>
    <cellStyle name="Normal 11 2 2 3 2 3 2 3 2 2 2 2" xfId="29767" xr:uid="{00000000-0005-0000-0000-0000B0700000}"/>
    <cellStyle name="Normal 11 2 2 3 2 3 2 3 2 2 3" xfId="29768" xr:uid="{00000000-0005-0000-0000-0000B1700000}"/>
    <cellStyle name="Normal 11 2 2 3 2 3 2 3 2 3" xfId="29769" xr:uid="{00000000-0005-0000-0000-0000B2700000}"/>
    <cellStyle name="Normal 11 2 2 3 2 3 2 3 2 3 2" xfId="29770" xr:uid="{00000000-0005-0000-0000-0000B3700000}"/>
    <cellStyle name="Normal 11 2 2 3 2 3 2 3 2 4" xfId="29771" xr:uid="{00000000-0005-0000-0000-0000B4700000}"/>
    <cellStyle name="Normal 11 2 2 3 2 3 2 3 3" xfId="29772" xr:uid="{00000000-0005-0000-0000-0000B5700000}"/>
    <cellStyle name="Normal 11 2 2 3 2 3 2 3 3 2" xfId="29773" xr:uid="{00000000-0005-0000-0000-0000B6700000}"/>
    <cellStyle name="Normal 11 2 2 3 2 3 2 3 3 2 2" xfId="29774" xr:uid="{00000000-0005-0000-0000-0000B7700000}"/>
    <cellStyle name="Normal 11 2 2 3 2 3 2 3 3 3" xfId="29775" xr:uid="{00000000-0005-0000-0000-0000B8700000}"/>
    <cellStyle name="Normal 11 2 2 3 2 3 2 3 4" xfId="29776" xr:uid="{00000000-0005-0000-0000-0000B9700000}"/>
    <cellStyle name="Normal 11 2 2 3 2 3 2 3 4 2" xfId="29777" xr:uid="{00000000-0005-0000-0000-0000BA700000}"/>
    <cellStyle name="Normal 11 2 2 3 2 3 2 3 5" xfId="29778" xr:uid="{00000000-0005-0000-0000-0000BB700000}"/>
    <cellStyle name="Normal 11 2 2 3 2 3 2 4" xfId="29779" xr:uid="{00000000-0005-0000-0000-0000BC700000}"/>
    <cellStyle name="Normal 11 2 2 3 2 3 2 4 2" xfId="29780" xr:uid="{00000000-0005-0000-0000-0000BD700000}"/>
    <cellStyle name="Normal 11 2 2 3 2 3 2 4 2 2" xfId="29781" xr:uid="{00000000-0005-0000-0000-0000BE700000}"/>
    <cellStyle name="Normal 11 2 2 3 2 3 2 4 2 2 2" xfId="29782" xr:uid="{00000000-0005-0000-0000-0000BF700000}"/>
    <cellStyle name="Normal 11 2 2 3 2 3 2 4 2 2 2 2" xfId="29783" xr:uid="{00000000-0005-0000-0000-0000C0700000}"/>
    <cellStyle name="Normal 11 2 2 3 2 3 2 4 2 2 3" xfId="29784" xr:uid="{00000000-0005-0000-0000-0000C1700000}"/>
    <cellStyle name="Normal 11 2 2 3 2 3 2 4 2 3" xfId="29785" xr:uid="{00000000-0005-0000-0000-0000C2700000}"/>
    <cellStyle name="Normal 11 2 2 3 2 3 2 4 2 3 2" xfId="29786" xr:uid="{00000000-0005-0000-0000-0000C3700000}"/>
    <cellStyle name="Normal 11 2 2 3 2 3 2 4 2 4" xfId="29787" xr:uid="{00000000-0005-0000-0000-0000C4700000}"/>
    <cellStyle name="Normal 11 2 2 3 2 3 2 4 3" xfId="29788" xr:uid="{00000000-0005-0000-0000-0000C5700000}"/>
    <cellStyle name="Normal 11 2 2 3 2 3 2 4 3 2" xfId="29789" xr:uid="{00000000-0005-0000-0000-0000C6700000}"/>
    <cellStyle name="Normal 11 2 2 3 2 3 2 4 3 2 2" xfId="29790" xr:uid="{00000000-0005-0000-0000-0000C7700000}"/>
    <cellStyle name="Normal 11 2 2 3 2 3 2 4 3 3" xfId="29791" xr:uid="{00000000-0005-0000-0000-0000C8700000}"/>
    <cellStyle name="Normal 11 2 2 3 2 3 2 4 4" xfId="29792" xr:uid="{00000000-0005-0000-0000-0000C9700000}"/>
    <cellStyle name="Normal 11 2 2 3 2 3 2 4 4 2" xfId="29793" xr:uid="{00000000-0005-0000-0000-0000CA700000}"/>
    <cellStyle name="Normal 11 2 2 3 2 3 2 4 5" xfId="29794" xr:uid="{00000000-0005-0000-0000-0000CB700000}"/>
    <cellStyle name="Normal 11 2 2 3 2 3 2 5" xfId="29795" xr:uid="{00000000-0005-0000-0000-0000CC700000}"/>
    <cellStyle name="Normal 11 2 2 3 2 3 2 5 2" xfId="29796" xr:uid="{00000000-0005-0000-0000-0000CD700000}"/>
    <cellStyle name="Normal 11 2 2 3 2 3 2 5 2 2" xfId="29797" xr:uid="{00000000-0005-0000-0000-0000CE700000}"/>
    <cellStyle name="Normal 11 2 2 3 2 3 2 5 2 2 2" xfId="29798" xr:uid="{00000000-0005-0000-0000-0000CF700000}"/>
    <cellStyle name="Normal 11 2 2 3 2 3 2 5 2 3" xfId="29799" xr:uid="{00000000-0005-0000-0000-0000D0700000}"/>
    <cellStyle name="Normal 11 2 2 3 2 3 2 5 3" xfId="29800" xr:uid="{00000000-0005-0000-0000-0000D1700000}"/>
    <cellStyle name="Normal 11 2 2 3 2 3 2 5 3 2" xfId="29801" xr:uid="{00000000-0005-0000-0000-0000D2700000}"/>
    <cellStyle name="Normal 11 2 2 3 2 3 2 5 4" xfId="29802" xr:uid="{00000000-0005-0000-0000-0000D3700000}"/>
    <cellStyle name="Normal 11 2 2 3 2 3 2 6" xfId="29803" xr:uid="{00000000-0005-0000-0000-0000D4700000}"/>
    <cellStyle name="Normal 11 2 2 3 2 3 2 6 2" xfId="29804" xr:uid="{00000000-0005-0000-0000-0000D5700000}"/>
    <cellStyle name="Normal 11 2 2 3 2 3 2 6 2 2" xfId="29805" xr:uid="{00000000-0005-0000-0000-0000D6700000}"/>
    <cellStyle name="Normal 11 2 2 3 2 3 2 6 2 2 2" xfId="29806" xr:uid="{00000000-0005-0000-0000-0000D7700000}"/>
    <cellStyle name="Normal 11 2 2 3 2 3 2 6 2 3" xfId="29807" xr:uid="{00000000-0005-0000-0000-0000D8700000}"/>
    <cellStyle name="Normal 11 2 2 3 2 3 2 6 3" xfId="29808" xr:uid="{00000000-0005-0000-0000-0000D9700000}"/>
    <cellStyle name="Normal 11 2 2 3 2 3 2 6 3 2" xfId="29809" xr:uid="{00000000-0005-0000-0000-0000DA700000}"/>
    <cellStyle name="Normal 11 2 2 3 2 3 2 6 4" xfId="29810" xr:uid="{00000000-0005-0000-0000-0000DB700000}"/>
    <cellStyle name="Normal 11 2 2 3 2 3 2 7" xfId="29811" xr:uid="{00000000-0005-0000-0000-0000DC700000}"/>
    <cellStyle name="Normal 11 2 2 3 2 3 2 7 2" xfId="29812" xr:uid="{00000000-0005-0000-0000-0000DD700000}"/>
    <cellStyle name="Normal 11 2 2 3 2 3 2 7 2 2" xfId="29813" xr:uid="{00000000-0005-0000-0000-0000DE700000}"/>
    <cellStyle name="Normal 11 2 2 3 2 3 2 7 2 2 2" xfId="29814" xr:uid="{00000000-0005-0000-0000-0000DF700000}"/>
    <cellStyle name="Normal 11 2 2 3 2 3 2 7 2 3" xfId="29815" xr:uid="{00000000-0005-0000-0000-0000E0700000}"/>
    <cellStyle name="Normal 11 2 2 3 2 3 2 7 3" xfId="29816" xr:uid="{00000000-0005-0000-0000-0000E1700000}"/>
    <cellStyle name="Normal 11 2 2 3 2 3 2 7 3 2" xfId="29817" xr:uid="{00000000-0005-0000-0000-0000E2700000}"/>
    <cellStyle name="Normal 11 2 2 3 2 3 2 7 4" xfId="29818" xr:uid="{00000000-0005-0000-0000-0000E3700000}"/>
    <cellStyle name="Normal 11 2 2 3 2 3 2 8" xfId="29819" xr:uid="{00000000-0005-0000-0000-0000E4700000}"/>
    <cellStyle name="Normal 11 2 2 3 2 3 2 8 2" xfId="29820" xr:uid="{00000000-0005-0000-0000-0000E5700000}"/>
    <cellStyle name="Normal 11 2 2 3 2 3 2 8 2 2" xfId="29821" xr:uid="{00000000-0005-0000-0000-0000E6700000}"/>
    <cellStyle name="Normal 11 2 2 3 2 3 2 8 3" xfId="29822" xr:uid="{00000000-0005-0000-0000-0000E7700000}"/>
    <cellStyle name="Normal 11 2 2 3 2 3 2 9" xfId="29823" xr:uid="{00000000-0005-0000-0000-0000E8700000}"/>
    <cellStyle name="Normal 11 2 2 3 2 3 2 9 2" xfId="29824" xr:uid="{00000000-0005-0000-0000-0000E9700000}"/>
    <cellStyle name="Normal 11 2 2 3 2 3 3" xfId="1396" xr:uid="{00000000-0005-0000-0000-0000EA700000}"/>
    <cellStyle name="Normal 11 2 2 3 2 3 3 2" xfId="29826" xr:uid="{00000000-0005-0000-0000-0000EB700000}"/>
    <cellStyle name="Normal 11 2 2 3 2 3 3 2 2" xfId="29827" xr:uid="{00000000-0005-0000-0000-0000EC700000}"/>
    <cellStyle name="Normal 11 2 2 3 2 3 3 2 2 2" xfId="29828" xr:uid="{00000000-0005-0000-0000-0000ED700000}"/>
    <cellStyle name="Normal 11 2 2 3 2 3 3 2 2 2 2" xfId="29829" xr:uid="{00000000-0005-0000-0000-0000EE700000}"/>
    <cellStyle name="Normal 11 2 2 3 2 3 3 2 2 3" xfId="29830" xr:uid="{00000000-0005-0000-0000-0000EF700000}"/>
    <cellStyle name="Normal 11 2 2 3 2 3 3 2 3" xfId="29831" xr:uid="{00000000-0005-0000-0000-0000F0700000}"/>
    <cellStyle name="Normal 11 2 2 3 2 3 3 2 3 2" xfId="29832" xr:uid="{00000000-0005-0000-0000-0000F1700000}"/>
    <cellStyle name="Normal 11 2 2 3 2 3 3 2 4" xfId="29833" xr:uid="{00000000-0005-0000-0000-0000F2700000}"/>
    <cellStyle name="Normal 11 2 2 3 2 3 3 3" xfId="29834" xr:uid="{00000000-0005-0000-0000-0000F3700000}"/>
    <cellStyle name="Normal 11 2 2 3 2 3 3 3 2" xfId="29835" xr:uid="{00000000-0005-0000-0000-0000F4700000}"/>
    <cellStyle name="Normal 11 2 2 3 2 3 3 3 2 2" xfId="29836" xr:uid="{00000000-0005-0000-0000-0000F5700000}"/>
    <cellStyle name="Normal 11 2 2 3 2 3 3 3 2 2 2" xfId="29837" xr:uid="{00000000-0005-0000-0000-0000F6700000}"/>
    <cellStyle name="Normal 11 2 2 3 2 3 3 3 2 3" xfId="29838" xr:uid="{00000000-0005-0000-0000-0000F7700000}"/>
    <cellStyle name="Normal 11 2 2 3 2 3 3 3 3" xfId="29839" xr:uid="{00000000-0005-0000-0000-0000F8700000}"/>
    <cellStyle name="Normal 11 2 2 3 2 3 3 3 3 2" xfId="29840" xr:uid="{00000000-0005-0000-0000-0000F9700000}"/>
    <cellStyle name="Normal 11 2 2 3 2 3 3 3 4" xfId="29841" xr:uid="{00000000-0005-0000-0000-0000FA700000}"/>
    <cellStyle name="Normal 11 2 2 3 2 3 3 4" xfId="29842" xr:uid="{00000000-0005-0000-0000-0000FB700000}"/>
    <cellStyle name="Normal 11 2 2 3 2 3 3 4 2" xfId="29843" xr:uid="{00000000-0005-0000-0000-0000FC700000}"/>
    <cellStyle name="Normal 11 2 2 3 2 3 3 4 2 2" xfId="29844" xr:uid="{00000000-0005-0000-0000-0000FD700000}"/>
    <cellStyle name="Normal 11 2 2 3 2 3 3 4 3" xfId="29845" xr:uid="{00000000-0005-0000-0000-0000FE700000}"/>
    <cellStyle name="Normal 11 2 2 3 2 3 3 5" xfId="29846" xr:uid="{00000000-0005-0000-0000-0000FF700000}"/>
    <cellStyle name="Normal 11 2 2 3 2 3 3 5 2" xfId="29847" xr:uid="{00000000-0005-0000-0000-000000710000}"/>
    <cellStyle name="Normal 11 2 2 3 2 3 3 6" xfId="29848" xr:uid="{00000000-0005-0000-0000-000001710000}"/>
    <cellStyle name="Normal 11 2 2 3 2 3 3 7" xfId="29825" xr:uid="{00000000-0005-0000-0000-000002710000}"/>
    <cellStyle name="Normal 11 2 2 3 2 3 4" xfId="29849" xr:uid="{00000000-0005-0000-0000-000003710000}"/>
    <cellStyle name="Normal 11 2 2 3 2 3 4 2" xfId="29850" xr:uid="{00000000-0005-0000-0000-000004710000}"/>
    <cellStyle name="Normal 11 2 2 3 2 3 4 2 2" xfId="29851" xr:uid="{00000000-0005-0000-0000-000005710000}"/>
    <cellStyle name="Normal 11 2 2 3 2 3 4 2 2 2" xfId="29852" xr:uid="{00000000-0005-0000-0000-000006710000}"/>
    <cellStyle name="Normal 11 2 2 3 2 3 4 2 2 2 2" xfId="29853" xr:uid="{00000000-0005-0000-0000-000007710000}"/>
    <cellStyle name="Normal 11 2 2 3 2 3 4 2 2 3" xfId="29854" xr:uid="{00000000-0005-0000-0000-000008710000}"/>
    <cellStyle name="Normal 11 2 2 3 2 3 4 2 3" xfId="29855" xr:uid="{00000000-0005-0000-0000-000009710000}"/>
    <cellStyle name="Normal 11 2 2 3 2 3 4 2 3 2" xfId="29856" xr:uid="{00000000-0005-0000-0000-00000A710000}"/>
    <cellStyle name="Normal 11 2 2 3 2 3 4 2 4" xfId="29857" xr:uid="{00000000-0005-0000-0000-00000B710000}"/>
    <cellStyle name="Normal 11 2 2 3 2 3 4 3" xfId="29858" xr:uid="{00000000-0005-0000-0000-00000C710000}"/>
    <cellStyle name="Normal 11 2 2 3 2 3 4 3 2" xfId="29859" xr:uid="{00000000-0005-0000-0000-00000D710000}"/>
    <cellStyle name="Normal 11 2 2 3 2 3 4 3 2 2" xfId="29860" xr:uid="{00000000-0005-0000-0000-00000E710000}"/>
    <cellStyle name="Normal 11 2 2 3 2 3 4 3 3" xfId="29861" xr:uid="{00000000-0005-0000-0000-00000F710000}"/>
    <cellStyle name="Normal 11 2 2 3 2 3 4 4" xfId="29862" xr:uid="{00000000-0005-0000-0000-000010710000}"/>
    <cellStyle name="Normal 11 2 2 3 2 3 4 4 2" xfId="29863" xr:uid="{00000000-0005-0000-0000-000011710000}"/>
    <cellStyle name="Normal 11 2 2 3 2 3 4 5" xfId="29864" xr:uid="{00000000-0005-0000-0000-000012710000}"/>
    <cellStyle name="Normal 11 2 2 3 2 3 5" xfId="29865" xr:uid="{00000000-0005-0000-0000-000013710000}"/>
    <cellStyle name="Normal 11 2 2 3 2 3 5 2" xfId="29866" xr:uid="{00000000-0005-0000-0000-000014710000}"/>
    <cellStyle name="Normal 11 2 2 3 2 3 5 2 2" xfId="29867" xr:uid="{00000000-0005-0000-0000-000015710000}"/>
    <cellStyle name="Normal 11 2 2 3 2 3 5 2 2 2" xfId="29868" xr:uid="{00000000-0005-0000-0000-000016710000}"/>
    <cellStyle name="Normal 11 2 2 3 2 3 5 2 2 2 2" xfId="29869" xr:uid="{00000000-0005-0000-0000-000017710000}"/>
    <cellStyle name="Normal 11 2 2 3 2 3 5 2 2 3" xfId="29870" xr:uid="{00000000-0005-0000-0000-000018710000}"/>
    <cellStyle name="Normal 11 2 2 3 2 3 5 2 3" xfId="29871" xr:uid="{00000000-0005-0000-0000-000019710000}"/>
    <cellStyle name="Normal 11 2 2 3 2 3 5 2 3 2" xfId="29872" xr:uid="{00000000-0005-0000-0000-00001A710000}"/>
    <cellStyle name="Normal 11 2 2 3 2 3 5 2 4" xfId="29873" xr:uid="{00000000-0005-0000-0000-00001B710000}"/>
    <cellStyle name="Normal 11 2 2 3 2 3 5 3" xfId="29874" xr:uid="{00000000-0005-0000-0000-00001C710000}"/>
    <cellStyle name="Normal 11 2 2 3 2 3 5 3 2" xfId="29875" xr:uid="{00000000-0005-0000-0000-00001D710000}"/>
    <cellStyle name="Normal 11 2 2 3 2 3 5 3 2 2" xfId="29876" xr:uid="{00000000-0005-0000-0000-00001E710000}"/>
    <cellStyle name="Normal 11 2 2 3 2 3 5 3 3" xfId="29877" xr:uid="{00000000-0005-0000-0000-00001F710000}"/>
    <cellStyle name="Normal 11 2 2 3 2 3 5 4" xfId="29878" xr:uid="{00000000-0005-0000-0000-000020710000}"/>
    <cellStyle name="Normal 11 2 2 3 2 3 5 4 2" xfId="29879" xr:uid="{00000000-0005-0000-0000-000021710000}"/>
    <cellStyle name="Normal 11 2 2 3 2 3 5 5" xfId="29880" xr:uid="{00000000-0005-0000-0000-000022710000}"/>
    <cellStyle name="Normal 11 2 2 3 2 3 6" xfId="29881" xr:uid="{00000000-0005-0000-0000-000023710000}"/>
    <cellStyle name="Normal 11 2 2 3 2 3 6 2" xfId="29882" xr:uid="{00000000-0005-0000-0000-000024710000}"/>
    <cellStyle name="Normal 11 2 2 3 2 3 6 2 2" xfId="29883" xr:uid="{00000000-0005-0000-0000-000025710000}"/>
    <cellStyle name="Normal 11 2 2 3 2 3 6 2 2 2" xfId="29884" xr:uid="{00000000-0005-0000-0000-000026710000}"/>
    <cellStyle name="Normal 11 2 2 3 2 3 6 2 3" xfId="29885" xr:uid="{00000000-0005-0000-0000-000027710000}"/>
    <cellStyle name="Normal 11 2 2 3 2 3 6 3" xfId="29886" xr:uid="{00000000-0005-0000-0000-000028710000}"/>
    <cellStyle name="Normal 11 2 2 3 2 3 6 3 2" xfId="29887" xr:uid="{00000000-0005-0000-0000-000029710000}"/>
    <cellStyle name="Normal 11 2 2 3 2 3 6 4" xfId="29888" xr:uid="{00000000-0005-0000-0000-00002A710000}"/>
    <cellStyle name="Normal 11 2 2 3 2 3 7" xfId="29889" xr:uid="{00000000-0005-0000-0000-00002B710000}"/>
    <cellStyle name="Normal 11 2 2 3 2 3 7 2" xfId="29890" xr:uid="{00000000-0005-0000-0000-00002C710000}"/>
    <cellStyle name="Normal 11 2 2 3 2 3 7 2 2" xfId="29891" xr:uid="{00000000-0005-0000-0000-00002D710000}"/>
    <cellStyle name="Normal 11 2 2 3 2 3 7 2 2 2" xfId="29892" xr:uid="{00000000-0005-0000-0000-00002E710000}"/>
    <cellStyle name="Normal 11 2 2 3 2 3 7 2 3" xfId="29893" xr:uid="{00000000-0005-0000-0000-00002F710000}"/>
    <cellStyle name="Normal 11 2 2 3 2 3 7 3" xfId="29894" xr:uid="{00000000-0005-0000-0000-000030710000}"/>
    <cellStyle name="Normal 11 2 2 3 2 3 7 3 2" xfId="29895" xr:uid="{00000000-0005-0000-0000-000031710000}"/>
    <cellStyle name="Normal 11 2 2 3 2 3 7 4" xfId="29896" xr:uid="{00000000-0005-0000-0000-000032710000}"/>
    <cellStyle name="Normal 11 2 2 3 2 3 8" xfId="29897" xr:uid="{00000000-0005-0000-0000-000033710000}"/>
    <cellStyle name="Normal 11 2 2 3 2 3 8 2" xfId="29898" xr:uid="{00000000-0005-0000-0000-000034710000}"/>
    <cellStyle name="Normal 11 2 2 3 2 3 8 2 2" xfId="29899" xr:uid="{00000000-0005-0000-0000-000035710000}"/>
    <cellStyle name="Normal 11 2 2 3 2 3 8 2 2 2" xfId="29900" xr:uid="{00000000-0005-0000-0000-000036710000}"/>
    <cellStyle name="Normal 11 2 2 3 2 3 8 2 3" xfId="29901" xr:uid="{00000000-0005-0000-0000-000037710000}"/>
    <cellStyle name="Normal 11 2 2 3 2 3 8 3" xfId="29902" xr:uid="{00000000-0005-0000-0000-000038710000}"/>
    <cellStyle name="Normal 11 2 2 3 2 3 8 3 2" xfId="29903" xr:uid="{00000000-0005-0000-0000-000039710000}"/>
    <cellStyle name="Normal 11 2 2 3 2 3 8 4" xfId="29904" xr:uid="{00000000-0005-0000-0000-00003A710000}"/>
    <cellStyle name="Normal 11 2 2 3 2 3 9" xfId="29905" xr:uid="{00000000-0005-0000-0000-00003B710000}"/>
    <cellStyle name="Normal 11 2 2 3 2 3 9 2" xfId="29906" xr:uid="{00000000-0005-0000-0000-00003C710000}"/>
    <cellStyle name="Normal 11 2 2 3 2 3 9 2 2" xfId="29907" xr:uid="{00000000-0005-0000-0000-00003D710000}"/>
    <cellStyle name="Normal 11 2 2 3 2 3 9 3" xfId="29908" xr:uid="{00000000-0005-0000-0000-00003E710000}"/>
    <cellStyle name="Normal 11 2 2 3 2 4" xfId="992" xr:uid="{00000000-0005-0000-0000-00003F710000}"/>
    <cellStyle name="Normal 11 2 2 3 2 4 10" xfId="29910" xr:uid="{00000000-0005-0000-0000-000040710000}"/>
    <cellStyle name="Normal 11 2 2 3 2 4 11" xfId="29909" xr:uid="{00000000-0005-0000-0000-000041710000}"/>
    <cellStyle name="Normal 11 2 2 3 2 4 2" xfId="1721" xr:uid="{00000000-0005-0000-0000-000042710000}"/>
    <cellStyle name="Normal 11 2 2 3 2 4 2 2" xfId="29912" xr:uid="{00000000-0005-0000-0000-000043710000}"/>
    <cellStyle name="Normal 11 2 2 3 2 4 2 2 2" xfId="29913" xr:uid="{00000000-0005-0000-0000-000044710000}"/>
    <cellStyle name="Normal 11 2 2 3 2 4 2 2 2 2" xfId="29914" xr:uid="{00000000-0005-0000-0000-000045710000}"/>
    <cellStyle name="Normal 11 2 2 3 2 4 2 2 2 2 2" xfId="29915" xr:uid="{00000000-0005-0000-0000-000046710000}"/>
    <cellStyle name="Normal 11 2 2 3 2 4 2 2 2 3" xfId="29916" xr:uid="{00000000-0005-0000-0000-000047710000}"/>
    <cellStyle name="Normal 11 2 2 3 2 4 2 2 3" xfId="29917" xr:uid="{00000000-0005-0000-0000-000048710000}"/>
    <cellStyle name="Normal 11 2 2 3 2 4 2 2 3 2" xfId="29918" xr:uid="{00000000-0005-0000-0000-000049710000}"/>
    <cellStyle name="Normal 11 2 2 3 2 4 2 2 4" xfId="29919" xr:uid="{00000000-0005-0000-0000-00004A710000}"/>
    <cellStyle name="Normal 11 2 2 3 2 4 2 3" xfId="29920" xr:uid="{00000000-0005-0000-0000-00004B710000}"/>
    <cellStyle name="Normal 11 2 2 3 2 4 2 3 2" xfId="29921" xr:uid="{00000000-0005-0000-0000-00004C710000}"/>
    <cellStyle name="Normal 11 2 2 3 2 4 2 3 2 2" xfId="29922" xr:uid="{00000000-0005-0000-0000-00004D710000}"/>
    <cellStyle name="Normal 11 2 2 3 2 4 2 3 2 2 2" xfId="29923" xr:uid="{00000000-0005-0000-0000-00004E710000}"/>
    <cellStyle name="Normal 11 2 2 3 2 4 2 3 2 3" xfId="29924" xr:uid="{00000000-0005-0000-0000-00004F710000}"/>
    <cellStyle name="Normal 11 2 2 3 2 4 2 3 3" xfId="29925" xr:uid="{00000000-0005-0000-0000-000050710000}"/>
    <cellStyle name="Normal 11 2 2 3 2 4 2 3 3 2" xfId="29926" xr:uid="{00000000-0005-0000-0000-000051710000}"/>
    <cellStyle name="Normal 11 2 2 3 2 4 2 3 4" xfId="29927" xr:uid="{00000000-0005-0000-0000-000052710000}"/>
    <cellStyle name="Normal 11 2 2 3 2 4 2 4" xfId="29928" xr:uid="{00000000-0005-0000-0000-000053710000}"/>
    <cellStyle name="Normal 11 2 2 3 2 4 2 4 2" xfId="29929" xr:uid="{00000000-0005-0000-0000-000054710000}"/>
    <cellStyle name="Normal 11 2 2 3 2 4 2 4 2 2" xfId="29930" xr:uid="{00000000-0005-0000-0000-000055710000}"/>
    <cellStyle name="Normal 11 2 2 3 2 4 2 4 3" xfId="29931" xr:uid="{00000000-0005-0000-0000-000056710000}"/>
    <cellStyle name="Normal 11 2 2 3 2 4 2 5" xfId="29932" xr:uid="{00000000-0005-0000-0000-000057710000}"/>
    <cellStyle name="Normal 11 2 2 3 2 4 2 5 2" xfId="29933" xr:uid="{00000000-0005-0000-0000-000058710000}"/>
    <cellStyle name="Normal 11 2 2 3 2 4 2 6" xfId="29934" xr:uid="{00000000-0005-0000-0000-000059710000}"/>
    <cellStyle name="Normal 11 2 2 3 2 4 2 7" xfId="29911" xr:uid="{00000000-0005-0000-0000-00005A710000}"/>
    <cellStyle name="Normal 11 2 2 3 2 4 3" xfId="29935" xr:uid="{00000000-0005-0000-0000-00005B710000}"/>
    <cellStyle name="Normal 11 2 2 3 2 4 3 2" xfId="29936" xr:uid="{00000000-0005-0000-0000-00005C710000}"/>
    <cellStyle name="Normal 11 2 2 3 2 4 3 2 2" xfId="29937" xr:uid="{00000000-0005-0000-0000-00005D710000}"/>
    <cellStyle name="Normal 11 2 2 3 2 4 3 2 2 2" xfId="29938" xr:uid="{00000000-0005-0000-0000-00005E710000}"/>
    <cellStyle name="Normal 11 2 2 3 2 4 3 2 2 2 2" xfId="29939" xr:uid="{00000000-0005-0000-0000-00005F710000}"/>
    <cellStyle name="Normal 11 2 2 3 2 4 3 2 2 3" xfId="29940" xr:uid="{00000000-0005-0000-0000-000060710000}"/>
    <cellStyle name="Normal 11 2 2 3 2 4 3 2 3" xfId="29941" xr:uid="{00000000-0005-0000-0000-000061710000}"/>
    <cellStyle name="Normal 11 2 2 3 2 4 3 2 3 2" xfId="29942" xr:uid="{00000000-0005-0000-0000-000062710000}"/>
    <cellStyle name="Normal 11 2 2 3 2 4 3 2 4" xfId="29943" xr:uid="{00000000-0005-0000-0000-000063710000}"/>
    <cellStyle name="Normal 11 2 2 3 2 4 3 3" xfId="29944" xr:uid="{00000000-0005-0000-0000-000064710000}"/>
    <cellStyle name="Normal 11 2 2 3 2 4 3 3 2" xfId="29945" xr:uid="{00000000-0005-0000-0000-000065710000}"/>
    <cellStyle name="Normal 11 2 2 3 2 4 3 3 2 2" xfId="29946" xr:uid="{00000000-0005-0000-0000-000066710000}"/>
    <cellStyle name="Normal 11 2 2 3 2 4 3 3 3" xfId="29947" xr:uid="{00000000-0005-0000-0000-000067710000}"/>
    <cellStyle name="Normal 11 2 2 3 2 4 3 4" xfId="29948" xr:uid="{00000000-0005-0000-0000-000068710000}"/>
    <cellStyle name="Normal 11 2 2 3 2 4 3 4 2" xfId="29949" xr:uid="{00000000-0005-0000-0000-000069710000}"/>
    <cellStyle name="Normal 11 2 2 3 2 4 3 5" xfId="29950" xr:uid="{00000000-0005-0000-0000-00006A710000}"/>
    <cellStyle name="Normal 11 2 2 3 2 4 4" xfId="29951" xr:uid="{00000000-0005-0000-0000-00006B710000}"/>
    <cellStyle name="Normal 11 2 2 3 2 4 4 2" xfId="29952" xr:uid="{00000000-0005-0000-0000-00006C710000}"/>
    <cellStyle name="Normal 11 2 2 3 2 4 4 2 2" xfId="29953" xr:uid="{00000000-0005-0000-0000-00006D710000}"/>
    <cellStyle name="Normal 11 2 2 3 2 4 4 2 2 2" xfId="29954" xr:uid="{00000000-0005-0000-0000-00006E710000}"/>
    <cellStyle name="Normal 11 2 2 3 2 4 4 2 2 2 2" xfId="29955" xr:uid="{00000000-0005-0000-0000-00006F710000}"/>
    <cellStyle name="Normal 11 2 2 3 2 4 4 2 2 3" xfId="29956" xr:uid="{00000000-0005-0000-0000-000070710000}"/>
    <cellStyle name="Normal 11 2 2 3 2 4 4 2 3" xfId="29957" xr:uid="{00000000-0005-0000-0000-000071710000}"/>
    <cellStyle name="Normal 11 2 2 3 2 4 4 2 3 2" xfId="29958" xr:uid="{00000000-0005-0000-0000-000072710000}"/>
    <cellStyle name="Normal 11 2 2 3 2 4 4 2 4" xfId="29959" xr:uid="{00000000-0005-0000-0000-000073710000}"/>
    <cellStyle name="Normal 11 2 2 3 2 4 4 3" xfId="29960" xr:uid="{00000000-0005-0000-0000-000074710000}"/>
    <cellStyle name="Normal 11 2 2 3 2 4 4 3 2" xfId="29961" xr:uid="{00000000-0005-0000-0000-000075710000}"/>
    <cellStyle name="Normal 11 2 2 3 2 4 4 3 2 2" xfId="29962" xr:uid="{00000000-0005-0000-0000-000076710000}"/>
    <cellStyle name="Normal 11 2 2 3 2 4 4 3 3" xfId="29963" xr:uid="{00000000-0005-0000-0000-000077710000}"/>
    <cellStyle name="Normal 11 2 2 3 2 4 4 4" xfId="29964" xr:uid="{00000000-0005-0000-0000-000078710000}"/>
    <cellStyle name="Normal 11 2 2 3 2 4 4 4 2" xfId="29965" xr:uid="{00000000-0005-0000-0000-000079710000}"/>
    <cellStyle name="Normal 11 2 2 3 2 4 4 5" xfId="29966" xr:uid="{00000000-0005-0000-0000-00007A710000}"/>
    <cellStyle name="Normal 11 2 2 3 2 4 5" xfId="29967" xr:uid="{00000000-0005-0000-0000-00007B710000}"/>
    <cellStyle name="Normal 11 2 2 3 2 4 5 2" xfId="29968" xr:uid="{00000000-0005-0000-0000-00007C710000}"/>
    <cellStyle name="Normal 11 2 2 3 2 4 5 2 2" xfId="29969" xr:uid="{00000000-0005-0000-0000-00007D710000}"/>
    <cellStyle name="Normal 11 2 2 3 2 4 5 2 2 2" xfId="29970" xr:uid="{00000000-0005-0000-0000-00007E710000}"/>
    <cellStyle name="Normal 11 2 2 3 2 4 5 2 3" xfId="29971" xr:uid="{00000000-0005-0000-0000-00007F710000}"/>
    <cellStyle name="Normal 11 2 2 3 2 4 5 3" xfId="29972" xr:uid="{00000000-0005-0000-0000-000080710000}"/>
    <cellStyle name="Normal 11 2 2 3 2 4 5 3 2" xfId="29973" xr:uid="{00000000-0005-0000-0000-000081710000}"/>
    <cellStyle name="Normal 11 2 2 3 2 4 5 4" xfId="29974" xr:uid="{00000000-0005-0000-0000-000082710000}"/>
    <cellStyle name="Normal 11 2 2 3 2 4 6" xfId="29975" xr:uid="{00000000-0005-0000-0000-000083710000}"/>
    <cellStyle name="Normal 11 2 2 3 2 4 6 2" xfId="29976" xr:uid="{00000000-0005-0000-0000-000084710000}"/>
    <cellStyle name="Normal 11 2 2 3 2 4 6 2 2" xfId="29977" xr:uid="{00000000-0005-0000-0000-000085710000}"/>
    <cellStyle name="Normal 11 2 2 3 2 4 6 2 2 2" xfId="29978" xr:uid="{00000000-0005-0000-0000-000086710000}"/>
    <cellStyle name="Normal 11 2 2 3 2 4 6 2 3" xfId="29979" xr:uid="{00000000-0005-0000-0000-000087710000}"/>
    <cellStyle name="Normal 11 2 2 3 2 4 6 3" xfId="29980" xr:uid="{00000000-0005-0000-0000-000088710000}"/>
    <cellStyle name="Normal 11 2 2 3 2 4 6 3 2" xfId="29981" xr:uid="{00000000-0005-0000-0000-000089710000}"/>
    <cellStyle name="Normal 11 2 2 3 2 4 6 4" xfId="29982" xr:uid="{00000000-0005-0000-0000-00008A710000}"/>
    <cellStyle name="Normal 11 2 2 3 2 4 7" xfId="29983" xr:uid="{00000000-0005-0000-0000-00008B710000}"/>
    <cellStyle name="Normal 11 2 2 3 2 4 7 2" xfId="29984" xr:uid="{00000000-0005-0000-0000-00008C710000}"/>
    <cellStyle name="Normal 11 2 2 3 2 4 7 2 2" xfId="29985" xr:uid="{00000000-0005-0000-0000-00008D710000}"/>
    <cellStyle name="Normal 11 2 2 3 2 4 7 2 2 2" xfId="29986" xr:uid="{00000000-0005-0000-0000-00008E710000}"/>
    <cellStyle name="Normal 11 2 2 3 2 4 7 2 3" xfId="29987" xr:uid="{00000000-0005-0000-0000-00008F710000}"/>
    <cellStyle name="Normal 11 2 2 3 2 4 7 3" xfId="29988" xr:uid="{00000000-0005-0000-0000-000090710000}"/>
    <cellStyle name="Normal 11 2 2 3 2 4 7 3 2" xfId="29989" xr:uid="{00000000-0005-0000-0000-000091710000}"/>
    <cellStyle name="Normal 11 2 2 3 2 4 7 4" xfId="29990" xr:uid="{00000000-0005-0000-0000-000092710000}"/>
    <cellStyle name="Normal 11 2 2 3 2 4 8" xfId="29991" xr:uid="{00000000-0005-0000-0000-000093710000}"/>
    <cellStyle name="Normal 11 2 2 3 2 4 8 2" xfId="29992" xr:uid="{00000000-0005-0000-0000-000094710000}"/>
    <cellStyle name="Normal 11 2 2 3 2 4 8 2 2" xfId="29993" xr:uid="{00000000-0005-0000-0000-000095710000}"/>
    <cellStyle name="Normal 11 2 2 3 2 4 8 3" xfId="29994" xr:uid="{00000000-0005-0000-0000-000096710000}"/>
    <cellStyle name="Normal 11 2 2 3 2 4 9" xfId="29995" xr:uid="{00000000-0005-0000-0000-000097710000}"/>
    <cellStyle name="Normal 11 2 2 3 2 4 9 2" xfId="29996" xr:uid="{00000000-0005-0000-0000-000098710000}"/>
    <cellStyle name="Normal 11 2 2 3 2 5" xfId="1394" xr:uid="{00000000-0005-0000-0000-000099710000}"/>
    <cellStyle name="Normal 11 2 2 3 2 5 2" xfId="29998" xr:uid="{00000000-0005-0000-0000-00009A710000}"/>
    <cellStyle name="Normal 11 2 2 3 2 5 2 2" xfId="29999" xr:uid="{00000000-0005-0000-0000-00009B710000}"/>
    <cellStyle name="Normal 11 2 2 3 2 5 2 2 2" xfId="30000" xr:uid="{00000000-0005-0000-0000-00009C710000}"/>
    <cellStyle name="Normal 11 2 2 3 2 5 2 2 2 2" xfId="30001" xr:uid="{00000000-0005-0000-0000-00009D710000}"/>
    <cellStyle name="Normal 11 2 2 3 2 5 2 2 3" xfId="30002" xr:uid="{00000000-0005-0000-0000-00009E710000}"/>
    <cellStyle name="Normal 11 2 2 3 2 5 2 3" xfId="30003" xr:uid="{00000000-0005-0000-0000-00009F710000}"/>
    <cellStyle name="Normal 11 2 2 3 2 5 2 3 2" xfId="30004" xr:uid="{00000000-0005-0000-0000-0000A0710000}"/>
    <cellStyle name="Normal 11 2 2 3 2 5 2 4" xfId="30005" xr:uid="{00000000-0005-0000-0000-0000A1710000}"/>
    <cellStyle name="Normal 11 2 2 3 2 5 3" xfId="30006" xr:uid="{00000000-0005-0000-0000-0000A2710000}"/>
    <cellStyle name="Normal 11 2 2 3 2 5 3 2" xfId="30007" xr:uid="{00000000-0005-0000-0000-0000A3710000}"/>
    <cellStyle name="Normal 11 2 2 3 2 5 3 2 2" xfId="30008" xr:uid="{00000000-0005-0000-0000-0000A4710000}"/>
    <cellStyle name="Normal 11 2 2 3 2 5 3 2 2 2" xfId="30009" xr:uid="{00000000-0005-0000-0000-0000A5710000}"/>
    <cellStyle name="Normal 11 2 2 3 2 5 3 2 3" xfId="30010" xr:uid="{00000000-0005-0000-0000-0000A6710000}"/>
    <cellStyle name="Normal 11 2 2 3 2 5 3 3" xfId="30011" xr:uid="{00000000-0005-0000-0000-0000A7710000}"/>
    <cellStyle name="Normal 11 2 2 3 2 5 3 3 2" xfId="30012" xr:uid="{00000000-0005-0000-0000-0000A8710000}"/>
    <cellStyle name="Normal 11 2 2 3 2 5 3 4" xfId="30013" xr:uid="{00000000-0005-0000-0000-0000A9710000}"/>
    <cellStyle name="Normal 11 2 2 3 2 5 4" xfId="30014" xr:uid="{00000000-0005-0000-0000-0000AA710000}"/>
    <cellStyle name="Normal 11 2 2 3 2 5 4 2" xfId="30015" xr:uid="{00000000-0005-0000-0000-0000AB710000}"/>
    <cellStyle name="Normal 11 2 2 3 2 5 4 2 2" xfId="30016" xr:uid="{00000000-0005-0000-0000-0000AC710000}"/>
    <cellStyle name="Normal 11 2 2 3 2 5 4 3" xfId="30017" xr:uid="{00000000-0005-0000-0000-0000AD710000}"/>
    <cellStyle name="Normal 11 2 2 3 2 5 5" xfId="30018" xr:uid="{00000000-0005-0000-0000-0000AE710000}"/>
    <cellStyle name="Normal 11 2 2 3 2 5 5 2" xfId="30019" xr:uid="{00000000-0005-0000-0000-0000AF710000}"/>
    <cellStyle name="Normal 11 2 2 3 2 5 6" xfId="30020" xr:uid="{00000000-0005-0000-0000-0000B0710000}"/>
    <cellStyle name="Normal 11 2 2 3 2 5 7" xfId="29997" xr:uid="{00000000-0005-0000-0000-0000B1710000}"/>
    <cellStyle name="Normal 11 2 2 3 2 6" xfId="30021" xr:uid="{00000000-0005-0000-0000-0000B2710000}"/>
    <cellStyle name="Normal 11 2 2 3 2 6 2" xfId="30022" xr:uid="{00000000-0005-0000-0000-0000B3710000}"/>
    <cellStyle name="Normal 11 2 2 3 2 6 2 2" xfId="30023" xr:uid="{00000000-0005-0000-0000-0000B4710000}"/>
    <cellStyle name="Normal 11 2 2 3 2 6 2 2 2" xfId="30024" xr:uid="{00000000-0005-0000-0000-0000B5710000}"/>
    <cellStyle name="Normal 11 2 2 3 2 6 2 2 2 2" xfId="30025" xr:uid="{00000000-0005-0000-0000-0000B6710000}"/>
    <cellStyle name="Normal 11 2 2 3 2 6 2 2 3" xfId="30026" xr:uid="{00000000-0005-0000-0000-0000B7710000}"/>
    <cellStyle name="Normal 11 2 2 3 2 6 2 3" xfId="30027" xr:uid="{00000000-0005-0000-0000-0000B8710000}"/>
    <cellStyle name="Normal 11 2 2 3 2 6 2 3 2" xfId="30028" xr:uid="{00000000-0005-0000-0000-0000B9710000}"/>
    <cellStyle name="Normal 11 2 2 3 2 6 2 4" xfId="30029" xr:uid="{00000000-0005-0000-0000-0000BA710000}"/>
    <cellStyle name="Normal 11 2 2 3 2 6 3" xfId="30030" xr:uid="{00000000-0005-0000-0000-0000BB710000}"/>
    <cellStyle name="Normal 11 2 2 3 2 6 3 2" xfId="30031" xr:uid="{00000000-0005-0000-0000-0000BC710000}"/>
    <cellStyle name="Normal 11 2 2 3 2 6 3 2 2" xfId="30032" xr:uid="{00000000-0005-0000-0000-0000BD710000}"/>
    <cellStyle name="Normal 11 2 2 3 2 6 3 3" xfId="30033" xr:uid="{00000000-0005-0000-0000-0000BE710000}"/>
    <cellStyle name="Normal 11 2 2 3 2 6 4" xfId="30034" xr:uid="{00000000-0005-0000-0000-0000BF710000}"/>
    <cellStyle name="Normal 11 2 2 3 2 6 4 2" xfId="30035" xr:uid="{00000000-0005-0000-0000-0000C0710000}"/>
    <cellStyle name="Normal 11 2 2 3 2 6 5" xfId="30036" xr:uid="{00000000-0005-0000-0000-0000C1710000}"/>
    <cellStyle name="Normal 11 2 2 3 2 7" xfId="30037" xr:uid="{00000000-0005-0000-0000-0000C2710000}"/>
    <cellStyle name="Normal 11 2 2 3 2 7 2" xfId="30038" xr:uid="{00000000-0005-0000-0000-0000C3710000}"/>
    <cellStyle name="Normal 11 2 2 3 2 7 2 2" xfId="30039" xr:uid="{00000000-0005-0000-0000-0000C4710000}"/>
    <cellStyle name="Normal 11 2 2 3 2 7 2 2 2" xfId="30040" xr:uid="{00000000-0005-0000-0000-0000C5710000}"/>
    <cellStyle name="Normal 11 2 2 3 2 7 2 2 2 2" xfId="30041" xr:uid="{00000000-0005-0000-0000-0000C6710000}"/>
    <cellStyle name="Normal 11 2 2 3 2 7 2 2 3" xfId="30042" xr:uid="{00000000-0005-0000-0000-0000C7710000}"/>
    <cellStyle name="Normal 11 2 2 3 2 7 2 3" xfId="30043" xr:uid="{00000000-0005-0000-0000-0000C8710000}"/>
    <cellStyle name="Normal 11 2 2 3 2 7 2 3 2" xfId="30044" xr:uid="{00000000-0005-0000-0000-0000C9710000}"/>
    <cellStyle name="Normal 11 2 2 3 2 7 2 4" xfId="30045" xr:uid="{00000000-0005-0000-0000-0000CA710000}"/>
    <cellStyle name="Normal 11 2 2 3 2 7 3" xfId="30046" xr:uid="{00000000-0005-0000-0000-0000CB710000}"/>
    <cellStyle name="Normal 11 2 2 3 2 7 3 2" xfId="30047" xr:uid="{00000000-0005-0000-0000-0000CC710000}"/>
    <cellStyle name="Normal 11 2 2 3 2 7 3 2 2" xfId="30048" xr:uid="{00000000-0005-0000-0000-0000CD710000}"/>
    <cellStyle name="Normal 11 2 2 3 2 7 3 3" xfId="30049" xr:uid="{00000000-0005-0000-0000-0000CE710000}"/>
    <cellStyle name="Normal 11 2 2 3 2 7 4" xfId="30050" xr:uid="{00000000-0005-0000-0000-0000CF710000}"/>
    <cellStyle name="Normal 11 2 2 3 2 7 4 2" xfId="30051" xr:uid="{00000000-0005-0000-0000-0000D0710000}"/>
    <cellStyle name="Normal 11 2 2 3 2 7 5" xfId="30052" xr:uid="{00000000-0005-0000-0000-0000D1710000}"/>
    <cellStyle name="Normal 11 2 2 3 2 8" xfId="30053" xr:uid="{00000000-0005-0000-0000-0000D2710000}"/>
    <cellStyle name="Normal 11 2 2 3 2 8 2" xfId="30054" xr:uid="{00000000-0005-0000-0000-0000D3710000}"/>
    <cellStyle name="Normal 11 2 2 3 2 8 2 2" xfId="30055" xr:uid="{00000000-0005-0000-0000-0000D4710000}"/>
    <cellStyle name="Normal 11 2 2 3 2 8 2 2 2" xfId="30056" xr:uid="{00000000-0005-0000-0000-0000D5710000}"/>
    <cellStyle name="Normal 11 2 2 3 2 8 2 3" xfId="30057" xr:uid="{00000000-0005-0000-0000-0000D6710000}"/>
    <cellStyle name="Normal 11 2 2 3 2 8 3" xfId="30058" xr:uid="{00000000-0005-0000-0000-0000D7710000}"/>
    <cellStyle name="Normal 11 2 2 3 2 8 3 2" xfId="30059" xr:uid="{00000000-0005-0000-0000-0000D8710000}"/>
    <cellStyle name="Normal 11 2 2 3 2 8 4" xfId="30060" xr:uid="{00000000-0005-0000-0000-0000D9710000}"/>
    <cellStyle name="Normal 11 2 2 3 2 9" xfId="30061" xr:uid="{00000000-0005-0000-0000-0000DA710000}"/>
    <cellStyle name="Normal 11 2 2 3 2 9 2" xfId="30062" xr:uid="{00000000-0005-0000-0000-0000DB710000}"/>
    <cellStyle name="Normal 11 2 2 3 2 9 2 2" xfId="30063" xr:uid="{00000000-0005-0000-0000-0000DC710000}"/>
    <cellStyle name="Normal 11 2 2 3 2 9 2 2 2" xfId="30064" xr:uid="{00000000-0005-0000-0000-0000DD710000}"/>
    <cellStyle name="Normal 11 2 2 3 2 9 2 3" xfId="30065" xr:uid="{00000000-0005-0000-0000-0000DE710000}"/>
    <cellStyle name="Normal 11 2 2 3 2 9 3" xfId="30066" xr:uid="{00000000-0005-0000-0000-0000DF710000}"/>
    <cellStyle name="Normal 11 2 2 3 2 9 3 2" xfId="30067" xr:uid="{00000000-0005-0000-0000-0000E0710000}"/>
    <cellStyle name="Normal 11 2 2 3 2 9 4" xfId="30068" xr:uid="{00000000-0005-0000-0000-0000E1710000}"/>
    <cellStyle name="Normal 11 2 2 3 3" xfId="553" xr:uid="{00000000-0005-0000-0000-0000E2710000}"/>
    <cellStyle name="Normal 11 2 2 3 3 10" xfId="30070" xr:uid="{00000000-0005-0000-0000-0000E3710000}"/>
    <cellStyle name="Normal 11 2 2 3 3 10 2" xfId="30071" xr:uid="{00000000-0005-0000-0000-0000E4710000}"/>
    <cellStyle name="Normal 11 2 2 3 3 10 2 2" xfId="30072" xr:uid="{00000000-0005-0000-0000-0000E5710000}"/>
    <cellStyle name="Normal 11 2 2 3 3 10 3" xfId="30073" xr:uid="{00000000-0005-0000-0000-0000E6710000}"/>
    <cellStyle name="Normal 11 2 2 3 3 11" xfId="30074" xr:uid="{00000000-0005-0000-0000-0000E7710000}"/>
    <cellStyle name="Normal 11 2 2 3 3 11 2" xfId="30075" xr:uid="{00000000-0005-0000-0000-0000E8710000}"/>
    <cellStyle name="Normal 11 2 2 3 3 11 2 2" xfId="30076" xr:uid="{00000000-0005-0000-0000-0000E9710000}"/>
    <cellStyle name="Normal 11 2 2 3 3 11 3" xfId="30077" xr:uid="{00000000-0005-0000-0000-0000EA710000}"/>
    <cellStyle name="Normal 11 2 2 3 3 12" xfId="30078" xr:uid="{00000000-0005-0000-0000-0000EB710000}"/>
    <cellStyle name="Normal 11 2 2 3 3 12 2" xfId="30079" xr:uid="{00000000-0005-0000-0000-0000EC710000}"/>
    <cellStyle name="Normal 11 2 2 3 3 13" xfId="30080" xr:uid="{00000000-0005-0000-0000-0000ED710000}"/>
    <cellStyle name="Normal 11 2 2 3 3 14" xfId="30081" xr:uid="{00000000-0005-0000-0000-0000EE710000}"/>
    <cellStyle name="Normal 11 2 2 3 3 15" xfId="30069" xr:uid="{00000000-0005-0000-0000-0000EF710000}"/>
    <cellStyle name="Normal 11 2 2 3 3 2" xfId="995" xr:uid="{00000000-0005-0000-0000-0000F0710000}"/>
    <cellStyle name="Normal 11 2 2 3 3 2 10" xfId="30083" xr:uid="{00000000-0005-0000-0000-0000F1710000}"/>
    <cellStyle name="Normal 11 2 2 3 3 2 11" xfId="30082" xr:uid="{00000000-0005-0000-0000-0000F2710000}"/>
    <cellStyle name="Normal 11 2 2 3 3 2 2" xfId="1724" xr:uid="{00000000-0005-0000-0000-0000F3710000}"/>
    <cellStyle name="Normal 11 2 2 3 3 2 2 2" xfId="30085" xr:uid="{00000000-0005-0000-0000-0000F4710000}"/>
    <cellStyle name="Normal 11 2 2 3 3 2 2 2 2" xfId="30086" xr:uid="{00000000-0005-0000-0000-0000F5710000}"/>
    <cellStyle name="Normal 11 2 2 3 3 2 2 2 2 2" xfId="30087" xr:uid="{00000000-0005-0000-0000-0000F6710000}"/>
    <cellStyle name="Normal 11 2 2 3 3 2 2 2 2 2 2" xfId="30088" xr:uid="{00000000-0005-0000-0000-0000F7710000}"/>
    <cellStyle name="Normal 11 2 2 3 3 2 2 2 2 3" xfId="30089" xr:uid="{00000000-0005-0000-0000-0000F8710000}"/>
    <cellStyle name="Normal 11 2 2 3 3 2 2 2 3" xfId="30090" xr:uid="{00000000-0005-0000-0000-0000F9710000}"/>
    <cellStyle name="Normal 11 2 2 3 3 2 2 2 3 2" xfId="30091" xr:uid="{00000000-0005-0000-0000-0000FA710000}"/>
    <cellStyle name="Normal 11 2 2 3 3 2 2 2 4" xfId="30092" xr:uid="{00000000-0005-0000-0000-0000FB710000}"/>
    <cellStyle name="Normal 11 2 2 3 3 2 2 3" xfId="30093" xr:uid="{00000000-0005-0000-0000-0000FC710000}"/>
    <cellStyle name="Normal 11 2 2 3 3 2 2 3 2" xfId="30094" xr:uid="{00000000-0005-0000-0000-0000FD710000}"/>
    <cellStyle name="Normal 11 2 2 3 3 2 2 3 2 2" xfId="30095" xr:uid="{00000000-0005-0000-0000-0000FE710000}"/>
    <cellStyle name="Normal 11 2 2 3 3 2 2 3 2 2 2" xfId="30096" xr:uid="{00000000-0005-0000-0000-0000FF710000}"/>
    <cellStyle name="Normal 11 2 2 3 3 2 2 3 2 3" xfId="30097" xr:uid="{00000000-0005-0000-0000-000000720000}"/>
    <cellStyle name="Normal 11 2 2 3 3 2 2 3 3" xfId="30098" xr:uid="{00000000-0005-0000-0000-000001720000}"/>
    <cellStyle name="Normal 11 2 2 3 3 2 2 3 3 2" xfId="30099" xr:uid="{00000000-0005-0000-0000-000002720000}"/>
    <cellStyle name="Normal 11 2 2 3 3 2 2 3 4" xfId="30100" xr:uid="{00000000-0005-0000-0000-000003720000}"/>
    <cellStyle name="Normal 11 2 2 3 3 2 2 4" xfId="30101" xr:uid="{00000000-0005-0000-0000-000004720000}"/>
    <cellStyle name="Normal 11 2 2 3 3 2 2 4 2" xfId="30102" xr:uid="{00000000-0005-0000-0000-000005720000}"/>
    <cellStyle name="Normal 11 2 2 3 3 2 2 4 2 2" xfId="30103" xr:uid="{00000000-0005-0000-0000-000006720000}"/>
    <cellStyle name="Normal 11 2 2 3 3 2 2 4 3" xfId="30104" xr:uid="{00000000-0005-0000-0000-000007720000}"/>
    <cellStyle name="Normal 11 2 2 3 3 2 2 5" xfId="30105" xr:uid="{00000000-0005-0000-0000-000008720000}"/>
    <cellStyle name="Normal 11 2 2 3 3 2 2 5 2" xfId="30106" xr:uid="{00000000-0005-0000-0000-000009720000}"/>
    <cellStyle name="Normal 11 2 2 3 3 2 2 6" xfId="30107" xr:uid="{00000000-0005-0000-0000-00000A720000}"/>
    <cellStyle name="Normal 11 2 2 3 3 2 2 7" xfId="30084" xr:uid="{00000000-0005-0000-0000-00000B720000}"/>
    <cellStyle name="Normal 11 2 2 3 3 2 3" xfId="30108" xr:uid="{00000000-0005-0000-0000-00000C720000}"/>
    <cellStyle name="Normal 11 2 2 3 3 2 3 2" xfId="30109" xr:uid="{00000000-0005-0000-0000-00000D720000}"/>
    <cellStyle name="Normal 11 2 2 3 3 2 3 2 2" xfId="30110" xr:uid="{00000000-0005-0000-0000-00000E720000}"/>
    <cellStyle name="Normal 11 2 2 3 3 2 3 2 2 2" xfId="30111" xr:uid="{00000000-0005-0000-0000-00000F720000}"/>
    <cellStyle name="Normal 11 2 2 3 3 2 3 2 2 2 2" xfId="30112" xr:uid="{00000000-0005-0000-0000-000010720000}"/>
    <cellStyle name="Normal 11 2 2 3 3 2 3 2 2 3" xfId="30113" xr:uid="{00000000-0005-0000-0000-000011720000}"/>
    <cellStyle name="Normal 11 2 2 3 3 2 3 2 3" xfId="30114" xr:uid="{00000000-0005-0000-0000-000012720000}"/>
    <cellStyle name="Normal 11 2 2 3 3 2 3 2 3 2" xfId="30115" xr:uid="{00000000-0005-0000-0000-000013720000}"/>
    <cellStyle name="Normal 11 2 2 3 3 2 3 2 4" xfId="30116" xr:uid="{00000000-0005-0000-0000-000014720000}"/>
    <cellStyle name="Normal 11 2 2 3 3 2 3 3" xfId="30117" xr:uid="{00000000-0005-0000-0000-000015720000}"/>
    <cellStyle name="Normal 11 2 2 3 3 2 3 3 2" xfId="30118" xr:uid="{00000000-0005-0000-0000-000016720000}"/>
    <cellStyle name="Normal 11 2 2 3 3 2 3 3 2 2" xfId="30119" xr:uid="{00000000-0005-0000-0000-000017720000}"/>
    <cellStyle name="Normal 11 2 2 3 3 2 3 3 3" xfId="30120" xr:uid="{00000000-0005-0000-0000-000018720000}"/>
    <cellStyle name="Normal 11 2 2 3 3 2 3 4" xfId="30121" xr:uid="{00000000-0005-0000-0000-000019720000}"/>
    <cellStyle name="Normal 11 2 2 3 3 2 3 4 2" xfId="30122" xr:uid="{00000000-0005-0000-0000-00001A720000}"/>
    <cellStyle name="Normal 11 2 2 3 3 2 3 5" xfId="30123" xr:uid="{00000000-0005-0000-0000-00001B720000}"/>
    <cellStyle name="Normal 11 2 2 3 3 2 4" xfId="30124" xr:uid="{00000000-0005-0000-0000-00001C720000}"/>
    <cellStyle name="Normal 11 2 2 3 3 2 4 2" xfId="30125" xr:uid="{00000000-0005-0000-0000-00001D720000}"/>
    <cellStyle name="Normal 11 2 2 3 3 2 4 2 2" xfId="30126" xr:uid="{00000000-0005-0000-0000-00001E720000}"/>
    <cellStyle name="Normal 11 2 2 3 3 2 4 2 2 2" xfId="30127" xr:uid="{00000000-0005-0000-0000-00001F720000}"/>
    <cellStyle name="Normal 11 2 2 3 3 2 4 2 2 2 2" xfId="30128" xr:uid="{00000000-0005-0000-0000-000020720000}"/>
    <cellStyle name="Normal 11 2 2 3 3 2 4 2 2 3" xfId="30129" xr:uid="{00000000-0005-0000-0000-000021720000}"/>
    <cellStyle name="Normal 11 2 2 3 3 2 4 2 3" xfId="30130" xr:uid="{00000000-0005-0000-0000-000022720000}"/>
    <cellStyle name="Normal 11 2 2 3 3 2 4 2 3 2" xfId="30131" xr:uid="{00000000-0005-0000-0000-000023720000}"/>
    <cellStyle name="Normal 11 2 2 3 3 2 4 2 4" xfId="30132" xr:uid="{00000000-0005-0000-0000-000024720000}"/>
    <cellStyle name="Normal 11 2 2 3 3 2 4 3" xfId="30133" xr:uid="{00000000-0005-0000-0000-000025720000}"/>
    <cellStyle name="Normal 11 2 2 3 3 2 4 3 2" xfId="30134" xr:uid="{00000000-0005-0000-0000-000026720000}"/>
    <cellStyle name="Normal 11 2 2 3 3 2 4 3 2 2" xfId="30135" xr:uid="{00000000-0005-0000-0000-000027720000}"/>
    <cellStyle name="Normal 11 2 2 3 3 2 4 3 3" xfId="30136" xr:uid="{00000000-0005-0000-0000-000028720000}"/>
    <cellStyle name="Normal 11 2 2 3 3 2 4 4" xfId="30137" xr:uid="{00000000-0005-0000-0000-000029720000}"/>
    <cellStyle name="Normal 11 2 2 3 3 2 4 4 2" xfId="30138" xr:uid="{00000000-0005-0000-0000-00002A720000}"/>
    <cellStyle name="Normal 11 2 2 3 3 2 4 5" xfId="30139" xr:uid="{00000000-0005-0000-0000-00002B720000}"/>
    <cellStyle name="Normal 11 2 2 3 3 2 5" xfId="30140" xr:uid="{00000000-0005-0000-0000-00002C720000}"/>
    <cellStyle name="Normal 11 2 2 3 3 2 5 2" xfId="30141" xr:uid="{00000000-0005-0000-0000-00002D720000}"/>
    <cellStyle name="Normal 11 2 2 3 3 2 5 2 2" xfId="30142" xr:uid="{00000000-0005-0000-0000-00002E720000}"/>
    <cellStyle name="Normal 11 2 2 3 3 2 5 2 2 2" xfId="30143" xr:uid="{00000000-0005-0000-0000-00002F720000}"/>
    <cellStyle name="Normal 11 2 2 3 3 2 5 2 3" xfId="30144" xr:uid="{00000000-0005-0000-0000-000030720000}"/>
    <cellStyle name="Normal 11 2 2 3 3 2 5 3" xfId="30145" xr:uid="{00000000-0005-0000-0000-000031720000}"/>
    <cellStyle name="Normal 11 2 2 3 3 2 5 3 2" xfId="30146" xr:uid="{00000000-0005-0000-0000-000032720000}"/>
    <cellStyle name="Normal 11 2 2 3 3 2 5 4" xfId="30147" xr:uid="{00000000-0005-0000-0000-000033720000}"/>
    <cellStyle name="Normal 11 2 2 3 3 2 6" xfId="30148" xr:uid="{00000000-0005-0000-0000-000034720000}"/>
    <cellStyle name="Normal 11 2 2 3 3 2 6 2" xfId="30149" xr:uid="{00000000-0005-0000-0000-000035720000}"/>
    <cellStyle name="Normal 11 2 2 3 3 2 6 2 2" xfId="30150" xr:uid="{00000000-0005-0000-0000-000036720000}"/>
    <cellStyle name="Normal 11 2 2 3 3 2 6 2 2 2" xfId="30151" xr:uid="{00000000-0005-0000-0000-000037720000}"/>
    <cellStyle name="Normal 11 2 2 3 3 2 6 2 3" xfId="30152" xr:uid="{00000000-0005-0000-0000-000038720000}"/>
    <cellStyle name="Normal 11 2 2 3 3 2 6 3" xfId="30153" xr:uid="{00000000-0005-0000-0000-000039720000}"/>
    <cellStyle name="Normal 11 2 2 3 3 2 6 3 2" xfId="30154" xr:uid="{00000000-0005-0000-0000-00003A720000}"/>
    <cellStyle name="Normal 11 2 2 3 3 2 6 4" xfId="30155" xr:uid="{00000000-0005-0000-0000-00003B720000}"/>
    <cellStyle name="Normal 11 2 2 3 3 2 7" xfId="30156" xr:uid="{00000000-0005-0000-0000-00003C720000}"/>
    <cellStyle name="Normal 11 2 2 3 3 2 7 2" xfId="30157" xr:uid="{00000000-0005-0000-0000-00003D720000}"/>
    <cellStyle name="Normal 11 2 2 3 3 2 7 2 2" xfId="30158" xr:uid="{00000000-0005-0000-0000-00003E720000}"/>
    <cellStyle name="Normal 11 2 2 3 3 2 7 2 2 2" xfId="30159" xr:uid="{00000000-0005-0000-0000-00003F720000}"/>
    <cellStyle name="Normal 11 2 2 3 3 2 7 2 3" xfId="30160" xr:uid="{00000000-0005-0000-0000-000040720000}"/>
    <cellStyle name="Normal 11 2 2 3 3 2 7 3" xfId="30161" xr:uid="{00000000-0005-0000-0000-000041720000}"/>
    <cellStyle name="Normal 11 2 2 3 3 2 7 3 2" xfId="30162" xr:uid="{00000000-0005-0000-0000-000042720000}"/>
    <cellStyle name="Normal 11 2 2 3 3 2 7 4" xfId="30163" xr:uid="{00000000-0005-0000-0000-000043720000}"/>
    <cellStyle name="Normal 11 2 2 3 3 2 8" xfId="30164" xr:uid="{00000000-0005-0000-0000-000044720000}"/>
    <cellStyle name="Normal 11 2 2 3 3 2 8 2" xfId="30165" xr:uid="{00000000-0005-0000-0000-000045720000}"/>
    <cellStyle name="Normal 11 2 2 3 3 2 8 2 2" xfId="30166" xr:uid="{00000000-0005-0000-0000-000046720000}"/>
    <cellStyle name="Normal 11 2 2 3 3 2 8 3" xfId="30167" xr:uid="{00000000-0005-0000-0000-000047720000}"/>
    <cellStyle name="Normal 11 2 2 3 3 2 9" xfId="30168" xr:uid="{00000000-0005-0000-0000-000048720000}"/>
    <cellStyle name="Normal 11 2 2 3 3 2 9 2" xfId="30169" xr:uid="{00000000-0005-0000-0000-000049720000}"/>
    <cellStyle name="Normal 11 2 2 3 3 3" xfId="1397" xr:uid="{00000000-0005-0000-0000-00004A720000}"/>
    <cellStyle name="Normal 11 2 2 3 3 3 2" xfId="30171" xr:uid="{00000000-0005-0000-0000-00004B720000}"/>
    <cellStyle name="Normal 11 2 2 3 3 3 2 2" xfId="30172" xr:uid="{00000000-0005-0000-0000-00004C720000}"/>
    <cellStyle name="Normal 11 2 2 3 3 3 2 2 2" xfId="30173" xr:uid="{00000000-0005-0000-0000-00004D720000}"/>
    <cellStyle name="Normal 11 2 2 3 3 3 2 2 2 2" xfId="30174" xr:uid="{00000000-0005-0000-0000-00004E720000}"/>
    <cellStyle name="Normal 11 2 2 3 3 3 2 2 3" xfId="30175" xr:uid="{00000000-0005-0000-0000-00004F720000}"/>
    <cellStyle name="Normal 11 2 2 3 3 3 2 3" xfId="30176" xr:uid="{00000000-0005-0000-0000-000050720000}"/>
    <cellStyle name="Normal 11 2 2 3 3 3 2 3 2" xfId="30177" xr:uid="{00000000-0005-0000-0000-000051720000}"/>
    <cellStyle name="Normal 11 2 2 3 3 3 2 4" xfId="30178" xr:uid="{00000000-0005-0000-0000-000052720000}"/>
    <cellStyle name="Normal 11 2 2 3 3 3 3" xfId="30179" xr:uid="{00000000-0005-0000-0000-000053720000}"/>
    <cellStyle name="Normal 11 2 2 3 3 3 3 2" xfId="30180" xr:uid="{00000000-0005-0000-0000-000054720000}"/>
    <cellStyle name="Normal 11 2 2 3 3 3 3 2 2" xfId="30181" xr:uid="{00000000-0005-0000-0000-000055720000}"/>
    <cellStyle name="Normal 11 2 2 3 3 3 3 2 2 2" xfId="30182" xr:uid="{00000000-0005-0000-0000-000056720000}"/>
    <cellStyle name="Normal 11 2 2 3 3 3 3 2 3" xfId="30183" xr:uid="{00000000-0005-0000-0000-000057720000}"/>
    <cellStyle name="Normal 11 2 2 3 3 3 3 3" xfId="30184" xr:uid="{00000000-0005-0000-0000-000058720000}"/>
    <cellStyle name="Normal 11 2 2 3 3 3 3 3 2" xfId="30185" xr:uid="{00000000-0005-0000-0000-000059720000}"/>
    <cellStyle name="Normal 11 2 2 3 3 3 3 4" xfId="30186" xr:uid="{00000000-0005-0000-0000-00005A720000}"/>
    <cellStyle name="Normal 11 2 2 3 3 3 4" xfId="30187" xr:uid="{00000000-0005-0000-0000-00005B720000}"/>
    <cellStyle name="Normal 11 2 2 3 3 3 4 2" xfId="30188" xr:uid="{00000000-0005-0000-0000-00005C720000}"/>
    <cellStyle name="Normal 11 2 2 3 3 3 4 2 2" xfId="30189" xr:uid="{00000000-0005-0000-0000-00005D720000}"/>
    <cellStyle name="Normal 11 2 2 3 3 3 4 3" xfId="30190" xr:uid="{00000000-0005-0000-0000-00005E720000}"/>
    <cellStyle name="Normal 11 2 2 3 3 3 5" xfId="30191" xr:uid="{00000000-0005-0000-0000-00005F720000}"/>
    <cellStyle name="Normal 11 2 2 3 3 3 5 2" xfId="30192" xr:uid="{00000000-0005-0000-0000-000060720000}"/>
    <cellStyle name="Normal 11 2 2 3 3 3 6" xfId="30193" xr:uid="{00000000-0005-0000-0000-000061720000}"/>
    <cellStyle name="Normal 11 2 2 3 3 3 7" xfId="30170" xr:uid="{00000000-0005-0000-0000-000062720000}"/>
    <cellStyle name="Normal 11 2 2 3 3 4" xfId="30194" xr:uid="{00000000-0005-0000-0000-000063720000}"/>
    <cellStyle name="Normal 11 2 2 3 3 4 2" xfId="30195" xr:uid="{00000000-0005-0000-0000-000064720000}"/>
    <cellStyle name="Normal 11 2 2 3 3 4 2 2" xfId="30196" xr:uid="{00000000-0005-0000-0000-000065720000}"/>
    <cellStyle name="Normal 11 2 2 3 3 4 2 2 2" xfId="30197" xr:uid="{00000000-0005-0000-0000-000066720000}"/>
    <cellStyle name="Normal 11 2 2 3 3 4 2 2 2 2" xfId="30198" xr:uid="{00000000-0005-0000-0000-000067720000}"/>
    <cellStyle name="Normal 11 2 2 3 3 4 2 2 3" xfId="30199" xr:uid="{00000000-0005-0000-0000-000068720000}"/>
    <cellStyle name="Normal 11 2 2 3 3 4 2 3" xfId="30200" xr:uid="{00000000-0005-0000-0000-000069720000}"/>
    <cellStyle name="Normal 11 2 2 3 3 4 2 3 2" xfId="30201" xr:uid="{00000000-0005-0000-0000-00006A720000}"/>
    <cellStyle name="Normal 11 2 2 3 3 4 2 4" xfId="30202" xr:uid="{00000000-0005-0000-0000-00006B720000}"/>
    <cellStyle name="Normal 11 2 2 3 3 4 3" xfId="30203" xr:uid="{00000000-0005-0000-0000-00006C720000}"/>
    <cellStyle name="Normal 11 2 2 3 3 4 3 2" xfId="30204" xr:uid="{00000000-0005-0000-0000-00006D720000}"/>
    <cellStyle name="Normal 11 2 2 3 3 4 3 2 2" xfId="30205" xr:uid="{00000000-0005-0000-0000-00006E720000}"/>
    <cellStyle name="Normal 11 2 2 3 3 4 3 3" xfId="30206" xr:uid="{00000000-0005-0000-0000-00006F720000}"/>
    <cellStyle name="Normal 11 2 2 3 3 4 4" xfId="30207" xr:uid="{00000000-0005-0000-0000-000070720000}"/>
    <cellStyle name="Normal 11 2 2 3 3 4 4 2" xfId="30208" xr:uid="{00000000-0005-0000-0000-000071720000}"/>
    <cellStyle name="Normal 11 2 2 3 3 4 5" xfId="30209" xr:uid="{00000000-0005-0000-0000-000072720000}"/>
    <cellStyle name="Normal 11 2 2 3 3 5" xfId="30210" xr:uid="{00000000-0005-0000-0000-000073720000}"/>
    <cellStyle name="Normal 11 2 2 3 3 5 2" xfId="30211" xr:uid="{00000000-0005-0000-0000-000074720000}"/>
    <cellStyle name="Normal 11 2 2 3 3 5 2 2" xfId="30212" xr:uid="{00000000-0005-0000-0000-000075720000}"/>
    <cellStyle name="Normal 11 2 2 3 3 5 2 2 2" xfId="30213" xr:uid="{00000000-0005-0000-0000-000076720000}"/>
    <cellStyle name="Normal 11 2 2 3 3 5 2 2 2 2" xfId="30214" xr:uid="{00000000-0005-0000-0000-000077720000}"/>
    <cellStyle name="Normal 11 2 2 3 3 5 2 2 3" xfId="30215" xr:uid="{00000000-0005-0000-0000-000078720000}"/>
    <cellStyle name="Normal 11 2 2 3 3 5 2 3" xfId="30216" xr:uid="{00000000-0005-0000-0000-000079720000}"/>
    <cellStyle name="Normal 11 2 2 3 3 5 2 3 2" xfId="30217" xr:uid="{00000000-0005-0000-0000-00007A720000}"/>
    <cellStyle name="Normal 11 2 2 3 3 5 2 4" xfId="30218" xr:uid="{00000000-0005-0000-0000-00007B720000}"/>
    <cellStyle name="Normal 11 2 2 3 3 5 3" xfId="30219" xr:uid="{00000000-0005-0000-0000-00007C720000}"/>
    <cellStyle name="Normal 11 2 2 3 3 5 3 2" xfId="30220" xr:uid="{00000000-0005-0000-0000-00007D720000}"/>
    <cellStyle name="Normal 11 2 2 3 3 5 3 2 2" xfId="30221" xr:uid="{00000000-0005-0000-0000-00007E720000}"/>
    <cellStyle name="Normal 11 2 2 3 3 5 3 3" xfId="30222" xr:uid="{00000000-0005-0000-0000-00007F720000}"/>
    <cellStyle name="Normal 11 2 2 3 3 5 4" xfId="30223" xr:uid="{00000000-0005-0000-0000-000080720000}"/>
    <cellStyle name="Normal 11 2 2 3 3 5 4 2" xfId="30224" xr:uid="{00000000-0005-0000-0000-000081720000}"/>
    <cellStyle name="Normal 11 2 2 3 3 5 5" xfId="30225" xr:uid="{00000000-0005-0000-0000-000082720000}"/>
    <cellStyle name="Normal 11 2 2 3 3 6" xfId="30226" xr:uid="{00000000-0005-0000-0000-000083720000}"/>
    <cellStyle name="Normal 11 2 2 3 3 6 2" xfId="30227" xr:uid="{00000000-0005-0000-0000-000084720000}"/>
    <cellStyle name="Normal 11 2 2 3 3 6 2 2" xfId="30228" xr:uid="{00000000-0005-0000-0000-000085720000}"/>
    <cellStyle name="Normal 11 2 2 3 3 6 2 2 2" xfId="30229" xr:uid="{00000000-0005-0000-0000-000086720000}"/>
    <cellStyle name="Normal 11 2 2 3 3 6 2 3" xfId="30230" xr:uid="{00000000-0005-0000-0000-000087720000}"/>
    <cellStyle name="Normal 11 2 2 3 3 6 3" xfId="30231" xr:uid="{00000000-0005-0000-0000-000088720000}"/>
    <cellStyle name="Normal 11 2 2 3 3 6 3 2" xfId="30232" xr:uid="{00000000-0005-0000-0000-000089720000}"/>
    <cellStyle name="Normal 11 2 2 3 3 6 4" xfId="30233" xr:uid="{00000000-0005-0000-0000-00008A720000}"/>
    <cellStyle name="Normal 11 2 2 3 3 7" xfId="30234" xr:uid="{00000000-0005-0000-0000-00008B720000}"/>
    <cellStyle name="Normal 11 2 2 3 3 7 2" xfId="30235" xr:uid="{00000000-0005-0000-0000-00008C720000}"/>
    <cellStyle name="Normal 11 2 2 3 3 7 2 2" xfId="30236" xr:uid="{00000000-0005-0000-0000-00008D720000}"/>
    <cellStyle name="Normal 11 2 2 3 3 7 2 2 2" xfId="30237" xr:uid="{00000000-0005-0000-0000-00008E720000}"/>
    <cellStyle name="Normal 11 2 2 3 3 7 2 3" xfId="30238" xr:uid="{00000000-0005-0000-0000-00008F720000}"/>
    <cellStyle name="Normal 11 2 2 3 3 7 3" xfId="30239" xr:uid="{00000000-0005-0000-0000-000090720000}"/>
    <cellStyle name="Normal 11 2 2 3 3 7 3 2" xfId="30240" xr:uid="{00000000-0005-0000-0000-000091720000}"/>
    <cellStyle name="Normal 11 2 2 3 3 7 4" xfId="30241" xr:uid="{00000000-0005-0000-0000-000092720000}"/>
    <cellStyle name="Normal 11 2 2 3 3 8" xfId="30242" xr:uid="{00000000-0005-0000-0000-000093720000}"/>
    <cellStyle name="Normal 11 2 2 3 3 8 2" xfId="30243" xr:uid="{00000000-0005-0000-0000-000094720000}"/>
    <cellStyle name="Normal 11 2 2 3 3 8 2 2" xfId="30244" xr:uid="{00000000-0005-0000-0000-000095720000}"/>
    <cellStyle name="Normal 11 2 2 3 3 8 2 2 2" xfId="30245" xr:uid="{00000000-0005-0000-0000-000096720000}"/>
    <cellStyle name="Normal 11 2 2 3 3 8 2 3" xfId="30246" xr:uid="{00000000-0005-0000-0000-000097720000}"/>
    <cellStyle name="Normal 11 2 2 3 3 8 3" xfId="30247" xr:uid="{00000000-0005-0000-0000-000098720000}"/>
    <cellStyle name="Normal 11 2 2 3 3 8 3 2" xfId="30248" xr:uid="{00000000-0005-0000-0000-000099720000}"/>
    <cellStyle name="Normal 11 2 2 3 3 8 4" xfId="30249" xr:uid="{00000000-0005-0000-0000-00009A720000}"/>
    <cellStyle name="Normal 11 2 2 3 3 9" xfId="30250" xr:uid="{00000000-0005-0000-0000-00009B720000}"/>
    <cellStyle name="Normal 11 2 2 3 3 9 2" xfId="30251" xr:uid="{00000000-0005-0000-0000-00009C720000}"/>
    <cellStyle name="Normal 11 2 2 3 3 9 2 2" xfId="30252" xr:uid="{00000000-0005-0000-0000-00009D720000}"/>
    <cellStyle name="Normal 11 2 2 3 3 9 3" xfId="30253" xr:uid="{00000000-0005-0000-0000-00009E720000}"/>
    <cellStyle name="Normal 11 2 2 3 4" xfId="554" xr:uid="{00000000-0005-0000-0000-00009F720000}"/>
    <cellStyle name="Normal 11 2 2 3 4 10" xfId="30255" xr:uid="{00000000-0005-0000-0000-0000A0720000}"/>
    <cellStyle name="Normal 11 2 2 3 4 10 2" xfId="30256" xr:uid="{00000000-0005-0000-0000-0000A1720000}"/>
    <cellStyle name="Normal 11 2 2 3 4 10 2 2" xfId="30257" xr:uid="{00000000-0005-0000-0000-0000A2720000}"/>
    <cellStyle name="Normal 11 2 2 3 4 10 3" xfId="30258" xr:uid="{00000000-0005-0000-0000-0000A3720000}"/>
    <cellStyle name="Normal 11 2 2 3 4 11" xfId="30259" xr:uid="{00000000-0005-0000-0000-0000A4720000}"/>
    <cellStyle name="Normal 11 2 2 3 4 11 2" xfId="30260" xr:uid="{00000000-0005-0000-0000-0000A5720000}"/>
    <cellStyle name="Normal 11 2 2 3 4 11 2 2" xfId="30261" xr:uid="{00000000-0005-0000-0000-0000A6720000}"/>
    <cellStyle name="Normal 11 2 2 3 4 11 3" xfId="30262" xr:uid="{00000000-0005-0000-0000-0000A7720000}"/>
    <cellStyle name="Normal 11 2 2 3 4 12" xfId="30263" xr:uid="{00000000-0005-0000-0000-0000A8720000}"/>
    <cellStyle name="Normal 11 2 2 3 4 12 2" xfId="30264" xr:uid="{00000000-0005-0000-0000-0000A9720000}"/>
    <cellStyle name="Normal 11 2 2 3 4 13" xfId="30265" xr:uid="{00000000-0005-0000-0000-0000AA720000}"/>
    <cellStyle name="Normal 11 2 2 3 4 14" xfId="30266" xr:uid="{00000000-0005-0000-0000-0000AB720000}"/>
    <cellStyle name="Normal 11 2 2 3 4 15" xfId="30254" xr:uid="{00000000-0005-0000-0000-0000AC720000}"/>
    <cellStyle name="Normal 11 2 2 3 4 2" xfId="996" xr:uid="{00000000-0005-0000-0000-0000AD720000}"/>
    <cellStyle name="Normal 11 2 2 3 4 2 10" xfId="30268" xr:uid="{00000000-0005-0000-0000-0000AE720000}"/>
    <cellStyle name="Normal 11 2 2 3 4 2 11" xfId="30267" xr:uid="{00000000-0005-0000-0000-0000AF720000}"/>
    <cellStyle name="Normal 11 2 2 3 4 2 2" xfId="1725" xr:uid="{00000000-0005-0000-0000-0000B0720000}"/>
    <cellStyle name="Normal 11 2 2 3 4 2 2 2" xfId="30270" xr:uid="{00000000-0005-0000-0000-0000B1720000}"/>
    <cellStyle name="Normal 11 2 2 3 4 2 2 2 2" xfId="30271" xr:uid="{00000000-0005-0000-0000-0000B2720000}"/>
    <cellStyle name="Normal 11 2 2 3 4 2 2 2 2 2" xfId="30272" xr:uid="{00000000-0005-0000-0000-0000B3720000}"/>
    <cellStyle name="Normal 11 2 2 3 4 2 2 2 2 2 2" xfId="30273" xr:uid="{00000000-0005-0000-0000-0000B4720000}"/>
    <cellStyle name="Normal 11 2 2 3 4 2 2 2 2 3" xfId="30274" xr:uid="{00000000-0005-0000-0000-0000B5720000}"/>
    <cellStyle name="Normal 11 2 2 3 4 2 2 2 3" xfId="30275" xr:uid="{00000000-0005-0000-0000-0000B6720000}"/>
    <cellStyle name="Normal 11 2 2 3 4 2 2 2 3 2" xfId="30276" xr:uid="{00000000-0005-0000-0000-0000B7720000}"/>
    <cellStyle name="Normal 11 2 2 3 4 2 2 2 4" xfId="30277" xr:uid="{00000000-0005-0000-0000-0000B8720000}"/>
    <cellStyle name="Normal 11 2 2 3 4 2 2 3" xfId="30278" xr:uid="{00000000-0005-0000-0000-0000B9720000}"/>
    <cellStyle name="Normal 11 2 2 3 4 2 2 3 2" xfId="30279" xr:uid="{00000000-0005-0000-0000-0000BA720000}"/>
    <cellStyle name="Normal 11 2 2 3 4 2 2 3 2 2" xfId="30280" xr:uid="{00000000-0005-0000-0000-0000BB720000}"/>
    <cellStyle name="Normal 11 2 2 3 4 2 2 3 2 2 2" xfId="30281" xr:uid="{00000000-0005-0000-0000-0000BC720000}"/>
    <cellStyle name="Normal 11 2 2 3 4 2 2 3 2 3" xfId="30282" xr:uid="{00000000-0005-0000-0000-0000BD720000}"/>
    <cellStyle name="Normal 11 2 2 3 4 2 2 3 3" xfId="30283" xr:uid="{00000000-0005-0000-0000-0000BE720000}"/>
    <cellStyle name="Normal 11 2 2 3 4 2 2 3 3 2" xfId="30284" xr:uid="{00000000-0005-0000-0000-0000BF720000}"/>
    <cellStyle name="Normal 11 2 2 3 4 2 2 3 4" xfId="30285" xr:uid="{00000000-0005-0000-0000-0000C0720000}"/>
    <cellStyle name="Normal 11 2 2 3 4 2 2 4" xfId="30286" xr:uid="{00000000-0005-0000-0000-0000C1720000}"/>
    <cellStyle name="Normal 11 2 2 3 4 2 2 4 2" xfId="30287" xr:uid="{00000000-0005-0000-0000-0000C2720000}"/>
    <cellStyle name="Normal 11 2 2 3 4 2 2 4 2 2" xfId="30288" xr:uid="{00000000-0005-0000-0000-0000C3720000}"/>
    <cellStyle name="Normal 11 2 2 3 4 2 2 4 3" xfId="30289" xr:uid="{00000000-0005-0000-0000-0000C4720000}"/>
    <cellStyle name="Normal 11 2 2 3 4 2 2 5" xfId="30290" xr:uid="{00000000-0005-0000-0000-0000C5720000}"/>
    <cellStyle name="Normal 11 2 2 3 4 2 2 5 2" xfId="30291" xr:uid="{00000000-0005-0000-0000-0000C6720000}"/>
    <cellStyle name="Normal 11 2 2 3 4 2 2 6" xfId="30292" xr:uid="{00000000-0005-0000-0000-0000C7720000}"/>
    <cellStyle name="Normal 11 2 2 3 4 2 2 7" xfId="30269" xr:uid="{00000000-0005-0000-0000-0000C8720000}"/>
    <cellStyle name="Normal 11 2 2 3 4 2 3" xfId="30293" xr:uid="{00000000-0005-0000-0000-0000C9720000}"/>
    <cellStyle name="Normal 11 2 2 3 4 2 3 2" xfId="30294" xr:uid="{00000000-0005-0000-0000-0000CA720000}"/>
    <cellStyle name="Normal 11 2 2 3 4 2 3 2 2" xfId="30295" xr:uid="{00000000-0005-0000-0000-0000CB720000}"/>
    <cellStyle name="Normal 11 2 2 3 4 2 3 2 2 2" xfId="30296" xr:uid="{00000000-0005-0000-0000-0000CC720000}"/>
    <cellStyle name="Normal 11 2 2 3 4 2 3 2 2 2 2" xfId="30297" xr:uid="{00000000-0005-0000-0000-0000CD720000}"/>
    <cellStyle name="Normal 11 2 2 3 4 2 3 2 2 3" xfId="30298" xr:uid="{00000000-0005-0000-0000-0000CE720000}"/>
    <cellStyle name="Normal 11 2 2 3 4 2 3 2 3" xfId="30299" xr:uid="{00000000-0005-0000-0000-0000CF720000}"/>
    <cellStyle name="Normal 11 2 2 3 4 2 3 2 3 2" xfId="30300" xr:uid="{00000000-0005-0000-0000-0000D0720000}"/>
    <cellStyle name="Normal 11 2 2 3 4 2 3 2 4" xfId="30301" xr:uid="{00000000-0005-0000-0000-0000D1720000}"/>
    <cellStyle name="Normal 11 2 2 3 4 2 3 3" xfId="30302" xr:uid="{00000000-0005-0000-0000-0000D2720000}"/>
    <cellStyle name="Normal 11 2 2 3 4 2 3 3 2" xfId="30303" xr:uid="{00000000-0005-0000-0000-0000D3720000}"/>
    <cellStyle name="Normal 11 2 2 3 4 2 3 3 2 2" xfId="30304" xr:uid="{00000000-0005-0000-0000-0000D4720000}"/>
    <cellStyle name="Normal 11 2 2 3 4 2 3 3 3" xfId="30305" xr:uid="{00000000-0005-0000-0000-0000D5720000}"/>
    <cellStyle name="Normal 11 2 2 3 4 2 3 4" xfId="30306" xr:uid="{00000000-0005-0000-0000-0000D6720000}"/>
    <cellStyle name="Normal 11 2 2 3 4 2 3 4 2" xfId="30307" xr:uid="{00000000-0005-0000-0000-0000D7720000}"/>
    <cellStyle name="Normal 11 2 2 3 4 2 3 5" xfId="30308" xr:uid="{00000000-0005-0000-0000-0000D8720000}"/>
    <cellStyle name="Normal 11 2 2 3 4 2 4" xfId="30309" xr:uid="{00000000-0005-0000-0000-0000D9720000}"/>
    <cellStyle name="Normal 11 2 2 3 4 2 4 2" xfId="30310" xr:uid="{00000000-0005-0000-0000-0000DA720000}"/>
    <cellStyle name="Normal 11 2 2 3 4 2 4 2 2" xfId="30311" xr:uid="{00000000-0005-0000-0000-0000DB720000}"/>
    <cellStyle name="Normal 11 2 2 3 4 2 4 2 2 2" xfId="30312" xr:uid="{00000000-0005-0000-0000-0000DC720000}"/>
    <cellStyle name="Normal 11 2 2 3 4 2 4 2 2 2 2" xfId="30313" xr:uid="{00000000-0005-0000-0000-0000DD720000}"/>
    <cellStyle name="Normal 11 2 2 3 4 2 4 2 2 3" xfId="30314" xr:uid="{00000000-0005-0000-0000-0000DE720000}"/>
    <cellStyle name="Normal 11 2 2 3 4 2 4 2 3" xfId="30315" xr:uid="{00000000-0005-0000-0000-0000DF720000}"/>
    <cellStyle name="Normal 11 2 2 3 4 2 4 2 3 2" xfId="30316" xr:uid="{00000000-0005-0000-0000-0000E0720000}"/>
    <cellStyle name="Normal 11 2 2 3 4 2 4 2 4" xfId="30317" xr:uid="{00000000-0005-0000-0000-0000E1720000}"/>
    <cellStyle name="Normal 11 2 2 3 4 2 4 3" xfId="30318" xr:uid="{00000000-0005-0000-0000-0000E2720000}"/>
    <cellStyle name="Normal 11 2 2 3 4 2 4 3 2" xfId="30319" xr:uid="{00000000-0005-0000-0000-0000E3720000}"/>
    <cellStyle name="Normal 11 2 2 3 4 2 4 3 2 2" xfId="30320" xr:uid="{00000000-0005-0000-0000-0000E4720000}"/>
    <cellStyle name="Normal 11 2 2 3 4 2 4 3 3" xfId="30321" xr:uid="{00000000-0005-0000-0000-0000E5720000}"/>
    <cellStyle name="Normal 11 2 2 3 4 2 4 4" xfId="30322" xr:uid="{00000000-0005-0000-0000-0000E6720000}"/>
    <cellStyle name="Normal 11 2 2 3 4 2 4 4 2" xfId="30323" xr:uid="{00000000-0005-0000-0000-0000E7720000}"/>
    <cellStyle name="Normal 11 2 2 3 4 2 4 5" xfId="30324" xr:uid="{00000000-0005-0000-0000-0000E8720000}"/>
    <cellStyle name="Normal 11 2 2 3 4 2 5" xfId="30325" xr:uid="{00000000-0005-0000-0000-0000E9720000}"/>
    <cellStyle name="Normal 11 2 2 3 4 2 5 2" xfId="30326" xr:uid="{00000000-0005-0000-0000-0000EA720000}"/>
    <cellStyle name="Normal 11 2 2 3 4 2 5 2 2" xfId="30327" xr:uid="{00000000-0005-0000-0000-0000EB720000}"/>
    <cellStyle name="Normal 11 2 2 3 4 2 5 2 2 2" xfId="30328" xr:uid="{00000000-0005-0000-0000-0000EC720000}"/>
    <cellStyle name="Normal 11 2 2 3 4 2 5 2 3" xfId="30329" xr:uid="{00000000-0005-0000-0000-0000ED720000}"/>
    <cellStyle name="Normal 11 2 2 3 4 2 5 3" xfId="30330" xr:uid="{00000000-0005-0000-0000-0000EE720000}"/>
    <cellStyle name="Normal 11 2 2 3 4 2 5 3 2" xfId="30331" xr:uid="{00000000-0005-0000-0000-0000EF720000}"/>
    <cellStyle name="Normal 11 2 2 3 4 2 5 4" xfId="30332" xr:uid="{00000000-0005-0000-0000-0000F0720000}"/>
    <cellStyle name="Normal 11 2 2 3 4 2 6" xfId="30333" xr:uid="{00000000-0005-0000-0000-0000F1720000}"/>
    <cellStyle name="Normal 11 2 2 3 4 2 6 2" xfId="30334" xr:uid="{00000000-0005-0000-0000-0000F2720000}"/>
    <cellStyle name="Normal 11 2 2 3 4 2 6 2 2" xfId="30335" xr:uid="{00000000-0005-0000-0000-0000F3720000}"/>
    <cellStyle name="Normal 11 2 2 3 4 2 6 2 2 2" xfId="30336" xr:uid="{00000000-0005-0000-0000-0000F4720000}"/>
    <cellStyle name="Normal 11 2 2 3 4 2 6 2 3" xfId="30337" xr:uid="{00000000-0005-0000-0000-0000F5720000}"/>
    <cellStyle name="Normal 11 2 2 3 4 2 6 3" xfId="30338" xr:uid="{00000000-0005-0000-0000-0000F6720000}"/>
    <cellStyle name="Normal 11 2 2 3 4 2 6 3 2" xfId="30339" xr:uid="{00000000-0005-0000-0000-0000F7720000}"/>
    <cellStyle name="Normal 11 2 2 3 4 2 6 4" xfId="30340" xr:uid="{00000000-0005-0000-0000-0000F8720000}"/>
    <cellStyle name="Normal 11 2 2 3 4 2 7" xfId="30341" xr:uid="{00000000-0005-0000-0000-0000F9720000}"/>
    <cellStyle name="Normal 11 2 2 3 4 2 7 2" xfId="30342" xr:uid="{00000000-0005-0000-0000-0000FA720000}"/>
    <cellStyle name="Normal 11 2 2 3 4 2 7 2 2" xfId="30343" xr:uid="{00000000-0005-0000-0000-0000FB720000}"/>
    <cellStyle name="Normal 11 2 2 3 4 2 7 2 2 2" xfId="30344" xr:uid="{00000000-0005-0000-0000-0000FC720000}"/>
    <cellStyle name="Normal 11 2 2 3 4 2 7 2 3" xfId="30345" xr:uid="{00000000-0005-0000-0000-0000FD720000}"/>
    <cellStyle name="Normal 11 2 2 3 4 2 7 3" xfId="30346" xr:uid="{00000000-0005-0000-0000-0000FE720000}"/>
    <cellStyle name="Normal 11 2 2 3 4 2 7 3 2" xfId="30347" xr:uid="{00000000-0005-0000-0000-0000FF720000}"/>
    <cellStyle name="Normal 11 2 2 3 4 2 7 4" xfId="30348" xr:uid="{00000000-0005-0000-0000-000000730000}"/>
    <cellStyle name="Normal 11 2 2 3 4 2 8" xfId="30349" xr:uid="{00000000-0005-0000-0000-000001730000}"/>
    <cellStyle name="Normal 11 2 2 3 4 2 8 2" xfId="30350" xr:uid="{00000000-0005-0000-0000-000002730000}"/>
    <cellStyle name="Normal 11 2 2 3 4 2 8 2 2" xfId="30351" xr:uid="{00000000-0005-0000-0000-000003730000}"/>
    <cellStyle name="Normal 11 2 2 3 4 2 8 3" xfId="30352" xr:uid="{00000000-0005-0000-0000-000004730000}"/>
    <cellStyle name="Normal 11 2 2 3 4 2 9" xfId="30353" xr:uid="{00000000-0005-0000-0000-000005730000}"/>
    <cellStyle name="Normal 11 2 2 3 4 2 9 2" xfId="30354" xr:uid="{00000000-0005-0000-0000-000006730000}"/>
    <cellStyle name="Normal 11 2 2 3 4 3" xfId="1398" xr:uid="{00000000-0005-0000-0000-000007730000}"/>
    <cellStyle name="Normal 11 2 2 3 4 3 2" xfId="30356" xr:uid="{00000000-0005-0000-0000-000008730000}"/>
    <cellStyle name="Normal 11 2 2 3 4 3 2 2" xfId="30357" xr:uid="{00000000-0005-0000-0000-000009730000}"/>
    <cellStyle name="Normal 11 2 2 3 4 3 2 2 2" xfId="30358" xr:uid="{00000000-0005-0000-0000-00000A730000}"/>
    <cellStyle name="Normal 11 2 2 3 4 3 2 2 2 2" xfId="30359" xr:uid="{00000000-0005-0000-0000-00000B730000}"/>
    <cellStyle name="Normal 11 2 2 3 4 3 2 2 3" xfId="30360" xr:uid="{00000000-0005-0000-0000-00000C730000}"/>
    <cellStyle name="Normal 11 2 2 3 4 3 2 3" xfId="30361" xr:uid="{00000000-0005-0000-0000-00000D730000}"/>
    <cellStyle name="Normal 11 2 2 3 4 3 2 3 2" xfId="30362" xr:uid="{00000000-0005-0000-0000-00000E730000}"/>
    <cellStyle name="Normal 11 2 2 3 4 3 2 4" xfId="30363" xr:uid="{00000000-0005-0000-0000-00000F730000}"/>
    <cellStyle name="Normal 11 2 2 3 4 3 3" xfId="30364" xr:uid="{00000000-0005-0000-0000-000010730000}"/>
    <cellStyle name="Normal 11 2 2 3 4 3 3 2" xfId="30365" xr:uid="{00000000-0005-0000-0000-000011730000}"/>
    <cellStyle name="Normal 11 2 2 3 4 3 3 2 2" xfId="30366" xr:uid="{00000000-0005-0000-0000-000012730000}"/>
    <cellStyle name="Normal 11 2 2 3 4 3 3 2 2 2" xfId="30367" xr:uid="{00000000-0005-0000-0000-000013730000}"/>
    <cellStyle name="Normal 11 2 2 3 4 3 3 2 3" xfId="30368" xr:uid="{00000000-0005-0000-0000-000014730000}"/>
    <cellStyle name="Normal 11 2 2 3 4 3 3 3" xfId="30369" xr:uid="{00000000-0005-0000-0000-000015730000}"/>
    <cellStyle name="Normal 11 2 2 3 4 3 3 3 2" xfId="30370" xr:uid="{00000000-0005-0000-0000-000016730000}"/>
    <cellStyle name="Normal 11 2 2 3 4 3 3 4" xfId="30371" xr:uid="{00000000-0005-0000-0000-000017730000}"/>
    <cellStyle name="Normal 11 2 2 3 4 3 4" xfId="30372" xr:uid="{00000000-0005-0000-0000-000018730000}"/>
    <cellStyle name="Normal 11 2 2 3 4 3 4 2" xfId="30373" xr:uid="{00000000-0005-0000-0000-000019730000}"/>
    <cellStyle name="Normal 11 2 2 3 4 3 4 2 2" xfId="30374" xr:uid="{00000000-0005-0000-0000-00001A730000}"/>
    <cellStyle name="Normal 11 2 2 3 4 3 4 3" xfId="30375" xr:uid="{00000000-0005-0000-0000-00001B730000}"/>
    <cellStyle name="Normal 11 2 2 3 4 3 5" xfId="30376" xr:uid="{00000000-0005-0000-0000-00001C730000}"/>
    <cellStyle name="Normal 11 2 2 3 4 3 5 2" xfId="30377" xr:uid="{00000000-0005-0000-0000-00001D730000}"/>
    <cellStyle name="Normal 11 2 2 3 4 3 6" xfId="30378" xr:uid="{00000000-0005-0000-0000-00001E730000}"/>
    <cellStyle name="Normal 11 2 2 3 4 3 7" xfId="30355" xr:uid="{00000000-0005-0000-0000-00001F730000}"/>
    <cellStyle name="Normal 11 2 2 3 4 4" xfId="30379" xr:uid="{00000000-0005-0000-0000-000020730000}"/>
    <cellStyle name="Normal 11 2 2 3 4 4 2" xfId="30380" xr:uid="{00000000-0005-0000-0000-000021730000}"/>
    <cellStyle name="Normal 11 2 2 3 4 4 2 2" xfId="30381" xr:uid="{00000000-0005-0000-0000-000022730000}"/>
    <cellStyle name="Normal 11 2 2 3 4 4 2 2 2" xfId="30382" xr:uid="{00000000-0005-0000-0000-000023730000}"/>
    <cellStyle name="Normal 11 2 2 3 4 4 2 2 2 2" xfId="30383" xr:uid="{00000000-0005-0000-0000-000024730000}"/>
    <cellStyle name="Normal 11 2 2 3 4 4 2 2 3" xfId="30384" xr:uid="{00000000-0005-0000-0000-000025730000}"/>
    <cellStyle name="Normal 11 2 2 3 4 4 2 3" xfId="30385" xr:uid="{00000000-0005-0000-0000-000026730000}"/>
    <cellStyle name="Normal 11 2 2 3 4 4 2 3 2" xfId="30386" xr:uid="{00000000-0005-0000-0000-000027730000}"/>
    <cellStyle name="Normal 11 2 2 3 4 4 2 4" xfId="30387" xr:uid="{00000000-0005-0000-0000-000028730000}"/>
    <cellStyle name="Normal 11 2 2 3 4 4 3" xfId="30388" xr:uid="{00000000-0005-0000-0000-000029730000}"/>
    <cellStyle name="Normal 11 2 2 3 4 4 3 2" xfId="30389" xr:uid="{00000000-0005-0000-0000-00002A730000}"/>
    <cellStyle name="Normal 11 2 2 3 4 4 3 2 2" xfId="30390" xr:uid="{00000000-0005-0000-0000-00002B730000}"/>
    <cellStyle name="Normal 11 2 2 3 4 4 3 3" xfId="30391" xr:uid="{00000000-0005-0000-0000-00002C730000}"/>
    <cellStyle name="Normal 11 2 2 3 4 4 4" xfId="30392" xr:uid="{00000000-0005-0000-0000-00002D730000}"/>
    <cellStyle name="Normal 11 2 2 3 4 4 4 2" xfId="30393" xr:uid="{00000000-0005-0000-0000-00002E730000}"/>
    <cellStyle name="Normal 11 2 2 3 4 4 5" xfId="30394" xr:uid="{00000000-0005-0000-0000-00002F730000}"/>
    <cellStyle name="Normal 11 2 2 3 4 5" xfId="30395" xr:uid="{00000000-0005-0000-0000-000030730000}"/>
    <cellStyle name="Normal 11 2 2 3 4 5 2" xfId="30396" xr:uid="{00000000-0005-0000-0000-000031730000}"/>
    <cellStyle name="Normal 11 2 2 3 4 5 2 2" xfId="30397" xr:uid="{00000000-0005-0000-0000-000032730000}"/>
    <cellStyle name="Normal 11 2 2 3 4 5 2 2 2" xfId="30398" xr:uid="{00000000-0005-0000-0000-000033730000}"/>
    <cellStyle name="Normal 11 2 2 3 4 5 2 2 2 2" xfId="30399" xr:uid="{00000000-0005-0000-0000-000034730000}"/>
    <cellStyle name="Normal 11 2 2 3 4 5 2 2 3" xfId="30400" xr:uid="{00000000-0005-0000-0000-000035730000}"/>
    <cellStyle name="Normal 11 2 2 3 4 5 2 3" xfId="30401" xr:uid="{00000000-0005-0000-0000-000036730000}"/>
    <cellStyle name="Normal 11 2 2 3 4 5 2 3 2" xfId="30402" xr:uid="{00000000-0005-0000-0000-000037730000}"/>
    <cellStyle name="Normal 11 2 2 3 4 5 2 4" xfId="30403" xr:uid="{00000000-0005-0000-0000-000038730000}"/>
    <cellStyle name="Normal 11 2 2 3 4 5 3" xfId="30404" xr:uid="{00000000-0005-0000-0000-000039730000}"/>
    <cellStyle name="Normal 11 2 2 3 4 5 3 2" xfId="30405" xr:uid="{00000000-0005-0000-0000-00003A730000}"/>
    <cellStyle name="Normal 11 2 2 3 4 5 3 2 2" xfId="30406" xr:uid="{00000000-0005-0000-0000-00003B730000}"/>
    <cellStyle name="Normal 11 2 2 3 4 5 3 3" xfId="30407" xr:uid="{00000000-0005-0000-0000-00003C730000}"/>
    <cellStyle name="Normal 11 2 2 3 4 5 4" xfId="30408" xr:uid="{00000000-0005-0000-0000-00003D730000}"/>
    <cellStyle name="Normal 11 2 2 3 4 5 4 2" xfId="30409" xr:uid="{00000000-0005-0000-0000-00003E730000}"/>
    <cellStyle name="Normal 11 2 2 3 4 5 5" xfId="30410" xr:uid="{00000000-0005-0000-0000-00003F730000}"/>
    <cellStyle name="Normal 11 2 2 3 4 6" xfId="30411" xr:uid="{00000000-0005-0000-0000-000040730000}"/>
    <cellStyle name="Normal 11 2 2 3 4 6 2" xfId="30412" xr:uid="{00000000-0005-0000-0000-000041730000}"/>
    <cellStyle name="Normal 11 2 2 3 4 6 2 2" xfId="30413" xr:uid="{00000000-0005-0000-0000-000042730000}"/>
    <cellStyle name="Normal 11 2 2 3 4 6 2 2 2" xfId="30414" xr:uid="{00000000-0005-0000-0000-000043730000}"/>
    <cellStyle name="Normal 11 2 2 3 4 6 2 3" xfId="30415" xr:uid="{00000000-0005-0000-0000-000044730000}"/>
    <cellStyle name="Normal 11 2 2 3 4 6 3" xfId="30416" xr:uid="{00000000-0005-0000-0000-000045730000}"/>
    <cellStyle name="Normal 11 2 2 3 4 6 3 2" xfId="30417" xr:uid="{00000000-0005-0000-0000-000046730000}"/>
    <cellStyle name="Normal 11 2 2 3 4 6 4" xfId="30418" xr:uid="{00000000-0005-0000-0000-000047730000}"/>
    <cellStyle name="Normal 11 2 2 3 4 7" xfId="30419" xr:uid="{00000000-0005-0000-0000-000048730000}"/>
    <cellStyle name="Normal 11 2 2 3 4 7 2" xfId="30420" xr:uid="{00000000-0005-0000-0000-000049730000}"/>
    <cellStyle name="Normal 11 2 2 3 4 7 2 2" xfId="30421" xr:uid="{00000000-0005-0000-0000-00004A730000}"/>
    <cellStyle name="Normal 11 2 2 3 4 7 2 2 2" xfId="30422" xr:uid="{00000000-0005-0000-0000-00004B730000}"/>
    <cellStyle name="Normal 11 2 2 3 4 7 2 3" xfId="30423" xr:uid="{00000000-0005-0000-0000-00004C730000}"/>
    <cellStyle name="Normal 11 2 2 3 4 7 3" xfId="30424" xr:uid="{00000000-0005-0000-0000-00004D730000}"/>
    <cellStyle name="Normal 11 2 2 3 4 7 3 2" xfId="30425" xr:uid="{00000000-0005-0000-0000-00004E730000}"/>
    <cellStyle name="Normal 11 2 2 3 4 7 4" xfId="30426" xr:uid="{00000000-0005-0000-0000-00004F730000}"/>
    <cellStyle name="Normal 11 2 2 3 4 8" xfId="30427" xr:uid="{00000000-0005-0000-0000-000050730000}"/>
    <cellStyle name="Normal 11 2 2 3 4 8 2" xfId="30428" xr:uid="{00000000-0005-0000-0000-000051730000}"/>
    <cellStyle name="Normal 11 2 2 3 4 8 2 2" xfId="30429" xr:uid="{00000000-0005-0000-0000-000052730000}"/>
    <cellStyle name="Normal 11 2 2 3 4 8 2 2 2" xfId="30430" xr:uid="{00000000-0005-0000-0000-000053730000}"/>
    <cellStyle name="Normal 11 2 2 3 4 8 2 3" xfId="30431" xr:uid="{00000000-0005-0000-0000-000054730000}"/>
    <cellStyle name="Normal 11 2 2 3 4 8 3" xfId="30432" xr:uid="{00000000-0005-0000-0000-000055730000}"/>
    <cellStyle name="Normal 11 2 2 3 4 8 3 2" xfId="30433" xr:uid="{00000000-0005-0000-0000-000056730000}"/>
    <cellStyle name="Normal 11 2 2 3 4 8 4" xfId="30434" xr:uid="{00000000-0005-0000-0000-000057730000}"/>
    <cellStyle name="Normal 11 2 2 3 4 9" xfId="30435" xr:uid="{00000000-0005-0000-0000-000058730000}"/>
    <cellStyle name="Normal 11 2 2 3 4 9 2" xfId="30436" xr:uid="{00000000-0005-0000-0000-000059730000}"/>
    <cellStyle name="Normal 11 2 2 3 4 9 2 2" xfId="30437" xr:uid="{00000000-0005-0000-0000-00005A730000}"/>
    <cellStyle name="Normal 11 2 2 3 4 9 3" xfId="30438" xr:uid="{00000000-0005-0000-0000-00005B730000}"/>
    <cellStyle name="Normal 11 2 2 3 5" xfId="991" xr:uid="{00000000-0005-0000-0000-00005C730000}"/>
    <cellStyle name="Normal 11 2 2 3 5 10" xfId="30440" xr:uid="{00000000-0005-0000-0000-00005D730000}"/>
    <cellStyle name="Normal 11 2 2 3 5 11" xfId="30439" xr:uid="{00000000-0005-0000-0000-00005E730000}"/>
    <cellStyle name="Normal 11 2 2 3 5 2" xfId="1720" xr:uid="{00000000-0005-0000-0000-00005F730000}"/>
    <cellStyle name="Normal 11 2 2 3 5 2 2" xfId="30442" xr:uid="{00000000-0005-0000-0000-000060730000}"/>
    <cellStyle name="Normal 11 2 2 3 5 2 2 2" xfId="30443" xr:uid="{00000000-0005-0000-0000-000061730000}"/>
    <cellStyle name="Normal 11 2 2 3 5 2 2 2 2" xfId="30444" xr:uid="{00000000-0005-0000-0000-000062730000}"/>
    <cellStyle name="Normal 11 2 2 3 5 2 2 2 2 2" xfId="30445" xr:uid="{00000000-0005-0000-0000-000063730000}"/>
    <cellStyle name="Normal 11 2 2 3 5 2 2 2 3" xfId="30446" xr:uid="{00000000-0005-0000-0000-000064730000}"/>
    <cellStyle name="Normal 11 2 2 3 5 2 2 3" xfId="30447" xr:uid="{00000000-0005-0000-0000-000065730000}"/>
    <cellStyle name="Normal 11 2 2 3 5 2 2 3 2" xfId="30448" xr:uid="{00000000-0005-0000-0000-000066730000}"/>
    <cellStyle name="Normal 11 2 2 3 5 2 2 4" xfId="30449" xr:uid="{00000000-0005-0000-0000-000067730000}"/>
    <cellStyle name="Normal 11 2 2 3 5 2 3" xfId="30450" xr:uid="{00000000-0005-0000-0000-000068730000}"/>
    <cellStyle name="Normal 11 2 2 3 5 2 3 2" xfId="30451" xr:uid="{00000000-0005-0000-0000-000069730000}"/>
    <cellStyle name="Normal 11 2 2 3 5 2 3 2 2" xfId="30452" xr:uid="{00000000-0005-0000-0000-00006A730000}"/>
    <cellStyle name="Normal 11 2 2 3 5 2 3 2 2 2" xfId="30453" xr:uid="{00000000-0005-0000-0000-00006B730000}"/>
    <cellStyle name="Normal 11 2 2 3 5 2 3 2 3" xfId="30454" xr:uid="{00000000-0005-0000-0000-00006C730000}"/>
    <cellStyle name="Normal 11 2 2 3 5 2 3 3" xfId="30455" xr:uid="{00000000-0005-0000-0000-00006D730000}"/>
    <cellStyle name="Normal 11 2 2 3 5 2 3 3 2" xfId="30456" xr:uid="{00000000-0005-0000-0000-00006E730000}"/>
    <cellStyle name="Normal 11 2 2 3 5 2 3 4" xfId="30457" xr:uid="{00000000-0005-0000-0000-00006F730000}"/>
    <cellStyle name="Normal 11 2 2 3 5 2 4" xfId="30458" xr:uid="{00000000-0005-0000-0000-000070730000}"/>
    <cellStyle name="Normal 11 2 2 3 5 2 4 2" xfId="30459" xr:uid="{00000000-0005-0000-0000-000071730000}"/>
    <cellStyle name="Normal 11 2 2 3 5 2 4 2 2" xfId="30460" xr:uid="{00000000-0005-0000-0000-000072730000}"/>
    <cellStyle name="Normal 11 2 2 3 5 2 4 3" xfId="30461" xr:uid="{00000000-0005-0000-0000-000073730000}"/>
    <cellStyle name="Normal 11 2 2 3 5 2 5" xfId="30462" xr:uid="{00000000-0005-0000-0000-000074730000}"/>
    <cellStyle name="Normal 11 2 2 3 5 2 5 2" xfId="30463" xr:uid="{00000000-0005-0000-0000-000075730000}"/>
    <cellStyle name="Normal 11 2 2 3 5 2 6" xfId="30464" xr:uid="{00000000-0005-0000-0000-000076730000}"/>
    <cellStyle name="Normal 11 2 2 3 5 2 7" xfId="30441" xr:uid="{00000000-0005-0000-0000-000077730000}"/>
    <cellStyle name="Normal 11 2 2 3 5 3" xfId="30465" xr:uid="{00000000-0005-0000-0000-000078730000}"/>
    <cellStyle name="Normal 11 2 2 3 5 3 2" xfId="30466" xr:uid="{00000000-0005-0000-0000-000079730000}"/>
    <cellStyle name="Normal 11 2 2 3 5 3 2 2" xfId="30467" xr:uid="{00000000-0005-0000-0000-00007A730000}"/>
    <cellStyle name="Normal 11 2 2 3 5 3 2 2 2" xfId="30468" xr:uid="{00000000-0005-0000-0000-00007B730000}"/>
    <cellStyle name="Normal 11 2 2 3 5 3 2 2 2 2" xfId="30469" xr:uid="{00000000-0005-0000-0000-00007C730000}"/>
    <cellStyle name="Normal 11 2 2 3 5 3 2 2 3" xfId="30470" xr:uid="{00000000-0005-0000-0000-00007D730000}"/>
    <cellStyle name="Normal 11 2 2 3 5 3 2 3" xfId="30471" xr:uid="{00000000-0005-0000-0000-00007E730000}"/>
    <cellStyle name="Normal 11 2 2 3 5 3 2 3 2" xfId="30472" xr:uid="{00000000-0005-0000-0000-00007F730000}"/>
    <cellStyle name="Normal 11 2 2 3 5 3 2 4" xfId="30473" xr:uid="{00000000-0005-0000-0000-000080730000}"/>
    <cellStyle name="Normal 11 2 2 3 5 3 3" xfId="30474" xr:uid="{00000000-0005-0000-0000-000081730000}"/>
    <cellStyle name="Normal 11 2 2 3 5 3 3 2" xfId="30475" xr:uid="{00000000-0005-0000-0000-000082730000}"/>
    <cellStyle name="Normal 11 2 2 3 5 3 3 2 2" xfId="30476" xr:uid="{00000000-0005-0000-0000-000083730000}"/>
    <cellStyle name="Normal 11 2 2 3 5 3 3 3" xfId="30477" xr:uid="{00000000-0005-0000-0000-000084730000}"/>
    <cellStyle name="Normal 11 2 2 3 5 3 4" xfId="30478" xr:uid="{00000000-0005-0000-0000-000085730000}"/>
    <cellStyle name="Normal 11 2 2 3 5 3 4 2" xfId="30479" xr:uid="{00000000-0005-0000-0000-000086730000}"/>
    <cellStyle name="Normal 11 2 2 3 5 3 5" xfId="30480" xr:uid="{00000000-0005-0000-0000-000087730000}"/>
    <cellStyle name="Normal 11 2 2 3 5 4" xfId="30481" xr:uid="{00000000-0005-0000-0000-000088730000}"/>
    <cellStyle name="Normal 11 2 2 3 5 4 2" xfId="30482" xr:uid="{00000000-0005-0000-0000-000089730000}"/>
    <cellStyle name="Normal 11 2 2 3 5 4 2 2" xfId="30483" xr:uid="{00000000-0005-0000-0000-00008A730000}"/>
    <cellStyle name="Normal 11 2 2 3 5 4 2 2 2" xfId="30484" xr:uid="{00000000-0005-0000-0000-00008B730000}"/>
    <cellStyle name="Normal 11 2 2 3 5 4 2 2 2 2" xfId="30485" xr:uid="{00000000-0005-0000-0000-00008C730000}"/>
    <cellStyle name="Normal 11 2 2 3 5 4 2 2 3" xfId="30486" xr:uid="{00000000-0005-0000-0000-00008D730000}"/>
    <cellStyle name="Normal 11 2 2 3 5 4 2 3" xfId="30487" xr:uid="{00000000-0005-0000-0000-00008E730000}"/>
    <cellStyle name="Normal 11 2 2 3 5 4 2 3 2" xfId="30488" xr:uid="{00000000-0005-0000-0000-00008F730000}"/>
    <cellStyle name="Normal 11 2 2 3 5 4 2 4" xfId="30489" xr:uid="{00000000-0005-0000-0000-000090730000}"/>
    <cellStyle name="Normal 11 2 2 3 5 4 3" xfId="30490" xr:uid="{00000000-0005-0000-0000-000091730000}"/>
    <cellStyle name="Normal 11 2 2 3 5 4 3 2" xfId="30491" xr:uid="{00000000-0005-0000-0000-000092730000}"/>
    <cellStyle name="Normal 11 2 2 3 5 4 3 2 2" xfId="30492" xr:uid="{00000000-0005-0000-0000-000093730000}"/>
    <cellStyle name="Normal 11 2 2 3 5 4 3 3" xfId="30493" xr:uid="{00000000-0005-0000-0000-000094730000}"/>
    <cellStyle name="Normal 11 2 2 3 5 4 4" xfId="30494" xr:uid="{00000000-0005-0000-0000-000095730000}"/>
    <cellStyle name="Normal 11 2 2 3 5 4 4 2" xfId="30495" xr:uid="{00000000-0005-0000-0000-000096730000}"/>
    <cellStyle name="Normal 11 2 2 3 5 4 5" xfId="30496" xr:uid="{00000000-0005-0000-0000-000097730000}"/>
    <cellStyle name="Normal 11 2 2 3 5 5" xfId="30497" xr:uid="{00000000-0005-0000-0000-000098730000}"/>
    <cellStyle name="Normal 11 2 2 3 5 5 2" xfId="30498" xr:uid="{00000000-0005-0000-0000-000099730000}"/>
    <cellStyle name="Normal 11 2 2 3 5 5 2 2" xfId="30499" xr:uid="{00000000-0005-0000-0000-00009A730000}"/>
    <cellStyle name="Normal 11 2 2 3 5 5 2 2 2" xfId="30500" xr:uid="{00000000-0005-0000-0000-00009B730000}"/>
    <cellStyle name="Normal 11 2 2 3 5 5 2 3" xfId="30501" xr:uid="{00000000-0005-0000-0000-00009C730000}"/>
    <cellStyle name="Normal 11 2 2 3 5 5 3" xfId="30502" xr:uid="{00000000-0005-0000-0000-00009D730000}"/>
    <cellStyle name="Normal 11 2 2 3 5 5 3 2" xfId="30503" xr:uid="{00000000-0005-0000-0000-00009E730000}"/>
    <cellStyle name="Normal 11 2 2 3 5 5 4" xfId="30504" xr:uid="{00000000-0005-0000-0000-00009F730000}"/>
    <cellStyle name="Normal 11 2 2 3 5 6" xfId="30505" xr:uid="{00000000-0005-0000-0000-0000A0730000}"/>
    <cellStyle name="Normal 11 2 2 3 5 6 2" xfId="30506" xr:uid="{00000000-0005-0000-0000-0000A1730000}"/>
    <cellStyle name="Normal 11 2 2 3 5 6 2 2" xfId="30507" xr:uid="{00000000-0005-0000-0000-0000A2730000}"/>
    <cellStyle name="Normal 11 2 2 3 5 6 2 2 2" xfId="30508" xr:uid="{00000000-0005-0000-0000-0000A3730000}"/>
    <cellStyle name="Normal 11 2 2 3 5 6 2 3" xfId="30509" xr:uid="{00000000-0005-0000-0000-0000A4730000}"/>
    <cellStyle name="Normal 11 2 2 3 5 6 3" xfId="30510" xr:uid="{00000000-0005-0000-0000-0000A5730000}"/>
    <cellStyle name="Normal 11 2 2 3 5 6 3 2" xfId="30511" xr:uid="{00000000-0005-0000-0000-0000A6730000}"/>
    <cellStyle name="Normal 11 2 2 3 5 6 4" xfId="30512" xr:uid="{00000000-0005-0000-0000-0000A7730000}"/>
    <cellStyle name="Normal 11 2 2 3 5 7" xfId="30513" xr:uid="{00000000-0005-0000-0000-0000A8730000}"/>
    <cellStyle name="Normal 11 2 2 3 5 7 2" xfId="30514" xr:uid="{00000000-0005-0000-0000-0000A9730000}"/>
    <cellStyle name="Normal 11 2 2 3 5 7 2 2" xfId="30515" xr:uid="{00000000-0005-0000-0000-0000AA730000}"/>
    <cellStyle name="Normal 11 2 2 3 5 7 2 2 2" xfId="30516" xr:uid="{00000000-0005-0000-0000-0000AB730000}"/>
    <cellStyle name="Normal 11 2 2 3 5 7 2 3" xfId="30517" xr:uid="{00000000-0005-0000-0000-0000AC730000}"/>
    <cellStyle name="Normal 11 2 2 3 5 7 3" xfId="30518" xr:uid="{00000000-0005-0000-0000-0000AD730000}"/>
    <cellStyle name="Normal 11 2 2 3 5 7 3 2" xfId="30519" xr:uid="{00000000-0005-0000-0000-0000AE730000}"/>
    <cellStyle name="Normal 11 2 2 3 5 7 4" xfId="30520" xr:uid="{00000000-0005-0000-0000-0000AF730000}"/>
    <cellStyle name="Normal 11 2 2 3 5 8" xfId="30521" xr:uid="{00000000-0005-0000-0000-0000B0730000}"/>
    <cellStyle name="Normal 11 2 2 3 5 8 2" xfId="30522" xr:uid="{00000000-0005-0000-0000-0000B1730000}"/>
    <cellStyle name="Normal 11 2 2 3 5 8 2 2" xfId="30523" xr:uid="{00000000-0005-0000-0000-0000B2730000}"/>
    <cellStyle name="Normal 11 2 2 3 5 8 3" xfId="30524" xr:uid="{00000000-0005-0000-0000-0000B3730000}"/>
    <cellStyle name="Normal 11 2 2 3 5 9" xfId="30525" xr:uid="{00000000-0005-0000-0000-0000B4730000}"/>
    <cellStyle name="Normal 11 2 2 3 5 9 2" xfId="30526" xr:uid="{00000000-0005-0000-0000-0000B5730000}"/>
    <cellStyle name="Normal 11 2 2 3 6" xfId="1393" xr:uid="{00000000-0005-0000-0000-0000B6730000}"/>
    <cellStyle name="Normal 11 2 2 3 6 2" xfId="30528" xr:uid="{00000000-0005-0000-0000-0000B7730000}"/>
    <cellStyle name="Normal 11 2 2 3 6 2 2" xfId="30529" xr:uid="{00000000-0005-0000-0000-0000B8730000}"/>
    <cellStyle name="Normal 11 2 2 3 6 2 2 2" xfId="30530" xr:uid="{00000000-0005-0000-0000-0000B9730000}"/>
    <cellStyle name="Normal 11 2 2 3 6 2 2 2 2" xfId="30531" xr:uid="{00000000-0005-0000-0000-0000BA730000}"/>
    <cellStyle name="Normal 11 2 2 3 6 2 2 3" xfId="30532" xr:uid="{00000000-0005-0000-0000-0000BB730000}"/>
    <cellStyle name="Normal 11 2 2 3 6 2 3" xfId="30533" xr:uid="{00000000-0005-0000-0000-0000BC730000}"/>
    <cellStyle name="Normal 11 2 2 3 6 2 3 2" xfId="30534" xr:uid="{00000000-0005-0000-0000-0000BD730000}"/>
    <cellStyle name="Normal 11 2 2 3 6 2 4" xfId="30535" xr:uid="{00000000-0005-0000-0000-0000BE730000}"/>
    <cellStyle name="Normal 11 2 2 3 6 3" xfId="30536" xr:uid="{00000000-0005-0000-0000-0000BF730000}"/>
    <cellStyle name="Normal 11 2 2 3 6 3 2" xfId="30537" xr:uid="{00000000-0005-0000-0000-0000C0730000}"/>
    <cellStyle name="Normal 11 2 2 3 6 3 2 2" xfId="30538" xr:uid="{00000000-0005-0000-0000-0000C1730000}"/>
    <cellStyle name="Normal 11 2 2 3 6 3 2 2 2" xfId="30539" xr:uid="{00000000-0005-0000-0000-0000C2730000}"/>
    <cellStyle name="Normal 11 2 2 3 6 3 2 3" xfId="30540" xr:uid="{00000000-0005-0000-0000-0000C3730000}"/>
    <cellStyle name="Normal 11 2 2 3 6 3 3" xfId="30541" xr:uid="{00000000-0005-0000-0000-0000C4730000}"/>
    <cellStyle name="Normal 11 2 2 3 6 3 3 2" xfId="30542" xr:uid="{00000000-0005-0000-0000-0000C5730000}"/>
    <cellStyle name="Normal 11 2 2 3 6 3 4" xfId="30543" xr:uid="{00000000-0005-0000-0000-0000C6730000}"/>
    <cellStyle name="Normal 11 2 2 3 6 4" xfId="30544" xr:uid="{00000000-0005-0000-0000-0000C7730000}"/>
    <cellStyle name="Normal 11 2 2 3 6 4 2" xfId="30545" xr:uid="{00000000-0005-0000-0000-0000C8730000}"/>
    <cellStyle name="Normal 11 2 2 3 6 4 2 2" xfId="30546" xr:uid="{00000000-0005-0000-0000-0000C9730000}"/>
    <cellStyle name="Normal 11 2 2 3 6 4 3" xfId="30547" xr:uid="{00000000-0005-0000-0000-0000CA730000}"/>
    <cellStyle name="Normal 11 2 2 3 6 5" xfId="30548" xr:uid="{00000000-0005-0000-0000-0000CB730000}"/>
    <cellStyle name="Normal 11 2 2 3 6 5 2" xfId="30549" xr:uid="{00000000-0005-0000-0000-0000CC730000}"/>
    <cellStyle name="Normal 11 2 2 3 6 6" xfId="30550" xr:uid="{00000000-0005-0000-0000-0000CD730000}"/>
    <cellStyle name="Normal 11 2 2 3 6 7" xfId="30527" xr:uid="{00000000-0005-0000-0000-0000CE730000}"/>
    <cellStyle name="Normal 11 2 2 3 7" xfId="30551" xr:uid="{00000000-0005-0000-0000-0000CF730000}"/>
    <cellStyle name="Normal 11 2 2 3 7 2" xfId="30552" xr:uid="{00000000-0005-0000-0000-0000D0730000}"/>
    <cellStyle name="Normal 11 2 2 3 7 2 2" xfId="30553" xr:uid="{00000000-0005-0000-0000-0000D1730000}"/>
    <cellStyle name="Normal 11 2 2 3 7 2 2 2" xfId="30554" xr:uid="{00000000-0005-0000-0000-0000D2730000}"/>
    <cellStyle name="Normal 11 2 2 3 7 2 2 2 2" xfId="30555" xr:uid="{00000000-0005-0000-0000-0000D3730000}"/>
    <cellStyle name="Normal 11 2 2 3 7 2 2 3" xfId="30556" xr:uid="{00000000-0005-0000-0000-0000D4730000}"/>
    <cellStyle name="Normal 11 2 2 3 7 2 3" xfId="30557" xr:uid="{00000000-0005-0000-0000-0000D5730000}"/>
    <cellStyle name="Normal 11 2 2 3 7 2 3 2" xfId="30558" xr:uid="{00000000-0005-0000-0000-0000D6730000}"/>
    <cellStyle name="Normal 11 2 2 3 7 2 4" xfId="30559" xr:uid="{00000000-0005-0000-0000-0000D7730000}"/>
    <cellStyle name="Normal 11 2 2 3 7 3" xfId="30560" xr:uid="{00000000-0005-0000-0000-0000D8730000}"/>
    <cellStyle name="Normal 11 2 2 3 7 3 2" xfId="30561" xr:uid="{00000000-0005-0000-0000-0000D9730000}"/>
    <cellStyle name="Normal 11 2 2 3 7 3 2 2" xfId="30562" xr:uid="{00000000-0005-0000-0000-0000DA730000}"/>
    <cellStyle name="Normal 11 2 2 3 7 3 3" xfId="30563" xr:uid="{00000000-0005-0000-0000-0000DB730000}"/>
    <cellStyle name="Normal 11 2 2 3 7 4" xfId="30564" xr:uid="{00000000-0005-0000-0000-0000DC730000}"/>
    <cellStyle name="Normal 11 2 2 3 7 4 2" xfId="30565" xr:uid="{00000000-0005-0000-0000-0000DD730000}"/>
    <cellStyle name="Normal 11 2 2 3 7 5" xfId="30566" xr:uid="{00000000-0005-0000-0000-0000DE730000}"/>
    <cellStyle name="Normal 11 2 2 3 8" xfId="30567" xr:uid="{00000000-0005-0000-0000-0000DF730000}"/>
    <cellStyle name="Normal 11 2 2 3 8 2" xfId="30568" xr:uid="{00000000-0005-0000-0000-0000E0730000}"/>
    <cellStyle name="Normal 11 2 2 3 8 2 2" xfId="30569" xr:uid="{00000000-0005-0000-0000-0000E1730000}"/>
    <cellStyle name="Normal 11 2 2 3 8 2 2 2" xfId="30570" xr:uid="{00000000-0005-0000-0000-0000E2730000}"/>
    <cellStyle name="Normal 11 2 2 3 8 2 2 2 2" xfId="30571" xr:uid="{00000000-0005-0000-0000-0000E3730000}"/>
    <cellStyle name="Normal 11 2 2 3 8 2 2 3" xfId="30572" xr:uid="{00000000-0005-0000-0000-0000E4730000}"/>
    <cellStyle name="Normal 11 2 2 3 8 2 3" xfId="30573" xr:uid="{00000000-0005-0000-0000-0000E5730000}"/>
    <cellStyle name="Normal 11 2 2 3 8 2 3 2" xfId="30574" xr:uid="{00000000-0005-0000-0000-0000E6730000}"/>
    <cellStyle name="Normal 11 2 2 3 8 2 4" xfId="30575" xr:uid="{00000000-0005-0000-0000-0000E7730000}"/>
    <cellStyle name="Normal 11 2 2 3 8 3" xfId="30576" xr:uid="{00000000-0005-0000-0000-0000E8730000}"/>
    <cellStyle name="Normal 11 2 2 3 8 3 2" xfId="30577" xr:uid="{00000000-0005-0000-0000-0000E9730000}"/>
    <cellStyle name="Normal 11 2 2 3 8 3 2 2" xfId="30578" xr:uid="{00000000-0005-0000-0000-0000EA730000}"/>
    <cellStyle name="Normal 11 2 2 3 8 3 3" xfId="30579" xr:uid="{00000000-0005-0000-0000-0000EB730000}"/>
    <cellStyle name="Normal 11 2 2 3 8 4" xfId="30580" xr:uid="{00000000-0005-0000-0000-0000EC730000}"/>
    <cellStyle name="Normal 11 2 2 3 8 4 2" xfId="30581" xr:uid="{00000000-0005-0000-0000-0000ED730000}"/>
    <cellStyle name="Normal 11 2 2 3 8 5" xfId="30582" xr:uid="{00000000-0005-0000-0000-0000EE730000}"/>
    <cellStyle name="Normal 11 2 2 3 9" xfId="30583" xr:uid="{00000000-0005-0000-0000-0000EF730000}"/>
    <cellStyle name="Normal 11 2 2 3 9 2" xfId="30584" xr:uid="{00000000-0005-0000-0000-0000F0730000}"/>
    <cellStyle name="Normal 11 2 2 3 9 2 2" xfId="30585" xr:uid="{00000000-0005-0000-0000-0000F1730000}"/>
    <cellStyle name="Normal 11 2 2 3 9 2 2 2" xfId="30586" xr:uid="{00000000-0005-0000-0000-0000F2730000}"/>
    <cellStyle name="Normal 11 2 2 3 9 2 3" xfId="30587" xr:uid="{00000000-0005-0000-0000-0000F3730000}"/>
    <cellStyle name="Normal 11 2 2 3 9 3" xfId="30588" xr:uid="{00000000-0005-0000-0000-0000F4730000}"/>
    <cellStyle name="Normal 11 2 2 3 9 3 2" xfId="30589" xr:uid="{00000000-0005-0000-0000-0000F5730000}"/>
    <cellStyle name="Normal 11 2 2 3 9 4" xfId="30590" xr:uid="{00000000-0005-0000-0000-0000F6730000}"/>
    <cellStyle name="Normal 11 2 2 4" xfId="555" xr:uid="{00000000-0005-0000-0000-0000F7730000}"/>
    <cellStyle name="Normal 11 2 2 4 10" xfId="30592" xr:uid="{00000000-0005-0000-0000-0000F8730000}"/>
    <cellStyle name="Normal 11 2 2 4 10 2" xfId="30593" xr:uid="{00000000-0005-0000-0000-0000F9730000}"/>
    <cellStyle name="Normal 11 2 2 4 10 2 2" xfId="30594" xr:uid="{00000000-0005-0000-0000-0000FA730000}"/>
    <cellStyle name="Normal 11 2 2 4 10 2 2 2" xfId="30595" xr:uid="{00000000-0005-0000-0000-0000FB730000}"/>
    <cellStyle name="Normal 11 2 2 4 10 2 3" xfId="30596" xr:uid="{00000000-0005-0000-0000-0000FC730000}"/>
    <cellStyle name="Normal 11 2 2 4 10 3" xfId="30597" xr:uid="{00000000-0005-0000-0000-0000FD730000}"/>
    <cellStyle name="Normal 11 2 2 4 10 3 2" xfId="30598" xr:uid="{00000000-0005-0000-0000-0000FE730000}"/>
    <cellStyle name="Normal 11 2 2 4 10 4" xfId="30599" xr:uid="{00000000-0005-0000-0000-0000FF730000}"/>
    <cellStyle name="Normal 11 2 2 4 11" xfId="30600" xr:uid="{00000000-0005-0000-0000-000000740000}"/>
    <cellStyle name="Normal 11 2 2 4 11 2" xfId="30601" xr:uid="{00000000-0005-0000-0000-000001740000}"/>
    <cellStyle name="Normal 11 2 2 4 11 2 2" xfId="30602" xr:uid="{00000000-0005-0000-0000-000002740000}"/>
    <cellStyle name="Normal 11 2 2 4 11 3" xfId="30603" xr:uid="{00000000-0005-0000-0000-000003740000}"/>
    <cellStyle name="Normal 11 2 2 4 12" xfId="30604" xr:uid="{00000000-0005-0000-0000-000004740000}"/>
    <cellStyle name="Normal 11 2 2 4 12 2" xfId="30605" xr:uid="{00000000-0005-0000-0000-000005740000}"/>
    <cellStyle name="Normal 11 2 2 4 12 2 2" xfId="30606" xr:uid="{00000000-0005-0000-0000-000006740000}"/>
    <cellStyle name="Normal 11 2 2 4 12 3" xfId="30607" xr:uid="{00000000-0005-0000-0000-000007740000}"/>
    <cellStyle name="Normal 11 2 2 4 13" xfId="30608" xr:uid="{00000000-0005-0000-0000-000008740000}"/>
    <cellStyle name="Normal 11 2 2 4 13 2" xfId="30609" xr:uid="{00000000-0005-0000-0000-000009740000}"/>
    <cellStyle name="Normal 11 2 2 4 13 2 2" xfId="30610" xr:uid="{00000000-0005-0000-0000-00000A740000}"/>
    <cellStyle name="Normal 11 2 2 4 13 3" xfId="30611" xr:uid="{00000000-0005-0000-0000-00000B740000}"/>
    <cellStyle name="Normal 11 2 2 4 14" xfId="30612" xr:uid="{00000000-0005-0000-0000-00000C740000}"/>
    <cellStyle name="Normal 11 2 2 4 14 2" xfId="30613" xr:uid="{00000000-0005-0000-0000-00000D740000}"/>
    <cellStyle name="Normal 11 2 2 4 15" xfId="30614" xr:uid="{00000000-0005-0000-0000-00000E740000}"/>
    <cellStyle name="Normal 11 2 2 4 16" xfId="30615" xr:uid="{00000000-0005-0000-0000-00000F740000}"/>
    <cellStyle name="Normal 11 2 2 4 17" xfId="30591" xr:uid="{00000000-0005-0000-0000-000010740000}"/>
    <cellStyle name="Normal 11 2 2 4 2" xfId="556" xr:uid="{00000000-0005-0000-0000-000011740000}"/>
    <cellStyle name="Normal 11 2 2 4 2 10" xfId="30617" xr:uid="{00000000-0005-0000-0000-000012740000}"/>
    <cellStyle name="Normal 11 2 2 4 2 10 2" xfId="30618" xr:uid="{00000000-0005-0000-0000-000013740000}"/>
    <cellStyle name="Normal 11 2 2 4 2 10 2 2" xfId="30619" xr:uid="{00000000-0005-0000-0000-000014740000}"/>
    <cellStyle name="Normal 11 2 2 4 2 10 3" xfId="30620" xr:uid="{00000000-0005-0000-0000-000015740000}"/>
    <cellStyle name="Normal 11 2 2 4 2 11" xfId="30621" xr:uid="{00000000-0005-0000-0000-000016740000}"/>
    <cellStyle name="Normal 11 2 2 4 2 11 2" xfId="30622" xr:uid="{00000000-0005-0000-0000-000017740000}"/>
    <cellStyle name="Normal 11 2 2 4 2 11 2 2" xfId="30623" xr:uid="{00000000-0005-0000-0000-000018740000}"/>
    <cellStyle name="Normal 11 2 2 4 2 11 3" xfId="30624" xr:uid="{00000000-0005-0000-0000-000019740000}"/>
    <cellStyle name="Normal 11 2 2 4 2 12" xfId="30625" xr:uid="{00000000-0005-0000-0000-00001A740000}"/>
    <cellStyle name="Normal 11 2 2 4 2 12 2" xfId="30626" xr:uid="{00000000-0005-0000-0000-00001B740000}"/>
    <cellStyle name="Normal 11 2 2 4 2 13" xfId="30627" xr:uid="{00000000-0005-0000-0000-00001C740000}"/>
    <cellStyle name="Normal 11 2 2 4 2 14" xfId="30628" xr:uid="{00000000-0005-0000-0000-00001D740000}"/>
    <cellStyle name="Normal 11 2 2 4 2 15" xfId="30616" xr:uid="{00000000-0005-0000-0000-00001E740000}"/>
    <cellStyle name="Normal 11 2 2 4 2 2" xfId="998" xr:uid="{00000000-0005-0000-0000-00001F740000}"/>
    <cellStyle name="Normal 11 2 2 4 2 2 10" xfId="30630" xr:uid="{00000000-0005-0000-0000-000020740000}"/>
    <cellStyle name="Normal 11 2 2 4 2 2 11" xfId="30629" xr:uid="{00000000-0005-0000-0000-000021740000}"/>
    <cellStyle name="Normal 11 2 2 4 2 2 2" xfId="1727" xr:uid="{00000000-0005-0000-0000-000022740000}"/>
    <cellStyle name="Normal 11 2 2 4 2 2 2 2" xfId="30632" xr:uid="{00000000-0005-0000-0000-000023740000}"/>
    <cellStyle name="Normal 11 2 2 4 2 2 2 2 2" xfId="30633" xr:uid="{00000000-0005-0000-0000-000024740000}"/>
    <cellStyle name="Normal 11 2 2 4 2 2 2 2 2 2" xfId="30634" xr:uid="{00000000-0005-0000-0000-000025740000}"/>
    <cellStyle name="Normal 11 2 2 4 2 2 2 2 2 2 2" xfId="30635" xr:uid="{00000000-0005-0000-0000-000026740000}"/>
    <cellStyle name="Normal 11 2 2 4 2 2 2 2 2 3" xfId="30636" xr:uid="{00000000-0005-0000-0000-000027740000}"/>
    <cellStyle name="Normal 11 2 2 4 2 2 2 2 3" xfId="30637" xr:uid="{00000000-0005-0000-0000-000028740000}"/>
    <cellStyle name="Normal 11 2 2 4 2 2 2 2 3 2" xfId="30638" xr:uid="{00000000-0005-0000-0000-000029740000}"/>
    <cellStyle name="Normal 11 2 2 4 2 2 2 2 4" xfId="30639" xr:uid="{00000000-0005-0000-0000-00002A740000}"/>
    <cellStyle name="Normal 11 2 2 4 2 2 2 3" xfId="30640" xr:uid="{00000000-0005-0000-0000-00002B740000}"/>
    <cellStyle name="Normal 11 2 2 4 2 2 2 3 2" xfId="30641" xr:uid="{00000000-0005-0000-0000-00002C740000}"/>
    <cellStyle name="Normal 11 2 2 4 2 2 2 3 2 2" xfId="30642" xr:uid="{00000000-0005-0000-0000-00002D740000}"/>
    <cellStyle name="Normal 11 2 2 4 2 2 2 3 2 2 2" xfId="30643" xr:uid="{00000000-0005-0000-0000-00002E740000}"/>
    <cellStyle name="Normal 11 2 2 4 2 2 2 3 2 3" xfId="30644" xr:uid="{00000000-0005-0000-0000-00002F740000}"/>
    <cellStyle name="Normal 11 2 2 4 2 2 2 3 3" xfId="30645" xr:uid="{00000000-0005-0000-0000-000030740000}"/>
    <cellStyle name="Normal 11 2 2 4 2 2 2 3 3 2" xfId="30646" xr:uid="{00000000-0005-0000-0000-000031740000}"/>
    <cellStyle name="Normal 11 2 2 4 2 2 2 3 4" xfId="30647" xr:uid="{00000000-0005-0000-0000-000032740000}"/>
    <cellStyle name="Normal 11 2 2 4 2 2 2 4" xfId="30648" xr:uid="{00000000-0005-0000-0000-000033740000}"/>
    <cellStyle name="Normal 11 2 2 4 2 2 2 4 2" xfId="30649" xr:uid="{00000000-0005-0000-0000-000034740000}"/>
    <cellStyle name="Normal 11 2 2 4 2 2 2 4 2 2" xfId="30650" xr:uid="{00000000-0005-0000-0000-000035740000}"/>
    <cellStyle name="Normal 11 2 2 4 2 2 2 4 3" xfId="30651" xr:uid="{00000000-0005-0000-0000-000036740000}"/>
    <cellStyle name="Normal 11 2 2 4 2 2 2 5" xfId="30652" xr:uid="{00000000-0005-0000-0000-000037740000}"/>
    <cellStyle name="Normal 11 2 2 4 2 2 2 5 2" xfId="30653" xr:uid="{00000000-0005-0000-0000-000038740000}"/>
    <cellStyle name="Normal 11 2 2 4 2 2 2 6" xfId="30654" xr:uid="{00000000-0005-0000-0000-000039740000}"/>
    <cellStyle name="Normal 11 2 2 4 2 2 2 7" xfId="30631" xr:uid="{00000000-0005-0000-0000-00003A740000}"/>
    <cellStyle name="Normal 11 2 2 4 2 2 3" xfId="30655" xr:uid="{00000000-0005-0000-0000-00003B740000}"/>
    <cellStyle name="Normal 11 2 2 4 2 2 3 2" xfId="30656" xr:uid="{00000000-0005-0000-0000-00003C740000}"/>
    <cellStyle name="Normal 11 2 2 4 2 2 3 2 2" xfId="30657" xr:uid="{00000000-0005-0000-0000-00003D740000}"/>
    <cellStyle name="Normal 11 2 2 4 2 2 3 2 2 2" xfId="30658" xr:uid="{00000000-0005-0000-0000-00003E740000}"/>
    <cellStyle name="Normal 11 2 2 4 2 2 3 2 2 2 2" xfId="30659" xr:uid="{00000000-0005-0000-0000-00003F740000}"/>
    <cellStyle name="Normal 11 2 2 4 2 2 3 2 2 3" xfId="30660" xr:uid="{00000000-0005-0000-0000-000040740000}"/>
    <cellStyle name="Normal 11 2 2 4 2 2 3 2 3" xfId="30661" xr:uid="{00000000-0005-0000-0000-000041740000}"/>
    <cellStyle name="Normal 11 2 2 4 2 2 3 2 3 2" xfId="30662" xr:uid="{00000000-0005-0000-0000-000042740000}"/>
    <cellStyle name="Normal 11 2 2 4 2 2 3 2 4" xfId="30663" xr:uid="{00000000-0005-0000-0000-000043740000}"/>
    <cellStyle name="Normal 11 2 2 4 2 2 3 3" xfId="30664" xr:uid="{00000000-0005-0000-0000-000044740000}"/>
    <cellStyle name="Normal 11 2 2 4 2 2 3 3 2" xfId="30665" xr:uid="{00000000-0005-0000-0000-000045740000}"/>
    <cellStyle name="Normal 11 2 2 4 2 2 3 3 2 2" xfId="30666" xr:uid="{00000000-0005-0000-0000-000046740000}"/>
    <cellStyle name="Normal 11 2 2 4 2 2 3 3 3" xfId="30667" xr:uid="{00000000-0005-0000-0000-000047740000}"/>
    <cellStyle name="Normal 11 2 2 4 2 2 3 4" xfId="30668" xr:uid="{00000000-0005-0000-0000-000048740000}"/>
    <cellStyle name="Normal 11 2 2 4 2 2 3 4 2" xfId="30669" xr:uid="{00000000-0005-0000-0000-000049740000}"/>
    <cellStyle name="Normal 11 2 2 4 2 2 3 5" xfId="30670" xr:uid="{00000000-0005-0000-0000-00004A740000}"/>
    <cellStyle name="Normal 11 2 2 4 2 2 4" xfId="30671" xr:uid="{00000000-0005-0000-0000-00004B740000}"/>
    <cellStyle name="Normal 11 2 2 4 2 2 4 2" xfId="30672" xr:uid="{00000000-0005-0000-0000-00004C740000}"/>
    <cellStyle name="Normal 11 2 2 4 2 2 4 2 2" xfId="30673" xr:uid="{00000000-0005-0000-0000-00004D740000}"/>
    <cellStyle name="Normal 11 2 2 4 2 2 4 2 2 2" xfId="30674" xr:uid="{00000000-0005-0000-0000-00004E740000}"/>
    <cellStyle name="Normal 11 2 2 4 2 2 4 2 2 2 2" xfId="30675" xr:uid="{00000000-0005-0000-0000-00004F740000}"/>
    <cellStyle name="Normal 11 2 2 4 2 2 4 2 2 3" xfId="30676" xr:uid="{00000000-0005-0000-0000-000050740000}"/>
    <cellStyle name="Normal 11 2 2 4 2 2 4 2 3" xfId="30677" xr:uid="{00000000-0005-0000-0000-000051740000}"/>
    <cellStyle name="Normal 11 2 2 4 2 2 4 2 3 2" xfId="30678" xr:uid="{00000000-0005-0000-0000-000052740000}"/>
    <cellStyle name="Normal 11 2 2 4 2 2 4 2 4" xfId="30679" xr:uid="{00000000-0005-0000-0000-000053740000}"/>
    <cellStyle name="Normal 11 2 2 4 2 2 4 3" xfId="30680" xr:uid="{00000000-0005-0000-0000-000054740000}"/>
    <cellStyle name="Normal 11 2 2 4 2 2 4 3 2" xfId="30681" xr:uid="{00000000-0005-0000-0000-000055740000}"/>
    <cellStyle name="Normal 11 2 2 4 2 2 4 3 2 2" xfId="30682" xr:uid="{00000000-0005-0000-0000-000056740000}"/>
    <cellStyle name="Normal 11 2 2 4 2 2 4 3 3" xfId="30683" xr:uid="{00000000-0005-0000-0000-000057740000}"/>
    <cellStyle name="Normal 11 2 2 4 2 2 4 4" xfId="30684" xr:uid="{00000000-0005-0000-0000-000058740000}"/>
    <cellStyle name="Normal 11 2 2 4 2 2 4 4 2" xfId="30685" xr:uid="{00000000-0005-0000-0000-000059740000}"/>
    <cellStyle name="Normal 11 2 2 4 2 2 4 5" xfId="30686" xr:uid="{00000000-0005-0000-0000-00005A740000}"/>
    <cellStyle name="Normal 11 2 2 4 2 2 5" xfId="30687" xr:uid="{00000000-0005-0000-0000-00005B740000}"/>
    <cellStyle name="Normal 11 2 2 4 2 2 5 2" xfId="30688" xr:uid="{00000000-0005-0000-0000-00005C740000}"/>
    <cellStyle name="Normal 11 2 2 4 2 2 5 2 2" xfId="30689" xr:uid="{00000000-0005-0000-0000-00005D740000}"/>
    <cellStyle name="Normal 11 2 2 4 2 2 5 2 2 2" xfId="30690" xr:uid="{00000000-0005-0000-0000-00005E740000}"/>
    <cellStyle name="Normal 11 2 2 4 2 2 5 2 3" xfId="30691" xr:uid="{00000000-0005-0000-0000-00005F740000}"/>
    <cellStyle name="Normal 11 2 2 4 2 2 5 3" xfId="30692" xr:uid="{00000000-0005-0000-0000-000060740000}"/>
    <cellStyle name="Normal 11 2 2 4 2 2 5 3 2" xfId="30693" xr:uid="{00000000-0005-0000-0000-000061740000}"/>
    <cellStyle name="Normal 11 2 2 4 2 2 5 4" xfId="30694" xr:uid="{00000000-0005-0000-0000-000062740000}"/>
    <cellStyle name="Normal 11 2 2 4 2 2 6" xfId="30695" xr:uid="{00000000-0005-0000-0000-000063740000}"/>
    <cellStyle name="Normal 11 2 2 4 2 2 6 2" xfId="30696" xr:uid="{00000000-0005-0000-0000-000064740000}"/>
    <cellStyle name="Normal 11 2 2 4 2 2 6 2 2" xfId="30697" xr:uid="{00000000-0005-0000-0000-000065740000}"/>
    <cellStyle name="Normal 11 2 2 4 2 2 6 2 2 2" xfId="30698" xr:uid="{00000000-0005-0000-0000-000066740000}"/>
    <cellStyle name="Normal 11 2 2 4 2 2 6 2 3" xfId="30699" xr:uid="{00000000-0005-0000-0000-000067740000}"/>
    <cellStyle name="Normal 11 2 2 4 2 2 6 3" xfId="30700" xr:uid="{00000000-0005-0000-0000-000068740000}"/>
    <cellStyle name="Normal 11 2 2 4 2 2 6 3 2" xfId="30701" xr:uid="{00000000-0005-0000-0000-000069740000}"/>
    <cellStyle name="Normal 11 2 2 4 2 2 6 4" xfId="30702" xr:uid="{00000000-0005-0000-0000-00006A740000}"/>
    <cellStyle name="Normal 11 2 2 4 2 2 7" xfId="30703" xr:uid="{00000000-0005-0000-0000-00006B740000}"/>
    <cellStyle name="Normal 11 2 2 4 2 2 7 2" xfId="30704" xr:uid="{00000000-0005-0000-0000-00006C740000}"/>
    <cellStyle name="Normal 11 2 2 4 2 2 7 2 2" xfId="30705" xr:uid="{00000000-0005-0000-0000-00006D740000}"/>
    <cellStyle name="Normal 11 2 2 4 2 2 7 2 2 2" xfId="30706" xr:uid="{00000000-0005-0000-0000-00006E740000}"/>
    <cellStyle name="Normal 11 2 2 4 2 2 7 2 3" xfId="30707" xr:uid="{00000000-0005-0000-0000-00006F740000}"/>
    <cellStyle name="Normal 11 2 2 4 2 2 7 3" xfId="30708" xr:uid="{00000000-0005-0000-0000-000070740000}"/>
    <cellStyle name="Normal 11 2 2 4 2 2 7 3 2" xfId="30709" xr:uid="{00000000-0005-0000-0000-000071740000}"/>
    <cellStyle name="Normal 11 2 2 4 2 2 7 4" xfId="30710" xr:uid="{00000000-0005-0000-0000-000072740000}"/>
    <cellStyle name="Normal 11 2 2 4 2 2 8" xfId="30711" xr:uid="{00000000-0005-0000-0000-000073740000}"/>
    <cellStyle name="Normal 11 2 2 4 2 2 8 2" xfId="30712" xr:uid="{00000000-0005-0000-0000-000074740000}"/>
    <cellStyle name="Normal 11 2 2 4 2 2 8 2 2" xfId="30713" xr:uid="{00000000-0005-0000-0000-000075740000}"/>
    <cellStyle name="Normal 11 2 2 4 2 2 8 3" xfId="30714" xr:uid="{00000000-0005-0000-0000-000076740000}"/>
    <cellStyle name="Normal 11 2 2 4 2 2 9" xfId="30715" xr:uid="{00000000-0005-0000-0000-000077740000}"/>
    <cellStyle name="Normal 11 2 2 4 2 2 9 2" xfId="30716" xr:uid="{00000000-0005-0000-0000-000078740000}"/>
    <cellStyle name="Normal 11 2 2 4 2 3" xfId="1400" xr:uid="{00000000-0005-0000-0000-000079740000}"/>
    <cellStyle name="Normal 11 2 2 4 2 3 2" xfId="30718" xr:uid="{00000000-0005-0000-0000-00007A740000}"/>
    <cellStyle name="Normal 11 2 2 4 2 3 2 2" xfId="30719" xr:uid="{00000000-0005-0000-0000-00007B740000}"/>
    <cellStyle name="Normal 11 2 2 4 2 3 2 2 2" xfId="30720" xr:uid="{00000000-0005-0000-0000-00007C740000}"/>
    <cellStyle name="Normal 11 2 2 4 2 3 2 2 2 2" xfId="30721" xr:uid="{00000000-0005-0000-0000-00007D740000}"/>
    <cellStyle name="Normal 11 2 2 4 2 3 2 2 3" xfId="30722" xr:uid="{00000000-0005-0000-0000-00007E740000}"/>
    <cellStyle name="Normal 11 2 2 4 2 3 2 3" xfId="30723" xr:uid="{00000000-0005-0000-0000-00007F740000}"/>
    <cellStyle name="Normal 11 2 2 4 2 3 2 3 2" xfId="30724" xr:uid="{00000000-0005-0000-0000-000080740000}"/>
    <cellStyle name="Normal 11 2 2 4 2 3 2 4" xfId="30725" xr:uid="{00000000-0005-0000-0000-000081740000}"/>
    <cellStyle name="Normal 11 2 2 4 2 3 3" xfId="30726" xr:uid="{00000000-0005-0000-0000-000082740000}"/>
    <cellStyle name="Normal 11 2 2 4 2 3 3 2" xfId="30727" xr:uid="{00000000-0005-0000-0000-000083740000}"/>
    <cellStyle name="Normal 11 2 2 4 2 3 3 2 2" xfId="30728" xr:uid="{00000000-0005-0000-0000-000084740000}"/>
    <cellStyle name="Normal 11 2 2 4 2 3 3 2 2 2" xfId="30729" xr:uid="{00000000-0005-0000-0000-000085740000}"/>
    <cellStyle name="Normal 11 2 2 4 2 3 3 2 3" xfId="30730" xr:uid="{00000000-0005-0000-0000-000086740000}"/>
    <cellStyle name="Normal 11 2 2 4 2 3 3 3" xfId="30731" xr:uid="{00000000-0005-0000-0000-000087740000}"/>
    <cellStyle name="Normal 11 2 2 4 2 3 3 3 2" xfId="30732" xr:uid="{00000000-0005-0000-0000-000088740000}"/>
    <cellStyle name="Normal 11 2 2 4 2 3 3 4" xfId="30733" xr:uid="{00000000-0005-0000-0000-000089740000}"/>
    <cellStyle name="Normal 11 2 2 4 2 3 4" xfId="30734" xr:uid="{00000000-0005-0000-0000-00008A740000}"/>
    <cellStyle name="Normal 11 2 2 4 2 3 4 2" xfId="30735" xr:uid="{00000000-0005-0000-0000-00008B740000}"/>
    <cellStyle name="Normal 11 2 2 4 2 3 4 2 2" xfId="30736" xr:uid="{00000000-0005-0000-0000-00008C740000}"/>
    <cellStyle name="Normal 11 2 2 4 2 3 4 3" xfId="30737" xr:uid="{00000000-0005-0000-0000-00008D740000}"/>
    <cellStyle name="Normal 11 2 2 4 2 3 5" xfId="30738" xr:uid="{00000000-0005-0000-0000-00008E740000}"/>
    <cellStyle name="Normal 11 2 2 4 2 3 5 2" xfId="30739" xr:uid="{00000000-0005-0000-0000-00008F740000}"/>
    <cellStyle name="Normal 11 2 2 4 2 3 6" xfId="30740" xr:uid="{00000000-0005-0000-0000-000090740000}"/>
    <cellStyle name="Normal 11 2 2 4 2 3 7" xfId="30717" xr:uid="{00000000-0005-0000-0000-000091740000}"/>
    <cellStyle name="Normal 11 2 2 4 2 4" xfId="30741" xr:uid="{00000000-0005-0000-0000-000092740000}"/>
    <cellStyle name="Normal 11 2 2 4 2 4 2" xfId="30742" xr:uid="{00000000-0005-0000-0000-000093740000}"/>
    <cellStyle name="Normal 11 2 2 4 2 4 2 2" xfId="30743" xr:uid="{00000000-0005-0000-0000-000094740000}"/>
    <cellStyle name="Normal 11 2 2 4 2 4 2 2 2" xfId="30744" xr:uid="{00000000-0005-0000-0000-000095740000}"/>
    <cellStyle name="Normal 11 2 2 4 2 4 2 2 2 2" xfId="30745" xr:uid="{00000000-0005-0000-0000-000096740000}"/>
    <cellStyle name="Normal 11 2 2 4 2 4 2 2 3" xfId="30746" xr:uid="{00000000-0005-0000-0000-000097740000}"/>
    <cellStyle name="Normal 11 2 2 4 2 4 2 3" xfId="30747" xr:uid="{00000000-0005-0000-0000-000098740000}"/>
    <cellStyle name="Normal 11 2 2 4 2 4 2 3 2" xfId="30748" xr:uid="{00000000-0005-0000-0000-000099740000}"/>
    <cellStyle name="Normal 11 2 2 4 2 4 2 4" xfId="30749" xr:uid="{00000000-0005-0000-0000-00009A740000}"/>
    <cellStyle name="Normal 11 2 2 4 2 4 3" xfId="30750" xr:uid="{00000000-0005-0000-0000-00009B740000}"/>
    <cellStyle name="Normal 11 2 2 4 2 4 3 2" xfId="30751" xr:uid="{00000000-0005-0000-0000-00009C740000}"/>
    <cellStyle name="Normal 11 2 2 4 2 4 3 2 2" xfId="30752" xr:uid="{00000000-0005-0000-0000-00009D740000}"/>
    <cellStyle name="Normal 11 2 2 4 2 4 3 3" xfId="30753" xr:uid="{00000000-0005-0000-0000-00009E740000}"/>
    <cellStyle name="Normal 11 2 2 4 2 4 4" xfId="30754" xr:uid="{00000000-0005-0000-0000-00009F740000}"/>
    <cellStyle name="Normal 11 2 2 4 2 4 4 2" xfId="30755" xr:uid="{00000000-0005-0000-0000-0000A0740000}"/>
    <cellStyle name="Normal 11 2 2 4 2 4 5" xfId="30756" xr:uid="{00000000-0005-0000-0000-0000A1740000}"/>
    <cellStyle name="Normal 11 2 2 4 2 5" xfId="30757" xr:uid="{00000000-0005-0000-0000-0000A2740000}"/>
    <cellStyle name="Normal 11 2 2 4 2 5 2" xfId="30758" xr:uid="{00000000-0005-0000-0000-0000A3740000}"/>
    <cellStyle name="Normal 11 2 2 4 2 5 2 2" xfId="30759" xr:uid="{00000000-0005-0000-0000-0000A4740000}"/>
    <cellStyle name="Normal 11 2 2 4 2 5 2 2 2" xfId="30760" xr:uid="{00000000-0005-0000-0000-0000A5740000}"/>
    <cellStyle name="Normal 11 2 2 4 2 5 2 2 2 2" xfId="30761" xr:uid="{00000000-0005-0000-0000-0000A6740000}"/>
    <cellStyle name="Normal 11 2 2 4 2 5 2 2 3" xfId="30762" xr:uid="{00000000-0005-0000-0000-0000A7740000}"/>
    <cellStyle name="Normal 11 2 2 4 2 5 2 3" xfId="30763" xr:uid="{00000000-0005-0000-0000-0000A8740000}"/>
    <cellStyle name="Normal 11 2 2 4 2 5 2 3 2" xfId="30764" xr:uid="{00000000-0005-0000-0000-0000A9740000}"/>
    <cellStyle name="Normal 11 2 2 4 2 5 2 4" xfId="30765" xr:uid="{00000000-0005-0000-0000-0000AA740000}"/>
    <cellStyle name="Normal 11 2 2 4 2 5 3" xfId="30766" xr:uid="{00000000-0005-0000-0000-0000AB740000}"/>
    <cellStyle name="Normal 11 2 2 4 2 5 3 2" xfId="30767" xr:uid="{00000000-0005-0000-0000-0000AC740000}"/>
    <cellStyle name="Normal 11 2 2 4 2 5 3 2 2" xfId="30768" xr:uid="{00000000-0005-0000-0000-0000AD740000}"/>
    <cellStyle name="Normal 11 2 2 4 2 5 3 3" xfId="30769" xr:uid="{00000000-0005-0000-0000-0000AE740000}"/>
    <cellStyle name="Normal 11 2 2 4 2 5 4" xfId="30770" xr:uid="{00000000-0005-0000-0000-0000AF740000}"/>
    <cellStyle name="Normal 11 2 2 4 2 5 4 2" xfId="30771" xr:uid="{00000000-0005-0000-0000-0000B0740000}"/>
    <cellStyle name="Normal 11 2 2 4 2 5 5" xfId="30772" xr:uid="{00000000-0005-0000-0000-0000B1740000}"/>
    <cellStyle name="Normal 11 2 2 4 2 6" xfId="30773" xr:uid="{00000000-0005-0000-0000-0000B2740000}"/>
    <cellStyle name="Normal 11 2 2 4 2 6 2" xfId="30774" xr:uid="{00000000-0005-0000-0000-0000B3740000}"/>
    <cellStyle name="Normal 11 2 2 4 2 6 2 2" xfId="30775" xr:uid="{00000000-0005-0000-0000-0000B4740000}"/>
    <cellStyle name="Normal 11 2 2 4 2 6 2 2 2" xfId="30776" xr:uid="{00000000-0005-0000-0000-0000B5740000}"/>
    <cellStyle name="Normal 11 2 2 4 2 6 2 3" xfId="30777" xr:uid="{00000000-0005-0000-0000-0000B6740000}"/>
    <cellStyle name="Normal 11 2 2 4 2 6 3" xfId="30778" xr:uid="{00000000-0005-0000-0000-0000B7740000}"/>
    <cellStyle name="Normal 11 2 2 4 2 6 3 2" xfId="30779" xr:uid="{00000000-0005-0000-0000-0000B8740000}"/>
    <cellStyle name="Normal 11 2 2 4 2 6 4" xfId="30780" xr:uid="{00000000-0005-0000-0000-0000B9740000}"/>
    <cellStyle name="Normal 11 2 2 4 2 7" xfId="30781" xr:uid="{00000000-0005-0000-0000-0000BA740000}"/>
    <cellStyle name="Normal 11 2 2 4 2 7 2" xfId="30782" xr:uid="{00000000-0005-0000-0000-0000BB740000}"/>
    <cellStyle name="Normal 11 2 2 4 2 7 2 2" xfId="30783" xr:uid="{00000000-0005-0000-0000-0000BC740000}"/>
    <cellStyle name="Normal 11 2 2 4 2 7 2 2 2" xfId="30784" xr:uid="{00000000-0005-0000-0000-0000BD740000}"/>
    <cellStyle name="Normal 11 2 2 4 2 7 2 3" xfId="30785" xr:uid="{00000000-0005-0000-0000-0000BE740000}"/>
    <cellStyle name="Normal 11 2 2 4 2 7 3" xfId="30786" xr:uid="{00000000-0005-0000-0000-0000BF740000}"/>
    <cellStyle name="Normal 11 2 2 4 2 7 3 2" xfId="30787" xr:uid="{00000000-0005-0000-0000-0000C0740000}"/>
    <cellStyle name="Normal 11 2 2 4 2 7 4" xfId="30788" xr:uid="{00000000-0005-0000-0000-0000C1740000}"/>
    <cellStyle name="Normal 11 2 2 4 2 8" xfId="30789" xr:uid="{00000000-0005-0000-0000-0000C2740000}"/>
    <cellStyle name="Normal 11 2 2 4 2 8 2" xfId="30790" xr:uid="{00000000-0005-0000-0000-0000C3740000}"/>
    <cellStyle name="Normal 11 2 2 4 2 8 2 2" xfId="30791" xr:uid="{00000000-0005-0000-0000-0000C4740000}"/>
    <cellStyle name="Normal 11 2 2 4 2 8 2 2 2" xfId="30792" xr:uid="{00000000-0005-0000-0000-0000C5740000}"/>
    <cellStyle name="Normal 11 2 2 4 2 8 2 3" xfId="30793" xr:uid="{00000000-0005-0000-0000-0000C6740000}"/>
    <cellStyle name="Normal 11 2 2 4 2 8 3" xfId="30794" xr:uid="{00000000-0005-0000-0000-0000C7740000}"/>
    <cellStyle name="Normal 11 2 2 4 2 8 3 2" xfId="30795" xr:uid="{00000000-0005-0000-0000-0000C8740000}"/>
    <cellStyle name="Normal 11 2 2 4 2 8 4" xfId="30796" xr:uid="{00000000-0005-0000-0000-0000C9740000}"/>
    <cellStyle name="Normal 11 2 2 4 2 9" xfId="30797" xr:uid="{00000000-0005-0000-0000-0000CA740000}"/>
    <cellStyle name="Normal 11 2 2 4 2 9 2" xfId="30798" xr:uid="{00000000-0005-0000-0000-0000CB740000}"/>
    <cellStyle name="Normal 11 2 2 4 2 9 2 2" xfId="30799" xr:uid="{00000000-0005-0000-0000-0000CC740000}"/>
    <cellStyle name="Normal 11 2 2 4 2 9 3" xfId="30800" xr:uid="{00000000-0005-0000-0000-0000CD740000}"/>
    <cellStyle name="Normal 11 2 2 4 3" xfId="557" xr:uid="{00000000-0005-0000-0000-0000CE740000}"/>
    <cellStyle name="Normal 11 2 2 4 3 10" xfId="30802" xr:uid="{00000000-0005-0000-0000-0000CF740000}"/>
    <cellStyle name="Normal 11 2 2 4 3 10 2" xfId="30803" xr:uid="{00000000-0005-0000-0000-0000D0740000}"/>
    <cellStyle name="Normal 11 2 2 4 3 10 2 2" xfId="30804" xr:uid="{00000000-0005-0000-0000-0000D1740000}"/>
    <cellStyle name="Normal 11 2 2 4 3 10 3" xfId="30805" xr:uid="{00000000-0005-0000-0000-0000D2740000}"/>
    <cellStyle name="Normal 11 2 2 4 3 11" xfId="30806" xr:uid="{00000000-0005-0000-0000-0000D3740000}"/>
    <cellStyle name="Normal 11 2 2 4 3 11 2" xfId="30807" xr:uid="{00000000-0005-0000-0000-0000D4740000}"/>
    <cellStyle name="Normal 11 2 2 4 3 11 2 2" xfId="30808" xr:uid="{00000000-0005-0000-0000-0000D5740000}"/>
    <cellStyle name="Normal 11 2 2 4 3 11 3" xfId="30809" xr:uid="{00000000-0005-0000-0000-0000D6740000}"/>
    <cellStyle name="Normal 11 2 2 4 3 12" xfId="30810" xr:uid="{00000000-0005-0000-0000-0000D7740000}"/>
    <cellStyle name="Normal 11 2 2 4 3 12 2" xfId="30811" xr:uid="{00000000-0005-0000-0000-0000D8740000}"/>
    <cellStyle name="Normal 11 2 2 4 3 13" xfId="30812" xr:uid="{00000000-0005-0000-0000-0000D9740000}"/>
    <cellStyle name="Normal 11 2 2 4 3 14" xfId="30813" xr:uid="{00000000-0005-0000-0000-0000DA740000}"/>
    <cellStyle name="Normal 11 2 2 4 3 15" xfId="30801" xr:uid="{00000000-0005-0000-0000-0000DB740000}"/>
    <cellStyle name="Normal 11 2 2 4 3 2" xfId="999" xr:uid="{00000000-0005-0000-0000-0000DC740000}"/>
    <cellStyle name="Normal 11 2 2 4 3 2 10" xfId="30815" xr:uid="{00000000-0005-0000-0000-0000DD740000}"/>
    <cellStyle name="Normal 11 2 2 4 3 2 11" xfId="30814" xr:uid="{00000000-0005-0000-0000-0000DE740000}"/>
    <cellStyle name="Normal 11 2 2 4 3 2 2" xfId="1728" xr:uid="{00000000-0005-0000-0000-0000DF740000}"/>
    <cellStyle name="Normal 11 2 2 4 3 2 2 2" xfId="30817" xr:uid="{00000000-0005-0000-0000-0000E0740000}"/>
    <cellStyle name="Normal 11 2 2 4 3 2 2 2 2" xfId="30818" xr:uid="{00000000-0005-0000-0000-0000E1740000}"/>
    <cellStyle name="Normal 11 2 2 4 3 2 2 2 2 2" xfId="30819" xr:uid="{00000000-0005-0000-0000-0000E2740000}"/>
    <cellStyle name="Normal 11 2 2 4 3 2 2 2 2 2 2" xfId="30820" xr:uid="{00000000-0005-0000-0000-0000E3740000}"/>
    <cellStyle name="Normal 11 2 2 4 3 2 2 2 2 3" xfId="30821" xr:uid="{00000000-0005-0000-0000-0000E4740000}"/>
    <cellStyle name="Normal 11 2 2 4 3 2 2 2 3" xfId="30822" xr:uid="{00000000-0005-0000-0000-0000E5740000}"/>
    <cellStyle name="Normal 11 2 2 4 3 2 2 2 3 2" xfId="30823" xr:uid="{00000000-0005-0000-0000-0000E6740000}"/>
    <cellStyle name="Normal 11 2 2 4 3 2 2 2 4" xfId="30824" xr:uid="{00000000-0005-0000-0000-0000E7740000}"/>
    <cellStyle name="Normal 11 2 2 4 3 2 2 3" xfId="30825" xr:uid="{00000000-0005-0000-0000-0000E8740000}"/>
    <cellStyle name="Normal 11 2 2 4 3 2 2 3 2" xfId="30826" xr:uid="{00000000-0005-0000-0000-0000E9740000}"/>
    <cellStyle name="Normal 11 2 2 4 3 2 2 3 2 2" xfId="30827" xr:uid="{00000000-0005-0000-0000-0000EA740000}"/>
    <cellStyle name="Normal 11 2 2 4 3 2 2 3 2 2 2" xfId="30828" xr:uid="{00000000-0005-0000-0000-0000EB740000}"/>
    <cellStyle name="Normal 11 2 2 4 3 2 2 3 2 3" xfId="30829" xr:uid="{00000000-0005-0000-0000-0000EC740000}"/>
    <cellStyle name="Normal 11 2 2 4 3 2 2 3 3" xfId="30830" xr:uid="{00000000-0005-0000-0000-0000ED740000}"/>
    <cellStyle name="Normal 11 2 2 4 3 2 2 3 3 2" xfId="30831" xr:uid="{00000000-0005-0000-0000-0000EE740000}"/>
    <cellStyle name="Normal 11 2 2 4 3 2 2 3 4" xfId="30832" xr:uid="{00000000-0005-0000-0000-0000EF740000}"/>
    <cellStyle name="Normal 11 2 2 4 3 2 2 4" xfId="30833" xr:uid="{00000000-0005-0000-0000-0000F0740000}"/>
    <cellStyle name="Normal 11 2 2 4 3 2 2 4 2" xfId="30834" xr:uid="{00000000-0005-0000-0000-0000F1740000}"/>
    <cellStyle name="Normal 11 2 2 4 3 2 2 4 2 2" xfId="30835" xr:uid="{00000000-0005-0000-0000-0000F2740000}"/>
    <cellStyle name="Normal 11 2 2 4 3 2 2 4 3" xfId="30836" xr:uid="{00000000-0005-0000-0000-0000F3740000}"/>
    <cellStyle name="Normal 11 2 2 4 3 2 2 5" xfId="30837" xr:uid="{00000000-0005-0000-0000-0000F4740000}"/>
    <cellStyle name="Normal 11 2 2 4 3 2 2 5 2" xfId="30838" xr:uid="{00000000-0005-0000-0000-0000F5740000}"/>
    <cellStyle name="Normal 11 2 2 4 3 2 2 6" xfId="30839" xr:uid="{00000000-0005-0000-0000-0000F6740000}"/>
    <cellStyle name="Normal 11 2 2 4 3 2 2 7" xfId="30816" xr:uid="{00000000-0005-0000-0000-0000F7740000}"/>
    <cellStyle name="Normal 11 2 2 4 3 2 3" xfId="30840" xr:uid="{00000000-0005-0000-0000-0000F8740000}"/>
    <cellStyle name="Normal 11 2 2 4 3 2 3 2" xfId="30841" xr:uid="{00000000-0005-0000-0000-0000F9740000}"/>
    <cellStyle name="Normal 11 2 2 4 3 2 3 2 2" xfId="30842" xr:uid="{00000000-0005-0000-0000-0000FA740000}"/>
    <cellStyle name="Normal 11 2 2 4 3 2 3 2 2 2" xfId="30843" xr:uid="{00000000-0005-0000-0000-0000FB740000}"/>
    <cellStyle name="Normal 11 2 2 4 3 2 3 2 2 2 2" xfId="30844" xr:uid="{00000000-0005-0000-0000-0000FC740000}"/>
    <cellStyle name="Normal 11 2 2 4 3 2 3 2 2 3" xfId="30845" xr:uid="{00000000-0005-0000-0000-0000FD740000}"/>
    <cellStyle name="Normal 11 2 2 4 3 2 3 2 3" xfId="30846" xr:uid="{00000000-0005-0000-0000-0000FE740000}"/>
    <cellStyle name="Normal 11 2 2 4 3 2 3 2 3 2" xfId="30847" xr:uid="{00000000-0005-0000-0000-0000FF740000}"/>
    <cellStyle name="Normal 11 2 2 4 3 2 3 2 4" xfId="30848" xr:uid="{00000000-0005-0000-0000-000000750000}"/>
    <cellStyle name="Normal 11 2 2 4 3 2 3 3" xfId="30849" xr:uid="{00000000-0005-0000-0000-000001750000}"/>
    <cellStyle name="Normal 11 2 2 4 3 2 3 3 2" xfId="30850" xr:uid="{00000000-0005-0000-0000-000002750000}"/>
    <cellStyle name="Normal 11 2 2 4 3 2 3 3 2 2" xfId="30851" xr:uid="{00000000-0005-0000-0000-000003750000}"/>
    <cellStyle name="Normal 11 2 2 4 3 2 3 3 3" xfId="30852" xr:uid="{00000000-0005-0000-0000-000004750000}"/>
    <cellStyle name="Normal 11 2 2 4 3 2 3 4" xfId="30853" xr:uid="{00000000-0005-0000-0000-000005750000}"/>
    <cellStyle name="Normal 11 2 2 4 3 2 3 4 2" xfId="30854" xr:uid="{00000000-0005-0000-0000-000006750000}"/>
    <cellStyle name="Normal 11 2 2 4 3 2 3 5" xfId="30855" xr:uid="{00000000-0005-0000-0000-000007750000}"/>
    <cellStyle name="Normal 11 2 2 4 3 2 4" xfId="30856" xr:uid="{00000000-0005-0000-0000-000008750000}"/>
    <cellStyle name="Normal 11 2 2 4 3 2 4 2" xfId="30857" xr:uid="{00000000-0005-0000-0000-000009750000}"/>
    <cellStyle name="Normal 11 2 2 4 3 2 4 2 2" xfId="30858" xr:uid="{00000000-0005-0000-0000-00000A750000}"/>
    <cellStyle name="Normal 11 2 2 4 3 2 4 2 2 2" xfId="30859" xr:uid="{00000000-0005-0000-0000-00000B750000}"/>
    <cellStyle name="Normal 11 2 2 4 3 2 4 2 2 2 2" xfId="30860" xr:uid="{00000000-0005-0000-0000-00000C750000}"/>
    <cellStyle name="Normal 11 2 2 4 3 2 4 2 2 3" xfId="30861" xr:uid="{00000000-0005-0000-0000-00000D750000}"/>
    <cellStyle name="Normal 11 2 2 4 3 2 4 2 3" xfId="30862" xr:uid="{00000000-0005-0000-0000-00000E750000}"/>
    <cellStyle name="Normal 11 2 2 4 3 2 4 2 3 2" xfId="30863" xr:uid="{00000000-0005-0000-0000-00000F750000}"/>
    <cellStyle name="Normal 11 2 2 4 3 2 4 2 4" xfId="30864" xr:uid="{00000000-0005-0000-0000-000010750000}"/>
    <cellStyle name="Normal 11 2 2 4 3 2 4 3" xfId="30865" xr:uid="{00000000-0005-0000-0000-000011750000}"/>
    <cellStyle name="Normal 11 2 2 4 3 2 4 3 2" xfId="30866" xr:uid="{00000000-0005-0000-0000-000012750000}"/>
    <cellStyle name="Normal 11 2 2 4 3 2 4 3 2 2" xfId="30867" xr:uid="{00000000-0005-0000-0000-000013750000}"/>
    <cellStyle name="Normal 11 2 2 4 3 2 4 3 3" xfId="30868" xr:uid="{00000000-0005-0000-0000-000014750000}"/>
    <cellStyle name="Normal 11 2 2 4 3 2 4 4" xfId="30869" xr:uid="{00000000-0005-0000-0000-000015750000}"/>
    <cellStyle name="Normal 11 2 2 4 3 2 4 4 2" xfId="30870" xr:uid="{00000000-0005-0000-0000-000016750000}"/>
    <cellStyle name="Normal 11 2 2 4 3 2 4 5" xfId="30871" xr:uid="{00000000-0005-0000-0000-000017750000}"/>
    <cellStyle name="Normal 11 2 2 4 3 2 5" xfId="30872" xr:uid="{00000000-0005-0000-0000-000018750000}"/>
    <cellStyle name="Normal 11 2 2 4 3 2 5 2" xfId="30873" xr:uid="{00000000-0005-0000-0000-000019750000}"/>
    <cellStyle name="Normal 11 2 2 4 3 2 5 2 2" xfId="30874" xr:uid="{00000000-0005-0000-0000-00001A750000}"/>
    <cellStyle name="Normal 11 2 2 4 3 2 5 2 2 2" xfId="30875" xr:uid="{00000000-0005-0000-0000-00001B750000}"/>
    <cellStyle name="Normal 11 2 2 4 3 2 5 2 3" xfId="30876" xr:uid="{00000000-0005-0000-0000-00001C750000}"/>
    <cellStyle name="Normal 11 2 2 4 3 2 5 3" xfId="30877" xr:uid="{00000000-0005-0000-0000-00001D750000}"/>
    <cellStyle name="Normal 11 2 2 4 3 2 5 3 2" xfId="30878" xr:uid="{00000000-0005-0000-0000-00001E750000}"/>
    <cellStyle name="Normal 11 2 2 4 3 2 5 4" xfId="30879" xr:uid="{00000000-0005-0000-0000-00001F750000}"/>
    <cellStyle name="Normal 11 2 2 4 3 2 6" xfId="30880" xr:uid="{00000000-0005-0000-0000-000020750000}"/>
    <cellStyle name="Normal 11 2 2 4 3 2 6 2" xfId="30881" xr:uid="{00000000-0005-0000-0000-000021750000}"/>
    <cellStyle name="Normal 11 2 2 4 3 2 6 2 2" xfId="30882" xr:uid="{00000000-0005-0000-0000-000022750000}"/>
    <cellStyle name="Normal 11 2 2 4 3 2 6 2 2 2" xfId="30883" xr:uid="{00000000-0005-0000-0000-000023750000}"/>
    <cellStyle name="Normal 11 2 2 4 3 2 6 2 3" xfId="30884" xr:uid="{00000000-0005-0000-0000-000024750000}"/>
    <cellStyle name="Normal 11 2 2 4 3 2 6 3" xfId="30885" xr:uid="{00000000-0005-0000-0000-000025750000}"/>
    <cellStyle name="Normal 11 2 2 4 3 2 6 3 2" xfId="30886" xr:uid="{00000000-0005-0000-0000-000026750000}"/>
    <cellStyle name="Normal 11 2 2 4 3 2 6 4" xfId="30887" xr:uid="{00000000-0005-0000-0000-000027750000}"/>
    <cellStyle name="Normal 11 2 2 4 3 2 7" xfId="30888" xr:uid="{00000000-0005-0000-0000-000028750000}"/>
    <cellStyle name="Normal 11 2 2 4 3 2 7 2" xfId="30889" xr:uid="{00000000-0005-0000-0000-000029750000}"/>
    <cellStyle name="Normal 11 2 2 4 3 2 7 2 2" xfId="30890" xr:uid="{00000000-0005-0000-0000-00002A750000}"/>
    <cellStyle name="Normal 11 2 2 4 3 2 7 2 2 2" xfId="30891" xr:uid="{00000000-0005-0000-0000-00002B750000}"/>
    <cellStyle name="Normal 11 2 2 4 3 2 7 2 3" xfId="30892" xr:uid="{00000000-0005-0000-0000-00002C750000}"/>
    <cellStyle name="Normal 11 2 2 4 3 2 7 3" xfId="30893" xr:uid="{00000000-0005-0000-0000-00002D750000}"/>
    <cellStyle name="Normal 11 2 2 4 3 2 7 3 2" xfId="30894" xr:uid="{00000000-0005-0000-0000-00002E750000}"/>
    <cellStyle name="Normal 11 2 2 4 3 2 7 4" xfId="30895" xr:uid="{00000000-0005-0000-0000-00002F750000}"/>
    <cellStyle name="Normal 11 2 2 4 3 2 8" xfId="30896" xr:uid="{00000000-0005-0000-0000-000030750000}"/>
    <cellStyle name="Normal 11 2 2 4 3 2 8 2" xfId="30897" xr:uid="{00000000-0005-0000-0000-000031750000}"/>
    <cellStyle name="Normal 11 2 2 4 3 2 8 2 2" xfId="30898" xr:uid="{00000000-0005-0000-0000-000032750000}"/>
    <cellStyle name="Normal 11 2 2 4 3 2 8 3" xfId="30899" xr:uid="{00000000-0005-0000-0000-000033750000}"/>
    <cellStyle name="Normal 11 2 2 4 3 2 9" xfId="30900" xr:uid="{00000000-0005-0000-0000-000034750000}"/>
    <cellStyle name="Normal 11 2 2 4 3 2 9 2" xfId="30901" xr:uid="{00000000-0005-0000-0000-000035750000}"/>
    <cellStyle name="Normal 11 2 2 4 3 3" xfId="1401" xr:uid="{00000000-0005-0000-0000-000036750000}"/>
    <cellStyle name="Normal 11 2 2 4 3 3 2" xfId="30903" xr:uid="{00000000-0005-0000-0000-000037750000}"/>
    <cellStyle name="Normal 11 2 2 4 3 3 2 2" xfId="30904" xr:uid="{00000000-0005-0000-0000-000038750000}"/>
    <cellStyle name="Normal 11 2 2 4 3 3 2 2 2" xfId="30905" xr:uid="{00000000-0005-0000-0000-000039750000}"/>
    <cellStyle name="Normal 11 2 2 4 3 3 2 2 2 2" xfId="30906" xr:uid="{00000000-0005-0000-0000-00003A750000}"/>
    <cellStyle name="Normal 11 2 2 4 3 3 2 2 3" xfId="30907" xr:uid="{00000000-0005-0000-0000-00003B750000}"/>
    <cellStyle name="Normal 11 2 2 4 3 3 2 3" xfId="30908" xr:uid="{00000000-0005-0000-0000-00003C750000}"/>
    <cellStyle name="Normal 11 2 2 4 3 3 2 3 2" xfId="30909" xr:uid="{00000000-0005-0000-0000-00003D750000}"/>
    <cellStyle name="Normal 11 2 2 4 3 3 2 4" xfId="30910" xr:uid="{00000000-0005-0000-0000-00003E750000}"/>
    <cellStyle name="Normal 11 2 2 4 3 3 3" xfId="30911" xr:uid="{00000000-0005-0000-0000-00003F750000}"/>
    <cellStyle name="Normal 11 2 2 4 3 3 3 2" xfId="30912" xr:uid="{00000000-0005-0000-0000-000040750000}"/>
    <cellStyle name="Normal 11 2 2 4 3 3 3 2 2" xfId="30913" xr:uid="{00000000-0005-0000-0000-000041750000}"/>
    <cellStyle name="Normal 11 2 2 4 3 3 3 2 2 2" xfId="30914" xr:uid="{00000000-0005-0000-0000-000042750000}"/>
    <cellStyle name="Normal 11 2 2 4 3 3 3 2 3" xfId="30915" xr:uid="{00000000-0005-0000-0000-000043750000}"/>
    <cellStyle name="Normal 11 2 2 4 3 3 3 3" xfId="30916" xr:uid="{00000000-0005-0000-0000-000044750000}"/>
    <cellStyle name="Normal 11 2 2 4 3 3 3 3 2" xfId="30917" xr:uid="{00000000-0005-0000-0000-000045750000}"/>
    <cellStyle name="Normal 11 2 2 4 3 3 3 4" xfId="30918" xr:uid="{00000000-0005-0000-0000-000046750000}"/>
    <cellStyle name="Normal 11 2 2 4 3 3 4" xfId="30919" xr:uid="{00000000-0005-0000-0000-000047750000}"/>
    <cellStyle name="Normal 11 2 2 4 3 3 4 2" xfId="30920" xr:uid="{00000000-0005-0000-0000-000048750000}"/>
    <cellStyle name="Normal 11 2 2 4 3 3 4 2 2" xfId="30921" xr:uid="{00000000-0005-0000-0000-000049750000}"/>
    <cellStyle name="Normal 11 2 2 4 3 3 4 3" xfId="30922" xr:uid="{00000000-0005-0000-0000-00004A750000}"/>
    <cellStyle name="Normal 11 2 2 4 3 3 5" xfId="30923" xr:uid="{00000000-0005-0000-0000-00004B750000}"/>
    <cellStyle name="Normal 11 2 2 4 3 3 5 2" xfId="30924" xr:uid="{00000000-0005-0000-0000-00004C750000}"/>
    <cellStyle name="Normal 11 2 2 4 3 3 6" xfId="30925" xr:uid="{00000000-0005-0000-0000-00004D750000}"/>
    <cellStyle name="Normal 11 2 2 4 3 3 7" xfId="30902" xr:uid="{00000000-0005-0000-0000-00004E750000}"/>
    <cellStyle name="Normal 11 2 2 4 3 4" xfId="30926" xr:uid="{00000000-0005-0000-0000-00004F750000}"/>
    <cellStyle name="Normal 11 2 2 4 3 4 2" xfId="30927" xr:uid="{00000000-0005-0000-0000-000050750000}"/>
    <cellStyle name="Normal 11 2 2 4 3 4 2 2" xfId="30928" xr:uid="{00000000-0005-0000-0000-000051750000}"/>
    <cellStyle name="Normal 11 2 2 4 3 4 2 2 2" xfId="30929" xr:uid="{00000000-0005-0000-0000-000052750000}"/>
    <cellStyle name="Normal 11 2 2 4 3 4 2 2 2 2" xfId="30930" xr:uid="{00000000-0005-0000-0000-000053750000}"/>
    <cellStyle name="Normal 11 2 2 4 3 4 2 2 3" xfId="30931" xr:uid="{00000000-0005-0000-0000-000054750000}"/>
    <cellStyle name="Normal 11 2 2 4 3 4 2 3" xfId="30932" xr:uid="{00000000-0005-0000-0000-000055750000}"/>
    <cellStyle name="Normal 11 2 2 4 3 4 2 3 2" xfId="30933" xr:uid="{00000000-0005-0000-0000-000056750000}"/>
    <cellStyle name="Normal 11 2 2 4 3 4 2 4" xfId="30934" xr:uid="{00000000-0005-0000-0000-000057750000}"/>
    <cellStyle name="Normal 11 2 2 4 3 4 3" xfId="30935" xr:uid="{00000000-0005-0000-0000-000058750000}"/>
    <cellStyle name="Normal 11 2 2 4 3 4 3 2" xfId="30936" xr:uid="{00000000-0005-0000-0000-000059750000}"/>
    <cellStyle name="Normal 11 2 2 4 3 4 3 2 2" xfId="30937" xr:uid="{00000000-0005-0000-0000-00005A750000}"/>
    <cellStyle name="Normal 11 2 2 4 3 4 3 3" xfId="30938" xr:uid="{00000000-0005-0000-0000-00005B750000}"/>
    <cellStyle name="Normal 11 2 2 4 3 4 4" xfId="30939" xr:uid="{00000000-0005-0000-0000-00005C750000}"/>
    <cellStyle name="Normal 11 2 2 4 3 4 4 2" xfId="30940" xr:uid="{00000000-0005-0000-0000-00005D750000}"/>
    <cellStyle name="Normal 11 2 2 4 3 4 5" xfId="30941" xr:uid="{00000000-0005-0000-0000-00005E750000}"/>
    <cellStyle name="Normal 11 2 2 4 3 5" xfId="30942" xr:uid="{00000000-0005-0000-0000-00005F750000}"/>
    <cellStyle name="Normal 11 2 2 4 3 5 2" xfId="30943" xr:uid="{00000000-0005-0000-0000-000060750000}"/>
    <cellStyle name="Normal 11 2 2 4 3 5 2 2" xfId="30944" xr:uid="{00000000-0005-0000-0000-000061750000}"/>
    <cellStyle name="Normal 11 2 2 4 3 5 2 2 2" xfId="30945" xr:uid="{00000000-0005-0000-0000-000062750000}"/>
    <cellStyle name="Normal 11 2 2 4 3 5 2 2 2 2" xfId="30946" xr:uid="{00000000-0005-0000-0000-000063750000}"/>
    <cellStyle name="Normal 11 2 2 4 3 5 2 2 3" xfId="30947" xr:uid="{00000000-0005-0000-0000-000064750000}"/>
    <cellStyle name="Normal 11 2 2 4 3 5 2 3" xfId="30948" xr:uid="{00000000-0005-0000-0000-000065750000}"/>
    <cellStyle name="Normal 11 2 2 4 3 5 2 3 2" xfId="30949" xr:uid="{00000000-0005-0000-0000-000066750000}"/>
    <cellStyle name="Normal 11 2 2 4 3 5 2 4" xfId="30950" xr:uid="{00000000-0005-0000-0000-000067750000}"/>
    <cellStyle name="Normal 11 2 2 4 3 5 3" xfId="30951" xr:uid="{00000000-0005-0000-0000-000068750000}"/>
    <cellStyle name="Normal 11 2 2 4 3 5 3 2" xfId="30952" xr:uid="{00000000-0005-0000-0000-000069750000}"/>
    <cellStyle name="Normal 11 2 2 4 3 5 3 2 2" xfId="30953" xr:uid="{00000000-0005-0000-0000-00006A750000}"/>
    <cellStyle name="Normal 11 2 2 4 3 5 3 3" xfId="30954" xr:uid="{00000000-0005-0000-0000-00006B750000}"/>
    <cellStyle name="Normal 11 2 2 4 3 5 4" xfId="30955" xr:uid="{00000000-0005-0000-0000-00006C750000}"/>
    <cellStyle name="Normal 11 2 2 4 3 5 4 2" xfId="30956" xr:uid="{00000000-0005-0000-0000-00006D750000}"/>
    <cellStyle name="Normal 11 2 2 4 3 5 5" xfId="30957" xr:uid="{00000000-0005-0000-0000-00006E750000}"/>
    <cellStyle name="Normal 11 2 2 4 3 6" xfId="30958" xr:uid="{00000000-0005-0000-0000-00006F750000}"/>
    <cellStyle name="Normal 11 2 2 4 3 6 2" xfId="30959" xr:uid="{00000000-0005-0000-0000-000070750000}"/>
    <cellStyle name="Normal 11 2 2 4 3 6 2 2" xfId="30960" xr:uid="{00000000-0005-0000-0000-000071750000}"/>
    <cellStyle name="Normal 11 2 2 4 3 6 2 2 2" xfId="30961" xr:uid="{00000000-0005-0000-0000-000072750000}"/>
    <cellStyle name="Normal 11 2 2 4 3 6 2 3" xfId="30962" xr:uid="{00000000-0005-0000-0000-000073750000}"/>
    <cellStyle name="Normal 11 2 2 4 3 6 3" xfId="30963" xr:uid="{00000000-0005-0000-0000-000074750000}"/>
    <cellStyle name="Normal 11 2 2 4 3 6 3 2" xfId="30964" xr:uid="{00000000-0005-0000-0000-000075750000}"/>
    <cellStyle name="Normal 11 2 2 4 3 6 4" xfId="30965" xr:uid="{00000000-0005-0000-0000-000076750000}"/>
    <cellStyle name="Normal 11 2 2 4 3 7" xfId="30966" xr:uid="{00000000-0005-0000-0000-000077750000}"/>
    <cellStyle name="Normal 11 2 2 4 3 7 2" xfId="30967" xr:uid="{00000000-0005-0000-0000-000078750000}"/>
    <cellStyle name="Normal 11 2 2 4 3 7 2 2" xfId="30968" xr:uid="{00000000-0005-0000-0000-000079750000}"/>
    <cellStyle name="Normal 11 2 2 4 3 7 2 2 2" xfId="30969" xr:uid="{00000000-0005-0000-0000-00007A750000}"/>
    <cellStyle name="Normal 11 2 2 4 3 7 2 3" xfId="30970" xr:uid="{00000000-0005-0000-0000-00007B750000}"/>
    <cellStyle name="Normal 11 2 2 4 3 7 3" xfId="30971" xr:uid="{00000000-0005-0000-0000-00007C750000}"/>
    <cellStyle name="Normal 11 2 2 4 3 7 3 2" xfId="30972" xr:uid="{00000000-0005-0000-0000-00007D750000}"/>
    <cellStyle name="Normal 11 2 2 4 3 7 4" xfId="30973" xr:uid="{00000000-0005-0000-0000-00007E750000}"/>
    <cellStyle name="Normal 11 2 2 4 3 8" xfId="30974" xr:uid="{00000000-0005-0000-0000-00007F750000}"/>
    <cellStyle name="Normal 11 2 2 4 3 8 2" xfId="30975" xr:uid="{00000000-0005-0000-0000-000080750000}"/>
    <cellStyle name="Normal 11 2 2 4 3 8 2 2" xfId="30976" xr:uid="{00000000-0005-0000-0000-000081750000}"/>
    <cellStyle name="Normal 11 2 2 4 3 8 2 2 2" xfId="30977" xr:uid="{00000000-0005-0000-0000-000082750000}"/>
    <cellStyle name="Normal 11 2 2 4 3 8 2 3" xfId="30978" xr:uid="{00000000-0005-0000-0000-000083750000}"/>
    <cellStyle name="Normal 11 2 2 4 3 8 3" xfId="30979" xr:uid="{00000000-0005-0000-0000-000084750000}"/>
    <cellStyle name="Normal 11 2 2 4 3 8 3 2" xfId="30980" xr:uid="{00000000-0005-0000-0000-000085750000}"/>
    <cellStyle name="Normal 11 2 2 4 3 8 4" xfId="30981" xr:uid="{00000000-0005-0000-0000-000086750000}"/>
    <cellStyle name="Normal 11 2 2 4 3 9" xfId="30982" xr:uid="{00000000-0005-0000-0000-000087750000}"/>
    <cellStyle name="Normal 11 2 2 4 3 9 2" xfId="30983" xr:uid="{00000000-0005-0000-0000-000088750000}"/>
    <cellStyle name="Normal 11 2 2 4 3 9 2 2" xfId="30984" xr:uid="{00000000-0005-0000-0000-000089750000}"/>
    <cellStyle name="Normal 11 2 2 4 3 9 3" xfId="30985" xr:uid="{00000000-0005-0000-0000-00008A750000}"/>
    <cellStyle name="Normal 11 2 2 4 4" xfId="997" xr:uid="{00000000-0005-0000-0000-00008B750000}"/>
    <cellStyle name="Normal 11 2 2 4 4 10" xfId="30987" xr:uid="{00000000-0005-0000-0000-00008C750000}"/>
    <cellStyle name="Normal 11 2 2 4 4 11" xfId="30986" xr:uid="{00000000-0005-0000-0000-00008D750000}"/>
    <cellStyle name="Normal 11 2 2 4 4 2" xfId="1726" xr:uid="{00000000-0005-0000-0000-00008E750000}"/>
    <cellStyle name="Normal 11 2 2 4 4 2 2" xfId="30989" xr:uid="{00000000-0005-0000-0000-00008F750000}"/>
    <cellStyle name="Normal 11 2 2 4 4 2 2 2" xfId="30990" xr:uid="{00000000-0005-0000-0000-000090750000}"/>
    <cellStyle name="Normal 11 2 2 4 4 2 2 2 2" xfId="30991" xr:uid="{00000000-0005-0000-0000-000091750000}"/>
    <cellStyle name="Normal 11 2 2 4 4 2 2 2 2 2" xfId="30992" xr:uid="{00000000-0005-0000-0000-000092750000}"/>
    <cellStyle name="Normal 11 2 2 4 4 2 2 2 3" xfId="30993" xr:uid="{00000000-0005-0000-0000-000093750000}"/>
    <cellStyle name="Normal 11 2 2 4 4 2 2 3" xfId="30994" xr:uid="{00000000-0005-0000-0000-000094750000}"/>
    <cellStyle name="Normal 11 2 2 4 4 2 2 3 2" xfId="30995" xr:uid="{00000000-0005-0000-0000-000095750000}"/>
    <cellStyle name="Normal 11 2 2 4 4 2 2 4" xfId="30996" xr:uid="{00000000-0005-0000-0000-000096750000}"/>
    <cellStyle name="Normal 11 2 2 4 4 2 3" xfId="30997" xr:uid="{00000000-0005-0000-0000-000097750000}"/>
    <cellStyle name="Normal 11 2 2 4 4 2 3 2" xfId="30998" xr:uid="{00000000-0005-0000-0000-000098750000}"/>
    <cellStyle name="Normal 11 2 2 4 4 2 3 2 2" xfId="30999" xr:uid="{00000000-0005-0000-0000-000099750000}"/>
    <cellStyle name="Normal 11 2 2 4 4 2 3 2 2 2" xfId="31000" xr:uid="{00000000-0005-0000-0000-00009A750000}"/>
    <cellStyle name="Normal 11 2 2 4 4 2 3 2 3" xfId="31001" xr:uid="{00000000-0005-0000-0000-00009B750000}"/>
    <cellStyle name="Normal 11 2 2 4 4 2 3 3" xfId="31002" xr:uid="{00000000-0005-0000-0000-00009C750000}"/>
    <cellStyle name="Normal 11 2 2 4 4 2 3 3 2" xfId="31003" xr:uid="{00000000-0005-0000-0000-00009D750000}"/>
    <cellStyle name="Normal 11 2 2 4 4 2 3 4" xfId="31004" xr:uid="{00000000-0005-0000-0000-00009E750000}"/>
    <cellStyle name="Normal 11 2 2 4 4 2 4" xfId="31005" xr:uid="{00000000-0005-0000-0000-00009F750000}"/>
    <cellStyle name="Normal 11 2 2 4 4 2 4 2" xfId="31006" xr:uid="{00000000-0005-0000-0000-0000A0750000}"/>
    <cellStyle name="Normal 11 2 2 4 4 2 4 2 2" xfId="31007" xr:uid="{00000000-0005-0000-0000-0000A1750000}"/>
    <cellStyle name="Normal 11 2 2 4 4 2 4 3" xfId="31008" xr:uid="{00000000-0005-0000-0000-0000A2750000}"/>
    <cellStyle name="Normal 11 2 2 4 4 2 5" xfId="31009" xr:uid="{00000000-0005-0000-0000-0000A3750000}"/>
    <cellStyle name="Normal 11 2 2 4 4 2 5 2" xfId="31010" xr:uid="{00000000-0005-0000-0000-0000A4750000}"/>
    <cellStyle name="Normal 11 2 2 4 4 2 6" xfId="31011" xr:uid="{00000000-0005-0000-0000-0000A5750000}"/>
    <cellStyle name="Normal 11 2 2 4 4 2 7" xfId="30988" xr:uid="{00000000-0005-0000-0000-0000A6750000}"/>
    <cellStyle name="Normal 11 2 2 4 4 3" xfId="31012" xr:uid="{00000000-0005-0000-0000-0000A7750000}"/>
    <cellStyle name="Normal 11 2 2 4 4 3 2" xfId="31013" xr:uid="{00000000-0005-0000-0000-0000A8750000}"/>
    <cellStyle name="Normal 11 2 2 4 4 3 2 2" xfId="31014" xr:uid="{00000000-0005-0000-0000-0000A9750000}"/>
    <cellStyle name="Normal 11 2 2 4 4 3 2 2 2" xfId="31015" xr:uid="{00000000-0005-0000-0000-0000AA750000}"/>
    <cellStyle name="Normal 11 2 2 4 4 3 2 2 2 2" xfId="31016" xr:uid="{00000000-0005-0000-0000-0000AB750000}"/>
    <cellStyle name="Normal 11 2 2 4 4 3 2 2 3" xfId="31017" xr:uid="{00000000-0005-0000-0000-0000AC750000}"/>
    <cellStyle name="Normal 11 2 2 4 4 3 2 3" xfId="31018" xr:uid="{00000000-0005-0000-0000-0000AD750000}"/>
    <cellStyle name="Normal 11 2 2 4 4 3 2 3 2" xfId="31019" xr:uid="{00000000-0005-0000-0000-0000AE750000}"/>
    <cellStyle name="Normal 11 2 2 4 4 3 2 4" xfId="31020" xr:uid="{00000000-0005-0000-0000-0000AF750000}"/>
    <cellStyle name="Normal 11 2 2 4 4 3 3" xfId="31021" xr:uid="{00000000-0005-0000-0000-0000B0750000}"/>
    <cellStyle name="Normal 11 2 2 4 4 3 3 2" xfId="31022" xr:uid="{00000000-0005-0000-0000-0000B1750000}"/>
    <cellStyle name="Normal 11 2 2 4 4 3 3 2 2" xfId="31023" xr:uid="{00000000-0005-0000-0000-0000B2750000}"/>
    <cellStyle name="Normal 11 2 2 4 4 3 3 3" xfId="31024" xr:uid="{00000000-0005-0000-0000-0000B3750000}"/>
    <cellStyle name="Normal 11 2 2 4 4 3 4" xfId="31025" xr:uid="{00000000-0005-0000-0000-0000B4750000}"/>
    <cellStyle name="Normal 11 2 2 4 4 3 4 2" xfId="31026" xr:uid="{00000000-0005-0000-0000-0000B5750000}"/>
    <cellStyle name="Normal 11 2 2 4 4 3 5" xfId="31027" xr:uid="{00000000-0005-0000-0000-0000B6750000}"/>
    <cellStyle name="Normal 11 2 2 4 4 4" xfId="31028" xr:uid="{00000000-0005-0000-0000-0000B7750000}"/>
    <cellStyle name="Normal 11 2 2 4 4 4 2" xfId="31029" xr:uid="{00000000-0005-0000-0000-0000B8750000}"/>
    <cellStyle name="Normal 11 2 2 4 4 4 2 2" xfId="31030" xr:uid="{00000000-0005-0000-0000-0000B9750000}"/>
    <cellStyle name="Normal 11 2 2 4 4 4 2 2 2" xfId="31031" xr:uid="{00000000-0005-0000-0000-0000BA750000}"/>
    <cellStyle name="Normal 11 2 2 4 4 4 2 2 2 2" xfId="31032" xr:uid="{00000000-0005-0000-0000-0000BB750000}"/>
    <cellStyle name="Normal 11 2 2 4 4 4 2 2 3" xfId="31033" xr:uid="{00000000-0005-0000-0000-0000BC750000}"/>
    <cellStyle name="Normal 11 2 2 4 4 4 2 3" xfId="31034" xr:uid="{00000000-0005-0000-0000-0000BD750000}"/>
    <cellStyle name="Normal 11 2 2 4 4 4 2 3 2" xfId="31035" xr:uid="{00000000-0005-0000-0000-0000BE750000}"/>
    <cellStyle name="Normal 11 2 2 4 4 4 2 4" xfId="31036" xr:uid="{00000000-0005-0000-0000-0000BF750000}"/>
    <cellStyle name="Normal 11 2 2 4 4 4 3" xfId="31037" xr:uid="{00000000-0005-0000-0000-0000C0750000}"/>
    <cellStyle name="Normal 11 2 2 4 4 4 3 2" xfId="31038" xr:uid="{00000000-0005-0000-0000-0000C1750000}"/>
    <cellStyle name="Normal 11 2 2 4 4 4 3 2 2" xfId="31039" xr:uid="{00000000-0005-0000-0000-0000C2750000}"/>
    <cellStyle name="Normal 11 2 2 4 4 4 3 3" xfId="31040" xr:uid="{00000000-0005-0000-0000-0000C3750000}"/>
    <cellStyle name="Normal 11 2 2 4 4 4 4" xfId="31041" xr:uid="{00000000-0005-0000-0000-0000C4750000}"/>
    <cellStyle name="Normal 11 2 2 4 4 4 4 2" xfId="31042" xr:uid="{00000000-0005-0000-0000-0000C5750000}"/>
    <cellStyle name="Normal 11 2 2 4 4 4 5" xfId="31043" xr:uid="{00000000-0005-0000-0000-0000C6750000}"/>
    <cellStyle name="Normal 11 2 2 4 4 5" xfId="31044" xr:uid="{00000000-0005-0000-0000-0000C7750000}"/>
    <cellStyle name="Normal 11 2 2 4 4 5 2" xfId="31045" xr:uid="{00000000-0005-0000-0000-0000C8750000}"/>
    <cellStyle name="Normal 11 2 2 4 4 5 2 2" xfId="31046" xr:uid="{00000000-0005-0000-0000-0000C9750000}"/>
    <cellStyle name="Normal 11 2 2 4 4 5 2 2 2" xfId="31047" xr:uid="{00000000-0005-0000-0000-0000CA750000}"/>
    <cellStyle name="Normal 11 2 2 4 4 5 2 3" xfId="31048" xr:uid="{00000000-0005-0000-0000-0000CB750000}"/>
    <cellStyle name="Normal 11 2 2 4 4 5 3" xfId="31049" xr:uid="{00000000-0005-0000-0000-0000CC750000}"/>
    <cellStyle name="Normal 11 2 2 4 4 5 3 2" xfId="31050" xr:uid="{00000000-0005-0000-0000-0000CD750000}"/>
    <cellStyle name="Normal 11 2 2 4 4 5 4" xfId="31051" xr:uid="{00000000-0005-0000-0000-0000CE750000}"/>
    <cellStyle name="Normal 11 2 2 4 4 6" xfId="31052" xr:uid="{00000000-0005-0000-0000-0000CF750000}"/>
    <cellStyle name="Normal 11 2 2 4 4 6 2" xfId="31053" xr:uid="{00000000-0005-0000-0000-0000D0750000}"/>
    <cellStyle name="Normal 11 2 2 4 4 6 2 2" xfId="31054" xr:uid="{00000000-0005-0000-0000-0000D1750000}"/>
    <cellStyle name="Normal 11 2 2 4 4 6 2 2 2" xfId="31055" xr:uid="{00000000-0005-0000-0000-0000D2750000}"/>
    <cellStyle name="Normal 11 2 2 4 4 6 2 3" xfId="31056" xr:uid="{00000000-0005-0000-0000-0000D3750000}"/>
    <cellStyle name="Normal 11 2 2 4 4 6 3" xfId="31057" xr:uid="{00000000-0005-0000-0000-0000D4750000}"/>
    <cellStyle name="Normal 11 2 2 4 4 6 3 2" xfId="31058" xr:uid="{00000000-0005-0000-0000-0000D5750000}"/>
    <cellStyle name="Normal 11 2 2 4 4 6 4" xfId="31059" xr:uid="{00000000-0005-0000-0000-0000D6750000}"/>
    <cellStyle name="Normal 11 2 2 4 4 7" xfId="31060" xr:uid="{00000000-0005-0000-0000-0000D7750000}"/>
    <cellStyle name="Normal 11 2 2 4 4 7 2" xfId="31061" xr:uid="{00000000-0005-0000-0000-0000D8750000}"/>
    <cellStyle name="Normal 11 2 2 4 4 7 2 2" xfId="31062" xr:uid="{00000000-0005-0000-0000-0000D9750000}"/>
    <cellStyle name="Normal 11 2 2 4 4 7 2 2 2" xfId="31063" xr:uid="{00000000-0005-0000-0000-0000DA750000}"/>
    <cellStyle name="Normal 11 2 2 4 4 7 2 3" xfId="31064" xr:uid="{00000000-0005-0000-0000-0000DB750000}"/>
    <cellStyle name="Normal 11 2 2 4 4 7 3" xfId="31065" xr:uid="{00000000-0005-0000-0000-0000DC750000}"/>
    <cellStyle name="Normal 11 2 2 4 4 7 3 2" xfId="31066" xr:uid="{00000000-0005-0000-0000-0000DD750000}"/>
    <cellStyle name="Normal 11 2 2 4 4 7 4" xfId="31067" xr:uid="{00000000-0005-0000-0000-0000DE750000}"/>
    <cellStyle name="Normal 11 2 2 4 4 8" xfId="31068" xr:uid="{00000000-0005-0000-0000-0000DF750000}"/>
    <cellStyle name="Normal 11 2 2 4 4 8 2" xfId="31069" xr:uid="{00000000-0005-0000-0000-0000E0750000}"/>
    <cellStyle name="Normal 11 2 2 4 4 8 2 2" xfId="31070" xr:uid="{00000000-0005-0000-0000-0000E1750000}"/>
    <cellStyle name="Normal 11 2 2 4 4 8 3" xfId="31071" xr:uid="{00000000-0005-0000-0000-0000E2750000}"/>
    <cellStyle name="Normal 11 2 2 4 4 9" xfId="31072" xr:uid="{00000000-0005-0000-0000-0000E3750000}"/>
    <cellStyle name="Normal 11 2 2 4 4 9 2" xfId="31073" xr:uid="{00000000-0005-0000-0000-0000E4750000}"/>
    <cellStyle name="Normal 11 2 2 4 5" xfId="1399" xr:uid="{00000000-0005-0000-0000-0000E5750000}"/>
    <cellStyle name="Normal 11 2 2 4 5 2" xfId="31075" xr:uid="{00000000-0005-0000-0000-0000E6750000}"/>
    <cellStyle name="Normal 11 2 2 4 5 2 2" xfId="31076" xr:uid="{00000000-0005-0000-0000-0000E7750000}"/>
    <cellStyle name="Normal 11 2 2 4 5 2 2 2" xfId="31077" xr:uid="{00000000-0005-0000-0000-0000E8750000}"/>
    <cellStyle name="Normal 11 2 2 4 5 2 2 2 2" xfId="31078" xr:uid="{00000000-0005-0000-0000-0000E9750000}"/>
    <cellStyle name="Normal 11 2 2 4 5 2 2 3" xfId="31079" xr:uid="{00000000-0005-0000-0000-0000EA750000}"/>
    <cellStyle name="Normal 11 2 2 4 5 2 3" xfId="31080" xr:uid="{00000000-0005-0000-0000-0000EB750000}"/>
    <cellStyle name="Normal 11 2 2 4 5 2 3 2" xfId="31081" xr:uid="{00000000-0005-0000-0000-0000EC750000}"/>
    <cellStyle name="Normal 11 2 2 4 5 2 4" xfId="31082" xr:uid="{00000000-0005-0000-0000-0000ED750000}"/>
    <cellStyle name="Normal 11 2 2 4 5 3" xfId="31083" xr:uid="{00000000-0005-0000-0000-0000EE750000}"/>
    <cellStyle name="Normal 11 2 2 4 5 3 2" xfId="31084" xr:uid="{00000000-0005-0000-0000-0000EF750000}"/>
    <cellStyle name="Normal 11 2 2 4 5 3 2 2" xfId="31085" xr:uid="{00000000-0005-0000-0000-0000F0750000}"/>
    <cellStyle name="Normal 11 2 2 4 5 3 2 2 2" xfId="31086" xr:uid="{00000000-0005-0000-0000-0000F1750000}"/>
    <cellStyle name="Normal 11 2 2 4 5 3 2 3" xfId="31087" xr:uid="{00000000-0005-0000-0000-0000F2750000}"/>
    <cellStyle name="Normal 11 2 2 4 5 3 3" xfId="31088" xr:uid="{00000000-0005-0000-0000-0000F3750000}"/>
    <cellStyle name="Normal 11 2 2 4 5 3 3 2" xfId="31089" xr:uid="{00000000-0005-0000-0000-0000F4750000}"/>
    <cellStyle name="Normal 11 2 2 4 5 3 4" xfId="31090" xr:uid="{00000000-0005-0000-0000-0000F5750000}"/>
    <cellStyle name="Normal 11 2 2 4 5 4" xfId="31091" xr:uid="{00000000-0005-0000-0000-0000F6750000}"/>
    <cellStyle name="Normal 11 2 2 4 5 4 2" xfId="31092" xr:uid="{00000000-0005-0000-0000-0000F7750000}"/>
    <cellStyle name="Normal 11 2 2 4 5 4 2 2" xfId="31093" xr:uid="{00000000-0005-0000-0000-0000F8750000}"/>
    <cellStyle name="Normal 11 2 2 4 5 4 3" xfId="31094" xr:uid="{00000000-0005-0000-0000-0000F9750000}"/>
    <cellStyle name="Normal 11 2 2 4 5 5" xfId="31095" xr:uid="{00000000-0005-0000-0000-0000FA750000}"/>
    <cellStyle name="Normal 11 2 2 4 5 5 2" xfId="31096" xr:uid="{00000000-0005-0000-0000-0000FB750000}"/>
    <cellStyle name="Normal 11 2 2 4 5 6" xfId="31097" xr:uid="{00000000-0005-0000-0000-0000FC750000}"/>
    <cellStyle name="Normal 11 2 2 4 5 7" xfId="31074" xr:uid="{00000000-0005-0000-0000-0000FD750000}"/>
    <cellStyle name="Normal 11 2 2 4 6" xfId="31098" xr:uid="{00000000-0005-0000-0000-0000FE750000}"/>
    <cellStyle name="Normal 11 2 2 4 6 2" xfId="31099" xr:uid="{00000000-0005-0000-0000-0000FF750000}"/>
    <cellStyle name="Normal 11 2 2 4 6 2 2" xfId="31100" xr:uid="{00000000-0005-0000-0000-000000760000}"/>
    <cellStyle name="Normal 11 2 2 4 6 2 2 2" xfId="31101" xr:uid="{00000000-0005-0000-0000-000001760000}"/>
    <cellStyle name="Normal 11 2 2 4 6 2 2 2 2" xfId="31102" xr:uid="{00000000-0005-0000-0000-000002760000}"/>
    <cellStyle name="Normal 11 2 2 4 6 2 2 3" xfId="31103" xr:uid="{00000000-0005-0000-0000-000003760000}"/>
    <cellStyle name="Normal 11 2 2 4 6 2 3" xfId="31104" xr:uid="{00000000-0005-0000-0000-000004760000}"/>
    <cellStyle name="Normal 11 2 2 4 6 2 3 2" xfId="31105" xr:uid="{00000000-0005-0000-0000-000005760000}"/>
    <cellStyle name="Normal 11 2 2 4 6 2 4" xfId="31106" xr:uid="{00000000-0005-0000-0000-000006760000}"/>
    <cellStyle name="Normal 11 2 2 4 6 3" xfId="31107" xr:uid="{00000000-0005-0000-0000-000007760000}"/>
    <cellStyle name="Normal 11 2 2 4 6 3 2" xfId="31108" xr:uid="{00000000-0005-0000-0000-000008760000}"/>
    <cellStyle name="Normal 11 2 2 4 6 3 2 2" xfId="31109" xr:uid="{00000000-0005-0000-0000-000009760000}"/>
    <cellStyle name="Normal 11 2 2 4 6 3 3" xfId="31110" xr:uid="{00000000-0005-0000-0000-00000A760000}"/>
    <cellStyle name="Normal 11 2 2 4 6 4" xfId="31111" xr:uid="{00000000-0005-0000-0000-00000B760000}"/>
    <cellStyle name="Normal 11 2 2 4 6 4 2" xfId="31112" xr:uid="{00000000-0005-0000-0000-00000C760000}"/>
    <cellStyle name="Normal 11 2 2 4 6 5" xfId="31113" xr:uid="{00000000-0005-0000-0000-00000D760000}"/>
    <cellStyle name="Normal 11 2 2 4 7" xfId="31114" xr:uid="{00000000-0005-0000-0000-00000E760000}"/>
    <cellStyle name="Normal 11 2 2 4 7 2" xfId="31115" xr:uid="{00000000-0005-0000-0000-00000F760000}"/>
    <cellStyle name="Normal 11 2 2 4 7 2 2" xfId="31116" xr:uid="{00000000-0005-0000-0000-000010760000}"/>
    <cellStyle name="Normal 11 2 2 4 7 2 2 2" xfId="31117" xr:uid="{00000000-0005-0000-0000-000011760000}"/>
    <cellStyle name="Normal 11 2 2 4 7 2 2 2 2" xfId="31118" xr:uid="{00000000-0005-0000-0000-000012760000}"/>
    <cellStyle name="Normal 11 2 2 4 7 2 2 3" xfId="31119" xr:uid="{00000000-0005-0000-0000-000013760000}"/>
    <cellStyle name="Normal 11 2 2 4 7 2 3" xfId="31120" xr:uid="{00000000-0005-0000-0000-000014760000}"/>
    <cellStyle name="Normal 11 2 2 4 7 2 3 2" xfId="31121" xr:uid="{00000000-0005-0000-0000-000015760000}"/>
    <cellStyle name="Normal 11 2 2 4 7 2 4" xfId="31122" xr:uid="{00000000-0005-0000-0000-000016760000}"/>
    <cellStyle name="Normal 11 2 2 4 7 3" xfId="31123" xr:uid="{00000000-0005-0000-0000-000017760000}"/>
    <cellStyle name="Normal 11 2 2 4 7 3 2" xfId="31124" xr:uid="{00000000-0005-0000-0000-000018760000}"/>
    <cellStyle name="Normal 11 2 2 4 7 3 2 2" xfId="31125" xr:uid="{00000000-0005-0000-0000-000019760000}"/>
    <cellStyle name="Normal 11 2 2 4 7 3 3" xfId="31126" xr:uid="{00000000-0005-0000-0000-00001A760000}"/>
    <cellStyle name="Normal 11 2 2 4 7 4" xfId="31127" xr:uid="{00000000-0005-0000-0000-00001B760000}"/>
    <cellStyle name="Normal 11 2 2 4 7 4 2" xfId="31128" xr:uid="{00000000-0005-0000-0000-00001C760000}"/>
    <cellStyle name="Normal 11 2 2 4 7 5" xfId="31129" xr:uid="{00000000-0005-0000-0000-00001D760000}"/>
    <cellStyle name="Normal 11 2 2 4 8" xfId="31130" xr:uid="{00000000-0005-0000-0000-00001E760000}"/>
    <cellStyle name="Normal 11 2 2 4 8 2" xfId="31131" xr:uid="{00000000-0005-0000-0000-00001F760000}"/>
    <cellStyle name="Normal 11 2 2 4 8 2 2" xfId="31132" xr:uid="{00000000-0005-0000-0000-000020760000}"/>
    <cellStyle name="Normal 11 2 2 4 8 2 2 2" xfId="31133" xr:uid="{00000000-0005-0000-0000-000021760000}"/>
    <cellStyle name="Normal 11 2 2 4 8 2 3" xfId="31134" xr:uid="{00000000-0005-0000-0000-000022760000}"/>
    <cellStyle name="Normal 11 2 2 4 8 3" xfId="31135" xr:uid="{00000000-0005-0000-0000-000023760000}"/>
    <cellStyle name="Normal 11 2 2 4 8 3 2" xfId="31136" xr:uid="{00000000-0005-0000-0000-000024760000}"/>
    <cellStyle name="Normal 11 2 2 4 8 4" xfId="31137" xr:uid="{00000000-0005-0000-0000-000025760000}"/>
    <cellStyle name="Normal 11 2 2 4 9" xfId="31138" xr:uid="{00000000-0005-0000-0000-000026760000}"/>
    <cellStyle name="Normal 11 2 2 4 9 2" xfId="31139" xr:uid="{00000000-0005-0000-0000-000027760000}"/>
    <cellStyle name="Normal 11 2 2 4 9 2 2" xfId="31140" xr:uid="{00000000-0005-0000-0000-000028760000}"/>
    <cellStyle name="Normal 11 2 2 4 9 2 2 2" xfId="31141" xr:uid="{00000000-0005-0000-0000-000029760000}"/>
    <cellStyle name="Normal 11 2 2 4 9 2 3" xfId="31142" xr:uid="{00000000-0005-0000-0000-00002A760000}"/>
    <cellStyle name="Normal 11 2 2 4 9 3" xfId="31143" xr:uid="{00000000-0005-0000-0000-00002B760000}"/>
    <cellStyle name="Normal 11 2 2 4 9 3 2" xfId="31144" xr:uid="{00000000-0005-0000-0000-00002C760000}"/>
    <cellStyle name="Normal 11 2 2 4 9 4" xfId="31145" xr:uid="{00000000-0005-0000-0000-00002D760000}"/>
    <cellStyle name="Normal 11 2 2 5" xfId="558" xr:uid="{00000000-0005-0000-0000-00002E760000}"/>
    <cellStyle name="Normal 11 2 2 5 10" xfId="31147" xr:uid="{00000000-0005-0000-0000-00002F760000}"/>
    <cellStyle name="Normal 11 2 2 5 10 2" xfId="31148" xr:uid="{00000000-0005-0000-0000-000030760000}"/>
    <cellStyle name="Normal 11 2 2 5 10 2 2" xfId="31149" xr:uid="{00000000-0005-0000-0000-000031760000}"/>
    <cellStyle name="Normal 11 2 2 5 10 3" xfId="31150" xr:uid="{00000000-0005-0000-0000-000032760000}"/>
    <cellStyle name="Normal 11 2 2 5 11" xfId="31151" xr:uid="{00000000-0005-0000-0000-000033760000}"/>
    <cellStyle name="Normal 11 2 2 5 11 2" xfId="31152" xr:uid="{00000000-0005-0000-0000-000034760000}"/>
    <cellStyle name="Normal 11 2 2 5 11 2 2" xfId="31153" xr:uid="{00000000-0005-0000-0000-000035760000}"/>
    <cellStyle name="Normal 11 2 2 5 11 3" xfId="31154" xr:uid="{00000000-0005-0000-0000-000036760000}"/>
    <cellStyle name="Normal 11 2 2 5 12" xfId="31155" xr:uid="{00000000-0005-0000-0000-000037760000}"/>
    <cellStyle name="Normal 11 2 2 5 12 2" xfId="31156" xr:uid="{00000000-0005-0000-0000-000038760000}"/>
    <cellStyle name="Normal 11 2 2 5 13" xfId="31157" xr:uid="{00000000-0005-0000-0000-000039760000}"/>
    <cellStyle name="Normal 11 2 2 5 14" xfId="31158" xr:uid="{00000000-0005-0000-0000-00003A760000}"/>
    <cellStyle name="Normal 11 2 2 5 15" xfId="31146" xr:uid="{00000000-0005-0000-0000-00003B760000}"/>
    <cellStyle name="Normal 11 2 2 5 2" xfId="1000" xr:uid="{00000000-0005-0000-0000-00003C760000}"/>
    <cellStyle name="Normal 11 2 2 5 2 10" xfId="31160" xr:uid="{00000000-0005-0000-0000-00003D760000}"/>
    <cellStyle name="Normal 11 2 2 5 2 11" xfId="31159" xr:uid="{00000000-0005-0000-0000-00003E760000}"/>
    <cellStyle name="Normal 11 2 2 5 2 2" xfId="1729" xr:uid="{00000000-0005-0000-0000-00003F760000}"/>
    <cellStyle name="Normal 11 2 2 5 2 2 2" xfId="31162" xr:uid="{00000000-0005-0000-0000-000040760000}"/>
    <cellStyle name="Normal 11 2 2 5 2 2 2 2" xfId="31163" xr:uid="{00000000-0005-0000-0000-000041760000}"/>
    <cellStyle name="Normal 11 2 2 5 2 2 2 2 2" xfId="31164" xr:uid="{00000000-0005-0000-0000-000042760000}"/>
    <cellStyle name="Normal 11 2 2 5 2 2 2 2 2 2" xfId="31165" xr:uid="{00000000-0005-0000-0000-000043760000}"/>
    <cellStyle name="Normal 11 2 2 5 2 2 2 2 3" xfId="31166" xr:uid="{00000000-0005-0000-0000-000044760000}"/>
    <cellStyle name="Normal 11 2 2 5 2 2 2 3" xfId="31167" xr:uid="{00000000-0005-0000-0000-000045760000}"/>
    <cellStyle name="Normal 11 2 2 5 2 2 2 3 2" xfId="31168" xr:uid="{00000000-0005-0000-0000-000046760000}"/>
    <cellStyle name="Normal 11 2 2 5 2 2 2 4" xfId="31169" xr:uid="{00000000-0005-0000-0000-000047760000}"/>
    <cellStyle name="Normal 11 2 2 5 2 2 3" xfId="31170" xr:uid="{00000000-0005-0000-0000-000048760000}"/>
    <cellStyle name="Normal 11 2 2 5 2 2 3 2" xfId="31171" xr:uid="{00000000-0005-0000-0000-000049760000}"/>
    <cellStyle name="Normal 11 2 2 5 2 2 3 2 2" xfId="31172" xr:uid="{00000000-0005-0000-0000-00004A760000}"/>
    <cellStyle name="Normal 11 2 2 5 2 2 3 2 2 2" xfId="31173" xr:uid="{00000000-0005-0000-0000-00004B760000}"/>
    <cellStyle name="Normal 11 2 2 5 2 2 3 2 3" xfId="31174" xr:uid="{00000000-0005-0000-0000-00004C760000}"/>
    <cellStyle name="Normal 11 2 2 5 2 2 3 3" xfId="31175" xr:uid="{00000000-0005-0000-0000-00004D760000}"/>
    <cellStyle name="Normal 11 2 2 5 2 2 3 3 2" xfId="31176" xr:uid="{00000000-0005-0000-0000-00004E760000}"/>
    <cellStyle name="Normal 11 2 2 5 2 2 3 4" xfId="31177" xr:uid="{00000000-0005-0000-0000-00004F760000}"/>
    <cellStyle name="Normal 11 2 2 5 2 2 4" xfId="31178" xr:uid="{00000000-0005-0000-0000-000050760000}"/>
    <cellStyle name="Normal 11 2 2 5 2 2 4 2" xfId="31179" xr:uid="{00000000-0005-0000-0000-000051760000}"/>
    <cellStyle name="Normal 11 2 2 5 2 2 4 2 2" xfId="31180" xr:uid="{00000000-0005-0000-0000-000052760000}"/>
    <cellStyle name="Normal 11 2 2 5 2 2 4 3" xfId="31181" xr:uid="{00000000-0005-0000-0000-000053760000}"/>
    <cellStyle name="Normal 11 2 2 5 2 2 5" xfId="31182" xr:uid="{00000000-0005-0000-0000-000054760000}"/>
    <cellStyle name="Normal 11 2 2 5 2 2 5 2" xfId="31183" xr:uid="{00000000-0005-0000-0000-000055760000}"/>
    <cellStyle name="Normal 11 2 2 5 2 2 6" xfId="31184" xr:uid="{00000000-0005-0000-0000-000056760000}"/>
    <cellStyle name="Normal 11 2 2 5 2 2 7" xfId="31161" xr:uid="{00000000-0005-0000-0000-000057760000}"/>
    <cellStyle name="Normal 11 2 2 5 2 3" xfId="31185" xr:uid="{00000000-0005-0000-0000-000058760000}"/>
    <cellStyle name="Normal 11 2 2 5 2 3 2" xfId="31186" xr:uid="{00000000-0005-0000-0000-000059760000}"/>
    <cellStyle name="Normal 11 2 2 5 2 3 2 2" xfId="31187" xr:uid="{00000000-0005-0000-0000-00005A760000}"/>
    <cellStyle name="Normal 11 2 2 5 2 3 2 2 2" xfId="31188" xr:uid="{00000000-0005-0000-0000-00005B760000}"/>
    <cellStyle name="Normal 11 2 2 5 2 3 2 2 2 2" xfId="31189" xr:uid="{00000000-0005-0000-0000-00005C760000}"/>
    <cellStyle name="Normal 11 2 2 5 2 3 2 2 3" xfId="31190" xr:uid="{00000000-0005-0000-0000-00005D760000}"/>
    <cellStyle name="Normal 11 2 2 5 2 3 2 3" xfId="31191" xr:uid="{00000000-0005-0000-0000-00005E760000}"/>
    <cellStyle name="Normal 11 2 2 5 2 3 2 3 2" xfId="31192" xr:uid="{00000000-0005-0000-0000-00005F760000}"/>
    <cellStyle name="Normal 11 2 2 5 2 3 2 4" xfId="31193" xr:uid="{00000000-0005-0000-0000-000060760000}"/>
    <cellStyle name="Normal 11 2 2 5 2 3 3" xfId="31194" xr:uid="{00000000-0005-0000-0000-000061760000}"/>
    <cellStyle name="Normal 11 2 2 5 2 3 3 2" xfId="31195" xr:uid="{00000000-0005-0000-0000-000062760000}"/>
    <cellStyle name="Normal 11 2 2 5 2 3 3 2 2" xfId="31196" xr:uid="{00000000-0005-0000-0000-000063760000}"/>
    <cellStyle name="Normal 11 2 2 5 2 3 3 3" xfId="31197" xr:uid="{00000000-0005-0000-0000-000064760000}"/>
    <cellStyle name="Normal 11 2 2 5 2 3 4" xfId="31198" xr:uid="{00000000-0005-0000-0000-000065760000}"/>
    <cellStyle name="Normal 11 2 2 5 2 3 4 2" xfId="31199" xr:uid="{00000000-0005-0000-0000-000066760000}"/>
    <cellStyle name="Normal 11 2 2 5 2 3 5" xfId="31200" xr:uid="{00000000-0005-0000-0000-000067760000}"/>
    <cellStyle name="Normal 11 2 2 5 2 4" xfId="31201" xr:uid="{00000000-0005-0000-0000-000068760000}"/>
    <cellStyle name="Normal 11 2 2 5 2 4 2" xfId="31202" xr:uid="{00000000-0005-0000-0000-000069760000}"/>
    <cellStyle name="Normal 11 2 2 5 2 4 2 2" xfId="31203" xr:uid="{00000000-0005-0000-0000-00006A760000}"/>
    <cellStyle name="Normal 11 2 2 5 2 4 2 2 2" xfId="31204" xr:uid="{00000000-0005-0000-0000-00006B760000}"/>
    <cellStyle name="Normal 11 2 2 5 2 4 2 2 2 2" xfId="31205" xr:uid="{00000000-0005-0000-0000-00006C760000}"/>
    <cellStyle name="Normal 11 2 2 5 2 4 2 2 3" xfId="31206" xr:uid="{00000000-0005-0000-0000-00006D760000}"/>
    <cellStyle name="Normal 11 2 2 5 2 4 2 3" xfId="31207" xr:uid="{00000000-0005-0000-0000-00006E760000}"/>
    <cellStyle name="Normal 11 2 2 5 2 4 2 3 2" xfId="31208" xr:uid="{00000000-0005-0000-0000-00006F760000}"/>
    <cellStyle name="Normal 11 2 2 5 2 4 2 4" xfId="31209" xr:uid="{00000000-0005-0000-0000-000070760000}"/>
    <cellStyle name="Normal 11 2 2 5 2 4 3" xfId="31210" xr:uid="{00000000-0005-0000-0000-000071760000}"/>
    <cellStyle name="Normal 11 2 2 5 2 4 3 2" xfId="31211" xr:uid="{00000000-0005-0000-0000-000072760000}"/>
    <cellStyle name="Normal 11 2 2 5 2 4 3 2 2" xfId="31212" xr:uid="{00000000-0005-0000-0000-000073760000}"/>
    <cellStyle name="Normal 11 2 2 5 2 4 3 3" xfId="31213" xr:uid="{00000000-0005-0000-0000-000074760000}"/>
    <cellStyle name="Normal 11 2 2 5 2 4 4" xfId="31214" xr:uid="{00000000-0005-0000-0000-000075760000}"/>
    <cellStyle name="Normal 11 2 2 5 2 4 4 2" xfId="31215" xr:uid="{00000000-0005-0000-0000-000076760000}"/>
    <cellStyle name="Normal 11 2 2 5 2 4 5" xfId="31216" xr:uid="{00000000-0005-0000-0000-000077760000}"/>
    <cellStyle name="Normal 11 2 2 5 2 5" xfId="31217" xr:uid="{00000000-0005-0000-0000-000078760000}"/>
    <cellStyle name="Normal 11 2 2 5 2 5 2" xfId="31218" xr:uid="{00000000-0005-0000-0000-000079760000}"/>
    <cellStyle name="Normal 11 2 2 5 2 5 2 2" xfId="31219" xr:uid="{00000000-0005-0000-0000-00007A760000}"/>
    <cellStyle name="Normal 11 2 2 5 2 5 2 2 2" xfId="31220" xr:uid="{00000000-0005-0000-0000-00007B760000}"/>
    <cellStyle name="Normal 11 2 2 5 2 5 2 3" xfId="31221" xr:uid="{00000000-0005-0000-0000-00007C760000}"/>
    <cellStyle name="Normal 11 2 2 5 2 5 3" xfId="31222" xr:uid="{00000000-0005-0000-0000-00007D760000}"/>
    <cellStyle name="Normal 11 2 2 5 2 5 3 2" xfId="31223" xr:uid="{00000000-0005-0000-0000-00007E760000}"/>
    <cellStyle name="Normal 11 2 2 5 2 5 4" xfId="31224" xr:uid="{00000000-0005-0000-0000-00007F760000}"/>
    <cellStyle name="Normal 11 2 2 5 2 6" xfId="31225" xr:uid="{00000000-0005-0000-0000-000080760000}"/>
    <cellStyle name="Normal 11 2 2 5 2 6 2" xfId="31226" xr:uid="{00000000-0005-0000-0000-000081760000}"/>
    <cellStyle name="Normal 11 2 2 5 2 6 2 2" xfId="31227" xr:uid="{00000000-0005-0000-0000-000082760000}"/>
    <cellStyle name="Normal 11 2 2 5 2 6 2 2 2" xfId="31228" xr:uid="{00000000-0005-0000-0000-000083760000}"/>
    <cellStyle name="Normal 11 2 2 5 2 6 2 3" xfId="31229" xr:uid="{00000000-0005-0000-0000-000084760000}"/>
    <cellStyle name="Normal 11 2 2 5 2 6 3" xfId="31230" xr:uid="{00000000-0005-0000-0000-000085760000}"/>
    <cellStyle name="Normal 11 2 2 5 2 6 3 2" xfId="31231" xr:uid="{00000000-0005-0000-0000-000086760000}"/>
    <cellStyle name="Normal 11 2 2 5 2 6 4" xfId="31232" xr:uid="{00000000-0005-0000-0000-000087760000}"/>
    <cellStyle name="Normal 11 2 2 5 2 7" xfId="31233" xr:uid="{00000000-0005-0000-0000-000088760000}"/>
    <cellStyle name="Normal 11 2 2 5 2 7 2" xfId="31234" xr:uid="{00000000-0005-0000-0000-000089760000}"/>
    <cellStyle name="Normal 11 2 2 5 2 7 2 2" xfId="31235" xr:uid="{00000000-0005-0000-0000-00008A760000}"/>
    <cellStyle name="Normal 11 2 2 5 2 7 2 2 2" xfId="31236" xr:uid="{00000000-0005-0000-0000-00008B760000}"/>
    <cellStyle name="Normal 11 2 2 5 2 7 2 3" xfId="31237" xr:uid="{00000000-0005-0000-0000-00008C760000}"/>
    <cellStyle name="Normal 11 2 2 5 2 7 3" xfId="31238" xr:uid="{00000000-0005-0000-0000-00008D760000}"/>
    <cellStyle name="Normal 11 2 2 5 2 7 3 2" xfId="31239" xr:uid="{00000000-0005-0000-0000-00008E760000}"/>
    <cellStyle name="Normal 11 2 2 5 2 7 4" xfId="31240" xr:uid="{00000000-0005-0000-0000-00008F760000}"/>
    <cellStyle name="Normal 11 2 2 5 2 8" xfId="31241" xr:uid="{00000000-0005-0000-0000-000090760000}"/>
    <cellStyle name="Normal 11 2 2 5 2 8 2" xfId="31242" xr:uid="{00000000-0005-0000-0000-000091760000}"/>
    <cellStyle name="Normal 11 2 2 5 2 8 2 2" xfId="31243" xr:uid="{00000000-0005-0000-0000-000092760000}"/>
    <cellStyle name="Normal 11 2 2 5 2 8 3" xfId="31244" xr:uid="{00000000-0005-0000-0000-000093760000}"/>
    <cellStyle name="Normal 11 2 2 5 2 9" xfId="31245" xr:uid="{00000000-0005-0000-0000-000094760000}"/>
    <cellStyle name="Normal 11 2 2 5 2 9 2" xfId="31246" xr:uid="{00000000-0005-0000-0000-000095760000}"/>
    <cellStyle name="Normal 11 2 2 5 3" xfId="1402" xr:uid="{00000000-0005-0000-0000-000096760000}"/>
    <cellStyle name="Normal 11 2 2 5 3 2" xfId="31248" xr:uid="{00000000-0005-0000-0000-000097760000}"/>
    <cellStyle name="Normal 11 2 2 5 3 2 2" xfId="31249" xr:uid="{00000000-0005-0000-0000-000098760000}"/>
    <cellStyle name="Normal 11 2 2 5 3 2 2 2" xfId="31250" xr:uid="{00000000-0005-0000-0000-000099760000}"/>
    <cellStyle name="Normal 11 2 2 5 3 2 2 2 2" xfId="31251" xr:uid="{00000000-0005-0000-0000-00009A760000}"/>
    <cellStyle name="Normal 11 2 2 5 3 2 2 3" xfId="31252" xr:uid="{00000000-0005-0000-0000-00009B760000}"/>
    <cellStyle name="Normal 11 2 2 5 3 2 3" xfId="31253" xr:uid="{00000000-0005-0000-0000-00009C760000}"/>
    <cellStyle name="Normal 11 2 2 5 3 2 3 2" xfId="31254" xr:uid="{00000000-0005-0000-0000-00009D760000}"/>
    <cellStyle name="Normal 11 2 2 5 3 2 4" xfId="31255" xr:uid="{00000000-0005-0000-0000-00009E760000}"/>
    <cellStyle name="Normal 11 2 2 5 3 3" xfId="31256" xr:uid="{00000000-0005-0000-0000-00009F760000}"/>
    <cellStyle name="Normal 11 2 2 5 3 3 2" xfId="31257" xr:uid="{00000000-0005-0000-0000-0000A0760000}"/>
    <cellStyle name="Normal 11 2 2 5 3 3 2 2" xfId="31258" xr:uid="{00000000-0005-0000-0000-0000A1760000}"/>
    <cellStyle name="Normal 11 2 2 5 3 3 2 2 2" xfId="31259" xr:uid="{00000000-0005-0000-0000-0000A2760000}"/>
    <cellStyle name="Normal 11 2 2 5 3 3 2 3" xfId="31260" xr:uid="{00000000-0005-0000-0000-0000A3760000}"/>
    <cellStyle name="Normal 11 2 2 5 3 3 3" xfId="31261" xr:uid="{00000000-0005-0000-0000-0000A4760000}"/>
    <cellStyle name="Normal 11 2 2 5 3 3 3 2" xfId="31262" xr:uid="{00000000-0005-0000-0000-0000A5760000}"/>
    <cellStyle name="Normal 11 2 2 5 3 3 4" xfId="31263" xr:uid="{00000000-0005-0000-0000-0000A6760000}"/>
    <cellStyle name="Normal 11 2 2 5 3 4" xfId="31264" xr:uid="{00000000-0005-0000-0000-0000A7760000}"/>
    <cellStyle name="Normal 11 2 2 5 3 4 2" xfId="31265" xr:uid="{00000000-0005-0000-0000-0000A8760000}"/>
    <cellStyle name="Normal 11 2 2 5 3 4 2 2" xfId="31266" xr:uid="{00000000-0005-0000-0000-0000A9760000}"/>
    <cellStyle name="Normal 11 2 2 5 3 4 3" xfId="31267" xr:uid="{00000000-0005-0000-0000-0000AA760000}"/>
    <cellStyle name="Normal 11 2 2 5 3 5" xfId="31268" xr:uid="{00000000-0005-0000-0000-0000AB760000}"/>
    <cellStyle name="Normal 11 2 2 5 3 5 2" xfId="31269" xr:uid="{00000000-0005-0000-0000-0000AC760000}"/>
    <cellStyle name="Normal 11 2 2 5 3 6" xfId="31270" xr:uid="{00000000-0005-0000-0000-0000AD760000}"/>
    <cellStyle name="Normal 11 2 2 5 3 7" xfId="31247" xr:uid="{00000000-0005-0000-0000-0000AE760000}"/>
    <cellStyle name="Normal 11 2 2 5 4" xfId="31271" xr:uid="{00000000-0005-0000-0000-0000AF760000}"/>
    <cellStyle name="Normal 11 2 2 5 4 2" xfId="31272" xr:uid="{00000000-0005-0000-0000-0000B0760000}"/>
    <cellStyle name="Normal 11 2 2 5 4 2 2" xfId="31273" xr:uid="{00000000-0005-0000-0000-0000B1760000}"/>
    <cellStyle name="Normal 11 2 2 5 4 2 2 2" xfId="31274" xr:uid="{00000000-0005-0000-0000-0000B2760000}"/>
    <cellStyle name="Normal 11 2 2 5 4 2 2 2 2" xfId="31275" xr:uid="{00000000-0005-0000-0000-0000B3760000}"/>
    <cellStyle name="Normal 11 2 2 5 4 2 2 3" xfId="31276" xr:uid="{00000000-0005-0000-0000-0000B4760000}"/>
    <cellStyle name="Normal 11 2 2 5 4 2 3" xfId="31277" xr:uid="{00000000-0005-0000-0000-0000B5760000}"/>
    <cellStyle name="Normal 11 2 2 5 4 2 3 2" xfId="31278" xr:uid="{00000000-0005-0000-0000-0000B6760000}"/>
    <cellStyle name="Normal 11 2 2 5 4 2 4" xfId="31279" xr:uid="{00000000-0005-0000-0000-0000B7760000}"/>
    <cellStyle name="Normal 11 2 2 5 4 3" xfId="31280" xr:uid="{00000000-0005-0000-0000-0000B8760000}"/>
    <cellStyle name="Normal 11 2 2 5 4 3 2" xfId="31281" xr:uid="{00000000-0005-0000-0000-0000B9760000}"/>
    <cellStyle name="Normal 11 2 2 5 4 3 2 2" xfId="31282" xr:uid="{00000000-0005-0000-0000-0000BA760000}"/>
    <cellStyle name="Normal 11 2 2 5 4 3 3" xfId="31283" xr:uid="{00000000-0005-0000-0000-0000BB760000}"/>
    <cellStyle name="Normal 11 2 2 5 4 4" xfId="31284" xr:uid="{00000000-0005-0000-0000-0000BC760000}"/>
    <cellStyle name="Normal 11 2 2 5 4 4 2" xfId="31285" xr:uid="{00000000-0005-0000-0000-0000BD760000}"/>
    <cellStyle name="Normal 11 2 2 5 4 5" xfId="31286" xr:uid="{00000000-0005-0000-0000-0000BE760000}"/>
    <cellStyle name="Normal 11 2 2 5 5" xfId="31287" xr:uid="{00000000-0005-0000-0000-0000BF760000}"/>
    <cellStyle name="Normal 11 2 2 5 5 2" xfId="31288" xr:uid="{00000000-0005-0000-0000-0000C0760000}"/>
    <cellStyle name="Normal 11 2 2 5 5 2 2" xfId="31289" xr:uid="{00000000-0005-0000-0000-0000C1760000}"/>
    <cellStyle name="Normal 11 2 2 5 5 2 2 2" xfId="31290" xr:uid="{00000000-0005-0000-0000-0000C2760000}"/>
    <cellStyle name="Normal 11 2 2 5 5 2 2 2 2" xfId="31291" xr:uid="{00000000-0005-0000-0000-0000C3760000}"/>
    <cellStyle name="Normal 11 2 2 5 5 2 2 3" xfId="31292" xr:uid="{00000000-0005-0000-0000-0000C4760000}"/>
    <cellStyle name="Normal 11 2 2 5 5 2 3" xfId="31293" xr:uid="{00000000-0005-0000-0000-0000C5760000}"/>
    <cellStyle name="Normal 11 2 2 5 5 2 3 2" xfId="31294" xr:uid="{00000000-0005-0000-0000-0000C6760000}"/>
    <cellStyle name="Normal 11 2 2 5 5 2 4" xfId="31295" xr:uid="{00000000-0005-0000-0000-0000C7760000}"/>
    <cellStyle name="Normal 11 2 2 5 5 3" xfId="31296" xr:uid="{00000000-0005-0000-0000-0000C8760000}"/>
    <cellStyle name="Normal 11 2 2 5 5 3 2" xfId="31297" xr:uid="{00000000-0005-0000-0000-0000C9760000}"/>
    <cellStyle name="Normal 11 2 2 5 5 3 2 2" xfId="31298" xr:uid="{00000000-0005-0000-0000-0000CA760000}"/>
    <cellStyle name="Normal 11 2 2 5 5 3 3" xfId="31299" xr:uid="{00000000-0005-0000-0000-0000CB760000}"/>
    <cellStyle name="Normal 11 2 2 5 5 4" xfId="31300" xr:uid="{00000000-0005-0000-0000-0000CC760000}"/>
    <cellStyle name="Normal 11 2 2 5 5 4 2" xfId="31301" xr:uid="{00000000-0005-0000-0000-0000CD760000}"/>
    <cellStyle name="Normal 11 2 2 5 5 5" xfId="31302" xr:uid="{00000000-0005-0000-0000-0000CE760000}"/>
    <cellStyle name="Normal 11 2 2 5 6" xfId="31303" xr:uid="{00000000-0005-0000-0000-0000CF760000}"/>
    <cellStyle name="Normal 11 2 2 5 6 2" xfId="31304" xr:uid="{00000000-0005-0000-0000-0000D0760000}"/>
    <cellStyle name="Normal 11 2 2 5 6 2 2" xfId="31305" xr:uid="{00000000-0005-0000-0000-0000D1760000}"/>
    <cellStyle name="Normal 11 2 2 5 6 2 2 2" xfId="31306" xr:uid="{00000000-0005-0000-0000-0000D2760000}"/>
    <cellStyle name="Normal 11 2 2 5 6 2 3" xfId="31307" xr:uid="{00000000-0005-0000-0000-0000D3760000}"/>
    <cellStyle name="Normal 11 2 2 5 6 3" xfId="31308" xr:uid="{00000000-0005-0000-0000-0000D4760000}"/>
    <cellStyle name="Normal 11 2 2 5 6 3 2" xfId="31309" xr:uid="{00000000-0005-0000-0000-0000D5760000}"/>
    <cellStyle name="Normal 11 2 2 5 6 4" xfId="31310" xr:uid="{00000000-0005-0000-0000-0000D6760000}"/>
    <cellStyle name="Normal 11 2 2 5 7" xfId="31311" xr:uid="{00000000-0005-0000-0000-0000D7760000}"/>
    <cellStyle name="Normal 11 2 2 5 7 2" xfId="31312" xr:uid="{00000000-0005-0000-0000-0000D8760000}"/>
    <cellStyle name="Normal 11 2 2 5 7 2 2" xfId="31313" xr:uid="{00000000-0005-0000-0000-0000D9760000}"/>
    <cellStyle name="Normal 11 2 2 5 7 2 2 2" xfId="31314" xr:uid="{00000000-0005-0000-0000-0000DA760000}"/>
    <cellStyle name="Normal 11 2 2 5 7 2 3" xfId="31315" xr:uid="{00000000-0005-0000-0000-0000DB760000}"/>
    <cellStyle name="Normal 11 2 2 5 7 3" xfId="31316" xr:uid="{00000000-0005-0000-0000-0000DC760000}"/>
    <cellStyle name="Normal 11 2 2 5 7 3 2" xfId="31317" xr:uid="{00000000-0005-0000-0000-0000DD760000}"/>
    <cellStyle name="Normal 11 2 2 5 7 4" xfId="31318" xr:uid="{00000000-0005-0000-0000-0000DE760000}"/>
    <cellStyle name="Normal 11 2 2 5 8" xfId="31319" xr:uid="{00000000-0005-0000-0000-0000DF760000}"/>
    <cellStyle name="Normal 11 2 2 5 8 2" xfId="31320" xr:uid="{00000000-0005-0000-0000-0000E0760000}"/>
    <cellStyle name="Normal 11 2 2 5 8 2 2" xfId="31321" xr:uid="{00000000-0005-0000-0000-0000E1760000}"/>
    <cellStyle name="Normal 11 2 2 5 8 2 2 2" xfId="31322" xr:uid="{00000000-0005-0000-0000-0000E2760000}"/>
    <cellStyle name="Normal 11 2 2 5 8 2 3" xfId="31323" xr:uid="{00000000-0005-0000-0000-0000E3760000}"/>
    <cellStyle name="Normal 11 2 2 5 8 3" xfId="31324" xr:uid="{00000000-0005-0000-0000-0000E4760000}"/>
    <cellStyle name="Normal 11 2 2 5 8 3 2" xfId="31325" xr:uid="{00000000-0005-0000-0000-0000E5760000}"/>
    <cellStyle name="Normal 11 2 2 5 8 4" xfId="31326" xr:uid="{00000000-0005-0000-0000-0000E6760000}"/>
    <cellStyle name="Normal 11 2 2 5 9" xfId="31327" xr:uid="{00000000-0005-0000-0000-0000E7760000}"/>
    <cellStyle name="Normal 11 2 2 5 9 2" xfId="31328" xr:uid="{00000000-0005-0000-0000-0000E8760000}"/>
    <cellStyle name="Normal 11 2 2 5 9 2 2" xfId="31329" xr:uid="{00000000-0005-0000-0000-0000E9760000}"/>
    <cellStyle name="Normal 11 2 2 5 9 3" xfId="31330" xr:uid="{00000000-0005-0000-0000-0000EA760000}"/>
    <cellStyle name="Normal 11 2 2 6" xfId="559" xr:uid="{00000000-0005-0000-0000-0000EB760000}"/>
    <cellStyle name="Normal 11 2 2 6 10" xfId="31332" xr:uid="{00000000-0005-0000-0000-0000EC760000}"/>
    <cellStyle name="Normal 11 2 2 6 10 2" xfId="31333" xr:uid="{00000000-0005-0000-0000-0000ED760000}"/>
    <cellStyle name="Normal 11 2 2 6 10 2 2" xfId="31334" xr:uid="{00000000-0005-0000-0000-0000EE760000}"/>
    <cellStyle name="Normal 11 2 2 6 10 3" xfId="31335" xr:uid="{00000000-0005-0000-0000-0000EF760000}"/>
    <cellStyle name="Normal 11 2 2 6 11" xfId="31336" xr:uid="{00000000-0005-0000-0000-0000F0760000}"/>
    <cellStyle name="Normal 11 2 2 6 11 2" xfId="31337" xr:uid="{00000000-0005-0000-0000-0000F1760000}"/>
    <cellStyle name="Normal 11 2 2 6 11 2 2" xfId="31338" xr:uid="{00000000-0005-0000-0000-0000F2760000}"/>
    <cellStyle name="Normal 11 2 2 6 11 3" xfId="31339" xr:uid="{00000000-0005-0000-0000-0000F3760000}"/>
    <cellStyle name="Normal 11 2 2 6 12" xfId="31340" xr:uid="{00000000-0005-0000-0000-0000F4760000}"/>
    <cellStyle name="Normal 11 2 2 6 12 2" xfId="31341" xr:uid="{00000000-0005-0000-0000-0000F5760000}"/>
    <cellStyle name="Normal 11 2 2 6 13" xfId="31342" xr:uid="{00000000-0005-0000-0000-0000F6760000}"/>
    <cellStyle name="Normal 11 2 2 6 14" xfId="31343" xr:uid="{00000000-0005-0000-0000-0000F7760000}"/>
    <cellStyle name="Normal 11 2 2 6 15" xfId="31331" xr:uid="{00000000-0005-0000-0000-0000F8760000}"/>
    <cellStyle name="Normal 11 2 2 6 2" xfId="1001" xr:uid="{00000000-0005-0000-0000-0000F9760000}"/>
    <cellStyle name="Normal 11 2 2 6 2 10" xfId="31345" xr:uid="{00000000-0005-0000-0000-0000FA760000}"/>
    <cellStyle name="Normal 11 2 2 6 2 11" xfId="31344" xr:uid="{00000000-0005-0000-0000-0000FB760000}"/>
    <cellStyle name="Normal 11 2 2 6 2 2" xfId="1730" xr:uid="{00000000-0005-0000-0000-0000FC760000}"/>
    <cellStyle name="Normal 11 2 2 6 2 2 2" xfId="31347" xr:uid="{00000000-0005-0000-0000-0000FD760000}"/>
    <cellStyle name="Normal 11 2 2 6 2 2 2 2" xfId="31348" xr:uid="{00000000-0005-0000-0000-0000FE760000}"/>
    <cellStyle name="Normal 11 2 2 6 2 2 2 2 2" xfId="31349" xr:uid="{00000000-0005-0000-0000-0000FF760000}"/>
    <cellStyle name="Normal 11 2 2 6 2 2 2 2 2 2" xfId="31350" xr:uid="{00000000-0005-0000-0000-000000770000}"/>
    <cellStyle name="Normal 11 2 2 6 2 2 2 2 3" xfId="31351" xr:uid="{00000000-0005-0000-0000-000001770000}"/>
    <cellStyle name="Normal 11 2 2 6 2 2 2 3" xfId="31352" xr:uid="{00000000-0005-0000-0000-000002770000}"/>
    <cellStyle name="Normal 11 2 2 6 2 2 2 3 2" xfId="31353" xr:uid="{00000000-0005-0000-0000-000003770000}"/>
    <cellStyle name="Normal 11 2 2 6 2 2 2 4" xfId="31354" xr:uid="{00000000-0005-0000-0000-000004770000}"/>
    <cellStyle name="Normal 11 2 2 6 2 2 3" xfId="31355" xr:uid="{00000000-0005-0000-0000-000005770000}"/>
    <cellStyle name="Normal 11 2 2 6 2 2 3 2" xfId="31356" xr:uid="{00000000-0005-0000-0000-000006770000}"/>
    <cellStyle name="Normal 11 2 2 6 2 2 3 2 2" xfId="31357" xr:uid="{00000000-0005-0000-0000-000007770000}"/>
    <cellStyle name="Normal 11 2 2 6 2 2 3 2 2 2" xfId="31358" xr:uid="{00000000-0005-0000-0000-000008770000}"/>
    <cellStyle name="Normal 11 2 2 6 2 2 3 2 3" xfId="31359" xr:uid="{00000000-0005-0000-0000-000009770000}"/>
    <cellStyle name="Normal 11 2 2 6 2 2 3 3" xfId="31360" xr:uid="{00000000-0005-0000-0000-00000A770000}"/>
    <cellStyle name="Normal 11 2 2 6 2 2 3 3 2" xfId="31361" xr:uid="{00000000-0005-0000-0000-00000B770000}"/>
    <cellStyle name="Normal 11 2 2 6 2 2 3 4" xfId="31362" xr:uid="{00000000-0005-0000-0000-00000C770000}"/>
    <cellStyle name="Normal 11 2 2 6 2 2 4" xfId="31363" xr:uid="{00000000-0005-0000-0000-00000D770000}"/>
    <cellStyle name="Normal 11 2 2 6 2 2 4 2" xfId="31364" xr:uid="{00000000-0005-0000-0000-00000E770000}"/>
    <cellStyle name="Normal 11 2 2 6 2 2 4 2 2" xfId="31365" xr:uid="{00000000-0005-0000-0000-00000F770000}"/>
    <cellStyle name="Normal 11 2 2 6 2 2 4 3" xfId="31366" xr:uid="{00000000-0005-0000-0000-000010770000}"/>
    <cellStyle name="Normal 11 2 2 6 2 2 5" xfId="31367" xr:uid="{00000000-0005-0000-0000-000011770000}"/>
    <cellStyle name="Normal 11 2 2 6 2 2 5 2" xfId="31368" xr:uid="{00000000-0005-0000-0000-000012770000}"/>
    <cellStyle name="Normal 11 2 2 6 2 2 6" xfId="31369" xr:uid="{00000000-0005-0000-0000-000013770000}"/>
    <cellStyle name="Normal 11 2 2 6 2 2 7" xfId="31346" xr:uid="{00000000-0005-0000-0000-000014770000}"/>
    <cellStyle name="Normal 11 2 2 6 2 3" xfId="31370" xr:uid="{00000000-0005-0000-0000-000015770000}"/>
    <cellStyle name="Normal 11 2 2 6 2 3 2" xfId="31371" xr:uid="{00000000-0005-0000-0000-000016770000}"/>
    <cellStyle name="Normal 11 2 2 6 2 3 2 2" xfId="31372" xr:uid="{00000000-0005-0000-0000-000017770000}"/>
    <cellStyle name="Normal 11 2 2 6 2 3 2 2 2" xfId="31373" xr:uid="{00000000-0005-0000-0000-000018770000}"/>
    <cellStyle name="Normal 11 2 2 6 2 3 2 2 2 2" xfId="31374" xr:uid="{00000000-0005-0000-0000-000019770000}"/>
    <cellStyle name="Normal 11 2 2 6 2 3 2 2 3" xfId="31375" xr:uid="{00000000-0005-0000-0000-00001A770000}"/>
    <cellStyle name="Normal 11 2 2 6 2 3 2 3" xfId="31376" xr:uid="{00000000-0005-0000-0000-00001B770000}"/>
    <cellStyle name="Normal 11 2 2 6 2 3 2 3 2" xfId="31377" xr:uid="{00000000-0005-0000-0000-00001C770000}"/>
    <cellStyle name="Normal 11 2 2 6 2 3 2 4" xfId="31378" xr:uid="{00000000-0005-0000-0000-00001D770000}"/>
    <cellStyle name="Normal 11 2 2 6 2 3 3" xfId="31379" xr:uid="{00000000-0005-0000-0000-00001E770000}"/>
    <cellStyle name="Normal 11 2 2 6 2 3 3 2" xfId="31380" xr:uid="{00000000-0005-0000-0000-00001F770000}"/>
    <cellStyle name="Normal 11 2 2 6 2 3 3 2 2" xfId="31381" xr:uid="{00000000-0005-0000-0000-000020770000}"/>
    <cellStyle name="Normal 11 2 2 6 2 3 3 3" xfId="31382" xr:uid="{00000000-0005-0000-0000-000021770000}"/>
    <cellStyle name="Normal 11 2 2 6 2 3 4" xfId="31383" xr:uid="{00000000-0005-0000-0000-000022770000}"/>
    <cellStyle name="Normal 11 2 2 6 2 3 4 2" xfId="31384" xr:uid="{00000000-0005-0000-0000-000023770000}"/>
    <cellStyle name="Normal 11 2 2 6 2 3 5" xfId="31385" xr:uid="{00000000-0005-0000-0000-000024770000}"/>
    <cellStyle name="Normal 11 2 2 6 2 4" xfId="31386" xr:uid="{00000000-0005-0000-0000-000025770000}"/>
    <cellStyle name="Normal 11 2 2 6 2 4 2" xfId="31387" xr:uid="{00000000-0005-0000-0000-000026770000}"/>
    <cellStyle name="Normal 11 2 2 6 2 4 2 2" xfId="31388" xr:uid="{00000000-0005-0000-0000-000027770000}"/>
    <cellStyle name="Normal 11 2 2 6 2 4 2 2 2" xfId="31389" xr:uid="{00000000-0005-0000-0000-000028770000}"/>
    <cellStyle name="Normal 11 2 2 6 2 4 2 2 2 2" xfId="31390" xr:uid="{00000000-0005-0000-0000-000029770000}"/>
    <cellStyle name="Normal 11 2 2 6 2 4 2 2 3" xfId="31391" xr:uid="{00000000-0005-0000-0000-00002A770000}"/>
    <cellStyle name="Normal 11 2 2 6 2 4 2 3" xfId="31392" xr:uid="{00000000-0005-0000-0000-00002B770000}"/>
    <cellStyle name="Normal 11 2 2 6 2 4 2 3 2" xfId="31393" xr:uid="{00000000-0005-0000-0000-00002C770000}"/>
    <cellStyle name="Normal 11 2 2 6 2 4 2 4" xfId="31394" xr:uid="{00000000-0005-0000-0000-00002D770000}"/>
    <cellStyle name="Normal 11 2 2 6 2 4 3" xfId="31395" xr:uid="{00000000-0005-0000-0000-00002E770000}"/>
    <cellStyle name="Normal 11 2 2 6 2 4 3 2" xfId="31396" xr:uid="{00000000-0005-0000-0000-00002F770000}"/>
    <cellStyle name="Normal 11 2 2 6 2 4 3 2 2" xfId="31397" xr:uid="{00000000-0005-0000-0000-000030770000}"/>
    <cellStyle name="Normal 11 2 2 6 2 4 3 3" xfId="31398" xr:uid="{00000000-0005-0000-0000-000031770000}"/>
    <cellStyle name="Normal 11 2 2 6 2 4 4" xfId="31399" xr:uid="{00000000-0005-0000-0000-000032770000}"/>
    <cellStyle name="Normal 11 2 2 6 2 4 4 2" xfId="31400" xr:uid="{00000000-0005-0000-0000-000033770000}"/>
    <cellStyle name="Normal 11 2 2 6 2 4 5" xfId="31401" xr:uid="{00000000-0005-0000-0000-000034770000}"/>
    <cellStyle name="Normal 11 2 2 6 2 5" xfId="31402" xr:uid="{00000000-0005-0000-0000-000035770000}"/>
    <cellStyle name="Normal 11 2 2 6 2 5 2" xfId="31403" xr:uid="{00000000-0005-0000-0000-000036770000}"/>
    <cellStyle name="Normal 11 2 2 6 2 5 2 2" xfId="31404" xr:uid="{00000000-0005-0000-0000-000037770000}"/>
    <cellStyle name="Normal 11 2 2 6 2 5 2 2 2" xfId="31405" xr:uid="{00000000-0005-0000-0000-000038770000}"/>
    <cellStyle name="Normal 11 2 2 6 2 5 2 3" xfId="31406" xr:uid="{00000000-0005-0000-0000-000039770000}"/>
    <cellStyle name="Normal 11 2 2 6 2 5 3" xfId="31407" xr:uid="{00000000-0005-0000-0000-00003A770000}"/>
    <cellStyle name="Normal 11 2 2 6 2 5 3 2" xfId="31408" xr:uid="{00000000-0005-0000-0000-00003B770000}"/>
    <cellStyle name="Normal 11 2 2 6 2 5 4" xfId="31409" xr:uid="{00000000-0005-0000-0000-00003C770000}"/>
    <cellStyle name="Normal 11 2 2 6 2 6" xfId="31410" xr:uid="{00000000-0005-0000-0000-00003D770000}"/>
    <cellStyle name="Normal 11 2 2 6 2 6 2" xfId="31411" xr:uid="{00000000-0005-0000-0000-00003E770000}"/>
    <cellStyle name="Normal 11 2 2 6 2 6 2 2" xfId="31412" xr:uid="{00000000-0005-0000-0000-00003F770000}"/>
    <cellStyle name="Normal 11 2 2 6 2 6 2 2 2" xfId="31413" xr:uid="{00000000-0005-0000-0000-000040770000}"/>
    <cellStyle name="Normal 11 2 2 6 2 6 2 3" xfId="31414" xr:uid="{00000000-0005-0000-0000-000041770000}"/>
    <cellStyle name="Normal 11 2 2 6 2 6 3" xfId="31415" xr:uid="{00000000-0005-0000-0000-000042770000}"/>
    <cellStyle name="Normal 11 2 2 6 2 6 3 2" xfId="31416" xr:uid="{00000000-0005-0000-0000-000043770000}"/>
    <cellStyle name="Normal 11 2 2 6 2 6 4" xfId="31417" xr:uid="{00000000-0005-0000-0000-000044770000}"/>
    <cellStyle name="Normal 11 2 2 6 2 7" xfId="31418" xr:uid="{00000000-0005-0000-0000-000045770000}"/>
    <cellStyle name="Normal 11 2 2 6 2 7 2" xfId="31419" xr:uid="{00000000-0005-0000-0000-000046770000}"/>
    <cellStyle name="Normal 11 2 2 6 2 7 2 2" xfId="31420" xr:uid="{00000000-0005-0000-0000-000047770000}"/>
    <cellStyle name="Normal 11 2 2 6 2 7 2 2 2" xfId="31421" xr:uid="{00000000-0005-0000-0000-000048770000}"/>
    <cellStyle name="Normal 11 2 2 6 2 7 2 3" xfId="31422" xr:uid="{00000000-0005-0000-0000-000049770000}"/>
    <cellStyle name="Normal 11 2 2 6 2 7 3" xfId="31423" xr:uid="{00000000-0005-0000-0000-00004A770000}"/>
    <cellStyle name="Normal 11 2 2 6 2 7 3 2" xfId="31424" xr:uid="{00000000-0005-0000-0000-00004B770000}"/>
    <cellStyle name="Normal 11 2 2 6 2 7 4" xfId="31425" xr:uid="{00000000-0005-0000-0000-00004C770000}"/>
    <cellStyle name="Normal 11 2 2 6 2 8" xfId="31426" xr:uid="{00000000-0005-0000-0000-00004D770000}"/>
    <cellStyle name="Normal 11 2 2 6 2 8 2" xfId="31427" xr:uid="{00000000-0005-0000-0000-00004E770000}"/>
    <cellStyle name="Normal 11 2 2 6 2 8 2 2" xfId="31428" xr:uid="{00000000-0005-0000-0000-00004F770000}"/>
    <cellStyle name="Normal 11 2 2 6 2 8 3" xfId="31429" xr:uid="{00000000-0005-0000-0000-000050770000}"/>
    <cellStyle name="Normal 11 2 2 6 2 9" xfId="31430" xr:uid="{00000000-0005-0000-0000-000051770000}"/>
    <cellStyle name="Normal 11 2 2 6 2 9 2" xfId="31431" xr:uid="{00000000-0005-0000-0000-000052770000}"/>
    <cellStyle name="Normal 11 2 2 6 3" xfId="1403" xr:uid="{00000000-0005-0000-0000-000053770000}"/>
    <cellStyle name="Normal 11 2 2 6 3 2" xfId="31433" xr:uid="{00000000-0005-0000-0000-000054770000}"/>
    <cellStyle name="Normal 11 2 2 6 3 2 2" xfId="31434" xr:uid="{00000000-0005-0000-0000-000055770000}"/>
    <cellStyle name="Normal 11 2 2 6 3 2 2 2" xfId="31435" xr:uid="{00000000-0005-0000-0000-000056770000}"/>
    <cellStyle name="Normal 11 2 2 6 3 2 2 2 2" xfId="31436" xr:uid="{00000000-0005-0000-0000-000057770000}"/>
    <cellStyle name="Normal 11 2 2 6 3 2 2 3" xfId="31437" xr:uid="{00000000-0005-0000-0000-000058770000}"/>
    <cellStyle name="Normal 11 2 2 6 3 2 3" xfId="31438" xr:uid="{00000000-0005-0000-0000-000059770000}"/>
    <cellStyle name="Normal 11 2 2 6 3 2 3 2" xfId="31439" xr:uid="{00000000-0005-0000-0000-00005A770000}"/>
    <cellStyle name="Normal 11 2 2 6 3 2 4" xfId="31440" xr:uid="{00000000-0005-0000-0000-00005B770000}"/>
    <cellStyle name="Normal 11 2 2 6 3 3" xfId="31441" xr:uid="{00000000-0005-0000-0000-00005C770000}"/>
    <cellStyle name="Normal 11 2 2 6 3 3 2" xfId="31442" xr:uid="{00000000-0005-0000-0000-00005D770000}"/>
    <cellStyle name="Normal 11 2 2 6 3 3 2 2" xfId="31443" xr:uid="{00000000-0005-0000-0000-00005E770000}"/>
    <cellStyle name="Normal 11 2 2 6 3 3 2 2 2" xfId="31444" xr:uid="{00000000-0005-0000-0000-00005F770000}"/>
    <cellStyle name="Normal 11 2 2 6 3 3 2 3" xfId="31445" xr:uid="{00000000-0005-0000-0000-000060770000}"/>
    <cellStyle name="Normal 11 2 2 6 3 3 3" xfId="31446" xr:uid="{00000000-0005-0000-0000-000061770000}"/>
    <cellStyle name="Normal 11 2 2 6 3 3 3 2" xfId="31447" xr:uid="{00000000-0005-0000-0000-000062770000}"/>
    <cellStyle name="Normal 11 2 2 6 3 3 4" xfId="31448" xr:uid="{00000000-0005-0000-0000-000063770000}"/>
    <cellStyle name="Normal 11 2 2 6 3 4" xfId="31449" xr:uid="{00000000-0005-0000-0000-000064770000}"/>
    <cellStyle name="Normal 11 2 2 6 3 4 2" xfId="31450" xr:uid="{00000000-0005-0000-0000-000065770000}"/>
    <cellStyle name="Normal 11 2 2 6 3 4 2 2" xfId="31451" xr:uid="{00000000-0005-0000-0000-000066770000}"/>
    <cellStyle name="Normal 11 2 2 6 3 4 3" xfId="31452" xr:uid="{00000000-0005-0000-0000-000067770000}"/>
    <cellStyle name="Normal 11 2 2 6 3 5" xfId="31453" xr:uid="{00000000-0005-0000-0000-000068770000}"/>
    <cellStyle name="Normal 11 2 2 6 3 5 2" xfId="31454" xr:uid="{00000000-0005-0000-0000-000069770000}"/>
    <cellStyle name="Normal 11 2 2 6 3 6" xfId="31455" xr:uid="{00000000-0005-0000-0000-00006A770000}"/>
    <cellStyle name="Normal 11 2 2 6 3 7" xfId="31432" xr:uid="{00000000-0005-0000-0000-00006B770000}"/>
    <cellStyle name="Normal 11 2 2 6 4" xfId="31456" xr:uid="{00000000-0005-0000-0000-00006C770000}"/>
    <cellStyle name="Normal 11 2 2 6 4 2" xfId="31457" xr:uid="{00000000-0005-0000-0000-00006D770000}"/>
    <cellStyle name="Normal 11 2 2 6 4 2 2" xfId="31458" xr:uid="{00000000-0005-0000-0000-00006E770000}"/>
    <cellStyle name="Normal 11 2 2 6 4 2 2 2" xfId="31459" xr:uid="{00000000-0005-0000-0000-00006F770000}"/>
    <cellStyle name="Normal 11 2 2 6 4 2 2 2 2" xfId="31460" xr:uid="{00000000-0005-0000-0000-000070770000}"/>
    <cellStyle name="Normal 11 2 2 6 4 2 2 3" xfId="31461" xr:uid="{00000000-0005-0000-0000-000071770000}"/>
    <cellStyle name="Normal 11 2 2 6 4 2 3" xfId="31462" xr:uid="{00000000-0005-0000-0000-000072770000}"/>
    <cellStyle name="Normal 11 2 2 6 4 2 3 2" xfId="31463" xr:uid="{00000000-0005-0000-0000-000073770000}"/>
    <cellStyle name="Normal 11 2 2 6 4 2 4" xfId="31464" xr:uid="{00000000-0005-0000-0000-000074770000}"/>
    <cellStyle name="Normal 11 2 2 6 4 3" xfId="31465" xr:uid="{00000000-0005-0000-0000-000075770000}"/>
    <cellStyle name="Normal 11 2 2 6 4 3 2" xfId="31466" xr:uid="{00000000-0005-0000-0000-000076770000}"/>
    <cellStyle name="Normal 11 2 2 6 4 3 2 2" xfId="31467" xr:uid="{00000000-0005-0000-0000-000077770000}"/>
    <cellStyle name="Normal 11 2 2 6 4 3 3" xfId="31468" xr:uid="{00000000-0005-0000-0000-000078770000}"/>
    <cellStyle name="Normal 11 2 2 6 4 4" xfId="31469" xr:uid="{00000000-0005-0000-0000-000079770000}"/>
    <cellStyle name="Normal 11 2 2 6 4 4 2" xfId="31470" xr:uid="{00000000-0005-0000-0000-00007A770000}"/>
    <cellStyle name="Normal 11 2 2 6 4 5" xfId="31471" xr:uid="{00000000-0005-0000-0000-00007B770000}"/>
    <cellStyle name="Normal 11 2 2 6 5" xfId="31472" xr:uid="{00000000-0005-0000-0000-00007C770000}"/>
    <cellStyle name="Normal 11 2 2 6 5 2" xfId="31473" xr:uid="{00000000-0005-0000-0000-00007D770000}"/>
    <cellStyle name="Normal 11 2 2 6 5 2 2" xfId="31474" xr:uid="{00000000-0005-0000-0000-00007E770000}"/>
    <cellStyle name="Normal 11 2 2 6 5 2 2 2" xfId="31475" xr:uid="{00000000-0005-0000-0000-00007F770000}"/>
    <cellStyle name="Normal 11 2 2 6 5 2 2 2 2" xfId="31476" xr:uid="{00000000-0005-0000-0000-000080770000}"/>
    <cellStyle name="Normal 11 2 2 6 5 2 2 3" xfId="31477" xr:uid="{00000000-0005-0000-0000-000081770000}"/>
    <cellStyle name="Normal 11 2 2 6 5 2 3" xfId="31478" xr:uid="{00000000-0005-0000-0000-000082770000}"/>
    <cellStyle name="Normal 11 2 2 6 5 2 3 2" xfId="31479" xr:uid="{00000000-0005-0000-0000-000083770000}"/>
    <cellStyle name="Normal 11 2 2 6 5 2 4" xfId="31480" xr:uid="{00000000-0005-0000-0000-000084770000}"/>
    <cellStyle name="Normal 11 2 2 6 5 3" xfId="31481" xr:uid="{00000000-0005-0000-0000-000085770000}"/>
    <cellStyle name="Normal 11 2 2 6 5 3 2" xfId="31482" xr:uid="{00000000-0005-0000-0000-000086770000}"/>
    <cellStyle name="Normal 11 2 2 6 5 3 2 2" xfId="31483" xr:uid="{00000000-0005-0000-0000-000087770000}"/>
    <cellStyle name="Normal 11 2 2 6 5 3 3" xfId="31484" xr:uid="{00000000-0005-0000-0000-000088770000}"/>
    <cellStyle name="Normal 11 2 2 6 5 4" xfId="31485" xr:uid="{00000000-0005-0000-0000-000089770000}"/>
    <cellStyle name="Normal 11 2 2 6 5 4 2" xfId="31486" xr:uid="{00000000-0005-0000-0000-00008A770000}"/>
    <cellStyle name="Normal 11 2 2 6 5 5" xfId="31487" xr:uid="{00000000-0005-0000-0000-00008B770000}"/>
    <cellStyle name="Normal 11 2 2 6 6" xfId="31488" xr:uid="{00000000-0005-0000-0000-00008C770000}"/>
    <cellStyle name="Normal 11 2 2 6 6 2" xfId="31489" xr:uid="{00000000-0005-0000-0000-00008D770000}"/>
    <cellStyle name="Normal 11 2 2 6 6 2 2" xfId="31490" xr:uid="{00000000-0005-0000-0000-00008E770000}"/>
    <cellStyle name="Normal 11 2 2 6 6 2 2 2" xfId="31491" xr:uid="{00000000-0005-0000-0000-00008F770000}"/>
    <cellStyle name="Normal 11 2 2 6 6 2 3" xfId="31492" xr:uid="{00000000-0005-0000-0000-000090770000}"/>
    <cellStyle name="Normal 11 2 2 6 6 3" xfId="31493" xr:uid="{00000000-0005-0000-0000-000091770000}"/>
    <cellStyle name="Normal 11 2 2 6 6 3 2" xfId="31494" xr:uid="{00000000-0005-0000-0000-000092770000}"/>
    <cellStyle name="Normal 11 2 2 6 6 4" xfId="31495" xr:uid="{00000000-0005-0000-0000-000093770000}"/>
    <cellStyle name="Normal 11 2 2 6 7" xfId="31496" xr:uid="{00000000-0005-0000-0000-000094770000}"/>
    <cellStyle name="Normal 11 2 2 6 7 2" xfId="31497" xr:uid="{00000000-0005-0000-0000-000095770000}"/>
    <cellStyle name="Normal 11 2 2 6 7 2 2" xfId="31498" xr:uid="{00000000-0005-0000-0000-000096770000}"/>
    <cellStyle name="Normal 11 2 2 6 7 2 2 2" xfId="31499" xr:uid="{00000000-0005-0000-0000-000097770000}"/>
    <cellStyle name="Normal 11 2 2 6 7 2 3" xfId="31500" xr:uid="{00000000-0005-0000-0000-000098770000}"/>
    <cellStyle name="Normal 11 2 2 6 7 3" xfId="31501" xr:uid="{00000000-0005-0000-0000-000099770000}"/>
    <cellStyle name="Normal 11 2 2 6 7 3 2" xfId="31502" xr:uid="{00000000-0005-0000-0000-00009A770000}"/>
    <cellStyle name="Normal 11 2 2 6 7 4" xfId="31503" xr:uid="{00000000-0005-0000-0000-00009B770000}"/>
    <cellStyle name="Normal 11 2 2 6 8" xfId="31504" xr:uid="{00000000-0005-0000-0000-00009C770000}"/>
    <cellStyle name="Normal 11 2 2 6 8 2" xfId="31505" xr:uid="{00000000-0005-0000-0000-00009D770000}"/>
    <cellStyle name="Normal 11 2 2 6 8 2 2" xfId="31506" xr:uid="{00000000-0005-0000-0000-00009E770000}"/>
    <cellStyle name="Normal 11 2 2 6 8 2 2 2" xfId="31507" xr:uid="{00000000-0005-0000-0000-00009F770000}"/>
    <cellStyle name="Normal 11 2 2 6 8 2 3" xfId="31508" xr:uid="{00000000-0005-0000-0000-0000A0770000}"/>
    <cellStyle name="Normal 11 2 2 6 8 3" xfId="31509" xr:uid="{00000000-0005-0000-0000-0000A1770000}"/>
    <cellStyle name="Normal 11 2 2 6 8 3 2" xfId="31510" xr:uid="{00000000-0005-0000-0000-0000A2770000}"/>
    <cellStyle name="Normal 11 2 2 6 8 4" xfId="31511" xr:uid="{00000000-0005-0000-0000-0000A3770000}"/>
    <cellStyle name="Normal 11 2 2 6 9" xfId="31512" xr:uid="{00000000-0005-0000-0000-0000A4770000}"/>
    <cellStyle name="Normal 11 2 2 6 9 2" xfId="31513" xr:uid="{00000000-0005-0000-0000-0000A5770000}"/>
    <cellStyle name="Normal 11 2 2 6 9 2 2" xfId="31514" xr:uid="{00000000-0005-0000-0000-0000A6770000}"/>
    <cellStyle name="Normal 11 2 2 6 9 3" xfId="31515" xr:uid="{00000000-0005-0000-0000-0000A7770000}"/>
    <cellStyle name="Normal 11 2 2 7" xfId="978" xr:uid="{00000000-0005-0000-0000-0000A8770000}"/>
    <cellStyle name="Normal 11 2 2 7 10" xfId="31517" xr:uid="{00000000-0005-0000-0000-0000A9770000}"/>
    <cellStyle name="Normal 11 2 2 7 11" xfId="31516" xr:uid="{00000000-0005-0000-0000-0000AA770000}"/>
    <cellStyle name="Normal 11 2 2 7 2" xfId="1707" xr:uid="{00000000-0005-0000-0000-0000AB770000}"/>
    <cellStyle name="Normal 11 2 2 7 2 2" xfId="31519" xr:uid="{00000000-0005-0000-0000-0000AC770000}"/>
    <cellStyle name="Normal 11 2 2 7 2 2 2" xfId="31520" xr:uid="{00000000-0005-0000-0000-0000AD770000}"/>
    <cellStyle name="Normal 11 2 2 7 2 2 2 2" xfId="31521" xr:uid="{00000000-0005-0000-0000-0000AE770000}"/>
    <cellStyle name="Normal 11 2 2 7 2 2 2 2 2" xfId="31522" xr:uid="{00000000-0005-0000-0000-0000AF770000}"/>
    <cellStyle name="Normal 11 2 2 7 2 2 2 3" xfId="31523" xr:uid="{00000000-0005-0000-0000-0000B0770000}"/>
    <cellStyle name="Normal 11 2 2 7 2 2 3" xfId="31524" xr:uid="{00000000-0005-0000-0000-0000B1770000}"/>
    <cellStyle name="Normal 11 2 2 7 2 2 3 2" xfId="31525" xr:uid="{00000000-0005-0000-0000-0000B2770000}"/>
    <cellStyle name="Normal 11 2 2 7 2 2 4" xfId="31526" xr:uid="{00000000-0005-0000-0000-0000B3770000}"/>
    <cellStyle name="Normal 11 2 2 7 2 3" xfId="31527" xr:uid="{00000000-0005-0000-0000-0000B4770000}"/>
    <cellStyle name="Normal 11 2 2 7 2 3 2" xfId="31528" xr:uid="{00000000-0005-0000-0000-0000B5770000}"/>
    <cellStyle name="Normal 11 2 2 7 2 3 2 2" xfId="31529" xr:uid="{00000000-0005-0000-0000-0000B6770000}"/>
    <cellStyle name="Normal 11 2 2 7 2 3 2 2 2" xfId="31530" xr:uid="{00000000-0005-0000-0000-0000B7770000}"/>
    <cellStyle name="Normal 11 2 2 7 2 3 2 3" xfId="31531" xr:uid="{00000000-0005-0000-0000-0000B8770000}"/>
    <cellStyle name="Normal 11 2 2 7 2 3 3" xfId="31532" xr:uid="{00000000-0005-0000-0000-0000B9770000}"/>
    <cellStyle name="Normal 11 2 2 7 2 3 3 2" xfId="31533" xr:uid="{00000000-0005-0000-0000-0000BA770000}"/>
    <cellStyle name="Normal 11 2 2 7 2 3 4" xfId="31534" xr:uid="{00000000-0005-0000-0000-0000BB770000}"/>
    <cellStyle name="Normal 11 2 2 7 2 4" xfId="31535" xr:uid="{00000000-0005-0000-0000-0000BC770000}"/>
    <cellStyle name="Normal 11 2 2 7 2 4 2" xfId="31536" xr:uid="{00000000-0005-0000-0000-0000BD770000}"/>
    <cellStyle name="Normal 11 2 2 7 2 4 2 2" xfId="31537" xr:uid="{00000000-0005-0000-0000-0000BE770000}"/>
    <cellStyle name="Normal 11 2 2 7 2 4 3" xfId="31538" xr:uid="{00000000-0005-0000-0000-0000BF770000}"/>
    <cellStyle name="Normal 11 2 2 7 2 5" xfId="31539" xr:uid="{00000000-0005-0000-0000-0000C0770000}"/>
    <cellStyle name="Normal 11 2 2 7 2 5 2" xfId="31540" xr:uid="{00000000-0005-0000-0000-0000C1770000}"/>
    <cellStyle name="Normal 11 2 2 7 2 6" xfId="31541" xr:uid="{00000000-0005-0000-0000-0000C2770000}"/>
    <cellStyle name="Normal 11 2 2 7 2 7" xfId="31518" xr:uid="{00000000-0005-0000-0000-0000C3770000}"/>
    <cellStyle name="Normal 11 2 2 7 3" xfId="31542" xr:uid="{00000000-0005-0000-0000-0000C4770000}"/>
    <cellStyle name="Normal 11 2 2 7 3 2" xfId="31543" xr:uid="{00000000-0005-0000-0000-0000C5770000}"/>
    <cellStyle name="Normal 11 2 2 7 3 2 2" xfId="31544" xr:uid="{00000000-0005-0000-0000-0000C6770000}"/>
    <cellStyle name="Normal 11 2 2 7 3 2 2 2" xfId="31545" xr:uid="{00000000-0005-0000-0000-0000C7770000}"/>
    <cellStyle name="Normal 11 2 2 7 3 2 2 2 2" xfId="31546" xr:uid="{00000000-0005-0000-0000-0000C8770000}"/>
    <cellStyle name="Normal 11 2 2 7 3 2 2 3" xfId="31547" xr:uid="{00000000-0005-0000-0000-0000C9770000}"/>
    <cellStyle name="Normal 11 2 2 7 3 2 3" xfId="31548" xr:uid="{00000000-0005-0000-0000-0000CA770000}"/>
    <cellStyle name="Normal 11 2 2 7 3 2 3 2" xfId="31549" xr:uid="{00000000-0005-0000-0000-0000CB770000}"/>
    <cellStyle name="Normal 11 2 2 7 3 2 4" xfId="31550" xr:uid="{00000000-0005-0000-0000-0000CC770000}"/>
    <cellStyle name="Normal 11 2 2 7 3 3" xfId="31551" xr:uid="{00000000-0005-0000-0000-0000CD770000}"/>
    <cellStyle name="Normal 11 2 2 7 3 3 2" xfId="31552" xr:uid="{00000000-0005-0000-0000-0000CE770000}"/>
    <cellStyle name="Normal 11 2 2 7 3 3 2 2" xfId="31553" xr:uid="{00000000-0005-0000-0000-0000CF770000}"/>
    <cellStyle name="Normal 11 2 2 7 3 3 3" xfId="31554" xr:uid="{00000000-0005-0000-0000-0000D0770000}"/>
    <cellStyle name="Normal 11 2 2 7 3 4" xfId="31555" xr:uid="{00000000-0005-0000-0000-0000D1770000}"/>
    <cellStyle name="Normal 11 2 2 7 3 4 2" xfId="31556" xr:uid="{00000000-0005-0000-0000-0000D2770000}"/>
    <cellStyle name="Normal 11 2 2 7 3 5" xfId="31557" xr:uid="{00000000-0005-0000-0000-0000D3770000}"/>
    <cellStyle name="Normal 11 2 2 7 4" xfId="31558" xr:uid="{00000000-0005-0000-0000-0000D4770000}"/>
    <cellStyle name="Normal 11 2 2 7 4 2" xfId="31559" xr:uid="{00000000-0005-0000-0000-0000D5770000}"/>
    <cellStyle name="Normal 11 2 2 7 4 2 2" xfId="31560" xr:uid="{00000000-0005-0000-0000-0000D6770000}"/>
    <cellStyle name="Normal 11 2 2 7 4 2 2 2" xfId="31561" xr:uid="{00000000-0005-0000-0000-0000D7770000}"/>
    <cellStyle name="Normal 11 2 2 7 4 2 2 2 2" xfId="31562" xr:uid="{00000000-0005-0000-0000-0000D8770000}"/>
    <cellStyle name="Normal 11 2 2 7 4 2 2 3" xfId="31563" xr:uid="{00000000-0005-0000-0000-0000D9770000}"/>
    <cellStyle name="Normal 11 2 2 7 4 2 3" xfId="31564" xr:uid="{00000000-0005-0000-0000-0000DA770000}"/>
    <cellStyle name="Normal 11 2 2 7 4 2 3 2" xfId="31565" xr:uid="{00000000-0005-0000-0000-0000DB770000}"/>
    <cellStyle name="Normal 11 2 2 7 4 2 4" xfId="31566" xr:uid="{00000000-0005-0000-0000-0000DC770000}"/>
    <cellStyle name="Normal 11 2 2 7 4 3" xfId="31567" xr:uid="{00000000-0005-0000-0000-0000DD770000}"/>
    <cellStyle name="Normal 11 2 2 7 4 3 2" xfId="31568" xr:uid="{00000000-0005-0000-0000-0000DE770000}"/>
    <cellStyle name="Normal 11 2 2 7 4 3 2 2" xfId="31569" xr:uid="{00000000-0005-0000-0000-0000DF770000}"/>
    <cellStyle name="Normal 11 2 2 7 4 3 3" xfId="31570" xr:uid="{00000000-0005-0000-0000-0000E0770000}"/>
    <cellStyle name="Normal 11 2 2 7 4 4" xfId="31571" xr:uid="{00000000-0005-0000-0000-0000E1770000}"/>
    <cellStyle name="Normal 11 2 2 7 4 4 2" xfId="31572" xr:uid="{00000000-0005-0000-0000-0000E2770000}"/>
    <cellStyle name="Normal 11 2 2 7 4 5" xfId="31573" xr:uid="{00000000-0005-0000-0000-0000E3770000}"/>
    <cellStyle name="Normal 11 2 2 7 5" xfId="31574" xr:uid="{00000000-0005-0000-0000-0000E4770000}"/>
    <cellStyle name="Normal 11 2 2 7 5 2" xfId="31575" xr:uid="{00000000-0005-0000-0000-0000E5770000}"/>
    <cellStyle name="Normal 11 2 2 7 5 2 2" xfId="31576" xr:uid="{00000000-0005-0000-0000-0000E6770000}"/>
    <cellStyle name="Normal 11 2 2 7 5 2 2 2" xfId="31577" xr:uid="{00000000-0005-0000-0000-0000E7770000}"/>
    <cellStyle name="Normal 11 2 2 7 5 2 3" xfId="31578" xr:uid="{00000000-0005-0000-0000-0000E8770000}"/>
    <cellStyle name="Normal 11 2 2 7 5 3" xfId="31579" xr:uid="{00000000-0005-0000-0000-0000E9770000}"/>
    <cellStyle name="Normal 11 2 2 7 5 3 2" xfId="31580" xr:uid="{00000000-0005-0000-0000-0000EA770000}"/>
    <cellStyle name="Normal 11 2 2 7 5 4" xfId="31581" xr:uid="{00000000-0005-0000-0000-0000EB770000}"/>
    <cellStyle name="Normal 11 2 2 7 6" xfId="31582" xr:uid="{00000000-0005-0000-0000-0000EC770000}"/>
    <cellStyle name="Normal 11 2 2 7 6 2" xfId="31583" xr:uid="{00000000-0005-0000-0000-0000ED770000}"/>
    <cellStyle name="Normal 11 2 2 7 6 2 2" xfId="31584" xr:uid="{00000000-0005-0000-0000-0000EE770000}"/>
    <cellStyle name="Normal 11 2 2 7 6 2 2 2" xfId="31585" xr:uid="{00000000-0005-0000-0000-0000EF770000}"/>
    <cellStyle name="Normal 11 2 2 7 6 2 3" xfId="31586" xr:uid="{00000000-0005-0000-0000-0000F0770000}"/>
    <cellStyle name="Normal 11 2 2 7 6 3" xfId="31587" xr:uid="{00000000-0005-0000-0000-0000F1770000}"/>
    <cellStyle name="Normal 11 2 2 7 6 3 2" xfId="31588" xr:uid="{00000000-0005-0000-0000-0000F2770000}"/>
    <cellStyle name="Normal 11 2 2 7 6 4" xfId="31589" xr:uid="{00000000-0005-0000-0000-0000F3770000}"/>
    <cellStyle name="Normal 11 2 2 7 7" xfId="31590" xr:uid="{00000000-0005-0000-0000-0000F4770000}"/>
    <cellStyle name="Normal 11 2 2 7 7 2" xfId="31591" xr:uid="{00000000-0005-0000-0000-0000F5770000}"/>
    <cellStyle name="Normal 11 2 2 7 7 2 2" xfId="31592" xr:uid="{00000000-0005-0000-0000-0000F6770000}"/>
    <cellStyle name="Normal 11 2 2 7 7 2 2 2" xfId="31593" xr:uid="{00000000-0005-0000-0000-0000F7770000}"/>
    <cellStyle name="Normal 11 2 2 7 7 2 3" xfId="31594" xr:uid="{00000000-0005-0000-0000-0000F8770000}"/>
    <cellStyle name="Normal 11 2 2 7 7 3" xfId="31595" xr:uid="{00000000-0005-0000-0000-0000F9770000}"/>
    <cellStyle name="Normal 11 2 2 7 7 3 2" xfId="31596" xr:uid="{00000000-0005-0000-0000-0000FA770000}"/>
    <cellStyle name="Normal 11 2 2 7 7 4" xfId="31597" xr:uid="{00000000-0005-0000-0000-0000FB770000}"/>
    <cellStyle name="Normal 11 2 2 7 8" xfId="31598" xr:uid="{00000000-0005-0000-0000-0000FC770000}"/>
    <cellStyle name="Normal 11 2 2 7 8 2" xfId="31599" xr:uid="{00000000-0005-0000-0000-0000FD770000}"/>
    <cellStyle name="Normal 11 2 2 7 8 2 2" xfId="31600" xr:uid="{00000000-0005-0000-0000-0000FE770000}"/>
    <cellStyle name="Normal 11 2 2 7 8 3" xfId="31601" xr:uid="{00000000-0005-0000-0000-0000FF770000}"/>
    <cellStyle name="Normal 11 2 2 7 9" xfId="31602" xr:uid="{00000000-0005-0000-0000-000000780000}"/>
    <cellStyle name="Normal 11 2 2 7 9 2" xfId="31603" xr:uid="{00000000-0005-0000-0000-000001780000}"/>
    <cellStyle name="Normal 11 2 2 8" xfId="1380" xr:uid="{00000000-0005-0000-0000-000002780000}"/>
    <cellStyle name="Normal 11 2 2 8 2" xfId="31605" xr:uid="{00000000-0005-0000-0000-000003780000}"/>
    <cellStyle name="Normal 11 2 2 8 2 2" xfId="31606" xr:uid="{00000000-0005-0000-0000-000004780000}"/>
    <cellStyle name="Normal 11 2 2 8 2 2 2" xfId="31607" xr:uid="{00000000-0005-0000-0000-000005780000}"/>
    <cellStyle name="Normal 11 2 2 8 2 2 2 2" xfId="31608" xr:uid="{00000000-0005-0000-0000-000006780000}"/>
    <cellStyle name="Normal 11 2 2 8 2 2 3" xfId="31609" xr:uid="{00000000-0005-0000-0000-000007780000}"/>
    <cellStyle name="Normal 11 2 2 8 2 3" xfId="31610" xr:uid="{00000000-0005-0000-0000-000008780000}"/>
    <cellStyle name="Normal 11 2 2 8 2 3 2" xfId="31611" xr:uid="{00000000-0005-0000-0000-000009780000}"/>
    <cellStyle name="Normal 11 2 2 8 2 4" xfId="31612" xr:uid="{00000000-0005-0000-0000-00000A780000}"/>
    <cellStyle name="Normal 11 2 2 8 3" xfId="31613" xr:uid="{00000000-0005-0000-0000-00000B780000}"/>
    <cellStyle name="Normal 11 2 2 8 3 2" xfId="31614" xr:uid="{00000000-0005-0000-0000-00000C780000}"/>
    <cellStyle name="Normal 11 2 2 8 3 2 2" xfId="31615" xr:uid="{00000000-0005-0000-0000-00000D780000}"/>
    <cellStyle name="Normal 11 2 2 8 3 2 2 2" xfId="31616" xr:uid="{00000000-0005-0000-0000-00000E780000}"/>
    <cellStyle name="Normal 11 2 2 8 3 2 3" xfId="31617" xr:uid="{00000000-0005-0000-0000-00000F780000}"/>
    <cellStyle name="Normal 11 2 2 8 3 3" xfId="31618" xr:uid="{00000000-0005-0000-0000-000010780000}"/>
    <cellStyle name="Normal 11 2 2 8 3 3 2" xfId="31619" xr:uid="{00000000-0005-0000-0000-000011780000}"/>
    <cellStyle name="Normal 11 2 2 8 3 4" xfId="31620" xr:uid="{00000000-0005-0000-0000-000012780000}"/>
    <cellStyle name="Normal 11 2 2 8 4" xfId="31621" xr:uid="{00000000-0005-0000-0000-000013780000}"/>
    <cellStyle name="Normal 11 2 2 8 4 2" xfId="31622" xr:uid="{00000000-0005-0000-0000-000014780000}"/>
    <cellStyle name="Normal 11 2 2 8 4 2 2" xfId="31623" xr:uid="{00000000-0005-0000-0000-000015780000}"/>
    <cellStyle name="Normal 11 2 2 8 4 3" xfId="31624" xr:uid="{00000000-0005-0000-0000-000016780000}"/>
    <cellStyle name="Normal 11 2 2 8 5" xfId="31625" xr:uid="{00000000-0005-0000-0000-000017780000}"/>
    <cellStyle name="Normal 11 2 2 8 5 2" xfId="31626" xr:uid="{00000000-0005-0000-0000-000018780000}"/>
    <cellStyle name="Normal 11 2 2 8 6" xfId="31627" xr:uid="{00000000-0005-0000-0000-000019780000}"/>
    <cellStyle name="Normal 11 2 2 8 7" xfId="31604" xr:uid="{00000000-0005-0000-0000-00001A780000}"/>
    <cellStyle name="Normal 11 2 2 9" xfId="31628" xr:uid="{00000000-0005-0000-0000-00001B780000}"/>
    <cellStyle name="Normal 11 2 2 9 2" xfId="31629" xr:uid="{00000000-0005-0000-0000-00001C780000}"/>
    <cellStyle name="Normal 11 2 2 9 2 2" xfId="31630" xr:uid="{00000000-0005-0000-0000-00001D780000}"/>
    <cellStyle name="Normal 11 2 2 9 2 2 2" xfId="31631" xr:uid="{00000000-0005-0000-0000-00001E780000}"/>
    <cellStyle name="Normal 11 2 2 9 2 2 2 2" xfId="31632" xr:uid="{00000000-0005-0000-0000-00001F780000}"/>
    <cellStyle name="Normal 11 2 2 9 2 2 3" xfId="31633" xr:uid="{00000000-0005-0000-0000-000020780000}"/>
    <cellStyle name="Normal 11 2 2 9 2 3" xfId="31634" xr:uid="{00000000-0005-0000-0000-000021780000}"/>
    <cellStyle name="Normal 11 2 2 9 2 3 2" xfId="31635" xr:uid="{00000000-0005-0000-0000-000022780000}"/>
    <cellStyle name="Normal 11 2 2 9 2 4" xfId="31636" xr:uid="{00000000-0005-0000-0000-000023780000}"/>
    <cellStyle name="Normal 11 2 2 9 3" xfId="31637" xr:uid="{00000000-0005-0000-0000-000024780000}"/>
    <cellStyle name="Normal 11 2 2 9 3 2" xfId="31638" xr:uid="{00000000-0005-0000-0000-000025780000}"/>
    <cellStyle name="Normal 11 2 2 9 3 2 2" xfId="31639" xr:uid="{00000000-0005-0000-0000-000026780000}"/>
    <cellStyle name="Normal 11 2 2 9 3 3" xfId="31640" xr:uid="{00000000-0005-0000-0000-000027780000}"/>
    <cellStyle name="Normal 11 2 2 9 4" xfId="31641" xr:uid="{00000000-0005-0000-0000-000028780000}"/>
    <cellStyle name="Normal 11 2 2 9 4 2" xfId="31642" xr:uid="{00000000-0005-0000-0000-000029780000}"/>
    <cellStyle name="Normal 11 2 2 9 5" xfId="31643" xr:uid="{00000000-0005-0000-0000-00002A780000}"/>
    <cellStyle name="Normal 11 2 20" xfId="31644" xr:uid="{00000000-0005-0000-0000-00002B780000}"/>
    <cellStyle name="Normal 11 2 21" xfId="31645" xr:uid="{00000000-0005-0000-0000-00002C780000}"/>
    <cellStyle name="Normal 11 2 22" xfId="27109" xr:uid="{00000000-0005-0000-0000-00002D780000}"/>
    <cellStyle name="Normal 11 2 3" xfId="560" xr:uid="{00000000-0005-0000-0000-00002E780000}"/>
    <cellStyle name="Normal 11 2 3 10" xfId="31647" xr:uid="{00000000-0005-0000-0000-00002F780000}"/>
    <cellStyle name="Normal 11 2 3 10 2" xfId="31648" xr:uid="{00000000-0005-0000-0000-000030780000}"/>
    <cellStyle name="Normal 11 2 3 10 2 2" xfId="31649" xr:uid="{00000000-0005-0000-0000-000031780000}"/>
    <cellStyle name="Normal 11 2 3 10 2 2 2" xfId="31650" xr:uid="{00000000-0005-0000-0000-000032780000}"/>
    <cellStyle name="Normal 11 2 3 10 2 2 2 2" xfId="31651" xr:uid="{00000000-0005-0000-0000-000033780000}"/>
    <cellStyle name="Normal 11 2 3 10 2 2 3" xfId="31652" xr:uid="{00000000-0005-0000-0000-000034780000}"/>
    <cellStyle name="Normal 11 2 3 10 2 3" xfId="31653" xr:uid="{00000000-0005-0000-0000-000035780000}"/>
    <cellStyle name="Normal 11 2 3 10 2 3 2" xfId="31654" xr:uid="{00000000-0005-0000-0000-000036780000}"/>
    <cellStyle name="Normal 11 2 3 10 2 4" xfId="31655" xr:uid="{00000000-0005-0000-0000-000037780000}"/>
    <cellStyle name="Normal 11 2 3 10 3" xfId="31656" xr:uid="{00000000-0005-0000-0000-000038780000}"/>
    <cellStyle name="Normal 11 2 3 10 3 2" xfId="31657" xr:uid="{00000000-0005-0000-0000-000039780000}"/>
    <cellStyle name="Normal 11 2 3 10 3 2 2" xfId="31658" xr:uid="{00000000-0005-0000-0000-00003A780000}"/>
    <cellStyle name="Normal 11 2 3 10 3 3" xfId="31659" xr:uid="{00000000-0005-0000-0000-00003B780000}"/>
    <cellStyle name="Normal 11 2 3 10 4" xfId="31660" xr:uid="{00000000-0005-0000-0000-00003C780000}"/>
    <cellStyle name="Normal 11 2 3 10 4 2" xfId="31661" xr:uid="{00000000-0005-0000-0000-00003D780000}"/>
    <cellStyle name="Normal 11 2 3 10 5" xfId="31662" xr:uid="{00000000-0005-0000-0000-00003E780000}"/>
    <cellStyle name="Normal 11 2 3 11" xfId="31663" xr:uid="{00000000-0005-0000-0000-00003F780000}"/>
    <cellStyle name="Normal 11 2 3 11 2" xfId="31664" xr:uid="{00000000-0005-0000-0000-000040780000}"/>
    <cellStyle name="Normal 11 2 3 11 2 2" xfId="31665" xr:uid="{00000000-0005-0000-0000-000041780000}"/>
    <cellStyle name="Normal 11 2 3 11 2 2 2" xfId="31666" xr:uid="{00000000-0005-0000-0000-000042780000}"/>
    <cellStyle name="Normal 11 2 3 11 2 3" xfId="31667" xr:uid="{00000000-0005-0000-0000-000043780000}"/>
    <cellStyle name="Normal 11 2 3 11 3" xfId="31668" xr:uid="{00000000-0005-0000-0000-000044780000}"/>
    <cellStyle name="Normal 11 2 3 11 3 2" xfId="31669" xr:uid="{00000000-0005-0000-0000-000045780000}"/>
    <cellStyle name="Normal 11 2 3 11 4" xfId="31670" xr:uid="{00000000-0005-0000-0000-000046780000}"/>
    <cellStyle name="Normal 11 2 3 12" xfId="31671" xr:uid="{00000000-0005-0000-0000-000047780000}"/>
    <cellStyle name="Normal 11 2 3 12 2" xfId="31672" xr:uid="{00000000-0005-0000-0000-000048780000}"/>
    <cellStyle name="Normal 11 2 3 12 2 2" xfId="31673" xr:uid="{00000000-0005-0000-0000-000049780000}"/>
    <cellStyle name="Normal 11 2 3 12 2 2 2" xfId="31674" xr:uid="{00000000-0005-0000-0000-00004A780000}"/>
    <cellStyle name="Normal 11 2 3 12 2 3" xfId="31675" xr:uid="{00000000-0005-0000-0000-00004B780000}"/>
    <cellStyle name="Normal 11 2 3 12 3" xfId="31676" xr:uid="{00000000-0005-0000-0000-00004C780000}"/>
    <cellStyle name="Normal 11 2 3 12 3 2" xfId="31677" xr:uid="{00000000-0005-0000-0000-00004D780000}"/>
    <cellStyle name="Normal 11 2 3 12 4" xfId="31678" xr:uid="{00000000-0005-0000-0000-00004E780000}"/>
    <cellStyle name="Normal 11 2 3 13" xfId="31679" xr:uid="{00000000-0005-0000-0000-00004F780000}"/>
    <cellStyle name="Normal 11 2 3 13 2" xfId="31680" xr:uid="{00000000-0005-0000-0000-000050780000}"/>
    <cellStyle name="Normal 11 2 3 13 2 2" xfId="31681" xr:uid="{00000000-0005-0000-0000-000051780000}"/>
    <cellStyle name="Normal 11 2 3 13 2 2 2" xfId="31682" xr:uid="{00000000-0005-0000-0000-000052780000}"/>
    <cellStyle name="Normal 11 2 3 13 2 3" xfId="31683" xr:uid="{00000000-0005-0000-0000-000053780000}"/>
    <cellStyle name="Normal 11 2 3 13 3" xfId="31684" xr:uid="{00000000-0005-0000-0000-000054780000}"/>
    <cellStyle name="Normal 11 2 3 13 3 2" xfId="31685" xr:uid="{00000000-0005-0000-0000-000055780000}"/>
    <cellStyle name="Normal 11 2 3 13 4" xfId="31686" xr:uid="{00000000-0005-0000-0000-000056780000}"/>
    <cellStyle name="Normal 11 2 3 14" xfId="31687" xr:uid="{00000000-0005-0000-0000-000057780000}"/>
    <cellStyle name="Normal 11 2 3 14 2" xfId="31688" xr:uid="{00000000-0005-0000-0000-000058780000}"/>
    <cellStyle name="Normal 11 2 3 14 2 2" xfId="31689" xr:uid="{00000000-0005-0000-0000-000059780000}"/>
    <cellStyle name="Normal 11 2 3 14 3" xfId="31690" xr:uid="{00000000-0005-0000-0000-00005A780000}"/>
    <cellStyle name="Normal 11 2 3 15" xfId="31691" xr:uid="{00000000-0005-0000-0000-00005B780000}"/>
    <cellStyle name="Normal 11 2 3 15 2" xfId="31692" xr:uid="{00000000-0005-0000-0000-00005C780000}"/>
    <cellStyle name="Normal 11 2 3 15 2 2" xfId="31693" xr:uid="{00000000-0005-0000-0000-00005D780000}"/>
    <cellStyle name="Normal 11 2 3 15 3" xfId="31694" xr:uid="{00000000-0005-0000-0000-00005E780000}"/>
    <cellStyle name="Normal 11 2 3 16" xfId="31695" xr:uid="{00000000-0005-0000-0000-00005F780000}"/>
    <cellStyle name="Normal 11 2 3 16 2" xfId="31696" xr:uid="{00000000-0005-0000-0000-000060780000}"/>
    <cellStyle name="Normal 11 2 3 16 2 2" xfId="31697" xr:uid="{00000000-0005-0000-0000-000061780000}"/>
    <cellStyle name="Normal 11 2 3 16 3" xfId="31698" xr:uid="{00000000-0005-0000-0000-000062780000}"/>
    <cellStyle name="Normal 11 2 3 17" xfId="31699" xr:uid="{00000000-0005-0000-0000-000063780000}"/>
    <cellStyle name="Normal 11 2 3 17 2" xfId="31700" xr:uid="{00000000-0005-0000-0000-000064780000}"/>
    <cellStyle name="Normal 11 2 3 18" xfId="31701" xr:uid="{00000000-0005-0000-0000-000065780000}"/>
    <cellStyle name="Normal 11 2 3 19" xfId="31702" xr:uid="{00000000-0005-0000-0000-000066780000}"/>
    <cellStyle name="Normal 11 2 3 2" xfId="561" xr:uid="{00000000-0005-0000-0000-000067780000}"/>
    <cellStyle name="Normal 11 2 3 2 10" xfId="31704" xr:uid="{00000000-0005-0000-0000-000068780000}"/>
    <cellStyle name="Normal 11 2 3 2 10 2" xfId="31705" xr:uid="{00000000-0005-0000-0000-000069780000}"/>
    <cellStyle name="Normal 11 2 3 2 10 2 2" xfId="31706" xr:uid="{00000000-0005-0000-0000-00006A780000}"/>
    <cellStyle name="Normal 11 2 3 2 10 2 2 2" xfId="31707" xr:uid="{00000000-0005-0000-0000-00006B780000}"/>
    <cellStyle name="Normal 11 2 3 2 10 2 3" xfId="31708" xr:uid="{00000000-0005-0000-0000-00006C780000}"/>
    <cellStyle name="Normal 11 2 3 2 10 3" xfId="31709" xr:uid="{00000000-0005-0000-0000-00006D780000}"/>
    <cellStyle name="Normal 11 2 3 2 10 3 2" xfId="31710" xr:uid="{00000000-0005-0000-0000-00006E780000}"/>
    <cellStyle name="Normal 11 2 3 2 10 4" xfId="31711" xr:uid="{00000000-0005-0000-0000-00006F780000}"/>
    <cellStyle name="Normal 11 2 3 2 11" xfId="31712" xr:uid="{00000000-0005-0000-0000-000070780000}"/>
    <cellStyle name="Normal 11 2 3 2 11 2" xfId="31713" xr:uid="{00000000-0005-0000-0000-000071780000}"/>
    <cellStyle name="Normal 11 2 3 2 11 2 2" xfId="31714" xr:uid="{00000000-0005-0000-0000-000072780000}"/>
    <cellStyle name="Normal 11 2 3 2 11 2 2 2" xfId="31715" xr:uid="{00000000-0005-0000-0000-000073780000}"/>
    <cellStyle name="Normal 11 2 3 2 11 2 3" xfId="31716" xr:uid="{00000000-0005-0000-0000-000074780000}"/>
    <cellStyle name="Normal 11 2 3 2 11 3" xfId="31717" xr:uid="{00000000-0005-0000-0000-000075780000}"/>
    <cellStyle name="Normal 11 2 3 2 11 3 2" xfId="31718" xr:uid="{00000000-0005-0000-0000-000076780000}"/>
    <cellStyle name="Normal 11 2 3 2 11 4" xfId="31719" xr:uid="{00000000-0005-0000-0000-000077780000}"/>
    <cellStyle name="Normal 11 2 3 2 12" xfId="31720" xr:uid="{00000000-0005-0000-0000-000078780000}"/>
    <cellStyle name="Normal 11 2 3 2 12 2" xfId="31721" xr:uid="{00000000-0005-0000-0000-000079780000}"/>
    <cellStyle name="Normal 11 2 3 2 12 2 2" xfId="31722" xr:uid="{00000000-0005-0000-0000-00007A780000}"/>
    <cellStyle name="Normal 11 2 3 2 12 2 2 2" xfId="31723" xr:uid="{00000000-0005-0000-0000-00007B780000}"/>
    <cellStyle name="Normal 11 2 3 2 12 2 3" xfId="31724" xr:uid="{00000000-0005-0000-0000-00007C780000}"/>
    <cellStyle name="Normal 11 2 3 2 12 3" xfId="31725" xr:uid="{00000000-0005-0000-0000-00007D780000}"/>
    <cellStyle name="Normal 11 2 3 2 12 3 2" xfId="31726" xr:uid="{00000000-0005-0000-0000-00007E780000}"/>
    <cellStyle name="Normal 11 2 3 2 12 4" xfId="31727" xr:uid="{00000000-0005-0000-0000-00007F780000}"/>
    <cellStyle name="Normal 11 2 3 2 13" xfId="31728" xr:uid="{00000000-0005-0000-0000-000080780000}"/>
    <cellStyle name="Normal 11 2 3 2 13 2" xfId="31729" xr:uid="{00000000-0005-0000-0000-000081780000}"/>
    <cellStyle name="Normal 11 2 3 2 13 2 2" xfId="31730" xr:uid="{00000000-0005-0000-0000-000082780000}"/>
    <cellStyle name="Normal 11 2 3 2 13 3" xfId="31731" xr:uid="{00000000-0005-0000-0000-000083780000}"/>
    <cellStyle name="Normal 11 2 3 2 14" xfId="31732" xr:uid="{00000000-0005-0000-0000-000084780000}"/>
    <cellStyle name="Normal 11 2 3 2 14 2" xfId="31733" xr:uid="{00000000-0005-0000-0000-000085780000}"/>
    <cellStyle name="Normal 11 2 3 2 14 2 2" xfId="31734" xr:uid="{00000000-0005-0000-0000-000086780000}"/>
    <cellStyle name="Normal 11 2 3 2 14 3" xfId="31735" xr:uid="{00000000-0005-0000-0000-000087780000}"/>
    <cellStyle name="Normal 11 2 3 2 15" xfId="31736" xr:uid="{00000000-0005-0000-0000-000088780000}"/>
    <cellStyle name="Normal 11 2 3 2 15 2" xfId="31737" xr:uid="{00000000-0005-0000-0000-000089780000}"/>
    <cellStyle name="Normal 11 2 3 2 15 2 2" xfId="31738" xr:uid="{00000000-0005-0000-0000-00008A780000}"/>
    <cellStyle name="Normal 11 2 3 2 15 3" xfId="31739" xr:uid="{00000000-0005-0000-0000-00008B780000}"/>
    <cellStyle name="Normal 11 2 3 2 16" xfId="31740" xr:uid="{00000000-0005-0000-0000-00008C780000}"/>
    <cellStyle name="Normal 11 2 3 2 16 2" xfId="31741" xr:uid="{00000000-0005-0000-0000-00008D780000}"/>
    <cellStyle name="Normal 11 2 3 2 17" xfId="31742" xr:uid="{00000000-0005-0000-0000-00008E780000}"/>
    <cellStyle name="Normal 11 2 3 2 18" xfId="31743" xr:uid="{00000000-0005-0000-0000-00008F780000}"/>
    <cellStyle name="Normal 11 2 3 2 19" xfId="31703" xr:uid="{00000000-0005-0000-0000-000090780000}"/>
    <cellStyle name="Normal 11 2 3 2 2" xfId="562" xr:uid="{00000000-0005-0000-0000-000091780000}"/>
    <cellStyle name="Normal 11 2 3 2 2 10" xfId="31745" xr:uid="{00000000-0005-0000-0000-000092780000}"/>
    <cellStyle name="Normal 11 2 3 2 2 10 2" xfId="31746" xr:uid="{00000000-0005-0000-0000-000093780000}"/>
    <cellStyle name="Normal 11 2 3 2 2 10 2 2" xfId="31747" xr:uid="{00000000-0005-0000-0000-000094780000}"/>
    <cellStyle name="Normal 11 2 3 2 2 10 2 2 2" xfId="31748" xr:uid="{00000000-0005-0000-0000-000095780000}"/>
    <cellStyle name="Normal 11 2 3 2 2 10 2 3" xfId="31749" xr:uid="{00000000-0005-0000-0000-000096780000}"/>
    <cellStyle name="Normal 11 2 3 2 2 10 3" xfId="31750" xr:uid="{00000000-0005-0000-0000-000097780000}"/>
    <cellStyle name="Normal 11 2 3 2 2 10 3 2" xfId="31751" xr:uid="{00000000-0005-0000-0000-000098780000}"/>
    <cellStyle name="Normal 11 2 3 2 2 10 4" xfId="31752" xr:uid="{00000000-0005-0000-0000-000099780000}"/>
    <cellStyle name="Normal 11 2 3 2 2 11" xfId="31753" xr:uid="{00000000-0005-0000-0000-00009A780000}"/>
    <cellStyle name="Normal 11 2 3 2 2 11 2" xfId="31754" xr:uid="{00000000-0005-0000-0000-00009B780000}"/>
    <cellStyle name="Normal 11 2 3 2 2 11 2 2" xfId="31755" xr:uid="{00000000-0005-0000-0000-00009C780000}"/>
    <cellStyle name="Normal 11 2 3 2 2 11 2 2 2" xfId="31756" xr:uid="{00000000-0005-0000-0000-00009D780000}"/>
    <cellStyle name="Normal 11 2 3 2 2 11 2 3" xfId="31757" xr:uid="{00000000-0005-0000-0000-00009E780000}"/>
    <cellStyle name="Normal 11 2 3 2 2 11 3" xfId="31758" xr:uid="{00000000-0005-0000-0000-00009F780000}"/>
    <cellStyle name="Normal 11 2 3 2 2 11 3 2" xfId="31759" xr:uid="{00000000-0005-0000-0000-0000A0780000}"/>
    <cellStyle name="Normal 11 2 3 2 2 11 4" xfId="31760" xr:uid="{00000000-0005-0000-0000-0000A1780000}"/>
    <cellStyle name="Normal 11 2 3 2 2 12" xfId="31761" xr:uid="{00000000-0005-0000-0000-0000A2780000}"/>
    <cellStyle name="Normal 11 2 3 2 2 12 2" xfId="31762" xr:uid="{00000000-0005-0000-0000-0000A3780000}"/>
    <cellStyle name="Normal 11 2 3 2 2 12 2 2" xfId="31763" xr:uid="{00000000-0005-0000-0000-0000A4780000}"/>
    <cellStyle name="Normal 11 2 3 2 2 12 3" xfId="31764" xr:uid="{00000000-0005-0000-0000-0000A5780000}"/>
    <cellStyle name="Normal 11 2 3 2 2 13" xfId="31765" xr:uid="{00000000-0005-0000-0000-0000A6780000}"/>
    <cellStyle name="Normal 11 2 3 2 2 13 2" xfId="31766" xr:uid="{00000000-0005-0000-0000-0000A7780000}"/>
    <cellStyle name="Normal 11 2 3 2 2 13 2 2" xfId="31767" xr:uid="{00000000-0005-0000-0000-0000A8780000}"/>
    <cellStyle name="Normal 11 2 3 2 2 13 3" xfId="31768" xr:uid="{00000000-0005-0000-0000-0000A9780000}"/>
    <cellStyle name="Normal 11 2 3 2 2 14" xfId="31769" xr:uid="{00000000-0005-0000-0000-0000AA780000}"/>
    <cellStyle name="Normal 11 2 3 2 2 14 2" xfId="31770" xr:uid="{00000000-0005-0000-0000-0000AB780000}"/>
    <cellStyle name="Normal 11 2 3 2 2 14 2 2" xfId="31771" xr:uid="{00000000-0005-0000-0000-0000AC780000}"/>
    <cellStyle name="Normal 11 2 3 2 2 14 3" xfId="31772" xr:uid="{00000000-0005-0000-0000-0000AD780000}"/>
    <cellStyle name="Normal 11 2 3 2 2 15" xfId="31773" xr:uid="{00000000-0005-0000-0000-0000AE780000}"/>
    <cellStyle name="Normal 11 2 3 2 2 15 2" xfId="31774" xr:uid="{00000000-0005-0000-0000-0000AF780000}"/>
    <cellStyle name="Normal 11 2 3 2 2 16" xfId="31775" xr:uid="{00000000-0005-0000-0000-0000B0780000}"/>
    <cellStyle name="Normal 11 2 3 2 2 17" xfId="31776" xr:uid="{00000000-0005-0000-0000-0000B1780000}"/>
    <cellStyle name="Normal 11 2 3 2 2 18" xfId="31744" xr:uid="{00000000-0005-0000-0000-0000B2780000}"/>
    <cellStyle name="Normal 11 2 3 2 2 2" xfId="563" xr:uid="{00000000-0005-0000-0000-0000B3780000}"/>
    <cellStyle name="Normal 11 2 3 2 2 2 10" xfId="31778" xr:uid="{00000000-0005-0000-0000-0000B4780000}"/>
    <cellStyle name="Normal 11 2 3 2 2 2 10 2" xfId="31779" xr:uid="{00000000-0005-0000-0000-0000B5780000}"/>
    <cellStyle name="Normal 11 2 3 2 2 2 10 2 2" xfId="31780" xr:uid="{00000000-0005-0000-0000-0000B6780000}"/>
    <cellStyle name="Normal 11 2 3 2 2 2 10 2 2 2" xfId="31781" xr:uid="{00000000-0005-0000-0000-0000B7780000}"/>
    <cellStyle name="Normal 11 2 3 2 2 2 10 2 3" xfId="31782" xr:uid="{00000000-0005-0000-0000-0000B8780000}"/>
    <cellStyle name="Normal 11 2 3 2 2 2 10 3" xfId="31783" xr:uid="{00000000-0005-0000-0000-0000B9780000}"/>
    <cellStyle name="Normal 11 2 3 2 2 2 10 3 2" xfId="31784" xr:uid="{00000000-0005-0000-0000-0000BA780000}"/>
    <cellStyle name="Normal 11 2 3 2 2 2 10 4" xfId="31785" xr:uid="{00000000-0005-0000-0000-0000BB780000}"/>
    <cellStyle name="Normal 11 2 3 2 2 2 11" xfId="31786" xr:uid="{00000000-0005-0000-0000-0000BC780000}"/>
    <cellStyle name="Normal 11 2 3 2 2 2 11 2" xfId="31787" xr:uid="{00000000-0005-0000-0000-0000BD780000}"/>
    <cellStyle name="Normal 11 2 3 2 2 2 11 2 2" xfId="31788" xr:uid="{00000000-0005-0000-0000-0000BE780000}"/>
    <cellStyle name="Normal 11 2 3 2 2 2 11 3" xfId="31789" xr:uid="{00000000-0005-0000-0000-0000BF780000}"/>
    <cellStyle name="Normal 11 2 3 2 2 2 12" xfId="31790" xr:uid="{00000000-0005-0000-0000-0000C0780000}"/>
    <cellStyle name="Normal 11 2 3 2 2 2 12 2" xfId="31791" xr:uid="{00000000-0005-0000-0000-0000C1780000}"/>
    <cellStyle name="Normal 11 2 3 2 2 2 12 2 2" xfId="31792" xr:uid="{00000000-0005-0000-0000-0000C2780000}"/>
    <cellStyle name="Normal 11 2 3 2 2 2 12 3" xfId="31793" xr:uid="{00000000-0005-0000-0000-0000C3780000}"/>
    <cellStyle name="Normal 11 2 3 2 2 2 13" xfId="31794" xr:uid="{00000000-0005-0000-0000-0000C4780000}"/>
    <cellStyle name="Normal 11 2 3 2 2 2 13 2" xfId="31795" xr:uid="{00000000-0005-0000-0000-0000C5780000}"/>
    <cellStyle name="Normal 11 2 3 2 2 2 13 2 2" xfId="31796" xr:uid="{00000000-0005-0000-0000-0000C6780000}"/>
    <cellStyle name="Normal 11 2 3 2 2 2 13 3" xfId="31797" xr:uid="{00000000-0005-0000-0000-0000C7780000}"/>
    <cellStyle name="Normal 11 2 3 2 2 2 14" xfId="31798" xr:uid="{00000000-0005-0000-0000-0000C8780000}"/>
    <cellStyle name="Normal 11 2 3 2 2 2 14 2" xfId="31799" xr:uid="{00000000-0005-0000-0000-0000C9780000}"/>
    <cellStyle name="Normal 11 2 3 2 2 2 15" xfId="31800" xr:uid="{00000000-0005-0000-0000-0000CA780000}"/>
    <cellStyle name="Normal 11 2 3 2 2 2 16" xfId="31801" xr:uid="{00000000-0005-0000-0000-0000CB780000}"/>
    <cellStyle name="Normal 11 2 3 2 2 2 17" xfId="31777" xr:uid="{00000000-0005-0000-0000-0000CC780000}"/>
    <cellStyle name="Normal 11 2 3 2 2 2 2" xfId="564" xr:uid="{00000000-0005-0000-0000-0000CD780000}"/>
    <cellStyle name="Normal 11 2 3 2 2 2 2 10" xfId="31803" xr:uid="{00000000-0005-0000-0000-0000CE780000}"/>
    <cellStyle name="Normal 11 2 3 2 2 2 2 10 2" xfId="31804" xr:uid="{00000000-0005-0000-0000-0000CF780000}"/>
    <cellStyle name="Normal 11 2 3 2 2 2 2 10 2 2" xfId="31805" xr:uid="{00000000-0005-0000-0000-0000D0780000}"/>
    <cellStyle name="Normal 11 2 3 2 2 2 2 10 3" xfId="31806" xr:uid="{00000000-0005-0000-0000-0000D1780000}"/>
    <cellStyle name="Normal 11 2 3 2 2 2 2 11" xfId="31807" xr:uid="{00000000-0005-0000-0000-0000D2780000}"/>
    <cellStyle name="Normal 11 2 3 2 2 2 2 11 2" xfId="31808" xr:uid="{00000000-0005-0000-0000-0000D3780000}"/>
    <cellStyle name="Normal 11 2 3 2 2 2 2 11 2 2" xfId="31809" xr:uid="{00000000-0005-0000-0000-0000D4780000}"/>
    <cellStyle name="Normal 11 2 3 2 2 2 2 11 3" xfId="31810" xr:uid="{00000000-0005-0000-0000-0000D5780000}"/>
    <cellStyle name="Normal 11 2 3 2 2 2 2 12" xfId="31811" xr:uid="{00000000-0005-0000-0000-0000D6780000}"/>
    <cellStyle name="Normal 11 2 3 2 2 2 2 12 2" xfId="31812" xr:uid="{00000000-0005-0000-0000-0000D7780000}"/>
    <cellStyle name="Normal 11 2 3 2 2 2 2 13" xfId="31813" xr:uid="{00000000-0005-0000-0000-0000D8780000}"/>
    <cellStyle name="Normal 11 2 3 2 2 2 2 14" xfId="31814" xr:uid="{00000000-0005-0000-0000-0000D9780000}"/>
    <cellStyle name="Normal 11 2 3 2 2 2 2 15" xfId="31802" xr:uid="{00000000-0005-0000-0000-0000DA780000}"/>
    <cellStyle name="Normal 11 2 3 2 2 2 2 2" xfId="1006" xr:uid="{00000000-0005-0000-0000-0000DB780000}"/>
    <cellStyle name="Normal 11 2 3 2 2 2 2 2 10" xfId="31816" xr:uid="{00000000-0005-0000-0000-0000DC780000}"/>
    <cellStyle name="Normal 11 2 3 2 2 2 2 2 11" xfId="31815" xr:uid="{00000000-0005-0000-0000-0000DD780000}"/>
    <cellStyle name="Normal 11 2 3 2 2 2 2 2 2" xfId="1735" xr:uid="{00000000-0005-0000-0000-0000DE780000}"/>
    <cellStyle name="Normal 11 2 3 2 2 2 2 2 2 2" xfId="31818" xr:uid="{00000000-0005-0000-0000-0000DF780000}"/>
    <cellStyle name="Normal 11 2 3 2 2 2 2 2 2 2 2" xfId="31819" xr:uid="{00000000-0005-0000-0000-0000E0780000}"/>
    <cellStyle name="Normal 11 2 3 2 2 2 2 2 2 2 2 2" xfId="31820" xr:uid="{00000000-0005-0000-0000-0000E1780000}"/>
    <cellStyle name="Normal 11 2 3 2 2 2 2 2 2 2 2 2 2" xfId="31821" xr:uid="{00000000-0005-0000-0000-0000E2780000}"/>
    <cellStyle name="Normal 11 2 3 2 2 2 2 2 2 2 2 3" xfId="31822" xr:uid="{00000000-0005-0000-0000-0000E3780000}"/>
    <cellStyle name="Normal 11 2 3 2 2 2 2 2 2 2 3" xfId="31823" xr:uid="{00000000-0005-0000-0000-0000E4780000}"/>
    <cellStyle name="Normal 11 2 3 2 2 2 2 2 2 2 3 2" xfId="31824" xr:uid="{00000000-0005-0000-0000-0000E5780000}"/>
    <cellStyle name="Normal 11 2 3 2 2 2 2 2 2 2 4" xfId="31825" xr:uid="{00000000-0005-0000-0000-0000E6780000}"/>
    <cellStyle name="Normal 11 2 3 2 2 2 2 2 2 3" xfId="31826" xr:uid="{00000000-0005-0000-0000-0000E7780000}"/>
    <cellStyle name="Normal 11 2 3 2 2 2 2 2 2 3 2" xfId="31827" xr:uid="{00000000-0005-0000-0000-0000E8780000}"/>
    <cellStyle name="Normal 11 2 3 2 2 2 2 2 2 3 2 2" xfId="31828" xr:uid="{00000000-0005-0000-0000-0000E9780000}"/>
    <cellStyle name="Normal 11 2 3 2 2 2 2 2 2 3 2 2 2" xfId="31829" xr:uid="{00000000-0005-0000-0000-0000EA780000}"/>
    <cellStyle name="Normal 11 2 3 2 2 2 2 2 2 3 2 3" xfId="31830" xr:uid="{00000000-0005-0000-0000-0000EB780000}"/>
    <cellStyle name="Normal 11 2 3 2 2 2 2 2 2 3 3" xfId="31831" xr:uid="{00000000-0005-0000-0000-0000EC780000}"/>
    <cellStyle name="Normal 11 2 3 2 2 2 2 2 2 3 3 2" xfId="31832" xr:uid="{00000000-0005-0000-0000-0000ED780000}"/>
    <cellStyle name="Normal 11 2 3 2 2 2 2 2 2 3 4" xfId="31833" xr:uid="{00000000-0005-0000-0000-0000EE780000}"/>
    <cellStyle name="Normal 11 2 3 2 2 2 2 2 2 4" xfId="31834" xr:uid="{00000000-0005-0000-0000-0000EF780000}"/>
    <cellStyle name="Normal 11 2 3 2 2 2 2 2 2 4 2" xfId="31835" xr:uid="{00000000-0005-0000-0000-0000F0780000}"/>
    <cellStyle name="Normal 11 2 3 2 2 2 2 2 2 4 2 2" xfId="31836" xr:uid="{00000000-0005-0000-0000-0000F1780000}"/>
    <cellStyle name="Normal 11 2 3 2 2 2 2 2 2 4 3" xfId="31837" xr:uid="{00000000-0005-0000-0000-0000F2780000}"/>
    <cellStyle name="Normal 11 2 3 2 2 2 2 2 2 5" xfId="31838" xr:uid="{00000000-0005-0000-0000-0000F3780000}"/>
    <cellStyle name="Normal 11 2 3 2 2 2 2 2 2 5 2" xfId="31839" xr:uid="{00000000-0005-0000-0000-0000F4780000}"/>
    <cellStyle name="Normal 11 2 3 2 2 2 2 2 2 6" xfId="31840" xr:uid="{00000000-0005-0000-0000-0000F5780000}"/>
    <cellStyle name="Normal 11 2 3 2 2 2 2 2 2 7" xfId="31817" xr:uid="{00000000-0005-0000-0000-0000F6780000}"/>
    <cellStyle name="Normal 11 2 3 2 2 2 2 2 3" xfId="31841" xr:uid="{00000000-0005-0000-0000-0000F7780000}"/>
    <cellStyle name="Normal 11 2 3 2 2 2 2 2 3 2" xfId="31842" xr:uid="{00000000-0005-0000-0000-0000F8780000}"/>
    <cellStyle name="Normal 11 2 3 2 2 2 2 2 3 2 2" xfId="31843" xr:uid="{00000000-0005-0000-0000-0000F9780000}"/>
    <cellStyle name="Normal 11 2 3 2 2 2 2 2 3 2 2 2" xfId="31844" xr:uid="{00000000-0005-0000-0000-0000FA780000}"/>
    <cellStyle name="Normal 11 2 3 2 2 2 2 2 3 2 2 2 2" xfId="31845" xr:uid="{00000000-0005-0000-0000-0000FB780000}"/>
    <cellStyle name="Normal 11 2 3 2 2 2 2 2 3 2 2 3" xfId="31846" xr:uid="{00000000-0005-0000-0000-0000FC780000}"/>
    <cellStyle name="Normal 11 2 3 2 2 2 2 2 3 2 3" xfId="31847" xr:uid="{00000000-0005-0000-0000-0000FD780000}"/>
    <cellStyle name="Normal 11 2 3 2 2 2 2 2 3 2 3 2" xfId="31848" xr:uid="{00000000-0005-0000-0000-0000FE780000}"/>
    <cellStyle name="Normal 11 2 3 2 2 2 2 2 3 2 4" xfId="31849" xr:uid="{00000000-0005-0000-0000-0000FF780000}"/>
    <cellStyle name="Normal 11 2 3 2 2 2 2 2 3 3" xfId="31850" xr:uid="{00000000-0005-0000-0000-000000790000}"/>
    <cellStyle name="Normal 11 2 3 2 2 2 2 2 3 3 2" xfId="31851" xr:uid="{00000000-0005-0000-0000-000001790000}"/>
    <cellStyle name="Normal 11 2 3 2 2 2 2 2 3 3 2 2" xfId="31852" xr:uid="{00000000-0005-0000-0000-000002790000}"/>
    <cellStyle name="Normal 11 2 3 2 2 2 2 2 3 3 3" xfId="31853" xr:uid="{00000000-0005-0000-0000-000003790000}"/>
    <cellStyle name="Normal 11 2 3 2 2 2 2 2 3 4" xfId="31854" xr:uid="{00000000-0005-0000-0000-000004790000}"/>
    <cellStyle name="Normal 11 2 3 2 2 2 2 2 3 4 2" xfId="31855" xr:uid="{00000000-0005-0000-0000-000005790000}"/>
    <cellStyle name="Normal 11 2 3 2 2 2 2 2 3 5" xfId="31856" xr:uid="{00000000-0005-0000-0000-000006790000}"/>
    <cellStyle name="Normal 11 2 3 2 2 2 2 2 4" xfId="31857" xr:uid="{00000000-0005-0000-0000-000007790000}"/>
    <cellStyle name="Normal 11 2 3 2 2 2 2 2 4 2" xfId="31858" xr:uid="{00000000-0005-0000-0000-000008790000}"/>
    <cellStyle name="Normal 11 2 3 2 2 2 2 2 4 2 2" xfId="31859" xr:uid="{00000000-0005-0000-0000-000009790000}"/>
    <cellStyle name="Normal 11 2 3 2 2 2 2 2 4 2 2 2" xfId="31860" xr:uid="{00000000-0005-0000-0000-00000A790000}"/>
    <cellStyle name="Normal 11 2 3 2 2 2 2 2 4 2 2 2 2" xfId="31861" xr:uid="{00000000-0005-0000-0000-00000B790000}"/>
    <cellStyle name="Normal 11 2 3 2 2 2 2 2 4 2 2 3" xfId="31862" xr:uid="{00000000-0005-0000-0000-00000C790000}"/>
    <cellStyle name="Normal 11 2 3 2 2 2 2 2 4 2 3" xfId="31863" xr:uid="{00000000-0005-0000-0000-00000D790000}"/>
    <cellStyle name="Normal 11 2 3 2 2 2 2 2 4 2 3 2" xfId="31864" xr:uid="{00000000-0005-0000-0000-00000E790000}"/>
    <cellStyle name="Normal 11 2 3 2 2 2 2 2 4 2 4" xfId="31865" xr:uid="{00000000-0005-0000-0000-00000F790000}"/>
    <cellStyle name="Normal 11 2 3 2 2 2 2 2 4 3" xfId="31866" xr:uid="{00000000-0005-0000-0000-000010790000}"/>
    <cellStyle name="Normal 11 2 3 2 2 2 2 2 4 3 2" xfId="31867" xr:uid="{00000000-0005-0000-0000-000011790000}"/>
    <cellStyle name="Normal 11 2 3 2 2 2 2 2 4 3 2 2" xfId="31868" xr:uid="{00000000-0005-0000-0000-000012790000}"/>
    <cellStyle name="Normal 11 2 3 2 2 2 2 2 4 3 3" xfId="31869" xr:uid="{00000000-0005-0000-0000-000013790000}"/>
    <cellStyle name="Normal 11 2 3 2 2 2 2 2 4 4" xfId="31870" xr:uid="{00000000-0005-0000-0000-000014790000}"/>
    <cellStyle name="Normal 11 2 3 2 2 2 2 2 4 4 2" xfId="31871" xr:uid="{00000000-0005-0000-0000-000015790000}"/>
    <cellStyle name="Normal 11 2 3 2 2 2 2 2 4 5" xfId="31872" xr:uid="{00000000-0005-0000-0000-000016790000}"/>
    <cellStyle name="Normal 11 2 3 2 2 2 2 2 5" xfId="31873" xr:uid="{00000000-0005-0000-0000-000017790000}"/>
    <cellStyle name="Normal 11 2 3 2 2 2 2 2 5 2" xfId="31874" xr:uid="{00000000-0005-0000-0000-000018790000}"/>
    <cellStyle name="Normal 11 2 3 2 2 2 2 2 5 2 2" xfId="31875" xr:uid="{00000000-0005-0000-0000-000019790000}"/>
    <cellStyle name="Normal 11 2 3 2 2 2 2 2 5 2 2 2" xfId="31876" xr:uid="{00000000-0005-0000-0000-00001A790000}"/>
    <cellStyle name="Normal 11 2 3 2 2 2 2 2 5 2 3" xfId="31877" xr:uid="{00000000-0005-0000-0000-00001B790000}"/>
    <cellStyle name="Normal 11 2 3 2 2 2 2 2 5 3" xfId="31878" xr:uid="{00000000-0005-0000-0000-00001C790000}"/>
    <cellStyle name="Normal 11 2 3 2 2 2 2 2 5 3 2" xfId="31879" xr:uid="{00000000-0005-0000-0000-00001D790000}"/>
    <cellStyle name="Normal 11 2 3 2 2 2 2 2 5 4" xfId="31880" xr:uid="{00000000-0005-0000-0000-00001E790000}"/>
    <cellStyle name="Normal 11 2 3 2 2 2 2 2 6" xfId="31881" xr:uid="{00000000-0005-0000-0000-00001F790000}"/>
    <cellStyle name="Normal 11 2 3 2 2 2 2 2 6 2" xfId="31882" xr:uid="{00000000-0005-0000-0000-000020790000}"/>
    <cellStyle name="Normal 11 2 3 2 2 2 2 2 6 2 2" xfId="31883" xr:uid="{00000000-0005-0000-0000-000021790000}"/>
    <cellStyle name="Normal 11 2 3 2 2 2 2 2 6 2 2 2" xfId="31884" xr:uid="{00000000-0005-0000-0000-000022790000}"/>
    <cellStyle name="Normal 11 2 3 2 2 2 2 2 6 2 3" xfId="31885" xr:uid="{00000000-0005-0000-0000-000023790000}"/>
    <cellStyle name="Normal 11 2 3 2 2 2 2 2 6 3" xfId="31886" xr:uid="{00000000-0005-0000-0000-000024790000}"/>
    <cellStyle name="Normal 11 2 3 2 2 2 2 2 6 3 2" xfId="31887" xr:uid="{00000000-0005-0000-0000-000025790000}"/>
    <cellStyle name="Normal 11 2 3 2 2 2 2 2 6 4" xfId="31888" xr:uid="{00000000-0005-0000-0000-000026790000}"/>
    <cellStyle name="Normal 11 2 3 2 2 2 2 2 7" xfId="31889" xr:uid="{00000000-0005-0000-0000-000027790000}"/>
    <cellStyle name="Normal 11 2 3 2 2 2 2 2 7 2" xfId="31890" xr:uid="{00000000-0005-0000-0000-000028790000}"/>
    <cellStyle name="Normal 11 2 3 2 2 2 2 2 7 2 2" xfId="31891" xr:uid="{00000000-0005-0000-0000-000029790000}"/>
    <cellStyle name="Normal 11 2 3 2 2 2 2 2 7 2 2 2" xfId="31892" xr:uid="{00000000-0005-0000-0000-00002A790000}"/>
    <cellStyle name="Normal 11 2 3 2 2 2 2 2 7 2 3" xfId="31893" xr:uid="{00000000-0005-0000-0000-00002B790000}"/>
    <cellStyle name="Normal 11 2 3 2 2 2 2 2 7 3" xfId="31894" xr:uid="{00000000-0005-0000-0000-00002C790000}"/>
    <cellStyle name="Normal 11 2 3 2 2 2 2 2 7 3 2" xfId="31895" xr:uid="{00000000-0005-0000-0000-00002D790000}"/>
    <cellStyle name="Normal 11 2 3 2 2 2 2 2 7 4" xfId="31896" xr:uid="{00000000-0005-0000-0000-00002E790000}"/>
    <cellStyle name="Normal 11 2 3 2 2 2 2 2 8" xfId="31897" xr:uid="{00000000-0005-0000-0000-00002F790000}"/>
    <cellStyle name="Normal 11 2 3 2 2 2 2 2 8 2" xfId="31898" xr:uid="{00000000-0005-0000-0000-000030790000}"/>
    <cellStyle name="Normal 11 2 3 2 2 2 2 2 8 2 2" xfId="31899" xr:uid="{00000000-0005-0000-0000-000031790000}"/>
    <cellStyle name="Normal 11 2 3 2 2 2 2 2 8 3" xfId="31900" xr:uid="{00000000-0005-0000-0000-000032790000}"/>
    <cellStyle name="Normal 11 2 3 2 2 2 2 2 9" xfId="31901" xr:uid="{00000000-0005-0000-0000-000033790000}"/>
    <cellStyle name="Normal 11 2 3 2 2 2 2 2 9 2" xfId="31902" xr:uid="{00000000-0005-0000-0000-000034790000}"/>
    <cellStyle name="Normal 11 2 3 2 2 2 2 3" xfId="1408" xr:uid="{00000000-0005-0000-0000-000035790000}"/>
    <cellStyle name="Normal 11 2 3 2 2 2 2 3 2" xfId="31904" xr:uid="{00000000-0005-0000-0000-000036790000}"/>
    <cellStyle name="Normal 11 2 3 2 2 2 2 3 2 2" xfId="31905" xr:uid="{00000000-0005-0000-0000-000037790000}"/>
    <cellStyle name="Normal 11 2 3 2 2 2 2 3 2 2 2" xfId="31906" xr:uid="{00000000-0005-0000-0000-000038790000}"/>
    <cellStyle name="Normal 11 2 3 2 2 2 2 3 2 2 2 2" xfId="31907" xr:uid="{00000000-0005-0000-0000-000039790000}"/>
    <cellStyle name="Normal 11 2 3 2 2 2 2 3 2 2 3" xfId="31908" xr:uid="{00000000-0005-0000-0000-00003A790000}"/>
    <cellStyle name="Normal 11 2 3 2 2 2 2 3 2 3" xfId="31909" xr:uid="{00000000-0005-0000-0000-00003B790000}"/>
    <cellStyle name="Normal 11 2 3 2 2 2 2 3 2 3 2" xfId="31910" xr:uid="{00000000-0005-0000-0000-00003C790000}"/>
    <cellStyle name="Normal 11 2 3 2 2 2 2 3 2 4" xfId="31911" xr:uid="{00000000-0005-0000-0000-00003D790000}"/>
    <cellStyle name="Normal 11 2 3 2 2 2 2 3 3" xfId="31912" xr:uid="{00000000-0005-0000-0000-00003E790000}"/>
    <cellStyle name="Normal 11 2 3 2 2 2 2 3 3 2" xfId="31913" xr:uid="{00000000-0005-0000-0000-00003F790000}"/>
    <cellStyle name="Normal 11 2 3 2 2 2 2 3 3 2 2" xfId="31914" xr:uid="{00000000-0005-0000-0000-000040790000}"/>
    <cellStyle name="Normal 11 2 3 2 2 2 2 3 3 2 2 2" xfId="31915" xr:uid="{00000000-0005-0000-0000-000041790000}"/>
    <cellStyle name="Normal 11 2 3 2 2 2 2 3 3 2 3" xfId="31916" xr:uid="{00000000-0005-0000-0000-000042790000}"/>
    <cellStyle name="Normal 11 2 3 2 2 2 2 3 3 3" xfId="31917" xr:uid="{00000000-0005-0000-0000-000043790000}"/>
    <cellStyle name="Normal 11 2 3 2 2 2 2 3 3 3 2" xfId="31918" xr:uid="{00000000-0005-0000-0000-000044790000}"/>
    <cellStyle name="Normal 11 2 3 2 2 2 2 3 3 4" xfId="31919" xr:uid="{00000000-0005-0000-0000-000045790000}"/>
    <cellStyle name="Normal 11 2 3 2 2 2 2 3 4" xfId="31920" xr:uid="{00000000-0005-0000-0000-000046790000}"/>
    <cellStyle name="Normal 11 2 3 2 2 2 2 3 4 2" xfId="31921" xr:uid="{00000000-0005-0000-0000-000047790000}"/>
    <cellStyle name="Normal 11 2 3 2 2 2 2 3 4 2 2" xfId="31922" xr:uid="{00000000-0005-0000-0000-000048790000}"/>
    <cellStyle name="Normal 11 2 3 2 2 2 2 3 4 3" xfId="31923" xr:uid="{00000000-0005-0000-0000-000049790000}"/>
    <cellStyle name="Normal 11 2 3 2 2 2 2 3 5" xfId="31924" xr:uid="{00000000-0005-0000-0000-00004A790000}"/>
    <cellStyle name="Normal 11 2 3 2 2 2 2 3 5 2" xfId="31925" xr:uid="{00000000-0005-0000-0000-00004B790000}"/>
    <cellStyle name="Normal 11 2 3 2 2 2 2 3 6" xfId="31926" xr:uid="{00000000-0005-0000-0000-00004C790000}"/>
    <cellStyle name="Normal 11 2 3 2 2 2 2 3 7" xfId="31903" xr:uid="{00000000-0005-0000-0000-00004D790000}"/>
    <cellStyle name="Normal 11 2 3 2 2 2 2 4" xfId="31927" xr:uid="{00000000-0005-0000-0000-00004E790000}"/>
    <cellStyle name="Normal 11 2 3 2 2 2 2 4 2" xfId="31928" xr:uid="{00000000-0005-0000-0000-00004F790000}"/>
    <cellStyle name="Normal 11 2 3 2 2 2 2 4 2 2" xfId="31929" xr:uid="{00000000-0005-0000-0000-000050790000}"/>
    <cellStyle name="Normal 11 2 3 2 2 2 2 4 2 2 2" xfId="31930" xr:uid="{00000000-0005-0000-0000-000051790000}"/>
    <cellStyle name="Normal 11 2 3 2 2 2 2 4 2 2 2 2" xfId="31931" xr:uid="{00000000-0005-0000-0000-000052790000}"/>
    <cellStyle name="Normal 11 2 3 2 2 2 2 4 2 2 3" xfId="31932" xr:uid="{00000000-0005-0000-0000-000053790000}"/>
    <cellStyle name="Normal 11 2 3 2 2 2 2 4 2 3" xfId="31933" xr:uid="{00000000-0005-0000-0000-000054790000}"/>
    <cellStyle name="Normal 11 2 3 2 2 2 2 4 2 3 2" xfId="31934" xr:uid="{00000000-0005-0000-0000-000055790000}"/>
    <cellStyle name="Normal 11 2 3 2 2 2 2 4 2 4" xfId="31935" xr:uid="{00000000-0005-0000-0000-000056790000}"/>
    <cellStyle name="Normal 11 2 3 2 2 2 2 4 3" xfId="31936" xr:uid="{00000000-0005-0000-0000-000057790000}"/>
    <cellStyle name="Normal 11 2 3 2 2 2 2 4 3 2" xfId="31937" xr:uid="{00000000-0005-0000-0000-000058790000}"/>
    <cellStyle name="Normal 11 2 3 2 2 2 2 4 3 2 2" xfId="31938" xr:uid="{00000000-0005-0000-0000-000059790000}"/>
    <cellStyle name="Normal 11 2 3 2 2 2 2 4 3 3" xfId="31939" xr:uid="{00000000-0005-0000-0000-00005A790000}"/>
    <cellStyle name="Normal 11 2 3 2 2 2 2 4 4" xfId="31940" xr:uid="{00000000-0005-0000-0000-00005B790000}"/>
    <cellStyle name="Normal 11 2 3 2 2 2 2 4 4 2" xfId="31941" xr:uid="{00000000-0005-0000-0000-00005C790000}"/>
    <cellStyle name="Normal 11 2 3 2 2 2 2 4 5" xfId="31942" xr:uid="{00000000-0005-0000-0000-00005D790000}"/>
    <cellStyle name="Normal 11 2 3 2 2 2 2 5" xfId="31943" xr:uid="{00000000-0005-0000-0000-00005E790000}"/>
    <cellStyle name="Normal 11 2 3 2 2 2 2 5 2" xfId="31944" xr:uid="{00000000-0005-0000-0000-00005F790000}"/>
    <cellStyle name="Normal 11 2 3 2 2 2 2 5 2 2" xfId="31945" xr:uid="{00000000-0005-0000-0000-000060790000}"/>
    <cellStyle name="Normal 11 2 3 2 2 2 2 5 2 2 2" xfId="31946" xr:uid="{00000000-0005-0000-0000-000061790000}"/>
    <cellStyle name="Normal 11 2 3 2 2 2 2 5 2 2 2 2" xfId="31947" xr:uid="{00000000-0005-0000-0000-000062790000}"/>
    <cellStyle name="Normal 11 2 3 2 2 2 2 5 2 2 3" xfId="31948" xr:uid="{00000000-0005-0000-0000-000063790000}"/>
    <cellStyle name="Normal 11 2 3 2 2 2 2 5 2 3" xfId="31949" xr:uid="{00000000-0005-0000-0000-000064790000}"/>
    <cellStyle name="Normal 11 2 3 2 2 2 2 5 2 3 2" xfId="31950" xr:uid="{00000000-0005-0000-0000-000065790000}"/>
    <cellStyle name="Normal 11 2 3 2 2 2 2 5 2 4" xfId="31951" xr:uid="{00000000-0005-0000-0000-000066790000}"/>
    <cellStyle name="Normal 11 2 3 2 2 2 2 5 3" xfId="31952" xr:uid="{00000000-0005-0000-0000-000067790000}"/>
    <cellStyle name="Normal 11 2 3 2 2 2 2 5 3 2" xfId="31953" xr:uid="{00000000-0005-0000-0000-000068790000}"/>
    <cellStyle name="Normal 11 2 3 2 2 2 2 5 3 2 2" xfId="31954" xr:uid="{00000000-0005-0000-0000-000069790000}"/>
    <cellStyle name="Normal 11 2 3 2 2 2 2 5 3 3" xfId="31955" xr:uid="{00000000-0005-0000-0000-00006A790000}"/>
    <cellStyle name="Normal 11 2 3 2 2 2 2 5 4" xfId="31956" xr:uid="{00000000-0005-0000-0000-00006B790000}"/>
    <cellStyle name="Normal 11 2 3 2 2 2 2 5 4 2" xfId="31957" xr:uid="{00000000-0005-0000-0000-00006C790000}"/>
    <cellStyle name="Normal 11 2 3 2 2 2 2 5 5" xfId="31958" xr:uid="{00000000-0005-0000-0000-00006D790000}"/>
    <cellStyle name="Normal 11 2 3 2 2 2 2 6" xfId="31959" xr:uid="{00000000-0005-0000-0000-00006E790000}"/>
    <cellStyle name="Normal 11 2 3 2 2 2 2 6 2" xfId="31960" xr:uid="{00000000-0005-0000-0000-00006F790000}"/>
    <cellStyle name="Normal 11 2 3 2 2 2 2 6 2 2" xfId="31961" xr:uid="{00000000-0005-0000-0000-000070790000}"/>
    <cellStyle name="Normal 11 2 3 2 2 2 2 6 2 2 2" xfId="31962" xr:uid="{00000000-0005-0000-0000-000071790000}"/>
    <cellStyle name="Normal 11 2 3 2 2 2 2 6 2 3" xfId="31963" xr:uid="{00000000-0005-0000-0000-000072790000}"/>
    <cellStyle name="Normal 11 2 3 2 2 2 2 6 3" xfId="31964" xr:uid="{00000000-0005-0000-0000-000073790000}"/>
    <cellStyle name="Normal 11 2 3 2 2 2 2 6 3 2" xfId="31965" xr:uid="{00000000-0005-0000-0000-000074790000}"/>
    <cellStyle name="Normal 11 2 3 2 2 2 2 6 4" xfId="31966" xr:uid="{00000000-0005-0000-0000-000075790000}"/>
    <cellStyle name="Normal 11 2 3 2 2 2 2 7" xfId="31967" xr:uid="{00000000-0005-0000-0000-000076790000}"/>
    <cellStyle name="Normal 11 2 3 2 2 2 2 7 2" xfId="31968" xr:uid="{00000000-0005-0000-0000-000077790000}"/>
    <cellStyle name="Normal 11 2 3 2 2 2 2 7 2 2" xfId="31969" xr:uid="{00000000-0005-0000-0000-000078790000}"/>
    <cellStyle name="Normal 11 2 3 2 2 2 2 7 2 2 2" xfId="31970" xr:uid="{00000000-0005-0000-0000-000079790000}"/>
    <cellStyle name="Normal 11 2 3 2 2 2 2 7 2 3" xfId="31971" xr:uid="{00000000-0005-0000-0000-00007A790000}"/>
    <cellStyle name="Normal 11 2 3 2 2 2 2 7 3" xfId="31972" xr:uid="{00000000-0005-0000-0000-00007B790000}"/>
    <cellStyle name="Normal 11 2 3 2 2 2 2 7 3 2" xfId="31973" xr:uid="{00000000-0005-0000-0000-00007C790000}"/>
    <cellStyle name="Normal 11 2 3 2 2 2 2 7 4" xfId="31974" xr:uid="{00000000-0005-0000-0000-00007D790000}"/>
    <cellStyle name="Normal 11 2 3 2 2 2 2 8" xfId="31975" xr:uid="{00000000-0005-0000-0000-00007E790000}"/>
    <cellStyle name="Normal 11 2 3 2 2 2 2 8 2" xfId="31976" xr:uid="{00000000-0005-0000-0000-00007F790000}"/>
    <cellStyle name="Normal 11 2 3 2 2 2 2 8 2 2" xfId="31977" xr:uid="{00000000-0005-0000-0000-000080790000}"/>
    <cellStyle name="Normal 11 2 3 2 2 2 2 8 2 2 2" xfId="31978" xr:uid="{00000000-0005-0000-0000-000081790000}"/>
    <cellStyle name="Normal 11 2 3 2 2 2 2 8 2 3" xfId="31979" xr:uid="{00000000-0005-0000-0000-000082790000}"/>
    <cellStyle name="Normal 11 2 3 2 2 2 2 8 3" xfId="31980" xr:uid="{00000000-0005-0000-0000-000083790000}"/>
    <cellStyle name="Normal 11 2 3 2 2 2 2 8 3 2" xfId="31981" xr:uid="{00000000-0005-0000-0000-000084790000}"/>
    <cellStyle name="Normal 11 2 3 2 2 2 2 8 4" xfId="31982" xr:uid="{00000000-0005-0000-0000-000085790000}"/>
    <cellStyle name="Normal 11 2 3 2 2 2 2 9" xfId="31983" xr:uid="{00000000-0005-0000-0000-000086790000}"/>
    <cellStyle name="Normal 11 2 3 2 2 2 2 9 2" xfId="31984" xr:uid="{00000000-0005-0000-0000-000087790000}"/>
    <cellStyle name="Normal 11 2 3 2 2 2 2 9 2 2" xfId="31985" xr:uid="{00000000-0005-0000-0000-000088790000}"/>
    <cellStyle name="Normal 11 2 3 2 2 2 2 9 3" xfId="31986" xr:uid="{00000000-0005-0000-0000-000089790000}"/>
    <cellStyle name="Normal 11 2 3 2 2 2 3" xfId="565" xr:uid="{00000000-0005-0000-0000-00008A790000}"/>
    <cellStyle name="Normal 11 2 3 2 2 2 3 10" xfId="31988" xr:uid="{00000000-0005-0000-0000-00008B790000}"/>
    <cellStyle name="Normal 11 2 3 2 2 2 3 10 2" xfId="31989" xr:uid="{00000000-0005-0000-0000-00008C790000}"/>
    <cellStyle name="Normal 11 2 3 2 2 2 3 10 2 2" xfId="31990" xr:uid="{00000000-0005-0000-0000-00008D790000}"/>
    <cellStyle name="Normal 11 2 3 2 2 2 3 10 3" xfId="31991" xr:uid="{00000000-0005-0000-0000-00008E790000}"/>
    <cellStyle name="Normal 11 2 3 2 2 2 3 11" xfId="31992" xr:uid="{00000000-0005-0000-0000-00008F790000}"/>
    <cellStyle name="Normal 11 2 3 2 2 2 3 11 2" xfId="31993" xr:uid="{00000000-0005-0000-0000-000090790000}"/>
    <cellStyle name="Normal 11 2 3 2 2 2 3 11 2 2" xfId="31994" xr:uid="{00000000-0005-0000-0000-000091790000}"/>
    <cellStyle name="Normal 11 2 3 2 2 2 3 11 3" xfId="31995" xr:uid="{00000000-0005-0000-0000-000092790000}"/>
    <cellStyle name="Normal 11 2 3 2 2 2 3 12" xfId="31996" xr:uid="{00000000-0005-0000-0000-000093790000}"/>
    <cellStyle name="Normal 11 2 3 2 2 2 3 12 2" xfId="31997" xr:uid="{00000000-0005-0000-0000-000094790000}"/>
    <cellStyle name="Normal 11 2 3 2 2 2 3 13" xfId="31998" xr:uid="{00000000-0005-0000-0000-000095790000}"/>
    <cellStyle name="Normal 11 2 3 2 2 2 3 14" xfId="31999" xr:uid="{00000000-0005-0000-0000-000096790000}"/>
    <cellStyle name="Normal 11 2 3 2 2 2 3 15" xfId="31987" xr:uid="{00000000-0005-0000-0000-000097790000}"/>
    <cellStyle name="Normal 11 2 3 2 2 2 3 2" xfId="1007" xr:uid="{00000000-0005-0000-0000-000098790000}"/>
    <cellStyle name="Normal 11 2 3 2 2 2 3 2 10" xfId="32001" xr:uid="{00000000-0005-0000-0000-000099790000}"/>
    <cellStyle name="Normal 11 2 3 2 2 2 3 2 11" xfId="32000" xr:uid="{00000000-0005-0000-0000-00009A790000}"/>
    <cellStyle name="Normal 11 2 3 2 2 2 3 2 2" xfId="1736" xr:uid="{00000000-0005-0000-0000-00009B790000}"/>
    <cellStyle name="Normal 11 2 3 2 2 2 3 2 2 2" xfId="32003" xr:uid="{00000000-0005-0000-0000-00009C790000}"/>
    <cellStyle name="Normal 11 2 3 2 2 2 3 2 2 2 2" xfId="32004" xr:uid="{00000000-0005-0000-0000-00009D790000}"/>
    <cellStyle name="Normal 11 2 3 2 2 2 3 2 2 2 2 2" xfId="32005" xr:uid="{00000000-0005-0000-0000-00009E790000}"/>
    <cellStyle name="Normal 11 2 3 2 2 2 3 2 2 2 2 2 2" xfId="32006" xr:uid="{00000000-0005-0000-0000-00009F790000}"/>
    <cellStyle name="Normal 11 2 3 2 2 2 3 2 2 2 2 3" xfId="32007" xr:uid="{00000000-0005-0000-0000-0000A0790000}"/>
    <cellStyle name="Normal 11 2 3 2 2 2 3 2 2 2 3" xfId="32008" xr:uid="{00000000-0005-0000-0000-0000A1790000}"/>
    <cellStyle name="Normal 11 2 3 2 2 2 3 2 2 2 3 2" xfId="32009" xr:uid="{00000000-0005-0000-0000-0000A2790000}"/>
    <cellStyle name="Normal 11 2 3 2 2 2 3 2 2 2 4" xfId="32010" xr:uid="{00000000-0005-0000-0000-0000A3790000}"/>
    <cellStyle name="Normal 11 2 3 2 2 2 3 2 2 3" xfId="32011" xr:uid="{00000000-0005-0000-0000-0000A4790000}"/>
    <cellStyle name="Normal 11 2 3 2 2 2 3 2 2 3 2" xfId="32012" xr:uid="{00000000-0005-0000-0000-0000A5790000}"/>
    <cellStyle name="Normal 11 2 3 2 2 2 3 2 2 3 2 2" xfId="32013" xr:uid="{00000000-0005-0000-0000-0000A6790000}"/>
    <cellStyle name="Normal 11 2 3 2 2 2 3 2 2 3 2 2 2" xfId="32014" xr:uid="{00000000-0005-0000-0000-0000A7790000}"/>
    <cellStyle name="Normal 11 2 3 2 2 2 3 2 2 3 2 3" xfId="32015" xr:uid="{00000000-0005-0000-0000-0000A8790000}"/>
    <cellStyle name="Normal 11 2 3 2 2 2 3 2 2 3 3" xfId="32016" xr:uid="{00000000-0005-0000-0000-0000A9790000}"/>
    <cellStyle name="Normal 11 2 3 2 2 2 3 2 2 3 3 2" xfId="32017" xr:uid="{00000000-0005-0000-0000-0000AA790000}"/>
    <cellStyle name="Normal 11 2 3 2 2 2 3 2 2 3 4" xfId="32018" xr:uid="{00000000-0005-0000-0000-0000AB790000}"/>
    <cellStyle name="Normal 11 2 3 2 2 2 3 2 2 4" xfId="32019" xr:uid="{00000000-0005-0000-0000-0000AC790000}"/>
    <cellStyle name="Normal 11 2 3 2 2 2 3 2 2 4 2" xfId="32020" xr:uid="{00000000-0005-0000-0000-0000AD790000}"/>
    <cellStyle name="Normal 11 2 3 2 2 2 3 2 2 4 2 2" xfId="32021" xr:uid="{00000000-0005-0000-0000-0000AE790000}"/>
    <cellStyle name="Normal 11 2 3 2 2 2 3 2 2 4 3" xfId="32022" xr:uid="{00000000-0005-0000-0000-0000AF790000}"/>
    <cellStyle name="Normal 11 2 3 2 2 2 3 2 2 5" xfId="32023" xr:uid="{00000000-0005-0000-0000-0000B0790000}"/>
    <cellStyle name="Normal 11 2 3 2 2 2 3 2 2 5 2" xfId="32024" xr:uid="{00000000-0005-0000-0000-0000B1790000}"/>
    <cellStyle name="Normal 11 2 3 2 2 2 3 2 2 6" xfId="32025" xr:uid="{00000000-0005-0000-0000-0000B2790000}"/>
    <cellStyle name="Normal 11 2 3 2 2 2 3 2 2 7" xfId="32002" xr:uid="{00000000-0005-0000-0000-0000B3790000}"/>
    <cellStyle name="Normal 11 2 3 2 2 2 3 2 3" xfId="32026" xr:uid="{00000000-0005-0000-0000-0000B4790000}"/>
    <cellStyle name="Normal 11 2 3 2 2 2 3 2 3 2" xfId="32027" xr:uid="{00000000-0005-0000-0000-0000B5790000}"/>
    <cellStyle name="Normal 11 2 3 2 2 2 3 2 3 2 2" xfId="32028" xr:uid="{00000000-0005-0000-0000-0000B6790000}"/>
    <cellStyle name="Normal 11 2 3 2 2 2 3 2 3 2 2 2" xfId="32029" xr:uid="{00000000-0005-0000-0000-0000B7790000}"/>
    <cellStyle name="Normal 11 2 3 2 2 2 3 2 3 2 2 2 2" xfId="32030" xr:uid="{00000000-0005-0000-0000-0000B8790000}"/>
    <cellStyle name="Normal 11 2 3 2 2 2 3 2 3 2 2 3" xfId="32031" xr:uid="{00000000-0005-0000-0000-0000B9790000}"/>
    <cellStyle name="Normal 11 2 3 2 2 2 3 2 3 2 3" xfId="32032" xr:uid="{00000000-0005-0000-0000-0000BA790000}"/>
    <cellStyle name="Normal 11 2 3 2 2 2 3 2 3 2 3 2" xfId="32033" xr:uid="{00000000-0005-0000-0000-0000BB790000}"/>
    <cellStyle name="Normal 11 2 3 2 2 2 3 2 3 2 4" xfId="32034" xr:uid="{00000000-0005-0000-0000-0000BC790000}"/>
    <cellStyle name="Normal 11 2 3 2 2 2 3 2 3 3" xfId="32035" xr:uid="{00000000-0005-0000-0000-0000BD790000}"/>
    <cellStyle name="Normal 11 2 3 2 2 2 3 2 3 3 2" xfId="32036" xr:uid="{00000000-0005-0000-0000-0000BE790000}"/>
    <cellStyle name="Normal 11 2 3 2 2 2 3 2 3 3 2 2" xfId="32037" xr:uid="{00000000-0005-0000-0000-0000BF790000}"/>
    <cellStyle name="Normal 11 2 3 2 2 2 3 2 3 3 3" xfId="32038" xr:uid="{00000000-0005-0000-0000-0000C0790000}"/>
    <cellStyle name="Normal 11 2 3 2 2 2 3 2 3 4" xfId="32039" xr:uid="{00000000-0005-0000-0000-0000C1790000}"/>
    <cellStyle name="Normal 11 2 3 2 2 2 3 2 3 4 2" xfId="32040" xr:uid="{00000000-0005-0000-0000-0000C2790000}"/>
    <cellStyle name="Normal 11 2 3 2 2 2 3 2 3 5" xfId="32041" xr:uid="{00000000-0005-0000-0000-0000C3790000}"/>
    <cellStyle name="Normal 11 2 3 2 2 2 3 2 4" xfId="32042" xr:uid="{00000000-0005-0000-0000-0000C4790000}"/>
    <cellStyle name="Normal 11 2 3 2 2 2 3 2 4 2" xfId="32043" xr:uid="{00000000-0005-0000-0000-0000C5790000}"/>
    <cellStyle name="Normal 11 2 3 2 2 2 3 2 4 2 2" xfId="32044" xr:uid="{00000000-0005-0000-0000-0000C6790000}"/>
    <cellStyle name="Normal 11 2 3 2 2 2 3 2 4 2 2 2" xfId="32045" xr:uid="{00000000-0005-0000-0000-0000C7790000}"/>
    <cellStyle name="Normal 11 2 3 2 2 2 3 2 4 2 2 2 2" xfId="32046" xr:uid="{00000000-0005-0000-0000-0000C8790000}"/>
    <cellStyle name="Normal 11 2 3 2 2 2 3 2 4 2 2 3" xfId="32047" xr:uid="{00000000-0005-0000-0000-0000C9790000}"/>
    <cellStyle name="Normal 11 2 3 2 2 2 3 2 4 2 3" xfId="32048" xr:uid="{00000000-0005-0000-0000-0000CA790000}"/>
    <cellStyle name="Normal 11 2 3 2 2 2 3 2 4 2 3 2" xfId="32049" xr:uid="{00000000-0005-0000-0000-0000CB790000}"/>
    <cellStyle name="Normal 11 2 3 2 2 2 3 2 4 2 4" xfId="32050" xr:uid="{00000000-0005-0000-0000-0000CC790000}"/>
    <cellStyle name="Normal 11 2 3 2 2 2 3 2 4 3" xfId="32051" xr:uid="{00000000-0005-0000-0000-0000CD790000}"/>
    <cellStyle name="Normal 11 2 3 2 2 2 3 2 4 3 2" xfId="32052" xr:uid="{00000000-0005-0000-0000-0000CE790000}"/>
    <cellStyle name="Normal 11 2 3 2 2 2 3 2 4 3 2 2" xfId="32053" xr:uid="{00000000-0005-0000-0000-0000CF790000}"/>
    <cellStyle name="Normal 11 2 3 2 2 2 3 2 4 3 3" xfId="32054" xr:uid="{00000000-0005-0000-0000-0000D0790000}"/>
    <cellStyle name="Normal 11 2 3 2 2 2 3 2 4 4" xfId="32055" xr:uid="{00000000-0005-0000-0000-0000D1790000}"/>
    <cellStyle name="Normal 11 2 3 2 2 2 3 2 4 4 2" xfId="32056" xr:uid="{00000000-0005-0000-0000-0000D2790000}"/>
    <cellStyle name="Normal 11 2 3 2 2 2 3 2 4 5" xfId="32057" xr:uid="{00000000-0005-0000-0000-0000D3790000}"/>
    <cellStyle name="Normal 11 2 3 2 2 2 3 2 5" xfId="32058" xr:uid="{00000000-0005-0000-0000-0000D4790000}"/>
    <cellStyle name="Normal 11 2 3 2 2 2 3 2 5 2" xfId="32059" xr:uid="{00000000-0005-0000-0000-0000D5790000}"/>
    <cellStyle name="Normal 11 2 3 2 2 2 3 2 5 2 2" xfId="32060" xr:uid="{00000000-0005-0000-0000-0000D6790000}"/>
    <cellStyle name="Normal 11 2 3 2 2 2 3 2 5 2 2 2" xfId="32061" xr:uid="{00000000-0005-0000-0000-0000D7790000}"/>
    <cellStyle name="Normal 11 2 3 2 2 2 3 2 5 2 3" xfId="32062" xr:uid="{00000000-0005-0000-0000-0000D8790000}"/>
    <cellStyle name="Normal 11 2 3 2 2 2 3 2 5 3" xfId="32063" xr:uid="{00000000-0005-0000-0000-0000D9790000}"/>
    <cellStyle name="Normal 11 2 3 2 2 2 3 2 5 3 2" xfId="32064" xr:uid="{00000000-0005-0000-0000-0000DA790000}"/>
    <cellStyle name="Normal 11 2 3 2 2 2 3 2 5 4" xfId="32065" xr:uid="{00000000-0005-0000-0000-0000DB790000}"/>
    <cellStyle name="Normal 11 2 3 2 2 2 3 2 6" xfId="32066" xr:uid="{00000000-0005-0000-0000-0000DC790000}"/>
    <cellStyle name="Normal 11 2 3 2 2 2 3 2 6 2" xfId="32067" xr:uid="{00000000-0005-0000-0000-0000DD790000}"/>
    <cellStyle name="Normal 11 2 3 2 2 2 3 2 6 2 2" xfId="32068" xr:uid="{00000000-0005-0000-0000-0000DE790000}"/>
    <cellStyle name="Normal 11 2 3 2 2 2 3 2 6 2 2 2" xfId="32069" xr:uid="{00000000-0005-0000-0000-0000DF790000}"/>
    <cellStyle name="Normal 11 2 3 2 2 2 3 2 6 2 3" xfId="32070" xr:uid="{00000000-0005-0000-0000-0000E0790000}"/>
    <cellStyle name="Normal 11 2 3 2 2 2 3 2 6 3" xfId="32071" xr:uid="{00000000-0005-0000-0000-0000E1790000}"/>
    <cellStyle name="Normal 11 2 3 2 2 2 3 2 6 3 2" xfId="32072" xr:uid="{00000000-0005-0000-0000-0000E2790000}"/>
    <cellStyle name="Normal 11 2 3 2 2 2 3 2 6 4" xfId="32073" xr:uid="{00000000-0005-0000-0000-0000E3790000}"/>
    <cellStyle name="Normal 11 2 3 2 2 2 3 2 7" xfId="32074" xr:uid="{00000000-0005-0000-0000-0000E4790000}"/>
    <cellStyle name="Normal 11 2 3 2 2 2 3 2 7 2" xfId="32075" xr:uid="{00000000-0005-0000-0000-0000E5790000}"/>
    <cellStyle name="Normal 11 2 3 2 2 2 3 2 7 2 2" xfId="32076" xr:uid="{00000000-0005-0000-0000-0000E6790000}"/>
    <cellStyle name="Normal 11 2 3 2 2 2 3 2 7 2 2 2" xfId="32077" xr:uid="{00000000-0005-0000-0000-0000E7790000}"/>
    <cellStyle name="Normal 11 2 3 2 2 2 3 2 7 2 3" xfId="32078" xr:uid="{00000000-0005-0000-0000-0000E8790000}"/>
    <cellStyle name="Normal 11 2 3 2 2 2 3 2 7 3" xfId="32079" xr:uid="{00000000-0005-0000-0000-0000E9790000}"/>
    <cellStyle name="Normal 11 2 3 2 2 2 3 2 7 3 2" xfId="32080" xr:uid="{00000000-0005-0000-0000-0000EA790000}"/>
    <cellStyle name="Normal 11 2 3 2 2 2 3 2 7 4" xfId="32081" xr:uid="{00000000-0005-0000-0000-0000EB790000}"/>
    <cellStyle name="Normal 11 2 3 2 2 2 3 2 8" xfId="32082" xr:uid="{00000000-0005-0000-0000-0000EC790000}"/>
    <cellStyle name="Normal 11 2 3 2 2 2 3 2 8 2" xfId="32083" xr:uid="{00000000-0005-0000-0000-0000ED790000}"/>
    <cellStyle name="Normal 11 2 3 2 2 2 3 2 8 2 2" xfId="32084" xr:uid="{00000000-0005-0000-0000-0000EE790000}"/>
    <cellStyle name="Normal 11 2 3 2 2 2 3 2 8 3" xfId="32085" xr:uid="{00000000-0005-0000-0000-0000EF790000}"/>
    <cellStyle name="Normal 11 2 3 2 2 2 3 2 9" xfId="32086" xr:uid="{00000000-0005-0000-0000-0000F0790000}"/>
    <cellStyle name="Normal 11 2 3 2 2 2 3 2 9 2" xfId="32087" xr:uid="{00000000-0005-0000-0000-0000F1790000}"/>
    <cellStyle name="Normal 11 2 3 2 2 2 3 3" xfId="1409" xr:uid="{00000000-0005-0000-0000-0000F2790000}"/>
    <cellStyle name="Normal 11 2 3 2 2 2 3 3 2" xfId="32089" xr:uid="{00000000-0005-0000-0000-0000F3790000}"/>
    <cellStyle name="Normal 11 2 3 2 2 2 3 3 2 2" xfId="32090" xr:uid="{00000000-0005-0000-0000-0000F4790000}"/>
    <cellStyle name="Normal 11 2 3 2 2 2 3 3 2 2 2" xfId="32091" xr:uid="{00000000-0005-0000-0000-0000F5790000}"/>
    <cellStyle name="Normal 11 2 3 2 2 2 3 3 2 2 2 2" xfId="32092" xr:uid="{00000000-0005-0000-0000-0000F6790000}"/>
    <cellStyle name="Normal 11 2 3 2 2 2 3 3 2 2 3" xfId="32093" xr:uid="{00000000-0005-0000-0000-0000F7790000}"/>
    <cellStyle name="Normal 11 2 3 2 2 2 3 3 2 3" xfId="32094" xr:uid="{00000000-0005-0000-0000-0000F8790000}"/>
    <cellStyle name="Normal 11 2 3 2 2 2 3 3 2 3 2" xfId="32095" xr:uid="{00000000-0005-0000-0000-0000F9790000}"/>
    <cellStyle name="Normal 11 2 3 2 2 2 3 3 2 4" xfId="32096" xr:uid="{00000000-0005-0000-0000-0000FA790000}"/>
    <cellStyle name="Normal 11 2 3 2 2 2 3 3 3" xfId="32097" xr:uid="{00000000-0005-0000-0000-0000FB790000}"/>
    <cellStyle name="Normal 11 2 3 2 2 2 3 3 3 2" xfId="32098" xr:uid="{00000000-0005-0000-0000-0000FC790000}"/>
    <cellStyle name="Normal 11 2 3 2 2 2 3 3 3 2 2" xfId="32099" xr:uid="{00000000-0005-0000-0000-0000FD790000}"/>
    <cellStyle name="Normal 11 2 3 2 2 2 3 3 3 2 2 2" xfId="32100" xr:uid="{00000000-0005-0000-0000-0000FE790000}"/>
    <cellStyle name="Normal 11 2 3 2 2 2 3 3 3 2 3" xfId="32101" xr:uid="{00000000-0005-0000-0000-0000FF790000}"/>
    <cellStyle name="Normal 11 2 3 2 2 2 3 3 3 3" xfId="32102" xr:uid="{00000000-0005-0000-0000-0000007A0000}"/>
    <cellStyle name="Normal 11 2 3 2 2 2 3 3 3 3 2" xfId="32103" xr:uid="{00000000-0005-0000-0000-0000017A0000}"/>
    <cellStyle name="Normal 11 2 3 2 2 2 3 3 3 4" xfId="32104" xr:uid="{00000000-0005-0000-0000-0000027A0000}"/>
    <cellStyle name="Normal 11 2 3 2 2 2 3 3 4" xfId="32105" xr:uid="{00000000-0005-0000-0000-0000037A0000}"/>
    <cellStyle name="Normal 11 2 3 2 2 2 3 3 4 2" xfId="32106" xr:uid="{00000000-0005-0000-0000-0000047A0000}"/>
    <cellStyle name="Normal 11 2 3 2 2 2 3 3 4 2 2" xfId="32107" xr:uid="{00000000-0005-0000-0000-0000057A0000}"/>
    <cellStyle name="Normal 11 2 3 2 2 2 3 3 4 3" xfId="32108" xr:uid="{00000000-0005-0000-0000-0000067A0000}"/>
    <cellStyle name="Normal 11 2 3 2 2 2 3 3 5" xfId="32109" xr:uid="{00000000-0005-0000-0000-0000077A0000}"/>
    <cellStyle name="Normal 11 2 3 2 2 2 3 3 5 2" xfId="32110" xr:uid="{00000000-0005-0000-0000-0000087A0000}"/>
    <cellStyle name="Normal 11 2 3 2 2 2 3 3 6" xfId="32111" xr:uid="{00000000-0005-0000-0000-0000097A0000}"/>
    <cellStyle name="Normal 11 2 3 2 2 2 3 3 7" xfId="32088" xr:uid="{00000000-0005-0000-0000-00000A7A0000}"/>
    <cellStyle name="Normal 11 2 3 2 2 2 3 4" xfId="32112" xr:uid="{00000000-0005-0000-0000-00000B7A0000}"/>
    <cellStyle name="Normal 11 2 3 2 2 2 3 4 2" xfId="32113" xr:uid="{00000000-0005-0000-0000-00000C7A0000}"/>
    <cellStyle name="Normal 11 2 3 2 2 2 3 4 2 2" xfId="32114" xr:uid="{00000000-0005-0000-0000-00000D7A0000}"/>
    <cellStyle name="Normal 11 2 3 2 2 2 3 4 2 2 2" xfId="32115" xr:uid="{00000000-0005-0000-0000-00000E7A0000}"/>
    <cellStyle name="Normal 11 2 3 2 2 2 3 4 2 2 2 2" xfId="32116" xr:uid="{00000000-0005-0000-0000-00000F7A0000}"/>
    <cellStyle name="Normal 11 2 3 2 2 2 3 4 2 2 3" xfId="32117" xr:uid="{00000000-0005-0000-0000-0000107A0000}"/>
    <cellStyle name="Normal 11 2 3 2 2 2 3 4 2 3" xfId="32118" xr:uid="{00000000-0005-0000-0000-0000117A0000}"/>
    <cellStyle name="Normal 11 2 3 2 2 2 3 4 2 3 2" xfId="32119" xr:uid="{00000000-0005-0000-0000-0000127A0000}"/>
    <cellStyle name="Normal 11 2 3 2 2 2 3 4 2 4" xfId="32120" xr:uid="{00000000-0005-0000-0000-0000137A0000}"/>
    <cellStyle name="Normal 11 2 3 2 2 2 3 4 3" xfId="32121" xr:uid="{00000000-0005-0000-0000-0000147A0000}"/>
    <cellStyle name="Normal 11 2 3 2 2 2 3 4 3 2" xfId="32122" xr:uid="{00000000-0005-0000-0000-0000157A0000}"/>
    <cellStyle name="Normal 11 2 3 2 2 2 3 4 3 2 2" xfId="32123" xr:uid="{00000000-0005-0000-0000-0000167A0000}"/>
    <cellStyle name="Normal 11 2 3 2 2 2 3 4 3 3" xfId="32124" xr:uid="{00000000-0005-0000-0000-0000177A0000}"/>
    <cellStyle name="Normal 11 2 3 2 2 2 3 4 4" xfId="32125" xr:uid="{00000000-0005-0000-0000-0000187A0000}"/>
    <cellStyle name="Normal 11 2 3 2 2 2 3 4 4 2" xfId="32126" xr:uid="{00000000-0005-0000-0000-0000197A0000}"/>
    <cellStyle name="Normal 11 2 3 2 2 2 3 4 5" xfId="32127" xr:uid="{00000000-0005-0000-0000-00001A7A0000}"/>
    <cellStyle name="Normal 11 2 3 2 2 2 3 5" xfId="32128" xr:uid="{00000000-0005-0000-0000-00001B7A0000}"/>
    <cellStyle name="Normal 11 2 3 2 2 2 3 5 2" xfId="32129" xr:uid="{00000000-0005-0000-0000-00001C7A0000}"/>
    <cellStyle name="Normal 11 2 3 2 2 2 3 5 2 2" xfId="32130" xr:uid="{00000000-0005-0000-0000-00001D7A0000}"/>
    <cellStyle name="Normal 11 2 3 2 2 2 3 5 2 2 2" xfId="32131" xr:uid="{00000000-0005-0000-0000-00001E7A0000}"/>
    <cellStyle name="Normal 11 2 3 2 2 2 3 5 2 2 2 2" xfId="32132" xr:uid="{00000000-0005-0000-0000-00001F7A0000}"/>
    <cellStyle name="Normal 11 2 3 2 2 2 3 5 2 2 3" xfId="32133" xr:uid="{00000000-0005-0000-0000-0000207A0000}"/>
    <cellStyle name="Normal 11 2 3 2 2 2 3 5 2 3" xfId="32134" xr:uid="{00000000-0005-0000-0000-0000217A0000}"/>
    <cellStyle name="Normal 11 2 3 2 2 2 3 5 2 3 2" xfId="32135" xr:uid="{00000000-0005-0000-0000-0000227A0000}"/>
    <cellStyle name="Normal 11 2 3 2 2 2 3 5 2 4" xfId="32136" xr:uid="{00000000-0005-0000-0000-0000237A0000}"/>
    <cellStyle name="Normal 11 2 3 2 2 2 3 5 3" xfId="32137" xr:uid="{00000000-0005-0000-0000-0000247A0000}"/>
    <cellStyle name="Normal 11 2 3 2 2 2 3 5 3 2" xfId="32138" xr:uid="{00000000-0005-0000-0000-0000257A0000}"/>
    <cellStyle name="Normal 11 2 3 2 2 2 3 5 3 2 2" xfId="32139" xr:uid="{00000000-0005-0000-0000-0000267A0000}"/>
    <cellStyle name="Normal 11 2 3 2 2 2 3 5 3 3" xfId="32140" xr:uid="{00000000-0005-0000-0000-0000277A0000}"/>
    <cellStyle name="Normal 11 2 3 2 2 2 3 5 4" xfId="32141" xr:uid="{00000000-0005-0000-0000-0000287A0000}"/>
    <cellStyle name="Normal 11 2 3 2 2 2 3 5 4 2" xfId="32142" xr:uid="{00000000-0005-0000-0000-0000297A0000}"/>
    <cellStyle name="Normal 11 2 3 2 2 2 3 5 5" xfId="32143" xr:uid="{00000000-0005-0000-0000-00002A7A0000}"/>
    <cellStyle name="Normal 11 2 3 2 2 2 3 6" xfId="32144" xr:uid="{00000000-0005-0000-0000-00002B7A0000}"/>
    <cellStyle name="Normal 11 2 3 2 2 2 3 6 2" xfId="32145" xr:uid="{00000000-0005-0000-0000-00002C7A0000}"/>
    <cellStyle name="Normal 11 2 3 2 2 2 3 6 2 2" xfId="32146" xr:uid="{00000000-0005-0000-0000-00002D7A0000}"/>
    <cellStyle name="Normal 11 2 3 2 2 2 3 6 2 2 2" xfId="32147" xr:uid="{00000000-0005-0000-0000-00002E7A0000}"/>
    <cellStyle name="Normal 11 2 3 2 2 2 3 6 2 3" xfId="32148" xr:uid="{00000000-0005-0000-0000-00002F7A0000}"/>
    <cellStyle name="Normal 11 2 3 2 2 2 3 6 3" xfId="32149" xr:uid="{00000000-0005-0000-0000-0000307A0000}"/>
    <cellStyle name="Normal 11 2 3 2 2 2 3 6 3 2" xfId="32150" xr:uid="{00000000-0005-0000-0000-0000317A0000}"/>
    <cellStyle name="Normal 11 2 3 2 2 2 3 6 4" xfId="32151" xr:uid="{00000000-0005-0000-0000-0000327A0000}"/>
    <cellStyle name="Normal 11 2 3 2 2 2 3 7" xfId="32152" xr:uid="{00000000-0005-0000-0000-0000337A0000}"/>
    <cellStyle name="Normal 11 2 3 2 2 2 3 7 2" xfId="32153" xr:uid="{00000000-0005-0000-0000-0000347A0000}"/>
    <cellStyle name="Normal 11 2 3 2 2 2 3 7 2 2" xfId="32154" xr:uid="{00000000-0005-0000-0000-0000357A0000}"/>
    <cellStyle name="Normal 11 2 3 2 2 2 3 7 2 2 2" xfId="32155" xr:uid="{00000000-0005-0000-0000-0000367A0000}"/>
    <cellStyle name="Normal 11 2 3 2 2 2 3 7 2 3" xfId="32156" xr:uid="{00000000-0005-0000-0000-0000377A0000}"/>
    <cellStyle name="Normal 11 2 3 2 2 2 3 7 3" xfId="32157" xr:uid="{00000000-0005-0000-0000-0000387A0000}"/>
    <cellStyle name="Normal 11 2 3 2 2 2 3 7 3 2" xfId="32158" xr:uid="{00000000-0005-0000-0000-0000397A0000}"/>
    <cellStyle name="Normal 11 2 3 2 2 2 3 7 4" xfId="32159" xr:uid="{00000000-0005-0000-0000-00003A7A0000}"/>
    <cellStyle name="Normal 11 2 3 2 2 2 3 8" xfId="32160" xr:uid="{00000000-0005-0000-0000-00003B7A0000}"/>
    <cellStyle name="Normal 11 2 3 2 2 2 3 8 2" xfId="32161" xr:uid="{00000000-0005-0000-0000-00003C7A0000}"/>
    <cellStyle name="Normal 11 2 3 2 2 2 3 8 2 2" xfId="32162" xr:uid="{00000000-0005-0000-0000-00003D7A0000}"/>
    <cellStyle name="Normal 11 2 3 2 2 2 3 8 2 2 2" xfId="32163" xr:uid="{00000000-0005-0000-0000-00003E7A0000}"/>
    <cellStyle name="Normal 11 2 3 2 2 2 3 8 2 3" xfId="32164" xr:uid="{00000000-0005-0000-0000-00003F7A0000}"/>
    <cellStyle name="Normal 11 2 3 2 2 2 3 8 3" xfId="32165" xr:uid="{00000000-0005-0000-0000-0000407A0000}"/>
    <cellStyle name="Normal 11 2 3 2 2 2 3 8 3 2" xfId="32166" xr:uid="{00000000-0005-0000-0000-0000417A0000}"/>
    <cellStyle name="Normal 11 2 3 2 2 2 3 8 4" xfId="32167" xr:uid="{00000000-0005-0000-0000-0000427A0000}"/>
    <cellStyle name="Normal 11 2 3 2 2 2 3 9" xfId="32168" xr:uid="{00000000-0005-0000-0000-0000437A0000}"/>
    <cellStyle name="Normal 11 2 3 2 2 2 3 9 2" xfId="32169" xr:uid="{00000000-0005-0000-0000-0000447A0000}"/>
    <cellStyle name="Normal 11 2 3 2 2 2 3 9 2 2" xfId="32170" xr:uid="{00000000-0005-0000-0000-0000457A0000}"/>
    <cellStyle name="Normal 11 2 3 2 2 2 3 9 3" xfId="32171" xr:uid="{00000000-0005-0000-0000-0000467A0000}"/>
    <cellStyle name="Normal 11 2 3 2 2 2 4" xfId="1005" xr:uid="{00000000-0005-0000-0000-0000477A0000}"/>
    <cellStyle name="Normal 11 2 3 2 2 2 4 10" xfId="32173" xr:uid="{00000000-0005-0000-0000-0000487A0000}"/>
    <cellStyle name="Normal 11 2 3 2 2 2 4 11" xfId="32172" xr:uid="{00000000-0005-0000-0000-0000497A0000}"/>
    <cellStyle name="Normal 11 2 3 2 2 2 4 2" xfId="1734" xr:uid="{00000000-0005-0000-0000-00004A7A0000}"/>
    <cellStyle name="Normal 11 2 3 2 2 2 4 2 2" xfId="32175" xr:uid="{00000000-0005-0000-0000-00004B7A0000}"/>
    <cellStyle name="Normal 11 2 3 2 2 2 4 2 2 2" xfId="32176" xr:uid="{00000000-0005-0000-0000-00004C7A0000}"/>
    <cellStyle name="Normal 11 2 3 2 2 2 4 2 2 2 2" xfId="32177" xr:uid="{00000000-0005-0000-0000-00004D7A0000}"/>
    <cellStyle name="Normal 11 2 3 2 2 2 4 2 2 2 2 2" xfId="32178" xr:uid="{00000000-0005-0000-0000-00004E7A0000}"/>
    <cellStyle name="Normal 11 2 3 2 2 2 4 2 2 2 3" xfId="32179" xr:uid="{00000000-0005-0000-0000-00004F7A0000}"/>
    <cellStyle name="Normal 11 2 3 2 2 2 4 2 2 3" xfId="32180" xr:uid="{00000000-0005-0000-0000-0000507A0000}"/>
    <cellStyle name="Normal 11 2 3 2 2 2 4 2 2 3 2" xfId="32181" xr:uid="{00000000-0005-0000-0000-0000517A0000}"/>
    <cellStyle name="Normal 11 2 3 2 2 2 4 2 2 4" xfId="32182" xr:uid="{00000000-0005-0000-0000-0000527A0000}"/>
    <cellStyle name="Normal 11 2 3 2 2 2 4 2 3" xfId="32183" xr:uid="{00000000-0005-0000-0000-0000537A0000}"/>
    <cellStyle name="Normal 11 2 3 2 2 2 4 2 3 2" xfId="32184" xr:uid="{00000000-0005-0000-0000-0000547A0000}"/>
    <cellStyle name="Normal 11 2 3 2 2 2 4 2 3 2 2" xfId="32185" xr:uid="{00000000-0005-0000-0000-0000557A0000}"/>
    <cellStyle name="Normal 11 2 3 2 2 2 4 2 3 2 2 2" xfId="32186" xr:uid="{00000000-0005-0000-0000-0000567A0000}"/>
    <cellStyle name="Normal 11 2 3 2 2 2 4 2 3 2 3" xfId="32187" xr:uid="{00000000-0005-0000-0000-0000577A0000}"/>
    <cellStyle name="Normal 11 2 3 2 2 2 4 2 3 3" xfId="32188" xr:uid="{00000000-0005-0000-0000-0000587A0000}"/>
    <cellStyle name="Normal 11 2 3 2 2 2 4 2 3 3 2" xfId="32189" xr:uid="{00000000-0005-0000-0000-0000597A0000}"/>
    <cellStyle name="Normal 11 2 3 2 2 2 4 2 3 4" xfId="32190" xr:uid="{00000000-0005-0000-0000-00005A7A0000}"/>
    <cellStyle name="Normal 11 2 3 2 2 2 4 2 4" xfId="32191" xr:uid="{00000000-0005-0000-0000-00005B7A0000}"/>
    <cellStyle name="Normal 11 2 3 2 2 2 4 2 4 2" xfId="32192" xr:uid="{00000000-0005-0000-0000-00005C7A0000}"/>
    <cellStyle name="Normal 11 2 3 2 2 2 4 2 4 2 2" xfId="32193" xr:uid="{00000000-0005-0000-0000-00005D7A0000}"/>
    <cellStyle name="Normal 11 2 3 2 2 2 4 2 4 3" xfId="32194" xr:uid="{00000000-0005-0000-0000-00005E7A0000}"/>
    <cellStyle name="Normal 11 2 3 2 2 2 4 2 5" xfId="32195" xr:uid="{00000000-0005-0000-0000-00005F7A0000}"/>
    <cellStyle name="Normal 11 2 3 2 2 2 4 2 5 2" xfId="32196" xr:uid="{00000000-0005-0000-0000-0000607A0000}"/>
    <cellStyle name="Normal 11 2 3 2 2 2 4 2 6" xfId="32197" xr:uid="{00000000-0005-0000-0000-0000617A0000}"/>
    <cellStyle name="Normal 11 2 3 2 2 2 4 2 7" xfId="32174" xr:uid="{00000000-0005-0000-0000-0000627A0000}"/>
    <cellStyle name="Normal 11 2 3 2 2 2 4 3" xfId="32198" xr:uid="{00000000-0005-0000-0000-0000637A0000}"/>
    <cellStyle name="Normal 11 2 3 2 2 2 4 3 2" xfId="32199" xr:uid="{00000000-0005-0000-0000-0000647A0000}"/>
    <cellStyle name="Normal 11 2 3 2 2 2 4 3 2 2" xfId="32200" xr:uid="{00000000-0005-0000-0000-0000657A0000}"/>
    <cellStyle name="Normal 11 2 3 2 2 2 4 3 2 2 2" xfId="32201" xr:uid="{00000000-0005-0000-0000-0000667A0000}"/>
    <cellStyle name="Normal 11 2 3 2 2 2 4 3 2 2 2 2" xfId="32202" xr:uid="{00000000-0005-0000-0000-0000677A0000}"/>
    <cellStyle name="Normal 11 2 3 2 2 2 4 3 2 2 3" xfId="32203" xr:uid="{00000000-0005-0000-0000-0000687A0000}"/>
    <cellStyle name="Normal 11 2 3 2 2 2 4 3 2 3" xfId="32204" xr:uid="{00000000-0005-0000-0000-0000697A0000}"/>
    <cellStyle name="Normal 11 2 3 2 2 2 4 3 2 3 2" xfId="32205" xr:uid="{00000000-0005-0000-0000-00006A7A0000}"/>
    <cellStyle name="Normal 11 2 3 2 2 2 4 3 2 4" xfId="32206" xr:uid="{00000000-0005-0000-0000-00006B7A0000}"/>
    <cellStyle name="Normal 11 2 3 2 2 2 4 3 3" xfId="32207" xr:uid="{00000000-0005-0000-0000-00006C7A0000}"/>
    <cellStyle name="Normal 11 2 3 2 2 2 4 3 3 2" xfId="32208" xr:uid="{00000000-0005-0000-0000-00006D7A0000}"/>
    <cellStyle name="Normal 11 2 3 2 2 2 4 3 3 2 2" xfId="32209" xr:uid="{00000000-0005-0000-0000-00006E7A0000}"/>
    <cellStyle name="Normal 11 2 3 2 2 2 4 3 3 3" xfId="32210" xr:uid="{00000000-0005-0000-0000-00006F7A0000}"/>
    <cellStyle name="Normal 11 2 3 2 2 2 4 3 4" xfId="32211" xr:uid="{00000000-0005-0000-0000-0000707A0000}"/>
    <cellStyle name="Normal 11 2 3 2 2 2 4 3 4 2" xfId="32212" xr:uid="{00000000-0005-0000-0000-0000717A0000}"/>
    <cellStyle name="Normal 11 2 3 2 2 2 4 3 5" xfId="32213" xr:uid="{00000000-0005-0000-0000-0000727A0000}"/>
    <cellStyle name="Normal 11 2 3 2 2 2 4 4" xfId="32214" xr:uid="{00000000-0005-0000-0000-0000737A0000}"/>
    <cellStyle name="Normal 11 2 3 2 2 2 4 4 2" xfId="32215" xr:uid="{00000000-0005-0000-0000-0000747A0000}"/>
    <cellStyle name="Normal 11 2 3 2 2 2 4 4 2 2" xfId="32216" xr:uid="{00000000-0005-0000-0000-0000757A0000}"/>
    <cellStyle name="Normal 11 2 3 2 2 2 4 4 2 2 2" xfId="32217" xr:uid="{00000000-0005-0000-0000-0000767A0000}"/>
    <cellStyle name="Normal 11 2 3 2 2 2 4 4 2 2 2 2" xfId="32218" xr:uid="{00000000-0005-0000-0000-0000777A0000}"/>
    <cellStyle name="Normal 11 2 3 2 2 2 4 4 2 2 3" xfId="32219" xr:uid="{00000000-0005-0000-0000-0000787A0000}"/>
    <cellStyle name="Normal 11 2 3 2 2 2 4 4 2 3" xfId="32220" xr:uid="{00000000-0005-0000-0000-0000797A0000}"/>
    <cellStyle name="Normal 11 2 3 2 2 2 4 4 2 3 2" xfId="32221" xr:uid="{00000000-0005-0000-0000-00007A7A0000}"/>
    <cellStyle name="Normal 11 2 3 2 2 2 4 4 2 4" xfId="32222" xr:uid="{00000000-0005-0000-0000-00007B7A0000}"/>
    <cellStyle name="Normal 11 2 3 2 2 2 4 4 3" xfId="32223" xr:uid="{00000000-0005-0000-0000-00007C7A0000}"/>
    <cellStyle name="Normal 11 2 3 2 2 2 4 4 3 2" xfId="32224" xr:uid="{00000000-0005-0000-0000-00007D7A0000}"/>
    <cellStyle name="Normal 11 2 3 2 2 2 4 4 3 2 2" xfId="32225" xr:uid="{00000000-0005-0000-0000-00007E7A0000}"/>
    <cellStyle name="Normal 11 2 3 2 2 2 4 4 3 3" xfId="32226" xr:uid="{00000000-0005-0000-0000-00007F7A0000}"/>
    <cellStyle name="Normal 11 2 3 2 2 2 4 4 4" xfId="32227" xr:uid="{00000000-0005-0000-0000-0000807A0000}"/>
    <cellStyle name="Normal 11 2 3 2 2 2 4 4 4 2" xfId="32228" xr:uid="{00000000-0005-0000-0000-0000817A0000}"/>
    <cellStyle name="Normal 11 2 3 2 2 2 4 4 5" xfId="32229" xr:uid="{00000000-0005-0000-0000-0000827A0000}"/>
    <cellStyle name="Normal 11 2 3 2 2 2 4 5" xfId="32230" xr:uid="{00000000-0005-0000-0000-0000837A0000}"/>
    <cellStyle name="Normal 11 2 3 2 2 2 4 5 2" xfId="32231" xr:uid="{00000000-0005-0000-0000-0000847A0000}"/>
    <cellStyle name="Normal 11 2 3 2 2 2 4 5 2 2" xfId="32232" xr:uid="{00000000-0005-0000-0000-0000857A0000}"/>
    <cellStyle name="Normal 11 2 3 2 2 2 4 5 2 2 2" xfId="32233" xr:uid="{00000000-0005-0000-0000-0000867A0000}"/>
    <cellStyle name="Normal 11 2 3 2 2 2 4 5 2 3" xfId="32234" xr:uid="{00000000-0005-0000-0000-0000877A0000}"/>
    <cellStyle name="Normal 11 2 3 2 2 2 4 5 3" xfId="32235" xr:uid="{00000000-0005-0000-0000-0000887A0000}"/>
    <cellStyle name="Normal 11 2 3 2 2 2 4 5 3 2" xfId="32236" xr:uid="{00000000-0005-0000-0000-0000897A0000}"/>
    <cellStyle name="Normal 11 2 3 2 2 2 4 5 4" xfId="32237" xr:uid="{00000000-0005-0000-0000-00008A7A0000}"/>
    <cellStyle name="Normal 11 2 3 2 2 2 4 6" xfId="32238" xr:uid="{00000000-0005-0000-0000-00008B7A0000}"/>
    <cellStyle name="Normal 11 2 3 2 2 2 4 6 2" xfId="32239" xr:uid="{00000000-0005-0000-0000-00008C7A0000}"/>
    <cellStyle name="Normal 11 2 3 2 2 2 4 6 2 2" xfId="32240" xr:uid="{00000000-0005-0000-0000-00008D7A0000}"/>
    <cellStyle name="Normal 11 2 3 2 2 2 4 6 2 2 2" xfId="32241" xr:uid="{00000000-0005-0000-0000-00008E7A0000}"/>
    <cellStyle name="Normal 11 2 3 2 2 2 4 6 2 3" xfId="32242" xr:uid="{00000000-0005-0000-0000-00008F7A0000}"/>
    <cellStyle name="Normal 11 2 3 2 2 2 4 6 3" xfId="32243" xr:uid="{00000000-0005-0000-0000-0000907A0000}"/>
    <cellStyle name="Normal 11 2 3 2 2 2 4 6 3 2" xfId="32244" xr:uid="{00000000-0005-0000-0000-0000917A0000}"/>
    <cellStyle name="Normal 11 2 3 2 2 2 4 6 4" xfId="32245" xr:uid="{00000000-0005-0000-0000-0000927A0000}"/>
    <cellStyle name="Normal 11 2 3 2 2 2 4 7" xfId="32246" xr:uid="{00000000-0005-0000-0000-0000937A0000}"/>
    <cellStyle name="Normal 11 2 3 2 2 2 4 7 2" xfId="32247" xr:uid="{00000000-0005-0000-0000-0000947A0000}"/>
    <cellStyle name="Normal 11 2 3 2 2 2 4 7 2 2" xfId="32248" xr:uid="{00000000-0005-0000-0000-0000957A0000}"/>
    <cellStyle name="Normal 11 2 3 2 2 2 4 7 2 2 2" xfId="32249" xr:uid="{00000000-0005-0000-0000-0000967A0000}"/>
    <cellStyle name="Normal 11 2 3 2 2 2 4 7 2 3" xfId="32250" xr:uid="{00000000-0005-0000-0000-0000977A0000}"/>
    <cellStyle name="Normal 11 2 3 2 2 2 4 7 3" xfId="32251" xr:uid="{00000000-0005-0000-0000-0000987A0000}"/>
    <cellStyle name="Normal 11 2 3 2 2 2 4 7 3 2" xfId="32252" xr:uid="{00000000-0005-0000-0000-0000997A0000}"/>
    <cellStyle name="Normal 11 2 3 2 2 2 4 7 4" xfId="32253" xr:uid="{00000000-0005-0000-0000-00009A7A0000}"/>
    <cellStyle name="Normal 11 2 3 2 2 2 4 8" xfId="32254" xr:uid="{00000000-0005-0000-0000-00009B7A0000}"/>
    <cellStyle name="Normal 11 2 3 2 2 2 4 8 2" xfId="32255" xr:uid="{00000000-0005-0000-0000-00009C7A0000}"/>
    <cellStyle name="Normal 11 2 3 2 2 2 4 8 2 2" xfId="32256" xr:uid="{00000000-0005-0000-0000-00009D7A0000}"/>
    <cellStyle name="Normal 11 2 3 2 2 2 4 8 3" xfId="32257" xr:uid="{00000000-0005-0000-0000-00009E7A0000}"/>
    <cellStyle name="Normal 11 2 3 2 2 2 4 9" xfId="32258" xr:uid="{00000000-0005-0000-0000-00009F7A0000}"/>
    <cellStyle name="Normal 11 2 3 2 2 2 4 9 2" xfId="32259" xr:uid="{00000000-0005-0000-0000-0000A07A0000}"/>
    <cellStyle name="Normal 11 2 3 2 2 2 5" xfId="1407" xr:uid="{00000000-0005-0000-0000-0000A17A0000}"/>
    <cellStyle name="Normal 11 2 3 2 2 2 5 2" xfId="32261" xr:uid="{00000000-0005-0000-0000-0000A27A0000}"/>
    <cellStyle name="Normal 11 2 3 2 2 2 5 2 2" xfId="32262" xr:uid="{00000000-0005-0000-0000-0000A37A0000}"/>
    <cellStyle name="Normal 11 2 3 2 2 2 5 2 2 2" xfId="32263" xr:uid="{00000000-0005-0000-0000-0000A47A0000}"/>
    <cellStyle name="Normal 11 2 3 2 2 2 5 2 2 2 2" xfId="32264" xr:uid="{00000000-0005-0000-0000-0000A57A0000}"/>
    <cellStyle name="Normal 11 2 3 2 2 2 5 2 2 3" xfId="32265" xr:uid="{00000000-0005-0000-0000-0000A67A0000}"/>
    <cellStyle name="Normal 11 2 3 2 2 2 5 2 3" xfId="32266" xr:uid="{00000000-0005-0000-0000-0000A77A0000}"/>
    <cellStyle name="Normal 11 2 3 2 2 2 5 2 3 2" xfId="32267" xr:uid="{00000000-0005-0000-0000-0000A87A0000}"/>
    <cellStyle name="Normal 11 2 3 2 2 2 5 2 4" xfId="32268" xr:uid="{00000000-0005-0000-0000-0000A97A0000}"/>
    <cellStyle name="Normal 11 2 3 2 2 2 5 3" xfId="32269" xr:uid="{00000000-0005-0000-0000-0000AA7A0000}"/>
    <cellStyle name="Normal 11 2 3 2 2 2 5 3 2" xfId="32270" xr:uid="{00000000-0005-0000-0000-0000AB7A0000}"/>
    <cellStyle name="Normal 11 2 3 2 2 2 5 3 2 2" xfId="32271" xr:uid="{00000000-0005-0000-0000-0000AC7A0000}"/>
    <cellStyle name="Normal 11 2 3 2 2 2 5 3 2 2 2" xfId="32272" xr:uid="{00000000-0005-0000-0000-0000AD7A0000}"/>
    <cellStyle name="Normal 11 2 3 2 2 2 5 3 2 3" xfId="32273" xr:uid="{00000000-0005-0000-0000-0000AE7A0000}"/>
    <cellStyle name="Normal 11 2 3 2 2 2 5 3 3" xfId="32274" xr:uid="{00000000-0005-0000-0000-0000AF7A0000}"/>
    <cellStyle name="Normal 11 2 3 2 2 2 5 3 3 2" xfId="32275" xr:uid="{00000000-0005-0000-0000-0000B07A0000}"/>
    <cellStyle name="Normal 11 2 3 2 2 2 5 3 4" xfId="32276" xr:uid="{00000000-0005-0000-0000-0000B17A0000}"/>
    <cellStyle name="Normal 11 2 3 2 2 2 5 4" xfId="32277" xr:uid="{00000000-0005-0000-0000-0000B27A0000}"/>
    <cellStyle name="Normal 11 2 3 2 2 2 5 4 2" xfId="32278" xr:uid="{00000000-0005-0000-0000-0000B37A0000}"/>
    <cellStyle name="Normal 11 2 3 2 2 2 5 4 2 2" xfId="32279" xr:uid="{00000000-0005-0000-0000-0000B47A0000}"/>
    <cellStyle name="Normal 11 2 3 2 2 2 5 4 3" xfId="32280" xr:uid="{00000000-0005-0000-0000-0000B57A0000}"/>
    <cellStyle name="Normal 11 2 3 2 2 2 5 5" xfId="32281" xr:uid="{00000000-0005-0000-0000-0000B67A0000}"/>
    <cellStyle name="Normal 11 2 3 2 2 2 5 5 2" xfId="32282" xr:uid="{00000000-0005-0000-0000-0000B77A0000}"/>
    <cellStyle name="Normal 11 2 3 2 2 2 5 6" xfId="32283" xr:uid="{00000000-0005-0000-0000-0000B87A0000}"/>
    <cellStyle name="Normal 11 2 3 2 2 2 5 7" xfId="32260" xr:uid="{00000000-0005-0000-0000-0000B97A0000}"/>
    <cellStyle name="Normal 11 2 3 2 2 2 6" xfId="32284" xr:uid="{00000000-0005-0000-0000-0000BA7A0000}"/>
    <cellStyle name="Normal 11 2 3 2 2 2 6 2" xfId="32285" xr:uid="{00000000-0005-0000-0000-0000BB7A0000}"/>
    <cellStyle name="Normal 11 2 3 2 2 2 6 2 2" xfId="32286" xr:uid="{00000000-0005-0000-0000-0000BC7A0000}"/>
    <cellStyle name="Normal 11 2 3 2 2 2 6 2 2 2" xfId="32287" xr:uid="{00000000-0005-0000-0000-0000BD7A0000}"/>
    <cellStyle name="Normal 11 2 3 2 2 2 6 2 2 2 2" xfId="32288" xr:uid="{00000000-0005-0000-0000-0000BE7A0000}"/>
    <cellStyle name="Normal 11 2 3 2 2 2 6 2 2 3" xfId="32289" xr:uid="{00000000-0005-0000-0000-0000BF7A0000}"/>
    <cellStyle name="Normal 11 2 3 2 2 2 6 2 3" xfId="32290" xr:uid="{00000000-0005-0000-0000-0000C07A0000}"/>
    <cellStyle name="Normal 11 2 3 2 2 2 6 2 3 2" xfId="32291" xr:uid="{00000000-0005-0000-0000-0000C17A0000}"/>
    <cellStyle name="Normal 11 2 3 2 2 2 6 2 4" xfId="32292" xr:uid="{00000000-0005-0000-0000-0000C27A0000}"/>
    <cellStyle name="Normal 11 2 3 2 2 2 6 3" xfId="32293" xr:uid="{00000000-0005-0000-0000-0000C37A0000}"/>
    <cellStyle name="Normal 11 2 3 2 2 2 6 3 2" xfId="32294" xr:uid="{00000000-0005-0000-0000-0000C47A0000}"/>
    <cellStyle name="Normal 11 2 3 2 2 2 6 3 2 2" xfId="32295" xr:uid="{00000000-0005-0000-0000-0000C57A0000}"/>
    <cellStyle name="Normal 11 2 3 2 2 2 6 3 3" xfId="32296" xr:uid="{00000000-0005-0000-0000-0000C67A0000}"/>
    <cellStyle name="Normal 11 2 3 2 2 2 6 4" xfId="32297" xr:uid="{00000000-0005-0000-0000-0000C77A0000}"/>
    <cellStyle name="Normal 11 2 3 2 2 2 6 4 2" xfId="32298" xr:uid="{00000000-0005-0000-0000-0000C87A0000}"/>
    <cellStyle name="Normal 11 2 3 2 2 2 6 5" xfId="32299" xr:uid="{00000000-0005-0000-0000-0000C97A0000}"/>
    <cellStyle name="Normal 11 2 3 2 2 2 7" xfId="32300" xr:uid="{00000000-0005-0000-0000-0000CA7A0000}"/>
    <cellStyle name="Normal 11 2 3 2 2 2 7 2" xfId="32301" xr:uid="{00000000-0005-0000-0000-0000CB7A0000}"/>
    <cellStyle name="Normal 11 2 3 2 2 2 7 2 2" xfId="32302" xr:uid="{00000000-0005-0000-0000-0000CC7A0000}"/>
    <cellStyle name="Normal 11 2 3 2 2 2 7 2 2 2" xfId="32303" xr:uid="{00000000-0005-0000-0000-0000CD7A0000}"/>
    <cellStyle name="Normal 11 2 3 2 2 2 7 2 2 2 2" xfId="32304" xr:uid="{00000000-0005-0000-0000-0000CE7A0000}"/>
    <cellStyle name="Normal 11 2 3 2 2 2 7 2 2 3" xfId="32305" xr:uid="{00000000-0005-0000-0000-0000CF7A0000}"/>
    <cellStyle name="Normal 11 2 3 2 2 2 7 2 3" xfId="32306" xr:uid="{00000000-0005-0000-0000-0000D07A0000}"/>
    <cellStyle name="Normal 11 2 3 2 2 2 7 2 3 2" xfId="32307" xr:uid="{00000000-0005-0000-0000-0000D17A0000}"/>
    <cellStyle name="Normal 11 2 3 2 2 2 7 2 4" xfId="32308" xr:uid="{00000000-0005-0000-0000-0000D27A0000}"/>
    <cellStyle name="Normal 11 2 3 2 2 2 7 3" xfId="32309" xr:uid="{00000000-0005-0000-0000-0000D37A0000}"/>
    <cellStyle name="Normal 11 2 3 2 2 2 7 3 2" xfId="32310" xr:uid="{00000000-0005-0000-0000-0000D47A0000}"/>
    <cellStyle name="Normal 11 2 3 2 2 2 7 3 2 2" xfId="32311" xr:uid="{00000000-0005-0000-0000-0000D57A0000}"/>
    <cellStyle name="Normal 11 2 3 2 2 2 7 3 3" xfId="32312" xr:uid="{00000000-0005-0000-0000-0000D67A0000}"/>
    <cellStyle name="Normal 11 2 3 2 2 2 7 4" xfId="32313" xr:uid="{00000000-0005-0000-0000-0000D77A0000}"/>
    <cellStyle name="Normal 11 2 3 2 2 2 7 4 2" xfId="32314" xr:uid="{00000000-0005-0000-0000-0000D87A0000}"/>
    <cellStyle name="Normal 11 2 3 2 2 2 7 5" xfId="32315" xr:uid="{00000000-0005-0000-0000-0000D97A0000}"/>
    <cellStyle name="Normal 11 2 3 2 2 2 8" xfId="32316" xr:uid="{00000000-0005-0000-0000-0000DA7A0000}"/>
    <cellStyle name="Normal 11 2 3 2 2 2 8 2" xfId="32317" xr:uid="{00000000-0005-0000-0000-0000DB7A0000}"/>
    <cellStyle name="Normal 11 2 3 2 2 2 8 2 2" xfId="32318" xr:uid="{00000000-0005-0000-0000-0000DC7A0000}"/>
    <cellStyle name="Normal 11 2 3 2 2 2 8 2 2 2" xfId="32319" xr:uid="{00000000-0005-0000-0000-0000DD7A0000}"/>
    <cellStyle name="Normal 11 2 3 2 2 2 8 2 3" xfId="32320" xr:uid="{00000000-0005-0000-0000-0000DE7A0000}"/>
    <cellStyle name="Normal 11 2 3 2 2 2 8 3" xfId="32321" xr:uid="{00000000-0005-0000-0000-0000DF7A0000}"/>
    <cellStyle name="Normal 11 2 3 2 2 2 8 3 2" xfId="32322" xr:uid="{00000000-0005-0000-0000-0000E07A0000}"/>
    <cellStyle name="Normal 11 2 3 2 2 2 8 4" xfId="32323" xr:uid="{00000000-0005-0000-0000-0000E17A0000}"/>
    <cellStyle name="Normal 11 2 3 2 2 2 9" xfId="32324" xr:uid="{00000000-0005-0000-0000-0000E27A0000}"/>
    <cellStyle name="Normal 11 2 3 2 2 2 9 2" xfId="32325" xr:uid="{00000000-0005-0000-0000-0000E37A0000}"/>
    <cellStyle name="Normal 11 2 3 2 2 2 9 2 2" xfId="32326" xr:uid="{00000000-0005-0000-0000-0000E47A0000}"/>
    <cellStyle name="Normal 11 2 3 2 2 2 9 2 2 2" xfId="32327" xr:uid="{00000000-0005-0000-0000-0000E57A0000}"/>
    <cellStyle name="Normal 11 2 3 2 2 2 9 2 3" xfId="32328" xr:uid="{00000000-0005-0000-0000-0000E67A0000}"/>
    <cellStyle name="Normal 11 2 3 2 2 2 9 3" xfId="32329" xr:uid="{00000000-0005-0000-0000-0000E77A0000}"/>
    <cellStyle name="Normal 11 2 3 2 2 2 9 3 2" xfId="32330" xr:uid="{00000000-0005-0000-0000-0000E87A0000}"/>
    <cellStyle name="Normal 11 2 3 2 2 2 9 4" xfId="32331" xr:uid="{00000000-0005-0000-0000-0000E97A0000}"/>
    <cellStyle name="Normal 11 2 3 2 2 3" xfId="566" xr:uid="{00000000-0005-0000-0000-0000EA7A0000}"/>
    <cellStyle name="Normal 11 2 3 2 2 3 10" xfId="32333" xr:uid="{00000000-0005-0000-0000-0000EB7A0000}"/>
    <cellStyle name="Normal 11 2 3 2 2 3 10 2" xfId="32334" xr:uid="{00000000-0005-0000-0000-0000EC7A0000}"/>
    <cellStyle name="Normal 11 2 3 2 2 3 10 2 2" xfId="32335" xr:uid="{00000000-0005-0000-0000-0000ED7A0000}"/>
    <cellStyle name="Normal 11 2 3 2 2 3 10 3" xfId="32336" xr:uid="{00000000-0005-0000-0000-0000EE7A0000}"/>
    <cellStyle name="Normal 11 2 3 2 2 3 11" xfId="32337" xr:uid="{00000000-0005-0000-0000-0000EF7A0000}"/>
    <cellStyle name="Normal 11 2 3 2 2 3 11 2" xfId="32338" xr:uid="{00000000-0005-0000-0000-0000F07A0000}"/>
    <cellStyle name="Normal 11 2 3 2 2 3 11 2 2" xfId="32339" xr:uid="{00000000-0005-0000-0000-0000F17A0000}"/>
    <cellStyle name="Normal 11 2 3 2 2 3 11 3" xfId="32340" xr:uid="{00000000-0005-0000-0000-0000F27A0000}"/>
    <cellStyle name="Normal 11 2 3 2 2 3 12" xfId="32341" xr:uid="{00000000-0005-0000-0000-0000F37A0000}"/>
    <cellStyle name="Normal 11 2 3 2 2 3 12 2" xfId="32342" xr:uid="{00000000-0005-0000-0000-0000F47A0000}"/>
    <cellStyle name="Normal 11 2 3 2 2 3 13" xfId="32343" xr:uid="{00000000-0005-0000-0000-0000F57A0000}"/>
    <cellStyle name="Normal 11 2 3 2 2 3 14" xfId="32344" xr:uid="{00000000-0005-0000-0000-0000F67A0000}"/>
    <cellStyle name="Normal 11 2 3 2 2 3 15" xfId="32332" xr:uid="{00000000-0005-0000-0000-0000F77A0000}"/>
    <cellStyle name="Normal 11 2 3 2 2 3 2" xfId="1008" xr:uid="{00000000-0005-0000-0000-0000F87A0000}"/>
    <cellStyle name="Normal 11 2 3 2 2 3 2 10" xfId="32346" xr:uid="{00000000-0005-0000-0000-0000F97A0000}"/>
    <cellStyle name="Normal 11 2 3 2 2 3 2 11" xfId="32345" xr:uid="{00000000-0005-0000-0000-0000FA7A0000}"/>
    <cellStyle name="Normal 11 2 3 2 2 3 2 2" xfId="1737" xr:uid="{00000000-0005-0000-0000-0000FB7A0000}"/>
    <cellStyle name="Normal 11 2 3 2 2 3 2 2 2" xfId="32348" xr:uid="{00000000-0005-0000-0000-0000FC7A0000}"/>
    <cellStyle name="Normal 11 2 3 2 2 3 2 2 2 2" xfId="32349" xr:uid="{00000000-0005-0000-0000-0000FD7A0000}"/>
    <cellStyle name="Normal 11 2 3 2 2 3 2 2 2 2 2" xfId="32350" xr:uid="{00000000-0005-0000-0000-0000FE7A0000}"/>
    <cellStyle name="Normal 11 2 3 2 2 3 2 2 2 2 2 2" xfId="32351" xr:uid="{00000000-0005-0000-0000-0000FF7A0000}"/>
    <cellStyle name="Normal 11 2 3 2 2 3 2 2 2 2 3" xfId="32352" xr:uid="{00000000-0005-0000-0000-0000007B0000}"/>
    <cellStyle name="Normal 11 2 3 2 2 3 2 2 2 3" xfId="32353" xr:uid="{00000000-0005-0000-0000-0000017B0000}"/>
    <cellStyle name="Normal 11 2 3 2 2 3 2 2 2 3 2" xfId="32354" xr:uid="{00000000-0005-0000-0000-0000027B0000}"/>
    <cellStyle name="Normal 11 2 3 2 2 3 2 2 2 4" xfId="32355" xr:uid="{00000000-0005-0000-0000-0000037B0000}"/>
    <cellStyle name="Normal 11 2 3 2 2 3 2 2 3" xfId="32356" xr:uid="{00000000-0005-0000-0000-0000047B0000}"/>
    <cellStyle name="Normal 11 2 3 2 2 3 2 2 3 2" xfId="32357" xr:uid="{00000000-0005-0000-0000-0000057B0000}"/>
    <cellStyle name="Normal 11 2 3 2 2 3 2 2 3 2 2" xfId="32358" xr:uid="{00000000-0005-0000-0000-0000067B0000}"/>
    <cellStyle name="Normal 11 2 3 2 2 3 2 2 3 2 2 2" xfId="32359" xr:uid="{00000000-0005-0000-0000-0000077B0000}"/>
    <cellStyle name="Normal 11 2 3 2 2 3 2 2 3 2 3" xfId="32360" xr:uid="{00000000-0005-0000-0000-0000087B0000}"/>
    <cellStyle name="Normal 11 2 3 2 2 3 2 2 3 3" xfId="32361" xr:uid="{00000000-0005-0000-0000-0000097B0000}"/>
    <cellStyle name="Normal 11 2 3 2 2 3 2 2 3 3 2" xfId="32362" xr:uid="{00000000-0005-0000-0000-00000A7B0000}"/>
    <cellStyle name="Normal 11 2 3 2 2 3 2 2 3 4" xfId="32363" xr:uid="{00000000-0005-0000-0000-00000B7B0000}"/>
    <cellStyle name="Normal 11 2 3 2 2 3 2 2 4" xfId="32364" xr:uid="{00000000-0005-0000-0000-00000C7B0000}"/>
    <cellStyle name="Normal 11 2 3 2 2 3 2 2 4 2" xfId="32365" xr:uid="{00000000-0005-0000-0000-00000D7B0000}"/>
    <cellStyle name="Normal 11 2 3 2 2 3 2 2 4 2 2" xfId="32366" xr:uid="{00000000-0005-0000-0000-00000E7B0000}"/>
    <cellStyle name="Normal 11 2 3 2 2 3 2 2 4 3" xfId="32367" xr:uid="{00000000-0005-0000-0000-00000F7B0000}"/>
    <cellStyle name="Normal 11 2 3 2 2 3 2 2 5" xfId="32368" xr:uid="{00000000-0005-0000-0000-0000107B0000}"/>
    <cellStyle name="Normal 11 2 3 2 2 3 2 2 5 2" xfId="32369" xr:uid="{00000000-0005-0000-0000-0000117B0000}"/>
    <cellStyle name="Normal 11 2 3 2 2 3 2 2 6" xfId="32370" xr:uid="{00000000-0005-0000-0000-0000127B0000}"/>
    <cellStyle name="Normal 11 2 3 2 2 3 2 2 7" xfId="32347" xr:uid="{00000000-0005-0000-0000-0000137B0000}"/>
    <cellStyle name="Normal 11 2 3 2 2 3 2 3" xfId="32371" xr:uid="{00000000-0005-0000-0000-0000147B0000}"/>
    <cellStyle name="Normal 11 2 3 2 2 3 2 3 2" xfId="32372" xr:uid="{00000000-0005-0000-0000-0000157B0000}"/>
    <cellStyle name="Normal 11 2 3 2 2 3 2 3 2 2" xfId="32373" xr:uid="{00000000-0005-0000-0000-0000167B0000}"/>
    <cellStyle name="Normal 11 2 3 2 2 3 2 3 2 2 2" xfId="32374" xr:uid="{00000000-0005-0000-0000-0000177B0000}"/>
    <cellStyle name="Normal 11 2 3 2 2 3 2 3 2 2 2 2" xfId="32375" xr:uid="{00000000-0005-0000-0000-0000187B0000}"/>
    <cellStyle name="Normal 11 2 3 2 2 3 2 3 2 2 3" xfId="32376" xr:uid="{00000000-0005-0000-0000-0000197B0000}"/>
    <cellStyle name="Normal 11 2 3 2 2 3 2 3 2 3" xfId="32377" xr:uid="{00000000-0005-0000-0000-00001A7B0000}"/>
    <cellStyle name="Normal 11 2 3 2 2 3 2 3 2 3 2" xfId="32378" xr:uid="{00000000-0005-0000-0000-00001B7B0000}"/>
    <cellStyle name="Normal 11 2 3 2 2 3 2 3 2 4" xfId="32379" xr:uid="{00000000-0005-0000-0000-00001C7B0000}"/>
    <cellStyle name="Normal 11 2 3 2 2 3 2 3 3" xfId="32380" xr:uid="{00000000-0005-0000-0000-00001D7B0000}"/>
    <cellStyle name="Normal 11 2 3 2 2 3 2 3 3 2" xfId="32381" xr:uid="{00000000-0005-0000-0000-00001E7B0000}"/>
    <cellStyle name="Normal 11 2 3 2 2 3 2 3 3 2 2" xfId="32382" xr:uid="{00000000-0005-0000-0000-00001F7B0000}"/>
    <cellStyle name="Normal 11 2 3 2 2 3 2 3 3 3" xfId="32383" xr:uid="{00000000-0005-0000-0000-0000207B0000}"/>
    <cellStyle name="Normal 11 2 3 2 2 3 2 3 4" xfId="32384" xr:uid="{00000000-0005-0000-0000-0000217B0000}"/>
    <cellStyle name="Normal 11 2 3 2 2 3 2 3 4 2" xfId="32385" xr:uid="{00000000-0005-0000-0000-0000227B0000}"/>
    <cellStyle name="Normal 11 2 3 2 2 3 2 3 5" xfId="32386" xr:uid="{00000000-0005-0000-0000-0000237B0000}"/>
    <cellStyle name="Normal 11 2 3 2 2 3 2 4" xfId="32387" xr:uid="{00000000-0005-0000-0000-0000247B0000}"/>
    <cellStyle name="Normal 11 2 3 2 2 3 2 4 2" xfId="32388" xr:uid="{00000000-0005-0000-0000-0000257B0000}"/>
    <cellStyle name="Normal 11 2 3 2 2 3 2 4 2 2" xfId="32389" xr:uid="{00000000-0005-0000-0000-0000267B0000}"/>
    <cellStyle name="Normal 11 2 3 2 2 3 2 4 2 2 2" xfId="32390" xr:uid="{00000000-0005-0000-0000-0000277B0000}"/>
    <cellStyle name="Normal 11 2 3 2 2 3 2 4 2 2 2 2" xfId="32391" xr:uid="{00000000-0005-0000-0000-0000287B0000}"/>
    <cellStyle name="Normal 11 2 3 2 2 3 2 4 2 2 3" xfId="32392" xr:uid="{00000000-0005-0000-0000-0000297B0000}"/>
    <cellStyle name="Normal 11 2 3 2 2 3 2 4 2 3" xfId="32393" xr:uid="{00000000-0005-0000-0000-00002A7B0000}"/>
    <cellStyle name="Normal 11 2 3 2 2 3 2 4 2 3 2" xfId="32394" xr:uid="{00000000-0005-0000-0000-00002B7B0000}"/>
    <cellStyle name="Normal 11 2 3 2 2 3 2 4 2 4" xfId="32395" xr:uid="{00000000-0005-0000-0000-00002C7B0000}"/>
    <cellStyle name="Normal 11 2 3 2 2 3 2 4 3" xfId="32396" xr:uid="{00000000-0005-0000-0000-00002D7B0000}"/>
    <cellStyle name="Normal 11 2 3 2 2 3 2 4 3 2" xfId="32397" xr:uid="{00000000-0005-0000-0000-00002E7B0000}"/>
    <cellStyle name="Normal 11 2 3 2 2 3 2 4 3 2 2" xfId="32398" xr:uid="{00000000-0005-0000-0000-00002F7B0000}"/>
    <cellStyle name="Normal 11 2 3 2 2 3 2 4 3 3" xfId="32399" xr:uid="{00000000-0005-0000-0000-0000307B0000}"/>
    <cellStyle name="Normal 11 2 3 2 2 3 2 4 4" xfId="32400" xr:uid="{00000000-0005-0000-0000-0000317B0000}"/>
    <cellStyle name="Normal 11 2 3 2 2 3 2 4 4 2" xfId="32401" xr:uid="{00000000-0005-0000-0000-0000327B0000}"/>
    <cellStyle name="Normal 11 2 3 2 2 3 2 4 5" xfId="32402" xr:uid="{00000000-0005-0000-0000-0000337B0000}"/>
    <cellStyle name="Normal 11 2 3 2 2 3 2 5" xfId="32403" xr:uid="{00000000-0005-0000-0000-0000347B0000}"/>
    <cellStyle name="Normal 11 2 3 2 2 3 2 5 2" xfId="32404" xr:uid="{00000000-0005-0000-0000-0000357B0000}"/>
    <cellStyle name="Normal 11 2 3 2 2 3 2 5 2 2" xfId="32405" xr:uid="{00000000-0005-0000-0000-0000367B0000}"/>
    <cellStyle name="Normal 11 2 3 2 2 3 2 5 2 2 2" xfId="32406" xr:uid="{00000000-0005-0000-0000-0000377B0000}"/>
    <cellStyle name="Normal 11 2 3 2 2 3 2 5 2 3" xfId="32407" xr:uid="{00000000-0005-0000-0000-0000387B0000}"/>
    <cellStyle name="Normal 11 2 3 2 2 3 2 5 3" xfId="32408" xr:uid="{00000000-0005-0000-0000-0000397B0000}"/>
    <cellStyle name="Normal 11 2 3 2 2 3 2 5 3 2" xfId="32409" xr:uid="{00000000-0005-0000-0000-00003A7B0000}"/>
    <cellStyle name="Normal 11 2 3 2 2 3 2 5 4" xfId="32410" xr:uid="{00000000-0005-0000-0000-00003B7B0000}"/>
    <cellStyle name="Normal 11 2 3 2 2 3 2 6" xfId="32411" xr:uid="{00000000-0005-0000-0000-00003C7B0000}"/>
    <cellStyle name="Normal 11 2 3 2 2 3 2 6 2" xfId="32412" xr:uid="{00000000-0005-0000-0000-00003D7B0000}"/>
    <cellStyle name="Normal 11 2 3 2 2 3 2 6 2 2" xfId="32413" xr:uid="{00000000-0005-0000-0000-00003E7B0000}"/>
    <cellStyle name="Normal 11 2 3 2 2 3 2 6 2 2 2" xfId="32414" xr:uid="{00000000-0005-0000-0000-00003F7B0000}"/>
    <cellStyle name="Normal 11 2 3 2 2 3 2 6 2 3" xfId="32415" xr:uid="{00000000-0005-0000-0000-0000407B0000}"/>
    <cellStyle name="Normal 11 2 3 2 2 3 2 6 3" xfId="32416" xr:uid="{00000000-0005-0000-0000-0000417B0000}"/>
    <cellStyle name="Normal 11 2 3 2 2 3 2 6 3 2" xfId="32417" xr:uid="{00000000-0005-0000-0000-0000427B0000}"/>
    <cellStyle name="Normal 11 2 3 2 2 3 2 6 4" xfId="32418" xr:uid="{00000000-0005-0000-0000-0000437B0000}"/>
    <cellStyle name="Normal 11 2 3 2 2 3 2 7" xfId="32419" xr:uid="{00000000-0005-0000-0000-0000447B0000}"/>
    <cellStyle name="Normal 11 2 3 2 2 3 2 7 2" xfId="32420" xr:uid="{00000000-0005-0000-0000-0000457B0000}"/>
    <cellStyle name="Normal 11 2 3 2 2 3 2 7 2 2" xfId="32421" xr:uid="{00000000-0005-0000-0000-0000467B0000}"/>
    <cellStyle name="Normal 11 2 3 2 2 3 2 7 2 2 2" xfId="32422" xr:uid="{00000000-0005-0000-0000-0000477B0000}"/>
    <cellStyle name="Normal 11 2 3 2 2 3 2 7 2 3" xfId="32423" xr:uid="{00000000-0005-0000-0000-0000487B0000}"/>
    <cellStyle name="Normal 11 2 3 2 2 3 2 7 3" xfId="32424" xr:uid="{00000000-0005-0000-0000-0000497B0000}"/>
    <cellStyle name="Normal 11 2 3 2 2 3 2 7 3 2" xfId="32425" xr:uid="{00000000-0005-0000-0000-00004A7B0000}"/>
    <cellStyle name="Normal 11 2 3 2 2 3 2 7 4" xfId="32426" xr:uid="{00000000-0005-0000-0000-00004B7B0000}"/>
    <cellStyle name="Normal 11 2 3 2 2 3 2 8" xfId="32427" xr:uid="{00000000-0005-0000-0000-00004C7B0000}"/>
    <cellStyle name="Normal 11 2 3 2 2 3 2 8 2" xfId="32428" xr:uid="{00000000-0005-0000-0000-00004D7B0000}"/>
    <cellStyle name="Normal 11 2 3 2 2 3 2 8 2 2" xfId="32429" xr:uid="{00000000-0005-0000-0000-00004E7B0000}"/>
    <cellStyle name="Normal 11 2 3 2 2 3 2 8 3" xfId="32430" xr:uid="{00000000-0005-0000-0000-00004F7B0000}"/>
    <cellStyle name="Normal 11 2 3 2 2 3 2 9" xfId="32431" xr:uid="{00000000-0005-0000-0000-0000507B0000}"/>
    <cellStyle name="Normal 11 2 3 2 2 3 2 9 2" xfId="32432" xr:uid="{00000000-0005-0000-0000-0000517B0000}"/>
    <cellStyle name="Normal 11 2 3 2 2 3 3" xfId="1410" xr:uid="{00000000-0005-0000-0000-0000527B0000}"/>
    <cellStyle name="Normal 11 2 3 2 2 3 3 2" xfId="32434" xr:uid="{00000000-0005-0000-0000-0000537B0000}"/>
    <cellStyle name="Normal 11 2 3 2 2 3 3 2 2" xfId="32435" xr:uid="{00000000-0005-0000-0000-0000547B0000}"/>
    <cellStyle name="Normal 11 2 3 2 2 3 3 2 2 2" xfId="32436" xr:uid="{00000000-0005-0000-0000-0000557B0000}"/>
    <cellStyle name="Normal 11 2 3 2 2 3 3 2 2 2 2" xfId="32437" xr:uid="{00000000-0005-0000-0000-0000567B0000}"/>
    <cellStyle name="Normal 11 2 3 2 2 3 3 2 2 3" xfId="32438" xr:uid="{00000000-0005-0000-0000-0000577B0000}"/>
    <cellStyle name="Normal 11 2 3 2 2 3 3 2 3" xfId="32439" xr:uid="{00000000-0005-0000-0000-0000587B0000}"/>
    <cellStyle name="Normal 11 2 3 2 2 3 3 2 3 2" xfId="32440" xr:uid="{00000000-0005-0000-0000-0000597B0000}"/>
    <cellStyle name="Normal 11 2 3 2 2 3 3 2 4" xfId="32441" xr:uid="{00000000-0005-0000-0000-00005A7B0000}"/>
    <cellStyle name="Normal 11 2 3 2 2 3 3 3" xfId="32442" xr:uid="{00000000-0005-0000-0000-00005B7B0000}"/>
    <cellStyle name="Normal 11 2 3 2 2 3 3 3 2" xfId="32443" xr:uid="{00000000-0005-0000-0000-00005C7B0000}"/>
    <cellStyle name="Normal 11 2 3 2 2 3 3 3 2 2" xfId="32444" xr:uid="{00000000-0005-0000-0000-00005D7B0000}"/>
    <cellStyle name="Normal 11 2 3 2 2 3 3 3 2 2 2" xfId="32445" xr:uid="{00000000-0005-0000-0000-00005E7B0000}"/>
    <cellStyle name="Normal 11 2 3 2 2 3 3 3 2 3" xfId="32446" xr:uid="{00000000-0005-0000-0000-00005F7B0000}"/>
    <cellStyle name="Normal 11 2 3 2 2 3 3 3 3" xfId="32447" xr:uid="{00000000-0005-0000-0000-0000607B0000}"/>
    <cellStyle name="Normal 11 2 3 2 2 3 3 3 3 2" xfId="32448" xr:uid="{00000000-0005-0000-0000-0000617B0000}"/>
    <cellStyle name="Normal 11 2 3 2 2 3 3 3 4" xfId="32449" xr:uid="{00000000-0005-0000-0000-0000627B0000}"/>
    <cellStyle name="Normal 11 2 3 2 2 3 3 4" xfId="32450" xr:uid="{00000000-0005-0000-0000-0000637B0000}"/>
    <cellStyle name="Normal 11 2 3 2 2 3 3 4 2" xfId="32451" xr:uid="{00000000-0005-0000-0000-0000647B0000}"/>
    <cellStyle name="Normal 11 2 3 2 2 3 3 4 2 2" xfId="32452" xr:uid="{00000000-0005-0000-0000-0000657B0000}"/>
    <cellStyle name="Normal 11 2 3 2 2 3 3 4 3" xfId="32453" xr:uid="{00000000-0005-0000-0000-0000667B0000}"/>
    <cellStyle name="Normal 11 2 3 2 2 3 3 5" xfId="32454" xr:uid="{00000000-0005-0000-0000-0000677B0000}"/>
    <cellStyle name="Normal 11 2 3 2 2 3 3 5 2" xfId="32455" xr:uid="{00000000-0005-0000-0000-0000687B0000}"/>
    <cellStyle name="Normal 11 2 3 2 2 3 3 6" xfId="32456" xr:uid="{00000000-0005-0000-0000-0000697B0000}"/>
    <cellStyle name="Normal 11 2 3 2 2 3 3 7" xfId="32433" xr:uid="{00000000-0005-0000-0000-00006A7B0000}"/>
    <cellStyle name="Normal 11 2 3 2 2 3 4" xfId="32457" xr:uid="{00000000-0005-0000-0000-00006B7B0000}"/>
    <cellStyle name="Normal 11 2 3 2 2 3 4 2" xfId="32458" xr:uid="{00000000-0005-0000-0000-00006C7B0000}"/>
    <cellStyle name="Normal 11 2 3 2 2 3 4 2 2" xfId="32459" xr:uid="{00000000-0005-0000-0000-00006D7B0000}"/>
    <cellStyle name="Normal 11 2 3 2 2 3 4 2 2 2" xfId="32460" xr:uid="{00000000-0005-0000-0000-00006E7B0000}"/>
    <cellStyle name="Normal 11 2 3 2 2 3 4 2 2 2 2" xfId="32461" xr:uid="{00000000-0005-0000-0000-00006F7B0000}"/>
    <cellStyle name="Normal 11 2 3 2 2 3 4 2 2 3" xfId="32462" xr:uid="{00000000-0005-0000-0000-0000707B0000}"/>
    <cellStyle name="Normal 11 2 3 2 2 3 4 2 3" xfId="32463" xr:uid="{00000000-0005-0000-0000-0000717B0000}"/>
    <cellStyle name="Normal 11 2 3 2 2 3 4 2 3 2" xfId="32464" xr:uid="{00000000-0005-0000-0000-0000727B0000}"/>
    <cellStyle name="Normal 11 2 3 2 2 3 4 2 4" xfId="32465" xr:uid="{00000000-0005-0000-0000-0000737B0000}"/>
    <cellStyle name="Normal 11 2 3 2 2 3 4 3" xfId="32466" xr:uid="{00000000-0005-0000-0000-0000747B0000}"/>
    <cellStyle name="Normal 11 2 3 2 2 3 4 3 2" xfId="32467" xr:uid="{00000000-0005-0000-0000-0000757B0000}"/>
    <cellStyle name="Normal 11 2 3 2 2 3 4 3 2 2" xfId="32468" xr:uid="{00000000-0005-0000-0000-0000767B0000}"/>
    <cellStyle name="Normal 11 2 3 2 2 3 4 3 3" xfId="32469" xr:uid="{00000000-0005-0000-0000-0000777B0000}"/>
    <cellStyle name="Normal 11 2 3 2 2 3 4 4" xfId="32470" xr:uid="{00000000-0005-0000-0000-0000787B0000}"/>
    <cellStyle name="Normal 11 2 3 2 2 3 4 4 2" xfId="32471" xr:uid="{00000000-0005-0000-0000-0000797B0000}"/>
    <cellStyle name="Normal 11 2 3 2 2 3 4 5" xfId="32472" xr:uid="{00000000-0005-0000-0000-00007A7B0000}"/>
    <cellStyle name="Normal 11 2 3 2 2 3 5" xfId="32473" xr:uid="{00000000-0005-0000-0000-00007B7B0000}"/>
    <cellStyle name="Normal 11 2 3 2 2 3 5 2" xfId="32474" xr:uid="{00000000-0005-0000-0000-00007C7B0000}"/>
    <cellStyle name="Normal 11 2 3 2 2 3 5 2 2" xfId="32475" xr:uid="{00000000-0005-0000-0000-00007D7B0000}"/>
    <cellStyle name="Normal 11 2 3 2 2 3 5 2 2 2" xfId="32476" xr:uid="{00000000-0005-0000-0000-00007E7B0000}"/>
    <cellStyle name="Normal 11 2 3 2 2 3 5 2 2 2 2" xfId="32477" xr:uid="{00000000-0005-0000-0000-00007F7B0000}"/>
    <cellStyle name="Normal 11 2 3 2 2 3 5 2 2 3" xfId="32478" xr:uid="{00000000-0005-0000-0000-0000807B0000}"/>
    <cellStyle name="Normal 11 2 3 2 2 3 5 2 3" xfId="32479" xr:uid="{00000000-0005-0000-0000-0000817B0000}"/>
    <cellStyle name="Normal 11 2 3 2 2 3 5 2 3 2" xfId="32480" xr:uid="{00000000-0005-0000-0000-0000827B0000}"/>
    <cellStyle name="Normal 11 2 3 2 2 3 5 2 4" xfId="32481" xr:uid="{00000000-0005-0000-0000-0000837B0000}"/>
    <cellStyle name="Normal 11 2 3 2 2 3 5 3" xfId="32482" xr:uid="{00000000-0005-0000-0000-0000847B0000}"/>
    <cellStyle name="Normal 11 2 3 2 2 3 5 3 2" xfId="32483" xr:uid="{00000000-0005-0000-0000-0000857B0000}"/>
    <cellStyle name="Normal 11 2 3 2 2 3 5 3 2 2" xfId="32484" xr:uid="{00000000-0005-0000-0000-0000867B0000}"/>
    <cellStyle name="Normal 11 2 3 2 2 3 5 3 3" xfId="32485" xr:uid="{00000000-0005-0000-0000-0000877B0000}"/>
    <cellStyle name="Normal 11 2 3 2 2 3 5 4" xfId="32486" xr:uid="{00000000-0005-0000-0000-0000887B0000}"/>
    <cellStyle name="Normal 11 2 3 2 2 3 5 4 2" xfId="32487" xr:uid="{00000000-0005-0000-0000-0000897B0000}"/>
    <cellStyle name="Normal 11 2 3 2 2 3 5 5" xfId="32488" xr:uid="{00000000-0005-0000-0000-00008A7B0000}"/>
    <cellStyle name="Normal 11 2 3 2 2 3 6" xfId="32489" xr:uid="{00000000-0005-0000-0000-00008B7B0000}"/>
    <cellStyle name="Normal 11 2 3 2 2 3 6 2" xfId="32490" xr:uid="{00000000-0005-0000-0000-00008C7B0000}"/>
    <cellStyle name="Normal 11 2 3 2 2 3 6 2 2" xfId="32491" xr:uid="{00000000-0005-0000-0000-00008D7B0000}"/>
    <cellStyle name="Normal 11 2 3 2 2 3 6 2 2 2" xfId="32492" xr:uid="{00000000-0005-0000-0000-00008E7B0000}"/>
    <cellStyle name="Normal 11 2 3 2 2 3 6 2 3" xfId="32493" xr:uid="{00000000-0005-0000-0000-00008F7B0000}"/>
    <cellStyle name="Normal 11 2 3 2 2 3 6 3" xfId="32494" xr:uid="{00000000-0005-0000-0000-0000907B0000}"/>
    <cellStyle name="Normal 11 2 3 2 2 3 6 3 2" xfId="32495" xr:uid="{00000000-0005-0000-0000-0000917B0000}"/>
    <cellStyle name="Normal 11 2 3 2 2 3 6 4" xfId="32496" xr:uid="{00000000-0005-0000-0000-0000927B0000}"/>
    <cellStyle name="Normal 11 2 3 2 2 3 7" xfId="32497" xr:uid="{00000000-0005-0000-0000-0000937B0000}"/>
    <cellStyle name="Normal 11 2 3 2 2 3 7 2" xfId="32498" xr:uid="{00000000-0005-0000-0000-0000947B0000}"/>
    <cellStyle name="Normal 11 2 3 2 2 3 7 2 2" xfId="32499" xr:uid="{00000000-0005-0000-0000-0000957B0000}"/>
    <cellStyle name="Normal 11 2 3 2 2 3 7 2 2 2" xfId="32500" xr:uid="{00000000-0005-0000-0000-0000967B0000}"/>
    <cellStyle name="Normal 11 2 3 2 2 3 7 2 3" xfId="32501" xr:uid="{00000000-0005-0000-0000-0000977B0000}"/>
    <cellStyle name="Normal 11 2 3 2 2 3 7 3" xfId="32502" xr:uid="{00000000-0005-0000-0000-0000987B0000}"/>
    <cellStyle name="Normal 11 2 3 2 2 3 7 3 2" xfId="32503" xr:uid="{00000000-0005-0000-0000-0000997B0000}"/>
    <cellStyle name="Normal 11 2 3 2 2 3 7 4" xfId="32504" xr:uid="{00000000-0005-0000-0000-00009A7B0000}"/>
    <cellStyle name="Normal 11 2 3 2 2 3 8" xfId="32505" xr:uid="{00000000-0005-0000-0000-00009B7B0000}"/>
    <cellStyle name="Normal 11 2 3 2 2 3 8 2" xfId="32506" xr:uid="{00000000-0005-0000-0000-00009C7B0000}"/>
    <cellStyle name="Normal 11 2 3 2 2 3 8 2 2" xfId="32507" xr:uid="{00000000-0005-0000-0000-00009D7B0000}"/>
    <cellStyle name="Normal 11 2 3 2 2 3 8 2 2 2" xfId="32508" xr:uid="{00000000-0005-0000-0000-00009E7B0000}"/>
    <cellStyle name="Normal 11 2 3 2 2 3 8 2 3" xfId="32509" xr:uid="{00000000-0005-0000-0000-00009F7B0000}"/>
    <cellStyle name="Normal 11 2 3 2 2 3 8 3" xfId="32510" xr:uid="{00000000-0005-0000-0000-0000A07B0000}"/>
    <cellStyle name="Normal 11 2 3 2 2 3 8 3 2" xfId="32511" xr:uid="{00000000-0005-0000-0000-0000A17B0000}"/>
    <cellStyle name="Normal 11 2 3 2 2 3 8 4" xfId="32512" xr:uid="{00000000-0005-0000-0000-0000A27B0000}"/>
    <cellStyle name="Normal 11 2 3 2 2 3 9" xfId="32513" xr:uid="{00000000-0005-0000-0000-0000A37B0000}"/>
    <cellStyle name="Normal 11 2 3 2 2 3 9 2" xfId="32514" xr:uid="{00000000-0005-0000-0000-0000A47B0000}"/>
    <cellStyle name="Normal 11 2 3 2 2 3 9 2 2" xfId="32515" xr:uid="{00000000-0005-0000-0000-0000A57B0000}"/>
    <cellStyle name="Normal 11 2 3 2 2 3 9 3" xfId="32516" xr:uid="{00000000-0005-0000-0000-0000A67B0000}"/>
    <cellStyle name="Normal 11 2 3 2 2 4" xfId="567" xr:uid="{00000000-0005-0000-0000-0000A77B0000}"/>
    <cellStyle name="Normal 11 2 3 2 2 4 10" xfId="32518" xr:uid="{00000000-0005-0000-0000-0000A87B0000}"/>
    <cellStyle name="Normal 11 2 3 2 2 4 10 2" xfId="32519" xr:uid="{00000000-0005-0000-0000-0000A97B0000}"/>
    <cellStyle name="Normal 11 2 3 2 2 4 10 2 2" xfId="32520" xr:uid="{00000000-0005-0000-0000-0000AA7B0000}"/>
    <cellStyle name="Normal 11 2 3 2 2 4 10 3" xfId="32521" xr:uid="{00000000-0005-0000-0000-0000AB7B0000}"/>
    <cellStyle name="Normal 11 2 3 2 2 4 11" xfId="32522" xr:uid="{00000000-0005-0000-0000-0000AC7B0000}"/>
    <cellStyle name="Normal 11 2 3 2 2 4 11 2" xfId="32523" xr:uid="{00000000-0005-0000-0000-0000AD7B0000}"/>
    <cellStyle name="Normal 11 2 3 2 2 4 11 2 2" xfId="32524" xr:uid="{00000000-0005-0000-0000-0000AE7B0000}"/>
    <cellStyle name="Normal 11 2 3 2 2 4 11 3" xfId="32525" xr:uid="{00000000-0005-0000-0000-0000AF7B0000}"/>
    <cellStyle name="Normal 11 2 3 2 2 4 12" xfId="32526" xr:uid="{00000000-0005-0000-0000-0000B07B0000}"/>
    <cellStyle name="Normal 11 2 3 2 2 4 12 2" xfId="32527" xr:uid="{00000000-0005-0000-0000-0000B17B0000}"/>
    <cellStyle name="Normal 11 2 3 2 2 4 13" xfId="32528" xr:uid="{00000000-0005-0000-0000-0000B27B0000}"/>
    <cellStyle name="Normal 11 2 3 2 2 4 14" xfId="32529" xr:uid="{00000000-0005-0000-0000-0000B37B0000}"/>
    <cellStyle name="Normal 11 2 3 2 2 4 15" xfId="32517" xr:uid="{00000000-0005-0000-0000-0000B47B0000}"/>
    <cellStyle name="Normal 11 2 3 2 2 4 2" xfId="1009" xr:uid="{00000000-0005-0000-0000-0000B57B0000}"/>
    <cellStyle name="Normal 11 2 3 2 2 4 2 10" xfId="32531" xr:uid="{00000000-0005-0000-0000-0000B67B0000}"/>
    <cellStyle name="Normal 11 2 3 2 2 4 2 11" xfId="32530" xr:uid="{00000000-0005-0000-0000-0000B77B0000}"/>
    <cellStyle name="Normal 11 2 3 2 2 4 2 2" xfId="1738" xr:uid="{00000000-0005-0000-0000-0000B87B0000}"/>
    <cellStyle name="Normal 11 2 3 2 2 4 2 2 2" xfId="32533" xr:uid="{00000000-0005-0000-0000-0000B97B0000}"/>
    <cellStyle name="Normal 11 2 3 2 2 4 2 2 2 2" xfId="32534" xr:uid="{00000000-0005-0000-0000-0000BA7B0000}"/>
    <cellStyle name="Normal 11 2 3 2 2 4 2 2 2 2 2" xfId="32535" xr:uid="{00000000-0005-0000-0000-0000BB7B0000}"/>
    <cellStyle name="Normal 11 2 3 2 2 4 2 2 2 2 2 2" xfId="32536" xr:uid="{00000000-0005-0000-0000-0000BC7B0000}"/>
    <cellStyle name="Normal 11 2 3 2 2 4 2 2 2 2 3" xfId="32537" xr:uid="{00000000-0005-0000-0000-0000BD7B0000}"/>
    <cellStyle name="Normal 11 2 3 2 2 4 2 2 2 3" xfId="32538" xr:uid="{00000000-0005-0000-0000-0000BE7B0000}"/>
    <cellStyle name="Normal 11 2 3 2 2 4 2 2 2 3 2" xfId="32539" xr:uid="{00000000-0005-0000-0000-0000BF7B0000}"/>
    <cellStyle name="Normal 11 2 3 2 2 4 2 2 2 4" xfId="32540" xr:uid="{00000000-0005-0000-0000-0000C07B0000}"/>
    <cellStyle name="Normal 11 2 3 2 2 4 2 2 3" xfId="32541" xr:uid="{00000000-0005-0000-0000-0000C17B0000}"/>
    <cellStyle name="Normal 11 2 3 2 2 4 2 2 3 2" xfId="32542" xr:uid="{00000000-0005-0000-0000-0000C27B0000}"/>
    <cellStyle name="Normal 11 2 3 2 2 4 2 2 3 2 2" xfId="32543" xr:uid="{00000000-0005-0000-0000-0000C37B0000}"/>
    <cellStyle name="Normal 11 2 3 2 2 4 2 2 3 2 2 2" xfId="32544" xr:uid="{00000000-0005-0000-0000-0000C47B0000}"/>
    <cellStyle name="Normal 11 2 3 2 2 4 2 2 3 2 3" xfId="32545" xr:uid="{00000000-0005-0000-0000-0000C57B0000}"/>
    <cellStyle name="Normal 11 2 3 2 2 4 2 2 3 3" xfId="32546" xr:uid="{00000000-0005-0000-0000-0000C67B0000}"/>
    <cellStyle name="Normal 11 2 3 2 2 4 2 2 3 3 2" xfId="32547" xr:uid="{00000000-0005-0000-0000-0000C77B0000}"/>
    <cellStyle name="Normal 11 2 3 2 2 4 2 2 3 4" xfId="32548" xr:uid="{00000000-0005-0000-0000-0000C87B0000}"/>
    <cellStyle name="Normal 11 2 3 2 2 4 2 2 4" xfId="32549" xr:uid="{00000000-0005-0000-0000-0000C97B0000}"/>
    <cellStyle name="Normal 11 2 3 2 2 4 2 2 4 2" xfId="32550" xr:uid="{00000000-0005-0000-0000-0000CA7B0000}"/>
    <cellStyle name="Normal 11 2 3 2 2 4 2 2 4 2 2" xfId="32551" xr:uid="{00000000-0005-0000-0000-0000CB7B0000}"/>
    <cellStyle name="Normal 11 2 3 2 2 4 2 2 4 3" xfId="32552" xr:uid="{00000000-0005-0000-0000-0000CC7B0000}"/>
    <cellStyle name="Normal 11 2 3 2 2 4 2 2 5" xfId="32553" xr:uid="{00000000-0005-0000-0000-0000CD7B0000}"/>
    <cellStyle name="Normal 11 2 3 2 2 4 2 2 5 2" xfId="32554" xr:uid="{00000000-0005-0000-0000-0000CE7B0000}"/>
    <cellStyle name="Normal 11 2 3 2 2 4 2 2 6" xfId="32555" xr:uid="{00000000-0005-0000-0000-0000CF7B0000}"/>
    <cellStyle name="Normal 11 2 3 2 2 4 2 2 7" xfId="32532" xr:uid="{00000000-0005-0000-0000-0000D07B0000}"/>
    <cellStyle name="Normal 11 2 3 2 2 4 2 3" xfId="32556" xr:uid="{00000000-0005-0000-0000-0000D17B0000}"/>
    <cellStyle name="Normal 11 2 3 2 2 4 2 3 2" xfId="32557" xr:uid="{00000000-0005-0000-0000-0000D27B0000}"/>
    <cellStyle name="Normal 11 2 3 2 2 4 2 3 2 2" xfId="32558" xr:uid="{00000000-0005-0000-0000-0000D37B0000}"/>
    <cellStyle name="Normal 11 2 3 2 2 4 2 3 2 2 2" xfId="32559" xr:uid="{00000000-0005-0000-0000-0000D47B0000}"/>
    <cellStyle name="Normal 11 2 3 2 2 4 2 3 2 2 2 2" xfId="32560" xr:uid="{00000000-0005-0000-0000-0000D57B0000}"/>
    <cellStyle name="Normal 11 2 3 2 2 4 2 3 2 2 3" xfId="32561" xr:uid="{00000000-0005-0000-0000-0000D67B0000}"/>
    <cellStyle name="Normal 11 2 3 2 2 4 2 3 2 3" xfId="32562" xr:uid="{00000000-0005-0000-0000-0000D77B0000}"/>
    <cellStyle name="Normal 11 2 3 2 2 4 2 3 2 3 2" xfId="32563" xr:uid="{00000000-0005-0000-0000-0000D87B0000}"/>
    <cellStyle name="Normal 11 2 3 2 2 4 2 3 2 4" xfId="32564" xr:uid="{00000000-0005-0000-0000-0000D97B0000}"/>
    <cellStyle name="Normal 11 2 3 2 2 4 2 3 3" xfId="32565" xr:uid="{00000000-0005-0000-0000-0000DA7B0000}"/>
    <cellStyle name="Normal 11 2 3 2 2 4 2 3 3 2" xfId="32566" xr:uid="{00000000-0005-0000-0000-0000DB7B0000}"/>
    <cellStyle name="Normal 11 2 3 2 2 4 2 3 3 2 2" xfId="32567" xr:uid="{00000000-0005-0000-0000-0000DC7B0000}"/>
    <cellStyle name="Normal 11 2 3 2 2 4 2 3 3 3" xfId="32568" xr:uid="{00000000-0005-0000-0000-0000DD7B0000}"/>
    <cellStyle name="Normal 11 2 3 2 2 4 2 3 4" xfId="32569" xr:uid="{00000000-0005-0000-0000-0000DE7B0000}"/>
    <cellStyle name="Normal 11 2 3 2 2 4 2 3 4 2" xfId="32570" xr:uid="{00000000-0005-0000-0000-0000DF7B0000}"/>
    <cellStyle name="Normal 11 2 3 2 2 4 2 3 5" xfId="32571" xr:uid="{00000000-0005-0000-0000-0000E07B0000}"/>
    <cellStyle name="Normal 11 2 3 2 2 4 2 4" xfId="32572" xr:uid="{00000000-0005-0000-0000-0000E17B0000}"/>
    <cellStyle name="Normal 11 2 3 2 2 4 2 4 2" xfId="32573" xr:uid="{00000000-0005-0000-0000-0000E27B0000}"/>
    <cellStyle name="Normal 11 2 3 2 2 4 2 4 2 2" xfId="32574" xr:uid="{00000000-0005-0000-0000-0000E37B0000}"/>
    <cellStyle name="Normal 11 2 3 2 2 4 2 4 2 2 2" xfId="32575" xr:uid="{00000000-0005-0000-0000-0000E47B0000}"/>
    <cellStyle name="Normal 11 2 3 2 2 4 2 4 2 2 2 2" xfId="32576" xr:uid="{00000000-0005-0000-0000-0000E57B0000}"/>
    <cellStyle name="Normal 11 2 3 2 2 4 2 4 2 2 3" xfId="32577" xr:uid="{00000000-0005-0000-0000-0000E67B0000}"/>
    <cellStyle name="Normal 11 2 3 2 2 4 2 4 2 3" xfId="32578" xr:uid="{00000000-0005-0000-0000-0000E77B0000}"/>
    <cellStyle name="Normal 11 2 3 2 2 4 2 4 2 3 2" xfId="32579" xr:uid="{00000000-0005-0000-0000-0000E87B0000}"/>
    <cellStyle name="Normal 11 2 3 2 2 4 2 4 2 4" xfId="32580" xr:uid="{00000000-0005-0000-0000-0000E97B0000}"/>
    <cellStyle name="Normal 11 2 3 2 2 4 2 4 3" xfId="32581" xr:uid="{00000000-0005-0000-0000-0000EA7B0000}"/>
    <cellStyle name="Normal 11 2 3 2 2 4 2 4 3 2" xfId="32582" xr:uid="{00000000-0005-0000-0000-0000EB7B0000}"/>
    <cellStyle name="Normal 11 2 3 2 2 4 2 4 3 2 2" xfId="32583" xr:uid="{00000000-0005-0000-0000-0000EC7B0000}"/>
    <cellStyle name="Normal 11 2 3 2 2 4 2 4 3 3" xfId="32584" xr:uid="{00000000-0005-0000-0000-0000ED7B0000}"/>
    <cellStyle name="Normal 11 2 3 2 2 4 2 4 4" xfId="32585" xr:uid="{00000000-0005-0000-0000-0000EE7B0000}"/>
    <cellStyle name="Normal 11 2 3 2 2 4 2 4 4 2" xfId="32586" xr:uid="{00000000-0005-0000-0000-0000EF7B0000}"/>
    <cellStyle name="Normal 11 2 3 2 2 4 2 4 5" xfId="32587" xr:uid="{00000000-0005-0000-0000-0000F07B0000}"/>
    <cellStyle name="Normal 11 2 3 2 2 4 2 5" xfId="32588" xr:uid="{00000000-0005-0000-0000-0000F17B0000}"/>
    <cellStyle name="Normal 11 2 3 2 2 4 2 5 2" xfId="32589" xr:uid="{00000000-0005-0000-0000-0000F27B0000}"/>
    <cellStyle name="Normal 11 2 3 2 2 4 2 5 2 2" xfId="32590" xr:uid="{00000000-0005-0000-0000-0000F37B0000}"/>
    <cellStyle name="Normal 11 2 3 2 2 4 2 5 2 2 2" xfId="32591" xr:uid="{00000000-0005-0000-0000-0000F47B0000}"/>
    <cellStyle name="Normal 11 2 3 2 2 4 2 5 2 3" xfId="32592" xr:uid="{00000000-0005-0000-0000-0000F57B0000}"/>
    <cellStyle name="Normal 11 2 3 2 2 4 2 5 3" xfId="32593" xr:uid="{00000000-0005-0000-0000-0000F67B0000}"/>
    <cellStyle name="Normal 11 2 3 2 2 4 2 5 3 2" xfId="32594" xr:uid="{00000000-0005-0000-0000-0000F77B0000}"/>
    <cellStyle name="Normal 11 2 3 2 2 4 2 5 4" xfId="32595" xr:uid="{00000000-0005-0000-0000-0000F87B0000}"/>
    <cellStyle name="Normal 11 2 3 2 2 4 2 6" xfId="32596" xr:uid="{00000000-0005-0000-0000-0000F97B0000}"/>
    <cellStyle name="Normal 11 2 3 2 2 4 2 6 2" xfId="32597" xr:uid="{00000000-0005-0000-0000-0000FA7B0000}"/>
    <cellStyle name="Normal 11 2 3 2 2 4 2 6 2 2" xfId="32598" xr:uid="{00000000-0005-0000-0000-0000FB7B0000}"/>
    <cellStyle name="Normal 11 2 3 2 2 4 2 6 2 2 2" xfId="32599" xr:uid="{00000000-0005-0000-0000-0000FC7B0000}"/>
    <cellStyle name="Normal 11 2 3 2 2 4 2 6 2 3" xfId="32600" xr:uid="{00000000-0005-0000-0000-0000FD7B0000}"/>
    <cellStyle name="Normal 11 2 3 2 2 4 2 6 3" xfId="32601" xr:uid="{00000000-0005-0000-0000-0000FE7B0000}"/>
    <cellStyle name="Normal 11 2 3 2 2 4 2 6 3 2" xfId="32602" xr:uid="{00000000-0005-0000-0000-0000FF7B0000}"/>
    <cellStyle name="Normal 11 2 3 2 2 4 2 6 4" xfId="32603" xr:uid="{00000000-0005-0000-0000-0000007C0000}"/>
    <cellStyle name="Normal 11 2 3 2 2 4 2 7" xfId="32604" xr:uid="{00000000-0005-0000-0000-0000017C0000}"/>
    <cellStyle name="Normal 11 2 3 2 2 4 2 7 2" xfId="32605" xr:uid="{00000000-0005-0000-0000-0000027C0000}"/>
    <cellStyle name="Normal 11 2 3 2 2 4 2 7 2 2" xfId="32606" xr:uid="{00000000-0005-0000-0000-0000037C0000}"/>
    <cellStyle name="Normal 11 2 3 2 2 4 2 7 2 2 2" xfId="32607" xr:uid="{00000000-0005-0000-0000-0000047C0000}"/>
    <cellStyle name="Normal 11 2 3 2 2 4 2 7 2 3" xfId="32608" xr:uid="{00000000-0005-0000-0000-0000057C0000}"/>
    <cellStyle name="Normal 11 2 3 2 2 4 2 7 3" xfId="32609" xr:uid="{00000000-0005-0000-0000-0000067C0000}"/>
    <cellStyle name="Normal 11 2 3 2 2 4 2 7 3 2" xfId="32610" xr:uid="{00000000-0005-0000-0000-0000077C0000}"/>
    <cellStyle name="Normal 11 2 3 2 2 4 2 7 4" xfId="32611" xr:uid="{00000000-0005-0000-0000-0000087C0000}"/>
    <cellStyle name="Normal 11 2 3 2 2 4 2 8" xfId="32612" xr:uid="{00000000-0005-0000-0000-0000097C0000}"/>
    <cellStyle name="Normal 11 2 3 2 2 4 2 8 2" xfId="32613" xr:uid="{00000000-0005-0000-0000-00000A7C0000}"/>
    <cellStyle name="Normal 11 2 3 2 2 4 2 8 2 2" xfId="32614" xr:uid="{00000000-0005-0000-0000-00000B7C0000}"/>
    <cellStyle name="Normal 11 2 3 2 2 4 2 8 3" xfId="32615" xr:uid="{00000000-0005-0000-0000-00000C7C0000}"/>
    <cellStyle name="Normal 11 2 3 2 2 4 2 9" xfId="32616" xr:uid="{00000000-0005-0000-0000-00000D7C0000}"/>
    <cellStyle name="Normal 11 2 3 2 2 4 2 9 2" xfId="32617" xr:uid="{00000000-0005-0000-0000-00000E7C0000}"/>
    <cellStyle name="Normal 11 2 3 2 2 4 3" xfId="1411" xr:uid="{00000000-0005-0000-0000-00000F7C0000}"/>
    <cellStyle name="Normal 11 2 3 2 2 4 3 2" xfId="32619" xr:uid="{00000000-0005-0000-0000-0000107C0000}"/>
    <cellStyle name="Normal 11 2 3 2 2 4 3 2 2" xfId="32620" xr:uid="{00000000-0005-0000-0000-0000117C0000}"/>
    <cellStyle name="Normal 11 2 3 2 2 4 3 2 2 2" xfId="32621" xr:uid="{00000000-0005-0000-0000-0000127C0000}"/>
    <cellStyle name="Normal 11 2 3 2 2 4 3 2 2 2 2" xfId="32622" xr:uid="{00000000-0005-0000-0000-0000137C0000}"/>
    <cellStyle name="Normal 11 2 3 2 2 4 3 2 2 3" xfId="32623" xr:uid="{00000000-0005-0000-0000-0000147C0000}"/>
    <cellStyle name="Normal 11 2 3 2 2 4 3 2 3" xfId="32624" xr:uid="{00000000-0005-0000-0000-0000157C0000}"/>
    <cellStyle name="Normal 11 2 3 2 2 4 3 2 3 2" xfId="32625" xr:uid="{00000000-0005-0000-0000-0000167C0000}"/>
    <cellStyle name="Normal 11 2 3 2 2 4 3 2 4" xfId="32626" xr:uid="{00000000-0005-0000-0000-0000177C0000}"/>
    <cellStyle name="Normal 11 2 3 2 2 4 3 3" xfId="32627" xr:uid="{00000000-0005-0000-0000-0000187C0000}"/>
    <cellStyle name="Normal 11 2 3 2 2 4 3 3 2" xfId="32628" xr:uid="{00000000-0005-0000-0000-0000197C0000}"/>
    <cellStyle name="Normal 11 2 3 2 2 4 3 3 2 2" xfId="32629" xr:uid="{00000000-0005-0000-0000-00001A7C0000}"/>
    <cellStyle name="Normal 11 2 3 2 2 4 3 3 2 2 2" xfId="32630" xr:uid="{00000000-0005-0000-0000-00001B7C0000}"/>
    <cellStyle name="Normal 11 2 3 2 2 4 3 3 2 3" xfId="32631" xr:uid="{00000000-0005-0000-0000-00001C7C0000}"/>
    <cellStyle name="Normal 11 2 3 2 2 4 3 3 3" xfId="32632" xr:uid="{00000000-0005-0000-0000-00001D7C0000}"/>
    <cellStyle name="Normal 11 2 3 2 2 4 3 3 3 2" xfId="32633" xr:uid="{00000000-0005-0000-0000-00001E7C0000}"/>
    <cellStyle name="Normal 11 2 3 2 2 4 3 3 4" xfId="32634" xr:uid="{00000000-0005-0000-0000-00001F7C0000}"/>
    <cellStyle name="Normal 11 2 3 2 2 4 3 4" xfId="32635" xr:uid="{00000000-0005-0000-0000-0000207C0000}"/>
    <cellStyle name="Normal 11 2 3 2 2 4 3 4 2" xfId="32636" xr:uid="{00000000-0005-0000-0000-0000217C0000}"/>
    <cellStyle name="Normal 11 2 3 2 2 4 3 4 2 2" xfId="32637" xr:uid="{00000000-0005-0000-0000-0000227C0000}"/>
    <cellStyle name="Normal 11 2 3 2 2 4 3 4 3" xfId="32638" xr:uid="{00000000-0005-0000-0000-0000237C0000}"/>
    <cellStyle name="Normal 11 2 3 2 2 4 3 5" xfId="32639" xr:uid="{00000000-0005-0000-0000-0000247C0000}"/>
    <cellStyle name="Normal 11 2 3 2 2 4 3 5 2" xfId="32640" xr:uid="{00000000-0005-0000-0000-0000257C0000}"/>
    <cellStyle name="Normal 11 2 3 2 2 4 3 6" xfId="32641" xr:uid="{00000000-0005-0000-0000-0000267C0000}"/>
    <cellStyle name="Normal 11 2 3 2 2 4 3 7" xfId="32618" xr:uid="{00000000-0005-0000-0000-0000277C0000}"/>
    <cellStyle name="Normal 11 2 3 2 2 4 4" xfId="32642" xr:uid="{00000000-0005-0000-0000-0000287C0000}"/>
    <cellStyle name="Normal 11 2 3 2 2 4 4 2" xfId="32643" xr:uid="{00000000-0005-0000-0000-0000297C0000}"/>
    <cellStyle name="Normal 11 2 3 2 2 4 4 2 2" xfId="32644" xr:uid="{00000000-0005-0000-0000-00002A7C0000}"/>
    <cellStyle name="Normal 11 2 3 2 2 4 4 2 2 2" xfId="32645" xr:uid="{00000000-0005-0000-0000-00002B7C0000}"/>
    <cellStyle name="Normal 11 2 3 2 2 4 4 2 2 2 2" xfId="32646" xr:uid="{00000000-0005-0000-0000-00002C7C0000}"/>
    <cellStyle name="Normal 11 2 3 2 2 4 4 2 2 3" xfId="32647" xr:uid="{00000000-0005-0000-0000-00002D7C0000}"/>
    <cellStyle name="Normal 11 2 3 2 2 4 4 2 3" xfId="32648" xr:uid="{00000000-0005-0000-0000-00002E7C0000}"/>
    <cellStyle name="Normal 11 2 3 2 2 4 4 2 3 2" xfId="32649" xr:uid="{00000000-0005-0000-0000-00002F7C0000}"/>
    <cellStyle name="Normal 11 2 3 2 2 4 4 2 4" xfId="32650" xr:uid="{00000000-0005-0000-0000-0000307C0000}"/>
    <cellStyle name="Normal 11 2 3 2 2 4 4 3" xfId="32651" xr:uid="{00000000-0005-0000-0000-0000317C0000}"/>
    <cellStyle name="Normal 11 2 3 2 2 4 4 3 2" xfId="32652" xr:uid="{00000000-0005-0000-0000-0000327C0000}"/>
    <cellStyle name="Normal 11 2 3 2 2 4 4 3 2 2" xfId="32653" xr:uid="{00000000-0005-0000-0000-0000337C0000}"/>
    <cellStyle name="Normal 11 2 3 2 2 4 4 3 3" xfId="32654" xr:uid="{00000000-0005-0000-0000-0000347C0000}"/>
    <cellStyle name="Normal 11 2 3 2 2 4 4 4" xfId="32655" xr:uid="{00000000-0005-0000-0000-0000357C0000}"/>
    <cellStyle name="Normal 11 2 3 2 2 4 4 4 2" xfId="32656" xr:uid="{00000000-0005-0000-0000-0000367C0000}"/>
    <cellStyle name="Normal 11 2 3 2 2 4 4 5" xfId="32657" xr:uid="{00000000-0005-0000-0000-0000377C0000}"/>
    <cellStyle name="Normal 11 2 3 2 2 4 5" xfId="32658" xr:uid="{00000000-0005-0000-0000-0000387C0000}"/>
    <cellStyle name="Normal 11 2 3 2 2 4 5 2" xfId="32659" xr:uid="{00000000-0005-0000-0000-0000397C0000}"/>
    <cellStyle name="Normal 11 2 3 2 2 4 5 2 2" xfId="32660" xr:uid="{00000000-0005-0000-0000-00003A7C0000}"/>
    <cellStyle name="Normal 11 2 3 2 2 4 5 2 2 2" xfId="32661" xr:uid="{00000000-0005-0000-0000-00003B7C0000}"/>
    <cellStyle name="Normal 11 2 3 2 2 4 5 2 2 2 2" xfId="32662" xr:uid="{00000000-0005-0000-0000-00003C7C0000}"/>
    <cellStyle name="Normal 11 2 3 2 2 4 5 2 2 3" xfId="32663" xr:uid="{00000000-0005-0000-0000-00003D7C0000}"/>
    <cellStyle name="Normal 11 2 3 2 2 4 5 2 3" xfId="32664" xr:uid="{00000000-0005-0000-0000-00003E7C0000}"/>
    <cellStyle name="Normal 11 2 3 2 2 4 5 2 3 2" xfId="32665" xr:uid="{00000000-0005-0000-0000-00003F7C0000}"/>
    <cellStyle name="Normal 11 2 3 2 2 4 5 2 4" xfId="32666" xr:uid="{00000000-0005-0000-0000-0000407C0000}"/>
    <cellStyle name="Normal 11 2 3 2 2 4 5 3" xfId="32667" xr:uid="{00000000-0005-0000-0000-0000417C0000}"/>
    <cellStyle name="Normal 11 2 3 2 2 4 5 3 2" xfId="32668" xr:uid="{00000000-0005-0000-0000-0000427C0000}"/>
    <cellStyle name="Normal 11 2 3 2 2 4 5 3 2 2" xfId="32669" xr:uid="{00000000-0005-0000-0000-0000437C0000}"/>
    <cellStyle name="Normal 11 2 3 2 2 4 5 3 3" xfId="32670" xr:uid="{00000000-0005-0000-0000-0000447C0000}"/>
    <cellStyle name="Normal 11 2 3 2 2 4 5 4" xfId="32671" xr:uid="{00000000-0005-0000-0000-0000457C0000}"/>
    <cellStyle name="Normal 11 2 3 2 2 4 5 4 2" xfId="32672" xr:uid="{00000000-0005-0000-0000-0000467C0000}"/>
    <cellStyle name="Normal 11 2 3 2 2 4 5 5" xfId="32673" xr:uid="{00000000-0005-0000-0000-0000477C0000}"/>
    <cellStyle name="Normal 11 2 3 2 2 4 6" xfId="32674" xr:uid="{00000000-0005-0000-0000-0000487C0000}"/>
    <cellStyle name="Normal 11 2 3 2 2 4 6 2" xfId="32675" xr:uid="{00000000-0005-0000-0000-0000497C0000}"/>
    <cellStyle name="Normal 11 2 3 2 2 4 6 2 2" xfId="32676" xr:uid="{00000000-0005-0000-0000-00004A7C0000}"/>
    <cellStyle name="Normal 11 2 3 2 2 4 6 2 2 2" xfId="32677" xr:uid="{00000000-0005-0000-0000-00004B7C0000}"/>
    <cellStyle name="Normal 11 2 3 2 2 4 6 2 3" xfId="32678" xr:uid="{00000000-0005-0000-0000-00004C7C0000}"/>
    <cellStyle name="Normal 11 2 3 2 2 4 6 3" xfId="32679" xr:uid="{00000000-0005-0000-0000-00004D7C0000}"/>
    <cellStyle name="Normal 11 2 3 2 2 4 6 3 2" xfId="32680" xr:uid="{00000000-0005-0000-0000-00004E7C0000}"/>
    <cellStyle name="Normal 11 2 3 2 2 4 6 4" xfId="32681" xr:uid="{00000000-0005-0000-0000-00004F7C0000}"/>
    <cellStyle name="Normal 11 2 3 2 2 4 7" xfId="32682" xr:uid="{00000000-0005-0000-0000-0000507C0000}"/>
    <cellStyle name="Normal 11 2 3 2 2 4 7 2" xfId="32683" xr:uid="{00000000-0005-0000-0000-0000517C0000}"/>
    <cellStyle name="Normal 11 2 3 2 2 4 7 2 2" xfId="32684" xr:uid="{00000000-0005-0000-0000-0000527C0000}"/>
    <cellStyle name="Normal 11 2 3 2 2 4 7 2 2 2" xfId="32685" xr:uid="{00000000-0005-0000-0000-0000537C0000}"/>
    <cellStyle name="Normal 11 2 3 2 2 4 7 2 3" xfId="32686" xr:uid="{00000000-0005-0000-0000-0000547C0000}"/>
    <cellStyle name="Normal 11 2 3 2 2 4 7 3" xfId="32687" xr:uid="{00000000-0005-0000-0000-0000557C0000}"/>
    <cellStyle name="Normal 11 2 3 2 2 4 7 3 2" xfId="32688" xr:uid="{00000000-0005-0000-0000-0000567C0000}"/>
    <cellStyle name="Normal 11 2 3 2 2 4 7 4" xfId="32689" xr:uid="{00000000-0005-0000-0000-0000577C0000}"/>
    <cellStyle name="Normal 11 2 3 2 2 4 8" xfId="32690" xr:uid="{00000000-0005-0000-0000-0000587C0000}"/>
    <cellStyle name="Normal 11 2 3 2 2 4 8 2" xfId="32691" xr:uid="{00000000-0005-0000-0000-0000597C0000}"/>
    <cellStyle name="Normal 11 2 3 2 2 4 8 2 2" xfId="32692" xr:uid="{00000000-0005-0000-0000-00005A7C0000}"/>
    <cellStyle name="Normal 11 2 3 2 2 4 8 2 2 2" xfId="32693" xr:uid="{00000000-0005-0000-0000-00005B7C0000}"/>
    <cellStyle name="Normal 11 2 3 2 2 4 8 2 3" xfId="32694" xr:uid="{00000000-0005-0000-0000-00005C7C0000}"/>
    <cellStyle name="Normal 11 2 3 2 2 4 8 3" xfId="32695" xr:uid="{00000000-0005-0000-0000-00005D7C0000}"/>
    <cellStyle name="Normal 11 2 3 2 2 4 8 3 2" xfId="32696" xr:uid="{00000000-0005-0000-0000-00005E7C0000}"/>
    <cellStyle name="Normal 11 2 3 2 2 4 8 4" xfId="32697" xr:uid="{00000000-0005-0000-0000-00005F7C0000}"/>
    <cellStyle name="Normal 11 2 3 2 2 4 9" xfId="32698" xr:uid="{00000000-0005-0000-0000-0000607C0000}"/>
    <cellStyle name="Normal 11 2 3 2 2 4 9 2" xfId="32699" xr:uid="{00000000-0005-0000-0000-0000617C0000}"/>
    <cellStyle name="Normal 11 2 3 2 2 4 9 2 2" xfId="32700" xr:uid="{00000000-0005-0000-0000-0000627C0000}"/>
    <cellStyle name="Normal 11 2 3 2 2 4 9 3" xfId="32701" xr:uid="{00000000-0005-0000-0000-0000637C0000}"/>
    <cellStyle name="Normal 11 2 3 2 2 5" xfId="1004" xr:uid="{00000000-0005-0000-0000-0000647C0000}"/>
    <cellStyle name="Normal 11 2 3 2 2 5 10" xfId="32703" xr:uid="{00000000-0005-0000-0000-0000657C0000}"/>
    <cellStyle name="Normal 11 2 3 2 2 5 11" xfId="32702" xr:uid="{00000000-0005-0000-0000-0000667C0000}"/>
    <cellStyle name="Normal 11 2 3 2 2 5 2" xfId="1733" xr:uid="{00000000-0005-0000-0000-0000677C0000}"/>
    <cellStyle name="Normal 11 2 3 2 2 5 2 2" xfId="32705" xr:uid="{00000000-0005-0000-0000-0000687C0000}"/>
    <cellStyle name="Normal 11 2 3 2 2 5 2 2 2" xfId="32706" xr:uid="{00000000-0005-0000-0000-0000697C0000}"/>
    <cellStyle name="Normal 11 2 3 2 2 5 2 2 2 2" xfId="32707" xr:uid="{00000000-0005-0000-0000-00006A7C0000}"/>
    <cellStyle name="Normal 11 2 3 2 2 5 2 2 2 2 2" xfId="32708" xr:uid="{00000000-0005-0000-0000-00006B7C0000}"/>
    <cellStyle name="Normal 11 2 3 2 2 5 2 2 2 3" xfId="32709" xr:uid="{00000000-0005-0000-0000-00006C7C0000}"/>
    <cellStyle name="Normal 11 2 3 2 2 5 2 2 3" xfId="32710" xr:uid="{00000000-0005-0000-0000-00006D7C0000}"/>
    <cellStyle name="Normal 11 2 3 2 2 5 2 2 3 2" xfId="32711" xr:uid="{00000000-0005-0000-0000-00006E7C0000}"/>
    <cellStyle name="Normal 11 2 3 2 2 5 2 2 4" xfId="32712" xr:uid="{00000000-0005-0000-0000-00006F7C0000}"/>
    <cellStyle name="Normal 11 2 3 2 2 5 2 3" xfId="32713" xr:uid="{00000000-0005-0000-0000-0000707C0000}"/>
    <cellStyle name="Normal 11 2 3 2 2 5 2 3 2" xfId="32714" xr:uid="{00000000-0005-0000-0000-0000717C0000}"/>
    <cellStyle name="Normal 11 2 3 2 2 5 2 3 2 2" xfId="32715" xr:uid="{00000000-0005-0000-0000-0000727C0000}"/>
    <cellStyle name="Normal 11 2 3 2 2 5 2 3 2 2 2" xfId="32716" xr:uid="{00000000-0005-0000-0000-0000737C0000}"/>
    <cellStyle name="Normal 11 2 3 2 2 5 2 3 2 3" xfId="32717" xr:uid="{00000000-0005-0000-0000-0000747C0000}"/>
    <cellStyle name="Normal 11 2 3 2 2 5 2 3 3" xfId="32718" xr:uid="{00000000-0005-0000-0000-0000757C0000}"/>
    <cellStyle name="Normal 11 2 3 2 2 5 2 3 3 2" xfId="32719" xr:uid="{00000000-0005-0000-0000-0000767C0000}"/>
    <cellStyle name="Normal 11 2 3 2 2 5 2 3 4" xfId="32720" xr:uid="{00000000-0005-0000-0000-0000777C0000}"/>
    <cellStyle name="Normal 11 2 3 2 2 5 2 4" xfId="32721" xr:uid="{00000000-0005-0000-0000-0000787C0000}"/>
    <cellStyle name="Normal 11 2 3 2 2 5 2 4 2" xfId="32722" xr:uid="{00000000-0005-0000-0000-0000797C0000}"/>
    <cellStyle name="Normal 11 2 3 2 2 5 2 4 2 2" xfId="32723" xr:uid="{00000000-0005-0000-0000-00007A7C0000}"/>
    <cellStyle name="Normal 11 2 3 2 2 5 2 4 3" xfId="32724" xr:uid="{00000000-0005-0000-0000-00007B7C0000}"/>
    <cellStyle name="Normal 11 2 3 2 2 5 2 5" xfId="32725" xr:uid="{00000000-0005-0000-0000-00007C7C0000}"/>
    <cellStyle name="Normal 11 2 3 2 2 5 2 5 2" xfId="32726" xr:uid="{00000000-0005-0000-0000-00007D7C0000}"/>
    <cellStyle name="Normal 11 2 3 2 2 5 2 6" xfId="32727" xr:uid="{00000000-0005-0000-0000-00007E7C0000}"/>
    <cellStyle name="Normal 11 2 3 2 2 5 2 7" xfId="32704" xr:uid="{00000000-0005-0000-0000-00007F7C0000}"/>
    <cellStyle name="Normal 11 2 3 2 2 5 3" xfId="32728" xr:uid="{00000000-0005-0000-0000-0000807C0000}"/>
    <cellStyle name="Normal 11 2 3 2 2 5 3 2" xfId="32729" xr:uid="{00000000-0005-0000-0000-0000817C0000}"/>
    <cellStyle name="Normal 11 2 3 2 2 5 3 2 2" xfId="32730" xr:uid="{00000000-0005-0000-0000-0000827C0000}"/>
    <cellStyle name="Normal 11 2 3 2 2 5 3 2 2 2" xfId="32731" xr:uid="{00000000-0005-0000-0000-0000837C0000}"/>
    <cellStyle name="Normal 11 2 3 2 2 5 3 2 2 2 2" xfId="32732" xr:uid="{00000000-0005-0000-0000-0000847C0000}"/>
    <cellStyle name="Normal 11 2 3 2 2 5 3 2 2 3" xfId="32733" xr:uid="{00000000-0005-0000-0000-0000857C0000}"/>
    <cellStyle name="Normal 11 2 3 2 2 5 3 2 3" xfId="32734" xr:uid="{00000000-0005-0000-0000-0000867C0000}"/>
    <cellStyle name="Normal 11 2 3 2 2 5 3 2 3 2" xfId="32735" xr:uid="{00000000-0005-0000-0000-0000877C0000}"/>
    <cellStyle name="Normal 11 2 3 2 2 5 3 2 4" xfId="32736" xr:uid="{00000000-0005-0000-0000-0000887C0000}"/>
    <cellStyle name="Normal 11 2 3 2 2 5 3 3" xfId="32737" xr:uid="{00000000-0005-0000-0000-0000897C0000}"/>
    <cellStyle name="Normal 11 2 3 2 2 5 3 3 2" xfId="32738" xr:uid="{00000000-0005-0000-0000-00008A7C0000}"/>
    <cellStyle name="Normal 11 2 3 2 2 5 3 3 2 2" xfId="32739" xr:uid="{00000000-0005-0000-0000-00008B7C0000}"/>
    <cellStyle name="Normal 11 2 3 2 2 5 3 3 3" xfId="32740" xr:uid="{00000000-0005-0000-0000-00008C7C0000}"/>
    <cellStyle name="Normal 11 2 3 2 2 5 3 4" xfId="32741" xr:uid="{00000000-0005-0000-0000-00008D7C0000}"/>
    <cellStyle name="Normal 11 2 3 2 2 5 3 4 2" xfId="32742" xr:uid="{00000000-0005-0000-0000-00008E7C0000}"/>
    <cellStyle name="Normal 11 2 3 2 2 5 3 5" xfId="32743" xr:uid="{00000000-0005-0000-0000-00008F7C0000}"/>
    <cellStyle name="Normal 11 2 3 2 2 5 4" xfId="32744" xr:uid="{00000000-0005-0000-0000-0000907C0000}"/>
    <cellStyle name="Normal 11 2 3 2 2 5 4 2" xfId="32745" xr:uid="{00000000-0005-0000-0000-0000917C0000}"/>
    <cellStyle name="Normal 11 2 3 2 2 5 4 2 2" xfId="32746" xr:uid="{00000000-0005-0000-0000-0000927C0000}"/>
    <cellStyle name="Normal 11 2 3 2 2 5 4 2 2 2" xfId="32747" xr:uid="{00000000-0005-0000-0000-0000937C0000}"/>
    <cellStyle name="Normal 11 2 3 2 2 5 4 2 2 2 2" xfId="32748" xr:uid="{00000000-0005-0000-0000-0000947C0000}"/>
    <cellStyle name="Normal 11 2 3 2 2 5 4 2 2 3" xfId="32749" xr:uid="{00000000-0005-0000-0000-0000957C0000}"/>
    <cellStyle name="Normal 11 2 3 2 2 5 4 2 3" xfId="32750" xr:uid="{00000000-0005-0000-0000-0000967C0000}"/>
    <cellStyle name="Normal 11 2 3 2 2 5 4 2 3 2" xfId="32751" xr:uid="{00000000-0005-0000-0000-0000977C0000}"/>
    <cellStyle name="Normal 11 2 3 2 2 5 4 2 4" xfId="32752" xr:uid="{00000000-0005-0000-0000-0000987C0000}"/>
    <cellStyle name="Normal 11 2 3 2 2 5 4 3" xfId="32753" xr:uid="{00000000-0005-0000-0000-0000997C0000}"/>
    <cellStyle name="Normal 11 2 3 2 2 5 4 3 2" xfId="32754" xr:uid="{00000000-0005-0000-0000-00009A7C0000}"/>
    <cellStyle name="Normal 11 2 3 2 2 5 4 3 2 2" xfId="32755" xr:uid="{00000000-0005-0000-0000-00009B7C0000}"/>
    <cellStyle name="Normal 11 2 3 2 2 5 4 3 3" xfId="32756" xr:uid="{00000000-0005-0000-0000-00009C7C0000}"/>
    <cellStyle name="Normal 11 2 3 2 2 5 4 4" xfId="32757" xr:uid="{00000000-0005-0000-0000-00009D7C0000}"/>
    <cellStyle name="Normal 11 2 3 2 2 5 4 4 2" xfId="32758" xr:uid="{00000000-0005-0000-0000-00009E7C0000}"/>
    <cellStyle name="Normal 11 2 3 2 2 5 4 5" xfId="32759" xr:uid="{00000000-0005-0000-0000-00009F7C0000}"/>
    <cellStyle name="Normal 11 2 3 2 2 5 5" xfId="32760" xr:uid="{00000000-0005-0000-0000-0000A07C0000}"/>
    <cellStyle name="Normal 11 2 3 2 2 5 5 2" xfId="32761" xr:uid="{00000000-0005-0000-0000-0000A17C0000}"/>
    <cellStyle name="Normal 11 2 3 2 2 5 5 2 2" xfId="32762" xr:uid="{00000000-0005-0000-0000-0000A27C0000}"/>
    <cellStyle name="Normal 11 2 3 2 2 5 5 2 2 2" xfId="32763" xr:uid="{00000000-0005-0000-0000-0000A37C0000}"/>
    <cellStyle name="Normal 11 2 3 2 2 5 5 2 3" xfId="32764" xr:uid="{00000000-0005-0000-0000-0000A47C0000}"/>
    <cellStyle name="Normal 11 2 3 2 2 5 5 3" xfId="32765" xr:uid="{00000000-0005-0000-0000-0000A57C0000}"/>
    <cellStyle name="Normal 11 2 3 2 2 5 5 3 2" xfId="32766" xr:uid="{00000000-0005-0000-0000-0000A67C0000}"/>
    <cellStyle name="Normal 11 2 3 2 2 5 5 4" xfId="32767" xr:uid="{00000000-0005-0000-0000-0000A77C0000}"/>
    <cellStyle name="Normal 11 2 3 2 2 5 6" xfId="32768" xr:uid="{00000000-0005-0000-0000-0000A87C0000}"/>
    <cellStyle name="Normal 11 2 3 2 2 5 6 2" xfId="32769" xr:uid="{00000000-0005-0000-0000-0000A97C0000}"/>
    <cellStyle name="Normal 11 2 3 2 2 5 6 2 2" xfId="32770" xr:uid="{00000000-0005-0000-0000-0000AA7C0000}"/>
    <cellStyle name="Normal 11 2 3 2 2 5 6 2 2 2" xfId="32771" xr:uid="{00000000-0005-0000-0000-0000AB7C0000}"/>
    <cellStyle name="Normal 11 2 3 2 2 5 6 2 3" xfId="32772" xr:uid="{00000000-0005-0000-0000-0000AC7C0000}"/>
    <cellStyle name="Normal 11 2 3 2 2 5 6 3" xfId="32773" xr:uid="{00000000-0005-0000-0000-0000AD7C0000}"/>
    <cellStyle name="Normal 11 2 3 2 2 5 6 3 2" xfId="32774" xr:uid="{00000000-0005-0000-0000-0000AE7C0000}"/>
    <cellStyle name="Normal 11 2 3 2 2 5 6 4" xfId="32775" xr:uid="{00000000-0005-0000-0000-0000AF7C0000}"/>
    <cellStyle name="Normal 11 2 3 2 2 5 7" xfId="32776" xr:uid="{00000000-0005-0000-0000-0000B07C0000}"/>
    <cellStyle name="Normal 11 2 3 2 2 5 7 2" xfId="32777" xr:uid="{00000000-0005-0000-0000-0000B17C0000}"/>
    <cellStyle name="Normal 11 2 3 2 2 5 7 2 2" xfId="32778" xr:uid="{00000000-0005-0000-0000-0000B27C0000}"/>
    <cellStyle name="Normal 11 2 3 2 2 5 7 2 2 2" xfId="32779" xr:uid="{00000000-0005-0000-0000-0000B37C0000}"/>
    <cellStyle name="Normal 11 2 3 2 2 5 7 2 3" xfId="32780" xr:uid="{00000000-0005-0000-0000-0000B47C0000}"/>
    <cellStyle name="Normal 11 2 3 2 2 5 7 3" xfId="32781" xr:uid="{00000000-0005-0000-0000-0000B57C0000}"/>
    <cellStyle name="Normal 11 2 3 2 2 5 7 3 2" xfId="32782" xr:uid="{00000000-0005-0000-0000-0000B67C0000}"/>
    <cellStyle name="Normal 11 2 3 2 2 5 7 4" xfId="32783" xr:uid="{00000000-0005-0000-0000-0000B77C0000}"/>
    <cellStyle name="Normal 11 2 3 2 2 5 8" xfId="32784" xr:uid="{00000000-0005-0000-0000-0000B87C0000}"/>
    <cellStyle name="Normal 11 2 3 2 2 5 8 2" xfId="32785" xr:uid="{00000000-0005-0000-0000-0000B97C0000}"/>
    <cellStyle name="Normal 11 2 3 2 2 5 8 2 2" xfId="32786" xr:uid="{00000000-0005-0000-0000-0000BA7C0000}"/>
    <cellStyle name="Normal 11 2 3 2 2 5 8 3" xfId="32787" xr:uid="{00000000-0005-0000-0000-0000BB7C0000}"/>
    <cellStyle name="Normal 11 2 3 2 2 5 9" xfId="32788" xr:uid="{00000000-0005-0000-0000-0000BC7C0000}"/>
    <cellStyle name="Normal 11 2 3 2 2 5 9 2" xfId="32789" xr:uid="{00000000-0005-0000-0000-0000BD7C0000}"/>
    <cellStyle name="Normal 11 2 3 2 2 6" xfId="1406" xr:uid="{00000000-0005-0000-0000-0000BE7C0000}"/>
    <cellStyle name="Normal 11 2 3 2 2 6 2" xfId="32791" xr:uid="{00000000-0005-0000-0000-0000BF7C0000}"/>
    <cellStyle name="Normal 11 2 3 2 2 6 2 2" xfId="32792" xr:uid="{00000000-0005-0000-0000-0000C07C0000}"/>
    <cellStyle name="Normal 11 2 3 2 2 6 2 2 2" xfId="32793" xr:uid="{00000000-0005-0000-0000-0000C17C0000}"/>
    <cellStyle name="Normal 11 2 3 2 2 6 2 2 2 2" xfId="32794" xr:uid="{00000000-0005-0000-0000-0000C27C0000}"/>
    <cellStyle name="Normal 11 2 3 2 2 6 2 2 3" xfId="32795" xr:uid="{00000000-0005-0000-0000-0000C37C0000}"/>
    <cellStyle name="Normal 11 2 3 2 2 6 2 3" xfId="32796" xr:uid="{00000000-0005-0000-0000-0000C47C0000}"/>
    <cellStyle name="Normal 11 2 3 2 2 6 2 3 2" xfId="32797" xr:uid="{00000000-0005-0000-0000-0000C57C0000}"/>
    <cellStyle name="Normal 11 2 3 2 2 6 2 4" xfId="32798" xr:uid="{00000000-0005-0000-0000-0000C67C0000}"/>
    <cellStyle name="Normal 11 2 3 2 2 6 3" xfId="32799" xr:uid="{00000000-0005-0000-0000-0000C77C0000}"/>
    <cellStyle name="Normal 11 2 3 2 2 6 3 2" xfId="32800" xr:uid="{00000000-0005-0000-0000-0000C87C0000}"/>
    <cellStyle name="Normal 11 2 3 2 2 6 3 2 2" xfId="32801" xr:uid="{00000000-0005-0000-0000-0000C97C0000}"/>
    <cellStyle name="Normal 11 2 3 2 2 6 3 2 2 2" xfId="32802" xr:uid="{00000000-0005-0000-0000-0000CA7C0000}"/>
    <cellStyle name="Normal 11 2 3 2 2 6 3 2 3" xfId="32803" xr:uid="{00000000-0005-0000-0000-0000CB7C0000}"/>
    <cellStyle name="Normal 11 2 3 2 2 6 3 3" xfId="32804" xr:uid="{00000000-0005-0000-0000-0000CC7C0000}"/>
    <cellStyle name="Normal 11 2 3 2 2 6 3 3 2" xfId="32805" xr:uid="{00000000-0005-0000-0000-0000CD7C0000}"/>
    <cellStyle name="Normal 11 2 3 2 2 6 3 4" xfId="32806" xr:uid="{00000000-0005-0000-0000-0000CE7C0000}"/>
    <cellStyle name="Normal 11 2 3 2 2 6 4" xfId="32807" xr:uid="{00000000-0005-0000-0000-0000CF7C0000}"/>
    <cellStyle name="Normal 11 2 3 2 2 6 4 2" xfId="32808" xr:uid="{00000000-0005-0000-0000-0000D07C0000}"/>
    <cellStyle name="Normal 11 2 3 2 2 6 4 2 2" xfId="32809" xr:uid="{00000000-0005-0000-0000-0000D17C0000}"/>
    <cellStyle name="Normal 11 2 3 2 2 6 4 3" xfId="32810" xr:uid="{00000000-0005-0000-0000-0000D27C0000}"/>
    <cellStyle name="Normal 11 2 3 2 2 6 5" xfId="32811" xr:uid="{00000000-0005-0000-0000-0000D37C0000}"/>
    <cellStyle name="Normal 11 2 3 2 2 6 5 2" xfId="32812" xr:uid="{00000000-0005-0000-0000-0000D47C0000}"/>
    <cellStyle name="Normal 11 2 3 2 2 6 6" xfId="32813" xr:uid="{00000000-0005-0000-0000-0000D57C0000}"/>
    <cellStyle name="Normal 11 2 3 2 2 6 7" xfId="32790" xr:uid="{00000000-0005-0000-0000-0000D67C0000}"/>
    <cellStyle name="Normal 11 2 3 2 2 7" xfId="32814" xr:uid="{00000000-0005-0000-0000-0000D77C0000}"/>
    <cellStyle name="Normal 11 2 3 2 2 7 2" xfId="32815" xr:uid="{00000000-0005-0000-0000-0000D87C0000}"/>
    <cellStyle name="Normal 11 2 3 2 2 7 2 2" xfId="32816" xr:uid="{00000000-0005-0000-0000-0000D97C0000}"/>
    <cellStyle name="Normal 11 2 3 2 2 7 2 2 2" xfId="32817" xr:uid="{00000000-0005-0000-0000-0000DA7C0000}"/>
    <cellStyle name="Normal 11 2 3 2 2 7 2 2 2 2" xfId="32818" xr:uid="{00000000-0005-0000-0000-0000DB7C0000}"/>
    <cellStyle name="Normal 11 2 3 2 2 7 2 2 3" xfId="32819" xr:uid="{00000000-0005-0000-0000-0000DC7C0000}"/>
    <cellStyle name="Normal 11 2 3 2 2 7 2 3" xfId="32820" xr:uid="{00000000-0005-0000-0000-0000DD7C0000}"/>
    <cellStyle name="Normal 11 2 3 2 2 7 2 3 2" xfId="32821" xr:uid="{00000000-0005-0000-0000-0000DE7C0000}"/>
    <cellStyle name="Normal 11 2 3 2 2 7 2 4" xfId="32822" xr:uid="{00000000-0005-0000-0000-0000DF7C0000}"/>
    <cellStyle name="Normal 11 2 3 2 2 7 3" xfId="32823" xr:uid="{00000000-0005-0000-0000-0000E07C0000}"/>
    <cellStyle name="Normal 11 2 3 2 2 7 3 2" xfId="32824" xr:uid="{00000000-0005-0000-0000-0000E17C0000}"/>
    <cellStyle name="Normal 11 2 3 2 2 7 3 2 2" xfId="32825" xr:uid="{00000000-0005-0000-0000-0000E27C0000}"/>
    <cellStyle name="Normal 11 2 3 2 2 7 3 3" xfId="32826" xr:uid="{00000000-0005-0000-0000-0000E37C0000}"/>
    <cellStyle name="Normal 11 2 3 2 2 7 4" xfId="32827" xr:uid="{00000000-0005-0000-0000-0000E47C0000}"/>
    <cellStyle name="Normal 11 2 3 2 2 7 4 2" xfId="32828" xr:uid="{00000000-0005-0000-0000-0000E57C0000}"/>
    <cellStyle name="Normal 11 2 3 2 2 7 5" xfId="32829" xr:uid="{00000000-0005-0000-0000-0000E67C0000}"/>
    <cellStyle name="Normal 11 2 3 2 2 8" xfId="32830" xr:uid="{00000000-0005-0000-0000-0000E77C0000}"/>
    <cellStyle name="Normal 11 2 3 2 2 8 2" xfId="32831" xr:uid="{00000000-0005-0000-0000-0000E87C0000}"/>
    <cellStyle name="Normal 11 2 3 2 2 8 2 2" xfId="32832" xr:uid="{00000000-0005-0000-0000-0000E97C0000}"/>
    <cellStyle name="Normal 11 2 3 2 2 8 2 2 2" xfId="32833" xr:uid="{00000000-0005-0000-0000-0000EA7C0000}"/>
    <cellStyle name="Normal 11 2 3 2 2 8 2 2 2 2" xfId="32834" xr:uid="{00000000-0005-0000-0000-0000EB7C0000}"/>
    <cellStyle name="Normal 11 2 3 2 2 8 2 2 3" xfId="32835" xr:uid="{00000000-0005-0000-0000-0000EC7C0000}"/>
    <cellStyle name="Normal 11 2 3 2 2 8 2 3" xfId="32836" xr:uid="{00000000-0005-0000-0000-0000ED7C0000}"/>
    <cellStyle name="Normal 11 2 3 2 2 8 2 3 2" xfId="32837" xr:uid="{00000000-0005-0000-0000-0000EE7C0000}"/>
    <cellStyle name="Normal 11 2 3 2 2 8 2 4" xfId="32838" xr:uid="{00000000-0005-0000-0000-0000EF7C0000}"/>
    <cellStyle name="Normal 11 2 3 2 2 8 3" xfId="32839" xr:uid="{00000000-0005-0000-0000-0000F07C0000}"/>
    <cellStyle name="Normal 11 2 3 2 2 8 3 2" xfId="32840" xr:uid="{00000000-0005-0000-0000-0000F17C0000}"/>
    <cellStyle name="Normal 11 2 3 2 2 8 3 2 2" xfId="32841" xr:uid="{00000000-0005-0000-0000-0000F27C0000}"/>
    <cellStyle name="Normal 11 2 3 2 2 8 3 3" xfId="32842" xr:uid="{00000000-0005-0000-0000-0000F37C0000}"/>
    <cellStyle name="Normal 11 2 3 2 2 8 4" xfId="32843" xr:uid="{00000000-0005-0000-0000-0000F47C0000}"/>
    <cellStyle name="Normal 11 2 3 2 2 8 4 2" xfId="32844" xr:uid="{00000000-0005-0000-0000-0000F57C0000}"/>
    <cellStyle name="Normal 11 2 3 2 2 8 5" xfId="32845" xr:uid="{00000000-0005-0000-0000-0000F67C0000}"/>
    <cellStyle name="Normal 11 2 3 2 2 9" xfId="32846" xr:uid="{00000000-0005-0000-0000-0000F77C0000}"/>
    <cellStyle name="Normal 11 2 3 2 2 9 2" xfId="32847" xr:uid="{00000000-0005-0000-0000-0000F87C0000}"/>
    <cellStyle name="Normal 11 2 3 2 2 9 2 2" xfId="32848" xr:uid="{00000000-0005-0000-0000-0000F97C0000}"/>
    <cellStyle name="Normal 11 2 3 2 2 9 2 2 2" xfId="32849" xr:uid="{00000000-0005-0000-0000-0000FA7C0000}"/>
    <cellStyle name="Normal 11 2 3 2 2 9 2 3" xfId="32850" xr:uid="{00000000-0005-0000-0000-0000FB7C0000}"/>
    <cellStyle name="Normal 11 2 3 2 2 9 3" xfId="32851" xr:uid="{00000000-0005-0000-0000-0000FC7C0000}"/>
    <cellStyle name="Normal 11 2 3 2 2 9 3 2" xfId="32852" xr:uid="{00000000-0005-0000-0000-0000FD7C0000}"/>
    <cellStyle name="Normal 11 2 3 2 2 9 4" xfId="32853" xr:uid="{00000000-0005-0000-0000-0000FE7C0000}"/>
    <cellStyle name="Normal 11 2 3 2 3" xfId="568" xr:uid="{00000000-0005-0000-0000-0000FF7C0000}"/>
    <cellStyle name="Normal 11 2 3 2 3 10" xfId="32855" xr:uid="{00000000-0005-0000-0000-0000007D0000}"/>
    <cellStyle name="Normal 11 2 3 2 3 10 2" xfId="32856" xr:uid="{00000000-0005-0000-0000-0000017D0000}"/>
    <cellStyle name="Normal 11 2 3 2 3 10 2 2" xfId="32857" xr:uid="{00000000-0005-0000-0000-0000027D0000}"/>
    <cellStyle name="Normal 11 2 3 2 3 10 2 2 2" xfId="32858" xr:uid="{00000000-0005-0000-0000-0000037D0000}"/>
    <cellStyle name="Normal 11 2 3 2 3 10 2 3" xfId="32859" xr:uid="{00000000-0005-0000-0000-0000047D0000}"/>
    <cellStyle name="Normal 11 2 3 2 3 10 3" xfId="32860" xr:uid="{00000000-0005-0000-0000-0000057D0000}"/>
    <cellStyle name="Normal 11 2 3 2 3 10 3 2" xfId="32861" xr:uid="{00000000-0005-0000-0000-0000067D0000}"/>
    <cellStyle name="Normal 11 2 3 2 3 10 4" xfId="32862" xr:uid="{00000000-0005-0000-0000-0000077D0000}"/>
    <cellStyle name="Normal 11 2 3 2 3 11" xfId="32863" xr:uid="{00000000-0005-0000-0000-0000087D0000}"/>
    <cellStyle name="Normal 11 2 3 2 3 11 2" xfId="32864" xr:uid="{00000000-0005-0000-0000-0000097D0000}"/>
    <cellStyle name="Normal 11 2 3 2 3 11 2 2" xfId="32865" xr:uid="{00000000-0005-0000-0000-00000A7D0000}"/>
    <cellStyle name="Normal 11 2 3 2 3 11 3" xfId="32866" xr:uid="{00000000-0005-0000-0000-00000B7D0000}"/>
    <cellStyle name="Normal 11 2 3 2 3 12" xfId="32867" xr:uid="{00000000-0005-0000-0000-00000C7D0000}"/>
    <cellStyle name="Normal 11 2 3 2 3 12 2" xfId="32868" xr:uid="{00000000-0005-0000-0000-00000D7D0000}"/>
    <cellStyle name="Normal 11 2 3 2 3 12 2 2" xfId="32869" xr:uid="{00000000-0005-0000-0000-00000E7D0000}"/>
    <cellStyle name="Normal 11 2 3 2 3 12 3" xfId="32870" xr:uid="{00000000-0005-0000-0000-00000F7D0000}"/>
    <cellStyle name="Normal 11 2 3 2 3 13" xfId="32871" xr:uid="{00000000-0005-0000-0000-0000107D0000}"/>
    <cellStyle name="Normal 11 2 3 2 3 13 2" xfId="32872" xr:uid="{00000000-0005-0000-0000-0000117D0000}"/>
    <cellStyle name="Normal 11 2 3 2 3 13 2 2" xfId="32873" xr:uid="{00000000-0005-0000-0000-0000127D0000}"/>
    <cellStyle name="Normal 11 2 3 2 3 13 3" xfId="32874" xr:uid="{00000000-0005-0000-0000-0000137D0000}"/>
    <cellStyle name="Normal 11 2 3 2 3 14" xfId="32875" xr:uid="{00000000-0005-0000-0000-0000147D0000}"/>
    <cellStyle name="Normal 11 2 3 2 3 14 2" xfId="32876" xr:uid="{00000000-0005-0000-0000-0000157D0000}"/>
    <cellStyle name="Normal 11 2 3 2 3 15" xfId="32877" xr:uid="{00000000-0005-0000-0000-0000167D0000}"/>
    <cellStyle name="Normal 11 2 3 2 3 16" xfId="32878" xr:uid="{00000000-0005-0000-0000-0000177D0000}"/>
    <cellStyle name="Normal 11 2 3 2 3 17" xfId="32854" xr:uid="{00000000-0005-0000-0000-0000187D0000}"/>
    <cellStyle name="Normal 11 2 3 2 3 2" xfId="569" xr:uid="{00000000-0005-0000-0000-0000197D0000}"/>
    <cellStyle name="Normal 11 2 3 2 3 2 10" xfId="32880" xr:uid="{00000000-0005-0000-0000-00001A7D0000}"/>
    <cellStyle name="Normal 11 2 3 2 3 2 10 2" xfId="32881" xr:uid="{00000000-0005-0000-0000-00001B7D0000}"/>
    <cellStyle name="Normal 11 2 3 2 3 2 10 2 2" xfId="32882" xr:uid="{00000000-0005-0000-0000-00001C7D0000}"/>
    <cellStyle name="Normal 11 2 3 2 3 2 10 3" xfId="32883" xr:uid="{00000000-0005-0000-0000-00001D7D0000}"/>
    <cellStyle name="Normal 11 2 3 2 3 2 11" xfId="32884" xr:uid="{00000000-0005-0000-0000-00001E7D0000}"/>
    <cellStyle name="Normal 11 2 3 2 3 2 11 2" xfId="32885" xr:uid="{00000000-0005-0000-0000-00001F7D0000}"/>
    <cellStyle name="Normal 11 2 3 2 3 2 11 2 2" xfId="32886" xr:uid="{00000000-0005-0000-0000-0000207D0000}"/>
    <cellStyle name="Normal 11 2 3 2 3 2 11 3" xfId="32887" xr:uid="{00000000-0005-0000-0000-0000217D0000}"/>
    <cellStyle name="Normal 11 2 3 2 3 2 12" xfId="32888" xr:uid="{00000000-0005-0000-0000-0000227D0000}"/>
    <cellStyle name="Normal 11 2 3 2 3 2 12 2" xfId="32889" xr:uid="{00000000-0005-0000-0000-0000237D0000}"/>
    <cellStyle name="Normal 11 2 3 2 3 2 13" xfId="32890" xr:uid="{00000000-0005-0000-0000-0000247D0000}"/>
    <cellStyle name="Normal 11 2 3 2 3 2 14" xfId="32891" xr:uid="{00000000-0005-0000-0000-0000257D0000}"/>
    <cellStyle name="Normal 11 2 3 2 3 2 15" xfId="32879" xr:uid="{00000000-0005-0000-0000-0000267D0000}"/>
    <cellStyle name="Normal 11 2 3 2 3 2 2" xfId="1011" xr:uid="{00000000-0005-0000-0000-0000277D0000}"/>
    <cellStyle name="Normal 11 2 3 2 3 2 2 10" xfId="32893" xr:uid="{00000000-0005-0000-0000-0000287D0000}"/>
    <cellStyle name="Normal 11 2 3 2 3 2 2 11" xfId="32892" xr:uid="{00000000-0005-0000-0000-0000297D0000}"/>
    <cellStyle name="Normal 11 2 3 2 3 2 2 2" xfId="1740" xr:uid="{00000000-0005-0000-0000-00002A7D0000}"/>
    <cellStyle name="Normal 11 2 3 2 3 2 2 2 2" xfId="32895" xr:uid="{00000000-0005-0000-0000-00002B7D0000}"/>
    <cellStyle name="Normal 11 2 3 2 3 2 2 2 2 2" xfId="32896" xr:uid="{00000000-0005-0000-0000-00002C7D0000}"/>
    <cellStyle name="Normal 11 2 3 2 3 2 2 2 2 2 2" xfId="32897" xr:uid="{00000000-0005-0000-0000-00002D7D0000}"/>
    <cellStyle name="Normal 11 2 3 2 3 2 2 2 2 2 2 2" xfId="32898" xr:uid="{00000000-0005-0000-0000-00002E7D0000}"/>
    <cellStyle name="Normal 11 2 3 2 3 2 2 2 2 2 3" xfId="32899" xr:uid="{00000000-0005-0000-0000-00002F7D0000}"/>
    <cellStyle name="Normal 11 2 3 2 3 2 2 2 2 3" xfId="32900" xr:uid="{00000000-0005-0000-0000-0000307D0000}"/>
    <cellStyle name="Normal 11 2 3 2 3 2 2 2 2 3 2" xfId="32901" xr:uid="{00000000-0005-0000-0000-0000317D0000}"/>
    <cellStyle name="Normal 11 2 3 2 3 2 2 2 2 4" xfId="32902" xr:uid="{00000000-0005-0000-0000-0000327D0000}"/>
    <cellStyle name="Normal 11 2 3 2 3 2 2 2 3" xfId="32903" xr:uid="{00000000-0005-0000-0000-0000337D0000}"/>
    <cellStyle name="Normal 11 2 3 2 3 2 2 2 3 2" xfId="32904" xr:uid="{00000000-0005-0000-0000-0000347D0000}"/>
    <cellStyle name="Normal 11 2 3 2 3 2 2 2 3 2 2" xfId="32905" xr:uid="{00000000-0005-0000-0000-0000357D0000}"/>
    <cellStyle name="Normal 11 2 3 2 3 2 2 2 3 2 2 2" xfId="32906" xr:uid="{00000000-0005-0000-0000-0000367D0000}"/>
    <cellStyle name="Normal 11 2 3 2 3 2 2 2 3 2 3" xfId="32907" xr:uid="{00000000-0005-0000-0000-0000377D0000}"/>
    <cellStyle name="Normal 11 2 3 2 3 2 2 2 3 3" xfId="32908" xr:uid="{00000000-0005-0000-0000-0000387D0000}"/>
    <cellStyle name="Normal 11 2 3 2 3 2 2 2 3 3 2" xfId="32909" xr:uid="{00000000-0005-0000-0000-0000397D0000}"/>
    <cellStyle name="Normal 11 2 3 2 3 2 2 2 3 4" xfId="32910" xr:uid="{00000000-0005-0000-0000-00003A7D0000}"/>
    <cellStyle name="Normal 11 2 3 2 3 2 2 2 4" xfId="32911" xr:uid="{00000000-0005-0000-0000-00003B7D0000}"/>
    <cellStyle name="Normal 11 2 3 2 3 2 2 2 4 2" xfId="32912" xr:uid="{00000000-0005-0000-0000-00003C7D0000}"/>
    <cellStyle name="Normal 11 2 3 2 3 2 2 2 4 2 2" xfId="32913" xr:uid="{00000000-0005-0000-0000-00003D7D0000}"/>
    <cellStyle name="Normal 11 2 3 2 3 2 2 2 4 3" xfId="32914" xr:uid="{00000000-0005-0000-0000-00003E7D0000}"/>
    <cellStyle name="Normal 11 2 3 2 3 2 2 2 5" xfId="32915" xr:uid="{00000000-0005-0000-0000-00003F7D0000}"/>
    <cellStyle name="Normal 11 2 3 2 3 2 2 2 5 2" xfId="32916" xr:uid="{00000000-0005-0000-0000-0000407D0000}"/>
    <cellStyle name="Normal 11 2 3 2 3 2 2 2 6" xfId="32917" xr:uid="{00000000-0005-0000-0000-0000417D0000}"/>
    <cellStyle name="Normal 11 2 3 2 3 2 2 2 7" xfId="32894" xr:uid="{00000000-0005-0000-0000-0000427D0000}"/>
    <cellStyle name="Normal 11 2 3 2 3 2 2 3" xfId="32918" xr:uid="{00000000-0005-0000-0000-0000437D0000}"/>
    <cellStyle name="Normal 11 2 3 2 3 2 2 3 2" xfId="32919" xr:uid="{00000000-0005-0000-0000-0000447D0000}"/>
    <cellStyle name="Normal 11 2 3 2 3 2 2 3 2 2" xfId="32920" xr:uid="{00000000-0005-0000-0000-0000457D0000}"/>
    <cellStyle name="Normal 11 2 3 2 3 2 2 3 2 2 2" xfId="32921" xr:uid="{00000000-0005-0000-0000-0000467D0000}"/>
    <cellStyle name="Normal 11 2 3 2 3 2 2 3 2 2 2 2" xfId="32922" xr:uid="{00000000-0005-0000-0000-0000477D0000}"/>
    <cellStyle name="Normal 11 2 3 2 3 2 2 3 2 2 3" xfId="32923" xr:uid="{00000000-0005-0000-0000-0000487D0000}"/>
    <cellStyle name="Normal 11 2 3 2 3 2 2 3 2 3" xfId="32924" xr:uid="{00000000-0005-0000-0000-0000497D0000}"/>
    <cellStyle name="Normal 11 2 3 2 3 2 2 3 2 3 2" xfId="32925" xr:uid="{00000000-0005-0000-0000-00004A7D0000}"/>
    <cellStyle name="Normal 11 2 3 2 3 2 2 3 2 4" xfId="32926" xr:uid="{00000000-0005-0000-0000-00004B7D0000}"/>
    <cellStyle name="Normal 11 2 3 2 3 2 2 3 3" xfId="32927" xr:uid="{00000000-0005-0000-0000-00004C7D0000}"/>
    <cellStyle name="Normal 11 2 3 2 3 2 2 3 3 2" xfId="32928" xr:uid="{00000000-0005-0000-0000-00004D7D0000}"/>
    <cellStyle name="Normal 11 2 3 2 3 2 2 3 3 2 2" xfId="32929" xr:uid="{00000000-0005-0000-0000-00004E7D0000}"/>
    <cellStyle name="Normal 11 2 3 2 3 2 2 3 3 3" xfId="32930" xr:uid="{00000000-0005-0000-0000-00004F7D0000}"/>
    <cellStyle name="Normal 11 2 3 2 3 2 2 3 4" xfId="32931" xr:uid="{00000000-0005-0000-0000-0000507D0000}"/>
    <cellStyle name="Normal 11 2 3 2 3 2 2 3 4 2" xfId="32932" xr:uid="{00000000-0005-0000-0000-0000517D0000}"/>
    <cellStyle name="Normal 11 2 3 2 3 2 2 3 5" xfId="32933" xr:uid="{00000000-0005-0000-0000-0000527D0000}"/>
    <cellStyle name="Normal 11 2 3 2 3 2 2 4" xfId="32934" xr:uid="{00000000-0005-0000-0000-0000537D0000}"/>
    <cellStyle name="Normal 11 2 3 2 3 2 2 4 2" xfId="32935" xr:uid="{00000000-0005-0000-0000-0000547D0000}"/>
    <cellStyle name="Normal 11 2 3 2 3 2 2 4 2 2" xfId="32936" xr:uid="{00000000-0005-0000-0000-0000557D0000}"/>
    <cellStyle name="Normal 11 2 3 2 3 2 2 4 2 2 2" xfId="32937" xr:uid="{00000000-0005-0000-0000-0000567D0000}"/>
    <cellStyle name="Normal 11 2 3 2 3 2 2 4 2 2 2 2" xfId="32938" xr:uid="{00000000-0005-0000-0000-0000577D0000}"/>
    <cellStyle name="Normal 11 2 3 2 3 2 2 4 2 2 3" xfId="32939" xr:uid="{00000000-0005-0000-0000-0000587D0000}"/>
    <cellStyle name="Normal 11 2 3 2 3 2 2 4 2 3" xfId="32940" xr:uid="{00000000-0005-0000-0000-0000597D0000}"/>
    <cellStyle name="Normal 11 2 3 2 3 2 2 4 2 3 2" xfId="32941" xr:uid="{00000000-0005-0000-0000-00005A7D0000}"/>
    <cellStyle name="Normal 11 2 3 2 3 2 2 4 2 4" xfId="32942" xr:uid="{00000000-0005-0000-0000-00005B7D0000}"/>
    <cellStyle name="Normal 11 2 3 2 3 2 2 4 3" xfId="32943" xr:uid="{00000000-0005-0000-0000-00005C7D0000}"/>
    <cellStyle name="Normal 11 2 3 2 3 2 2 4 3 2" xfId="32944" xr:uid="{00000000-0005-0000-0000-00005D7D0000}"/>
    <cellStyle name="Normal 11 2 3 2 3 2 2 4 3 2 2" xfId="32945" xr:uid="{00000000-0005-0000-0000-00005E7D0000}"/>
    <cellStyle name="Normal 11 2 3 2 3 2 2 4 3 3" xfId="32946" xr:uid="{00000000-0005-0000-0000-00005F7D0000}"/>
    <cellStyle name="Normal 11 2 3 2 3 2 2 4 4" xfId="32947" xr:uid="{00000000-0005-0000-0000-0000607D0000}"/>
    <cellStyle name="Normal 11 2 3 2 3 2 2 4 4 2" xfId="32948" xr:uid="{00000000-0005-0000-0000-0000617D0000}"/>
    <cellStyle name="Normal 11 2 3 2 3 2 2 4 5" xfId="32949" xr:uid="{00000000-0005-0000-0000-0000627D0000}"/>
    <cellStyle name="Normal 11 2 3 2 3 2 2 5" xfId="32950" xr:uid="{00000000-0005-0000-0000-0000637D0000}"/>
    <cellStyle name="Normal 11 2 3 2 3 2 2 5 2" xfId="32951" xr:uid="{00000000-0005-0000-0000-0000647D0000}"/>
    <cellStyle name="Normal 11 2 3 2 3 2 2 5 2 2" xfId="32952" xr:uid="{00000000-0005-0000-0000-0000657D0000}"/>
    <cellStyle name="Normal 11 2 3 2 3 2 2 5 2 2 2" xfId="32953" xr:uid="{00000000-0005-0000-0000-0000667D0000}"/>
    <cellStyle name="Normal 11 2 3 2 3 2 2 5 2 3" xfId="32954" xr:uid="{00000000-0005-0000-0000-0000677D0000}"/>
    <cellStyle name="Normal 11 2 3 2 3 2 2 5 3" xfId="32955" xr:uid="{00000000-0005-0000-0000-0000687D0000}"/>
    <cellStyle name="Normal 11 2 3 2 3 2 2 5 3 2" xfId="32956" xr:uid="{00000000-0005-0000-0000-0000697D0000}"/>
    <cellStyle name="Normal 11 2 3 2 3 2 2 5 4" xfId="32957" xr:uid="{00000000-0005-0000-0000-00006A7D0000}"/>
    <cellStyle name="Normal 11 2 3 2 3 2 2 6" xfId="32958" xr:uid="{00000000-0005-0000-0000-00006B7D0000}"/>
    <cellStyle name="Normal 11 2 3 2 3 2 2 6 2" xfId="32959" xr:uid="{00000000-0005-0000-0000-00006C7D0000}"/>
    <cellStyle name="Normal 11 2 3 2 3 2 2 6 2 2" xfId="32960" xr:uid="{00000000-0005-0000-0000-00006D7D0000}"/>
    <cellStyle name="Normal 11 2 3 2 3 2 2 6 2 2 2" xfId="32961" xr:uid="{00000000-0005-0000-0000-00006E7D0000}"/>
    <cellStyle name="Normal 11 2 3 2 3 2 2 6 2 3" xfId="32962" xr:uid="{00000000-0005-0000-0000-00006F7D0000}"/>
    <cellStyle name="Normal 11 2 3 2 3 2 2 6 3" xfId="32963" xr:uid="{00000000-0005-0000-0000-0000707D0000}"/>
    <cellStyle name="Normal 11 2 3 2 3 2 2 6 3 2" xfId="32964" xr:uid="{00000000-0005-0000-0000-0000717D0000}"/>
    <cellStyle name="Normal 11 2 3 2 3 2 2 6 4" xfId="32965" xr:uid="{00000000-0005-0000-0000-0000727D0000}"/>
    <cellStyle name="Normal 11 2 3 2 3 2 2 7" xfId="32966" xr:uid="{00000000-0005-0000-0000-0000737D0000}"/>
    <cellStyle name="Normal 11 2 3 2 3 2 2 7 2" xfId="32967" xr:uid="{00000000-0005-0000-0000-0000747D0000}"/>
    <cellStyle name="Normal 11 2 3 2 3 2 2 7 2 2" xfId="32968" xr:uid="{00000000-0005-0000-0000-0000757D0000}"/>
    <cellStyle name="Normal 11 2 3 2 3 2 2 7 2 2 2" xfId="32969" xr:uid="{00000000-0005-0000-0000-0000767D0000}"/>
    <cellStyle name="Normal 11 2 3 2 3 2 2 7 2 3" xfId="32970" xr:uid="{00000000-0005-0000-0000-0000777D0000}"/>
    <cellStyle name="Normal 11 2 3 2 3 2 2 7 3" xfId="32971" xr:uid="{00000000-0005-0000-0000-0000787D0000}"/>
    <cellStyle name="Normal 11 2 3 2 3 2 2 7 3 2" xfId="32972" xr:uid="{00000000-0005-0000-0000-0000797D0000}"/>
    <cellStyle name="Normal 11 2 3 2 3 2 2 7 4" xfId="32973" xr:uid="{00000000-0005-0000-0000-00007A7D0000}"/>
    <cellStyle name="Normal 11 2 3 2 3 2 2 8" xfId="32974" xr:uid="{00000000-0005-0000-0000-00007B7D0000}"/>
    <cellStyle name="Normal 11 2 3 2 3 2 2 8 2" xfId="32975" xr:uid="{00000000-0005-0000-0000-00007C7D0000}"/>
    <cellStyle name="Normal 11 2 3 2 3 2 2 8 2 2" xfId="32976" xr:uid="{00000000-0005-0000-0000-00007D7D0000}"/>
    <cellStyle name="Normal 11 2 3 2 3 2 2 8 3" xfId="32977" xr:uid="{00000000-0005-0000-0000-00007E7D0000}"/>
    <cellStyle name="Normal 11 2 3 2 3 2 2 9" xfId="32978" xr:uid="{00000000-0005-0000-0000-00007F7D0000}"/>
    <cellStyle name="Normal 11 2 3 2 3 2 2 9 2" xfId="32979" xr:uid="{00000000-0005-0000-0000-0000807D0000}"/>
    <cellStyle name="Normal 11 2 3 2 3 2 3" xfId="1413" xr:uid="{00000000-0005-0000-0000-0000817D0000}"/>
    <cellStyle name="Normal 11 2 3 2 3 2 3 2" xfId="32981" xr:uid="{00000000-0005-0000-0000-0000827D0000}"/>
    <cellStyle name="Normal 11 2 3 2 3 2 3 2 2" xfId="32982" xr:uid="{00000000-0005-0000-0000-0000837D0000}"/>
    <cellStyle name="Normal 11 2 3 2 3 2 3 2 2 2" xfId="32983" xr:uid="{00000000-0005-0000-0000-0000847D0000}"/>
    <cellStyle name="Normal 11 2 3 2 3 2 3 2 2 2 2" xfId="32984" xr:uid="{00000000-0005-0000-0000-0000857D0000}"/>
    <cellStyle name="Normal 11 2 3 2 3 2 3 2 2 3" xfId="32985" xr:uid="{00000000-0005-0000-0000-0000867D0000}"/>
    <cellStyle name="Normal 11 2 3 2 3 2 3 2 3" xfId="32986" xr:uid="{00000000-0005-0000-0000-0000877D0000}"/>
    <cellStyle name="Normal 11 2 3 2 3 2 3 2 3 2" xfId="32987" xr:uid="{00000000-0005-0000-0000-0000887D0000}"/>
    <cellStyle name="Normal 11 2 3 2 3 2 3 2 4" xfId="32988" xr:uid="{00000000-0005-0000-0000-0000897D0000}"/>
    <cellStyle name="Normal 11 2 3 2 3 2 3 3" xfId="32989" xr:uid="{00000000-0005-0000-0000-00008A7D0000}"/>
    <cellStyle name="Normal 11 2 3 2 3 2 3 3 2" xfId="32990" xr:uid="{00000000-0005-0000-0000-00008B7D0000}"/>
    <cellStyle name="Normal 11 2 3 2 3 2 3 3 2 2" xfId="32991" xr:uid="{00000000-0005-0000-0000-00008C7D0000}"/>
    <cellStyle name="Normal 11 2 3 2 3 2 3 3 2 2 2" xfId="32992" xr:uid="{00000000-0005-0000-0000-00008D7D0000}"/>
    <cellStyle name="Normal 11 2 3 2 3 2 3 3 2 3" xfId="32993" xr:uid="{00000000-0005-0000-0000-00008E7D0000}"/>
    <cellStyle name="Normal 11 2 3 2 3 2 3 3 3" xfId="32994" xr:uid="{00000000-0005-0000-0000-00008F7D0000}"/>
    <cellStyle name="Normal 11 2 3 2 3 2 3 3 3 2" xfId="32995" xr:uid="{00000000-0005-0000-0000-0000907D0000}"/>
    <cellStyle name="Normal 11 2 3 2 3 2 3 3 4" xfId="32996" xr:uid="{00000000-0005-0000-0000-0000917D0000}"/>
    <cellStyle name="Normal 11 2 3 2 3 2 3 4" xfId="32997" xr:uid="{00000000-0005-0000-0000-0000927D0000}"/>
    <cellStyle name="Normal 11 2 3 2 3 2 3 4 2" xfId="32998" xr:uid="{00000000-0005-0000-0000-0000937D0000}"/>
    <cellStyle name="Normal 11 2 3 2 3 2 3 4 2 2" xfId="32999" xr:uid="{00000000-0005-0000-0000-0000947D0000}"/>
    <cellStyle name="Normal 11 2 3 2 3 2 3 4 3" xfId="33000" xr:uid="{00000000-0005-0000-0000-0000957D0000}"/>
    <cellStyle name="Normal 11 2 3 2 3 2 3 5" xfId="33001" xr:uid="{00000000-0005-0000-0000-0000967D0000}"/>
    <cellStyle name="Normal 11 2 3 2 3 2 3 5 2" xfId="33002" xr:uid="{00000000-0005-0000-0000-0000977D0000}"/>
    <cellStyle name="Normal 11 2 3 2 3 2 3 6" xfId="33003" xr:uid="{00000000-0005-0000-0000-0000987D0000}"/>
    <cellStyle name="Normal 11 2 3 2 3 2 3 7" xfId="32980" xr:uid="{00000000-0005-0000-0000-0000997D0000}"/>
    <cellStyle name="Normal 11 2 3 2 3 2 4" xfId="33004" xr:uid="{00000000-0005-0000-0000-00009A7D0000}"/>
    <cellStyle name="Normal 11 2 3 2 3 2 4 2" xfId="33005" xr:uid="{00000000-0005-0000-0000-00009B7D0000}"/>
    <cellStyle name="Normal 11 2 3 2 3 2 4 2 2" xfId="33006" xr:uid="{00000000-0005-0000-0000-00009C7D0000}"/>
    <cellStyle name="Normal 11 2 3 2 3 2 4 2 2 2" xfId="33007" xr:uid="{00000000-0005-0000-0000-00009D7D0000}"/>
    <cellStyle name="Normal 11 2 3 2 3 2 4 2 2 2 2" xfId="33008" xr:uid="{00000000-0005-0000-0000-00009E7D0000}"/>
    <cellStyle name="Normal 11 2 3 2 3 2 4 2 2 3" xfId="33009" xr:uid="{00000000-0005-0000-0000-00009F7D0000}"/>
    <cellStyle name="Normal 11 2 3 2 3 2 4 2 3" xfId="33010" xr:uid="{00000000-0005-0000-0000-0000A07D0000}"/>
    <cellStyle name="Normal 11 2 3 2 3 2 4 2 3 2" xfId="33011" xr:uid="{00000000-0005-0000-0000-0000A17D0000}"/>
    <cellStyle name="Normal 11 2 3 2 3 2 4 2 4" xfId="33012" xr:uid="{00000000-0005-0000-0000-0000A27D0000}"/>
    <cellStyle name="Normal 11 2 3 2 3 2 4 3" xfId="33013" xr:uid="{00000000-0005-0000-0000-0000A37D0000}"/>
    <cellStyle name="Normal 11 2 3 2 3 2 4 3 2" xfId="33014" xr:uid="{00000000-0005-0000-0000-0000A47D0000}"/>
    <cellStyle name="Normal 11 2 3 2 3 2 4 3 2 2" xfId="33015" xr:uid="{00000000-0005-0000-0000-0000A57D0000}"/>
    <cellStyle name="Normal 11 2 3 2 3 2 4 3 3" xfId="33016" xr:uid="{00000000-0005-0000-0000-0000A67D0000}"/>
    <cellStyle name="Normal 11 2 3 2 3 2 4 4" xfId="33017" xr:uid="{00000000-0005-0000-0000-0000A77D0000}"/>
    <cellStyle name="Normal 11 2 3 2 3 2 4 4 2" xfId="33018" xr:uid="{00000000-0005-0000-0000-0000A87D0000}"/>
    <cellStyle name="Normal 11 2 3 2 3 2 4 5" xfId="33019" xr:uid="{00000000-0005-0000-0000-0000A97D0000}"/>
    <cellStyle name="Normal 11 2 3 2 3 2 5" xfId="33020" xr:uid="{00000000-0005-0000-0000-0000AA7D0000}"/>
    <cellStyle name="Normal 11 2 3 2 3 2 5 2" xfId="33021" xr:uid="{00000000-0005-0000-0000-0000AB7D0000}"/>
    <cellStyle name="Normal 11 2 3 2 3 2 5 2 2" xfId="33022" xr:uid="{00000000-0005-0000-0000-0000AC7D0000}"/>
    <cellStyle name="Normal 11 2 3 2 3 2 5 2 2 2" xfId="33023" xr:uid="{00000000-0005-0000-0000-0000AD7D0000}"/>
    <cellStyle name="Normal 11 2 3 2 3 2 5 2 2 2 2" xfId="33024" xr:uid="{00000000-0005-0000-0000-0000AE7D0000}"/>
    <cellStyle name="Normal 11 2 3 2 3 2 5 2 2 3" xfId="33025" xr:uid="{00000000-0005-0000-0000-0000AF7D0000}"/>
    <cellStyle name="Normal 11 2 3 2 3 2 5 2 3" xfId="33026" xr:uid="{00000000-0005-0000-0000-0000B07D0000}"/>
    <cellStyle name="Normal 11 2 3 2 3 2 5 2 3 2" xfId="33027" xr:uid="{00000000-0005-0000-0000-0000B17D0000}"/>
    <cellStyle name="Normal 11 2 3 2 3 2 5 2 4" xfId="33028" xr:uid="{00000000-0005-0000-0000-0000B27D0000}"/>
    <cellStyle name="Normal 11 2 3 2 3 2 5 3" xfId="33029" xr:uid="{00000000-0005-0000-0000-0000B37D0000}"/>
    <cellStyle name="Normal 11 2 3 2 3 2 5 3 2" xfId="33030" xr:uid="{00000000-0005-0000-0000-0000B47D0000}"/>
    <cellStyle name="Normal 11 2 3 2 3 2 5 3 2 2" xfId="33031" xr:uid="{00000000-0005-0000-0000-0000B57D0000}"/>
    <cellStyle name="Normal 11 2 3 2 3 2 5 3 3" xfId="33032" xr:uid="{00000000-0005-0000-0000-0000B67D0000}"/>
    <cellStyle name="Normal 11 2 3 2 3 2 5 4" xfId="33033" xr:uid="{00000000-0005-0000-0000-0000B77D0000}"/>
    <cellStyle name="Normal 11 2 3 2 3 2 5 4 2" xfId="33034" xr:uid="{00000000-0005-0000-0000-0000B87D0000}"/>
    <cellStyle name="Normal 11 2 3 2 3 2 5 5" xfId="33035" xr:uid="{00000000-0005-0000-0000-0000B97D0000}"/>
    <cellStyle name="Normal 11 2 3 2 3 2 6" xfId="33036" xr:uid="{00000000-0005-0000-0000-0000BA7D0000}"/>
    <cellStyle name="Normal 11 2 3 2 3 2 6 2" xfId="33037" xr:uid="{00000000-0005-0000-0000-0000BB7D0000}"/>
    <cellStyle name="Normal 11 2 3 2 3 2 6 2 2" xfId="33038" xr:uid="{00000000-0005-0000-0000-0000BC7D0000}"/>
    <cellStyle name="Normal 11 2 3 2 3 2 6 2 2 2" xfId="33039" xr:uid="{00000000-0005-0000-0000-0000BD7D0000}"/>
    <cellStyle name="Normal 11 2 3 2 3 2 6 2 3" xfId="33040" xr:uid="{00000000-0005-0000-0000-0000BE7D0000}"/>
    <cellStyle name="Normal 11 2 3 2 3 2 6 3" xfId="33041" xr:uid="{00000000-0005-0000-0000-0000BF7D0000}"/>
    <cellStyle name="Normal 11 2 3 2 3 2 6 3 2" xfId="33042" xr:uid="{00000000-0005-0000-0000-0000C07D0000}"/>
    <cellStyle name="Normal 11 2 3 2 3 2 6 4" xfId="33043" xr:uid="{00000000-0005-0000-0000-0000C17D0000}"/>
    <cellStyle name="Normal 11 2 3 2 3 2 7" xfId="33044" xr:uid="{00000000-0005-0000-0000-0000C27D0000}"/>
    <cellStyle name="Normal 11 2 3 2 3 2 7 2" xfId="33045" xr:uid="{00000000-0005-0000-0000-0000C37D0000}"/>
    <cellStyle name="Normal 11 2 3 2 3 2 7 2 2" xfId="33046" xr:uid="{00000000-0005-0000-0000-0000C47D0000}"/>
    <cellStyle name="Normal 11 2 3 2 3 2 7 2 2 2" xfId="33047" xr:uid="{00000000-0005-0000-0000-0000C57D0000}"/>
    <cellStyle name="Normal 11 2 3 2 3 2 7 2 3" xfId="33048" xr:uid="{00000000-0005-0000-0000-0000C67D0000}"/>
    <cellStyle name="Normal 11 2 3 2 3 2 7 3" xfId="33049" xr:uid="{00000000-0005-0000-0000-0000C77D0000}"/>
    <cellStyle name="Normal 11 2 3 2 3 2 7 3 2" xfId="33050" xr:uid="{00000000-0005-0000-0000-0000C87D0000}"/>
    <cellStyle name="Normal 11 2 3 2 3 2 7 4" xfId="33051" xr:uid="{00000000-0005-0000-0000-0000C97D0000}"/>
    <cellStyle name="Normal 11 2 3 2 3 2 8" xfId="33052" xr:uid="{00000000-0005-0000-0000-0000CA7D0000}"/>
    <cellStyle name="Normal 11 2 3 2 3 2 8 2" xfId="33053" xr:uid="{00000000-0005-0000-0000-0000CB7D0000}"/>
    <cellStyle name="Normal 11 2 3 2 3 2 8 2 2" xfId="33054" xr:uid="{00000000-0005-0000-0000-0000CC7D0000}"/>
    <cellStyle name="Normal 11 2 3 2 3 2 8 2 2 2" xfId="33055" xr:uid="{00000000-0005-0000-0000-0000CD7D0000}"/>
    <cellStyle name="Normal 11 2 3 2 3 2 8 2 3" xfId="33056" xr:uid="{00000000-0005-0000-0000-0000CE7D0000}"/>
    <cellStyle name="Normal 11 2 3 2 3 2 8 3" xfId="33057" xr:uid="{00000000-0005-0000-0000-0000CF7D0000}"/>
    <cellStyle name="Normal 11 2 3 2 3 2 8 3 2" xfId="33058" xr:uid="{00000000-0005-0000-0000-0000D07D0000}"/>
    <cellStyle name="Normal 11 2 3 2 3 2 8 4" xfId="33059" xr:uid="{00000000-0005-0000-0000-0000D17D0000}"/>
    <cellStyle name="Normal 11 2 3 2 3 2 9" xfId="33060" xr:uid="{00000000-0005-0000-0000-0000D27D0000}"/>
    <cellStyle name="Normal 11 2 3 2 3 2 9 2" xfId="33061" xr:uid="{00000000-0005-0000-0000-0000D37D0000}"/>
    <cellStyle name="Normal 11 2 3 2 3 2 9 2 2" xfId="33062" xr:uid="{00000000-0005-0000-0000-0000D47D0000}"/>
    <cellStyle name="Normal 11 2 3 2 3 2 9 3" xfId="33063" xr:uid="{00000000-0005-0000-0000-0000D57D0000}"/>
    <cellStyle name="Normal 11 2 3 2 3 3" xfId="570" xr:uid="{00000000-0005-0000-0000-0000D67D0000}"/>
    <cellStyle name="Normal 11 2 3 2 3 3 10" xfId="33065" xr:uid="{00000000-0005-0000-0000-0000D77D0000}"/>
    <cellStyle name="Normal 11 2 3 2 3 3 10 2" xfId="33066" xr:uid="{00000000-0005-0000-0000-0000D87D0000}"/>
    <cellStyle name="Normal 11 2 3 2 3 3 10 2 2" xfId="33067" xr:uid="{00000000-0005-0000-0000-0000D97D0000}"/>
    <cellStyle name="Normal 11 2 3 2 3 3 10 3" xfId="33068" xr:uid="{00000000-0005-0000-0000-0000DA7D0000}"/>
    <cellStyle name="Normal 11 2 3 2 3 3 11" xfId="33069" xr:uid="{00000000-0005-0000-0000-0000DB7D0000}"/>
    <cellStyle name="Normal 11 2 3 2 3 3 11 2" xfId="33070" xr:uid="{00000000-0005-0000-0000-0000DC7D0000}"/>
    <cellStyle name="Normal 11 2 3 2 3 3 11 2 2" xfId="33071" xr:uid="{00000000-0005-0000-0000-0000DD7D0000}"/>
    <cellStyle name="Normal 11 2 3 2 3 3 11 3" xfId="33072" xr:uid="{00000000-0005-0000-0000-0000DE7D0000}"/>
    <cellStyle name="Normal 11 2 3 2 3 3 12" xfId="33073" xr:uid="{00000000-0005-0000-0000-0000DF7D0000}"/>
    <cellStyle name="Normal 11 2 3 2 3 3 12 2" xfId="33074" xr:uid="{00000000-0005-0000-0000-0000E07D0000}"/>
    <cellStyle name="Normal 11 2 3 2 3 3 13" xfId="33075" xr:uid="{00000000-0005-0000-0000-0000E17D0000}"/>
    <cellStyle name="Normal 11 2 3 2 3 3 14" xfId="33076" xr:uid="{00000000-0005-0000-0000-0000E27D0000}"/>
    <cellStyle name="Normal 11 2 3 2 3 3 15" xfId="33064" xr:uid="{00000000-0005-0000-0000-0000E37D0000}"/>
    <cellStyle name="Normal 11 2 3 2 3 3 2" xfId="1012" xr:uid="{00000000-0005-0000-0000-0000E47D0000}"/>
    <cellStyle name="Normal 11 2 3 2 3 3 2 10" xfId="33078" xr:uid="{00000000-0005-0000-0000-0000E57D0000}"/>
    <cellStyle name="Normal 11 2 3 2 3 3 2 11" xfId="33077" xr:uid="{00000000-0005-0000-0000-0000E67D0000}"/>
    <cellStyle name="Normal 11 2 3 2 3 3 2 2" xfId="1741" xr:uid="{00000000-0005-0000-0000-0000E77D0000}"/>
    <cellStyle name="Normal 11 2 3 2 3 3 2 2 2" xfId="33080" xr:uid="{00000000-0005-0000-0000-0000E87D0000}"/>
    <cellStyle name="Normal 11 2 3 2 3 3 2 2 2 2" xfId="33081" xr:uid="{00000000-0005-0000-0000-0000E97D0000}"/>
    <cellStyle name="Normal 11 2 3 2 3 3 2 2 2 2 2" xfId="33082" xr:uid="{00000000-0005-0000-0000-0000EA7D0000}"/>
    <cellStyle name="Normal 11 2 3 2 3 3 2 2 2 2 2 2" xfId="33083" xr:uid="{00000000-0005-0000-0000-0000EB7D0000}"/>
    <cellStyle name="Normal 11 2 3 2 3 3 2 2 2 2 3" xfId="33084" xr:uid="{00000000-0005-0000-0000-0000EC7D0000}"/>
    <cellStyle name="Normal 11 2 3 2 3 3 2 2 2 3" xfId="33085" xr:uid="{00000000-0005-0000-0000-0000ED7D0000}"/>
    <cellStyle name="Normal 11 2 3 2 3 3 2 2 2 3 2" xfId="33086" xr:uid="{00000000-0005-0000-0000-0000EE7D0000}"/>
    <cellStyle name="Normal 11 2 3 2 3 3 2 2 2 4" xfId="33087" xr:uid="{00000000-0005-0000-0000-0000EF7D0000}"/>
    <cellStyle name="Normal 11 2 3 2 3 3 2 2 3" xfId="33088" xr:uid="{00000000-0005-0000-0000-0000F07D0000}"/>
    <cellStyle name="Normal 11 2 3 2 3 3 2 2 3 2" xfId="33089" xr:uid="{00000000-0005-0000-0000-0000F17D0000}"/>
    <cellStyle name="Normal 11 2 3 2 3 3 2 2 3 2 2" xfId="33090" xr:uid="{00000000-0005-0000-0000-0000F27D0000}"/>
    <cellStyle name="Normal 11 2 3 2 3 3 2 2 3 2 2 2" xfId="33091" xr:uid="{00000000-0005-0000-0000-0000F37D0000}"/>
    <cellStyle name="Normal 11 2 3 2 3 3 2 2 3 2 3" xfId="33092" xr:uid="{00000000-0005-0000-0000-0000F47D0000}"/>
    <cellStyle name="Normal 11 2 3 2 3 3 2 2 3 3" xfId="33093" xr:uid="{00000000-0005-0000-0000-0000F57D0000}"/>
    <cellStyle name="Normal 11 2 3 2 3 3 2 2 3 3 2" xfId="33094" xr:uid="{00000000-0005-0000-0000-0000F67D0000}"/>
    <cellStyle name="Normal 11 2 3 2 3 3 2 2 3 4" xfId="33095" xr:uid="{00000000-0005-0000-0000-0000F77D0000}"/>
    <cellStyle name="Normal 11 2 3 2 3 3 2 2 4" xfId="33096" xr:uid="{00000000-0005-0000-0000-0000F87D0000}"/>
    <cellStyle name="Normal 11 2 3 2 3 3 2 2 4 2" xfId="33097" xr:uid="{00000000-0005-0000-0000-0000F97D0000}"/>
    <cellStyle name="Normal 11 2 3 2 3 3 2 2 4 2 2" xfId="33098" xr:uid="{00000000-0005-0000-0000-0000FA7D0000}"/>
    <cellStyle name="Normal 11 2 3 2 3 3 2 2 4 3" xfId="33099" xr:uid="{00000000-0005-0000-0000-0000FB7D0000}"/>
    <cellStyle name="Normal 11 2 3 2 3 3 2 2 5" xfId="33100" xr:uid="{00000000-0005-0000-0000-0000FC7D0000}"/>
    <cellStyle name="Normal 11 2 3 2 3 3 2 2 5 2" xfId="33101" xr:uid="{00000000-0005-0000-0000-0000FD7D0000}"/>
    <cellStyle name="Normal 11 2 3 2 3 3 2 2 6" xfId="33102" xr:uid="{00000000-0005-0000-0000-0000FE7D0000}"/>
    <cellStyle name="Normal 11 2 3 2 3 3 2 2 7" xfId="33079" xr:uid="{00000000-0005-0000-0000-0000FF7D0000}"/>
    <cellStyle name="Normal 11 2 3 2 3 3 2 3" xfId="33103" xr:uid="{00000000-0005-0000-0000-0000007E0000}"/>
    <cellStyle name="Normal 11 2 3 2 3 3 2 3 2" xfId="33104" xr:uid="{00000000-0005-0000-0000-0000017E0000}"/>
    <cellStyle name="Normal 11 2 3 2 3 3 2 3 2 2" xfId="33105" xr:uid="{00000000-0005-0000-0000-0000027E0000}"/>
    <cellStyle name="Normal 11 2 3 2 3 3 2 3 2 2 2" xfId="33106" xr:uid="{00000000-0005-0000-0000-0000037E0000}"/>
    <cellStyle name="Normal 11 2 3 2 3 3 2 3 2 2 2 2" xfId="33107" xr:uid="{00000000-0005-0000-0000-0000047E0000}"/>
    <cellStyle name="Normal 11 2 3 2 3 3 2 3 2 2 3" xfId="33108" xr:uid="{00000000-0005-0000-0000-0000057E0000}"/>
    <cellStyle name="Normal 11 2 3 2 3 3 2 3 2 3" xfId="33109" xr:uid="{00000000-0005-0000-0000-0000067E0000}"/>
    <cellStyle name="Normal 11 2 3 2 3 3 2 3 2 3 2" xfId="33110" xr:uid="{00000000-0005-0000-0000-0000077E0000}"/>
    <cellStyle name="Normal 11 2 3 2 3 3 2 3 2 4" xfId="33111" xr:uid="{00000000-0005-0000-0000-0000087E0000}"/>
    <cellStyle name="Normal 11 2 3 2 3 3 2 3 3" xfId="33112" xr:uid="{00000000-0005-0000-0000-0000097E0000}"/>
    <cellStyle name="Normal 11 2 3 2 3 3 2 3 3 2" xfId="33113" xr:uid="{00000000-0005-0000-0000-00000A7E0000}"/>
    <cellStyle name="Normal 11 2 3 2 3 3 2 3 3 2 2" xfId="33114" xr:uid="{00000000-0005-0000-0000-00000B7E0000}"/>
    <cellStyle name="Normal 11 2 3 2 3 3 2 3 3 3" xfId="33115" xr:uid="{00000000-0005-0000-0000-00000C7E0000}"/>
    <cellStyle name="Normal 11 2 3 2 3 3 2 3 4" xfId="33116" xr:uid="{00000000-0005-0000-0000-00000D7E0000}"/>
    <cellStyle name="Normal 11 2 3 2 3 3 2 3 4 2" xfId="33117" xr:uid="{00000000-0005-0000-0000-00000E7E0000}"/>
    <cellStyle name="Normal 11 2 3 2 3 3 2 3 5" xfId="33118" xr:uid="{00000000-0005-0000-0000-00000F7E0000}"/>
    <cellStyle name="Normal 11 2 3 2 3 3 2 4" xfId="33119" xr:uid="{00000000-0005-0000-0000-0000107E0000}"/>
    <cellStyle name="Normal 11 2 3 2 3 3 2 4 2" xfId="33120" xr:uid="{00000000-0005-0000-0000-0000117E0000}"/>
    <cellStyle name="Normal 11 2 3 2 3 3 2 4 2 2" xfId="33121" xr:uid="{00000000-0005-0000-0000-0000127E0000}"/>
    <cellStyle name="Normal 11 2 3 2 3 3 2 4 2 2 2" xfId="33122" xr:uid="{00000000-0005-0000-0000-0000137E0000}"/>
    <cellStyle name="Normal 11 2 3 2 3 3 2 4 2 2 2 2" xfId="33123" xr:uid="{00000000-0005-0000-0000-0000147E0000}"/>
    <cellStyle name="Normal 11 2 3 2 3 3 2 4 2 2 3" xfId="33124" xr:uid="{00000000-0005-0000-0000-0000157E0000}"/>
    <cellStyle name="Normal 11 2 3 2 3 3 2 4 2 3" xfId="33125" xr:uid="{00000000-0005-0000-0000-0000167E0000}"/>
    <cellStyle name="Normal 11 2 3 2 3 3 2 4 2 3 2" xfId="33126" xr:uid="{00000000-0005-0000-0000-0000177E0000}"/>
    <cellStyle name="Normal 11 2 3 2 3 3 2 4 2 4" xfId="33127" xr:uid="{00000000-0005-0000-0000-0000187E0000}"/>
    <cellStyle name="Normal 11 2 3 2 3 3 2 4 3" xfId="33128" xr:uid="{00000000-0005-0000-0000-0000197E0000}"/>
    <cellStyle name="Normal 11 2 3 2 3 3 2 4 3 2" xfId="33129" xr:uid="{00000000-0005-0000-0000-00001A7E0000}"/>
    <cellStyle name="Normal 11 2 3 2 3 3 2 4 3 2 2" xfId="33130" xr:uid="{00000000-0005-0000-0000-00001B7E0000}"/>
    <cellStyle name="Normal 11 2 3 2 3 3 2 4 3 3" xfId="33131" xr:uid="{00000000-0005-0000-0000-00001C7E0000}"/>
    <cellStyle name="Normal 11 2 3 2 3 3 2 4 4" xfId="33132" xr:uid="{00000000-0005-0000-0000-00001D7E0000}"/>
    <cellStyle name="Normal 11 2 3 2 3 3 2 4 4 2" xfId="33133" xr:uid="{00000000-0005-0000-0000-00001E7E0000}"/>
    <cellStyle name="Normal 11 2 3 2 3 3 2 4 5" xfId="33134" xr:uid="{00000000-0005-0000-0000-00001F7E0000}"/>
    <cellStyle name="Normal 11 2 3 2 3 3 2 5" xfId="33135" xr:uid="{00000000-0005-0000-0000-0000207E0000}"/>
    <cellStyle name="Normal 11 2 3 2 3 3 2 5 2" xfId="33136" xr:uid="{00000000-0005-0000-0000-0000217E0000}"/>
    <cellStyle name="Normal 11 2 3 2 3 3 2 5 2 2" xfId="33137" xr:uid="{00000000-0005-0000-0000-0000227E0000}"/>
    <cellStyle name="Normal 11 2 3 2 3 3 2 5 2 2 2" xfId="33138" xr:uid="{00000000-0005-0000-0000-0000237E0000}"/>
    <cellStyle name="Normal 11 2 3 2 3 3 2 5 2 3" xfId="33139" xr:uid="{00000000-0005-0000-0000-0000247E0000}"/>
    <cellStyle name="Normal 11 2 3 2 3 3 2 5 3" xfId="33140" xr:uid="{00000000-0005-0000-0000-0000257E0000}"/>
    <cellStyle name="Normal 11 2 3 2 3 3 2 5 3 2" xfId="33141" xr:uid="{00000000-0005-0000-0000-0000267E0000}"/>
    <cellStyle name="Normal 11 2 3 2 3 3 2 5 4" xfId="33142" xr:uid="{00000000-0005-0000-0000-0000277E0000}"/>
    <cellStyle name="Normal 11 2 3 2 3 3 2 6" xfId="33143" xr:uid="{00000000-0005-0000-0000-0000287E0000}"/>
    <cellStyle name="Normal 11 2 3 2 3 3 2 6 2" xfId="33144" xr:uid="{00000000-0005-0000-0000-0000297E0000}"/>
    <cellStyle name="Normal 11 2 3 2 3 3 2 6 2 2" xfId="33145" xr:uid="{00000000-0005-0000-0000-00002A7E0000}"/>
    <cellStyle name="Normal 11 2 3 2 3 3 2 6 2 2 2" xfId="33146" xr:uid="{00000000-0005-0000-0000-00002B7E0000}"/>
    <cellStyle name="Normal 11 2 3 2 3 3 2 6 2 3" xfId="33147" xr:uid="{00000000-0005-0000-0000-00002C7E0000}"/>
    <cellStyle name="Normal 11 2 3 2 3 3 2 6 3" xfId="33148" xr:uid="{00000000-0005-0000-0000-00002D7E0000}"/>
    <cellStyle name="Normal 11 2 3 2 3 3 2 6 3 2" xfId="33149" xr:uid="{00000000-0005-0000-0000-00002E7E0000}"/>
    <cellStyle name="Normal 11 2 3 2 3 3 2 6 4" xfId="33150" xr:uid="{00000000-0005-0000-0000-00002F7E0000}"/>
    <cellStyle name="Normal 11 2 3 2 3 3 2 7" xfId="33151" xr:uid="{00000000-0005-0000-0000-0000307E0000}"/>
    <cellStyle name="Normal 11 2 3 2 3 3 2 7 2" xfId="33152" xr:uid="{00000000-0005-0000-0000-0000317E0000}"/>
    <cellStyle name="Normal 11 2 3 2 3 3 2 7 2 2" xfId="33153" xr:uid="{00000000-0005-0000-0000-0000327E0000}"/>
    <cellStyle name="Normal 11 2 3 2 3 3 2 7 2 2 2" xfId="33154" xr:uid="{00000000-0005-0000-0000-0000337E0000}"/>
    <cellStyle name="Normal 11 2 3 2 3 3 2 7 2 3" xfId="33155" xr:uid="{00000000-0005-0000-0000-0000347E0000}"/>
    <cellStyle name="Normal 11 2 3 2 3 3 2 7 3" xfId="33156" xr:uid="{00000000-0005-0000-0000-0000357E0000}"/>
    <cellStyle name="Normal 11 2 3 2 3 3 2 7 3 2" xfId="33157" xr:uid="{00000000-0005-0000-0000-0000367E0000}"/>
    <cellStyle name="Normal 11 2 3 2 3 3 2 7 4" xfId="33158" xr:uid="{00000000-0005-0000-0000-0000377E0000}"/>
    <cellStyle name="Normal 11 2 3 2 3 3 2 8" xfId="33159" xr:uid="{00000000-0005-0000-0000-0000387E0000}"/>
    <cellStyle name="Normal 11 2 3 2 3 3 2 8 2" xfId="33160" xr:uid="{00000000-0005-0000-0000-0000397E0000}"/>
    <cellStyle name="Normal 11 2 3 2 3 3 2 8 2 2" xfId="33161" xr:uid="{00000000-0005-0000-0000-00003A7E0000}"/>
    <cellStyle name="Normal 11 2 3 2 3 3 2 8 3" xfId="33162" xr:uid="{00000000-0005-0000-0000-00003B7E0000}"/>
    <cellStyle name="Normal 11 2 3 2 3 3 2 9" xfId="33163" xr:uid="{00000000-0005-0000-0000-00003C7E0000}"/>
    <cellStyle name="Normal 11 2 3 2 3 3 2 9 2" xfId="33164" xr:uid="{00000000-0005-0000-0000-00003D7E0000}"/>
    <cellStyle name="Normal 11 2 3 2 3 3 3" xfId="1414" xr:uid="{00000000-0005-0000-0000-00003E7E0000}"/>
    <cellStyle name="Normal 11 2 3 2 3 3 3 2" xfId="33166" xr:uid="{00000000-0005-0000-0000-00003F7E0000}"/>
    <cellStyle name="Normal 11 2 3 2 3 3 3 2 2" xfId="33167" xr:uid="{00000000-0005-0000-0000-0000407E0000}"/>
    <cellStyle name="Normal 11 2 3 2 3 3 3 2 2 2" xfId="33168" xr:uid="{00000000-0005-0000-0000-0000417E0000}"/>
    <cellStyle name="Normal 11 2 3 2 3 3 3 2 2 2 2" xfId="33169" xr:uid="{00000000-0005-0000-0000-0000427E0000}"/>
    <cellStyle name="Normal 11 2 3 2 3 3 3 2 2 3" xfId="33170" xr:uid="{00000000-0005-0000-0000-0000437E0000}"/>
    <cellStyle name="Normal 11 2 3 2 3 3 3 2 3" xfId="33171" xr:uid="{00000000-0005-0000-0000-0000447E0000}"/>
    <cellStyle name="Normal 11 2 3 2 3 3 3 2 3 2" xfId="33172" xr:uid="{00000000-0005-0000-0000-0000457E0000}"/>
    <cellStyle name="Normal 11 2 3 2 3 3 3 2 4" xfId="33173" xr:uid="{00000000-0005-0000-0000-0000467E0000}"/>
    <cellStyle name="Normal 11 2 3 2 3 3 3 3" xfId="33174" xr:uid="{00000000-0005-0000-0000-0000477E0000}"/>
    <cellStyle name="Normal 11 2 3 2 3 3 3 3 2" xfId="33175" xr:uid="{00000000-0005-0000-0000-0000487E0000}"/>
    <cellStyle name="Normal 11 2 3 2 3 3 3 3 2 2" xfId="33176" xr:uid="{00000000-0005-0000-0000-0000497E0000}"/>
    <cellStyle name="Normal 11 2 3 2 3 3 3 3 2 2 2" xfId="33177" xr:uid="{00000000-0005-0000-0000-00004A7E0000}"/>
    <cellStyle name="Normal 11 2 3 2 3 3 3 3 2 3" xfId="33178" xr:uid="{00000000-0005-0000-0000-00004B7E0000}"/>
    <cellStyle name="Normal 11 2 3 2 3 3 3 3 3" xfId="33179" xr:uid="{00000000-0005-0000-0000-00004C7E0000}"/>
    <cellStyle name="Normal 11 2 3 2 3 3 3 3 3 2" xfId="33180" xr:uid="{00000000-0005-0000-0000-00004D7E0000}"/>
    <cellStyle name="Normal 11 2 3 2 3 3 3 3 4" xfId="33181" xr:uid="{00000000-0005-0000-0000-00004E7E0000}"/>
    <cellStyle name="Normal 11 2 3 2 3 3 3 4" xfId="33182" xr:uid="{00000000-0005-0000-0000-00004F7E0000}"/>
    <cellStyle name="Normal 11 2 3 2 3 3 3 4 2" xfId="33183" xr:uid="{00000000-0005-0000-0000-0000507E0000}"/>
    <cellStyle name="Normal 11 2 3 2 3 3 3 4 2 2" xfId="33184" xr:uid="{00000000-0005-0000-0000-0000517E0000}"/>
    <cellStyle name="Normal 11 2 3 2 3 3 3 4 3" xfId="33185" xr:uid="{00000000-0005-0000-0000-0000527E0000}"/>
    <cellStyle name="Normal 11 2 3 2 3 3 3 5" xfId="33186" xr:uid="{00000000-0005-0000-0000-0000537E0000}"/>
    <cellStyle name="Normal 11 2 3 2 3 3 3 5 2" xfId="33187" xr:uid="{00000000-0005-0000-0000-0000547E0000}"/>
    <cellStyle name="Normal 11 2 3 2 3 3 3 6" xfId="33188" xr:uid="{00000000-0005-0000-0000-0000557E0000}"/>
    <cellStyle name="Normal 11 2 3 2 3 3 3 7" xfId="33165" xr:uid="{00000000-0005-0000-0000-0000567E0000}"/>
    <cellStyle name="Normal 11 2 3 2 3 3 4" xfId="33189" xr:uid="{00000000-0005-0000-0000-0000577E0000}"/>
    <cellStyle name="Normal 11 2 3 2 3 3 4 2" xfId="33190" xr:uid="{00000000-0005-0000-0000-0000587E0000}"/>
    <cellStyle name="Normal 11 2 3 2 3 3 4 2 2" xfId="33191" xr:uid="{00000000-0005-0000-0000-0000597E0000}"/>
    <cellStyle name="Normal 11 2 3 2 3 3 4 2 2 2" xfId="33192" xr:uid="{00000000-0005-0000-0000-00005A7E0000}"/>
    <cellStyle name="Normal 11 2 3 2 3 3 4 2 2 2 2" xfId="33193" xr:uid="{00000000-0005-0000-0000-00005B7E0000}"/>
    <cellStyle name="Normal 11 2 3 2 3 3 4 2 2 3" xfId="33194" xr:uid="{00000000-0005-0000-0000-00005C7E0000}"/>
    <cellStyle name="Normal 11 2 3 2 3 3 4 2 3" xfId="33195" xr:uid="{00000000-0005-0000-0000-00005D7E0000}"/>
    <cellStyle name="Normal 11 2 3 2 3 3 4 2 3 2" xfId="33196" xr:uid="{00000000-0005-0000-0000-00005E7E0000}"/>
    <cellStyle name="Normal 11 2 3 2 3 3 4 2 4" xfId="33197" xr:uid="{00000000-0005-0000-0000-00005F7E0000}"/>
    <cellStyle name="Normal 11 2 3 2 3 3 4 3" xfId="33198" xr:uid="{00000000-0005-0000-0000-0000607E0000}"/>
    <cellStyle name="Normal 11 2 3 2 3 3 4 3 2" xfId="33199" xr:uid="{00000000-0005-0000-0000-0000617E0000}"/>
    <cellStyle name="Normal 11 2 3 2 3 3 4 3 2 2" xfId="33200" xr:uid="{00000000-0005-0000-0000-0000627E0000}"/>
    <cellStyle name="Normal 11 2 3 2 3 3 4 3 3" xfId="33201" xr:uid="{00000000-0005-0000-0000-0000637E0000}"/>
    <cellStyle name="Normal 11 2 3 2 3 3 4 4" xfId="33202" xr:uid="{00000000-0005-0000-0000-0000647E0000}"/>
    <cellStyle name="Normal 11 2 3 2 3 3 4 4 2" xfId="33203" xr:uid="{00000000-0005-0000-0000-0000657E0000}"/>
    <cellStyle name="Normal 11 2 3 2 3 3 4 5" xfId="33204" xr:uid="{00000000-0005-0000-0000-0000667E0000}"/>
    <cellStyle name="Normal 11 2 3 2 3 3 5" xfId="33205" xr:uid="{00000000-0005-0000-0000-0000677E0000}"/>
    <cellStyle name="Normal 11 2 3 2 3 3 5 2" xfId="33206" xr:uid="{00000000-0005-0000-0000-0000687E0000}"/>
    <cellStyle name="Normal 11 2 3 2 3 3 5 2 2" xfId="33207" xr:uid="{00000000-0005-0000-0000-0000697E0000}"/>
    <cellStyle name="Normal 11 2 3 2 3 3 5 2 2 2" xfId="33208" xr:uid="{00000000-0005-0000-0000-00006A7E0000}"/>
    <cellStyle name="Normal 11 2 3 2 3 3 5 2 2 2 2" xfId="33209" xr:uid="{00000000-0005-0000-0000-00006B7E0000}"/>
    <cellStyle name="Normal 11 2 3 2 3 3 5 2 2 3" xfId="33210" xr:uid="{00000000-0005-0000-0000-00006C7E0000}"/>
    <cellStyle name="Normal 11 2 3 2 3 3 5 2 3" xfId="33211" xr:uid="{00000000-0005-0000-0000-00006D7E0000}"/>
    <cellStyle name="Normal 11 2 3 2 3 3 5 2 3 2" xfId="33212" xr:uid="{00000000-0005-0000-0000-00006E7E0000}"/>
    <cellStyle name="Normal 11 2 3 2 3 3 5 2 4" xfId="33213" xr:uid="{00000000-0005-0000-0000-00006F7E0000}"/>
    <cellStyle name="Normal 11 2 3 2 3 3 5 3" xfId="33214" xr:uid="{00000000-0005-0000-0000-0000707E0000}"/>
    <cellStyle name="Normal 11 2 3 2 3 3 5 3 2" xfId="33215" xr:uid="{00000000-0005-0000-0000-0000717E0000}"/>
    <cellStyle name="Normal 11 2 3 2 3 3 5 3 2 2" xfId="33216" xr:uid="{00000000-0005-0000-0000-0000727E0000}"/>
    <cellStyle name="Normal 11 2 3 2 3 3 5 3 3" xfId="33217" xr:uid="{00000000-0005-0000-0000-0000737E0000}"/>
    <cellStyle name="Normal 11 2 3 2 3 3 5 4" xfId="33218" xr:uid="{00000000-0005-0000-0000-0000747E0000}"/>
    <cellStyle name="Normal 11 2 3 2 3 3 5 4 2" xfId="33219" xr:uid="{00000000-0005-0000-0000-0000757E0000}"/>
    <cellStyle name="Normal 11 2 3 2 3 3 5 5" xfId="33220" xr:uid="{00000000-0005-0000-0000-0000767E0000}"/>
    <cellStyle name="Normal 11 2 3 2 3 3 6" xfId="33221" xr:uid="{00000000-0005-0000-0000-0000777E0000}"/>
    <cellStyle name="Normal 11 2 3 2 3 3 6 2" xfId="33222" xr:uid="{00000000-0005-0000-0000-0000787E0000}"/>
    <cellStyle name="Normal 11 2 3 2 3 3 6 2 2" xfId="33223" xr:uid="{00000000-0005-0000-0000-0000797E0000}"/>
    <cellStyle name="Normal 11 2 3 2 3 3 6 2 2 2" xfId="33224" xr:uid="{00000000-0005-0000-0000-00007A7E0000}"/>
    <cellStyle name="Normal 11 2 3 2 3 3 6 2 3" xfId="33225" xr:uid="{00000000-0005-0000-0000-00007B7E0000}"/>
    <cellStyle name="Normal 11 2 3 2 3 3 6 3" xfId="33226" xr:uid="{00000000-0005-0000-0000-00007C7E0000}"/>
    <cellStyle name="Normal 11 2 3 2 3 3 6 3 2" xfId="33227" xr:uid="{00000000-0005-0000-0000-00007D7E0000}"/>
    <cellStyle name="Normal 11 2 3 2 3 3 6 4" xfId="33228" xr:uid="{00000000-0005-0000-0000-00007E7E0000}"/>
    <cellStyle name="Normal 11 2 3 2 3 3 7" xfId="33229" xr:uid="{00000000-0005-0000-0000-00007F7E0000}"/>
    <cellStyle name="Normal 11 2 3 2 3 3 7 2" xfId="33230" xr:uid="{00000000-0005-0000-0000-0000807E0000}"/>
    <cellStyle name="Normal 11 2 3 2 3 3 7 2 2" xfId="33231" xr:uid="{00000000-0005-0000-0000-0000817E0000}"/>
    <cellStyle name="Normal 11 2 3 2 3 3 7 2 2 2" xfId="33232" xr:uid="{00000000-0005-0000-0000-0000827E0000}"/>
    <cellStyle name="Normal 11 2 3 2 3 3 7 2 3" xfId="33233" xr:uid="{00000000-0005-0000-0000-0000837E0000}"/>
    <cellStyle name="Normal 11 2 3 2 3 3 7 3" xfId="33234" xr:uid="{00000000-0005-0000-0000-0000847E0000}"/>
    <cellStyle name="Normal 11 2 3 2 3 3 7 3 2" xfId="33235" xr:uid="{00000000-0005-0000-0000-0000857E0000}"/>
    <cellStyle name="Normal 11 2 3 2 3 3 7 4" xfId="33236" xr:uid="{00000000-0005-0000-0000-0000867E0000}"/>
    <cellStyle name="Normal 11 2 3 2 3 3 8" xfId="33237" xr:uid="{00000000-0005-0000-0000-0000877E0000}"/>
    <cellStyle name="Normal 11 2 3 2 3 3 8 2" xfId="33238" xr:uid="{00000000-0005-0000-0000-0000887E0000}"/>
    <cellStyle name="Normal 11 2 3 2 3 3 8 2 2" xfId="33239" xr:uid="{00000000-0005-0000-0000-0000897E0000}"/>
    <cellStyle name="Normal 11 2 3 2 3 3 8 2 2 2" xfId="33240" xr:uid="{00000000-0005-0000-0000-00008A7E0000}"/>
    <cellStyle name="Normal 11 2 3 2 3 3 8 2 3" xfId="33241" xr:uid="{00000000-0005-0000-0000-00008B7E0000}"/>
    <cellStyle name="Normal 11 2 3 2 3 3 8 3" xfId="33242" xr:uid="{00000000-0005-0000-0000-00008C7E0000}"/>
    <cellStyle name="Normal 11 2 3 2 3 3 8 3 2" xfId="33243" xr:uid="{00000000-0005-0000-0000-00008D7E0000}"/>
    <cellStyle name="Normal 11 2 3 2 3 3 8 4" xfId="33244" xr:uid="{00000000-0005-0000-0000-00008E7E0000}"/>
    <cellStyle name="Normal 11 2 3 2 3 3 9" xfId="33245" xr:uid="{00000000-0005-0000-0000-00008F7E0000}"/>
    <cellStyle name="Normal 11 2 3 2 3 3 9 2" xfId="33246" xr:uid="{00000000-0005-0000-0000-0000907E0000}"/>
    <cellStyle name="Normal 11 2 3 2 3 3 9 2 2" xfId="33247" xr:uid="{00000000-0005-0000-0000-0000917E0000}"/>
    <cellStyle name="Normal 11 2 3 2 3 3 9 3" xfId="33248" xr:uid="{00000000-0005-0000-0000-0000927E0000}"/>
    <cellStyle name="Normal 11 2 3 2 3 4" xfId="1010" xr:uid="{00000000-0005-0000-0000-0000937E0000}"/>
    <cellStyle name="Normal 11 2 3 2 3 4 10" xfId="33250" xr:uid="{00000000-0005-0000-0000-0000947E0000}"/>
    <cellStyle name="Normal 11 2 3 2 3 4 11" xfId="33249" xr:uid="{00000000-0005-0000-0000-0000957E0000}"/>
    <cellStyle name="Normal 11 2 3 2 3 4 2" xfId="1739" xr:uid="{00000000-0005-0000-0000-0000967E0000}"/>
    <cellStyle name="Normal 11 2 3 2 3 4 2 2" xfId="33252" xr:uid="{00000000-0005-0000-0000-0000977E0000}"/>
    <cellStyle name="Normal 11 2 3 2 3 4 2 2 2" xfId="33253" xr:uid="{00000000-0005-0000-0000-0000987E0000}"/>
    <cellStyle name="Normal 11 2 3 2 3 4 2 2 2 2" xfId="33254" xr:uid="{00000000-0005-0000-0000-0000997E0000}"/>
    <cellStyle name="Normal 11 2 3 2 3 4 2 2 2 2 2" xfId="33255" xr:uid="{00000000-0005-0000-0000-00009A7E0000}"/>
    <cellStyle name="Normal 11 2 3 2 3 4 2 2 2 3" xfId="33256" xr:uid="{00000000-0005-0000-0000-00009B7E0000}"/>
    <cellStyle name="Normal 11 2 3 2 3 4 2 2 3" xfId="33257" xr:uid="{00000000-0005-0000-0000-00009C7E0000}"/>
    <cellStyle name="Normal 11 2 3 2 3 4 2 2 3 2" xfId="33258" xr:uid="{00000000-0005-0000-0000-00009D7E0000}"/>
    <cellStyle name="Normal 11 2 3 2 3 4 2 2 4" xfId="33259" xr:uid="{00000000-0005-0000-0000-00009E7E0000}"/>
    <cellStyle name="Normal 11 2 3 2 3 4 2 3" xfId="33260" xr:uid="{00000000-0005-0000-0000-00009F7E0000}"/>
    <cellStyle name="Normal 11 2 3 2 3 4 2 3 2" xfId="33261" xr:uid="{00000000-0005-0000-0000-0000A07E0000}"/>
    <cellStyle name="Normal 11 2 3 2 3 4 2 3 2 2" xfId="33262" xr:uid="{00000000-0005-0000-0000-0000A17E0000}"/>
    <cellStyle name="Normal 11 2 3 2 3 4 2 3 2 2 2" xfId="33263" xr:uid="{00000000-0005-0000-0000-0000A27E0000}"/>
    <cellStyle name="Normal 11 2 3 2 3 4 2 3 2 3" xfId="33264" xr:uid="{00000000-0005-0000-0000-0000A37E0000}"/>
    <cellStyle name="Normal 11 2 3 2 3 4 2 3 3" xfId="33265" xr:uid="{00000000-0005-0000-0000-0000A47E0000}"/>
    <cellStyle name="Normal 11 2 3 2 3 4 2 3 3 2" xfId="33266" xr:uid="{00000000-0005-0000-0000-0000A57E0000}"/>
    <cellStyle name="Normal 11 2 3 2 3 4 2 3 4" xfId="33267" xr:uid="{00000000-0005-0000-0000-0000A67E0000}"/>
    <cellStyle name="Normal 11 2 3 2 3 4 2 4" xfId="33268" xr:uid="{00000000-0005-0000-0000-0000A77E0000}"/>
    <cellStyle name="Normal 11 2 3 2 3 4 2 4 2" xfId="33269" xr:uid="{00000000-0005-0000-0000-0000A87E0000}"/>
    <cellStyle name="Normal 11 2 3 2 3 4 2 4 2 2" xfId="33270" xr:uid="{00000000-0005-0000-0000-0000A97E0000}"/>
    <cellStyle name="Normal 11 2 3 2 3 4 2 4 3" xfId="33271" xr:uid="{00000000-0005-0000-0000-0000AA7E0000}"/>
    <cellStyle name="Normal 11 2 3 2 3 4 2 5" xfId="33272" xr:uid="{00000000-0005-0000-0000-0000AB7E0000}"/>
    <cellStyle name="Normal 11 2 3 2 3 4 2 5 2" xfId="33273" xr:uid="{00000000-0005-0000-0000-0000AC7E0000}"/>
    <cellStyle name="Normal 11 2 3 2 3 4 2 6" xfId="33274" xr:uid="{00000000-0005-0000-0000-0000AD7E0000}"/>
    <cellStyle name="Normal 11 2 3 2 3 4 2 7" xfId="33251" xr:uid="{00000000-0005-0000-0000-0000AE7E0000}"/>
    <cellStyle name="Normal 11 2 3 2 3 4 3" xfId="33275" xr:uid="{00000000-0005-0000-0000-0000AF7E0000}"/>
    <cellStyle name="Normal 11 2 3 2 3 4 3 2" xfId="33276" xr:uid="{00000000-0005-0000-0000-0000B07E0000}"/>
    <cellStyle name="Normal 11 2 3 2 3 4 3 2 2" xfId="33277" xr:uid="{00000000-0005-0000-0000-0000B17E0000}"/>
    <cellStyle name="Normal 11 2 3 2 3 4 3 2 2 2" xfId="33278" xr:uid="{00000000-0005-0000-0000-0000B27E0000}"/>
    <cellStyle name="Normal 11 2 3 2 3 4 3 2 2 2 2" xfId="33279" xr:uid="{00000000-0005-0000-0000-0000B37E0000}"/>
    <cellStyle name="Normal 11 2 3 2 3 4 3 2 2 3" xfId="33280" xr:uid="{00000000-0005-0000-0000-0000B47E0000}"/>
    <cellStyle name="Normal 11 2 3 2 3 4 3 2 3" xfId="33281" xr:uid="{00000000-0005-0000-0000-0000B57E0000}"/>
    <cellStyle name="Normal 11 2 3 2 3 4 3 2 3 2" xfId="33282" xr:uid="{00000000-0005-0000-0000-0000B67E0000}"/>
    <cellStyle name="Normal 11 2 3 2 3 4 3 2 4" xfId="33283" xr:uid="{00000000-0005-0000-0000-0000B77E0000}"/>
    <cellStyle name="Normal 11 2 3 2 3 4 3 3" xfId="33284" xr:uid="{00000000-0005-0000-0000-0000B87E0000}"/>
    <cellStyle name="Normal 11 2 3 2 3 4 3 3 2" xfId="33285" xr:uid="{00000000-0005-0000-0000-0000B97E0000}"/>
    <cellStyle name="Normal 11 2 3 2 3 4 3 3 2 2" xfId="33286" xr:uid="{00000000-0005-0000-0000-0000BA7E0000}"/>
    <cellStyle name="Normal 11 2 3 2 3 4 3 3 3" xfId="33287" xr:uid="{00000000-0005-0000-0000-0000BB7E0000}"/>
    <cellStyle name="Normal 11 2 3 2 3 4 3 4" xfId="33288" xr:uid="{00000000-0005-0000-0000-0000BC7E0000}"/>
    <cellStyle name="Normal 11 2 3 2 3 4 3 4 2" xfId="33289" xr:uid="{00000000-0005-0000-0000-0000BD7E0000}"/>
    <cellStyle name="Normal 11 2 3 2 3 4 3 5" xfId="33290" xr:uid="{00000000-0005-0000-0000-0000BE7E0000}"/>
    <cellStyle name="Normal 11 2 3 2 3 4 4" xfId="33291" xr:uid="{00000000-0005-0000-0000-0000BF7E0000}"/>
    <cellStyle name="Normal 11 2 3 2 3 4 4 2" xfId="33292" xr:uid="{00000000-0005-0000-0000-0000C07E0000}"/>
    <cellStyle name="Normal 11 2 3 2 3 4 4 2 2" xfId="33293" xr:uid="{00000000-0005-0000-0000-0000C17E0000}"/>
    <cellStyle name="Normal 11 2 3 2 3 4 4 2 2 2" xfId="33294" xr:uid="{00000000-0005-0000-0000-0000C27E0000}"/>
    <cellStyle name="Normal 11 2 3 2 3 4 4 2 2 2 2" xfId="33295" xr:uid="{00000000-0005-0000-0000-0000C37E0000}"/>
    <cellStyle name="Normal 11 2 3 2 3 4 4 2 2 3" xfId="33296" xr:uid="{00000000-0005-0000-0000-0000C47E0000}"/>
    <cellStyle name="Normal 11 2 3 2 3 4 4 2 3" xfId="33297" xr:uid="{00000000-0005-0000-0000-0000C57E0000}"/>
    <cellStyle name="Normal 11 2 3 2 3 4 4 2 3 2" xfId="33298" xr:uid="{00000000-0005-0000-0000-0000C67E0000}"/>
    <cellStyle name="Normal 11 2 3 2 3 4 4 2 4" xfId="33299" xr:uid="{00000000-0005-0000-0000-0000C77E0000}"/>
    <cellStyle name="Normal 11 2 3 2 3 4 4 3" xfId="33300" xr:uid="{00000000-0005-0000-0000-0000C87E0000}"/>
    <cellStyle name="Normal 11 2 3 2 3 4 4 3 2" xfId="33301" xr:uid="{00000000-0005-0000-0000-0000C97E0000}"/>
    <cellStyle name="Normal 11 2 3 2 3 4 4 3 2 2" xfId="33302" xr:uid="{00000000-0005-0000-0000-0000CA7E0000}"/>
    <cellStyle name="Normal 11 2 3 2 3 4 4 3 3" xfId="33303" xr:uid="{00000000-0005-0000-0000-0000CB7E0000}"/>
    <cellStyle name="Normal 11 2 3 2 3 4 4 4" xfId="33304" xr:uid="{00000000-0005-0000-0000-0000CC7E0000}"/>
    <cellStyle name="Normal 11 2 3 2 3 4 4 4 2" xfId="33305" xr:uid="{00000000-0005-0000-0000-0000CD7E0000}"/>
    <cellStyle name="Normal 11 2 3 2 3 4 4 5" xfId="33306" xr:uid="{00000000-0005-0000-0000-0000CE7E0000}"/>
    <cellStyle name="Normal 11 2 3 2 3 4 5" xfId="33307" xr:uid="{00000000-0005-0000-0000-0000CF7E0000}"/>
    <cellStyle name="Normal 11 2 3 2 3 4 5 2" xfId="33308" xr:uid="{00000000-0005-0000-0000-0000D07E0000}"/>
    <cellStyle name="Normal 11 2 3 2 3 4 5 2 2" xfId="33309" xr:uid="{00000000-0005-0000-0000-0000D17E0000}"/>
    <cellStyle name="Normal 11 2 3 2 3 4 5 2 2 2" xfId="33310" xr:uid="{00000000-0005-0000-0000-0000D27E0000}"/>
    <cellStyle name="Normal 11 2 3 2 3 4 5 2 3" xfId="33311" xr:uid="{00000000-0005-0000-0000-0000D37E0000}"/>
    <cellStyle name="Normal 11 2 3 2 3 4 5 3" xfId="33312" xr:uid="{00000000-0005-0000-0000-0000D47E0000}"/>
    <cellStyle name="Normal 11 2 3 2 3 4 5 3 2" xfId="33313" xr:uid="{00000000-0005-0000-0000-0000D57E0000}"/>
    <cellStyle name="Normal 11 2 3 2 3 4 5 4" xfId="33314" xr:uid="{00000000-0005-0000-0000-0000D67E0000}"/>
    <cellStyle name="Normal 11 2 3 2 3 4 6" xfId="33315" xr:uid="{00000000-0005-0000-0000-0000D77E0000}"/>
    <cellStyle name="Normal 11 2 3 2 3 4 6 2" xfId="33316" xr:uid="{00000000-0005-0000-0000-0000D87E0000}"/>
    <cellStyle name="Normal 11 2 3 2 3 4 6 2 2" xfId="33317" xr:uid="{00000000-0005-0000-0000-0000D97E0000}"/>
    <cellStyle name="Normal 11 2 3 2 3 4 6 2 2 2" xfId="33318" xr:uid="{00000000-0005-0000-0000-0000DA7E0000}"/>
    <cellStyle name="Normal 11 2 3 2 3 4 6 2 3" xfId="33319" xr:uid="{00000000-0005-0000-0000-0000DB7E0000}"/>
    <cellStyle name="Normal 11 2 3 2 3 4 6 3" xfId="33320" xr:uid="{00000000-0005-0000-0000-0000DC7E0000}"/>
    <cellStyle name="Normal 11 2 3 2 3 4 6 3 2" xfId="33321" xr:uid="{00000000-0005-0000-0000-0000DD7E0000}"/>
    <cellStyle name="Normal 11 2 3 2 3 4 6 4" xfId="33322" xr:uid="{00000000-0005-0000-0000-0000DE7E0000}"/>
    <cellStyle name="Normal 11 2 3 2 3 4 7" xfId="33323" xr:uid="{00000000-0005-0000-0000-0000DF7E0000}"/>
    <cellStyle name="Normal 11 2 3 2 3 4 7 2" xfId="33324" xr:uid="{00000000-0005-0000-0000-0000E07E0000}"/>
    <cellStyle name="Normal 11 2 3 2 3 4 7 2 2" xfId="33325" xr:uid="{00000000-0005-0000-0000-0000E17E0000}"/>
    <cellStyle name="Normal 11 2 3 2 3 4 7 2 2 2" xfId="33326" xr:uid="{00000000-0005-0000-0000-0000E27E0000}"/>
    <cellStyle name="Normal 11 2 3 2 3 4 7 2 3" xfId="33327" xr:uid="{00000000-0005-0000-0000-0000E37E0000}"/>
    <cellStyle name="Normal 11 2 3 2 3 4 7 3" xfId="33328" xr:uid="{00000000-0005-0000-0000-0000E47E0000}"/>
    <cellStyle name="Normal 11 2 3 2 3 4 7 3 2" xfId="33329" xr:uid="{00000000-0005-0000-0000-0000E57E0000}"/>
    <cellStyle name="Normal 11 2 3 2 3 4 7 4" xfId="33330" xr:uid="{00000000-0005-0000-0000-0000E67E0000}"/>
    <cellStyle name="Normal 11 2 3 2 3 4 8" xfId="33331" xr:uid="{00000000-0005-0000-0000-0000E77E0000}"/>
    <cellStyle name="Normal 11 2 3 2 3 4 8 2" xfId="33332" xr:uid="{00000000-0005-0000-0000-0000E87E0000}"/>
    <cellStyle name="Normal 11 2 3 2 3 4 8 2 2" xfId="33333" xr:uid="{00000000-0005-0000-0000-0000E97E0000}"/>
    <cellStyle name="Normal 11 2 3 2 3 4 8 3" xfId="33334" xr:uid="{00000000-0005-0000-0000-0000EA7E0000}"/>
    <cellStyle name="Normal 11 2 3 2 3 4 9" xfId="33335" xr:uid="{00000000-0005-0000-0000-0000EB7E0000}"/>
    <cellStyle name="Normal 11 2 3 2 3 4 9 2" xfId="33336" xr:uid="{00000000-0005-0000-0000-0000EC7E0000}"/>
    <cellStyle name="Normal 11 2 3 2 3 5" xfId="1412" xr:uid="{00000000-0005-0000-0000-0000ED7E0000}"/>
    <cellStyle name="Normal 11 2 3 2 3 5 2" xfId="33338" xr:uid="{00000000-0005-0000-0000-0000EE7E0000}"/>
    <cellStyle name="Normal 11 2 3 2 3 5 2 2" xfId="33339" xr:uid="{00000000-0005-0000-0000-0000EF7E0000}"/>
    <cellStyle name="Normal 11 2 3 2 3 5 2 2 2" xfId="33340" xr:uid="{00000000-0005-0000-0000-0000F07E0000}"/>
    <cellStyle name="Normal 11 2 3 2 3 5 2 2 2 2" xfId="33341" xr:uid="{00000000-0005-0000-0000-0000F17E0000}"/>
    <cellStyle name="Normal 11 2 3 2 3 5 2 2 3" xfId="33342" xr:uid="{00000000-0005-0000-0000-0000F27E0000}"/>
    <cellStyle name="Normal 11 2 3 2 3 5 2 3" xfId="33343" xr:uid="{00000000-0005-0000-0000-0000F37E0000}"/>
    <cellStyle name="Normal 11 2 3 2 3 5 2 3 2" xfId="33344" xr:uid="{00000000-0005-0000-0000-0000F47E0000}"/>
    <cellStyle name="Normal 11 2 3 2 3 5 2 4" xfId="33345" xr:uid="{00000000-0005-0000-0000-0000F57E0000}"/>
    <cellStyle name="Normal 11 2 3 2 3 5 3" xfId="33346" xr:uid="{00000000-0005-0000-0000-0000F67E0000}"/>
    <cellStyle name="Normal 11 2 3 2 3 5 3 2" xfId="33347" xr:uid="{00000000-0005-0000-0000-0000F77E0000}"/>
    <cellStyle name="Normal 11 2 3 2 3 5 3 2 2" xfId="33348" xr:uid="{00000000-0005-0000-0000-0000F87E0000}"/>
    <cellStyle name="Normal 11 2 3 2 3 5 3 2 2 2" xfId="33349" xr:uid="{00000000-0005-0000-0000-0000F97E0000}"/>
    <cellStyle name="Normal 11 2 3 2 3 5 3 2 3" xfId="33350" xr:uid="{00000000-0005-0000-0000-0000FA7E0000}"/>
    <cellStyle name="Normal 11 2 3 2 3 5 3 3" xfId="33351" xr:uid="{00000000-0005-0000-0000-0000FB7E0000}"/>
    <cellStyle name="Normal 11 2 3 2 3 5 3 3 2" xfId="33352" xr:uid="{00000000-0005-0000-0000-0000FC7E0000}"/>
    <cellStyle name="Normal 11 2 3 2 3 5 3 4" xfId="33353" xr:uid="{00000000-0005-0000-0000-0000FD7E0000}"/>
    <cellStyle name="Normal 11 2 3 2 3 5 4" xfId="33354" xr:uid="{00000000-0005-0000-0000-0000FE7E0000}"/>
    <cellStyle name="Normal 11 2 3 2 3 5 4 2" xfId="33355" xr:uid="{00000000-0005-0000-0000-0000FF7E0000}"/>
    <cellStyle name="Normal 11 2 3 2 3 5 4 2 2" xfId="33356" xr:uid="{00000000-0005-0000-0000-0000007F0000}"/>
    <cellStyle name="Normal 11 2 3 2 3 5 4 3" xfId="33357" xr:uid="{00000000-0005-0000-0000-0000017F0000}"/>
    <cellStyle name="Normal 11 2 3 2 3 5 5" xfId="33358" xr:uid="{00000000-0005-0000-0000-0000027F0000}"/>
    <cellStyle name="Normal 11 2 3 2 3 5 5 2" xfId="33359" xr:uid="{00000000-0005-0000-0000-0000037F0000}"/>
    <cellStyle name="Normal 11 2 3 2 3 5 6" xfId="33360" xr:uid="{00000000-0005-0000-0000-0000047F0000}"/>
    <cellStyle name="Normal 11 2 3 2 3 5 7" xfId="33337" xr:uid="{00000000-0005-0000-0000-0000057F0000}"/>
    <cellStyle name="Normal 11 2 3 2 3 6" xfId="33361" xr:uid="{00000000-0005-0000-0000-0000067F0000}"/>
    <cellStyle name="Normal 11 2 3 2 3 6 2" xfId="33362" xr:uid="{00000000-0005-0000-0000-0000077F0000}"/>
    <cellStyle name="Normal 11 2 3 2 3 6 2 2" xfId="33363" xr:uid="{00000000-0005-0000-0000-0000087F0000}"/>
    <cellStyle name="Normal 11 2 3 2 3 6 2 2 2" xfId="33364" xr:uid="{00000000-0005-0000-0000-0000097F0000}"/>
    <cellStyle name="Normal 11 2 3 2 3 6 2 2 2 2" xfId="33365" xr:uid="{00000000-0005-0000-0000-00000A7F0000}"/>
    <cellStyle name="Normal 11 2 3 2 3 6 2 2 3" xfId="33366" xr:uid="{00000000-0005-0000-0000-00000B7F0000}"/>
    <cellStyle name="Normal 11 2 3 2 3 6 2 3" xfId="33367" xr:uid="{00000000-0005-0000-0000-00000C7F0000}"/>
    <cellStyle name="Normal 11 2 3 2 3 6 2 3 2" xfId="33368" xr:uid="{00000000-0005-0000-0000-00000D7F0000}"/>
    <cellStyle name="Normal 11 2 3 2 3 6 2 4" xfId="33369" xr:uid="{00000000-0005-0000-0000-00000E7F0000}"/>
    <cellStyle name="Normal 11 2 3 2 3 6 3" xfId="33370" xr:uid="{00000000-0005-0000-0000-00000F7F0000}"/>
    <cellStyle name="Normal 11 2 3 2 3 6 3 2" xfId="33371" xr:uid="{00000000-0005-0000-0000-0000107F0000}"/>
    <cellStyle name="Normal 11 2 3 2 3 6 3 2 2" xfId="33372" xr:uid="{00000000-0005-0000-0000-0000117F0000}"/>
    <cellStyle name="Normal 11 2 3 2 3 6 3 3" xfId="33373" xr:uid="{00000000-0005-0000-0000-0000127F0000}"/>
    <cellStyle name="Normal 11 2 3 2 3 6 4" xfId="33374" xr:uid="{00000000-0005-0000-0000-0000137F0000}"/>
    <cellStyle name="Normal 11 2 3 2 3 6 4 2" xfId="33375" xr:uid="{00000000-0005-0000-0000-0000147F0000}"/>
    <cellStyle name="Normal 11 2 3 2 3 6 5" xfId="33376" xr:uid="{00000000-0005-0000-0000-0000157F0000}"/>
    <cellStyle name="Normal 11 2 3 2 3 7" xfId="33377" xr:uid="{00000000-0005-0000-0000-0000167F0000}"/>
    <cellStyle name="Normal 11 2 3 2 3 7 2" xfId="33378" xr:uid="{00000000-0005-0000-0000-0000177F0000}"/>
    <cellStyle name="Normal 11 2 3 2 3 7 2 2" xfId="33379" xr:uid="{00000000-0005-0000-0000-0000187F0000}"/>
    <cellStyle name="Normal 11 2 3 2 3 7 2 2 2" xfId="33380" xr:uid="{00000000-0005-0000-0000-0000197F0000}"/>
    <cellStyle name="Normal 11 2 3 2 3 7 2 2 2 2" xfId="33381" xr:uid="{00000000-0005-0000-0000-00001A7F0000}"/>
    <cellStyle name="Normal 11 2 3 2 3 7 2 2 3" xfId="33382" xr:uid="{00000000-0005-0000-0000-00001B7F0000}"/>
    <cellStyle name="Normal 11 2 3 2 3 7 2 3" xfId="33383" xr:uid="{00000000-0005-0000-0000-00001C7F0000}"/>
    <cellStyle name="Normal 11 2 3 2 3 7 2 3 2" xfId="33384" xr:uid="{00000000-0005-0000-0000-00001D7F0000}"/>
    <cellStyle name="Normal 11 2 3 2 3 7 2 4" xfId="33385" xr:uid="{00000000-0005-0000-0000-00001E7F0000}"/>
    <cellStyle name="Normal 11 2 3 2 3 7 3" xfId="33386" xr:uid="{00000000-0005-0000-0000-00001F7F0000}"/>
    <cellStyle name="Normal 11 2 3 2 3 7 3 2" xfId="33387" xr:uid="{00000000-0005-0000-0000-0000207F0000}"/>
    <cellStyle name="Normal 11 2 3 2 3 7 3 2 2" xfId="33388" xr:uid="{00000000-0005-0000-0000-0000217F0000}"/>
    <cellStyle name="Normal 11 2 3 2 3 7 3 3" xfId="33389" xr:uid="{00000000-0005-0000-0000-0000227F0000}"/>
    <cellStyle name="Normal 11 2 3 2 3 7 4" xfId="33390" xr:uid="{00000000-0005-0000-0000-0000237F0000}"/>
    <cellStyle name="Normal 11 2 3 2 3 7 4 2" xfId="33391" xr:uid="{00000000-0005-0000-0000-0000247F0000}"/>
    <cellStyle name="Normal 11 2 3 2 3 7 5" xfId="33392" xr:uid="{00000000-0005-0000-0000-0000257F0000}"/>
    <cellStyle name="Normal 11 2 3 2 3 8" xfId="33393" xr:uid="{00000000-0005-0000-0000-0000267F0000}"/>
    <cellStyle name="Normal 11 2 3 2 3 8 2" xfId="33394" xr:uid="{00000000-0005-0000-0000-0000277F0000}"/>
    <cellStyle name="Normal 11 2 3 2 3 8 2 2" xfId="33395" xr:uid="{00000000-0005-0000-0000-0000287F0000}"/>
    <cellStyle name="Normal 11 2 3 2 3 8 2 2 2" xfId="33396" xr:uid="{00000000-0005-0000-0000-0000297F0000}"/>
    <cellStyle name="Normal 11 2 3 2 3 8 2 3" xfId="33397" xr:uid="{00000000-0005-0000-0000-00002A7F0000}"/>
    <cellStyle name="Normal 11 2 3 2 3 8 3" xfId="33398" xr:uid="{00000000-0005-0000-0000-00002B7F0000}"/>
    <cellStyle name="Normal 11 2 3 2 3 8 3 2" xfId="33399" xr:uid="{00000000-0005-0000-0000-00002C7F0000}"/>
    <cellStyle name="Normal 11 2 3 2 3 8 4" xfId="33400" xr:uid="{00000000-0005-0000-0000-00002D7F0000}"/>
    <cellStyle name="Normal 11 2 3 2 3 9" xfId="33401" xr:uid="{00000000-0005-0000-0000-00002E7F0000}"/>
    <cellStyle name="Normal 11 2 3 2 3 9 2" xfId="33402" xr:uid="{00000000-0005-0000-0000-00002F7F0000}"/>
    <cellStyle name="Normal 11 2 3 2 3 9 2 2" xfId="33403" xr:uid="{00000000-0005-0000-0000-0000307F0000}"/>
    <cellStyle name="Normal 11 2 3 2 3 9 2 2 2" xfId="33404" xr:uid="{00000000-0005-0000-0000-0000317F0000}"/>
    <cellStyle name="Normal 11 2 3 2 3 9 2 3" xfId="33405" xr:uid="{00000000-0005-0000-0000-0000327F0000}"/>
    <cellStyle name="Normal 11 2 3 2 3 9 3" xfId="33406" xr:uid="{00000000-0005-0000-0000-0000337F0000}"/>
    <cellStyle name="Normal 11 2 3 2 3 9 3 2" xfId="33407" xr:uid="{00000000-0005-0000-0000-0000347F0000}"/>
    <cellStyle name="Normal 11 2 3 2 3 9 4" xfId="33408" xr:uid="{00000000-0005-0000-0000-0000357F0000}"/>
    <cellStyle name="Normal 11 2 3 2 4" xfId="571" xr:uid="{00000000-0005-0000-0000-0000367F0000}"/>
    <cellStyle name="Normal 11 2 3 2 4 10" xfId="33410" xr:uid="{00000000-0005-0000-0000-0000377F0000}"/>
    <cellStyle name="Normal 11 2 3 2 4 10 2" xfId="33411" xr:uid="{00000000-0005-0000-0000-0000387F0000}"/>
    <cellStyle name="Normal 11 2 3 2 4 10 2 2" xfId="33412" xr:uid="{00000000-0005-0000-0000-0000397F0000}"/>
    <cellStyle name="Normal 11 2 3 2 4 10 3" xfId="33413" xr:uid="{00000000-0005-0000-0000-00003A7F0000}"/>
    <cellStyle name="Normal 11 2 3 2 4 11" xfId="33414" xr:uid="{00000000-0005-0000-0000-00003B7F0000}"/>
    <cellStyle name="Normal 11 2 3 2 4 11 2" xfId="33415" xr:uid="{00000000-0005-0000-0000-00003C7F0000}"/>
    <cellStyle name="Normal 11 2 3 2 4 11 2 2" xfId="33416" xr:uid="{00000000-0005-0000-0000-00003D7F0000}"/>
    <cellStyle name="Normal 11 2 3 2 4 11 3" xfId="33417" xr:uid="{00000000-0005-0000-0000-00003E7F0000}"/>
    <cellStyle name="Normal 11 2 3 2 4 12" xfId="33418" xr:uid="{00000000-0005-0000-0000-00003F7F0000}"/>
    <cellStyle name="Normal 11 2 3 2 4 12 2" xfId="33419" xr:uid="{00000000-0005-0000-0000-0000407F0000}"/>
    <cellStyle name="Normal 11 2 3 2 4 13" xfId="33420" xr:uid="{00000000-0005-0000-0000-0000417F0000}"/>
    <cellStyle name="Normal 11 2 3 2 4 14" xfId="33421" xr:uid="{00000000-0005-0000-0000-0000427F0000}"/>
    <cellStyle name="Normal 11 2 3 2 4 15" xfId="33409" xr:uid="{00000000-0005-0000-0000-0000437F0000}"/>
    <cellStyle name="Normal 11 2 3 2 4 2" xfId="1013" xr:uid="{00000000-0005-0000-0000-0000447F0000}"/>
    <cellStyle name="Normal 11 2 3 2 4 2 10" xfId="33423" xr:uid="{00000000-0005-0000-0000-0000457F0000}"/>
    <cellStyle name="Normal 11 2 3 2 4 2 11" xfId="33422" xr:uid="{00000000-0005-0000-0000-0000467F0000}"/>
    <cellStyle name="Normal 11 2 3 2 4 2 2" xfId="1742" xr:uid="{00000000-0005-0000-0000-0000477F0000}"/>
    <cellStyle name="Normal 11 2 3 2 4 2 2 2" xfId="33425" xr:uid="{00000000-0005-0000-0000-0000487F0000}"/>
    <cellStyle name="Normal 11 2 3 2 4 2 2 2 2" xfId="33426" xr:uid="{00000000-0005-0000-0000-0000497F0000}"/>
    <cellStyle name="Normal 11 2 3 2 4 2 2 2 2 2" xfId="33427" xr:uid="{00000000-0005-0000-0000-00004A7F0000}"/>
    <cellStyle name="Normal 11 2 3 2 4 2 2 2 2 2 2" xfId="33428" xr:uid="{00000000-0005-0000-0000-00004B7F0000}"/>
    <cellStyle name="Normal 11 2 3 2 4 2 2 2 2 3" xfId="33429" xr:uid="{00000000-0005-0000-0000-00004C7F0000}"/>
    <cellStyle name="Normal 11 2 3 2 4 2 2 2 3" xfId="33430" xr:uid="{00000000-0005-0000-0000-00004D7F0000}"/>
    <cellStyle name="Normal 11 2 3 2 4 2 2 2 3 2" xfId="33431" xr:uid="{00000000-0005-0000-0000-00004E7F0000}"/>
    <cellStyle name="Normal 11 2 3 2 4 2 2 2 4" xfId="33432" xr:uid="{00000000-0005-0000-0000-00004F7F0000}"/>
    <cellStyle name="Normal 11 2 3 2 4 2 2 3" xfId="33433" xr:uid="{00000000-0005-0000-0000-0000507F0000}"/>
    <cellStyle name="Normal 11 2 3 2 4 2 2 3 2" xfId="33434" xr:uid="{00000000-0005-0000-0000-0000517F0000}"/>
    <cellStyle name="Normal 11 2 3 2 4 2 2 3 2 2" xfId="33435" xr:uid="{00000000-0005-0000-0000-0000527F0000}"/>
    <cellStyle name="Normal 11 2 3 2 4 2 2 3 2 2 2" xfId="33436" xr:uid="{00000000-0005-0000-0000-0000537F0000}"/>
    <cellStyle name="Normal 11 2 3 2 4 2 2 3 2 3" xfId="33437" xr:uid="{00000000-0005-0000-0000-0000547F0000}"/>
    <cellStyle name="Normal 11 2 3 2 4 2 2 3 3" xfId="33438" xr:uid="{00000000-0005-0000-0000-0000557F0000}"/>
    <cellStyle name="Normal 11 2 3 2 4 2 2 3 3 2" xfId="33439" xr:uid="{00000000-0005-0000-0000-0000567F0000}"/>
    <cellStyle name="Normal 11 2 3 2 4 2 2 3 4" xfId="33440" xr:uid="{00000000-0005-0000-0000-0000577F0000}"/>
    <cellStyle name="Normal 11 2 3 2 4 2 2 4" xfId="33441" xr:uid="{00000000-0005-0000-0000-0000587F0000}"/>
    <cellStyle name="Normal 11 2 3 2 4 2 2 4 2" xfId="33442" xr:uid="{00000000-0005-0000-0000-0000597F0000}"/>
    <cellStyle name="Normal 11 2 3 2 4 2 2 4 2 2" xfId="33443" xr:uid="{00000000-0005-0000-0000-00005A7F0000}"/>
    <cellStyle name="Normal 11 2 3 2 4 2 2 4 3" xfId="33444" xr:uid="{00000000-0005-0000-0000-00005B7F0000}"/>
    <cellStyle name="Normal 11 2 3 2 4 2 2 5" xfId="33445" xr:uid="{00000000-0005-0000-0000-00005C7F0000}"/>
    <cellStyle name="Normal 11 2 3 2 4 2 2 5 2" xfId="33446" xr:uid="{00000000-0005-0000-0000-00005D7F0000}"/>
    <cellStyle name="Normal 11 2 3 2 4 2 2 6" xfId="33447" xr:uid="{00000000-0005-0000-0000-00005E7F0000}"/>
    <cellStyle name="Normal 11 2 3 2 4 2 2 7" xfId="33424" xr:uid="{00000000-0005-0000-0000-00005F7F0000}"/>
    <cellStyle name="Normal 11 2 3 2 4 2 3" xfId="33448" xr:uid="{00000000-0005-0000-0000-0000607F0000}"/>
    <cellStyle name="Normal 11 2 3 2 4 2 3 2" xfId="33449" xr:uid="{00000000-0005-0000-0000-0000617F0000}"/>
    <cellStyle name="Normal 11 2 3 2 4 2 3 2 2" xfId="33450" xr:uid="{00000000-0005-0000-0000-0000627F0000}"/>
    <cellStyle name="Normal 11 2 3 2 4 2 3 2 2 2" xfId="33451" xr:uid="{00000000-0005-0000-0000-0000637F0000}"/>
    <cellStyle name="Normal 11 2 3 2 4 2 3 2 2 2 2" xfId="33452" xr:uid="{00000000-0005-0000-0000-0000647F0000}"/>
    <cellStyle name="Normal 11 2 3 2 4 2 3 2 2 3" xfId="33453" xr:uid="{00000000-0005-0000-0000-0000657F0000}"/>
    <cellStyle name="Normal 11 2 3 2 4 2 3 2 3" xfId="33454" xr:uid="{00000000-0005-0000-0000-0000667F0000}"/>
    <cellStyle name="Normal 11 2 3 2 4 2 3 2 3 2" xfId="33455" xr:uid="{00000000-0005-0000-0000-0000677F0000}"/>
    <cellStyle name="Normal 11 2 3 2 4 2 3 2 4" xfId="33456" xr:uid="{00000000-0005-0000-0000-0000687F0000}"/>
    <cellStyle name="Normal 11 2 3 2 4 2 3 3" xfId="33457" xr:uid="{00000000-0005-0000-0000-0000697F0000}"/>
    <cellStyle name="Normal 11 2 3 2 4 2 3 3 2" xfId="33458" xr:uid="{00000000-0005-0000-0000-00006A7F0000}"/>
    <cellStyle name="Normal 11 2 3 2 4 2 3 3 2 2" xfId="33459" xr:uid="{00000000-0005-0000-0000-00006B7F0000}"/>
    <cellStyle name="Normal 11 2 3 2 4 2 3 3 3" xfId="33460" xr:uid="{00000000-0005-0000-0000-00006C7F0000}"/>
    <cellStyle name="Normal 11 2 3 2 4 2 3 4" xfId="33461" xr:uid="{00000000-0005-0000-0000-00006D7F0000}"/>
    <cellStyle name="Normal 11 2 3 2 4 2 3 4 2" xfId="33462" xr:uid="{00000000-0005-0000-0000-00006E7F0000}"/>
    <cellStyle name="Normal 11 2 3 2 4 2 3 5" xfId="33463" xr:uid="{00000000-0005-0000-0000-00006F7F0000}"/>
    <cellStyle name="Normal 11 2 3 2 4 2 4" xfId="33464" xr:uid="{00000000-0005-0000-0000-0000707F0000}"/>
    <cellStyle name="Normal 11 2 3 2 4 2 4 2" xfId="33465" xr:uid="{00000000-0005-0000-0000-0000717F0000}"/>
    <cellStyle name="Normal 11 2 3 2 4 2 4 2 2" xfId="33466" xr:uid="{00000000-0005-0000-0000-0000727F0000}"/>
    <cellStyle name="Normal 11 2 3 2 4 2 4 2 2 2" xfId="33467" xr:uid="{00000000-0005-0000-0000-0000737F0000}"/>
    <cellStyle name="Normal 11 2 3 2 4 2 4 2 2 2 2" xfId="33468" xr:uid="{00000000-0005-0000-0000-0000747F0000}"/>
    <cellStyle name="Normal 11 2 3 2 4 2 4 2 2 3" xfId="33469" xr:uid="{00000000-0005-0000-0000-0000757F0000}"/>
    <cellStyle name="Normal 11 2 3 2 4 2 4 2 3" xfId="33470" xr:uid="{00000000-0005-0000-0000-0000767F0000}"/>
    <cellStyle name="Normal 11 2 3 2 4 2 4 2 3 2" xfId="33471" xr:uid="{00000000-0005-0000-0000-0000777F0000}"/>
    <cellStyle name="Normal 11 2 3 2 4 2 4 2 4" xfId="33472" xr:uid="{00000000-0005-0000-0000-0000787F0000}"/>
    <cellStyle name="Normal 11 2 3 2 4 2 4 3" xfId="33473" xr:uid="{00000000-0005-0000-0000-0000797F0000}"/>
    <cellStyle name="Normal 11 2 3 2 4 2 4 3 2" xfId="33474" xr:uid="{00000000-0005-0000-0000-00007A7F0000}"/>
    <cellStyle name="Normal 11 2 3 2 4 2 4 3 2 2" xfId="33475" xr:uid="{00000000-0005-0000-0000-00007B7F0000}"/>
    <cellStyle name="Normal 11 2 3 2 4 2 4 3 3" xfId="33476" xr:uid="{00000000-0005-0000-0000-00007C7F0000}"/>
    <cellStyle name="Normal 11 2 3 2 4 2 4 4" xfId="33477" xr:uid="{00000000-0005-0000-0000-00007D7F0000}"/>
    <cellStyle name="Normal 11 2 3 2 4 2 4 4 2" xfId="33478" xr:uid="{00000000-0005-0000-0000-00007E7F0000}"/>
    <cellStyle name="Normal 11 2 3 2 4 2 4 5" xfId="33479" xr:uid="{00000000-0005-0000-0000-00007F7F0000}"/>
    <cellStyle name="Normal 11 2 3 2 4 2 5" xfId="33480" xr:uid="{00000000-0005-0000-0000-0000807F0000}"/>
    <cellStyle name="Normal 11 2 3 2 4 2 5 2" xfId="33481" xr:uid="{00000000-0005-0000-0000-0000817F0000}"/>
    <cellStyle name="Normal 11 2 3 2 4 2 5 2 2" xfId="33482" xr:uid="{00000000-0005-0000-0000-0000827F0000}"/>
    <cellStyle name="Normal 11 2 3 2 4 2 5 2 2 2" xfId="33483" xr:uid="{00000000-0005-0000-0000-0000837F0000}"/>
    <cellStyle name="Normal 11 2 3 2 4 2 5 2 3" xfId="33484" xr:uid="{00000000-0005-0000-0000-0000847F0000}"/>
    <cellStyle name="Normal 11 2 3 2 4 2 5 3" xfId="33485" xr:uid="{00000000-0005-0000-0000-0000857F0000}"/>
    <cellStyle name="Normal 11 2 3 2 4 2 5 3 2" xfId="33486" xr:uid="{00000000-0005-0000-0000-0000867F0000}"/>
    <cellStyle name="Normal 11 2 3 2 4 2 5 4" xfId="33487" xr:uid="{00000000-0005-0000-0000-0000877F0000}"/>
    <cellStyle name="Normal 11 2 3 2 4 2 6" xfId="33488" xr:uid="{00000000-0005-0000-0000-0000887F0000}"/>
    <cellStyle name="Normal 11 2 3 2 4 2 6 2" xfId="33489" xr:uid="{00000000-0005-0000-0000-0000897F0000}"/>
    <cellStyle name="Normal 11 2 3 2 4 2 6 2 2" xfId="33490" xr:uid="{00000000-0005-0000-0000-00008A7F0000}"/>
    <cellStyle name="Normal 11 2 3 2 4 2 6 2 2 2" xfId="33491" xr:uid="{00000000-0005-0000-0000-00008B7F0000}"/>
    <cellStyle name="Normal 11 2 3 2 4 2 6 2 3" xfId="33492" xr:uid="{00000000-0005-0000-0000-00008C7F0000}"/>
    <cellStyle name="Normal 11 2 3 2 4 2 6 3" xfId="33493" xr:uid="{00000000-0005-0000-0000-00008D7F0000}"/>
    <cellStyle name="Normal 11 2 3 2 4 2 6 3 2" xfId="33494" xr:uid="{00000000-0005-0000-0000-00008E7F0000}"/>
    <cellStyle name="Normal 11 2 3 2 4 2 6 4" xfId="33495" xr:uid="{00000000-0005-0000-0000-00008F7F0000}"/>
    <cellStyle name="Normal 11 2 3 2 4 2 7" xfId="33496" xr:uid="{00000000-0005-0000-0000-0000907F0000}"/>
    <cellStyle name="Normal 11 2 3 2 4 2 7 2" xfId="33497" xr:uid="{00000000-0005-0000-0000-0000917F0000}"/>
    <cellStyle name="Normal 11 2 3 2 4 2 7 2 2" xfId="33498" xr:uid="{00000000-0005-0000-0000-0000927F0000}"/>
    <cellStyle name="Normal 11 2 3 2 4 2 7 2 2 2" xfId="33499" xr:uid="{00000000-0005-0000-0000-0000937F0000}"/>
    <cellStyle name="Normal 11 2 3 2 4 2 7 2 3" xfId="33500" xr:uid="{00000000-0005-0000-0000-0000947F0000}"/>
    <cellStyle name="Normal 11 2 3 2 4 2 7 3" xfId="33501" xr:uid="{00000000-0005-0000-0000-0000957F0000}"/>
    <cellStyle name="Normal 11 2 3 2 4 2 7 3 2" xfId="33502" xr:uid="{00000000-0005-0000-0000-0000967F0000}"/>
    <cellStyle name="Normal 11 2 3 2 4 2 7 4" xfId="33503" xr:uid="{00000000-0005-0000-0000-0000977F0000}"/>
    <cellStyle name="Normal 11 2 3 2 4 2 8" xfId="33504" xr:uid="{00000000-0005-0000-0000-0000987F0000}"/>
    <cellStyle name="Normal 11 2 3 2 4 2 8 2" xfId="33505" xr:uid="{00000000-0005-0000-0000-0000997F0000}"/>
    <cellStyle name="Normal 11 2 3 2 4 2 8 2 2" xfId="33506" xr:uid="{00000000-0005-0000-0000-00009A7F0000}"/>
    <cellStyle name="Normal 11 2 3 2 4 2 8 3" xfId="33507" xr:uid="{00000000-0005-0000-0000-00009B7F0000}"/>
    <cellStyle name="Normal 11 2 3 2 4 2 9" xfId="33508" xr:uid="{00000000-0005-0000-0000-00009C7F0000}"/>
    <cellStyle name="Normal 11 2 3 2 4 2 9 2" xfId="33509" xr:uid="{00000000-0005-0000-0000-00009D7F0000}"/>
    <cellStyle name="Normal 11 2 3 2 4 3" xfId="1415" xr:uid="{00000000-0005-0000-0000-00009E7F0000}"/>
    <cellStyle name="Normal 11 2 3 2 4 3 2" xfId="33511" xr:uid="{00000000-0005-0000-0000-00009F7F0000}"/>
    <cellStyle name="Normal 11 2 3 2 4 3 2 2" xfId="33512" xr:uid="{00000000-0005-0000-0000-0000A07F0000}"/>
    <cellStyle name="Normal 11 2 3 2 4 3 2 2 2" xfId="33513" xr:uid="{00000000-0005-0000-0000-0000A17F0000}"/>
    <cellStyle name="Normal 11 2 3 2 4 3 2 2 2 2" xfId="33514" xr:uid="{00000000-0005-0000-0000-0000A27F0000}"/>
    <cellStyle name="Normal 11 2 3 2 4 3 2 2 3" xfId="33515" xr:uid="{00000000-0005-0000-0000-0000A37F0000}"/>
    <cellStyle name="Normal 11 2 3 2 4 3 2 3" xfId="33516" xr:uid="{00000000-0005-0000-0000-0000A47F0000}"/>
    <cellStyle name="Normal 11 2 3 2 4 3 2 3 2" xfId="33517" xr:uid="{00000000-0005-0000-0000-0000A57F0000}"/>
    <cellStyle name="Normal 11 2 3 2 4 3 2 4" xfId="33518" xr:uid="{00000000-0005-0000-0000-0000A67F0000}"/>
    <cellStyle name="Normal 11 2 3 2 4 3 3" xfId="33519" xr:uid="{00000000-0005-0000-0000-0000A77F0000}"/>
    <cellStyle name="Normal 11 2 3 2 4 3 3 2" xfId="33520" xr:uid="{00000000-0005-0000-0000-0000A87F0000}"/>
    <cellStyle name="Normal 11 2 3 2 4 3 3 2 2" xfId="33521" xr:uid="{00000000-0005-0000-0000-0000A97F0000}"/>
    <cellStyle name="Normal 11 2 3 2 4 3 3 2 2 2" xfId="33522" xr:uid="{00000000-0005-0000-0000-0000AA7F0000}"/>
    <cellStyle name="Normal 11 2 3 2 4 3 3 2 3" xfId="33523" xr:uid="{00000000-0005-0000-0000-0000AB7F0000}"/>
    <cellStyle name="Normal 11 2 3 2 4 3 3 3" xfId="33524" xr:uid="{00000000-0005-0000-0000-0000AC7F0000}"/>
    <cellStyle name="Normal 11 2 3 2 4 3 3 3 2" xfId="33525" xr:uid="{00000000-0005-0000-0000-0000AD7F0000}"/>
    <cellStyle name="Normal 11 2 3 2 4 3 3 4" xfId="33526" xr:uid="{00000000-0005-0000-0000-0000AE7F0000}"/>
    <cellStyle name="Normal 11 2 3 2 4 3 4" xfId="33527" xr:uid="{00000000-0005-0000-0000-0000AF7F0000}"/>
    <cellStyle name="Normal 11 2 3 2 4 3 4 2" xfId="33528" xr:uid="{00000000-0005-0000-0000-0000B07F0000}"/>
    <cellStyle name="Normal 11 2 3 2 4 3 4 2 2" xfId="33529" xr:uid="{00000000-0005-0000-0000-0000B17F0000}"/>
    <cellStyle name="Normal 11 2 3 2 4 3 4 3" xfId="33530" xr:uid="{00000000-0005-0000-0000-0000B27F0000}"/>
    <cellStyle name="Normal 11 2 3 2 4 3 5" xfId="33531" xr:uid="{00000000-0005-0000-0000-0000B37F0000}"/>
    <cellStyle name="Normal 11 2 3 2 4 3 5 2" xfId="33532" xr:uid="{00000000-0005-0000-0000-0000B47F0000}"/>
    <cellStyle name="Normal 11 2 3 2 4 3 6" xfId="33533" xr:uid="{00000000-0005-0000-0000-0000B57F0000}"/>
    <cellStyle name="Normal 11 2 3 2 4 3 7" xfId="33510" xr:uid="{00000000-0005-0000-0000-0000B67F0000}"/>
    <cellStyle name="Normal 11 2 3 2 4 4" xfId="33534" xr:uid="{00000000-0005-0000-0000-0000B77F0000}"/>
    <cellStyle name="Normal 11 2 3 2 4 4 2" xfId="33535" xr:uid="{00000000-0005-0000-0000-0000B87F0000}"/>
    <cellStyle name="Normal 11 2 3 2 4 4 2 2" xfId="33536" xr:uid="{00000000-0005-0000-0000-0000B97F0000}"/>
    <cellStyle name="Normal 11 2 3 2 4 4 2 2 2" xfId="33537" xr:uid="{00000000-0005-0000-0000-0000BA7F0000}"/>
    <cellStyle name="Normal 11 2 3 2 4 4 2 2 2 2" xfId="33538" xr:uid="{00000000-0005-0000-0000-0000BB7F0000}"/>
    <cellStyle name="Normal 11 2 3 2 4 4 2 2 3" xfId="33539" xr:uid="{00000000-0005-0000-0000-0000BC7F0000}"/>
    <cellStyle name="Normal 11 2 3 2 4 4 2 3" xfId="33540" xr:uid="{00000000-0005-0000-0000-0000BD7F0000}"/>
    <cellStyle name="Normal 11 2 3 2 4 4 2 3 2" xfId="33541" xr:uid="{00000000-0005-0000-0000-0000BE7F0000}"/>
    <cellStyle name="Normal 11 2 3 2 4 4 2 4" xfId="33542" xr:uid="{00000000-0005-0000-0000-0000BF7F0000}"/>
    <cellStyle name="Normal 11 2 3 2 4 4 3" xfId="33543" xr:uid="{00000000-0005-0000-0000-0000C07F0000}"/>
    <cellStyle name="Normal 11 2 3 2 4 4 3 2" xfId="33544" xr:uid="{00000000-0005-0000-0000-0000C17F0000}"/>
    <cellStyle name="Normal 11 2 3 2 4 4 3 2 2" xfId="33545" xr:uid="{00000000-0005-0000-0000-0000C27F0000}"/>
    <cellStyle name="Normal 11 2 3 2 4 4 3 3" xfId="33546" xr:uid="{00000000-0005-0000-0000-0000C37F0000}"/>
    <cellStyle name="Normal 11 2 3 2 4 4 4" xfId="33547" xr:uid="{00000000-0005-0000-0000-0000C47F0000}"/>
    <cellStyle name="Normal 11 2 3 2 4 4 4 2" xfId="33548" xr:uid="{00000000-0005-0000-0000-0000C57F0000}"/>
    <cellStyle name="Normal 11 2 3 2 4 4 5" xfId="33549" xr:uid="{00000000-0005-0000-0000-0000C67F0000}"/>
    <cellStyle name="Normal 11 2 3 2 4 5" xfId="33550" xr:uid="{00000000-0005-0000-0000-0000C77F0000}"/>
    <cellStyle name="Normal 11 2 3 2 4 5 2" xfId="33551" xr:uid="{00000000-0005-0000-0000-0000C87F0000}"/>
    <cellStyle name="Normal 11 2 3 2 4 5 2 2" xfId="33552" xr:uid="{00000000-0005-0000-0000-0000C97F0000}"/>
    <cellStyle name="Normal 11 2 3 2 4 5 2 2 2" xfId="33553" xr:uid="{00000000-0005-0000-0000-0000CA7F0000}"/>
    <cellStyle name="Normal 11 2 3 2 4 5 2 2 2 2" xfId="33554" xr:uid="{00000000-0005-0000-0000-0000CB7F0000}"/>
    <cellStyle name="Normal 11 2 3 2 4 5 2 2 3" xfId="33555" xr:uid="{00000000-0005-0000-0000-0000CC7F0000}"/>
    <cellStyle name="Normal 11 2 3 2 4 5 2 3" xfId="33556" xr:uid="{00000000-0005-0000-0000-0000CD7F0000}"/>
    <cellStyle name="Normal 11 2 3 2 4 5 2 3 2" xfId="33557" xr:uid="{00000000-0005-0000-0000-0000CE7F0000}"/>
    <cellStyle name="Normal 11 2 3 2 4 5 2 4" xfId="33558" xr:uid="{00000000-0005-0000-0000-0000CF7F0000}"/>
    <cellStyle name="Normal 11 2 3 2 4 5 3" xfId="33559" xr:uid="{00000000-0005-0000-0000-0000D07F0000}"/>
    <cellStyle name="Normal 11 2 3 2 4 5 3 2" xfId="33560" xr:uid="{00000000-0005-0000-0000-0000D17F0000}"/>
    <cellStyle name="Normal 11 2 3 2 4 5 3 2 2" xfId="33561" xr:uid="{00000000-0005-0000-0000-0000D27F0000}"/>
    <cellStyle name="Normal 11 2 3 2 4 5 3 3" xfId="33562" xr:uid="{00000000-0005-0000-0000-0000D37F0000}"/>
    <cellStyle name="Normal 11 2 3 2 4 5 4" xfId="33563" xr:uid="{00000000-0005-0000-0000-0000D47F0000}"/>
    <cellStyle name="Normal 11 2 3 2 4 5 4 2" xfId="33564" xr:uid="{00000000-0005-0000-0000-0000D57F0000}"/>
    <cellStyle name="Normal 11 2 3 2 4 5 5" xfId="33565" xr:uid="{00000000-0005-0000-0000-0000D67F0000}"/>
    <cellStyle name="Normal 11 2 3 2 4 6" xfId="33566" xr:uid="{00000000-0005-0000-0000-0000D77F0000}"/>
    <cellStyle name="Normal 11 2 3 2 4 6 2" xfId="33567" xr:uid="{00000000-0005-0000-0000-0000D87F0000}"/>
    <cellStyle name="Normal 11 2 3 2 4 6 2 2" xfId="33568" xr:uid="{00000000-0005-0000-0000-0000D97F0000}"/>
    <cellStyle name="Normal 11 2 3 2 4 6 2 2 2" xfId="33569" xr:uid="{00000000-0005-0000-0000-0000DA7F0000}"/>
    <cellStyle name="Normal 11 2 3 2 4 6 2 3" xfId="33570" xr:uid="{00000000-0005-0000-0000-0000DB7F0000}"/>
    <cellStyle name="Normal 11 2 3 2 4 6 3" xfId="33571" xr:uid="{00000000-0005-0000-0000-0000DC7F0000}"/>
    <cellStyle name="Normal 11 2 3 2 4 6 3 2" xfId="33572" xr:uid="{00000000-0005-0000-0000-0000DD7F0000}"/>
    <cellStyle name="Normal 11 2 3 2 4 6 4" xfId="33573" xr:uid="{00000000-0005-0000-0000-0000DE7F0000}"/>
    <cellStyle name="Normal 11 2 3 2 4 7" xfId="33574" xr:uid="{00000000-0005-0000-0000-0000DF7F0000}"/>
    <cellStyle name="Normal 11 2 3 2 4 7 2" xfId="33575" xr:uid="{00000000-0005-0000-0000-0000E07F0000}"/>
    <cellStyle name="Normal 11 2 3 2 4 7 2 2" xfId="33576" xr:uid="{00000000-0005-0000-0000-0000E17F0000}"/>
    <cellStyle name="Normal 11 2 3 2 4 7 2 2 2" xfId="33577" xr:uid="{00000000-0005-0000-0000-0000E27F0000}"/>
    <cellStyle name="Normal 11 2 3 2 4 7 2 3" xfId="33578" xr:uid="{00000000-0005-0000-0000-0000E37F0000}"/>
    <cellStyle name="Normal 11 2 3 2 4 7 3" xfId="33579" xr:uid="{00000000-0005-0000-0000-0000E47F0000}"/>
    <cellStyle name="Normal 11 2 3 2 4 7 3 2" xfId="33580" xr:uid="{00000000-0005-0000-0000-0000E57F0000}"/>
    <cellStyle name="Normal 11 2 3 2 4 7 4" xfId="33581" xr:uid="{00000000-0005-0000-0000-0000E67F0000}"/>
    <cellStyle name="Normal 11 2 3 2 4 8" xfId="33582" xr:uid="{00000000-0005-0000-0000-0000E77F0000}"/>
    <cellStyle name="Normal 11 2 3 2 4 8 2" xfId="33583" xr:uid="{00000000-0005-0000-0000-0000E87F0000}"/>
    <cellStyle name="Normal 11 2 3 2 4 8 2 2" xfId="33584" xr:uid="{00000000-0005-0000-0000-0000E97F0000}"/>
    <cellStyle name="Normal 11 2 3 2 4 8 2 2 2" xfId="33585" xr:uid="{00000000-0005-0000-0000-0000EA7F0000}"/>
    <cellStyle name="Normal 11 2 3 2 4 8 2 3" xfId="33586" xr:uid="{00000000-0005-0000-0000-0000EB7F0000}"/>
    <cellStyle name="Normal 11 2 3 2 4 8 3" xfId="33587" xr:uid="{00000000-0005-0000-0000-0000EC7F0000}"/>
    <cellStyle name="Normal 11 2 3 2 4 8 3 2" xfId="33588" xr:uid="{00000000-0005-0000-0000-0000ED7F0000}"/>
    <cellStyle name="Normal 11 2 3 2 4 8 4" xfId="33589" xr:uid="{00000000-0005-0000-0000-0000EE7F0000}"/>
    <cellStyle name="Normal 11 2 3 2 4 9" xfId="33590" xr:uid="{00000000-0005-0000-0000-0000EF7F0000}"/>
    <cellStyle name="Normal 11 2 3 2 4 9 2" xfId="33591" xr:uid="{00000000-0005-0000-0000-0000F07F0000}"/>
    <cellStyle name="Normal 11 2 3 2 4 9 2 2" xfId="33592" xr:uid="{00000000-0005-0000-0000-0000F17F0000}"/>
    <cellStyle name="Normal 11 2 3 2 4 9 3" xfId="33593" xr:uid="{00000000-0005-0000-0000-0000F27F0000}"/>
    <cellStyle name="Normal 11 2 3 2 5" xfId="572" xr:uid="{00000000-0005-0000-0000-0000F37F0000}"/>
    <cellStyle name="Normal 11 2 3 2 5 10" xfId="33595" xr:uid="{00000000-0005-0000-0000-0000F47F0000}"/>
    <cellStyle name="Normal 11 2 3 2 5 10 2" xfId="33596" xr:uid="{00000000-0005-0000-0000-0000F57F0000}"/>
    <cellStyle name="Normal 11 2 3 2 5 10 2 2" xfId="33597" xr:uid="{00000000-0005-0000-0000-0000F67F0000}"/>
    <cellStyle name="Normal 11 2 3 2 5 10 3" xfId="33598" xr:uid="{00000000-0005-0000-0000-0000F77F0000}"/>
    <cellStyle name="Normal 11 2 3 2 5 11" xfId="33599" xr:uid="{00000000-0005-0000-0000-0000F87F0000}"/>
    <cellStyle name="Normal 11 2 3 2 5 11 2" xfId="33600" xr:uid="{00000000-0005-0000-0000-0000F97F0000}"/>
    <cellStyle name="Normal 11 2 3 2 5 11 2 2" xfId="33601" xr:uid="{00000000-0005-0000-0000-0000FA7F0000}"/>
    <cellStyle name="Normal 11 2 3 2 5 11 3" xfId="33602" xr:uid="{00000000-0005-0000-0000-0000FB7F0000}"/>
    <cellStyle name="Normal 11 2 3 2 5 12" xfId="33603" xr:uid="{00000000-0005-0000-0000-0000FC7F0000}"/>
    <cellStyle name="Normal 11 2 3 2 5 12 2" xfId="33604" xr:uid="{00000000-0005-0000-0000-0000FD7F0000}"/>
    <cellStyle name="Normal 11 2 3 2 5 13" xfId="33605" xr:uid="{00000000-0005-0000-0000-0000FE7F0000}"/>
    <cellStyle name="Normal 11 2 3 2 5 14" xfId="33606" xr:uid="{00000000-0005-0000-0000-0000FF7F0000}"/>
    <cellStyle name="Normal 11 2 3 2 5 15" xfId="33594" xr:uid="{00000000-0005-0000-0000-000000800000}"/>
    <cellStyle name="Normal 11 2 3 2 5 2" xfId="1014" xr:uid="{00000000-0005-0000-0000-000001800000}"/>
    <cellStyle name="Normal 11 2 3 2 5 2 10" xfId="33608" xr:uid="{00000000-0005-0000-0000-000002800000}"/>
    <cellStyle name="Normal 11 2 3 2 5 2 11" xfId="33607" xr:uid="{00000000-0005-0000-0000-000003800000}"/>
    <cellStyle name="Normal 11 2 3 2 5 2 2" xfId="1743" xr:uid="{00000000-0005-0000-0000-000004800000}"/>
    <cellStyle name="Normal 11 2 3 2 5 2 2 2" xfId="33610" xr:uid="{00000000-0005-0000-0000-000005800000}"/>
    <cellStyle name="Normal 11 2 3 2 5 2 2 2 2" xfId="33611" xr:uid="{00000000-0005-0000-0000-000006800000}"/>
    <cellStyle name="Normal 11 2 3 2 5 2 2 2 2 2" xfId="33612" xr:uid="{00000000-0005-0000-0000-000007800000}"/>
    <cellStyle name="Normal 11 2 3 2 5 2 2 2 2 2 2" xfId="33613" xr:uid="{00000000-0005-0000-0000-000008800000}"/>
    <cellStyle name="Normal 11 2 3 2 5 2 2 2 2 3" xfId="33614" xr:uid="{00000000-0005-0000-0000-000009800000}"/>
    <cellStyle name="Normal 11 2 3 2 5 2 2 2 3" xfId="33615" xr:uid="{00000000-0005-0000-0000-00000A800000}"/>
    <cellStyle name="Normal 11 2 3 2 5 2 2 2 3 2" xfId="33616" xr:uid="{00000000-0005-0000-0000-00000B800000}"/>
    <cellStyle name="Normal 11 2 3 2 5 2 2 2 4" xfId="33617" xr:uid="{00000000-0005-0000-0000-00000C800000}"/>
    <cellStyle name="Normal 11 2 3 2 5 2 2 3" xfId="33618" xr:uid="{00000000-0005-0000-0000-00000D800000}"/>
    <cellStyle name="Normal 11 2 3 2 5 2 2 3 2" xfId="33619" xr:uid="{00000000-0005-0000-0000-00000E800000}"/>
    <cellStyle name="Normal 11 2 3 2 5 2 2 3 2 2" xfId="33620" xr:uid="{00000000-0005-0000-0000-00000F800000}"/>
    <cellStyle name="Normal 11 2 3 2 5 2 2 3 2 2 2" xfId="33621" xr:uid="{00000000-0005-0000-0000-000010800000}"/>
    <cellStyle name="Normal 11 2 3 2 5 2 2 3 2 3" xfId="33622" xr:uid="{00000000-0005-0000-0000-000011800000}"/>
    <cellStyle name="Normal 11 2 3 2 5 2 2 3 3" xfId="33623" xr:uid="{00000000-0005-0000-0000-000012800000}"/>
    <cellStyle name="Normal 11 2 3 2 5 2 2 3 3 2" xfId="33624" xr:uid="{00000000-0005-0000-0000-000013800000}"/>
    <cellStyle name="Normal 11 2 3 2 5 2 2 3 4" xfId="33625" xr:uid="{00000000-0005-0000-0000-000014800000}"/>
    <cellStyle name="Normal 11 2 3 2 5 2 2 4" xfId="33626" xr:uid="{00000000-0005-0000-0000-000015800000}"/>
    <cellStyle name="Normal 11 2 3 2 5 2 2 4 2" xfId="33627" xr:uid="{00000000-0005-0000-0000-000016800000}"/>
    <cellStyle name="Normal 11 2 3 2 5 2 2 4 2 2" xfId="33628" xr:uid="{00000000-0005-0000-0000-000017800000}"/>
    <cellStyle name="Normal 11 2 3 2 5 2 2 4 3" xfId="33629" xr:uid="{00000000-0005-0000-0000-000018800000}"/>
    <cellStyle name="Normal 11 2 3 2 5 2 2 5" xfId="33630" xr:uid="{00000000-0005-0000-0000-000019800000}"/>
    <cellStyle name="Normal 11 2 3 2 5 2 2 5 2" xfId="33631" xr:uid="{00000000-0005-0000-0000-00001A800000}"/>
    <cellStyle name="Normal 11 2 3 2 5 2 2 6" xfId="33632" xr:uid="{00000000-0005-0000-0000-00001B800000}"/>
    <cellStyle name="Normal 11 2 3 2 5 2 2 7" xfId="33609" xr:uid="{00000000-0005-0000-0000-00001C800000}"/>
    <cellStyle name="Normal 11 2 3 2 5 2 3" xfId="33633" xr:uid="{00000000-0005-0000-0000-00001D800000}"/>
    <cellStyle name="Normal 11 2 3 2 5 2 3 2" xfId="33634" xr:uid="{00000000-0005-0000-0000-00001E800000}"/>
    <cellStyle name="Normal 11 2 3 2 5 2 3 2 2" xfId="33635" xr:uid="{00000000-0005-0000-0000-00001F800000}"/>
    <cellStyle name="Normal 11 2 3 2 5 2 3 2 2 2" xfId="33636" xr:uid="{00000000-0005-0000-0000-000020800000}"/>
    <cellStyle name="Normal 11 2 3 2 5 2 3 2 2 2 2" xfId="33637" xr:uid="{00000000-0005-0000-0000-000021800000}"/>
    <cellStyle name="Normal 11 2 3 2 5 2 3 2 2 3" xfId="33638" xr:uid="{00000000-0005-0000-0000-000022800000}"/>
    <cellStyle name="Normal 11 2 3 2 5 2 3 2 3" xfId="33639" xr:uid="{00000000-0005-0000-0000-000023800000}"/>
    <cellStyle name="Normal 11 2 3 2 5 2 3 2 3 2" xfId="33640" xr:uid="{00000000-0005-0000-0000-000024800000}"/>
    <cellStyle name="Normal 11 2 3 2 5 2 3 2 4" xfId="33641" xr:uid="{00000000-0005-0000-0000-000025800000}"/>
    <cellStyle name="Normal 11 2 3 2 5 2 3 3" xfId="33642" xr:uid="{00000000-0005-0000-0000-000026800000}"/>
    <cellStyle name="Normal 11 2 3 2 5 2 3 3 2" xfId="33643" xr:uid="{00000000-0005-0000-0000-000027800000}"/>
    <cellStyle name="Normal 11 2 3 2 5 2 3 3 2 2" xfId="33644" xr:uid="{00000000-0005-0000-0000-000028800000}"/>
    <cellStyle name="Normal 11 2 3 2 5 2 3 3 3" xfId="33645" xr:uid="{00000000-0005-0000-0000-000029800000}"/>
    <cellStyle name="Normal 11 2 3 2 5 2 3 4" xfId="33646" xr:uid="{00000000-0005-0000-0000-00002A800000}"/>
    <cellStyle name="Normal 11 2 3 2 5 2 3 4 2" xfId="33647" xr:uid="{00000000-0005-0000-0000-00002B800000}"/>
    <cellStyle name="Normal 11 2 3 2 5 2 3 5" xfId="33648" xr:uid="{00000000-0005-0000-0000-00002C800000}"/>
    <cellStyle name="Normal 11 2 3 2 5 2 4" xfId="33649" xr:uid="{00000000-0005-0000-0000-00002D800000}"/>
    <cellStyle name="Normal 11 2 3 2 5 2 4 2" xfId="33650" xr:uid="{00000000-0005-0000-0000-00002E800000}"/>
    <cellStyle name="Normal 11 2 3 2 5 2 4 2 2" xfId="33651" xr:uid="{00000000-0005-0000-0000-00002F800000}"/>
    <cellStyle name="Normal 11 2 3 2 5 2 4 2 2 2" xfId="33652" xr:uid="{00000000-0005-0000-0000-000030800000}"/>
    <cellStyle name="Normal 11 2 3 2 5 2 4 2 2 2 2" xfId="33653" xr:uid="{00000000-0005-0000-0000-000031800000}"/>
    <cellStyle name="Normal 11 2 3 2 5 2 4 2 2 3" xfId="33654" xr:uid="{00000000-0005-0000-0000-000032800000}"/>
    <cellStyle name="Normal 11 2 3 2 5 2 4 2 3" xfId="33655" xr:uid="{00000000-0005-0000-0000-000033800000}"/>
    <cellStyle name="Normal 11 2 3 2 5 2 4 2 3 2" xfId="33656" xr:uid="{00000000-0005-0000-0000-000034800000}"/>
    <cellStyle name="Normal 11 2 3 2 5 2 4 2 4" xfId="33657" xr:uid="{00000000-0005-0000-0000-000035800000}"/>
    <cellStyle name="Normal 11 2 3 2 5 2 4 3" xfId="33658" xr:uid="{00000000-0005-0000-0000-000036800000}"/>
    <cellStyle name="Normal 11 2 3 2 5 2 4 3 2" xfId="33659" xr:uid="{00000000-0005-0000-0000-000037800000}"/>
    <cellStyle name="Normal 11 2 3 2 5 2 4 3 2 2" xfId="33660" xr:uid="{00000000-0005-0000-0000-000038800000}"/>
    <cellStyle name="Normal 11 2 3 2 5 2 4 3 3" xfId="33661" xr:uid="{00000000-0005-0000-0000-000039800000}"/>
    <cellStyle name="Normal 11 2 3 2 5 2 4 4" xfId="33662" xr:uid="{00000000-0005-0000-0000-00003A800000}"/>
    <cellStyle name="Normal 11 2 3 2 5 2 4 4 2" xfId="33663" xr:uid="{00000000-0005-0000-0000-00003B800000}"/>
    <cellStyle name="Normal 11 2 3 2 5 2 4 5" xfId="33664" xr:uid="{00000000-0005-0000-0000-00003C800000}"/>
    <cellStyle name="Normal 11 2 3 2 5 2 5" xfId="33665" xr:uid="{00000000-0005-0000-0000-00003D800000}"/>
    <cellStyle name="Normal 11 2 3 2 5 2 5 2" xfId="33666" xr:uid="{00000000-0005-0000-0000-00003E800000}"/>
    <cellStyle name="Normal 11 2 3 2 5 2 5 2 2" xfId="33667" xr:uid="{00000000-0005-0000-0000-00003F800000}"/>
    <cellStyle name="Normal 11 2 3 2 5 2 5 2 2 2" xfId="33668" xr:uid="{00000000-0005-0000-0000-000040800000}"/>
    <cellStyle name="Normal 11 2 3 2 5 2 5 2 3" xfId="33669" xr:uid="{00000000-0005-0000-0000-000041800000}"/>
    <cellStyle name="Normal 11 2 3 2 5 2 5 3" xfId="33670" xr:uid="{00000000-0005-0000-0000-000042800000}"/>
    <cellStyle name="Normal 11 2 3 2 5 2 5 3 2" xfId="33671" xr:uid="{00000000-0005-0000-0000-000043800000}"/>
    <cellStyle name="Normal 11 2 3 2 5 2 5 4" xfId="33672" xr:uid="{00000000-0005-0000-0000-000044800000}"/>
    <cellStyle name="Normal 11 2 3 2 5 2 6" xfId="33673" xr:uid="{00000000-0005-0000-0000-000045800000}"/>
    <cellStyle name="Normal 11 2 3 2 5 2 6 2" xfId="33674" xr:uid="{00000000-0005-0000-0000-000046800000}"/>
    <cellStyle name="Normal 11 2 3 2 5 2 6 2 2" xfId="33675" xr:uid="{00000000-0005-0000-0000-000047800000}"/>
    <cellStyle name="Normal 11 2 3 2 5 2 6 2 2 2" xfId="33676" xr:uid="{00000000-0005-0000-0000-000048800000}"/>
    <cellStyle name="Normal 11 2 3 2 5 2 6 2 3" xfId="33677" xr:uid="{00000000-0005-0000-0000-000049800000}"/>
    <cellStyle name="Normal 11 2 3 2 5 2 6 3" xfId="33678" xr:uid="{00000000-0005-0000-0000-00004A800000}"/>
    <cellStyle name="Normal 11 2 3 2 5 2 6 3 2" xfId="33679" xr:uid="{00000000-0005-0000-0000-00004B800000}"/>
    <cellStyle name="Normal 11 2 3 2 5 2 6 4" xfId="33680" xr:uid="{00000000-0005-0000-0000-00004C800000}"/>
    <cellStyle name="Normal 11 2 3 2 5 2 7" xfId="33681" xr:uid="{00000000-0005-0000-0000-00004D800000}"/>
    <cellStyle name="Normal 11 2 3 2 5 2 7 2" xfId="33682" xr:uid="{00000000-0005-0000-0000-00004E800000}"/>
    <cellStyle name="Normal 11 2 3 2 5 2 7 2 2" xfId="33683" xr:uid="{00000000-0005-0000-0000-00004F800000}"/>
    <cellStyle name="Normal 11 2 3 2 5 2 7 2 2 2" xfId="33684" xr:uid="{00000000-0005-0000-0000-000050800000}"/>
    <cellStyle name="Normal 11 2 3 2 5 2 7 2 3" xfId="33685" xr:uid="{00000000-0005-0000-0000-000051800000}"/>
    <cellStyle name="Normal 11 2 3 2 5 2 7 3" xfId="33686" xr:uid="{00000000-0005-0000-0000-000052800000}"/>
    <cellStyle name="Normal 11 2 3 2 5 2 7 3 2" xfId="33687" xr:uid="{00000000-0005-0000-0000-000053800000}"/>
    <cellStyle name="Normal 11 2 3 2 5 2 7 4" xfId="33688" xr:uid="{00000000-0005-0000-0000-000054800000}"/>
    <cellStyle name="Normal 11 2 3 2 5 2 8" xfId="33689" xr:uid="{00000000-0005-0000-0000-000055800000}"/>
    <cellStyle name="Normal 11 2 3 2 5 2 8 2" xfId="33690" xr:uid="{00000000-0005-0000-0000-000056800000}"/>
    <cellStyle name="Normal 11 2 3 2 5 2 8 2 2" xfId="33691" xr:uid="{00000000-0005-0000-0000-000057800000}"/>
    <cellStyle name="Normal 11 2 3 2 5 2 8 3" xfId="33692" xr:uid="{00000000-0005-0000-0000-000058800000}"/>
    <cellStyle name="Normal 11 2 3 2 5 2 9" xfId="33693" xr:uid="{00000000-0005-0000-0000-000059800000}"/>
    <cellStyle name="Normal 11 2 3 2 5 2 9 2" xfId="33694" xr:uid="{00000000-0005-0000-0000-00005A800000}"/>
    <cellStyle name="Normal 11 2 3 2 5 3" xfId="1416" xr:uid="{00000000-0005-0000-0000-00005B800000}"/>
    <cellStyle name="Normal 11 2 3 2 5 3 2" xfId="33696" xr:uid="{00000000-0005-0000-0000-00005C800000}"/>
    <cellStyle name="Normal 11 2 3 2 5 3 2 2" xfId="33697" xr:uid="{00000000-0005-0000-0000-00005D800000}"/>
    <cellStyle name="Normal 11 2 3 2 5 3 2 2 2" xfId="33698" xr:uid="{00000000-0005-0000-0000-00005E800000}"/>
    <cellStyle name="Normal 11 2 3 2 5 3 2 2 2 2" xfId="33699" xr:uid="{00000000-0005-0000-0000-00005F800000}"/>
    <cellStyle name="Normal 11 2 3 2 5 3 2 2 3" xfId="33700" xr:uid="{00000000-0005-0000-0000-000060800000}"/>
    <cellStyle name="Normal 11 2 3 2 5 3 2 3" xfId="33701" xr:uid="{00000000-0005-0000-0000-000061800000}"/>
    <cellStyle name="Normal 11 2 3 2 5 3 2 3 2" xfId="33702" xr:uid="{00000000-0005-0000-0000-000062800000}"/>
    <cellStyle name="Normal 11 2 3 2 5 3 2 4" xfId="33703" xr:uid="{00000000-0005-0000-0000-000063800000}"/>
    <cellStyle name="Normal 11 2 3 2 5 3 3" xfId="33704" xr:uid="{00000000-0005-0000-0000-000064800000}"/>
    <cellStyle name="Normal 11 2 3 2 5 3 3 2" xfId="33705" xr:uid="{00000000-0005-0000-0000-000065800000}"/>
    <cellStyle name="Normal 11 2 3 2 5 3 3 2 2" xfId="33706" xr:uid="{00000000-0005-0000-0000-000066800000}"/>
    <cellStyle name="Normal 11 2 3 2 5 3 3 2 2 2" xfId="33707" xr:uid="{00000000-0005-0000-0000-000067800000}"/>
    <cellStyle name="Normal 11 2 3 2 5 3 3 2 3" xfId="33708" xr:uid="{00000000-0005-0000-0000-000068800000}"/>
    <cellStyle name="Normal 11 2 3 2 5 3 3 3" xfId="33709" xr:uid="{00000000-0005-0000-0000-000069800000}"/>
    <cellStyle name="Normal 11 2 3 2 5 3 3 3 2" xfId="33710" xr:uid="{00000000-0005-0000-0000-00006A800000}"/>
    <cellStyle name="Normal 11 2 3 2 5 3 3 4" xfId="33711" xr:uid="{00000000-0005-0000-0000-00006B800000}"/>
    <cellStyle name="Normal 11 2 3 2 5 3 4" xfId="33712" xr:uid="{00000000-0005-0000-0000-00006C800000}"/>
    <cellStyle name="Normal 11 2 3 2 5 3 4 2" xfId="33713" xr:uid="{00000000-0005-0000-0000-00006D800000}"/>
    <cellStyle name="Normal 11 2 3 2 5 3 4 2 2" xfId="33714" xr:uid="{00000000-0005-0000-0000-00006E800000}"/>
    <cellStyle name="Normal 11 2 3 2 5 3 4 3" xfId="33715" xr:uid="{00000000-0005-0000-0000-00006F800000}"/>
    <cellStyle name="Normal 11 2 3 2 5 3 5" xfId="33716" xr:uid="{00000000-0005-0000-0000-000070800000}"/>
    <cellStyle name="Normal 11 2 3 2 5 3 5 2" xfId="33717" xr:uid="{00000000-0005-0000-0000-000071800000}"/>
    <cellStyle name="Normal 11 2 3 2 5 3 6" xfId="33718" xr:uid="{00000000-0005-0000-0000-000072800000}"/>
    <cellStyle name="Normal 11 2 3 2 5 3 7" xfId="33695" xr:uid="{00000000-0005-0000-0000-000073800000}"/>
    <cellStyle name="Normal 11 2 3 2 5 4" xfId="33719" xr:uid="{00000000-0005-0000-0000-000074800000}"/>
    <cellStyle name="Normal 11 2 3 2 5 4 2" xfId="33720" xr:uid="{00000000-0005-0000-0000-000075800000}"/>
    <cellStyle name="Normal 11 2 3 2 5 4 2 2" xfId="33721" xr:uid="{00000000-0005-0000-0000-000076800000}"/>
    <cellStyle name="Normal 11 2 3 2 5 4 2 2 2" xfId="33722" xr:uid="{00000000-0005-0000-0000-000077800000}"/>
    <cellStyle name="Normal 11 2 3 2 5 4 2 2 2 2" xfId="33723" xr:uid="{00000000-0005-0000-0000-000078800000}"/>
    <cellStyle name="Normal 11 2 3 2 5 4 2 2 3" xfId="33724" xr:uid="{00000000-0005-0000-0000-000079800000}"/>
    <cellStyle name="Normal 11 2 3 2 5 4 2 3" xfId="33725" xr:uid="{00000000-0005-0000-0000-00007A800000}"/>
    <cellStyle name="Normal 11 2 3 2 5 4 2 3 2" xfId="33726" xr:uid="{00000000-0005-0000-0000-00007B800000}"/>
    <cellStyle name="Normal 11 2 3 2 5 4 2 4" xfId="33727" xr:uid="{00000000-0005-0000-0000-00007C800000}"/>
    <cellStyle name="Normal 11 2 3 2 5 4 3" xfId="33728" xr:uid="{00000000-0005-0000-0000-00007D800000}"/>
    <cellStyle name="Normal 11 2 3 2 5 4 3 2" xfId="33729" xr:uid="{00000000-0005-0000-0000-00007E800000}"/>
    <cellStyle name="Normal 11 2 3 2 5 4 3 2 2" xfId="33730" xr:uid="{00000000-0005-0000-0000-00007F800000}"/>
    <cellStyle name="Normal 11 2 3 2 5 4 3 3" xfId="33731" xr:uid="{00000000-0005-0000-0000-000080800000}"/>
    <cellStyle name="Normal 11 2 3 2 5 4 4" xfId="33732" xr:uid="{00000000-0005-0000-0000-000081800000}"/>
    <cellStyle name="Normal 11 2 3 2 5 4 4 2" xfId="33733" xr:uid="{00000000-0005-0000-0000-000082800000}"/>
    <cellStyle name="Normal 11 2 3 2 5 4 5" xfId="33734" xr:uid="{00000000-0005-0000-0000-000083800000}"/>
    <cellStyle name="Normal 11 2 3 2 5 5" xfId="33735" xr:uid="{00000000-0005-0000-0000-000084800000}"/>
    <cellStyle name="Normal 11 2 3 2 5 5 2" xfId="33736" xr:uid="{00000000-0005-0000-0000-000085800000}"/>
    <cellStyle name="Normal 11 2 3 2 5 5 2 2" xfId="33737" xr:uid="{00000000-0005-0000-0000-000086800000}"/>
    <cellStyle name="Normal 11 2 3 2 5 5 2 2 2" xfId="33738" xr:uid="{00000000-0005-0000-0000-000087800000}"/>
    <cellStyle name="Normal 11 2 3 2 5 5 2 2 2 2" xfId="33739" xr:uid="{00000000-0005-0000-0000-000088800000}"/>
    <cellStyle name="Normal 11 2 3 2 5 5 2 2 3" xfId="33740" xr:uid="{00000000-0005-0000-0000-000089800000}"/>
    <cellStyle name="Normal 11 2 3 2 5 5 2 3" xfId="33741" xr:uid="{00000000-0005-0000-0000-00008A800000}"/>
    <cellStyle name="Normal 11 2 3 2 5 5 2 3 2" xfId="33742" xr:uid="{00000000-0005-0000-0000-00008B800000}"/>
    <cellStyle name="Normal 11 2 3 2 5 5 2 4" xfId="33743" xr:uid="{00000000-0005-0000-0000-00008C800000}"/>
    <cellStyle name="Normal 11 2 3 2 5 5 3" xfId="33744" xr:uid="{00000000-0005-0000-0000-00008D800000}"/>
    <cellStyle name="Normal 11 2 3 2 5 5 3 2" xfId="33745" xr:uid="{00000000-0005-0000-0000-00008E800000}"/>
    <cellStyle name="Normal 11 2 3 2 5 5 3 2 2" xfId="33746" xr:uid="{00000000-0005-0000-0000-00008F800000}"/>
    <cellStyle name="Normal 11 2 3 2 5 5 3 3" xfId="33747" xr:uid="{00000000-0005-0000-0000-000090800000}"/>
    <cellStyle name="Normal 11 2 3 2 5 5 4" xfId="33748" xr:uid="{00000000-0005-0000-0000-000091800000}"/>
    <cellStyle name="Normal 11 2 3 2 5 5 4 2" xfId="33749" xr:uid="{00000000-0005-0000-0000-000092800000}"/>
    <cellStyle name="Normal 11 2 3 2 5 5 5" xfId="33750" xr:uid="{00000000-0005-0000-0000-000093800000}"/>
    <cellStyle name="Normal 11 2 3 2 5 6" xfId="33751" xr:uid="{00000000-0005-0000-0000-000094800000}"/>
    <cellStyle name="Normal 11 2 3 2 5 6 2" xfId="33752" xr:uid="{00000000-0005-0000-0000-000095800000}"/>
    <cellStyle name="Normal 11 2 3 2 5 6 2 2" xfId="33753" xr:uid="{00000000-0005-0000-0000-000096800000}"/>
    <cellStyle name="Normal 11 2 3 2 5 6 2 2 2" xfId="33754" xr:uid="{00000000-0005-0000-0000-000097800000}"/>
    <cellStyle name="Normal 11 2 3 2 5 6 2 3" xfId="33755" xr:uid="{00000000-0005-0000-0000-000098800000}"/>
    <cellStyle name="Normal 11 2 3 2 5 6 3" xfId="33756" xr:uid="{00000000-0005-0000-0000-000099800000}"/>
    <cellStyle name="Normal 11 2 3 2 5 6 3 2" xfId="33757" xr:uid="{00000000-0005-0000-0000-00009A800000}"/>
    <cellStyle name="Normal 11 2 3 2 5 6 4" xfId="33758" xr:uid="{00000000-0005-0000-0000-00009B800000}"/>
    <cellStyle name="Normal 11 2 3 2 5 7" xfId="33759" xr:uid="{00000000-0005-0000-0000-00009C800000}"/>
    <cellStyle name="Normal 11 2 3 2 5 7 2" xfId="33760" xr:uid="{00000000-0005-0000-0000-00009D800000}"/>
    <cellStyle name="Normal 11 2 3 2 5 7 2 2" xfId="33761" xr:uid="{00000000-0005-0000-0000-00009E800000}"/>
    <cellStyle name="Normal 11 2 3 2 5 7 2 2 2" xfId="33762" xr:uid="{00000000-0005-0000-0000-00009F800000}"/>
    <cellStyle name="Normal 11 2 3 2 5 7 2 3" xfId="33763" xr:uid="{00000000-0005-0000-0000-0000A0800000}"/>
    <cellStyle name="Normal 11 2 3 2 5 7 3" xfId="33764" xr:uid="{00000000-0005-0000-0000-0000A1800000}"/>
    <cellStyle name="Normal 11 2 3 2 5 7 3 2" xfId="33765" xr:uid="{00000000-0005-0000-0000-0000A2800000}"/>
    <cellStyle name="Normal 11 2 3 2 5 7 4" xfId="33766" xr:uid="{00000000-0005-0000-0000-0000A3800000}"/>
    <cellStyle name="Normal 11 2 3 2 5 8" xfId="33767" xr:uid="{00000000-0005-0000-0000-0000A4800000}"/>
    <cellStyle name="Normal 11 2 3 2 5 8 2" xfId="33768" xr:uid="{00000000-0005-0000-0000-0000A5800000}"/>
    <cellStyle name="Normal 11 2 3 2 5 8 2 2" xfId="33769" xr:uid="{00000000-0005-0000-0000-0000A6800000}"/>
    <cellStyle name="Normal 11 2 3 2 5 8 2 2 2" xfId="33770" xr:uid="{00000000-0005-0000-0000-0000A7800000}"/>
    <cellStyle name="Normal 11 2 3 2 5 8 2 3" xfId="33771" xr:uid="{00000000-0005-0000-0000-0000A8800000}"/>
    <cellStyle name="Normal 11 2 3 2 5 8 3" xfId="33772" xr:uid="{00000000-0005-0000-0000-0000A9800000}"/>
    <cellStyle name="Normal 11 2 3 2 5 8 3 2" xfId="33773" xr:uid="{00000000-0005-0000-0000-0000AA800000}"/>
    <cellStyle name="Normal 11 2 3 2 5 8 4" xfId="33774" xr:uid="{00000000-0005-0000-0000-0000AB800000}"/>
    <cellStyle name="Normal 11 2 3 2 5 9" xfId="33775" xr:uid="{00000000-0005-0000-0000-0000AC800000}"/>
    <cellStyle name="Normal 11 2 3 2 5 9 2" xfId="33776" xr:uid="{00000000-0005-0000-0000-0000AD800000}"/>
    <cellStyle name="Normal 11 2 3 2 5 9 2 2" xfId="33777" xr:uid="{00000000-0005-0000-0000-0000AE800000}"/>
    <cellStyle name="Normal 11 2 3 2 5 9 3" xfId="33778" xr:uid="{00000000-0005-0000-0000-0000AF800000}"/>
    <cellStyle name="Normal 11 2 3 2 6" xfId="1003" xr:uid="{00000000-0005-0000-0000-0000B0800000}"/>
    <cellStyle name="Normal 11 2 3 2 6 10" xfId="33780" xr:uid="{00000000-0005-0000-0000-0000B1800000}"/>
    <cellStyle name="Normal 11 2 3 2 6 11" xfId="33779" xr:uid="{00000000-0005-0000-0000-0000B2800000}"/>
    <cellStyle name="Normal 11 2 3 2 6 2" xfId="1732" xr:uid="{00000000-0005-0000-0000-0000B3800000}"/>
    <cellStyle name="Normal 11 2 3 2 6 2 2" xfId="33782" xr:uid="{00000000-0005-0000-0000-0000B4800000}"/>
    <cellStyle name="Normal 11 2 3 2 6 2 2 2" xfId="33783" xr:uid="{00000000-0005-0000-0000-0000B5800000}"/>
    <cellStyle name="Normal 11 2 3 2 6 2 2 2 2" xfId="33784" xr:uid="{00000000-0005-0000-0000-0000B6800000}"/>
    <cellStyle name="Normal 11 2 3 2 6 2 2 2 2 2" xfId="33785" xr:uid="{00000000-0005-0000-0000-0000B7800000}"/>
    <cellStyle name="Normal 11 2 3 2 6 2 2 2 3" xfId="33786" xr:uid="{00000000-0005-0000-0000-0000B8800000}"/>
    <cellStyle name="Normal 11 2 3 2 6 2 2 3" xfId="33787" xr:uid="{00000000-0005-0000-0000-0000B9800000}"/>
    <cellStyle name="Normal 11 2 3 2 6 2 2 3 2" xfId="33788" xr:uid="{00000000-0005-0000-0000-0000BA800000}"/>
    <cellStyle name="Normal 11 2 3 2 6 2 2 4" xfId="33789" xr:uid="{00000000-0005-0000-0000-0000BB800000}"/>
    <cellStyle name="Normal 11 2 3 2 6 2 3" xfId="33790" xr:uid="{00000000-0005-0000-0000-0000BC800000}"/>
    <cellStyle name="Normal 11 2 3 2 6 2 3 2" xfId="33791" xr:uid="{00000000-0005-0000-0000-0000BD800000}"/>
    <cellStyle name="Normal 11 2 3 2 6 2 3 2 2" xfId="33792" xr:uid="{00000000-0005-0000-0000-0000BE800000}"/>
    <cellStyle name="Normal 11 2 3 2 6 2 3 2 2 2" xfId="33793" xr:uid="{00000000-0005-0000-0000-0000BF800000}"/>
    <cellStyle name="Normal 11 2 3 2 6 2 3 2 3" xfId="33794" xr:uid="{00000000-0005-0000-0000-0000C0800000}"/>
    <cellStyle name="Normal 11 2 3 2 6 2 3 3" xfId="33795" xr:uid="{00000000-0005-0000-0000-0000C1800000}"/>
    <cellStyle name="Normal 11 2 3 2 6 2 3 3 2" xfId="33796" xr:uid="{00000000-0005-0000-0000-0000C2800000}"/>
    <cellStyle name="Normal 11 2 3 2 6 2 3 4" xfId="33797" xr:uid="{00000000-0005-0000-0000-0000C3800000}"/>
    <cellStyle name="Normal 11 2 3 2 6 2 4" xfId="33798" xr:uid="{00000000-0005-0000-0000-0000C4800000}"/>
    <cellStyle name="Normal 11 2 3 2 6 2 4 2" xfId="33799" xr:uid="{00000000-0005-0000-0000-0000C5800000}"/>
    <cellStyle name="Normal 11 2 3 2 6 2 4 2 2" xfId="33800" xr:uid="{00000000-0005-0000-0000-0000C6800000}"/>
    <cellStyle name="Normal 11 2 3 2 6 2 4 3" xfId="33801" xr:uid="{00000000-0005-0000-0000-0000C7800000}"/>
    <cellStyle name="Normal 11 2 3 2 6 2 5" xfId="33802" xr:uid="{00000000-0005-0000-0000-0000C8800000}"/>
    <cellStyle name="Normal 11 2 3 2 6 2 5 2" xfId="33803" xr:uid="{00000000-0005-0000-0000-0000C9800000}"/>
    <cellStyle name="Normal 11 2 3 2 6 2 6" xfId="33804" xr:uid="{00000000-0005-0000-0000-0000CA800000}"/>
    <cellStyle name="Normal 11 2 3 2 6 2 7" xfId="33781" xr:uid="{00000000-0005-0000-0000-0000CB800000}"/>
    <cellStyle name="Normal 11 2 3 2 6 3" xfId="33805" xr:uid="{00000000-0005-0000-0000-0000CC800000}"/>
    <cellStyle name="Normal 11 2 3 2 6 3 2" xfId="33806" xr:uid="{00000000-0005-0000-0000-0000CD800000}"/>
    <cellStyle name="Normal 11 2 3 2 6 3 2 2" xfId="33807" xr:uid="{00000000-0005-0000-0000-0000CE800000}"/>
    <cellStyle name="Normal 11 2 3 2 6 3 2 2 2" xfId="33808" xr:uid="{00000000-0005-0000-0000-0000CF800000}"/>
    <cellStyle name="Normal 11 2 3 2 6 3 2 2 2 2" xfId="33809" xr:uid="{00000000-0005-0000-0000-0000D0800000}"/>
    <cellStyle name="Normal 11 2 3 2 6 3 2 2 3" xfId="33810" xr:uid="{00000000-0005-0000-0000-0000D1800000}"/>
    <cellStyle name="Normal 11 2 3 2 6 3 2 3" xfId="33811" xr:uid="{00000000-0005-0000-0000-0000D2800000}"/>
    <cellStyle name="Normal 11 2 3 2 6 3 2 3 2" xfId="33812" xr:uid="{00000000-0005-0000-0000-0000D3800000}"/>
    <cellStyle name="Normal 11 2 3 2 6 3 2 4" xfId="33813" xr:uid="{00000000-0005-0000-0000-0000D4800000}"/>
    <cellStyle name="Normal 11 2 3 2 6 3 3" xfId="33814" xr:uid="{00000000-0005-0000-0000-0000D5800000}"/>
    <cellStyle name="Normal 11 2 3 2 6 3 3 2" xfId="33815" xr:uid="{00000000-0005-0000-0000-0000D6800000}"/>
    <cellStyle name="Normal 11 2 3 2 6 3 3 2 2" xfId="33816" xr:uid="{00000000-0005-0000-0000-0000D7800000}"/>
    <cellStyle name="Normal 11 2 3 2 6 3 3 3" xfId="33817" xr:uid="{00000000-0005-0000-0000-0000D8800000}"/>
    <cellStyle name="Normal 11 2 3 2 6 3 4" xfId="33818" xr:uid="{00000000-0005-0000-0000-0000D9800000}"/>
    <cellStyle name="Normal 11 2 3 2 6 3 4 2" xfId="33819" xr:uid="{00000000-0005-0000-0000-0000DA800000}"/>
    <cellStyle name="Normal 11 2 3 2 6 3 5" xfId="33820" xr:uid="{00000000-0005-0000-0000-0000DB800000}"/>
    <cellStyle name="Normal 11 2 3 2 6 4" xfId="33821" xr:uid="{00000000-0005-0000-0000-0000DC800000}"/>
    <cellStyle name="Normal 11 2 3 2 6 4 2" xfId="33822" xr:uid="{00000000-0005-0000-0000-0000DD800000}"/>
    <cellStyle name="Normal 11 2 3 2 6 4 2 2" xfId="33823" xr:uid="{00000000-0005-0000-0000-0000DE800000}"/>
    <cellStyle name="Normal 11 2 3 2 6 4 2 2 2" xfId="33824" xr:uid="{00000000-0005-0000-0000-0000DF800000}"/>
    <cellStyle name="Normal 11 2 3 2 6 4 2 2 2 2" xfId="33825" xr:uid="{00000000-0005-0000-0000-0000E0800000}"/>
    <cellStyle name="Normal 11 2 3 2 6 4 2 2 3" xfId="33826" xr:uid="{00000000-0005-0000-0000-0000E1800000}"/>
    <cellStyle name="Normal 11 2 3 2 6 4 2 3" xfId="33827" xr:uid="{00000000-0005-0000-0000-0000E2800000}"/>
    <cellStyle name="Normal 11 2 3 2 6 4 2 3 2" xfId="33828" xr:uid="{00000000-0005-0000-0000-0000E3800000}"/>
    <cellStyle name="Normal 11 2 3 2 6 4 2 4" xfId="33829" xr:uid="{00000000-0005-0000-0000-0000E4800000}"/>
    <cellStyle name="Normal 11 2 3 2 6 4 3" xfId="33830" xr:uid="{00000000-0005-0000-0000-0000E5800000}"/>
    <cellStyle name="Normal 11 2 3 2 6 4 3 2" xfId="33831" xr:uid="{00000000-0005-0000-0000-0000E6800000}"/>
    <cellStyle name="Normal 11 2 3 2 6 4 3 2 2" xfId="33832" xr:uid="{00000000-0005-0000-0000-0000E7800000}"/>
    <cellStyle name="Normal 11 2 3 2 6 4 3 3" xfId="33833" xr:uid="{00000000-0005-0000-0000-0000E8800000}"/>
    <cellStyle name="Normal 11 2 3 2 6 4 4" xfId="33834" xr:uid="{00000000-0005-0000-0000-0000E9800000}"/>
    <cellStyle name="Normal 11 2 3 2 6 4 4 2" xfId="33835" xr:uid="{00000000-0005-0000-0000-0000EA800000}"/>
    <cellStyle name="Normal 11 2 3 2 6 4 5" xfId="33836" xr:uid="{00000000-0005-0000-0000-0000EB800000}"/>
    <cellStyle name="Normal 11 2 3 2 6 5" xfId="33837" xr:uid="{00000000-0005-0000-0000-0000EC800000}"/>
    <cellStyle name="Normal 11 2 3 2 6 5 2" xfId="33838" xr:uid="{00000000-0005-0000-0000-0000ED800000}"/>
    <cellStyle name="Normal 11 2 3 2 6 5 2 2" xfId="33839" xr:uid="{00000000-0005-0000-0000-0000EE800000}"/>
    <cellStyle name="Normal 11 2 3 2 6 5 2 2 2" xfId="33840" xr:uid="{00000000-0005-0000-0000-0000EF800000}"/>
    <cellStyle name="Normal 11 2 3 2 6 5 2 3" xfId="33841" xr:uid="{00000000-0005-0000-0000-0000F0800000}"/>
    <cellStyle name="Normal 11 2 3 2 6 5 3" xfId="33842" xr:uid="{00000000-0005-0000-0000-0000F1800000}"/>
    <cellStyle name="Normal 11 2 3 2 6 5 3 2" xfId="33843" xr:uid="{00000000-0005-0000-0000-0000F2800000}"/>
    <cellStyle name="Normal 11 2 3 2 6 5 4" xfId="33844" xr:uid="{00000000-0005-0000-0000-0000F3800000}"/>
    <cellStyle name="Normal 11 2 3 2 6 6" xfId="33845" xr:uid="{00000000-0005-0000-0000-0000F4800000}"/>
    <cellStyle name="Normal 11 2 3 2 6 6 2" xfId="33846" xr:uid="{00000000-0005-0000-0000-0000F5800000}"/>
    <cellStyle name="Normal 11 2 3 2 6 6 2 2" xfId="33847" xr:uid="{00000000-0005-0000-0000-0000F6800000}"/>
    <cellStyle name="Normal 11 2 3 2 6 6 2 2 2" xfId="33848" xr:uid="{00000000-0005-0000-0000-0000F7800000}"/>
    <cellStyle name="Normal 11 2 3 2 6 6 2 3" xfId="33849" xr:uid="{00000000-0005-0000-0000-0000F8800000}"/>
    <cellStyle name="Normal 11 2 3 2 6 6 3" xfId="33850" xr:uid="{00000000-0005-0000-0000-0000F9800000}"/>
    <cellStyle name="Normal 11 2 3 2 6 6 3 2" xfId="33851" xr:uid="{00000000-0005-0000-0000-0000FA800000}"/>
    <cellStyle name="Normal 11 2 3 2 6 6 4" xfId="33852" xr:uid="{00000000-0005-0000-0000-0000FB800000}"/>
    <cellStyle name="Normal 11 2 3 2 6 7" xfId="33853" xr:uid="{00000000-0005-0000-0000-0000FC800000}"/>
    <cellStyle name="Normal 11 2 3 2 6 7 2" xfId="33854" xr:uid="{00000000-0005-0000-0000-0000FD800000}"/>
    <cellStyle name="Normal 11 2 3 2 6 7 2 2" xfId="33855" xr:uid="{00000000-0005-0000-0000-0000FE800000}"/>
    <cellStyle name="Normal 11 2 3 2 6 7 2 2 2" xfId="33856" xr:uid="{00000000-0005-0000-0000-0000FF800000}"/>
    <cellStyle name="Normal 11 2 3 2 6 7 2 3" xfId="33857" xr:uid="{00000000-0005-0000-0000-000000810000}"/>
    <cellStyle name="Normal 11 2 3 2 6 7 3" xfId="33858" xr:uid="{00000000-0005-0000-0000-000001810000}"/>
    <cellStyle name="Normal 11 2 3 2 6 7 3 2" xfId="33859" xr:uid="{00000000-0005-0000-0000-000002810000}"/>
    <cellStyle name="Normal 11 2 3 2 6 7 4" xfId="33860" xr:uid="{00000000-0005-0000-0000-000003810000}"/>
    <cellStyle name="Normal 11 2 3 2 6 8" xfId="33861" xr:uid="{00000000-0005-0000-0000-000004810000}"/>
    <cellStyle name="Normal 11 2 3 2 6 8 2" xfId="33862" xr:uid="{00000000-0005-0000-0000-000005810000}"/>
    <cellStyle name="Normal 11 2 3 2 6 8 2 2" xfId="33863" xr:uid="{00000000-0005-0000-0000-000006810000}"/>
    <cellStyle name="Normal 11 2 3 2 6 8 3" xfId="33864" xr:uid="{00000000-0005-0000-0000-000007810000}"/>
    <cellStyle name="Normal 11 2 3 2 6 9" xfId="33865" xr:uid="{00000000-0005-0000-0000-000008810000}"/>
    <cellStyle name="Normal 11 2 3 2 6 9 2" xfId="33866" xr:uid="{00000000-0005-0000-0000-000009810000}"/>
    <cellStyle name="Normal 11 2 3 2 7" xfId="1405" xr:uid="{00000000-0005-0000-0000-00000A810000}"/>
    <cellStyle name="Normal 11 2 3 2 7 2" xfId="33868" xr:uid="{00000000-0005-0000-0000-00000B810000}"/>
    <cellStyle name="Normal 11 2 3 2 7 2 2" xfId="33869" xr:uid="{00000000-0005-0000-0000-00000C810000}"/>
    <cellStyle name="Normal 11 2 3 2 7 2 2 2" xfId="33870" xr:uid="{00000000-0005-0000-0000-00000D810000}"/>
    <cellStyle name="Normal 11 2 3 2 7 2 2 2 2" xfId="33871" xr:uid="{00000000-0005-0000-0000-00000E810000}"/>
    <cellStyle name="Normal 11 2 3 2 7 2 2 3" xfId="33872" xr:uid="{00000000-0005-0000-0000-00000F810000}"/>
    <cellStyle name="Normal 11 2 3 2 7 2 3" xfId="33873" xr:uid="{00000000-0005-0000-0000-000010810000}"/>
    <cellStyle name="Normal 11 2 3 2 7 2 3 2" xfId="33874" xr:uid="{00000000-0005-0000-0000-000011810000}"/>
    <cellStyle name="Normal 11 2 3 2 7 2 4" xfId="33875" xr:uid="{00000000-0005-0000-0000-000012810000}"/>
    <cellStyle name="Normal 11 2 3 2 7 3" xfId="33876" xr:uid="{00000000-0005-0000-0000-000013810000}"/>
    <cellStyle name="Normal 11 2 3 2 7 3 2" xfId="33877" xr:uid="{00000000-0005-0000-0000-000014810000}"/>
    <cellStyle name="Normal 11 2 3 2 7 3 2 2" xfId="33878" xr:uid="{00000000-0005-0000-0000-000015810000}"/>
    <cellStyle name="Normal 11 2 3 2 7 3 2 2 2" xfId="33879" xr:uid="{00000000-0005-0000-0000-000016810000}"/>
    <cellStyle name="Normal 11 2 3 2 7 3 2 3" xfId="33880" xr:uid="{00000000-0005-0000-0000-000017810000}"/>
    <cellStyle name="Normal 11 2 3 2 7 3 3" xfId="33881" xr:uid="{00000000-0005-0000-0000-000018810000}"/>
    <cellStyle name="Normal 11 2 3 2 7 3 3 2" xfId="33882" xr:uid="{00000000-0005-0000-0000-000019810000}"/>
    <cellStyle name="Normal 11 2 3 2 7 3 4" xfId="33883" xr:uid="{00000000-0005-0000-0000-00001A810000}"/>
    <cellStyle name="Normal 11 2 3 2 7 4" xfId="33884" xr:uid="{00000000-0005-0000-0000-00001B810000}"/>
    <cellStyle name="Normal 11 2 3 2 7 4 2" xfId="33885" xr:uid="{00000000-0005-0000-0000-00001C810000}"/>
    <cellStyle name="Normal 11 2 3 2 7 4 2 2" xfId="33886" xr:uid="{00000000-0005-0000-0000-00001D810000}"/>
    <cellStyle name="Normal 11 2 3 2 7 4 3" xfId="33887" xr:uid="{00000000-0005-0000-0000-00001E810000}"/>
    <cellStyle name="Normal 11 2 3 2 7 5" xfId="33888" xr:uid="{00000000-0005-0000-0000-00001F810000}"/>
    <cellStyle name="Normal 11 2 3 2 7 5 2" xfId="33889" xr:uid="{00000000-0005-0000-0000-000020810000}"/>
    <cellStyle name="Normal 11 2 3 2 7 6" xfId="33890" xr:uid="{00000000-0005-0000-0000-000021810000}"/>
    <cellStyle name="Normal 11 2 3 2 7 7" xfId="33867" xr:uid="{00000000-0005-0000-0000-000022810000}"/>
    <cellStyle name="Normal 11 2 3 2 8" xfId="33891" xr:uid="{00000000-0005-0000-0000-000023810000}"/>
    <cellStyle name="Normal 11 2 3 2 8 2" xfId="33892" xr:uid="{00000000-0005-0000-0000-000024810000}"/>
    <cellStyle name="Normal 11 2 3 2 8 2 2" xfId="33893" xr:uid="{00000000-0005-0000-0000-000025810000}"/>
    <cellStyle name="Normal 11 2 3 2 8 2 2 2" xfId="33894" xr:uid="{00000000-0005-0000-0000-000026810000}"/>
    <cellStyle name="Normal 11 2 3 2 8 2 2 2 2" xfId="33895" xr:uid="{00000000-0005-0000-0000-000027810000}"/>
    <cellStyle name="Normal 11 2 3 2 8 2 2 3" xfId="33896" xr:uid="{00000000-0005-0000-0000-000028810000}"/>
    <cellStyle name="Normal 11 2 3 2 8 2 3" xfId="33897" xr:uid="{00000000-0005-0000-0000-000029810000}"/>
    <cellStyle name="Normal 11 2 3 2 8 2 3 2" xfId="33898" xr:uid="{00000000-0005-0000-0000-00002A810000}"/>
    <cellStyle name="Normal 11 2 3 2 8 2 4" xfId="33899" xr:uid="{00000000-0005-0000-0000-00002B810000}"/>
    <cellStyle name="Normal 11 2 3 2 8 3" xfId="33900" xr:uid="{00000000-0005-0000-0000-00002C810000}"/>
    <cellStyle name="Normal 11 2 3 2 8 3 2" xfId="33901" xr:uid="{00000000-0005-0000-0000-00002D810000}"/>
    <cellStyle name="Normal 11 2 3 2 8 3 2 2" xfId="33902" xr:uid="{00000000-0005-0000-0000-00002E810000}"/>
    <cellStyle name="Normal 11 2 3 2 8 3 3" xfId="33903" xr:uid="{00000000-0005-0000-0000-00002F810000}"/>
    <cellStyle name="Normal 11 2 3 2 8 4" xfId="33904" xr:uid="{00000000-0005-0000-0000-000030810000}"/>
    <cellStyle name="Normal 11 2 3 2 8 4 2" xfId="33905" xr:uid="{00000000-0005-0000-0000-000031810000}"/>
    <cellStyle name="Normal 11 2 3 2 8 5" xfId="33906" xr:uid="{00000000-0005-0000-0000-000032810000}"/>
    <cellStyle name="Normal 11 2 3 2 9" xfId="33907" xr:uid="{00000000-0005-0000-0000-000033810000}"/>
    <cellStyle name="Normal 11 2 3 2 9 2" xfId="33908" xr:uid="{00000000-0005-0000-0000-000034810000}"/>
    <cellStyle name="Normal 11 2 3 2 9 2 2" xfId="33909" xr:uid="{00000000-0005-0000-0000-000035810000}"/>
    <cellStyle name="Normal 11 2 3 2 9 2 2 2" xfId="33910" xr:uid="{00000000-0005-0000-0000-000036810000}"/>
    <cellStyle name="Normal 11 2 3 2 9 2 2 2 2" xfId="33911" xr:uid="{00000000-0005-0000-0000-000037810000}"/>
    <cellStyle name="Normal 11 2 3 2 9 2 2 3" xfId="33912" xr:uid="{00000000-0005-0000-0000-000038810000}"/>
    <cellStyle name="Normal 11 2 3 2 9 2 3" xfId="33913" xr:uid="{00000000-0005-0000-0000-000039810000}"/>
    <cellStyle name="Normal 11 2 3 2 9 2 3 2" xfId="33914" xr:uid="{00000000-0005-0000-0000-00003A810000}"/>
    <cellStyle name="Normal 11 2 3 2 9 2 4" xfId="33915" xr:uid="{00000000-0005-0000-0000-00003B810000}"/>
    <cellStyle name="Normal 11 2 3 2 9 3" xfId="33916" xr:uid="{00000000-0005-0000-0000-00003C810000}"/>
    <cellStyle name="Normal 11 2 3 2 9 3 2" xfId="33917" xr:uid="{00000000-0005-0000-0000-00003D810000}"/>
    <cellStyle name="Normal 11 2 3 2 9 3 2 2" xfId="33918" xr:uid="{00000000-0005-0000-0000-00003E810000}"/>
    <cellStyle name="Normal 11 2 3 2 9 3 3" xfId="33919" xr:uid="{00000000-0005-0000-0000-00003F810000}"/>
    <cellStyle name="Normal 11 2 3 2 9 4" xfId="33920" xr:uid="{00000000-0005-0000-0000-000040810000}"/>
    <cellStyle name="Normal 11 2 3 2 9 4 2" xfId="33921" xr:uid="{00000000-0005-0000-0000-000041810000}"/>
    <cellStyle name="Normal 11 2 3 2 9 5" xfId="33922" xr:uid="{00000000-0005-0000-0000-000042810000}"/>
    <cellStyle name="Normal 11 2 3 20" xfId="31646" xr:uid="{00000000-0005-0000-0000-000043810000}"/>
    <cellStyle name="Normal 11 2 3 3" xfId="573" xr:uid="{00000000-0005-0000-0000-000044810000}"/>
    <cellStyle name="Normal 11 2 3 3 10" xfId="33924" xr:uid="{00000000-0005-0000-0000-000045810000}"/>
    <cellStyle name="Normal 11 2 3 3 10 2" xfId="33925" xr:uid="{00000000-0005-0000-0000-000046810000}"/>
    <cellStyle name="Normal 11 2 3 3 10 2 2" xfId="33926" xr:uid="{00000000-0005-0000-0000-000047810000}"/>
    <cellStyle name="Normal 11 2 3 3 10 2 2 2" xfId="33927" xr:uid="{00000000-0005-0000-0000-000048810000}"/>
    <cellStyle name="Normal 11 2 3 3 10 2 3" xfId="33928" xr:uid="{00000000-0005-0000-0000-000049810000}"/>
    <cellStyle name="Normal 11 2 3 3 10 3" xfId="33929" xr:uid="{00000000-0005-0000-0000-00004A810000}"/>
    <cellStyle name="Normal 11 2 3 3 10 3 2" xfId="33930" xr:uid="{00000000-0005-0000-0000-00004B810000}"/>
    <cellStyle name="Normal 11 2 3 3 10 4" xfId="33931" xr:uid="{00000000-0005-0000-0000-00004C810000}"/>
    <cellStyle name="Normal 11 2 3 3 11" xfId="33932" xr:uid="{00000000-0005-0000-0000-00004D810000}"/>
    <cellStyle name="Normal 11 2 3 3 11 2" xfId="33933" xr:uid="{00000000-0005-0000-0000-00004E810000}"/>
    <cellStyle name="Normal 11 2 3 3 11 2 2" xfId="33934" xr:uid="{00000000-0005-0000-0000-00004F810000}"/>
    <cellStyle name="Normal 11 2 3 3 11 2 2 2" xfId="33935" xr:uid="{00000000-0005-0000-0000-000050810000}"/>
    <cellStyle name="Normal 11 2 3 3 11 2 3" xfId="33936" xr:uid="{00000000-0005-0000-0000-000051810000}"/>
    <cellStyle name="Normal 11 2 3 3 11 3" xfId="33937" xr:uid="{00000000-0005-0000-0000-000052810000}"/>
    <cellStyle name="Normal 11 2 3 3 11 3 2" xfId="33938" xr:uid="{00000000-0005-0000-0000-000053810000}"/>
    <cellStyle name="Normal 11 2 3 3 11 4" xfId="33939" xr:uid="{00000000-0005-0000-0000-000054810000}"/>
    <cellStyle name="Normal 11 2 3 3 12" xfId="33940" xr:uid="{00000000-0005-0000-0000-000055810000}"/>
    <cellStyle name="Normal 11 2 3 3 12 2" xfId="33941" xr:uid="{00000000-0005-0000-0000-000056810000}"/>
    <cellStyle name="Normal 11 2 3 3 12 2 2" xfId="33942" xr:uid="{00000000-0005-0000-0000-000057810000}"/>
    <cellStyle name="Normal 11 2 3 3 12 3" xfId="33943" xr:uid="{00000000-0005-0000-0000-000058810000}"/>
    <cellStyle name="Normal 11 2 3 3 13" xfId="33944" xr:uid="{00000000-0005-0000-0000-000059810000}"/>
    <cellStyle name="Normal 11 2 3 3 13 2" xfId="33945" xr:uid="{00000000-0005-0000-0000-00005A810000}"/>
    <cellStyle name="Normal 11 2 3 3 13 2 2" xfId="33946" xr:uid="{00000000-0005-0000-0000-00005B810000}"/>
    <cellStyle name="Normal 11 2 3 3 13 3" xfId="33947" xr:uid="{00000000-0005-0000-0000-00005C810000}"/>
    <cellStyle name="Normal 11 2 3 3 14" xfId="33948" xr:uid="{00000000-0005-0000-0000-00005D810000}"/>
    <cellStyle name="Normal 11 2 3 3 14 2" xfId="33949" xr:uid="{00000000-0005-0000-0000-00005E810000}"/>
    <cellStyle name="Normal 11 2 3 3 14 2 2" xfId="33950" xr:uid="{00000000-0005-0000-0000-00005F810000}"/>
    <cellStyle name="Normal 11 2 3 3 14 3" xfId="33951" xr:uid="{00000000-0005-0000-0000-000060810000}"/>
    <cellStyle name="Normal 11 2 3 3 15" xfId="33952" xr:uid="{00000000-0005-0000-0000-000061810000}"/>
    <cellStyle name="Normal 11 2 3 3 15 2" xfId="33953" xr:uid="{00000000-0005-0000-0000-000062810000}"/>
    <cellStyle name="Normal 11 2 3 3 16" xfId="33954" xr:uid="{00000000-0005-0000-0000-000063810000}"/>
    <cellStyle name="Normal 11 2 3 3 17" xfId="33955" xr:uid="{00000000-0005-0000-0000-000064810000}"/>
    <cellStyle name="Normal 11 2 3 3 18" xfId="33923" xr:uid="{00000000-0005-0000-0000-000065810000}"/>
    <cellStyle name="Normal 11 2 3 3 2" xfId="574" xr:uid="{00000000-0005-0000-0000-000066810000}"/>
    <cellStyle name="Normal 11 2 3 3 2 10" xfId="33957" xr:uid="{00000000-0005-0000-0000-000067810000}"/>
    <cellStyle name="Normal 11 2 3 3 2 10 2" xfId="33958" xr:uid="{00000000-0005-0000-0000-000068810000}"/>
    <cellStyle name="Normal 11 2 3 3 2 10 2 2" xfId="33959" xr:uid="{00000000-0005-0000-0000-000069810000}"/>
    <cellStyle name="Normal 11 2 3 3 2 10 2 2 2" xfId="33960" xr:uid="{00000000-0005-0000-0000-00006A810000}"/>
    <cellStyle name="Normal 11 2 3 3 2 10 2 3" xfId="33961" xr:uid="{00000000-0005-0000-0000-00006B810000}"/>
    <cellStyle name="Normal 11 2 3 3 2 10 3" xfId="33962" xr:uid="{00000000-0005-0000-0000-00006C810000}"/>
    <cellStyle name="Normal 11 2 3 3 2 10 3 2" xfId="33963" xr:uid="{00000000-0005-0000-0000-00006D810000}"/>
    <cellStyle name="Normal 11 2 3 3 2 10 4" xfId="33964" xr:uid="{00000000-0005-0000-0000-00006E810000}"/>
    <cellStyle name="Normal 11 2 3 3 2 11" xfId="33965" xr:uid="{00000000-0005-0000-0000-00006F810000}"/>
    <cellStyle name="Normal 11 2 3 3 2 11 2" xfId="33966" xr:uid="{00000000-0005-0000-0000-000070810000}"/>
    <cellStyle name="Normal 11 2 3 3 2 11 2 2" xfId="33967" xr:uid="{00000000-0005-0000-0000-000071810000}"/>
    <cellStyle name="Normal 11 2 3 3 2 11 3" xfId="33968" xr:uid="{00000000-0005-0000-0000-000072810000}"/>
    <cellStyle name="Normal 11 2 3 3 2 12" xfId="33969" xr:uid="{00000000-0005-0000-0000-000073810000}"/>
    <cellStyle name="Normal 11 2 3 3 2 12 2" xfId="33970" xr:uid="{00000000-0005-0000-0000-000074810000}"/>
    <cellStyle name="Normal 11 2 3 3 2 12 2 2" xfId="33971" xr:uid="{00000000-0005-0000-0000-000075810000}"/>
    <cellStyle name="Normal 11 2 3 3 2 12 3" xfId="33972" xr:uid="{00000000-0005-0000-0000-000076810000}"/>
    <cellStyle name="Normal 11 2 3 3 2 13" xfId="33973" xr:uid="{00000000-0005-0000-0000-000077810000}"/>
    <cellStyle name="Normal 11 2 3 3 2 13 2" xfId="33974" xr:uid="{00000000-0005-0000-0000-000078810000}"/>
    <cellStyle name="Normal 11 2 3 3 2 13 2 2" xfId="33975" xr:uid="{00000000-0005-0000-0000-000079810000}"/>
    <cellStyle name="Normal 11 2 3 3 2 13 3" xfId="33976" xr:uid="{00000000-0005-0000-0000-00007A810000}"/>
    <cellStyle name="Normal 11 2 3 3 2 14" xfId="33977" xr:uid="{00000000-0005-0000-0000-00007B810000}"/>
    <cellStyle name="Normal 11 2 3 3 2 14 2" xfId="33978" xr:uid="{00000000-0005-0000-0000-00007C810000}"/>
    <cellStyle name="Normal 11 2 3 3 2 15" xfId="33979" xr:uid="{00000000-0005-0000-0000-00007D810000}"/>
    <cellStyle name="Normal 11 2 3 3 2 16" xfId="33980" xr:uid="{00000000-0005-0000-0000-00007E810000}"/>
    <cellStyle name="Normal 11 2 3 3 2 17" xfId="33956" xr:uid="{00000000-0005-0000-0000-00007F810000}"/>
    <cellStyle name="Normal 11 2 3 3 2 2" xfId="575" xr:uid="{00000000-0005-0000-0000-000080810000}"/>
    <cellStyle name="Normal 11 2 3 3 2 2 10" xfId="33982" xr:uid="{00000000-0005-0000-0000-000081810000}"/>
    <cellStyle name="Normal 11 2 3 3 2 2 10 2" xfId="33983" xr:uid="{00000000-0005-0000-0000-000082810000}"/>
    <cellStyle name="Normal 11 2 3 3 2 2 10 2 2" xfId="33984" xr:uid="{00000000-0005-0000-0000-000083810000}"/>
    <cellStyle name="Normal 11 2 3 3 2 2 10 3" xfId="33985" xr:uid="{00000000-0005-0000-0000-000084810000}"/>
    <cellStyle name="Normal 11 2 3 3 2 2 11" xfId="33986" xr:uid="{00000000-0005-0000-0000-000085810000}"/>
    <cellStyle name="Normal 11 2 3 3 2 2 11 2" xfId="33987" xr:uid="{00000000-0005-0000-0000-000086810000}"/>
    <cellStyle name="Normal 11 2 3 3 2 2 11 2 2" xfId="33988" xr:uid="{00000000-0005-0000-0000-000087810000}"/>
    <cellStyle name="Normal 11 2 3 3 2 2 11 3" xfId="33989" xr:uid="{00000000-0005-0000-0000-000088810000}"/>
    <cellStyle name="Normal 11 2 3 3 2 2 12" xfId="33990" xr:uid="{00000000-0005-0000-0000-000089810000}"/>
    <cellStyle name="Normal 11 2 3 3 2 2 12 2" xfId="33991" xr:uid="{00000000-0005-0000-0000-00008A810000}"/>
    <cellStyle name="Normal 11 2 3 3 2 2 13" xfId="33992" xr:uid="{00000000-0005-0000-0000-00008B810000}"/>
    <cellStyle name="Normal 11 2 3 3 2 2 14" xfId="33993" xr:uid="{00000000-0005-0000-0000-00008C810000}"/>
    <cellStyle name="Normal 11 2 3 3 2 2 15" xfId="33981" xr:uid="{00000000-0005-0000-0000-00008D810000}"/>
    <cellStyle name="Normal 11 2 3 3 2 2 2" xfId="1017" xr:uid="{00000000-0005-0000-0000-00008E810000}"/>
    <cellStyle name="Normal 11 2 3 3 2 2 2 10" xfId="33995" xr:uid="{00000000-0005-0000-0000-00008F810000}"/>
    <cellStyle name="Normal 11 2 3 3 2 2 2 11" xfId="33994" xr:uid="{00000000-0005-0000-0000-000090810000}"/>
    <cellStyle name="Normal 11 2 3 3 2 2 2 2" xfId="1746" xr:uid="{00000000-0005-0000-0000-000091810000}"/>
    <cellStyle name="Normal 11 2 3 3 2 2 2 2 2" xfId="33997" xr:uid="{00000000-0005-0000-0000-000092810000}"/>
    <cellStyle name="Normal 11 2 3 3 2 2 2 2 2 2" xfId="33998" xr:uid="{00000000-0005-0000-0000-000093810000}"/>
    <cellStyle name="Normal 11 2 3 3 2 2 2 2 2 2 2" xfId="33999" xr:uid="{00000000-0005-0000-0000-000094810000}"/>
    <cellStyle name="Normal 11 2 3 3 2 2 2 2 2 2 2 2" xfId="34000" xr:uid="{00000000-0005-0000-0000-000095810000}"/>
    <cellStyle name="Normal 11 2 3 3 2 2 2 2 2 2 3" xfId="34001" xr:uid="{00000000-0005-0000-0000-000096810000}"/>
    <cellStyle name="Normal 11 2 3 3 2 2 2 2 2 3" xfId="34002" xr:uid="{00000000-0005-0000-0000-000097810000}"/>
    <cellStyle name="Normal 11 2 3 3 2 2 2 2 2 3 2" xfId="34003" xr:uid="{00000000-0005-0000-0000-000098810000}"/>
    <cellStyle name="Normal 11 2 3 3 2 2 2 2 2 4" xfId="34004" xr:uid="{00000000-0005-0000-0000-000099810000}"/>
    <cellStyle name="Normal 11 2 3 3 2 2 2 2 3" xfId="34005" xr:uid="{00000000-0005-0000-0000-00009A810000}"/>
    <cellStyle name="Normal 11 2 3 3 2 2 2 2 3 2" xfId="34006" xr:uid="{00000000-0005-0000-0000-00009B810000}"/>
    <cellStyle name="Normal 11 2 3 3 2 2 2 2 3 2 2" xfId="34007" xr:uid="{00000000-0005-0000-0000-00009C810000}"/>
    <cellStyle name="Normal 11 2 3 3 2 2 2 2 3 2 2 2" xfId="34008" xr:uid="{00000000-0005-0000-0000-00009D810000}"/>
    <cellStyle name="Normal 11 2 3 3 2 2 2 2 3 2 3" xfId="34009" xr:uid="{00000000-0005-0000-0000-00009E810000}"/>
    <cellStyle name="Normal 11 2 3 3 2 2 2 2 3 3" xfId="34010" xr:uid="{00000000-0005-0000-0000-00009F810000}"/>
    <cellStyle name="Normal 11 2 3 3 2 2 2 2 3 3 2" xfId="34011" xr:uid="{00000000-0005-0000-0000-0000A0810000}"/>
    <cellStyle name="Normal 11 2 3 3 2 2 2 2 3 4" xfId="34012" xr:uid="{00000000-0005-0000-0000-0000A1810000}"/>
    <cellStyle name="Normal 11 2 3 3 2 2 2 2 4" xfId="34013" xr:uid="{00000000-0005-0000-0000-0000A2810000}"/>
    <cellStyle name="Normal 11 2 3 3 2 2 2 2 4 2" xfId="34014" xr:uid="{00000000-0005-0000-0000-0000A3810000}"/>
    <cellStyle name="Normal 11 2 3 3 2 2 2 2 4 2 2" xfId="34015" xr:uid="{00000000-0005-0000-0000-0000A4810000}"/>
    <cellStyle name="Normal 11 2 3 3 2 2 2 2 4 3" xfId="34016" xr:uid="{00000000-0005-0000-0000-0000A5810000}"/>
    <cellStyle name="Normal 11 2 3 3 2 2 2 2 5" xfId="34017" xr:uid="{00000000-0005-0000-0000-0000A6810000}"/>
    <cellStyle name="Normal 11 2 3 3 2 2 2 2 5 2" xfId="34018" xr:uid="{00000000-0005-0000-0000-0000A7810000}"/>
    <cellStyle name="Normal 11 2 3 3 2 2 2 2 6" xfId="34019" xr:uid="{00000000-0005-0000-0000-0000A8810000}"/>
    <cellStyle name="Normal 11 2 3 3 2 2 2 2 7" xfId="33996" xr:uid="{00000000-0005-0000-0000-0000A9810000}"/>
    <cellStyle name="Normal 11 2 3 3 2 2 2 3" xfId="34020" xr:uid="{00000000-0005-0000-0000-0000AA810000}"/>
    <cellStyle name="Normal 11 2 3 3 2 2 2 3 2" xfId="34021" xr:uid="{00000000-0005-0000-0000-0000AB810000}"/>
    <cellStyle name="Normal 11 2 3 3 2 2 2 3 2 2" xfId="34022" xr:uid="{00000000-0005-0000-0000-0000AC810000}"/>
    <cellStyle name="Normal 11 2 3 3 2 2 2 3 2 2 2" xfId="34023" xr:uid="{00000000-0005-0000-0000-0000AD810000}"/>
    <cellStyle name="Normal 11 2 3 3 2 2 2 3 2 2 2 2" xfId="34024" xr:uid="{00000000-0005-0000-0000-0000AE810000}"/>
    <cellStyle name="Normal 11 2 3 3 2 2 2 3 2 2 3" xfId="34025" xr:uid="{00000000-0005-0000-0000-0000AF810000}"/>
    <cellStyle name="Normal 11 2 3 3 2 2 2 3 2 3" xfId="34026" xr:uid="{00000000-0005-0000-0000-0000B0810000}"/>
    <cellStyle name="Normal 11 2 3 3 2 2 2 3 2 3 2" xfId="34027" xr:uid="{00000000-0005-0000-0000-0000B1810000}"/>
    <cellStyle name="Normal 11 2 3 3 2 2 2 3 2 4" xfId="34028" xr:uid="{00000000-0005-0000-0000-0000B2810000}"/>
    <cellStyle name="Normal 11 2 3 3 2 2 2 3 3" xfId="34029" xr:uid="{00000000-0005-0000-0000-0000B3810000}"/>
    <cellStyle name="Normal 11 2 3 3 2 2 2 3 3 2" xfId="34030" xr:uid="{00000000-0005-0000-0000-0000B4810000}"/>
    <cellStyle name="Normal 11 2 3 3 2 2 2 3 3 2 2" xfId="34031" xr:uid="{00000000-0005-0000-0000-0000B5810000}"/>
    <cellStyle name="Normal 11 2 3 3 2 2 2 3 3 3" xfId="34032" xr:uid="{00000000-0005-0000-0000-0000B6810000}"/>
    <cellStyle name="Normal 11 2 3 3 2 2 2 3 4" xfId="34033" xr:uid="{00000000-0005-0000-0000-0000B7810000}"/>
    <cellStyle name="Normal 11 2 3 3 2 2 2 3 4 2" xfId="34034" xr:uid="{00000000-0005-0000-0000-0000B8810000}"/>
    <cellStyle name="Normal 11 2 3 3 2 2 2 3 5" xfId="34035" xr:uid="{00000000-0005-0000-0000-0000B9810000}"/>
    <cellStyle name="Normal 11 2 3 3 2 2 2 4" xfId="34036" xr:uid="{00000000-0005-0000-0000-0000BA810000}"/>
    <cellStyle name="Normal 11 2 3 3 2 2 2 4 2" xfId="34037" xr:uid="{00000000-0005-0000-0000-0000BB810000}"/>
    <cellStyle name="Normal 11 2 3 3 2 2 2 4 2 2" xfId="34038" xr:uid="{00000000-0005-0000-0000-0000BC810000}"/>
    <cellStyle name="Normal 11 2 3 3 2 2 2 4 2 2 2" xfId="34039" xr:uid="{00000000-0005-0000-0000-0000BD810000}"/>
    <cellStyle name="Normal 11 2 3 3 2 2 2 4 2 2 2 2" xfId="34040" xr:uid="{00000000-0005-0000-0000-0000BE810000}"/>
    <cellStyle name="Normal 11 2 3 3 2 2 2 4 2 2 3" xfId="34041" xr:uid="{00000000-0005-0000-0000-0000BF810000}"/>
    <cellStyle name="Normal 11 2 3 3 2 2 2 4 2 3" xfId="34042" xr:uid="{00000000-0005-0000-0000-0000C0810000}"/>
    <cellStyle name="Normal 11 2 3 3 2 2 2 4 2 3 2" xfId="34043" xr:uid="{00000000-0005-0000-0000-0000C1810000}"/>
    <cellStyle name="Normal 11 2 3 3 2 2 2 4 2 4" xfId="34044" xr:uid="{00000000-0005-0000-0000-0000C2810000}"/>
    <cellStyle name="Normal 11 2 3 3 2 2 2 4 3" xfId="34045" xr:uid="{00000000-0005-0000-0000-0000C3810000}"/>
    <cellStyle name="Normal 11 2 3 3 2 2 2 4 3 2" xfId="34046" xr:uid="{00000000-0005-0000-0000-0000C4810000}"/>
    <cellStyle name="Normal 11 2 3 3 2 2 2 4 3 2 2" xfId="34047" xr:uid="{00000000-0005-0000-0000-0000C5810000}"/>
    <cellStyle name="Normal 11 2 3 3 2 2 2 4 3 3" xfId="34048" xr:uid="{00000000-0005-0000-0000-0000C6810000}"/>
    <cellStyle name="Normal 11 2 3 3 2 2 2 4 4" xfId="34049" xr:uid="{00000000-0005-0000-0000-0000C7810000}"/>
    <cellStyle name="Normal 11 2 3 3 2 2 2 4 4 2" xfId="34050" xr:uid="{00000000-0005-0000-0000-0000C8810000}"/>
    <cellStyle name="Normal 11 2 3 3 2 2 2 4 5" xfId="34051" xr:uid="{00000000-0005-0000-0000-0000C9810000}"/>
    <cellStyle name="Normal 11 2 3 3 2 2 2 5" xfId="34052" xr:uid="{00000000-0005-0000-0000-0000CA810000}"/>
    <cellStyle name="Normal 11 2 3 3 2 2 2 5 2" xfId="34053" xr:uid="{00000000-0005-0000-0000-0000CB810000}"/>
    <cellStyle name="Normal 11 2 3 3 2 2 2 5 2 2" xfId="34054" xr:uid="{00000000-0005-0000-0000-0000CC810000}"/>
    <cellStyle name="Normal 11 2 3 3 2 2 2 5 2 2 2" xfId="34055" xr:uid="{00000000-0005-0000-0000-0000CD810000}"/>
    <cellStyle name="Normal 11 2 3 3 2 2 2 5 2 3" xfId="34056" xr:uid="{00000000-0005-0000-0000-0000CE810000}"/>
    <cellStyle name="Normal 11 2 3 3 2 2 2 5 3" xfId="34057" xr:uid="{00000000-0005-0000-0000-0000CF810000}"/>
    <cellStyle name="Normal 11 2 3 3 2 2 2 5 3 2" xfId="34058" xr:uid="{00000000-0005-0000-0000-0000D0810000}"/>
    <cellStyle name="Normal 11 2 3 3 2 2 2 5 4" xfId="34059" xr:uid="{00000000-0005-0000-0000-0000D1810000}"/>
    <cellStyle name="Normal 11 2 3 3 2 2 2 6" xfId="34060" xr:uid="{00000000-0005-0000-0000-0000D2810000}"/>
    <cellStyle name="Normal 11 2 3 3 2 2 2 6 2" xfId="34061" xr:uid="{00000000-0005-0000-0000-0000D3810000}"/>
    <cellStyle name="Normal 11 2 3 3 2 2 2 6 2 2" xfId="34062" xr:uid="{00000000-0005-0000-0000-0000D4810000}"/>
    <cellStyle name="Normal 11 2 3 3 2 2 2 6 2 2 2" xfId="34063" xr:uid="{00000000-0005-0000-0000-0000D5810000}"/>
    <cellStyle name="Normal 11 2 3 3 2 2 2 6 2 3" xfId="34064" xr:uid="{00000000-0005-0000-0000-0000D6810000}"/>
    <cellStyle name="Normal 11 2 3 3 2 2 2 6 3" xfId="34065" xr:uid="{00000000-0005-0000-0000-0000D7810000}"/>
    <cellStyle name="Normal 11 2 3 3 2 2 2 6 3 2" xfId="34066" xr:uid="{00000000-0005-0000-0000-0000D8810000}"/>
    <cellStyle name="Normal 11 2 3 3 2 2 2 6 4" xfId="34067" xr:uid="{00000000-0005-0000-0000-0000D9810000}"/>
    <cellStyle name="Normal 11 2 3 3 2 2 2 7" xfId="34068" xr:uid="{00000000-0005-0000-0000-0000DA810000}"/>
    <cellStyle name="Normal 11 2 3 3 2 2 2 7 2" xfId="34069" xr:uid="{00000000-0005-0000-0000-0000DB810000}"/>
    <cellStyle name="Normal 11 2 3 3 2 2 2 7 2 2" xfId="34070" xr:uid="{00000000-0005-0000-0000-0000DC810000}"/>
    <cellStyle name="Normal 11 2 3 3 2 2 2 7 2 2 2" xfId="34071" xr:uid="{00000000-0005-0000-0000-0000DD810000}"/>
    <cellStyle name="Normal 11 2 3 3 2 2 2 7 2 3" xfId="34072" xr:uid="{00000000-0005-0000-0000-0000DE810000}"/>
    <cellStyle name="Normal 11 2 3 3 2 2 2 7 3" xfId="34073" xr:uid="{00000000-0005-0000-0000-0000DF810000}"/>
    <cellStyle name="Normal 11 2 3 3 2 2 2 7 3 2" xfId="34074" xr:uid="{00000000-0005-0000-0000-0000E0810000}"/>
    <cellStyle name="Normal 11 2 3 3 2 2 2 7 4" xfId="34075" xr:uid="{00000000-0005-0000-0000-0000E1810000}"/>
    <cellStyle name="Normal 11 2 3 3 2 2 2 8" xfId="34076" xr:uid="{00000000-0005-0000-0000-0000E2810000}"/>
    <cellStyle name="Normal 11 2 3 3 2 2 2 8 2" xfId="34077" xr:uid="{00000000-0005-0000-0000-0000E3810000}"/>
    <cellStyle name="Normal 11 2 3 3 2 2 2 8 2 2" xfId="34078" xr:uid="{00000000-0005-0000-0000-0000E4810000}"/>
    <cellStyle name="Normal 11 2 3 3 2 2 2 8 3" xfId="34079" xr:uid="{00000000-0005-0000-0000-0000E5810000}"/>
    <cellStyle name="Normal 11 2 3 3 2 2 2 9" xfId="34080" xr:uid="{00000000-0005-0000-0000-0000E6810000}"/>
    <cellStyle name="Normal 11 2 3 3 2 2 2 9 2" xfId="34081" xr:uid="{00000000-0005-0000-0000-0000E7810000}"/>
    <cellStyle name="Normal 11 2 3 3 2 2 3" xfId="1419" xr:uid="{00000000-0005-0000-0000-0000E8810000}"/>
    <cellStyle name="Normal 11 2 3 3 2 2 3 2" xfId="34083" xr:uid="{00000000-0005-0000-0000-0000E9810000}"/>
    <cellStyle name="Normal 11 2 3 3 2 2 3 2 2" xfId="34084" xr:uid="{00000000-0005-0000-0000-0000EA810000}"/>
    <cellStyle name="Normal 11 2 3 3 2 2 3 2 2 2" xfId="34085" xr:uid="{00000000-0005-0000-0000-0000EB810000}"/>
    <cellStyle name="Normal 11 2 3 3 2 2 3 2 2 2 2" xfId="34086" xr:uid="{00000000-0005-0000-0000-0000EC810000}"/>
    <cellStyle name="Normal 11 2 3 3 2 2 3 2 2 3" xfId="34087" xr:uid="{00000000-0005-0000-0000-0000ED810000}"/>
    <cellStyle name="Normal 11 2 3 3 2 2 3 2 3" xfId="34088" xr:uid="{00000000-0005-0000-0000-0000EE810000}"/>
    <cellStyle name="Normal 11 2 3 3 2 2 3 2 3 2" xfId="34089" xr:uid="{00000000-0005-0000-0000-0000EF810000}"/>
    <cellStyle name="Normal 11 2 3 3 2 2 3 2 4" xfId="34090" xr:uid="{00000000-0005-0000-0000-0000F0810000}"/>
    <cellStyle name="Normal 11 2 3 3 2 2 3 3" xfId="34091" xr:uid="{00000000-0005-0000-0000-0000F1810000}"/>
    <cellStyle name="Normal 11 2 3 3 2 2 3 3 2" xfId="34092" xr:uid="{00000000-0005-0000-0000-0000F2810000}"/>
    <cellStyle name="Normal 11 2 3 3 2 2 3 3 2 2" xfId="34093" xr:uid="{00000000-0005-0000-0000-0000F3810000}"/>
    <cellStyle name="Normal 11 2 3 3 2 2 3 3 2 2 2" xfId="34094" xr:uid="{00000000-0005-0000-0000-0000F4810000}"/>
    <cellStyle name="Normal 11 2 3 3 2 2 3 3 2 3" xfId="34095" xr:uid="{00000000-0005-0000-0000-0000F5810000}"/>
    <cellStyle name="Normal 11 2 3 3 2 2 3 3 3" xfId="34096" xr:uid="{00000000-0005-0000-0000-0000F6810000}"/>
    <cellStyle name="Normal 11 2 3 3 2 2 3 3 3 2" xfId="34097" xr:uid="{00000000-0005-0000-0000-0000F7810000}"/>
    <cellStyle name="Normal 11 2 3 3 2 2 3 3 4" xfId="34098" xr:uid="{00000000-0005-0000-0000-0000F8810000}"/>
    <cellStyle name="Normal 11 2 3 3 2 2 3 4" xfId="34099" xr:uid="{00000000-0005-0000-0000-0000F9810000}"/>
    <cellStyle name="Normal 11 2 3 3 2 2 3 4 2" xfId="34100" xr:uid="{00000000-0005-0000-0000-0000FA810000}"/>
    <cellStyle name="Normal 11 2 3 3 2 2 3 4 2 2" xfId="34101" xr:uid="{00000000-0005-0000-0000-0000FB810000}"/>
    <cellStyle name="Normal 11 2 3 3 2 2 3 4 3" xfId="34102" xr:uid="{00000000-0005-0000-0000-0000FC810000}"/>
    <cellStyle name="Normal 11 2 3 3 2 2 3 5" xfId="34103" xr:uid="{00000000-0005-0000-0000-0000FD810000}"/>
    <cellStyle name="Normal 11 2 3 3 2 2 3 5 2" xfId="34104" xr:uid="{00000000-0005-0000-0000-0000FE810000}"/>
    <cellStyle name="Normal 11 2 3 3 2 2 3 6" xfId="34105" xr:uid="{00000000-0005-0000-0000-0000FF810000}"/>
    <cellStyle name="Normal 11 2 3 3 2 2 3 7" xfId="34082" xr:uid="{00000000-0005-0000-0000-000000820000}"/>
    <cellStyle name="Normal 11 2 3 3 2 2 4" xfId="34106" xr:uid="{00000000-0005-0000-0000-000001820000}"/>
    <cellStyle name="Normal 11 2 3 3 2 2 4 2" xfId="34107" xr:uid="{00000000-0005-0000-0000-000002820000}"/>
    <cellStyle name="Normal 11 2 3 3 2 2 4 2 2" xfId="34108" xr:uid="{00000000-0005-0000-0000-000003820000}"/>
    <cellStyle name="Normal 11 2 3 3 2 2 4 2 2 2" xfId="34109" xr:uid="{00000000-0005-0000-0000-000004820000}"/>
    <cellStyle name="Normal 11 2 3 3 2 2 4 2 2 2 2" xfId="34110" xr:uid="{00000000-0005-0000-0000-000005820000}"/>
    <cellStyle name="Normal 11 2 3 3 2 2 4 2 2 3" xfId="34111" xr:uid="{00000000-0005-0000-0000-000006820000}"/>
    <cellStyle name="Normal 11 2 3 3 2 2 4 2 3" xfId="34112" xr:uid="{00000000-0005-0000-0000-000007820000}"/>
    <cellStyle name="Normal 11 2 3 3 2 2 4 2 3 2" xfId="34113" xr:uid="{00000000-0005-0000-0000-000008820000}"/>
    <cellStyle name="Normal 11 2 3 3 2 2 4 2 4" xfId="34114" xr:uid="{00000000-0005-0000-0000-000009820000}"/>
    <cellStyle name="Normal 11 2 3 3 2 2 4 3" xfId="34115" xr:uid="{00000000-0005-0000-0000-00000A820000}"/>
    <cellStyle name="Normal 11 2 3 3 2 2 4 3 2" xfId="34116" xr:uid="{00000000-0005-0000-0000-00000B820000}"/>
    <cellStyle name="Normal 11 2 3 3 2 2 4 3 2 2" xfId="34117" xr:uid="{00000000-0005-0000-0000-00000C820000}"/>
    <cellStyle name="Normal 11 2 3 3 2 2 4 3 3" xfId="34118" xr:uid="{00000000-0005-0000-0000-00000D820000}"/>
    <cellStyle name="Normal 11 2 3 3 2 2 4 4" xfId="34119" xr:uid="{00000000-0005-0000-0000-00000E820000}"/>
    <cellStyle name="Normal 11 2 3 3 2 2 4 4 2" xfId="34120" xr:uid="{00000000-0005-0000-0000-00000F820000}"/>
    <cellStyle name="Normal 11 2 3 3 2 2 4 5" xfId="34121" xr:uid="{00000000-0005-0000-0000-000010820000}"/>
    <cellStyle name="Normal 11 2 3 3 2 2 5" xfId="34122" xr:uid="{00000000-0005-0000-0000-000011820000}"/>
    <cellStyle name="Normal 11 2 3 3 2 2 5 2" xfId="34123" xr:uid="{00000000-0005-0000-0000-000012820000}"/>
    <cellStyle name="Normal 11 2 3 3 2 2 5 2 2" xfId="34124" xr:uid="{00000000-0005-0000-0000-000013820000}"/>
    <cellStyle name="Normal 11 2 3 3 2 2 5 2 2 2" xfId="34125" xr:uid="{00000000-0005-0000-0000-000014820000}"/>
    <cellStyle name="Normal 11 2 3 3 2 2 5 2 2 2 2" xfId="34126" xr:uid="{00000000-0005-0000-0000-000015820000}"/>
    <cellStyle name="Normal 11 2 3 3 2 2 5 2 2 3" xfId="34127" xr:uid="{00000000-0005-0000-0000-000016820000}"/>
    <cellStyle name="Normal 11 2 3 3 2 2 5 2 3" xfId="34128" xr:uid="{00000000-0005-0000-0000-000017820000}"/>
    <cellStyle name="Normal 11 2 3 3 2 2 5 2 3 2" xfId="34129" xr:uid="{00000000-0005-0000-0000-000018820000}"/>
    <cellStyle name="Normal 11 2 3 3 2 2 5 2 4" xfId="34130" xr:uid="{00000000-0005-0000-0000-000019820000}"/>
    <cellStyle name="Normal 11 2 3 3 2 2 5 3" xfId="34131" xr:uid="{00000000-0005-0000-0000-00001A820000}"/>
    <cellStyle name="Normal 11 2 3 3 2 2 5 3 2" xfId="34132" xr:uid="{00000000-0005-0000-0000-00001B820000}"/>
    <cellStyle name="Normal 11 2 3 3 2 2 5 3 2 2" xfId="34133" xr:uid="{00000000-0005-0000-0000-00001C820000}"/>
    <cellStyle name="Normal 11 2 3 3 2 2 5 3 3" xfId="34134" xr:uid="{00000000-0005-0000-0000-00001D820000}"/>
    <cellStyle name="Normal 11 2 3 3 2 2 5 4" xfId="34135" xr:uid="{00000000-0005-0000-0000-00001E820000}"/>
    <cellStyle name="Normal 11 2 3 3 2 2 5 4 2" xfId="34136" xr:uid="{00000000-0005-0000-0000-00001F820000}"/>
    <cellStyle name="Normal 11 2 3 3 2 2 5 5" xfId="34137" xr:uid="{00000000-0005-0000-0000-000020820000}"/>
    <cellStyle name="Normal 11 2 3 3 2 2 6" xfId="34138" xr:uid="{00000000-0005-0000-0000-000021820000}"/>
    <cellStyle name="Normal 11 2 3 3 2 2 6 2" xfId="34139" xr:uid="{00000000-0005-0000-0000-000022820000}"/>
    <cellStyle name="Normal 11 2 3 3 2 2 6 2 2" xfId="34140" xr:uid="{00000000-0005-0000-0000-000023820000}"/>
    <cellStyle name="Normal 11 2 3 3 2 2 6 2 2 2" xfId="34141" xr:uid="{00000000-0005-0000-0000-000024820000}"/>
    <cellStyle name="Normal 11 2 3 3 2 2 6 2 3" xfId="34142" xr:uid="{00000000-0005-0000-0000-000025820000}"/>
    <cellStyle name="Normal 11 2 3 3 2 2 6 3" xfId="34143" xr:uid="{00000000-0005-0000-0000-000026820000}"/>
    <cellStyle name="Normal 11 2 3 3 2 2 6 3 2" xfId="34144" xr:uid="{00000000-0005-0000-0000-000027820000}"/>
    <cellStyle name="Normal 11 2 3 3 2 2 6 4" xfId="34145" xr:uid="{00000000-0005-0000-0000-000028820000}"/>
    <cellStyle name="Normal 11 2 3 3 2 2 7" xfId="34146" xr:uid="{00000000-0005-0000-0000-000029820000}"/>
    <cellStyle name="Normal 11 2 3 3 2 2 7 2" xfId="34147" xr:uid="{00000000-0005-0000-0000-00002A820000}"/>
    <cellStyle name="Normal 11 2 3 3 2 2 7 2 2" xfId="34148" xr:uid="{00000000-0005-0000-0000-00002B820000}"/>
    <cellStyle name="Normal 11 2 3 3 2 2 7 2 2 2" xfId="34149" xr:uid="{00000000-0005-0000-0000-00002C820000}"/>
    <cellStyle name="Normal 11 2 3 3 2 2 7 2 3" xfId="34150" xr:uid="{00000000-0005-0000-0000-00002D820000}"/>
    <cellStyle name="Normal 11 2 3 3 2 2 7 3" xfId="34151" xr:uid="{00000000-0005-0000-0000-00002E820000}"/>
    <cellStyle name="Normal 11 2 3 3 2 2 7 3 2" xfId="34152" xr:uid="{00000000-0005-0000-0000-00002F820000}"/>
    <cellStyle name="Normal 11 2 3 3 2 2 7 4" xfId="34153" xr:uid="{00000000-0005-0000-0000-000030820000}"/>
    <cellStyle name="Normal 11 2 3 3 2 2 8" xfId="34154" xr:uid="{00000000-0005-0000-0000-000031820000}"/>
    <cellStyle name="Normal 11 2 3 3 2 2 8 2" xfId="34155" xr:uid="{00000000-0005-0000-0000-000032820000}"/>
    <cellStyle name="Normal 11 2 3 3 2 2 8 2 2" xfId="34156" xr:uid="{00000000-0005-0000-0000-000033820000}"/>
    <cellStyle name="Normal 11 2 3 3 2 2 8 2 2 2" xfId="34157" xr:uid="{00000000-0005-0000-0000-000034820000}"/>
    <cellStyle name="Normal 11 2 3 3 2 2 8 2 3" xfId="34158" xr:uid="{00000000-0005-0000-0000-000035820000}"/>
    <cellStyle name="Normal 11 2 3 3 2 2 8 3" xfId="34159" xr:uid="{00000000-0005-0000-0000-000036820000}"/>
    <cellStyle name="Normal 11 2 3 3 2 2 8 3 2" xfId="34160" xr:uid="{00000000-0005-0000-0000-000037820000}"/>
    <cellStyle name="Normal 11 2 3 3 2 2 8 4" xfId="34161" xr:uid="{00000000-0005-0000-0000-000038820000}"/>
    <cellStyle name="Normal 11 2 3 3 2 2 9" xfId="34162" xr:uid="{00000000-0005-0000-0000-000039820000}"/>
    <cellStyle name="Normal 11 2 3 3 2 2 9 2" xfId="34163" xr:uid="{00000000-0005-0000-0000-00003A820000}"/>
    <cellStyle name="Normal 11 2 3 3 2 2 9 2 2" xfId="34164" xr:uid="{00000000-0005-0000-0000-00003B820000}"/>
    <cellStyle name="Normal 11 2 3 3 2 2 9 3" xfId="34165" xr:uid="{00000000-0005-0000-0000-00003C820000}"/>
    <cellStyle name="Normal 11 2 3 3 2 3" xfId="576" xr:uid="{00000000-0005-0000-0000-00003D820000}"/>
    <cellStyle name="Normal 11 2 3 3 2 3 10" xfId="34167" xr:uid="{00000000-0005-0000-0000-00003E820000}"/>
    <cellStyle name="Normal 11 2 3 3 2 3 10 2" xfId="34168" xr:uid="{00000000-0005-0000-0000-00003F820000}"/>
    <cellStyle name="Normal 11 2 3 3 2 3 10 2 2" xfId="34169" xr:uid="{00000000-0005-0000-0000-000040820000}"/>
    <cellStyle name="Normal 11 2 3 3 2 3 10 3" xfId="34170" xr:uid="{00000000-0005-0000-0000-000041820000}"/>
    <cellStyle name="Normal 11 2 3 3 2 3 11" xfId="34171" xr:uid="{00000000-0005-0000-0000-000042820000}"/>
    <cellStyle name="Normal 11 2 3 3 2 3 11 2" xfId="34172" xr:uid="{00000000-0005-0000-0000-000043820000}"/>
    <cellStyle name="Normal 11 2 3 3 2 3 11 2 2" xfId="34173" xr:uid="{00000000-0005-0000-0000-000044820000}"/>
    <cellStyle name="Normal 11 2 3 3 2 3 11 3" xfId="34174" xr:uid="{00000000-0005-0000-0000-000045820000}"/>
    <cellStyle name="Normal 11 2 3 3 2 3 12" xfId="34175" xr:uid="{00000000-0005-0000-0000-000046820000}"/>
    <cellStyle name="Normal 11 2 3 3 2 3 12 2" xfId="34176" xr:uid="{00000000-0005-0000-0000-000047820000}"/>
    <cellStyle name="Normal 11 2 3 3 2 3 13" xfId="34177" xr:uid="{00000000-0005-0000-0000-000048820000}"/>
    <cellStyle name="Normal 11 2 3 3 2 3 14" xfId="34178" xr:uid="{00000000-0005-0000-0000-000049820000}"/>
    <cellStyle name="Normal 11 2 3 3 2 3 15" xfId="34166" xr:uid="{00000000-0005-0000-0000-00004A820000}"/>
    <cellStyle name="Normal 11 2 3 3 2 3 2" xfId="1018" xr:uid="{00000000-0005-0000-0000-00004B820000}"/>
    <cellStyle name="Normal 11 2 3 3 2 3 2 10" xfId="34180" xr:uid="{00000000-0005-0000-0000-00004C820000}"/>
    <cellStyle name="Normal 11 2 3 3 2 3 2 11" xfId="34179" xr:uid="{00000000-0005-0000-0000-00004D820000}"/>
    <cellStyle name="Normal 11 2 3 3 2 3 2 2" xfId="1747" xr:uid="{00000000-0005-0000-0000-00004E820000}"/>
    <cellStyle name="Normal 11 2 3 3 2 3 2 2 2" xfId="34182" xr:uid="{00000000-0005-0000-0000-00004F820000}"/>
    <cellStyle name="Normal 11 2 3 3 2 3 2 2 2 2" xfId="34183" xr:uid="{00000000-0005-0000-0000-000050820000}"/>
    <cellStyle name="Normal 11 2 3 3 2 3 2 2 2 2 2" xfId="34184" xr:uid="{00000000-0005-0000-0000-000051820000}"/>
    <cellStyle name="Normal 11 2 3 3 2 3 2 2 2 2 2 2" xfId="34185" xr:uid="{00000000-0005-0000-0000-000052820000}"/>
    <cellStyle name="Normal 11 2 3 3 2 3 2 2 2 2 3" xfId="34186" xr:uid="{00000000-0005-0000-0000-000053820000}"/>
    <cellStyle name="Normal 11 2 3 3 2 3 2 2 2 3" xfId="34187" xr:uid="{00000000-0005-0000-0000-000054820000}"/>
    <cellStyle name="Normal 11 2 3 3 2 3 2 2 2 3 2" xfId="34188" xr:uid="{00000000-0005-0000-0000-000055820000}"/>
    <cellStyle name="Normal 11 2 3 3 2 3 2 2 2 4" xfId="34189" xr:uid="{00000000-0005-0000-0000-000056820000}"/>
    <cellStyle name="Normal 11 2 3 3 2 3 2 2 3" xfId="34190" xr:uid="{00000000-0005-0000-0000-000057820000}"/>
    <cellStyle name="Normal 11 2 3 3 2 3 2 2 3 2" xfId="34191" xr:uid="{00000000-0005-0000-0000-000058820000}"/>
    <cellStyle name="Normal 11 2 3 3 2 3 2 2 3 2 2" xfId="34192" xr:uid="{00000000-0005-0000-0000-000059820000}"/>
    <cellStyle name="Normal 11 2 3 3 2 3 2 2 3 2 2 2" xfId="34193" xr:uid="{00000000-0005-0000-0000-00005A820000}"/>
    <cellStyle name="Normal 11 2 3 3 2 3 2 2 3 2 3" xfId="34194" xr:uid="{00000000-0005-0000-0000-00005B820000}"/>
    <cellStyle name="Normal 11 2 3 3 2 3 2 2 3 3" xfId="34195" xr:uid="{00000000-0005-0000-0000-00005C820000}"/>
    <cellStyle name="Normal 11 2 3 3 2 3 2 2 3 3 2" xfId="34196" xr:uid="{00000000-0005-0000-0000-00005D820000}"/>
    <cellStyle name="Normal 11 2 3 3 2 3 2 2 3 4" xfId="34197" xr:uid="{00000000-0005-0000-0000-00005E820000}"/>
    <cellStyle name="Normal 11 2 3 3 2 3 2 2 4" xfId="34198" xr:uid="{00000000-0005-0000-0000-00005F820000}"/>
    <cellStyle name="Normal 11 2 3 3 2 3 2 2 4 2" xfId="34199" xr:uid="{00000000-0005-0000-0000-000060820000}"/>
    <cellStyle name="Normal 11 2 3 3 2 3 2 2 4 2 2" xfId="34200" xr:uid="{00000000-0005-0000-0000-000061820000}"/>
    <cellStyle name="Normal 11 2 3 3 2 3 2 2 4 3" xfId="34201" xr:uid="{00000000-0005-0000-0000-000062820000}"/>
    <cellStyle name="Normal 11 2 3 3 2 3 2 2 5" xfId="34202" xr:uid="{00000000-0005-0000-0000-000063820000}"/>
    <cellStyle name="Normal 11 2 3 3 2 3 2 2 5 2" xfId="34203" xr:uid="{00000000-0005-0000-0000-000064820000}"/>
    <cellStyle name="Normal 11 2 3 3 2 3 2 2 6" xfId="34204" xr:uid="{00000000-0005-0000-0000-000065820000}"/>
    <cellStyle name="Normal 11 2 3 3 2 3 2 2 7" xfId="34181" xr:uid="{00000000-0005-0000-0000-000066820000}"/>
    <cellStyle name="Normal 11 2 3 3 2 3 2 3" xfId="34205" xr:uid="{00000000-0005-0000-0000-000067820000}"/>
    <cellStyle name="Normal 11 2 3 3 2 3 2 3 2" xfId="34206" xr:uid="{00000000-0005-0000-0000-000068820000}"/>
    <cellStyle name="Normal 11 2 3 3 2 3 2 3 2 2" xfId="34207" xr:uid="{00000000-0005-0000-0000-000069820000}"/>
    <cellStyle name="Normal 11 2 3 3 2 3 2 3 2 2 2" xfId="34208" xr:uid="{00000000-0005-0000-0000-00006A820000}"/>
    <cellStyle name="Normal 11 2 3 3 2 3 2 3 2 2 2 2" xfId="34209" xr:uid="{00000000-0005-0000-0000-00006B820000}"/>
    <cellStyle name="Normal 11 2 3 3 2 3 2 3 2 2 3" xfId="34210" xr:uid="{00000000-0005-0000-0000-00006C820000}"/>
    <cellStyle name="Normal 11 2 3 3 2 3 2 3 2 3" xfId="34211" xr:uid="{00000000-0005-0000-0000-00006D820000}"/>
    <cellStyle name="Normal 11 2 3 3 2 3 2 3 2 3 2" xfId="34212" xr:uid="{00000000-0005-0000-0000-00006E820000}"/>
    <cellStyle name="Normal 11 2 3 3 2 3 2 3 2 4" xfId="34213" xr:uid="{00000000-0005-0000-0000-00006F820000}"/>
    <cellStyle name="Normal 11 2 3 3 2 3 2 3 3" xfId="34214" xr:uid="{00000000-0005-0000-0000-000070820000}"/>
    <cellStyle name="Normal 11 2 3 3 2 3 2 3 3 2" xfId="34215" xr:uid="{00000000-0005-0000-0000-000071820000}"/>
    <cellStyle name="Normal 11 2 3 3 2 3 2 3 3 2 2" xfId="34216" xr:uid="{00000000-0005-0000-0000-000072820000}"/>
    <cellStyle name="Normal 11 2 3 3 2 3 2 3 3 3" xfId="34217" xr:uid="{00000000-0005-0000-0000-000073820000}"/>
    <cellStyle name="Normal 11 2 3 3 2 3 2 3 4" xfId="34218" xr:uid="{00000000-0005-0000-0000-000074820000}"/>
    <cellStyle name="Normal 11 2 3 3 2 3 2 3 4 2" xfId="34219" xr:uid="{00000000-0005-0000-0000-000075820000}"/>
    <cellStyle name="Normal 11 2 3 3 2 3 2 3 5" xfId="34220" xr:uid="{00000000-0005-0000-0000-000076820000}"/>
    <cellStyle name="Normal 11 2 3 3 2 3 2 4" xfId="34221" xr:uid="{00000000-0005-0000-0000-000077820000}"/>
    <cellStyle name="Normal 11 2 3 3 2 3 2 4 2" xfId="34222" xr:uid="{00000000-0005-0000-0000-000078820000}"/>
    <cellStyle name="Normal 11 2 3 3 2 3 2 4 2 2" xfId="34223" xr:uid="{00000000-0005-0000-0000-000079820000}"/>
    <cellStyle name="Normal 11 2 3 3 2 3 2 4 2 2 2" xfId="34224" xr:uid="{00000000-0005-0000-0000-00007A820000}"/>
    <cellStyle name="Normal 11 2 3 3 2 3 2 4 2 2 2 2" xfId="34225" xr:uid="{00000000-0005-0000-0000-00007B820000}"/>
    <cellStyle name="Normal 11 2 3 3 2 3 2 4 2 2 3" xfId="34226" xr:uid="{00000000-0005-0000-0000-00007C820000}"/>
    <cellStyle name="Normal 11 2 3 3 2 3 2 4 2 3" xfId="34227" xr:uid="{00000000-0005-0000-0000-00007D820000}"/>
    <cellStyle name="Normal 11 2 3 3 2 3 2 4 2 3 2" xfId="34228" xr:uid="{00000000-0005-0000-0000-00007E820000}"/>
    <cellStyle name="Normal 11 2 3 3 2 3 2 4 2 4" xfId="34229" xr:uid="{00000000-0005-0000-0000-00007F820000}"/>
    <cellStyle name="Normal 11 2 3 3 2 3 2 4 3" xfId="34230" xr:uid="{00000000-0005-0000-0000-000080820000}"/>
    <cellStyle name="Normal 11 2 3 3 2 3 2 4 3 2" xfId="34231" xr:uid="{00000000-0005-0000-0000-000081820000}"/>
    <cellStyle name="Normal 11 2 3 3 2 3 2 4 3 2 2" xfId="34232" xr:uid="{00000000-0005-0000-0000-000082820000}"/>
    <cellStyle name="Normal 11 2 3 3 2 3 2 4 3 3" xfId="34233" xr:uid="{00000000-0005-0000-0000-000083820000}"/>
    <cellStyle name="Normal 11 2 3 3 2 3 2 4 4" xfId="34234" xr:uid="{00000000-0005-0000-0000-000084820000}"/>
    <cellStyle name="Normal 11 2 3 3 2 3 2 4 4 2" xfId="34235" xr:uid="{00000000-0005-0000-0000-000085820000}"/>
    <cellStyle name="Normal 11 2 3 3 2 3 2 4 5" xfId="34236" xr:uid="{00000000-0005-0000-0000-000086820000}"/>
    <cellStyle name="Normal 11 2 3 3 2 3 2 5" xfId="34237" xr:uid="{00000000-0005-0000-0000-000087820000}"/>
    <cellStyle name="Normal 11 2 3 3 2 3 2 5 2" xfId="34238" xr:uid="{00000000-0005-0000-0000-000088820000}"/>
    <cellStyle name="Normal 11 2 3 3 2 3 2 5 2 2" xfId="34239" xr:uid="{00000000-0005-0000-0000-000089820000}"/>
    <cellStyle name="Normal 11 2 3 3 2 3 2 5 2 2 2" xfId="34240" xr:uid="{00000000-0005-0000-0000-00008A820000}"/>
    <cellStyle name="Normal 11 2 3 3 2 3 2 5 2 3" xfId="34241" xr:uid="{00000000-0005-0000-0000-00008B820000}"/>
    <cellStyle name="Normal 11 2 3 3 2 3 2 5 3" xfId="34242" xr:uid="{00000000-0005-0000-0000-00008C820000}"/>
    <cellStyle name="Normal 11 2 3 3 2 3 2 5 3 2" xfId="34243" xr:uid="{00000000-0005-0000-0000-00008D820000}"/>
    <cellStyle name="Normal 11 2 3 3 2 3 2 5 4" xfId="34244" xr:uid="{00000000-0005-0000-0000-00008E820000}"/>
    <cellStyle name="Normal 11 2 3 3 2 3 2 6" xfId="34245" xr:uid="{00000000-0005-0000-0000-00008F820000}"/>
    <cellStyle name="Normal 11 2 3 3 2 3 2 6 2" xfId="34246" xr:uid="{00000000-0005-0000-0000-000090820000}"/>
    <cellStyle name="Normal 11 2 3 3 2 3 2 6 2 2" xfId="34247" xr:uid="{00000000-0005-0000-0000-000091820000}"/>
    <cellStyle name="Normal 11 2 3 3 2 3 2 6 2 2 2" xfId="34248" xr:uid="{00000000-0005-0000-0000-000092820000}"/>
    <cellStyle name="Normal 11 2 3 3 2 3 2 6 2 3" xfId="34249" xr:uid="{00000000-0005-0000-0000-000093820000}"/>
    <cellStyle name="Normal 11 2 3 3 2 3 2 6 3" xfId="34250" xr:uid="{00000000-0005-0000-0000-000094820000}"/>
    <cellStyle name="Normal 11 2 3 3 2 3 2 6 3 2" xfId="34251" xr:uid="{00000000-0005-0000-0000-000095820000}"/>
    <cellStyle name="Normal 11 2 3 3 2 3 2 6 4" xfId="34252" xr:uid="{00000000-0005-0000-0000-000096820000}"/>
    <cellStyle name="Normal 11 2 3 3 2 3 2 7" xfId="34253" xr:uid="{00000000-0005-0000-0000-000097820000}"/>
    <cellStyle name="Normal 11 2 3 3 2 3 2 7 2" xfId="34254" xr:uid="{00000000-0005-0000-0000-000098820000}"/>
    <cellStyle name="Normal 11 2 3 3 2 3 2 7 2 2" xfId="34255" xr:uid="{00000000-0005-0000-0000-000099820000}"/>
    <cellStyle name="Normal 11 2 3 3 2 3 2 7 2 2 2" xfId="34256" xr:uid="{00000000-0005-0000-0000-00009A820000}"/>
    <cellStyle name="Normal 11 2 3 3 2 3 2 7 2 3" xfId="34257" xr:uid="{00000000-0005-0000-0000-00009B820000}"/>
    <cellStyle name="Normal 11 2 3 3 2 3 2 7 3" xfId="34258" xr:uid="{00000000-0005-0000-0000-00009C820000}"/>
    <cellStyle name="Normal 11 2 3 3 2 3 2 7 3 2" xfId="34259" xr:uid="{00000000-0005-0000-0000-00009D820000}"/>
    <cellStyle name="Normal 11 2 3 3 2 3 2 7 4" xfId="34260" xr:uid="{00000000-0005-0000-0000-00009E820000}"/>
    <cellStyle name="Normal 11 2 3 3 2 3 2 8" xfId="34261" xr:uid="{00000000-0005-0000-0000-00009F820000}"/>
    <cellStyle name="Normal 11 2 3 3 2 3 2 8 2" xfId="34262" xr:uid="{00000000-0005-0000-0000-0000A0820000}"/>
    <cellStyle name="Normal 11 2 3 3 2 3 2 8 2 2" xfId="34263" xr:uid="{00000000-0005-0000-0000-0000A1820000}"/>
    <cellStyle name="Normal 11 2 3 3 2 3 2 8 3" xfId="34264" xr:uid="{00000000-0005-0000-0000-0000A2820000}"/>
    <cellStyle name="Normal 11 2 3 3 2 3 2 9" xfId="34265" xr:uid="{00000000-0005-0000-0000-0000A3820000}"/>
    <cellStyle name="Normal 11 2 3 3 2 3 2 9 2" xfId="34266" xr:uid="{00000000-0005-0000-0000-0000A4820000}"/>
    <cellStyle name="Normal 11 2 3 3 2 3 3" xfId="1420" xr:uid="{00000000-0005-0000-0000-0000A5820000}"/>
    <cellStyle name="Normal 11 2 3 3 2 3 3 2" xfId="34268" xr:uid="{00000000-0005-0000-0000-0000A6820000}"/>
    <cellStyle name="Normal 11 2 3 3 2 3 3 2 2" xfId="34269" xr:uid="{00000000-0005-0000-0000-0000A7820000}"/>
    <cellStyle name="Normal 11 2 3 3 2 3 3 2 2 2" xfId="34270" xr:uid="{00000000-0005-0000-0000-0000A8820000}"/>
    <cellStyle name="Normal 11 2 3 3 2 3 3 2 2 2 2" xfId="34271" xr:uid="{00000000-0005-0000-0000-0000A9820000}"/>
    <cellStyle name="Normal 11 2 3 3 2 3 3 2 2 3" xfId="34272" xr:uid="{00000000-0005-0000-0000-0000AA820000}"/>
    <cellStyle name="Normal 11 2 3 3 2 3 3 2 3" xfId="34273" xr:uid="{00000000-0005-0000-0000-0000AB820000}"/>
    <cellStyle name="Normal 11 2 3 3 2 3 3 2 3 2" xfId="34274" xr:uid="{00000000-0005-0000-0000-0000AC820000}"/>
    <cellStyle name="Normal 11 2 3 3 2 3 3 2 4" xfId="34275" xr:uid="{00000000-0005-0000-0000-0000AD820000}"/>
    <cellStyle name="Normal 11 2 3 3 2 3 3 3" xfId="34276" xr:uid="{00000000-0005-0000-0000-0000AE820000}"/>
    <cellStyle name="Normal 11 2 3 3 2 3 3 3 2" xfId="34277" xr:uid="{00000000-0005-0000-0000-0000AF820000}"/>
    <cellStyle name="Normal 11 2 3 3 2 3 3 3 2 2" xfId="34278" xr:uid="{00000000-0005-0000-0000-0000B0820000}"/>
    <cellStyle name="Normal 11 2 3 3 2 3 3 3 2 2 2" xfId="34279" xr:uid="{00000000-0005-0000-0000-0000B1820000}"/>
    <cellStyle name="Normal 11 2 3 3 2 3 3 3 2 3" xfId="34280" xr:uid="{00000000-0005-0000-0000-0000B2820000}"/>
    <cellStyle name="Normal 11 2 3 3 2 3 3 3 3" xfId="34281" xr:uid="{00000000-0005-0000-0000-0000B3820000}"/>
    <cellStyle name="Normal 11 2 3 3 2 3 3 3 3 2" xfId="34282" xr:uid="{00000000-0005-0000-0000-0000B4820000}"/>
    <cellStyle name="Normal 11 2 3 3 2 3 3 3 4" xfId="34283" xr:uid="{00000000-0005-0000-0000-0000B5820000}"/>
    <cellStyle name="Normal 11 2 3 3 2 3 3 4" xfId="34284" xr:uid="{00000000-0005-0000-0000-0000B6820000}"/>
    <cellStyle name="Normal 11 2 3 3 2 3 3 4 2" xfId="34285" xr:uid="{00000000-0005-0000-0000-0000B7820000}"/>
    <cellStyle name="Normal 11 2 3 3 2 3 3 4 2 2" xfId="34286" xr:uid="{00000000-0005-0000-0000-0000B8820000}"/>
    <cellStyle name="Normal 11 2 3 3 2 3 3 4 3" xfId="34287" xr:uid="{00000000-0005-0000-0000-0000B9820000}"/>
    <cellStyle name="Normal 11 2 3 3 2 3 3 5" xfId="34288" xr:uid="{00000000-0005-0000-0000-0000BA820000}"/>
    <cellStyle name="Normal 11 2 3 3 2 3 3 5 2" xfId="34289" xr:uid="{00000000-0005-0000-0000-0000BB820000}"/>
    <cellStyle name="Normal 11 2 3 3 2 3 3 6" xfId="34290" xr:uid="{00000000-0005-0000-0000-0000BC820000}"/>
    <cellStyle name="Normal 11 2 3 3 2 3 3 7" xfId="34267" xr:uid="{00000000-0005-0000-0000-0000BD820000}"/>
    <cellStyle name="Normal 11 2 3 3 2 3 4" xfId="34291" xr:uid="{00000000-0005-0000-0000-0000BE820000}"/>
    <cellStyle name="Normal 11 2 3 3 2 3 4 2" xfId="34292" xr:uid="{00000000-0005-0000-0000-0000BF820000}"/>
    <cellStyle name="Normal 11 2 3 3 2 3 4 2 2" xfId="34293" xr:uid="{00000000-0005-0000-0000-0000C0820000}"/>
    <cellStyle name="Normal 11 2 3 3 2 3 4 2 2 2" xfId="34294" xr:uid="{00000000-0005-0000-0000-0000C1820000}"/>
    <cellStyle name="Normal 11 2 3 3 2 3 4 2 2 2 2" xfId="34295" xr:uid="{00000000-0005-0000-0000-0000C2820000}"/>
    <cellStyle name="Normal 11 2 3 3 2 3 4 2 2 3" xfId="34296" xr:uid="{00000000-0005-0000-0000-0000C3820000}"/>
    <cellStyle name="Normal 11 2 3 3 2 3 4 2 3" xfId="34297" xr:uid="{00000000-0005-0000-0000-0000C4820000}"/>
    <cellStyle name="Normal 11 2 3 3 2 3 4 2 3 2" xfId="34298" xr:uid="{00000000-0005-0000-0000-0000C5820000}"/>
    <cellStyle name="Normal 11 2 3 3 2 3 4 2 4" xfId="34299" xr:uid="{00000000-0005-0000-0000-0000C6820000}"/>
    <cellStyle name="Normal 11 2 3 3 2 3 4 3" xfId="34300" xr:uid="{00000000-0005-0000-0000-0000C7820000}"/>
    <cellStyle name="Normal 11 2 3 3 2 3 4 3 2" xfId="34301" xr:uid="{00000000-0005-0000-0000-0000C8820000}"/>
    <cellStyle name="Normal 11 2 3 3 2 3 4 3 2 2" xfId="34302" xr:uid="{00000000-0005-0000-0000-0000C9820000}"/>
    <cellStyle name="Normal 11 2 3 3 2 3 4 3 3" xfId="34303" xr:uid="{00000000-0005-0000-0000-0000CA820000}"/>
    <cellStyle name="Normal 11 2 3 3 2 3 4 4" xfId="34304" xr:uid="{00000000-0005-0000-0000-0000CB820000}"/>
    <cellStyle name="Normal 11 2 3 3 2 3 4 4 2" xfId="34305" xr:uid="{00000000-0005-0000-0000-0000CC820000}"/>
    <cellStyle name="Normal 11 2 3 3 2 3 4 5" xfId="34306" xr:uid="{00000000-0005-0000-0000-0000CD820000}"/>
    <cellStyle name="Normal 11 2 3 3 2 3 5" xfId="34307" xr:uid="{00000000-0005-0000-0000-0000CE820000}"/>
    <cellStyle name="Normal 11 2 3 3 2 3 5 2" xfId="34308" xr:uid="{00000000-0005-0000-0000-0000CF820000}"/>
    <cellStyle name="Normal 11 2 3 3 2 3 5 2 2" xfId="34309" xr:uid="{00000000-0005-0000-0000-0000D0820000}"/>
    <cellStyle name="Normal 11 2 3 3 2 3 5 2 2 2" xfId="34310" xr:uid="{00000000-0005-0000-0000-0000D1820000}"/>
    <cellStyle name="Normal 11 2 3 3 2 3 5 2 2 2 2" xfId="34311" xr:uid="{00000000-0005-0000-0000-0000D2820000}"/>
    <cellStyle name="Normal 11 2 3 3 2 3 5 2 2 3" xfId="34312" xr:uid="{00000000-0005-0000-0000-0000D3820000}"/>
    <cellStyle name="Normal 11 2 3 3 2 3 5 2 3" xfId="34313" xr:uid="{00000000-0005-0000-0000-0000D4820000}"/>
    <cellStyle name="Normal 11 2 3 3 2 3 5 2 3 2" xfId="34314" xr:uid="{00000000-0005-0000-0000-0000D5820000}"/>
    <cellStyle name="Normal 11 2 3 3 2 3 5 2 4" xfId="34315" xr:uid="{00000000-0005-0000-0000-0000D6820000}"/>
    <cellStyle name="Normal 11 2 3 3 2 3 5 3" xfId="34316" xr:uid="{00000000-0005-0000-0000-0000D7820000}"/>
    <cellStyle name="Normal 11 2 3 3 2 3 5 3 2" xfId="34317" xr:uid="{00000000-0005-0000-0000-0000D8820000}"/>
    <cellStyle name="Normal 11 2 3 3 2 3 5 3 2 2" xfId="34318" xr:uid="{00000000-0005-0000-0000-0000D9820000}"/>
    <cellStyle name="Normal 11 2 3 3 2 3 5 3 3" xfId="34319" xr:uid="{00000000-0005-0000-0000-0000DA820000}"/>
    <cellStyle name="Normal 11 2 3 3 2 3 5 4" xfId="34320" xr:uid="{00000000-0005-0000-0000-0000DB820000}"/>
    <cellStyle name="Normal 11 2 3 3 2 3 5 4 2" xfId="34321" xr:uid="{00000000-0005-0000-0000-0000DC820000}"/>
    <cellStyle name="Normal 11 2 3 3 2 3 5 5" xfId="34322" xr:uid="{00000000-0005-0000-0000-0000DD820000}"/>
    <cellStyle name="Normal 11 2 3 3 2 3 6" xfId="34323" xr:uid="{00000000-0005-0000-0000-0000DE820000}"/>
    <cellStyle name="Normal 11 2 3 3 2 3 6 2" xfId="34324" xr:uid="{00000000-0005-0000-0000-0000DF820000}"/>
    <cellStyle name="Normal 11 2 3 3 2 3 6 2 2" xfId="34325" xr:uid="{00000000-0005-0000-0000-0000E0820000}"/>
    <cellStyle name="Normal 11 2 3 3 2 3 6 2 2 2" xfId="34326" xr:uid="{00000000-0005-0000-0000-0000E1820000}"/>
    <cellStyle name="Normal 11 2 3 3 2 3 6 2 3" xfId="34327" xr:uid="{00000000-0005-0000-0000-0000E2820000}"/>
    <cellStyle name="Normal 11 2 3 3 2 3 6 3" xfId="34328" xr:uid="{00000000-0005-0000-0000-0000E3820000}"/>
    <cellStyle name="Normal 11 2 3 3 2 3 6 3 2" xfId="34329" xr:uid="{00000000-0005-0000-0000-0000E4820000}"/>
    <cellStyle name="Normal 11 2 3 3 2 3 6 4" xfId="34330" xr:uid="{00000000-0005-0000-0000-0000E5820000}"/>
    <cellStyle name="Normal 11 2 3 3 2 3 7" xfId="34331" xr:uid="{00000000-0005-0000-0000-0000E6820000}"/>
    <cellStyle name="Normal 11 2 3 3 2 3 7 2" xfId="34332" xr:uid="{00000000-0005-0000-0000-0000E7820000}"/>
    <cellStyle name="Normal 11 2 3 3 2 3 7 2 2" xfId="34333" xr:uid="{00000000-0005-0000-0000-0000E8820000}"/>
    <cellStyle name="Normal 11 2 3 3 2 3 7 2 2 2" xfId="34334" xr:uid="{00000000-0005-0000-0000-0000E9820000}"/>
    <cellStyle name="Normal 11 2 3 3 2 3 7 2 3" xfId="34335" xr:uid="{00000000-0005-0000-0000-0000EA820000}"/>
    <cellStyle name="Normal 11 2 3 3 2 3 7 3" xfId="34336" xr:uid="{00000000-0005-0000-0000-0000EB820000}"/>
    <cellStyle name="Normal 11 2 3 3 2 3 7 3 2" xfId="34337" xr:uid="{00000000-0005-0000-0000-0000EC820000}"/>
    <cellStyle name="Normal 11 2 3 3 2 3 7 4" xfId="34338" xr:uid="{00000000-0005-0000-0000-0000ED820000}"/>
    <cellStyle name="Normal 11 2 3 3 2 3 8" xfId="34339" xr:uid="{00000000-0005-0000-0000-0000EE820000}"/>
    <cellStyle name="Normal 11 2 3 3 2 3 8 2" xfId="34340" xr:uid="{00000000-0005-0000-0000-0000EF820000}"/>
    <cellStyle name="Normal 11 2 3 3 2 3 8 2 2" xfId="34341" xr:uid="{00000000-0005-0000-0000-0000F0820000}"/>
    <cellStyle name="Normal 11 2 3 3 2 3 8 2 2 2" xfId="34342" xr:uid="{00000000-0005-0000-0000-0000F1820000}"/>
    <cellStyle name="Normal 11 2 3 3 2 3 8 2 3" xfId="34343" xr:uid="{00000000-0005-0000-0000-0000F2820000}"/>
    <cellStyle name="Normal 11 2 3 3 2 3 8 3" xfId="34344" xr:uid="{00000000-0005-0000-0000-0000F3820000}"/>
    <cellStyle name="Normal 11 2 3 3 2 3 8 3 2" xfId="34345" xr:uid="{00000000-0005-0000-0000-0000F4820000}"/>
    <cellStyle name="Normal 11 2 3 3 2 3 8 4" xfId="34346" xr:uid="{00000000-0005-0000-0000-0000F5820000}"/>
    <cellStyle name="Normal 11 2 3 3 2 3 9" xfId="34347" xr:uid="{00000000-0005-0000-0000-0000F6820000}"/>
    <cellStyle name="Normal 11 2 3 3 2 3 9 2" xfId="34348" xr:uid="{00000000-0005-0000-0000-0000F7820000}"/>
    <cellStyle name="Normal 11 2 3 3 2 3 9 2 2" xfId="34349" xr:uid="{00000000-0005-0000-0000-0000F8820000}"/>
    <cellStyle name="Normal 11 2 3 3 2 3 9 3" xfId="34350" xr:uid="{00000000-0005-0000-0000-0000F9820000}"/>
    <cellStyle name="Normal 11 2 3 3 2 4" xfId="1016" xr:uid="{00000000-0005-0000-0000-0000FA820000}"/>
    <cellStyle name="Normal 11 2 3 3 2 4 10" xfId="34352" xr:uid="{00000000-0005-0000-0000-0000FB820000}"/>
    <cellStyle name="Normal 11 2 3 3 2 4 11" xfId="34351" xr:uid="{00000000-0005-0000-0000-0000FC820000}"/>
    <cellStyle name="Normal 11 2 3 3 2 4 2" xfId="1745" xr:uid="{00000000-0005-0000-0000-0000FD820000}"/>
    <cellStyle name="Normal 11 2 3 3 2 4 2 2" xfId="34354" xr:uid="{00000000-0005-0000-0000-0000FE820000}"/>
    <cellStyle name="Normal 11 2 3 3 2 4 2 2 2" xfId="34355" xr:uid="{00000000-0005-0000-0000-0000FF820000}"/>
    <cellStyle name="Normal 11 2 3 3 2 4 2 2 2 2" xfId="34356" xr:uid="{00000000-0005-0000-0000-000000830000}"/>
    <cellStyle name="Normal 11 2 3 3 2 4 2 2 2 2 2" xfId="34357" xr:uid="{00000000-0005-0000-0000-000001830000}"/>
    <cellStyle name="Normal 11 2 3 3 2 4 2 2 2 3" xfId="34358" xr:uid="{00000000-0005-0000-0000-000002830000}"/>
    <cellStyle name="Normal 11 2 3 3 2 4 2 2 3" xfId="34359" xr:uid="{00000000-0005-0000-0000-000003830000}"/>
    <cellStyle name="Normal 11 2 3 3 2 4 2 2 3 2" xfId="34360" xr:uid="{00000000-0005-0000-0000-000004830000}"/>
    <cellStyle name="Normal 11 2 3 3 2 4 2 2 4" xfId="34361" xr:uid="{00000000-0005-0000-0000-000005830000}"/>
    <cellStyle name="Normal 11 2 3 3 2 4 2 3" xfId="34362" xr:uid="{00000000-0005-0000-0000-000006830000}"/>
    <cellStyle name="Normal 11 2 3 3 2 4 2 3 2" xfId="34363" xr:uid="{00000000-0005-0000-0000-000007830000}"/>
    <cellStyle name="Normal 11 2 3 3 2 4 2 3 2 2" xfId="34364" xr:uid="{00000000-0005-0000-0000-000008830000}"/>
    <cellStyle name="Normal 11 2 3 3 2 4 2 3 2 2 2" xfId="34365" xr:uid="{00000000-0005-0000-0000-000009830000}"/>
    <cellStyle name="Normal 11 2 3 3 2 4 2 3 2 3" xfId="34366" xr:uid="{00000000-0005-0000-0000-00000A830000}"/>
    <cellStyle name="Normal 11 2 3 3 2 4 2 3 3" xfId="34367" xr:uid="{00000000-0005-0000-0000-00000B830000}"/>
    <cellStyle name="Normal 11 2 3 3 2 4 2 3 3 2" xfId="34368" xr:uid="{00000000-0005-0000-0000-00000C830000}"/>
    <cellStyle name="Normal 11 2 3 3 2 4 2 3 4" xfId="34369" xr:uid="{00000000-0005-0000-0000-00000D830000}"/>
    <cellStyle name="Normal 11 2 3 3 2 4 2 4" xfId="34370" xr:uid="{00000000-0005-0000-0000-00000E830000}"/>
    <cellStyle name="Normal 11 2 3 3 2 4 2 4 2" xfId="34371" xr:uid="{00000000-0005-0000-0000-00000F830000}"/>
    <cellStyle name="Normal 11 2 3 3 2 4 2 4 2 2" xfId="34372" xr:uid="{00000000-0005-0000-0000-000010830000}"/>
    <cellStyle name="Normal 11 2 3 3 2 4 2 4 3" xfId="34373" xr:uid="{00000000-0005-0000-0000-000011830000}"/>
    <cellStyle name="Normal 11 2 3 3 2 4 2 5" xfId="34374" xr:uid="{00000000-0005-0000-0000-000012830000}"/>
    <cellStyle name="Normal 11 2 3 3 2 4 2 5 2" xfId="34375" xr:uid="{00000000-0005-0000-0000-000013830000}"/>
    <cellStyle name="Normal 11 2 3 3 2 4 2 6" xfId="34376" xr:uid="{00000000-0005-0000-0000-000014830000}"/>
    <cellStyle name="Normal 11 2 3 3 2 4 2 7" xfId="34353" xr:uid="{00000000-0005-0000-0000-000015830000}"/>
    <cellStyle name="Normal 11 2 3 3 2 4 3" xfId="34377" xr:uid="{00000000-0005-0000-0000-000016830000}"/>
    <cellStyle name="Normal 11 2 3 3 2 4 3 2" xfId="34378" xr:uid="{00000000-0005-0000-0000-000017830000}"/>
    <cellStyle name="Normal 11 2 3 3 2 4 3 2 2" xfId="34379" xr:uid="{00000000-0005-0000-0000-000018830000}"/>
    <cellStyle name="Normal 11 2 3 3 2 4 3 2 2 2" xfId="34380" xr:uid="{00000000-0005-0000-0000-000019830000}"/>
    <cellStyle name="Normal 11 2 3 3 2 4 3 2 2 2 2" xfId="34381" xr:uid="{00000000-0005-0000-0000-00001A830000}"/>
    <cellStyle name="Normal 11 2 3 3 2 4 3 2 2 3" xfId="34382" xr:uid="{00000000-0005-0000-0000-00001B830000}"/>
    <cellStyle name="Normal 11 2 3 3 2 4 3 2 3" xfId="34383" xr:uid="{00000000-0005-0000-0000-00001C830000}"/>
    <cellStyle name="Normal 11 2 3 3 2 4 3 2 3 2" xfId="34384" xr:uid="{00000000-0005-0000-0000-00001D830000}"/>
    <cellStyle name="Normal 11 2 3 3 2 4 3 2 4" xfId="34385" xr:uid="{00000000-0005-0000-0000-00001E830000}"/>
    <cellStyle name="Normal 11 2 3 3 2 4 3 3" xfId="34386" xr:uid="{00000000-0005-0000-0000-00001F830000}"/>
    <cellStyle name="Normal 11 2 3 3 2 4 3 3 2" xfId="34387" xr:uid="{00000000-0005-0000-0000-000020830000}"/>
    <cellStyle name="Normal 11 2 3 3 2 4 3 3 2 2" xfId="34388" xr:uid="{00000000-0005-0000-0000-000021830000}"/>
    <cellStyle name="Normal 11 2 3 3 2 4 3 3 3" xfId="34389" xr:uid="{00000000-0005-0000-0000-000022830000}"/>
    <cellStyle name="Normal 11 2 3 3 2 4 3 4" xfId="34390" xr:uid="{00000000-0005-0000-0000-000023830000}"/>
    <cellStyle name="Normal 11 2 3 3 2 4 3 4 2" xfId="34391" xr:uid="{00000000-0005-0000-0000-000024830000}"/>
    <cellStyle name="Normal 11 2 3 3 2 4 3 5" xfId="34392" xr:uid="{00000000-0005-0000-0000-000025830000}"/>
    <cellStyle name="Normal 11 2 3 3 2 4 4" xfId="34393" xr:uid="{00000000-0005-0000-0000-000026830000}"/>
    <cellStyle name="Normal 11 2 3 3 2 4 4 2" xfId="34394" xr:uid="{00000000-0005-0000-0000-000027830000}"/>
    <cellStyle name="Normal 11 2 3 3 2 4 4 2 2" xfId="34395" xr:uid="{00000000-0005-0000-0000-000028830000}"/>
    <cellStyle name="Normal 11 2 3 3 2 4 4 2 2 2" xfId="34396" xr:uid="{00000000-0005-0000-0000-000029830000}"/>
    <cellStyle name="Normal 11 2 3 3 2 4 4 2 2 2 2" xfId="34397" xr:uid="{00000000-0005-0000-0000-00002A830000}"/>
    <cellStyle name="Normal 11 2 3 3 2 4 4 2 2 3" xfId="34398" xr:uid="{00000000-0005-0000-0000-00002B830000}"/>
    <cellStyle name="Normal 11 2 3 3 2 4 4 2 3" xfId="34399" xr:uid="{00000000-0005-0000-0000-00002C830000}"/>
    <cellStyle name="Normal 11 2 3 3 2 4 4 2 3 2" xfId="34400" xr:uid="{00000000-0005-0000-0000-00002D830000}"/>
    <cellStyle name="Normal 11 2 3 3 2 4 4 2 4" xfId="34401" xr:uid="{00000000-0005-0000-0000-00002E830000}"/>
    <cellStyle name="Normal 11 2 3 3 2 4 4 3" xfId="34402" xr:uid="{00000000-0005-0000-0000-00002F830000}"/>
    <cellStyle name="Normal 11 2 3 3 2 4 4 3 2" xfId="34403" xr:uid="{00000000-0005-0000-0000-000030830000}"/>
    <cellStyle name="Normal 11 2 3 3 2 4 4 3 2 2" xfId="34404" xr:uid="{00000000-0005-0000-0000-000031830000}"/>
    <cellStyle name="Normal 11 2 3 3 2 4 4 3 3" xfId="34405" xr:uid="{00000000-0005-0000-0000-000032830000}"/>
    <cellStyle name="Normal 11 2 3 3 2 4 4 4" xfId="34406" xr:uid="{00000000-0005-0000-0000-000033830000}"/>
    <cellStyle name="Normal 11 2 3 3 2 4 4 4 2" xfId="34407" xr:uid="{00000000-0005-0000-0000-000034830000}"/>
    <cellStyle name="Normal 11 2 3 3 2 4 4 5" xfId="34408" xr:uid="{00000000-0005-0000-0000-000035830000}"/>
    <cellStyle name="Normal 11 2 3 3 2 4 5" xfId="34409" xr:uid="{00000000-0005-0000-0000-000036830000}"/>
    <cellStyle name="Normal 11 2 3 3 2 4 5 2" xfId="34410" xr:uid="{00000000-0005-0000-0000-000037830000}"/>
    <cellStyle name="Normal 11 2 3 3 2 4 5 2 2" xfId="34411" xr:uid="{00000000-0005-0000-0000-000038830000}"/>
    <cellStyle name="Normal 11 2 3 3 2 4 5 2 2 2" xfId="34412" xr:uid="{00000000-0005-0000-0000-000039830000}"/>
    <cellStyle name="Normal 11 2 3 3 2 4 5 2 3" xfId="34413" xr:uid="{00000000-0005-0000-0000-00003A830000}"/>
    <cellStyle name="Normal 11 2 3 3 2 4 5 3" xfId="34414" xr:uid="{00000000-0005-0000-0000-00003B830000}"/>
    <cellStyle name="Normal 11 2 3 3 2 4 5 3 2" xfId="34415" xr:uid="{00000000-0005-0000-0000-00003C830000}"/>
    <cellStyle name="Normal 11 2 3 3 2 4 5 4" xfId="34416" xr:uid="{00000000-0005-0000-0000-00003D830000}"/>
    <cellStyle name="Normal 11 2 3 3 2 4 6" xfId="34417" xr:uid="{00000000-0005-0000-0000-00003E830000}"/>
    <cellStyle name="Normal 11 2 3 3 2 4 6 2" xfId="34418" xr:uid="{00000000-0005-0000-0000-00003F830000}"/>
    <cellStyle name="Normal 11 2 3 3 2 4 6 2 2" xfId="34419" xr:uid="{00000000-0005-0000-0000-000040830000}"/>
    <cellStyle name="Normal 11 2 3 3 2 4 6 2 2 2" xfId="34420" xr:uid="{00000000-0005-0000-0000-000041830000}"/>
    <cellStyle name="Normal 11 2 3 3 2 4 6 2 3" xfId="34421" xr:uid="{00000000-0005-0000-0000-000042830000}"/>
    <cellStyle name="Normal 11 2 3 3 2 4 6 3" xfId="34422" xr:uid="{00000000-0005-0000-0000-000043830000}"/>
    <cellStyle name="Normal 11 2 3 3 2 4 6 3 2" xfId="34423" xr:uid="{00000000-0005-0000-0000-000044830000}"/>
    <cellStyle name="Normal 11 2 3 3 2 4 6 4" xfId="34424" xr:uid="{00000000-0005-0000-0000-000045830000}"/>
    <cellStyle name="Normal 11 2 3 3 2 4 7" xfId="34425" xr:uid="{00000000-0005-0000-0000-000046830000}"/>
    <cellStyle name="Normal 11 2 3 3 2 4 7 2" xfId="34426" xr:uid="{00000000-0005-0000-0000-000047830000}"/>
    <cellStyle name="Normal 11 2 3 3 2 4 7 2 2" xfId="34427" xr:uid="{00000000-0005-0000-0000-000048830000}"/>
    <cellStyle name="Normal 11 2 3 3 2 4 7 2 2 2" xfId="34428" xr:uid="{00000000-0005-0000-0000-000049830000}"/>
    <cellStyle name="Normal 11 2 3 3 2 4 7 2 3" xfId="34429" xr:uid="{00000000-0005-0000-0000-00004A830000}"/>
    <cellStyle name="Normal 11 2 3 3 2 4 7 3" xfId="34430" xr:uid="{00000000-0005-0000-0000-00004B830000}"/>
    <cellStyle name="Normal 11 2 3 3 2 4 7 3 2" xfId="34431" xr:uid="{00000000-0005-0000-0000-00004C830000}"/>
    <cellStyle name="Normal 11 2 3 3 2 4 7 4" xfId="34432" xr:uid="{00000000-0005-0000-0000-00004D830000}"/>
    <cellStyle name="Normal 11 2 3 3 2 4 8" xfId="34433" xr:uid="{00000000-0005-0000-0000-00004E830000}"/>
    <cellStyle name="Normal 11 2 3 3 2 4 8 2" xfId="34434" xr:uid="{00000000-0005-0000-0000-00004F830000}"/>
    <cellStyle name="Normal 11 2 3 3 2 4 8 2 2" xfId="34435" xr:uid="{00000000-0005-0000-0000-000050830000}"/>
    <cellStyle name="Normal 11 2 3 3 2 4 8 3" xfId="34436" xr:uid="{00000000-0005-0000-0000-000051830000}"/>
    <cellStyle name="Normal 11 2 3 3 2 4 9" xfId="34437" xr:uid="{00000000-0005-0000-0000-000052830000}"/>
    <cellStyle name="Normal 11 2 3 3 2 4 9 2" xfId="34438" xr:uid="{00000000-0005-0000-0000-000053830000}"/>
    <cellStyle name="Normal 11 2 3 3 2 5" xfId="1418" xr:uid="{00000000-0005-0000-0000-000054830000}"/>
    <cellStyle name="Normal 11 2 3 3 2 5 2" xfId="34440" xr:uid="{00000000-0005-0000-0000-000055830000}"/>
    <cellStyle name="Normal 11 2 3 3 2 5 2 2" xfId="34441" xr:uid="{00000000-0005-0000-0000-000056830000}"/>
    <cellStyle name="Normal 11 2 3 3 2 5 2 2 2" xfId="34442" xr:uid="{00000000-0005-0000-0000-000057830000}"/>
    <cellStyle name="Normal 11 2 3 3 2 5 2 2 2 2" xfId="34443" xr:uid="{00000000-0005-0000-0000-000058830000}"/>
    <cellStyle name="Normal 11 2 3 3 2 5 2 2 3" xfId="34444" xr:uid="{00000000-0005-0000-0000-000059830000}"/>
    <cellStyle name="Normal 11 2 3 3 2 5 2 3" xfId="34445" xr:uid="{00000000-0005-0000-0000-00005A830000}"/>
    <cellStyle name="Normal 11 2 3 3 2 5 2 3 2" xfId="34446" xr:uid="{00000000-0005-0000-0000-00005B830000}"/>
    <cellStyle name="Normal 11 2 3 3 2 5 2 4" xfId="34447" xr:uid="{00000000-0005-0000-0000-00005C830000}"/>
    <cellStyle name="Normal 11 2 3 3 2 5 3" xfId="34448" xr:uid="{00000000-0005-0000-0000-00005D830000}"/>
    <cellStyle name="Normal 11 2 3 3 2 5 3 2" xfId="34449" xr:uid="{00000000-0005-0000-0000-00005E830000}"/>
    <cellStyle name="Normal 11 2 3 3 2 5 3 2 2" xfId="34450" xr:uid="{00000000-0005-0000-0000-00005F830000}"/>
    <cellStyle name="Normal 11 2 3 3 2 5 3 2 2 2" xfId="34451" xr:uid="{00000000-0005-0000-0000-000060830000}"/>
    <cellStyle name="Normal 11 2 3 3 2 5 3 2 3" xfId="34452" xr:uid="{00000000-0005-0000-0000-000061830000}"/>
    <cellStyle name="Normal 11 2 3 3 2 5 3 3" xfId="34453" xr:uid="{00000000-0005-0000-0000-000062830000}"/>
    <cellStyle name="Normal 11 2 3 3 2 5 3 3 2" xfId="34454" xr:uid="{00000000-0005-0000-0000-000063830000}"/>
    <cellStyle name="Normal 11 2 3 3 2 5 3 4" xfId="34455" xr:uid="{00000000-0005-0000-0000-000064830000}"/>
    <cellStyle name="Normal 11 2 3 3 2 5 4" xfId="34456" xr:uid="{00000000-0005-0000-0000-000065830000}"/>
    <cellStyle name="Normal 11 2 3 3 2 5 4 2" xfId="34457" xr:uid="{00000000-0005-0000-0000-000066830000}"/>
    <cellStyle name="Normal 11 2 3 3 2 5 4 2 2" xfId="34458" xr:uid="{00000000-0005-0000-0000-000067830000}"/>
    <cellStyle name="Normal 11 2 3 3 2 5 4 3" xfId="34459" xr:uid="{00000000-0005-0000-0000-000068830000}"/>
    <cellStyle name="Normal 11 2 3 3 2 5 5" xfId="34460" xr:uid="{00000000-0005-0000-0000-000069830000}"/>
    <cellStyle name="Normal 11 2 3 3 2 5 5 2" xfId="34461" xr:uid="{00000000-0005-0000-0000-00006A830000}"/>
    <cellStyle name="Normal 11 2 3 3 2 5 6" xfId="34462" xr:uid="{00000000-0005-0000-0000-00006B830000}"/>
    <cellStyle name="Normal 11 2 3 3 2 5 7" xfId="34439" xr:uid="{00000000-0005-0000-0000-00006C830000}"/>
    <cellStyle name="Normal 11 2 3 3 2 6" xfId="34463" xr:uid="{00000000-0005-0000-0000-00006D830000}"/>
    <cellStyle name="Normal 11 2 3 3 2 6 2" xfId="34464" xr:uid="{00000000-0005-0000-0000-00006E830000}"/>
    <cellStyle name="Normal 11 2 3 3 2 6 2 2" xfId="34465" xr:uid="{00000000-0005-0000-0000-00006F830000}"/>
    <cellStyle name="Normal 11 2 3 3 2 6 2 2 2" xfId="34466" xr:uid="{00000000-0005-0000-0000-000070830000}"/>
    <cellStyle name="Normal 11 2 3 3 2 6 2 2 2 2" xfId="34467" xr:uid="{00000000-0005-0000-0000-000071830000}"/>
    <cellStyle name="Normal 11 2 3 3 2 6 2 2 3" xfId="34468" xr:uid="{00000000-0005-0000-0000-000072830000}"/>
    <cellStyle name="Normal 11 2 3 3 2 6 2 3" xfId="34469" xr:uid="{00000000-0005-0000-0000-000073830000}"/>
    <cellStyle name="Normal 11 2 3 3 2 6 2 3 2" xfId="34470" xr:uid="{00000000-0005-0000-0000-000074830000}"/>
    <cellStyle name="Normal 11 2 3 3 2 6 2 4" xfId="34471" xr:uid="{00000000-0005-0000-0000-000075830000}"/>
    <cellStyle name="Normal 11 2 3 3 2 6 3" xfId="34472" xr:uid="{00000000-0005-0000-0000-000076830000}"/>
    <cellStyle name="Normal 11 2 3 3 2 6 3 2" xfId="34473" xr:uid="{00000000-0005-0000-0000-000077830000}"/>
    <cellStyle name="Normal 11 2 3 3 2 6 3 2 2" xfId="34474" xr:uid="{00000000-0005-0000-0000-000078830000}"/>
    <cellStyle name="Normal 11 2 3 3 2 6 3 3" xfId="34475" xr:uid="{00000000-0005-0000-0000-000079830000}"/>
    <cellStyle name="Normal 11 2 3 3 2 6 4" xfId="34476" xr:uid="{00000000-0005-0000-0000-00007A830000}"/>
    <cellStyle name="Normal 11 2 3 3 2 6 4 2" xfId="34477" xr:uid="{00000000-0005-0000-0000-00007B830000}"/>
    <cellStyle name="Normal 11 2 3 3 2 6 5" xfId="34478" xr:uid="{00000000-0005-0000-0000-00007C830000}"/>
    <cellStyle name="Normal 11 2 3 3 2 7" xfId="34479" xr:uid="{00000000-0005-0000-0000-00007D830000}"/>
    <cellStyle name="Normal 11 2 3 3 2 7 2" xfId="34480" xr:uid="{00000000-0005-0000-0000-00007E830000}"/>
    <cellStyle name="Normal 11 2 3 3 2 7 2 2" xfId="34481" xr:uid="{00000000-0005-0000-0000-00007F830000}"/>
    <cellStyle name="Normal 11 2 3 3 2 7 2 2 2" xfId="34482" xr:uid="{00000000-0005-0000-0000-000080830000}"/>
    <cellStyle name="Normal 11 2 3 3 2 7 2 2 2 2" xfId="34483" xr:uid="{00000000-0005-0000-0000-000081830000}"/>
    <cellStyle name="Normal 11 2 3 3 2 7 2 2 3" xfId="34484" xr:uid="{00000000-0005-0000-0000-000082830000}"/>
    <cellStyle name="Normal 11 2 3 3 2 7 2 3" xfId="34485" xr:uid="{00000000-0005-0000-0000-000083830000}"/>
    <cellStyle name="Normal 11 2 3 3 2 7 2 3 2" xfId="34486" xr:uid="{00000000-0005-0000-0000-000084830000}"/>
    <cellStyle name="Normal 11 2 3 3 2 7 2 4" xfId="34487" xr:uid="{00000000-0005-0000-0000-000085830000}"/>
    <cellStyle name="Normal 11 2 3 3 2 7 3" xfId="34488" xr:uid="{00000000-0005-0000-0000-000086830000}"/>
    <cellStyle name="Normal 11 2 3 3 2 7 3 2" xfId="34489" xr:uid="{00000000-0005-0000-0000-000087830000}"/>
    <cellStyle name="Normal 11 2 3 3 2 7 3 2 2" xfId="34490" xr:uid="{00000000-0005-0000-0000-000088830000}"/>
    <cellStyle name="Normal 11 2 3 3 2 7 3 3" xfId="34491" xr:uid="{00000000-0005-0000-0000-000089830000}"/>
    <cellStyle name="Normal 11 2 3 3 2 7 4" xfId="34492" xr:uid="{00000000-0005-0000-0000-00008A830000}"/>
    <cellStyle name="Normal 11 2 3 3 2 7 4 2" xfId="34493" xr:uid="{00000000-0005-0000-0000-00008B830000}"/>
    <cellStyle name="Normal 11 2 3 3 2 7 5" xfId="34494" xr:uid="{00000000-0005-0000-0000-00008C830000}"/>
    <cellStyle name="Normal 11 2 3 3 2 8" xfId="34495" xr:uid="{00000000-0005-0000-0000-00008D830000}"/>
    <cellStyle name="Normal 11 2 3 3 2 8 2" xfId="34496" xr:uid="{00000000-0005-0000-0000-00008E830000}"/>
    <cellStyle name="Normal 11 2 3 3 2 8 2 2" xfId="34497" xr:uid="{00000000-0005-0000-0000-00008F830000}"/>
    <cellStyle name="Normal 11 2 3 3 2 8 2 2 2" xfId="34498" xr:uid="{00000000-0005-0000-0000-000090830000}"/>
    <cellStyle name="Normal 11 2 3 3 2 8 2 3" xfId="34499" xr:uid="{00000000-0005-0000-0000-000091830000}"/>
    <cellStyle name="Normal 11 2 3 3 2 8 3" xfId="34500" xr:uid="{00000000-0005-0000-0000-000092830000}"/>
    <cellStyle name="Normal 11 2 3 3 2 8 3 2" xfId="34501" xr:uid="{00000000-0005-0000-0000-000093830000}"/>
    <cellStyle name="Normal 11 2 3 3 2 8 4" xfId="34502" xr:uid="{00000000-0005-0000-0000-000094830000}"/>
    <cellStyle name="Normal 11 2 3 3 2 9" xfId="34503" xr:uid="{00000000-0005-0000-0000-000095830000}"/>
    <cellStyle name="Normal 11 2 3 3 2 9 2" xfId="34504" xr:uid="{00000000-0005-0000-0000-000096830000}"/>
    <cellStyle name="Normal 11 2 3 3 2 9 2 2" xfId="34505" xr:uid="{00000000-0005-0000-0000-000097830000}"/>
    <cellStyle name="Normal 11 2 3 3 2 9 2 2 2" xfId="34506" xr:uid="{00000000-0005-0000-0000-000098830000}"/>
    <cellStyle name="Normal 11 2 3 3 2 9 2 3" xfId="34507" xr:uid="{00000000-0005-0000-0000-000099830000}"/>
    <cellStyle name="Normal 11 2 3 3 2 9 3" xfId="34508" xr:uid="{00000000-0005-0000-0000-00009A830000}"/>
    <cellStyle name="Normal 11 2 3 3 2 9 3 2" xfId="34509" xr:uid="{00000000-0005-0000-0000-00009B830000}"/>
    <cellStyle name="Normal 11 2 3 3 2 9 4" xfId="34510" xr:uid="{00000000-0005-0000-0000-00009C830000}"/>
    <cellStyle name="Normal 11 2 3 3 3" xfId="577" xr:uid="{00000000-0005-0000-0000-00009D830000}"/>
    <cellStyle name="Normal 11 2 3 3 3 10" xfId="34512" xr:uid="{00000000-0005-0000-0000-00009E830000}"/>
    <cellStyle name="Normal 11 2 3 3 3 10 2" xfId="34513" xr:uid="{00000000-0005-0000-0000-00009F830000}"/>
    <cellStyle name="Normal 11 2 3 3 3 10 2 2" xfId="34514" xr:uid="{00000000-0005-0000-0000-0000A0830000}"/>
    <cellStyle name="Normal 11 2 3 3 3 10 3" xfId="34515" xr:uid="{00000000-0005-0000-0000-0000A1830000}"/>
    <cellStyle name="Normal 11 2 3 3 3 11" xfId="34516" xr:uid="{00000000-0005-0000-0000-0000A2830000}"/>
    <cellStyle name="Normal 11 2 3 3 3 11 2" xfId="34517" xr:uid="{00000000-0005-0000-0000-0000A3830000}"/>
    <cellStyle name="Normal 11 2 3 3 3 11 2 2" xfId="34518" xr:uid="{00000000-0005-0000-0000-0000A4830000}"/>
    <cellStyle name="Normal 11 2 3 3 3 11 3" xfId="34519" xr:uid="{00000000-0005-0000-0000-0000A5830000}"/>
    <cellStyle name="Normal 11 2 3 3 3 12" xfId="34520" xr:uid="{00000000-0005-0000-0000-0000A6830000}"/>
    <cellStyle name="Normal 11 2 3 3 3 12 2" xfId="34521" xr:uid="{00000000-0005-0000-0000-0000A7830000}"/>
    <cellStyle name="Normal 11 2 3 3 3 13" xfId="34522" xr:uid="{00000000-0005-0000-0000-0000A8830000}"/>
    <cellStyle name="Normal 11 2 3 3 3 14" xfId="34523" xr:uid="{00000000-0005-0000-0000-0000A9830000}"/>
    <cellStyle name="Normal 11 2 3 3 3 15" xfId="34511" xr:uid="{00000000-0005-0000-0000-0000AA830000}"/>
    <cellStyle name="Normal 11 2 3 3 3 2" xfId="1019" xr:uid="{00000000-0005-0000-0000-0000AB830000}"/>
    <cellStyle name="Normal 11 2 3 3 3 2 10" xfId="34525" xr:uid="{00000000-0005-0000-0000-0000AC830000}"/>
    <cellStyle name="Normal 11 2 3 3 3 2 11" xfId="34524" xr:uid="{00000000-0005-0000-0000-0000AD830000}"/>
    <cellStyle name="Normal 11 2 3 3 3 2 2" xfId="1748" xr:uid="{00000000-0005-0000-0000-0000AE830000}"/>
    <cellStyle name="Normal 11 2 3 3 3 2 2 2" xfId="34527" xr:uid="{00000000-0005-0000-0000-0000AF830000}"/>
    <cellStyle name="Normal 11 2 3 3 3 2 2 2 2" xfId="34528" xr:uid="{00000000-0005-0000-0000-0000B0830000}"/>
    <cellStyle name="Normal 11 2 3 3 3 2 2 2 2 2" xfId="34529" xr:uid="{00000000-0005-0000-0000-0000B1830000}"/>
    <cellStyle name="Normal 11 2 3 3 3 2 2 2 2 2 2" xfId="34530" xr:uid="{00000000-0005-0000-0000-0000B2830000}"/>
    <cellStyle name="Normal 11 2 3 3 3 2 2 2 2 3" xfId="34531" xr:uid="{00000000-0005-0000-0000-0000B3830000}"/>
    <cellStyle name="Normal 11 2 3 3 3 2 2 2 3" xfId="34532" xr:uid="{00000000-0005-0000-0000-0000B4830000}"/>
    <cellStyle name="Normal 11 2 3 3 3 2 2 2 3 2" xfId="34533" xr:uid="{00000000-0005-0000-0000-0000B5830000}"/>
    <cellStyle name="Normal 11 2 3 3 3 2 2 2 4" xfId="34534" xr:uid="{00000000-0005-0000-0000-0000B6830000}"/>
    <cellStyle name="Normal 11 2 3 3 3 2 2 3" xfId="34535" xr:uid="{00000000-0005-0000-0000-0000B7830000}"/>
    <cellStyle name="Normal 11 2 3 3 3 2 2 3 2" xfId="34536" xr:uid="{00000000-0005-0000-0000-0000B8830000}"/>
    <cellStyle name="Normal 11 2 3 3 3 2 2 3 2 2" xfId="34537" xr:uid="{00000000-0005-0000-0000-0000B9830000}"/>
    <cellStyle name="Normal 11 2 3 3 3 2 2 3 2 2 2" xfId="34538" xr:uid="{00000000-0005-0000-0000-0000BA830000}"/>
    <cellStyle name="Normal 11 2 3 3 3 2 2 3 2 3" xfId="34539" xr:uid="{00000000-0005-0000-0000-0000BB830000}"/>
    <cellStyle name="Normal 11 2 3 3 3 2 2 3 3" xfId="34540" xr:uid="{00000000-0005-0000-0000-0000BC830000}"/>
    <cellStyle name="Normal 11 2 3 3 3 2 2 3 3 2" xfId="34541" xr:uid="{00000000-0005-0000-0000-0000BD830000}"/>
    <cellStyle name="Normal 11 2 3 3 3 2 2 3 4" xfId="34542" xr:uid="{00000000-0005-0000-0000-0000BE830000}"/>
    <cellStyle name="Normal 11 2 3 3 3 2 2 4" xfId="34543" xr:uid="{00000000-0005-0000-0000-0000BF830000}"/>
    <cellStyle name="Normal 11 2 3 3 3 2 2 4 2" xfId="34544" xr:uid="{00000000-0005-0000-0000-0000C0830000}"/>
    <cellStyle name="Normal 11 2 3 3 3 2 2 4 2 2" xfId="34545" xr:uid="{00000000-0005-0000-0000-0000C1830000}"/>
    <cellStyle name="Normal 11 2 3 3 3 2 2 4 3" xfId="34546" xr:uid="{00000000-0005-0000-0000-0000C2830000}"/>
    <cellStyle name="Normal 11 2 3 3 3 2 2 5" xfId="34547" xr:uid="{00000000-0005-0000-0000-0000C3830000}"/>
    <cellStyle name="Normal 11 2 3 3 3 2 2 5 2" xfId="34548" xr:uid="{00000000-0005-0000-0000-0000C4830000}"/>
    <cellStyle name="Normal 11 2 3 3 3 2 2 6" xfId="34549" xr:uid="{00000000-0005-0000-0000-0000C5830000}"/>
    <cellStyle name="Normal 11 2 3 3 3 2 2 7" xfId="34526" xr:uid="{00000000-0005-0000-0000-0000C6830000}"/>
    <cellStyle name="Normal 11 2 3 3 3 2 3" xfId="34550" xr:uid="{00000000-0005-0000-0000-0000C7830000}"/>
    <cellStyle name="Normal 11 2 3 3 3 2 3 2" xfId="34551" xr:uid="{00000000-0005-0000-0000-0000C8830000}"/>
    <cellStyle name="Normal 11 2 3 3 3 2 3 2 2" xfId="34552" xr:uid="{00000000-0005-0000-0000-0000C9830000}"/>
    <cellStyle name="Normal 11 2 3 3 3 2 3 2 2 2" xfId="34553" xr:uid="{00000000-0005-0000-0000-0000CA830000}"/>
    <cellStyle name="Normal 11 2 3 3 3 2 3 2 2 2 2" xfId="34554" xr:uid="{00000000-0005-0000-0000-0000CB830000}"/>
    <cellStyle name="Normal 11 2 3 3 3 2 3 2 2 3" xfId="34555" xr:uid="{00000000-0005-0000-0000-0000CC830000}"/>
    <cellStyle name="Normal 11 2 3 3 3 2 3 2 3" xfId="34556" xr:uid="{00000000-0005-0000-0000-0000CD830000}"/>
    <cellStyle name="Normal 11 2 3 3 3 2 3 2 3 2" xfId="34557" xr:uid="{00000000-0005-0000-0000-0000CE830000}"/>
    <cellStyle name="Normal 11 2 3 3 3 2 3 2 4" xfId="34558" xr:uid="{00000000-0005-0000-0000-0000CF830000}"/>
    <cellStyle name="Normal 11 2 3 3 3 2 3 3" xfId="34559" xr:uid="{00000000-0005-0000-0000-0000D0830000}"/>
    <cellStyle name="Normal 11 2 3 3 3 2 3 3 2" xfId="34560" xr:uid="{00000000-0005-0000-0000-0000D1830000}"/>
    <cellStyle name="Normal 11 2 3 3 3 2 3 3 2 2" xfId="34561" xr:uid="{00000000-0005-0000-0000-0000D2830000}"/>
    <cellStyle name="Normal 11 2 3 3 3 2 3 3 3" xfId="34562" xr:uid="{00000000-0005-0000-0000-0000D3830000}"/>
    <cellStyle name="Normal 11 2 3 3 3 2 3 4" xfId="34563" xr:uid="{00000000-0005-0000-0000-0000D4830000}"/>
    <cellStyle name="Normal 11 2 3 3 3 2 3 4 2" xfId="34564" xr:uid="{00000000-0005-0000-0000-0000D5830000}"/>
    <cellStyle name="Normal 11 2 3 3 3 2 3 5" xfId="34565" xr:uid="{00000000-0005-0000-0000-0000D6830000}"/>
    <cellStyle name="Normal 11 2 3 3 3 2 4" xfId="34566" xr:uid="{00000000-0005-0000-0000-0000D7830000}"/>
    <cellStyle name="Normal 11 2 3 3 3 2 4 2" xfId="34567" xr:uid="{00000000-0005-0000-0000-0000D8830000}"/>
    <cellStyle name="Normal 11 2 3 3 3 2 4 2 2" xfId="34568" xr:uid="{00000000-0005-0000-0000-0000D9830000}"/>
    <cellStyle name="Normal 11 2 3 3 3 2 4 2 2 2" xfId="34569" xr:uid="{00000000-0005-0000-0000-0000DA830000}"/>
    <cellStyle name="Normal 11 2 3 3 3 2 4 2 2 2 2" xfId="34570" xr:uid="{00000000-0005-0000-0000-0000DB830000}"/>
    <cellStyle name="Normal 11 2 3 3 3 2 4 2 2 3" xfId="34571" xr:uid="{00000000-0005-0000-0000-0000DC830000}"/>
    <cellStyle name="Normal 11 2 3 3 3 2 4 2 3" xfId="34572" xr:uid="{00000000-0005-0000-0000-0000DD830000}"/>
    <cellStyle name="Normal 11 2 3 3 3 2 4 2 3 2" xfId="34573" xr:uid="{00000000-0005-0000-0000-0000DE830000}"/>
    <cellStyle name="Normal 11 2 3 3 3 2 4 2 4" xfId="34574" xr:uid="{00000000-0005-0000-0000-0000DF830000}"/>
    <cellStyle name="Normal 11 2 3 3 3 2 4 3" xfId="34575" xr:uid="{00000000-0005-0000-0000-0000E0830000}"/>
    <cellStyle name="Normal 11 2 3 3 3 2 4 3 2" xfId="34576" xr:uid="{00000000-0005-0000-0000-0000E1830000}"/>
    <cellStyle name="Normal 11 2 3 3 3 2 4 3 2 2" xfId="34577" xr:uid="{00000000-0005-0000-0000-0000E2830000}"/>
    <cellStyle name="Normal 11 2 3 3 3 2 4 3 3" xfId="34578" xr:uid="{00000000-0005-0000-0000-0000E3830000}"/>
    <cellStyle name="Normal 11 2 3 3 3 2 4 4" xfId="34579" xr:uid="{00000000-0005-0000-0000-0000E4830000}"/>
    <cellStyle name="Normal 11 2 3 3 3 2 4 4 2" xfId="34580" xr:uid="{00000000-0005-0000-0000-0000E5830000}"/>
    <cellStyle name="Normal 11 2 3 3 3 2 4 5" xfId="34581" xr:uid="{00000000-0005-0000-0000-0000E6830000}"/>
    <cellStyle name="Normal 11 2 3 3 3 2 5" xfId="34582" xr:uid="{00000000-0005-0000-0000-0000E7830000}"/>
    <cellStyle name="Normal 11 2 3 3 3 2 5 2" xfId="34583" xr:uid="{00000000-0005-0000-0000-0000E8830000}"/>
    <cellStyle name="Normal 11 2 3 3 3 2 5 2 2" xfId="34584" xr:uid="{00000000-0005-0000-0000-0000E9830000}"/>
    <cellStyle name="Normal 11 2 3 3 3 2 5 2 2 2" xfId="34585" xr:uid="{00000000-0005-0000-0000-0000EA830000}"/>
    <cellStyle name="Normal 11 2 3 3 3 2 5 2 3" xfId="34586" xr:uid="{00000000-0005-0000-0000-0000EB830000}"/>
    <cellStyle name="Normal 11 2 3 3 3 2 5 3" xfId="34587" xr:uid="{00000000-0005-0000-0000-0000EC830000}"/>
    <cellStyle name="Normal 11 2 3 3 3 2 5 3 2" xfId="34588" xr:uid="{00000000-0005-0000-0000-0000ED830000}"/>
    <cellStyle name="Normal 11 2 3 3 3 2 5 4" xfId="34589" xr:uid="{00000000-0005-0000-0000-0000EE830000}"/>
    <cellStyle name="Normal 11 2 3 3 3 2 6" xfId="34590" xr:uid="{00000000-0005-0000-0000-0000EF830000}"/>
    <cellStyle name="Normal 11 2 3 3 3 2 6 2" xfId="34591" xr:uid="{00000000-0005-0000-0000-0000F0830000}"/>
    <cellStyle name="Normal 11 2 3 3 3 2 6 2 2" xfId="34592" xr:uid="{00000000-0005-0000-0000-0000F1830000}"/>
    <cellStyle name="Normal 11 2 3 3 3 2 6 2 2 2" xfId="34593" xr:uid="{00000000-0005-0000-0000-0000F2830000}"/>
    <cellStyle name="Normal 11 2 3 3 3 2 6 2 3" xfId="34594" xr:uid="{00000000-0005-0000-0000-0000F3830000}"/>
    <cellStyle name="Normal 11 2 3 3 3 2 6 3" xfId="34595" xr:uid="{00000000-0005-0000-0000-0000F4830000}"/>
    <cellStyle name="Normal 11 2 3 3 3 2 6 3 2" xfId="34596" xr:uid="{00000000-0005-0000-0000-0000F5830000}"/>
    <cellStyle name="Normal 11 2 3 3 3 2 6 4" xfId="34597" xr:uid="{00000000-0005-0000-0000-0000F6830000}"/>
    <cellStyle name="Normal 11 2 3 3 3 2 7" xfId="34598" xr:uid="{00000000-0005-0000-0000-0000F7830000}"/>
    <cellStyle name="Normal 11 2 3 3 3 2 7 2" xfId="34599" xr:uid="{00000000-0005-0000-0000-0000F8830000}"/>
    <cellStyle name="Normal 11 2 3 3 3 2 7 2 2" xfId="34600" xr:uid="{00000000-0005-0000-0000-0000F9830000}"/>
    <cellStyle name="Normal 11 2 3 3 3 2 7 2 2 2" xfId="34601" xr:uid="{00000000-0005-0000-0000-0000FA830000}"/>
    <cellStyle name="Normal 11 2 3 3 3 2 7 2 3" xfId="34602" xr:uid="{00000000-0005-0000-0000-0000FB830000}"/>
    <cellStyle name="Normal 11 2 3 3 3 2 7 3" xfId="34603" xr:uid="{00000000-0005-0000-0000-0000FC830000}"/>
    <cellStyle name="Normal 11 2 3 3 3 2 7 3 2" xfId="34604" xr:uid="{00000000-0005-0000-0000-0000FD830000}"/>
    <cellStyle name="Normal 11 2 3 3 3 2 7 4" xfId="34605" xr:uid="{00000000-0005-0000-0000-0000FE830000}"/>
    <cellStyle name="Normal 11 2 3 3 3 2 8" xfId="34606" xr:uid="{00000000-0005-0000-0000-0000FF830000}"/>
    <cellStyle name="Normal 11 2 3 3 3 2 8 2" xfId="34607" xr:uid="{00000000-0005-0000-0000-000000840000}"/>
    <cellStyle name="Normal 11 2 3 3 3 2 8 2 2" xfId="34608" xr:uid="{00000000-0005-0000-0000-000001840000}"/>
    <cellStyle name="Normal 11 2 3 3 3 2 8 3" xfId="34609" xr:uid="{00000000-0005-0000-0000-000002840000}"/>
    <cellStyle name="Normal 11 2 3 3 3 2 9" xfId="34610" xr:uid="{00000000-0005-0000-0000-000003840000}"/>
    <cellStyle name="Normal 11 2 3 3 3 2 9 2" xfId="34611" xr:uid="{00000000-0005-0000-0000-000004840000}"/>
    <cellStyle name="Normal 11 2 3 3 3 3" xfId="1421" xr:uid="{00000000-0005-0000-0000-000005840000}"/>
    <cellStyle name="Normal 11 2 3 3 3 3 2" xfId="34613" xr:uid="{00000000-0005-0000-0000-000006840000}"/>
    <cellStyle name="Normal 11 2 3 3 3 3 2 2" xfId="34614" xr:uid="{00000000-0005-0000-0000-000007840000}"/>
    <cellStyle name="Normal 11 2 3 3 3 3 2 2 2" xfId="34615" xr:uid="{00000000-0005-0000-0000-000008840000}"/>
    <cellStyle name="Normal 11 2 3 3 3 3 2 2 2 2" xfId="34616" xr:uid="{00000000-0005-0000-0000-000009840000}"/>
    <cellStyle name="Normal 11 2 3 3 3 3 2 2 3" xfId="34617" xr:uid="{00000000-0005-0000-0000-00000A840000}"/>
    <cellStyle name="Normal 11 2 3 3 3 3 2 3" xfId="34618" xr:uid="{00000000-0005-0000-0000-00000B840000}"/>
    <cellStyle name="Normal 11 2 3 3 3 3 2 3 2" xfId="34619" xr:uid="{00000000-0005-0000-0000-00000C840000}"/>
    <cellStyle name="Normal 11 2 3 3 3 3 2 4" xfId="34620" xr:uid="{00000000-0005-0000-0000-00000D840000}"/>
    <cellStyle name="Normal 11 2 3 3 3 3 3" xfId="34621" xr:uid="{00000000-0005-0000-0000-00000E840000}"/>
    <cellStyle name="Normal 11 2 3 3 3 3 3 2" xfId="34622" xr:uid="{00000000-0005-0000-0000-00000F840000}"/>
    <cellStyle name="Normal 11 2 3 3 3 3 3 2 2" xfId="34623" xr:uid="{00000000-0005-0000-0000-000010840000}"/>
    <cellStyle name="Normal 11 2 3 3 3 3 3 2 2 2" xfId="34624" xr:uid="{00000000-0005-0000-0000-000011840000}"/>
    <cellStyle name="Normal 11 2 3 3 3 3 3 2 3" xfId="34625" xr:uid="{00000000-0005-0000-0000-000012840000}"/>
    <cellStyle name="Normal 11 2 3 3 3 3 3 3" xfId="34626" xr:uid="{00000000-0005-0000-0000-000013840000}"/>
    <cellStyle name="Normal 11 2 3 3 3 3 3 3 2" xfId="34627" xr:uid="{00000000-0005-0000-0000-000014840000}"/>
    <cellStyle name="Normal 11 2 3 3 3 3 3 4" xfId="34628" xr:uid="{00000000-0005-0000-0000-000015840000}"/>
    <cellStyle name="Normal 11 2 3 3 3 3 4" xfId="34629" xr:uid="{00000000-0005-0000-0000-000016840000}"/>
    <cellStyle name="Normal 11 2 3 3 3 3 4 2" xfId="34630" xr:uid="{00000000-0005-0000-0000-000017840000}"/>
    <cellStyle name="Normal 11 2 3 3 3 3 4 2 2" xfId="34631" xr:uid="{00000000-0005-0000-0000-000018840000}"/>
    <cellStyle name="Normal 11 2 3 3 3 3 4 3" xfId="34632" xr:uid="{00000000-0005-0000-0000-000019840000}"/>
    <cellStyle name="Normal 11 2 3 3 3 3 5" xfId="34633" xr:uid="{00000000-0005-0000-0000-00001A840000}"/>
    <cellStyle name="Normal 11 2 3 3 3 3 5 2" xfId="34634" xr:uid="{00000000-0005-0000-0000-00001B840000}"/>
    <cellStyle name="Normal 11 2 3 3 3 3 6" xfId="34635" xr:uid="{00000000-0005-0000-0000-00001C840000}"/>
    <cellStyle name="Normal 11 2 3 3 3 3 7" xfId="34612" xr:uid="{00000000-0005-0000-0000-00001D840000}"/>
    <cellStyle name="Normal 11 2 3 3 3 4" xfId="34636" xr:uid="{00000000-0005-0000-0000-00001E840000}"/>
    <cellStyle name="Normal 11 2 3 3 3 4 2" xfId="34637" xr:uid="{00000000-0005-0000-0000-00001F840000}"/>
    <cellStyle name="Normal 11 2 3 3 3 4 2 2" xfId="34638" xr:uid="{00000000-0005-0000-0000-000020840000}"/>
    <cellStyle name="Normal 11 2 3 3 3 4 2 2 2" xfId="34639" xr:uid="{00000000-0005-0000-0000-000021840000}"/>
    <cellStyle name="Normal 11 2 3 3 3 4 2 2 2 2" xfId="34640" xr:uid="{00000000-0005-0000-0000-000022840000}"/>
    <cellStyle name="Normal 11 2 3 3 3 4 2 2 3" xfId="34641" xr:uid="{00000000-0005-0000-0000-000023840000}"/>
    <cellStyle name="Normal 11 2 3 3 3 4 2 3" xfId="34642" xr:uid="{00000000-0005-0000-0000-000024840000}"/>
    <cellStyle name="Normal 11 2 3 3 3 4 2 3 2" xfId="34643" xr:uid="{00000000-0005-0000-0000-000025840000}"/>
    <cellStyle name="Normal 11 2 3 3 3 4 2 4" xfId="34644" xr:uid="{00000000-0005-0000-0000-000026840000}"/>
    <cellStyle name="Normal 11 2 3 3 3 4 3" xfId="34645" xr:uid="{00000000-0005-0000-0000-000027840000}"/>
    <cellStyle name="Normal 11 2 3 3 3 4 3 2" xfId="34646" xr:uid="{00000000-0005-0000-0000-000028840000}"/>
    <cellStyle name="Normal 11 2 3 3 3 4 3 2 2" xfId="34647" xr:uid="{00000000-0005-0000-0000-000029840000}"/>
    <cellStyle name="Normal 11 2 3 3 3 4 3 3" xfId="34648" xr:uid="{00000000-0005-0000-0000-00002A840000}"/>
    <cellStyle name="Normal 11 2 3 3 3 4 4" xfId="34649" xr:uid="{00000000-0005-0000-0000-00002B840000}"/>
    <cellStyle name="Normal 11 2 3 3 3 4 4 2" xfId="34650" xr:uid="{00000000-0005-0000-0000-00002C840000}"/>
    <cellStyle name="Normal 11 2 3 3 3 4 5" xfId="34651" xr:uid="{00000000-0005-0000-0000-00002D840000}"/>
    <cellStyle name="Normal 11 2 3 3 3 5" xfId="34652" xr:uid="{00000000-0005-0000-0000-00002E840000}"/>
    <cellStyle name="Normal 11 2 3 3 3 5 2" xfId="34653" xr:uid="{00000000-0005-0000-0000-00002F840000}"/>
    <cellStyle name="Normal 11 2 3 3 3 5 2 2" xfId="34654" xr:uid="{00000000-0005-0000-0000-000030840000}"/>
    <cellStyle name="Normal 11 2 3 3 3 5 2 2 2" xfId="34655" xr:uid="{00000000-0005-0000-0000-000031840000}"/>
    <cellStyle name="Normal 11 2 3 3 3 5 2 2 2 2" xfId="34656" xr:uid="{00000000-0005-0000-0000-000032840000}"/>
    <cellStyle name="Normal 11 2 3 3 3 5 2 2 3" xfId="34657" xr:uid="{00000000-0005-0000-0000-000033840000}"/>
    <cellStyle name="Normal 11 2 3 3 3 5 2 3" xfId="34658" xr:uid="{00000000-0005-0000-0000-000034840000}"/>
    <cellStyle name="Normal 11 2 3 3 3 5 2 3 2" xfId="34659" xr:uid="{00000000-0005-0000-0000-000035840000}"/>
    <cellStyle name="Normal 11 2 3 3 3 5 2 4" xfId="34660" xr:uid="{00000000-0005-0000-0000-000036840000}"/>
    <cellStyle name="Normal 11 2 3 3 3 5 3" xfId="34661" xr:uid="{00000000-0005-0000-0000-000037840000}"/>
    <cellStyle name="Normal 11 2 3 3 3 5 3 2" xfId="34662" xr:uid="{00000000-0005-0000-0000-000038840000}"/>
    <cellStyle name="Normal 11 2 3 3 3 5 3 2 2" xfId="34663" xr:uid="{00000000-0005-0000-0000-000039840000}"/>
    <cellStyle name="Normal 11 2 3 3 3 5 3 3" xfId="34664" xr:uid="{00000000-0005-0000-0000-00003A840000}"/>
    <cellStyle name="Normal 11 2 3 3 3 5 4" xfId="34665" xr:uid="{00000000-0005-0000-0000-00003B840000}"/>
    <cellStyle name="Normal 11 2 3 3 3 5 4 2" xfId="34666" xr:uid="{00000000-0005-0000-0000-00003C840000}"/>
    <cellStyle name="Normal 11 2 3 3 3 5 5" xfId="34667" xr:uid="{00000000-0005-0000-0000-00003D840000}"/>
    <cellStyle name="Normal 11 2 3 3 3 6" xfId="34668" xr:uid="{00000000-0005-0000-0000-00003E840000}"/>
    <cellStyle name="Normal 11 2 3 3 3 6 2" xfId="34669" xr:uid="{00000000-0005-0000-0000-00003F840000}"/>
    <cellStyle name="Normal 11 2 3 3 3 6 2 2" xfId="34670" xr:uid="{00000000-0005-0000-0000-000040840000}"/>
    <cellStyle name="Normal 11 2 3 3 3 6 2 2 2" xfId="34671" xr:uid="{00000000-0005-0000-0000-000041840000}"/>
    <cellStyle name="Normal 11 2 3 3 3 6 2 3" xfId="34672" xr:uid="{00000000-0005-0000-0000-000042840000}"/>
    <cellStyle name="Normal 11 2 3 3 3 6 3" xfId="34673" xr:uid="{00000000-0005-0000-0000-000043840000}"/>
    <cellStyle name="Normal 11 2 3 3 3 6 3 2" xfId="34674" xr:uid="{00000000-0005-0000-0000-000044840000}"/>
    <cellStyle name="Normal 11 2 3 3 3 6 4" xfId="34675" xr:uid="{00000000-0005-0000-0000-000045840000}"/>
    <cellStyle name="Normal 11 2 3 3 3 7" xfId="34676" xr:uid="{00000000-0005-0000-0000-000046840000}"/>
    <cellStyle name="Normal 11 2 3 3 3 7 2" xfId="34677" xr:uid="{00000000-0005-0000-0000-000047840000}"/>
    <cellStyle name="Normal 11 2 3 3 3 7 2 2" xfId="34678" xr:uid="{00000000-0005-0000-0000-000048840000}"/>
    <cellStyle name="Normal 11 2 3 3 3 7 2 2 2" xfId="34679" xr:uid="{00000000-0005-0000-0000-000049840000}"/>
    <cellStyle name="Normal 11 2 3 3 3 7 2 3" xfId="34680" xr:uid="{00000000-0005-0000-0000-00004A840000}"/>
    <cellStyle name="Normal 11 2 3 3 3 7 3" xfId="34681" xr:uid="{00000000-0005-0000-0000-00004B840000}"/>
    <cellStyle name="Normal 11 2 3 3 3 7 3 2" xfId="34682" xr:uid="{00000000-0005-0000-0000-00004C840000}"/>
    <cellStyle name="Normal 11 2 3 3 3 7 4" xfId="34683" xr:uid="{00000000-0005-0000-0000-00004D840000}"/>
    <cellStyle name="Normal 11 2 3 3 3 8" xfId="34684" xr:uid="{00000000-0005-0000-0000-00004E840000}"/>
    <cellStyle name="Normal 11 2 3 3 3 8 2" xfId="34685" xr:uid="{00000000-0005-0000-0000-00004F840000}"/>
    <cellStyle name="Normal 11 2 3 3 3 8 2 2" xfId="34686" xr:uid="{00000000-0005-0000-0000-000050840000}"/>
    <cellStyle name="Normal 11 2 3 3 3 8 2 2 2" xfId="34687" xr:uid="{00000000-0005-0000-0000-000051840000}"/>
    <cellStyle name="Normal 11 2 3 3 3 8 2 3" xfId="34688" xr:uid="{00000000-0005-0000-0000-000052840000}"/>
    <cellStyle name="Normal 11 2 3 3 3 8 3" xfId="34689" xr:uid="{00000000-0005-0000-0000-000053840000}"/>
    <cellStyle name="Normal 11 2 3 3 3 8 3 2" xfId="34690" xr:uid="{00000000-0005-0000-0000-000054840000}"/>
    <cellStyle name="Normal 11 2 3 3 3 8 4" xfId="34691" xr:uid="{00000000-0005-0000-0000-000055840000}"/>
    <cellStyle name="Normal 11 2 3 3 3 9" xfId="34692" xr:uid="{00000000-0005-0000-0000-000056840000}"/>
    <cellStyle name="Normal 11 2 3 3 3 9 2" xfId="34693" xr:uid="{00000000-0005-0000-0000-000057840000}"/>
    <cellStyle name="Normal 11 2 3 3 3 9 2 2" xfId="34694" xr:uid="{00000000-0005-0000-0000-000058840000}"/>
    <cellStyle name="Normal 11 2 3 3 3 9 3" xfId="34695" xr:uid="{00000000-0005-0000-0000-000059840000}"/>
    <cellStyle name="Normal 11 2 3 3 4" xfId="578" xr:uid="{00000000-0005-0000-0000-00005A840000}"/>
    <cellStyle name="Normal 11 2 3 3 4 10" xfId="34697" xr:uid="{00000000-0005-0000-0000-00005B840000}"/>
    <cellStyle name="Normal 11 2 3 3 4 10 2" xfId="34698" xr:uid="{00000000-0005-0000-0000-00005C840000}"/>
    <cellStyle name="Normal 11 2 3 3 4 10 2 2" xfId="34699" xr:uid="{00000000-0005-0000-0000-00005D840000}"/>
    <cellStyle name="Normal 11 2 3 3 4 10 3" xfId="34700" xr:uid="{00000000-0005-0000-0000-00005E840000}"/>
    <cellStyle name="Normal 11 2 3 3 4 11" xfId="34701" xr:uid="{00000000-0005-0000-0000-00005F840000}"/>
    <cellStyle name="Normal 11 2 3 3 4 11 2" xfId="34702" xr:uid="{00000000-0005-0000-0000-000060840000}"/>
    <cellStyle name="Normal 11 2 3 3 4 11 2 2" xfId="34703" xr:uid="{00000000-0005-0000-0000-000061840000}"/>
    <cellStyle name="Normal 11 2 3 3 4 11 3" xfId="34704" xr:uid="{00000000-0005-0000-0000-000062840000}"/>
    <cellStyle name="Normal 11 2 3 3 4 12" xfId="34705" xr:uid="{00000000-0005-0000-0000-000063840000}"/>
    <cellStyle name="Normal 11 2 3 3 4 12 2" xfId="34706" xr:uid="{00000000-0005-0000-0000-000064840000}"/>
    <cellStyle name="Normal 11 2 3 3 4 13" xfId="34707" xr:uid="{00000000-0005-0000-0000-000065840000}"/>
    <cellStyle name="Normal 11 2 3 3 4 14" xfId="34708" xr:uid="{00000000-0005-0000-0000-000066840000}"/>
    <cellStyle name="Normal 11 2 3 3 4 15" xfId="34696" xr:uid="{00000000-0005-0000-0000-000067840000}"/>
    <cellStyle name="Normal 11 2 3 3 4 2" xfId="1020" xr:uid="{00000000-0005-0000-0000-000068840000}"/>
    <cellStyle name="Normal 11 2 3 3 4 2 10" xfId="34710" xr:uid="{00000000-0005-0000-0000-000069840000}"/>
    <cellStyle name="Normal 11 2 3 3 4 2 11" xfId="34709" xr:uid="{00000000-0005-0000-0000-00006A840000}"/>
    <cellStyle name="Normal 11 2 3 3 4 2 2" xfId="1749" xr:uid="{00000000-0005-0000-0000-00006B840000}"/>
    <cellStyle name="Normal 11 2 3 3 4 2 2 2" xfId="34712" xr:uid="{00000000-0005-0000-0000-00006C840000}"/>
    <cellStyle name="Normal 11 2 3 3 4 2 2 2 2" xfId="34713" xr:uid="{00000000-0005-0000-0000-00006D840000}"/>
    <cellStyle name="Normal 11 2 3 3 4 2 2 2 2 2" xfId="34714" xr:uid="{00000000-0005-0000-0000-00006E840000}"/>
    <cellStyle name="Normal 11 2 3 3 4 2 2 2 2 2 2" xfId="34715" xr:uid="{00000000-0005-0000-0000-00006F840000}"/>
    <cellStyle name="Normal 11 2 3 3 4 2 2 2 2 3" xfId="34716" xr:uid="{00000000-0005-0000-0000-000070840000}"/>
    <cellStyle name="Normal 11 2 3 3 4 2 2 2 3" xfId="34717" xr:uid="{00000000-0005-0000-0000-000071840000}"/>
    <cellStyle name="Normal 11 2 3 3 4 2 2 2 3 2" xfId="34718" xr:uid="{00000000-0005-0000-0000-000072840000}"/>
    <cellStyle name="Normal 11 2 3 3 4 2 2 2 4" xfId="34719" xr:uid="{00000000-0005-0000-0000-000073840000}"/>
    <cellStyle name="Normal 11 2 3 3 4 2 2 3" xfId="34720" xr:uid="{00000000-0005-0000-0000-000074840000}"/>
    <cellStyle name="Normal 11 2 3 3 4 2 2 3 2" xfId="34721" xr:uid="{00000000-0005-0000-0000-000075840000}"/>
    <cellStyle name="Normal 11 2 3 3 4 2 2 3 2 2" xfId="34722" xr:uid="{00000000-0005-0000-0000-000076840000}"/>
    <cellStyle name="Normal 11 2 3 3 4 2 2 3 2 2 2" xfId="34723" xr:uid="{00000000-0005-0000-0000-000077840000}"/>
    <cellStyle name="Normal 11 2 3 3 4 2 2 3 2 3" xfId="34724" xr:uid="{00000000-0005-0000-0000-000078840000}"/>
    <cellStyle name="Normal 11 2 3 3 4 2 2 3 3" xfId="34725" xr:uid="{00000000-0005-0000-0000-000079840000}"/>
    <cellStyle name="Normal 11 2 3 3 4 2 2 3 3 2" xfId="34726" xr:uid="{00000000-0005-0000-0000-00007A840000}"/>
    <cellStyle name="Normal 11 2 3 3 4 2 2 3 4" xfId="34727" xr:uid="{00000000-0005-0000-0000-00007B840000}"/>
    <cellStyle name="Normal 11 2 3 3 4 2 2 4" xfId="34728" xr:uid="{00000000-0005-0000-0000-00007C840000}"/>
    <cellStyle name="Normal 11 2 3 3 4 2 2 4 2" xfId="34729" xr:uid="{00000000-0005-0000-0000-00007D840000}"/>
    <cellStyle name="Normal 11 2 3 3 4 2 2 4 2 2" xfId="34730" xr:uid="{00000000-0005-0000-0000-00007E840000}"/>
    <cellStyle name="Normal 11 2 3 3 4 2 2 4 3" xfId="34731" xr:uid="{00000000-0005-0000-0000-00007F840000}"/>
    <cellStyle name="Normal 11 2 3 3 4 2 2 5" xfId="34732" xr:uid="{00000000-0005-0000-0000-000080840000}"/>
    <cellStyle name="Normal 11 2 3 3 4 2 2 5 2" xfId="34733" xr:uid="{00000000-0005-0000-0000-000081840000}"/>
    <cellStyle name="Normal 11 2 3 3 4 2 2 6" xfId="34734" xr:uid="{00000000-0005-0000-0000-000082840000}"/>
    <cellStyle name="Normal 11 2 3 3 4 2 2 7" xfId="34711" xr:uid="{00000000-0005-0000-0000-000083840000}"/>
    <cellStyle name="Normal 11 2 3 3 4 2 3" xfId="34735" xr:uid="{00000000-0005-0000-0000-000084840000}"/>
    <cellStyle name="Normal 11 2 3 3 4 2 3 2" xfId="34736" xr:uid="{00000000-0005-0000-0000-000085840000}"/>
    <cellStyle name="Normal 11 2 3 3 4 2 3 2 2" xfId="34737" xr:uid="{00000000-0005-0000-0000-000086840000}"/>
    <cellStyle name="Normal 11 2 3 3 4 2 3 2 2 2" xfId="34738" xr:uid="{00000000-0005-0000-0000-000087840000}"/>
    <cellStyle name="Normal 11 2 3 3 4 2 3 2 2 2 2" xfId="34739" xr:uid="{00000000-0005-0000-0000-000088840000}"/>
    <cellStyle name="Normal 11 2 3 3 4 2 3 2 2 3" xfId="34740" xr:uid="{00000000-0005-0000-0000-000089840000}"/>
    <cellStyle name="Normal 11 2 3 3 4 2 3 2 3" xfId="34741" xr:uid="{00000000-0005-0000-0000-00008A840000}"/>
    <cellStyle name="Normal 11 2 3 3 4 2 3 2 3 2" xfId="34742" xr:uid="{00000000-0005-0000-0000-00008B840000}"/>
    <cellStyle name="Normal 11 2 3 3 4 2 3 2 4" xfId="34743" xr:uid="{00000000-0005-0000-0000-00008C840000}"/>
    <cellStyle name="Normal 11 2 3 3 4 2 3 3" xfId="34744" xr:uid="{00000000-0005-0000-0000-00008D840000}"/>
    <cellStyle name="Normal 11 2 3 3 4 2 3 3 2" xfId="34745" xr:uid="{00000000-0005-0000-0000-00008E840000}"/>
    <cellStyle name="Normal 11 2 3 3 4 2 3 3 2 2" xfId="34746" xr:uid="{00000000-0005-0000-0000-00008F840000}"/>
    <cellStyle name="Normal 11 2 3 3 4 2 3 3 3" xfId="34747" xr:uid="{00000000-0005-0000-0000-000090840000}"/>
    <cellStyle name="Normal 11 2 3 3 4 2 3 4" xfId="34748" xr:uid="{00000000-0005-0000-0000-000091840000}"/>
    <cellStyle name="Normal 11 2 3 3 4 2 3 4 2" xfId="34749" xr:uid="{00000000-0005-0000-0000-000092840000}"/>
    <cellStyle name="Normal 11 2 3 3 4 2 3 5" xfId="34750" xr:uid="{00000000-0005-0000-0000-000093840000}"/>
    <cellStyle name="Normal 11 2 3 3 4 2 4" xfId="34751" xr:uid="{00000000-0005-0000-0000-000094840000}"/>
    <cellStyle name="Normal 11 2 3 3 4 2 4 2" xfId="34752" xr:uid="{00000000-0005-0000-0000-000095840000}"/>
    <cellStyle name="Normal 11 2 3 3 4 2 4 2 2" xfId="34753" xr:uid="{00000000-0005-0000-0000-000096840000}"/>
    <cellStyle name="Normal 11 2 3 3 4 2 4 2 2 2" xfId="34754" xr:uid="{00000000-0005-0000-0000-000097840000}"/>
    <cellStyle name="Normal 11 2 3 3 4 2 4 2 2 2 2" xfId="34755" xr:uid="{00000000-0005-0000-0000-000098840000}"/>
    <cellStyle name="Normal 11 2 3 3 4 2 4 2 2 3" xfId="34756" xr:uid="{00000000-0005-0000-0000-000099840000}"/>
    <cellStyle name="Normal 11 2 3 3 4 2 4 2 3" xfId="34757" xr:uid="{00000000-0005-0000-0000-00009A840000}"/>
    <cellStyle name="Normal 11 2 3 3 4 2 4 2 3 2" xfId="34758" xr:uid="{00000000-0005-0000-0000-00009B840000}"/>
    <cellStyle name="Normal 11 2 3 3 4 2 4 2 4" xfId="34759" xr:uid="{00000000-0005-0000-0000-00009C840000}"/>
    <cellStyle name="Normal 11 2 3 3 4 2 4 3" xfId="34760" xr:uid="{00000000-0005-0000-0000-00009D840000}"/>
    <cellStyle name="Normal 11 2 3 3 4 2 4 3 2" xfId="34761" xr:uid="{00000000-0005-0000-0000-00009E840000}"/>
    <cellStyle name="Normal 11 2 3 3 4 2 4 3 2 2" xfId="34762" xr:uid="{00000000-0005-0000-0000-00009F840000}"/>
    <cellStyle name="Normal 11 2 3 3 4 2 4 3 3" xfId="34763" xr:uid="{00000000-0005-0000-0000-0000A0840000}"/>
    <cellStyle name="Normal 11 2 3 3 4 2 4 4" xfId="34764" xr:uid="{00000000-0005-0000-0000-0000A1840000}"/>
    <cellStyle name="Normal 11 2 3 3 4 2 4 4 2" xfId="34765" xr:uid="{00000000-0005-0000-0000-0000A2840000}"/>
    <cellStyle name="Normal 11 2 3 3 4 2 4 5" xfId="34766" xr:uid="{00000000-0005-0000-0000-0000A3840000}"/>
    <cellStyle name="Normal 11 2 3 3 4 2 5" xfId="34767" xr:uid="{00000000-0005-0000-0000-0000A4840000}"/>
    <cellStyle name="Normal 11 2 3 3 4 2 5 2" xfId="34768" xr:uid="{00000000-0005-0000-0000-0000A5840000}"/>
    <cellStyle name="Normal 11 2 3 3 4 2 5 2 2" xfId="34769" xr:uid="{00000000-0005-0000-0000-0000A6840000}"/>
    <cellStyle name="Normal 11 2 3 3 4 2 5 2 2 2" xfId="34770" xr:uid="{00000000-0005-0000-0000-0000A7840000}"/>
    <cellStyle name="Normal 11 2 3 3 4 2 5 2 3" xfId="34771" xr:uid="{00000000-0005-0000-0000-0000A8840000}"/>
    <cellStyle name="Normal 11 2 3 3 4 2 5 3" xfId="34772" xr:uid="{00000000-0005-0000-0000-0000A9840000}"/>
    <cellStyle name="Normal 11 2 3 3 4 2 5 3 2" xfId="34773" xr:uid="{00000000-0005-0000-0000-0000AA840000}"/>
    <cellStyle name="Normal 11 2 3 3 4 2 5 4" xfId="34774" xr:uid="{00000000-0005-0000-0000-0000AB840000}"/>
    <cellStyle name="Normal 11 2 3 3 4 2 6" xfId="34775" xr:uid="{00000000-0005-0000-0000-0000AC840000}"/>
    <cellStyle name="Normal 11 2 3 3 4 2 6 2" xfId="34776" xr:uid="{00000000-0005-0000-0000-0000AD840000}"/>
    <cellStyle name="Normal 11 2 3 3 4 2 6 2 2" xfId="34777" xr:uid="{00000000-0005-0000-0000-0000AE840000}"/>
    <cellStyle name="Normal 11 2 3 3 4 2 6 2 2 2" xfId="34778" xr:uid="{00000000-0005-0000-0000-0000AF840000}"/>
    <cellStyle name="Normal 11 2 3 3 4 2 6 2 3" xfId="34779" xr:uid="{00000000-0005-0000-0000-0000B0840000}"/>
    <cellStyle name="Normal 11 2 3 3 4 2 6 3" xfId="34780" xr:uid="{00000000-0005-0000-0000-0000B1840000}"/>
    <cellStyle name="Normal 11 2 3 3 4 2 6 3 2" xfId="34781" xr:uid="{00000000-0005-0000-0000-0000B2840000}"/>
    <cellStyle name="Normal 11 2 3 3 4 2 6 4" xfId="34782" xr:uid="{00000000-0005-0000-0000-0000B3840000}"/>
    <cellStyle name="Normal 11 2 3 3 4 2 7" xfId="34783" xr:uid="{00000000-0005-0000-0000-0000B4840000}"/>
    <cellStyle name="Normal 11 2 3 3 4 2 7 2" xfId="34784" xr:uid="{00000000-0005-0000-0000-0000B5840000}"/>
    <cellStyle name="Normal 11 2 3 3 4 2 7 2 2" xfId="34785" xr:uid="{00000000-0005-0000-0000-0000B6840000}"/>
    <cellStyle name="Normal 11 2 3 3 4 2 7 2 2 2" xfId="34786" xr:uid="{00000000-0005-0000-0000-0000B7840000}"/>
    <cellStyle name="Normal 11 2 3 3 4 2 7 2 3" xfId="34787" xr:uid="{00000000-0005-0000-0000-0000B8840000}"/>
    <cellStyle name="Normal 11 2 3 3 4 2 7 3" xfId="34788" xr:uid="{00000000-0005-0000-0000-0000B9840000}"/>
    <cellStyle name="Normal 11 2 3 3 4 2 7 3 2" xfId="34789" xr:uid="{00000000-0005-0000-0000-0000BA840000}"/>
    <cellStyle name="Normal 11 2 3 3 4 2 7 4" xfId="34790" xr:uid="{00000000-0005-0000-0000-0000BB840000}"/>
    <cellStyle name="Normal 11 2 3 3 4 2 8" xfId="34791" xr:uid="{00000000-0005-0000-0000-0000BC840000}"/>
    <cellStyle name="Normal 11 2 3 3 4 2 8 2" xfId="34792" xr:uid="{00000000-0005-0000-0000-0000BD840000}"/>
    <cellStyle name="Normal 11 2 3 3 4 2 8 2 2" xfId="34793" xr:uid="{00000000-0005-0000-0000-0000BE840000}"/>
    <cellStyle name="Normal 11 2 3 3 4 2 8 3" xfId="34794" xr:uid="{00000000-0005-0000-0000-0000BF840000}"/>
    <cellStyle name="Normal 11 2 3 3 4 2 9" xfId="34795" xr:uid="{00000000-0005-0000-0000-0000C0840000}"/>
    <cellStyle name="Normal 11 2 3 3 4 2 9 2" xfId="34796" xr:uid="{00000000-0005-0000-0000-0000C1840000}"/>
    <cellStyle name="Normal 11 2 3 3 4 3" xfId="1422" xr:uid="{00000000-0005-0000-0000-0000C2840000}"/>
    <cellStyle name="Normal 11 2 3 3 4 3 2" xfId="34798" xr:uid="{00000000-0005-0000-0000-0000C3840000}"/>
    <cellStyle name="Normal 11 2 3 3 4 3 2 2" xfId="34799" xr:uid="{00000000-0005-0000-0000-0000C4840000}"/>
    <cellStyle name="Normal 11 2 3 3 4 3 2 2 2" xfId="34800" xr:uid="{00000000-0005-0000-0000-0000C5840000}"/>
    <cellStyle name="Normal 11 2 3 3 4 3 2 2 2 2" xfId="34801" xr:uid="{00000000-0005-0000-0000-0000C6840000}"/>
    <cellStyle name="Normal 11 2 3 3 4 3 2 2 3" xfId="34802" xr:uid="{00000000-0005-0000-0000-0000C7840000}"/>
    <cellStyle name="Normal 11 2 3 3 4 3 2 3" xfId="34803" xr:uid="{00000000-0005-0000-0000-0000C8840000}"/>
    <cellStyle name="Normal 11 2 3 3 4 3 2 3 2" xfId="34804" xr:uid="{00000000-0005-0000-0000-0000C9840000}"/>
    <cellStyle name="Normal 11 2 3 3 4 3 2 4" xfId="34805" xr:uid="{00000000-0005-0000-0000-0000CA840000}"/>
    <cellStyle name="Normal 11 2 3 3 4 3 3" xfId="34806" xr:uid="{00000000-0005-0000-0000-0000CB840000}"/>
    <cellStyle name="Normal 11 2 3 3 4 3 3 2" xfId="34807" xr:uid="{00000000-0005-0000-0000-0000CC840000}"/>
    <cellStyle name="Normal 11 2 3 3 4 3 3 2 2" xfId="34808" xr:uid="{00000000-0005-0000-0000-0000CD840000}"/>
    <cellStyle name="Normal 11 2 3 3 4 3 3 2 2 2" xfId="34809" xr:uid="{00000000-0005-0000-0000-0000CE840000}"/>
    <cellStyle name="Normal 11 2 3 3 4 3 3 2 3" xfId="34810" xr:uid="{00000000-0005-0000-0000-0000CF840000}"/>
    <cellStyle name="Normal 11 2 3 3 4 3 3 3" xfId="34811" xr:uid="{00000000-0005-0000-0000-0000D0840000}"/>
    <cellStyle name="Normal 11 2 3 3 4 3 3 3 2" xfId="34812" xr:uid="{00000000-0005-0000-0000-0000D1840000}"/>
    <cellStyle name="Normal 11 2 3 3 4 3 3 4" xfId="34813" xr:uid="{00000000-0005-0000-0000-0000D2840000}"/>
    <cellStyle name="Normal 11 2 3 3 4 3 4" xfId="34814" xr:uid="{00000000-0005-0000-0000-0000D3840000}"/>
    <cellStyle name="Normal 11 2 3 3 4 3 4 2" xfId="34815" xr:uid="{00000000-0005-0000-0000-0000D4840000}"/>
    <cellStyle name="Normal 11 2 3 3 4 3 4 2 2" xfId="34816" xr:uid="{00000000-0005-0000-0000-0000D5840000}"/>
    <cellStyle name="Normal 11 2 3 3 4 3 4 3" xfId="34817" xr:uid="{00000000-0005-0000-0000-0000D6840000}"/>
    <cellStyle name="Normal 11 2 3 3 4 3 5" xfId="34818" xr:uid="{00000000-0005-0000-0000-0000D7840000}"/>
    <cellStyle name="Normal 11 2 3 3 4 3 5 2" xfId="34819" xr:uid="{00000000-0005-0000-0000-0000D8840000}"/>
    <cellStyle name="Normal 11 2 3 3 4 3 6" xfId="34820" xr:uid="{00000000-0005-0000-0000-0000D9840000}"/>
    <cellStyle name="Normal 11 2 3 3 4 3 7" xfId="34797" xr:uid="{00000000-0005-0000-0000-0000DA840000}"/>
    <cellStyle name="Normal 11 2 3 3 4 4" xfId="34821" xr:uid="{00000000-0005-0000-0000-0000DB840000}"/>
    <cellStyle name="Normal 11 2 3 3 4 4 2" xfId="34822" xr:uid="{00000000-0005-0000-0000-0000DC840000}"/>
    <cellStyle name="Normal 11 2 3 3 4 4 2 2" xfId="34823" xr:uid="{00000000-0005-0000-0000-0000DD840000}"/>
    <cellStyle name="Normal 11 2 3 3 4 4 2 2 2" xfId="34824" xr:uid="{00000000-0005-0000-0000-0000DE840000}"/>
    <cellStyle name="Normal 11 2 3 3 4 4 2 2 2 2" xfId="34825" xr:uid="{00000000-0005-0000-0000-0000DF840000}"/>
    <cellStyle name="Normal 11 2 3 3 4 4 2 2 3" xfId="34826" xr:uid="{00000000-0005-0000-0000-0000E0840000}"/>
    <cellStyle name="Normal 11 2 3 3 4 4 2 3" xfId="34827" xr:uid="{00000000-0005-0000-0000-0000E1840000}"/>
    <cellStyle name="Normal 11 2 3 3 4 4 2 3 2" xfId="34828" xr:uid="{00000000-0005-0000-0000-0000E2840000}"/>
    <cellStyle name="Normal 11 2 3 3 4 4 2 4" xfId="34829" xr:uid="{00000000-0005-0000-0000-0000E3840000}"/>
    <cellStyle name="Normal 11 2 3 3 4 4 3" xfId="34830" xr:uid="{00000000-0005-0000-0000-0000E4840000}"/>
    <cellStyle name="Normal 11 2 3 3 4 4 3 2" xfId="34831" xr:uid="{00000000-0005-0000-0000-0000E5840000}"/>
    <cellStyle name="Normal 11 2 3 3 4 4 3 2 2" xfId="34832" xr:uid="{00000000-0005-0000-0000-0000E6840000}"/>
    <cellStyle name="Normal 11 2 3 3 4 4 3 3" xfId="34833" xr:uid="{00000000-0005-0000-0000-0000E7840000}"/>
    <cellStyle name="Normal 11 2 3 3 4 4 4" xfId="34834" xr:uid="{00000000-0005-0000-0000-0000E8840000}"/>
    <cellStyle name="Normal 11 2 3 3 4 4 4 2" xfId="34835" xr:uid="{00000000-0005-0000-0000-0000E9840000}"/>
    <cellStyle name="Normal 11 2 3 3 4 4 5" xfId="34836" xr:uid="{00000000-0005-0000-0000-0000EA840000}"/>
    <cellStyle name="Normal 11 2 3 3 4 5" xfId="34837" xr:uid="{00000000-0005-0000-0000-0000EB840000}"/>
    <cellStyle name="Normal 11 2 3 3 4 5 2" xfId="34838" xr:uid="{00000000-0005-0000-0000-0000EC840000}"/>
    <cellStyle name="Normal 11 2 3 3 4 5 2 2" xfId="34839" xr:uid="{00000000-0005-0000-0000-0000ED840000}"/>
    <cellStyle name="Normal 11 2 3 3 4 5 2 2 2" xfId="34840" xr:uid="{00000000-0005-0000-0000-0000EE840000}"/>
    <cellStyle name="Normal 11 2 3 3 4 5 2 2 2 2" xfId="34841" xr:uid="{00000000-0005-0000-0000-0000EF840000}"/>
    <cellStyle name="Normal 11 2 3 3 4 5 2 2 3" xfId="34842" xr:uid="{00000000-0005-0000-0000-0000F0840000}"/>
    <cellStyle name="Normal 11 2 3 3 4 5 2 3" xfId="34843" xr:uid="{00000000-0005-0000-0000-0000F1840000}"/>
    <cellStyle name="Normal 11 2 3 3 4 5 2 3 2" xfId="34844" xr:uid="{00000000-0005-0000-0000-0000F2840000}"/>
    <cellStyle name="Normal 11 2 3 3 4 5 2 4" xfId="34845" xr:uid="{00000000-0005-0000-0000-0000F3840000}"/>
    <cellStyle name="Normal 11 2 3 3 4 5 3" xfId="34846" xr:uid="{00000000-0005-0000-0000-0000F4840000}"/>
    <cellStyle name="Normal 11 2 3 3 4 5 3 2" xfId="34847" xr:uid="{00000000-0005-0000-0000-0000F5840000}"/>
    <cellStyle name="Normal 11 2 3 3 4 5 3 2 2" xfId="34848" xr:uid="{00000000-0005-0000-0000-0000F6840000}"/>
    <cellStyle name="Normal 11 2 3 3 4 5 3 3" xfId="34849" xr:uid="{00000000-0005-0000-0000-0000F7840000}"/>
    <cellStyle name="Normal 11 2 3 3 4 5 4" xfId="34850" xr:uid="{00000000-0005-0000-0000-0000F8840000}"/>
    <cellStyle name="Normal 11 2 3 3 4 5 4 2" xfId="34851" xr:uid="{00000000-0005-0000-0000-0000F9840000}"/>
    <cellStyle name="Normal 11 2 3 3 4 5 5" xfId="34852" xr:uid="{00000000-0005-0000-0000-0000FA840000}"/>
    <cellStyle name="Normal 11 2 3 3 4 6" xfId="34853" xr:uid="{00000000-0005-0000-0000-0000FB840000}"/>
    <cellStyle name="Normal 11 2 3 3 4 6 2" xfId="34854" xr:uid="{00000000-0005-0000-0000-0000FC840000}"/>
    <cellStyle name="Normal 11 2 3 3 4 6 2 2" xfId="34855" xr:uid="{00000000-0005-0000-0000-0000FD840000}"/>
    <cellStyle name="Normal 11 2 3 3 4 6 2 2 2" xfId="34856" xr:uid="{00000000-0005-0000-0000-0000FE840000}"/>
    <cellStyle name="Normal 11 2 3 3 4 6 2 3" xfId="34857" xr:uid="{00000000-0005-0000-0000-0000FF840000}"/>
    <cellStyle name="Normal 11 2 3 3 4 6 3" xfId="34858" xr:uid="{00000000-0005-0000-0000-000000850000}"/>
    <cellStyle name="Normal 11 2 3 3 4 6 3 2" xfId="34859" xr:uid="{00000000-0005-0000-0000-000001850000}"/>
    <cellStyle name="Normal 11 2 3 3 4 6 4" xfId="34860" xr:uid="{00000000-0005-0000-0000-000002850000}"/>
    <cellStyle name="Normal 11 2 3 3 4 7" xfId="34861" xr:uid="{00000000-0005-0000-0000-000003850000}"/>
    <cellStyle name="Normal 11 2 3 3 4 7 2" xfId="34862" xr:uid="{00000000-0005-0000-0000-000004850000}"/>
    <cellStyle name="Normal 11 2 3 3 4 7 2 2" xfId="34863" xr:uid="{00000000-0005-0000-0000-000005850000}"/>
    <cellStyle name="Normal 11 2 3 3 4 7 2 2 2" xfId="34864" xr:uid="{00000000-0005-0000-0000-000006850000}"/>
    <cellStyle name="Normal 11 2 3 3 4 7 2 3" xfId="34865" xr:uid="{00000000-0005-0000-0000-000007850000}"/>
    <cellStyle name="Normal 11 2 3 3 4 7 3" xfId="34866" xr:uid="{00000000-0005-0000-0000-000008850000}"/>
    <cellStyle name="Normal 11 2 3 3 4 7 3 2" xfId="34867" xr:uid="{00000000-0005-0000-0000-000009850000}"/>
    <cellStyle name="Normal 11 2 3 3 4 7 4" xfId="34868" xr:uid="{00000000-0005-0000-0000-00000A850000}"/>
    <cellStyle name="Normal 11 2 3 3 4 8" xfId="34869" xr:uid="{00000000-0005-0000-0000-00000B850000}"/>
    <cellStyle name="Normal 11 2 3 3 4 8 2" xfId="34870" xr:uid="{00000000-0005-0000-0000-00000C850000}"/>
    <cellStyle name="Normal 11 2 3 3 4 8 2 2" xfId="34871" xr:uid="{00000000-0005-0000-0000-00000D850000}"/>
    <cellStyle name="Normal 11 2 3 3 4 8 2 2 2" xfId="34872" xr:uid="{00000000-0005-0000-0000-00000E850000}"/>
    <cellStyle name="Normal 11 2 3 3 4 8 2 3" xfId="34873" xr:uid="{00000000-0005-0000-0000-00000F850000}"/>
    <cellStyle name="Normal 11 2 3 3 4 8 3" xfId="34874" xr:uid="{00000000-0005-0000-0000-000010850000}"/>
    <cellStyle name="Normal 11 2 3 3 4 8 3 2" xfId="34875" xr:uid="{00000000-0005-0000-0000-000011850000}"/>
    <cellStyle name="Normal 11 2 3 3 4 8 4" xfId="34876" xr:uid="{00000000-0005-0000-0000-000012850000}"/>
    <cellStyle name="Normal 11 2 3 3 4 9" xfId="34877" xr:uid="{00000000-0005-0000-0000-000013850000}"/>
    <cellStyle name="Normal 11 2 3 3 4 9 2" xfId="34878" xr:uid="{00000000-0005-0000-0000-000014850000}"/>
    <cellStyle name="Normal 11 2 3 3 4 9 2 2" xfId="34879" xr:uid="{00000000-0005-0000-0000-000015850000}"/>
    <cellStyle name="Normal 11 2 3 3 4 9 3" xfId="34880" xr:uid="{00000000-0005-0000-0000-000016850000}"/>
    <cellStyle name="Normal 11 2 3 3 5" xfId="1015" xr:uid="{00000000-0005-0000-0000-000017850000}"/>
    <cellStyle name="Normal 11 2 3 3 5 10" xfId="34882" xr:uid="{00000000-0005-0000-0000-000018850000}"/>
    <cellStyle name="Normal 11 2 3 3 5 11" xfId="34881" xr:uid="{00000000-0005-0000-0000-000019850000}"/>
    <cellStyle name="Normal 11 2 3 3 5 2" xfId="1744" xr:uid="{00000000-0005-0000-0000-00001A850000}"/>
    <cellStyle name="Normal 11 2 3 3 5 2 2" xfId="34884" xr:uid="{00000000-0005-0000-0000-00001B850000}"/>
    <cellStyle name="Normal 11 2 3 3 5 2 2 2" xfId="34885" xr:uid="{00000000-0005-0000-0000-00001C850000}"/>
    <cellStyle name="Normal 11 2 3 3 5 2 2 2 2" xfId="34886" xr:uid="{00000000-0005-0000-0000-00001D850000}"/>
    <cellStyle name="Normal 11 2 3 3 5 2 2 2 2 2" xfId="34887" xr:uid="{00000000-0005-0000-0000-00001E850000}"/>
    <cellStyle name="Normal 11 2 3 3 5 2 2 2 3" xfId="34888" xr:uid="{00000000-0005-0000-0000-00001F850000}"/>
    <cellStyle name="Normal 11 2 3 3 5 2 2 3" xfId="34889" xr:uid="{00000000-0005-0000-0000-000020850000}"/>
    <cellStyle name="Normal 11 2 3 3 5 2 2 3 2" xfId="34890" xr:uid="{00000000-0005-0000-0000-000021850000}"/>
    <cellStyle name="Normal 11 2 3 3 5 2 2 4" xfId="34891" xr:uid="{00000000-0005-0000-0000-000022850000}"/>
    <cellStyle name="Normal 11 2 3 3 5 2 3" xfId="34892" xr:uid="{00000000-0005-0000-0000-000023850000}"/>
    <cellStyle name="Normal 11 2 3 3 5 2 3 2" xfId="34893" xr:uid="{00000000-0005-0000-0000-000024850000}"/>
    <cellStyle name="Normal 11 2 3 3 5 2 3 2 2" xfId="34894" xr:uid="{00000000-0005-0000-0000-000025850000}"/>
    <cellStyle name="Normal 11 2 3 3 5 2 3 2 2 2" xfId="34895" xr:uid="{00000000-0005-0000-0000-000026850000}"/>
    <cellStyle name="Normal 11 2 3 3 5 2 3 2 3" xfId="34896" xr:uid="{00000000-0005-0000-0000-000027850000}"/>
    <cellStyle name="Normal 11 2 3 3 5 2 3 3" xfId="34897" xr:uid="{00000000-0005-0000-0000-000028850000}"/>
    <cellStyle name="Normal 11 2 3 3 5 2 3 3 2" xfId="34898" xr:uid="{00000000-0005-0000-0000-000029850000}"/>
    <cellStyle name="Normal 11 2 3 3 5 2 3 4" xfId="34899" xr:uid="{00000000-0005-0000-0000-00002A850000}"/>
    <cellStyle name="Normal 11 2 3 3 5 2 4" xfId="34900" xr:uid="{00000000-0005-0000-0000-00002B850000}"/>
    <cellStyle name="Normal 11 2 3 3 5 2 4 2" xfId="34901" xr:uid="{00000000-0005-0000-0000-00002C850000}"/>
    <cellStyle name="Normal 11 2 3 3 5 2 4 2 2" xfId="34902" xr:uid="{00000000-0005-0000-0000-00002D850000}"/>
    <cellStyle name="Normal 11 2 3 3 5 2 4 3" xfId="34903" xr:uid="{00000000-0005-0000-0000-00002E850000}"/>
    <cellStyle name="Normal 11 2 3 3 5 2 5" xfId="34904" xr:uid="{00000000-0005-0000-0000-00002F850000}"/>
    <cellStyle name="Normal 11 2 3 3 5 2 5 2" xfId="34905" xr:uid="{00000000-0005-0000-0000-000030850000}"/>
    <cellStyle name="Normal 11 2 3 3 5 2 6" xfId="34906" xr:uid="{00000000-0005-0000-0000-000031850000}"/>
    <cellStyle name="Normal 11 2 3 3 5 2 7" xfId="34883" xr:uid="{00000000-0005-0000-0000-000032850000}"/>
    <cellStyle name="Normal 11 2 3 3 5 3" xfId="34907" xr:uid="{00000000-0005-0000-0000-000033850000}"/>
    <cellStyle name="Normal 11 2 3 3 5 3 2" xfId="34908" xr:uid="{00000000-0005-0000-0000-000034850000}"/>
    <cellStyle name="Normal 11 2 3 3 5 3 2 2" xfId="34909" xr:uid="{00000000-0005-0000-0000-000035850000}"/>
    <cellStyle name="Normal 11 2 3 3 5 3 2 2 2" xfId="34910" xr:uid="{00000000-0005-0000-0000-000036850000}"/>
    <cellStyle name="Normal 11 2 3 3 5 3 2 2 2 2" xfId="34911" xr:uid="{00000000-0005-0000-0000-000037850000}"/>
    <cellStyle name="Normal 11 2 3 3 5 3 2 2 3" xfId="34912" xr:uid="{00000000-0005-0000-0000-000038850000}"/>
    <cellStyle name="Normal 11 2 3 3 5 3 2 3" xfId="34913" xr:uid="{00000000-0005-0000-0000-000039850000}"/>
    <cellStyle name="Normal 11 2 3 3 5 3 2 3 2" xfId="34914" xr:uid="{00000000-0005-0000-0000-00003A850000}"/>
    <cellStyle name="Normal 11 2 3 3 5 3 2 4" xfId="34915" xr:uid="{00000000-0005-0000-0000-00003B850000}"/>
    <cellStyle name="Normal 11 2 3 3 5 3 3" xfId="34916" xr:uid="{00000000-0005-0000-0000-00003C850000}"/>
    <cellStyle name="Normal 11 2 3 3 5 3 3 2" xfId="34917" xr:uid="{00000000-0005-0000-0000-00003D850000}"/>
    <cellStyle name="Normal 11 2 3 3 5 3 3 2 2" xfId="34918" xr:uid="{00000000-0005-0000-0000-00003E850000}"/>
    <cellStyle name="Normal 11 2 3 3 5 3 3 3" xfId="34919" xr:uid="{00000000-0005-0000-0000-00003F850000}"/>
    <cellStyle name="Normal 11 2 3 3 5 3 4" xfId="34920" xr:uid="{00000000-0005-0000-0000-000040850000}"/>
    <cellStyle name="Normal 11 2 3 3 5 3 4 2" xfId="34921" xr:uid="{00000000-0005-0000-0000-000041850000}"/>
    <cellStyle name="Normal 11 2 3 3 5 3 5" xfId="34922" xr:uid="{00000000-0005-0000-0000-000042850000}"/>
    <cellStyle name="Normal 11 2 3 3 5 4" xfId="34923" xr:uid="{00000000-0005-0000-0000-000043850000}"/>
    <cellStyle name="Normal 11 2 3 3 5 4 2" xfId="34924" xr:uid="{00000000-0005-0000-0000-000044850000}"/>
    <cellStyle name="Normal 11 2 3 3 5 4 2 2" xfId="34925" xr:uid="{00000000-0005-0000-0000-000045850000}"/>
    <cellStyle name="Normal 11 2 3 3 5 4 2 2 2" xfId="34926" xr:uid="{00000000-0005-0000-0000-000046850000}"/>
    <cellStyle name="Normal 11 2 3 3 5 4 2 2 2 2" xfId="34927" xr:uid="{00000000-0005-0000-0000-000047850000}"/>
    <cellStyle name="Normal 11 2 3 3 5 4 2 2 3" xfId="34928" xr:uid="{00000000-0005-0000-0000-000048850000}"/>
    <cellStyle name="Normal 11 2 3 3 5 4 2 3" xfId="34929" xr:uid="{00000000-0005-0000-0000-000049850000}"/>
    <cellStyle name="Normal 11 2 3 3 5 4 2 3 2" xfId="34930" xr:uid="{00000000-0005-0000-0000-00004A850000}"/>
    <cellStyle name="Normal 11 2 3 3 5 4 2 4" xfId="34931" xr:uid="{00000000-0005-0000-0000-00004B850000}"/>
    <cellStyle name="Normal 11 2 3 3 5 4 3" xfId="34932" xr:uid="{00000000-0005-0000-0000-00004C850000}"/>
    <cellStyle name="Normal 11 2 3 3 5 4 3 2" xfId="34933" xr:uid="{00000000-0005-0000-0000-00004D850000}"/>
    <cellStyle name="Normal 11 2 3 3 5 4 3 2 2" xfId="34934" xr:uid="{00000000-0005-0000-0000-00004E850000}"/>
    <cellStyle name="Normal 11 2 3 3 5 4 3 3" xfId="34935" xr:uid="{00000000-0005-0000-0000-00004F850000}"/>
    <cellStyle name="Normal 11 2 3 3 5 4 4" xfId="34936" xr:uid="{00000000-0005-0000-0000-000050850000}"/>
    <cellStyle name="Normal 11 2 3 3 5 4 4 2" xfId="34937" xr:uid="{00000000-0005-0000-0000-000051850000}"/>
    <cellStyle name="Normal 11 2 3 3 5 4 5" xfId="34938" xr:uid="{00000000-0005-0000-0000-000052850000}"/>
    <cellStyle name="Normal 11 2 3 3 5 5" xfId="34939" xr:uid="{00000000-0005-0000-0000-000053850000}"/>
    <cellStyle name="Normal 11 2 3 3 5 5 2" xfId="34940" xr:uid="{00000000-0005-0000-0000-000054850000}"/>
    <cellStyle name="Normal 11 2 3 3 5 5 2 2" xfId="34941" xr:uid="{00000000-0005-0000-0000-000055850000}"/>
    <cellStyle name="Normal 11 2 3 3 5 5 2 2 2" xfId="34942" xr:uid="{00000000-0005-0000-0000-000056850000}"/>
    <cellStyle name="Normal 11 2 3 3 5 5 2 3" xfId="34943" xr:uid="{00000000-0005-0000-0000-000057850000}"/>
    <cellStyle name="Normal 11 2 3 3 5 5 3" xfId="34944" xr:uid="{00000000-0005-0000-0000-000058850000}"/>
    <cellStyle name="Normal 11 2 3 3 5 5 3 2" xfId="34945" xr:uid="{00000000-0005-0000-0000-000059850000}"/>
    <cellStyle name="Normal 11 2 3 3 5 5 4" xfId="34946" xr:uid="{00000000-0005-0000-0000-00005A850000}"/>
    <cellStyle name="Normal 11 2 3 3 5 6" xfId="34947" xr:uid="{00000000-0005-0000-0000-00005B850000}"/>
    <cellStyle name="Normal 11 2 3 3 5 6 2" xfId="34948" xr:uid="{00000000-0005-0000-0000-00005C850000}"/>
    <cellStyle name="Normal 11 2 3 3 5 6 2 2" xfId="34949" xr:uid="{00000000-0005-0000-0000-00005D850000}"/>
    <cellStyle name="Normal 11 2 3 3 5 6 2 2 2" xfId="34950" xr:uid="{00000000-0005-0000-0000-00005E850000}"/>
    <cellStyle name="Normal 11 2 3 3 5 6 2 3" xfId="34951" xr:uid="{00000000-0005-0000-0000-00005F850000}"/>
    <cellStyle name="Normal 11 2 3 3 5 6 3" xfId="34952" xr:uid="{00000000-0005-0000-0000-000060850000}"/>
    <cellStyle name="Normal 11 2 3 3 5 6 3 2" xfId="34953" xr:uid="{00000000-0005-0000-0000-000061850000}"/>
    <cellStyle name="Normal 11 2 3 3 5 6 4" xfId="34954" xr:uid="{00000000-0005-0000-0000-000062850000}"/>
    <cellStyle name="Normal 11 2 3 3 5 7" xfId="34955" xr:uid="{00000000-0005-0000-0000-000063850000}"/>
    <cellStyle name="Normal 11 2 3 3 5 7 2" xfId="34956" xr:uid="{00000000-0005-0000-0000-000064850000}"/>
    <cellStyle name="Normal 11 2 3 3 5 7 2 2" xfId="34957" xr:uid="{00000000-0005-0000-0000-000065850000}"/>
    <cellStyle name="Normal 11 2 3 3 5 7 2 2 2" xfId="34958" xr:uid="{00000000-0005-0000-0000-000066850000}"/>
    <cellStyle name="Normal 11 2 3 3 5 7 2 3" xfId="34959" xr:uid="{00000000-0005-0000-0000-000067850000}"/>
    <cellStyle name="Normal 11 2 3 3 5 7 3" xfId="34960" xr:uid="{00000000-0005-0000-0000-000068850000}"/>
    <cellStyle name="Normal 11 2 3 3 5 7 3 2" xfId="34961" xr:uid="{00000000-0005-0000-0000-000069850000}"/>
    <cellStyle name="Normal 11 2 3 3 5 7 4" xfId="34962" xr:uid="{00000000-0005-0000-0000-00006A850000}"/>
    <cellStyle name="Normal 11 2 3 3 5 8" xfId="34963" xr:uid="{00000000-0005-0000-0000-00006B850000}"/>
    <cellStyle name="Normal 11 2 3 3 5 8 2" xfId="34964" xr:uid="{00000000-0005-0000-0000-00006C850000}"/>
    <cellStyle name="Normal 11 2 3 3 5 8 2 2" xfId="34965" xr:uid="{00000000-0005-0000-0000-00006D850000}"/>
    <cellStyle name="Normal 11 2 3 3 5 8 3" xfId="34966" xr:uid="{00000000-0005-0000-0000-00006E850000}"/>
    <cellStyle name="Normal 11 2 3 3 5 9" xfId="34967" xr:uid="{00000000-0005-0000-0000-00006F850000}"/>
    <cellStyle name="Normal 11 2 3 3 5 9 2" xfId="34968" xr:uid="{00000000-0005-0000-0000-000070850000}"/>
    <cellStyle name="Normal 11 2 3 3 6" xfId="1417" xr:uid="{00000000-0005-0000-0000-000071850000}"/>
    <cellStyle name="Normal 11 2 3 3 6 2" xfId="34970" xr:uid="{00000000-0005-0000-0000-000072850000}"/>
    <cellStyle name="Normal 11 2 3 3 6 2 2" xfId="34971" xr:uid="{00000000-0005-0000-0000-000073850000}"/>
    <cellStyle name="Normal 11 2 3 3 6 2 2 2" xfId="34972" xr:uid="{00000000-0005-0000-0000-000074850000}"/>
    <cellStyle name="Normal 11 2 3 3 6 2 2 2 2" xfId="34973" xr:uid="{00000000-0005-0000-0000-000075850000}"/>
    <cellStyle name="Normal 11 2 3 3 6 2 2 3" xfId="34974" xr:uid="{00000000-0005-0000-0000-000076850000}"/>
    <cellStyle name="Normal 11 2 3 3 6 2 3" xfId="34975" xr:uid="{00000000-0005-0000-0000-000077850000}"/>
    <cellStyle name="Normal 11 2 3 3 6 2 3 2" xfId="34976" xr:uid="{00000000-0005-0000-0000-000078850000}"/>
    <cellStyle name="Normal 11 2 3 3 6 2 4" xfId="34977" xr:uid="{00000000-0005-0000-0000-000079850000}"/>
    <cellStyle name="Normal 11 2 3 3 6 3" xfId="34978" xr:uid="{00000000-0005-0000-0000-00007A850000}"/>
    <cellStyle name="Normal 11 2 3 3 6 3 2" xfId="34979" xr:uid="{00000000-0005-0000-0000-00007B850000}"/>
    <cellStyle name="Normal 11 2 3 3 6 3 2 2" xfId="34980" xr:uid="{00000000-0005-0000-0000-00007C850000}"/>
    <cellStyle name="Normal 11 2 3 3 6 3 2 2 2" xfId="34981" xr:uid="{00000000-0005-0000-0000-00007D850000}"/>
    <cellStyle name="Normal 11 2 3 3 6 3 2 3" xfId="34982" xr:uid="{00000000-0005-0000-0000-00007E850000}"/>
    <cellStyle name="Normal 11 2 3 3 6 3 3" xfId="34983" xr:uid="{00000000-0005-0000-0000-00007F850000}"/>
    <cellStyle name="Normal 11 2 3 3 6 3 3 2" xfId="34984" xr:uid="{00000000-0005-0000-0000-000080850000}"/>
    <cellStyle name="Normal 11 2 3 3 6 3 4" xfId="34985" xr:uid="{00000000-0005-0000-0000-000081850000}"/>
    <cellStyle name="Normal 11 2 3 3 6 4" xfId="34986" xr:uid="{00000000-0005-0000-0000-000082850000}"/>
    <cellStyle name="Normal 11 2 3 3 6 4 2" xfId="34987" xr:uid="{00000000-0005-0000-0000-000083850000}"/>
    <cellStyle name="Normal 11 2 3 3 6 4 2 2" xfId="34988" xr:uid="{00000000-0005-0000-0000-000084850000}"/>
    <cellStyle name="Normal 11 2 3 3 6 4 3" xfId="34989" xr:uid="{00000000-0005-0000-0000-000085850000}"/>
    <cellStyle name="Normal 11 2 3 3 6 5" xfId="34990" xr:uid="{00000000-0005-0000-0000-000086850000}"/>
    <cellStyle name="Normal 11 2 3 3 6 5 2" xfId="34991" xr:uid="{00000000-0005-0000-0000-000087850000}"/>
    <cellStyle name="Normal 11 2 3 3 6 6" xfId="34992" xr:uid="{00000000-0005-0000-0000-000088850000}"/>
    <cellStyle name="Normal 11 2 3 3 6 7" xfId="34969" xr:uid="{00000000-0005-0000-0000-000089850000}"/>
    <cellStyle name="Normal 11 2 3 3 7" xfId="34993" xr:uid="{00000000-0005-0000-0000-00008A850000}"/>
    <cellStyle name="Normal 11 2 3 3 7 2" xfId="34994" xr:uid="{00000000-0005-0000-0000-00008B850000}"/>
    <cellStyle name="Normal 11 2 3 3 7 2 2" xfId="34995" xr:uid="{00000000-0005-0000-0000-00008C850000}"/>
    <cellStyle name="Normal 11 2 3 3 7 2 2 2" xfId="34996" xr:uid="{00000000-0005-0000-0000-00008D850000}"/>
    <cellStyle name="Normal 11 2 3 3 7 2 2 2 2" xfId="34997" xr:uid="{00000000-0005-0000-0000-00008E850000}"/>
    <cellStyle name="Normal 11 2 3 3 7 2 2 3" xfId="34998" xr:uid="{00000000-0005-0000-0000-00008F850000}"/>
    <cellStyle name="Normal 11 2 3 3 7 2 3" xfId="34999" xr:uid="{00000000-0005-0000-0000-000090850000}"/>
    <cellStyle name="Normal 11 2 3 3 7 2 3 2" xfId="35000" xr:uid="{00000000-0005-0000-0000-000091850000}"/>
    <cellStyle name="Normal 11 2 3 3 7 2 4" xfId="35001" xr:uid="{00000000-0005-0000-0000-000092850000}"/>
    <cellStyle name="Normal 11 2 3 3 7 3" xfId="35002" xr:uid="{00000000-0005-0000-0000-000093850000}"/>
    <cellStyle name="Normal 11 2 3 3 7 3 2" xfId="35003" xr:uid="{00000000-0005-0000-0000-000094850000}"/>
    <cellStyle name="Normal 11 2 3 3 7 3 2 2" xfId="35004" xr:uid="{00000000-0005-0000-0000-000095850000}"/>
    <cellStyle name="Normal 11 2 3 3 7 3 3" xfId="35005" xr:uid="{00000000-0005-0000-0000-000096850000}"/>
    <cellStyle name="Normal 11 2 3 3 7 4" xfId="35006" xr:uid="{00000000-0005-0000-0000-000097850000}"/>
    <cellStyle name="Normal 11 2 3 3 7 4 2" xfId="35007" xr:uid="{00000000-0005-0000-0000-000098850000}"/>
    <cellStyle name="Normal 11 2 3 3 7 5" xfId="35008" xr:uid="{00000000-0005-0000-0000-000099850000}"/>
    <cellStyle name="Normal 11 2 3 3 8" xfId="35009" xr:uid="{00000000-0005-0000-0000-00009A850000}"/>
    <cellStyle name="Normal 11 2 3 3 8 2" xfId="35010" xr:uid="{00000000-0005-0000-0000-00009B850000}"/>
    <cellStyle name="Normal 11 2 3 3 8 2 2" xfId="35011" xr:uid="{00000000-0005-0000-0000-00009C850000}"/>
    <cellStyle name="Normal 11 2 3 3 8 2 2 2" xfId="35012" xr:uid="{00000000-0005-0000-0000-00009D850000}"/>
    <cellStyle name="Normal 11 2 3 3 8 2 2 2 2" xfId="35013" xr:uid="{00000000-0005-0000-0000-00009E850000}"/>
    <cellStyle name="Normal 11 2 3 3 8 2 2 3" xfId="35014" xr:uid="{00000000-0005-0000-0000-00009F850000}"/>
    <cellStyle name="Normal 11 2 3 3 8 2 3" xfId="35015" xr:uid="{00000000-0005-0000-0000-0000A0850000}"/>
    <cellStyle name="Normal 11 2 3 3 8 2 3 2" xfId="35016" xr:uid="{00000000-0005-0000-0000-0000A1850000}"/>
    <cellStyle name="Normal 11 2 3 3 8 2 4" xfId="35017" xr:uid="{00000000-0005-0000-0000-0000A2850000}"/>
    <cellStyle name="Normal 11 2 3 3 8 3" xfId="35018" xr:uid="{00000000-0005-0000-0000-0000A3850000}"/>
    <cellStyle name="Normal 11 2 3 3 8 3 2" xfId="35019" xr:uid="{00000000-0005-0000-0000-0000A4850000}"/>
    <cellStyle name="Normal 11 2 3 3 8 3 2 2" xfId="35020" xr:uid="{00000000-0005-0000-0000-0000A5850000}"/>
    <cellStyle name="Normal 11 2 3 3 8 3 3" xfId="35021" xr:uid="{00000000-0005-0000-0000-0000A6850000}"/>
    <cellStyle name="Normal 11 2 3 3 8 4" xfId="35022" xr:uid="{00000000-0005-0000-0000-0000A7850000}"/>
    <cellStyle name="Normal 11 2 3 3 8 4 2" xfId="35023" xr:uid="{00000000-0005-0000-0000-0000A8850000}"/>
    <cellStyle name="Normal 11 2 3 3 8 5" xfId="35024" xr:uid="{00000000-0005-0000-0000-0000A9850000}"/>
    <cellStyle name="Normal 11 2 3 3 9" xfId="35025" xr:uid="{00000000-0005-0000-0000-0000AA850000}"/>
    <cellStyle name="Normal 11 2 3 3 9 2" xfId="35026" xr:uid="{00000000-0005-0000-0000-0000AB850000}"/>
    <cellStyle name="Normal 11 2 3 3 9 2 2" xfId="35027" xr:uid="{00000000-0005-0000-0000-0000AC850000}"/>
    <cellStyle name="Normal 11 2 3 3 9 2 2 2" xfId="35028" xr:uid="{00000000-0005-0000-0000-0000AD850000}"/>
    <cellStyle name="Normal 11 2 3 3 9 2 3" xfId="35029" xr:uid="{00000000-0005-0000-0000-0000AE850000}"/>
    <cellStyle name="Normal 11 2 3 3 9 3" xfId="35030" xr:uid="{00000000-0005-0000-0000-0000AF850000}"/>
    <cellStyle name="Normal 11 2 3 3 9 3 2" xfId="35031" xr:uid="{00000000-0005-0000-0000-0000B0850000}"/>
    <cellStyle name="Normal 11 2 3 3 9 4" xfId="35032" xr:uid="{00000000-0005-0000-0000-0000B1850000}"/>
    <cellStyle name="Normal 11 2 3 4" xfId="579" xr:uid="{00000000-0005-0000-0000-0000B2850000}"/>
    <cellStyle name="Normal 11 2 3 4 10" xfId="35034" xr:uid="{00000000-0005-0000-0000-0000B3850000}"/>
    <cellStyle name="Normal 11 2 3 4 10 2" xfId="35035" xr:uid="{00000000-0005-0000-0000-0000B4850000}"/>
    <cellStyle name="Normal 11 2 3 4 10 2 2" xfId="35036" xr:uid="{00000000-0005-0000-0000-0000B5850000}"/>
    <cellStyle name="Normal 11 2 3 4 10 2 2 2" xfId="35037" xr:uid="{00000000-0005-0000-0000-0000B6850000}"/>
    <cellStyle name="Normal 11 2 3 4 10 2 3" xfId="35038" xr:uid="{00000000-0005-0000-0000-0000B7850000}"/>
    <cellStyle name="Normal 11 2 3 4 10 3" xfId="35039" xr:uid="{00000000-0005-0000-0000-0000B8850000}"/>
    <cellStyle name="Normal 11 2 3 4 10 3 2" xfId="35040" xr:uid="{00000000-0005-0000-0000-0000B9850000}"/>
    <cellStyle name="Normal 11 2 3 4 10 4" xfId="35041" xr:uid="{00000000-0005-0000-0000-0000BA850000}"/>
    <cellStyle name="Normal 11 2 3 4 11" xfId="35042" xr:uid="{00000000-0005-0000-0000-0000BB850000}"/>
    <cellStyle name="Normal 11 2 3 4 11 2" xfId="35043" xr:uid="{00000000-0005-0000-0000-0000BC850000}"/>
    <cellStyle name="Normal 11 2 3 4 11 2 2" xfId="35044" xr:uid="{00000000-0005-0000-0000-0000BD850000}"/>
    <cellStyle name="Normal 11 2 3 4 11 3" xfId="35045" xr:uid="{00000000-0005-0000-0000-0000BE850000}"/>
    <cellStyle name="Normal 11 2 3 4 12" xfId="35046" xr:uid="{00000000-0005-0000-0000-0000BF850000}"/>
    <cellStyle name="Normal 11 2 3 4 12 2" xfId="35047" xr:uid="{00000000-0005-0000-0000-0000C0850000}"/>
    <cellStyle name="Normal 11 2 3 4 12 2 2" xfId="35048" xr:uid="{00000000-0005-0000-0000-0000C1850000}"/>
    <cellStyle name="Normal 11 2 3 4 12 3" xfId="35049" xr:uid="{00000000-0005-0000-0000-0000C2850000}"/>
    <cellStyle name="Normal 11 2 3 4 13" xfId="35050" xr:uid="{00000000-0005-0000-0000-0000C3850000}"/>
    <cellStyle name="Normal 11 2 3 4 13 2" xfId="35051" xr:uid="{00000000-0005-0000-0000-0000C4850000}"/>
    <cellStyle name="Normal 11 2 3 4 13 2 2" xfId="35052" xr:uid="{00000000-0005-0000-0000-0000C5850000}"/>
    <cellStyle name="Normal 11 2 3 4 13 3" xfId="35053" xr:uid="{00000000-0005-0000-0000-0000C6850000}"/>
    <cellStyle name="Normal 11 2 3 4 14" xfId="35054" xr:uid="{00000000-0005-0000-0000-0000C7850000}"/>
    <cellStyle name="Normal 11 2 3 4 14 2" xfId="35055" xr:uid="{00000000-0005-0000-0000-0000C8850000}"/>
    <cellStyle name="Normal 11 2 3 4 15" xfId="35056" xr:uid="{00000000-0005-0000-0000-0000C9850000}"/>
    <cellStyle name="Normal 11 2 3 4 16" xfId="35057" xr:uid="{00000000-0005-0000-0000-0000CA850000}"/>
    <cellStyle name="Normal 11 2 3 4 17" xfId="35033" xr:uid="{00000000-0005-0000-0000-0000CB850000}"/>
    <cellStyle name="Normal 11 2 3 4 2" xfId="580" xr:uid="{00000000-0005-0000-0000-0000CC850000}"/>
    <cellStyle name="Normal 11 2 3 4 2 10" xfId="35059" xr:uid="{00000000-0005-0000-0000-0000CD850000}"/>
    <cellStyle name="Normal 11 2 3 4 2 10 2" xfId="35060" xr:uid="{00000000-0005-0000-0000-0000CE850000}"/>
    <cellStyle name="Normal 11 2 3 4 2 10 2 2" xfId="35061" xr:uid="{00000000-0005-0000-0000-0000CF850000}"/>
    <cellStyle name="Normal 11 2 3 4 2 10 3" xfId="35062" xr:uid="{00000000-0005-0000-0000-0000D0850000}"/>
    <cellStyle name="Normal 11 2 3 4 2 11" xfId="35063" xr:uid="{00000000-0005-0000-0000-0000D1850000}"/>
    <cellStyle name="Normal 11 2 3 4 2 11 2" xfId="35064" xr:uid="{00000000-0005-0000-0000-0000D2850000}"/>
    <cellStyle name="Normal 11 2 3 4 2 11 2 2" xfId="35065" xr:uid="{00000000-0005-0000-0000-0000D3850000}"/>
    <cellStyle name="Normal 11 2 3 4 2 11 3" xfId="35066" xr:uid="{00000000-0005-0000-0000-0000D4850000}"/>
    <cellStyle name="Normal 11 2 3 4 2 12" xfId="35067" xr:uid="{00000000-0005-0000-0000-0000D5850000}"/>
    <cellStyle name="Normal 11 2 3 4 2 12 2" xfId="35068" xr:uid="{00000000-0005-0000-0000-0000D6850000}"/>
    <cellStyle name="Normal 11 2 3 4 2 13" xfId="35069" xr:uid="{00000000-0005-0000-0000-0000D7850000}"/>
    <cellStyle name="Normal 11 2 3 4 2 14" xfId="35070" xr:uid="{00000000-0005-0000-0000-0000D8850000}"/>
    <cellStyle name="Normal 11 2 3 4 2 15" xfId="35058" xr:uid="{00000000-0005-0000-0000-0000D9850000}"/>
    <cellStyle name="Normal 11 2 3 4 2 2" xfId="1022" xr:uid="{00000000-0005-0000-0000-0000DA850000}"/>
    <cellStyle name="Normal 11 2 3 4 2 2 10" xfId="35072" xr:uid="{00000000-0005-0000-0000-0000DB850000}"/>
    <cellStyle name="Normal 11 2 3 4 2 2 11" xfId="35071" xr:uid="{00000000-0005-0000-0000-0000DC850000}"/>
    <cellStyle name="Normal 11 2 3 4 2 2 2" xfId="1751" xr:uid="{00000000-0005-0000-0000-0000DD850000}"/>
    <cellStyle name="Normal 11 2 3 4 2 2 2 2" xfId="35074" xr:uid="{00000000-0005-0000-0000-0000DE850000}"/>
    <cellStyle name="Normal 11 2 3 4 2 2 2 2 2" xfId="35075" xr:uid="{00000000-0005-0000-0000-0000DF850000}"/>
    <cellStyle name="Normal 11 2 3 4 2 2 2 2 2 2" xfId="35076" xr:uid="{00000000-0005-0000-0000-0000E0850000}"/>
    <cellStyle name="Normal 11 2 3 4 2 2 2 2 2 2 2" xfId="35077" xr:uid="{00000000-0005-0000-0000-0000E1850000}"/>
    <cellStyle name="Normal 11 2 3 4 2 2 2 2 2 3" xfId="35078" xr:uid="{00000000-0005-0000-0000-0000E2850000}"/>
    <cellStyle name="Normal 11 2 3 4 2 2 2 2 3" xfId="35079" xr:uid="{00000000-0005-0000-0000-0000E3850000}"/>
    <cellStyle name="Normal 11 2 3 4 2 2 2 2 3 2" xfId="35080" xr:uid="{00000000-0005-0000-0000-0000E4850000}"/>
    <cellStyle name="Normal 11 2 3 4 2 2 2 2 4" xfId="35081" xr:uid="{00000000-0005-0000-0000-0000E5850000}"/>
    <cellStyle name="Normal 11 2 3 4 2 2 2 3" xfId="35082" xr:uid="{00000000-0005-0000-0000-0000E6850000}"/>
    <cellStyle name="Normal 11 2 3 4 2 2 2 3 2" xfId="35083" xr:uid="{00000000-0005-0000-0000-0000E7850000}"/>
    <cellStyle name="Normal 11 2 3 4 2 2 2 3 2 2" xfId="35084" xr:uid="{00000000-0005-0000-0000-0000E8850000}"/>
    <cellStyle name="Normal 11 2 3 4 2 2 2 3 2 2 2" xfId="35085" xr:uid="{00000000-0005-0000-0000-0000E9850000}"/>
    <cellStyle name="Normal 11 2 3 4 2 2 2 3 2 3" xfId="35086" xr:uid="{00000000-0005-0000-0000-0000EA850000}"/>
    <cellStyle name="Normal 11 2 3 4 2 2 2 3 3" xfId="35087" xr:uid="{00000000-0005-0000-0000-0000EB850000}"/>
    <cellStyle name="Normal 11 2 3 4 2 2 2 3 3 2" xfId="35088" xr:uid="{00000000-0005-0000-0000-0000EC850000}"/>
    <cellStyle name="Normal 11 2 3 4 2 2 2 3 4" xfId="35089" xr:uid="{00000000-0005-0000-0000-0000ED850000}"/>
    <cellStyle name="Normal 11 2 3 4 2 2 2 4" xfId="35090" xr:uid="{00000000-0005-0000-0000-0000EE850000}"/>
    <cellStyle name="Normal 11 2 3 4 2 2 2 4 2" xfId="35091" xr:uid="{00000000-0005-0000-0000-0000EF850000}"/>
    <cellStyle name="Normal 11 2 3 4 2 2 2 4 2 2" xfId="35092" xr:uid="{00000000-0005-0000-0000-0000F0850000}"/>
    <cellStyle name="Normal 11 2 3 4 2 2 2 4 3" xfId="35093" xr:uid="{00000000-0005-0000-0000-0000F1850000}"/>
    <cellStyle name="Normal 11 2 3 4 2 2 2 5" xfId="35094" xr:uid="{00000000-0005-0000-0000-0000F2850000}"/>
    <cellStyle name="Normal 11 2 3 4 2 2 2 5 2" xfId="35095" xr:uid="{00000000-0005-0000-0000-0000F3850000}"/>
    <cellStyle name="Normal 11 2 3 4 2 2 2 6" xfId="35096" xr:uid="{00000000-0005-0000-0000-0000F4850000}"/>
    <cellStyle name="Normal 11 2 3 4 2 2 2 7" xfId="35073" xr:uid="{00000000-0005-0000-0000-0000F5850000}"/>
    <cellStyle name="Normal 11 2 3 4 2 2 3" xfId="35097" xr:uid="{00000000-0005-0000-0000-0000F6850000}"/>
    <cellStyle name="Normal 11 2 3 4 2 2 3 2" xfId="35098" xr:uid="{00000000-0005-0000-0000-0000F7850000}"/>
    <cellStyle name="Normal 11 2 3 4 2 2 3 2 2" xfId="35099" xr:uid="{00000000-0005-0000-0000-0000F8850000}"/>
    <cellStyle name="Normal 11 2 3 4 2 2 3 2 2 2" xfId="35100" xr:uid="{00000000-0005-0000-0000-0000F9850000}"/>
    <cellStyle name="Normal 11 2 3 4 2 2 3 2 2 2 2" xfId="35101" xr:uid="{00000000-0005-0000-0000-0000FA850000}"/>
    <cellStyle name="Normal 11 2 3 4 2 2 3 2 2 3" xfId="35102" xr:uid="{00000000-0005-0000-0000-0000FB850000}"/>
    <cellStyle name="Normal 11 2 3 4 2 2 3 2 3" xfId="35103" xr:uid="{00000000-0005-0000-0000-0000FC850000}"/>
    <cellStyle name="Normal 11 2 3 4 2 2 3 2 3 2" xfId="35104" xr:uid="{00000000-0005-0000-0000-0000FD850000}"/>
    <cellStyle name="Normal 11 2 3 4 2 2 3 2 4" xfId="35105" xr:uid="{00000000-0005-0000-0000-0000FE850000}"/>
    <cellStyle name="Normal 11 2 3 4 2 2 3 3" xfId="35106" xr:uid="{00000000-0005-0000-0000-0000FF850000}"/>
    <cellStyle name="Normal 11 2 3 4 2 2 3 3 2" xfId="35107" xr:uid="{00000000-0005-0000-0000-000000860000}"/>
    <cellStyle name="Normal 11 2 3 4 2 2 3 3 2 2" xfId="35108" xr:uid="{00000000-0005-0000-0000-000001860000}"/>
    <cellStyle name="Normal 11 2 3 4 2 2 3 3 3" xfId="35109" xr:uid="{00000000-0005-0000-0000-000002860000}"/>
    <cellStyle name="Normal 11 2 3 4 2 2 3 4" xfId="35110" xr:uid="{00000000-0005-0000-0000-000003860000}"/>
    <cellStyle name="Normal 11 2 3 4 2 2 3 4 2" xfId="35111" xr:uid="{00000000-0005-0000-0000-000004860000}"/>
    <cellStyle name="Normal 11 2 3 4 2 2 3 5" xfId="35112" xr:uid="{00000000-0005-0000-0000-000005860000}"/>
    <cellStyle name="Normal 11 2 3 4 2 2 4" xfId="35113" xr:uid="{00000000-0005-0000-0000-000006860000}"/>
    <cellStyle name="Normal 11 2 3 4 2 2 4 2" xfId="35114" xr:uid="{00000000-0005-0000-0000-000007860000}"/>
    <cellStyle name="Normal 11 2 3 4 2 2 4 2 2" xfId="35115" xr:uid="{00000000-0005-0000-0000-000008860000}"/>
    <cellStyle name="Normal 11 2 3 4 2 2 4 2 2 2" xfId="35116" xr:uid="{00000000-0005-0000-0000-000009860000}"/>
    <cellStyle name="Normal 11 2 3 4 2 2 4 2 2 2 2" xfId="35117" xr:uid="{00000000-0005-0000-0000-00000A860000}"/>
    <cellStyle name="Normal 11 2 3 4 2 2 4 2 2 3" xfId="35118" xr:uid="{00000000-0005-0000-0000-00000B860000}"/>
    <cellStyle name="Normal 11 2 3 4 2 2 4 2 3" xfId="35119" xr:uid="{00000000-0005-0000-0000-00000C860000}"/>
    <cellStyle name="Normal 11 2 3 4 2 2 4 2 3 2" xfId="35120" xr:uid="{00000000-0005-0000-0000-00000D860000}"/>
    <cellStyle name="Normal 11 2 3 4 2 2 4 2 4" xfId="35121" xr:uid="{00000000-0005-0000-0000-00000E860000}"/>
    <cellStyle name="Normal 11 2 3 4 2 2 4 3" xfId="35122" xr:uid="{00000000-0005-0000-0000-00000F860000}"/>
    <cellStyle name="Normal 11 2 3 4 2 2 4 3 2" xfId="35123" xr:uid="{00000000-0005-0000-0000-000010860000}"/>
    <cellStyle name="Normal 11 2 3 4 2 2 4 3 2 2" xfId="35124" xr:uid="{00000000-0005-0000-0000-000011860000}"/>
    <cellStyle name="Normal 11 2 3 4 2 2 4 3 3" xfId="35125" xr:uid="{00000000-0005-0000-0000-000012860000}"/>
    <cellStyle name="Normal 11 2 3 4 2 2 4 4" xfId="35126" xr:uid="{00000000-0005-0000-0000-000013860000}"/>
    <cellStyle name="Normal 11 2 3 4 2 2 4 4 2" xfId="35127" xr:uid="{00000000-0005-0000-0000-000014860000}"/>
    <cellStyle name="Normal 11 2 3 4 2 2 4 5" xfId="35128" xr:uid="{00000000-0005-0000-0000-000015860000}"/>
    <cellStyle name="Normal 11 2 3 4 2 2 5" xfId="35129" xr:uid="{00000000-0005-0000-0000-000016860000}"/>
    <cellStyle name="Normal 11 2 3 4 2 2 5 2" xfId="35130" xr:uid="{00000000-0005-0000-0000-000017860000}"/>
    <cellStyle name="Normal 11 2 3 4 2 2 5 2 2" xfId="35131" xr:uid="{00000000-0005-0000-0000-000018860000}"/>
    <cellStyle name="Normal 11 2 3 4 2 2 5 2 2 2" xfId="35132" xr:uid="{00000000-0005-0000-0000-000019860000}"/>
    <cellStyle name="Normal 11 2 3 4 2 2 5 2 3" xfId="35133" xr:uid="{00000000-0005-0000-0000-00001A860000}"/>
    <cellStyle name="Normal 11 2 3 4 2 2 5 3" xfId="35134" xr:uid="{00000000-0005-0000-0000-00001B860000}"/>
    <cellStyle name="Normal 11 2 3 4 2 2 5 3 2" xfId="35135" xr:uid="{00000000-0005-0000-0000-00001C860000}"/>
    <cellStyle name="Normal 11 2 3 4 2 2 5 4" xfId="35136" xr:uid="{00000000-0005-0000-0000-00001D860000}"/>
    <cellStyle name="Normal 11 2 3 4 2 2 6" xfId="35137" xr:uid="{00000000-0005-0000-0000-00001E860000}"/>
    <cellStyle name="Normal 11 2 3 4 2 2 6 2" xfId="35138" xr:uid="{00000000-0005-0000-0000-00001F860000}"/>
    <cellStyle name="Normal 11 2 3 4 2 2 6 2 2" xfId="35139" xr:uid="{00000000-0005-0000-0000-000020860000}"/>
    <cellStyle name="Normal 11 2 3 4 2 2 6 2 2 2" xfId="35140" xr:uid="{00000000-0005-0000-0000-000021860000}"/>
    <cellStyle name="Normal 11 2 3 4 2 2 6 2 3" xfId="35141" xr:uid="{00000000-0005-0000-0000-000022860000}"/>
    <cellStyle name="Normal 11 2 3 4 2 2 6 3" xfId="35142" xr:uid="{00000000-0005-0000-0000-000023860000}"/>
    <cellStyle name="Normal 11 2 3 4 2 2 6 3 2" xfId="35143" xr:uid="{00000000-0005-0000-0000-000024860000}"/>
    <cellStyle name="Normal 11 2 3 4 2 2 6 4" xfId="35144" xr:uid="{00000000-0005-0000-0000-000025860000}"/>
    <cellStyle name="Normal 11 2 3 4 2 2 7" xfId="35145" xr:uid="{00000000-0005-0000-0000-000026860000}"/>
    <cellStyle name="Normal 11 2 3 4 2 2 7 2" xfId="35146" xr:uid="{00000000-0005-0000-0000-000027860000}"/>
    <cellStyle name="Normal 11 2 3 4 2 2 7 2 2" xfId="35147" xr:uid="{00000000-0005-0000-0000-000028860000}"/>
    <cellStyle name="Normal 11 2 3 4 2 2 7 2 2 2" xfId="35148" xr:uid="{00000000-0005-0000-0000-000029860000}"/>
    <cellStyle name="Normal 11 2 3 4 2 2 7 2 3" xfId="35149" xr:uid="{00000000-0005-0000-0000-00002A860000}"/>
    <cellStyle name="Normal 11 2 3 4 2 2 7 3" xfId="35150" xr:uid="{00000000-0005-0000-0000-00002B860000}"/>
    <cellStyle name="Normal 11 2 3 4 2 2 7 3 2" xfId="35151" xr:uid="{00000000-0005-0000-0000-00002C860000}"/>
    <cellStyle name="Normal 11 2 3 4 2 2 7 4" xfId="35152" xr:uid="{00000000-0005-0000-0000-00002D860000}"/>
    <cellStyle name="Normal 11 2 3 4 2 2 8" xfId="35153" xr:uid="{00000000-0005-0000-0000-00002E860000}"/>
    <cellStyle name="Normal 11 2 3 4 2 2 8 2" xfId="35154" xr:uid="{00000000-0005-0000-0000-00002F860000}"/>
    <cellStyle name="Normal 11 2 3 4 2 2 8 2 2" xfId="35155" xr:uid="{00000000-0005-0000-0000-000030860000}"/>
    <cellStyle name="Normal 11 2 3 4 2 2 8 3" xfId="35156" xr:uid="{00000000-0005-0000-0000-000031860000}"/>
    <cellStyle name="Normal 11 2 3 4 2 2 9" xfId="35157" xr:uid="{00000000-0005-0000-0000-000032860000}"/>
    <cellStyle name="Normal 11 2 3 4 2 2 9 2" xfId="35158" xr:uid="{00000000-0005-0000-0000-000033860000}"/>
    <cellStyle name="Normal 11 2 3 4 2 3" xfId="1424" xr:uid="{00000000-0005-0000-0000-000034860000}"/>
    <cellStyle name="Normal 11 2 3 4 2 3 2" xfId="35160" xr:uid="{00000000-0005-0000-0000-000035860000}"/>
    <cellStyle name="Normal 11 2 3 4 2 3 2 2" xfId="35161" xr:uid="{00000000-0005-0000-0000-000036860000}"/>
    <cellStyle name="Normal 11 2 3 4 2 3 2 2 2" xfId="35162" xr:uid="{00000000-0005-0000-0000-000037860000}"/>
    <cellStyle name="Normal 11 2 3 4 2 3 2 2 2 2" xfId="35163" xr:uid="{00000000-0005-0000-0000-000038860000}"/>
    <cellStyle name="Normal 11 2 3 4 2 3 2 2 3" xfId="35164" xr:uid="{00000000-0005-0000-0000-000039860000}"/>
    <cellStyle name="Normal 11 2 3 4 2 3 2 3" xfId="35165" xr:uid="{00000000-0005-0000-0000-00003A860000}"/>
    <cellStyle name="Normal 11 2 3 4 2 3 2 3 2" xfId="35166" xr:uid="{00000000-0005-0000-0000-00003B860000}"/>
    <cellStyle name="Normal 11 2 3 4 2 3 2 4" xfId="35167" xr:uid="{00000000-0005-0000-0000-00003C860000}"/>
    <cellStyle name="Normal 11 2 3 4 2 3 3" xfId="35168" xr:uid="{00000000-0005-0000-0000-00003D860000}"/>
    <cellStyle name="Normal 11 2 3 4 2 3 3 2" xfId="35169" xr:uid="{00000000-0005-0000-0000-00003E860000}"/>
    <cellStyle name="Normal 11 2 3 4 2 3 3 2 2" xfId="35170" xr:uid="{00000000-0005-0000-0000-00003F860000}"/>
    <cellStyle name="Normal 11 2 3 4 2 3 3 2 2 2" xfId="35171" xr:uid="{00000000-0005-0000-0000-000040860000}"/>
    <cellStyle name="Normal 11 2 3 4 2 3 3 2 3" xfId="35172" xr:uid="{00000000-0005-0000-0000-000041860000}"/>
    <cellStyle name="Normal 11 2 3 4 2 3 3 3" xfId="35173" xr:uid="{00000000-0005-0000-0000-000042860000}"/>
    <cellStyle name="Normal 11 2 3 4 2 3 3 3 2" xfId="35174" xr:uid="{00000000-0005-0000-0000-000043860000}"/>
    <cellStyle name="Normal 11 2 3 4 2 3 3 4" xfId="35175" xr:uid="{00000000-0005-0000-0000-000044860000}"/>
    <cellStyle name="Normal 11 2 3 4 2 3 4" xfId="35176" xr:uid="{00000000-0005-0000-0000-000045860000}"/>
    <cellStyle name="Normal 11 2 3 4 2 3 4 2" xfId="35177" xr:uid="{00000000-0005-0000-0000-000046860000}"/>
    <cellStyle name="Normal 11 2 3 4 2 3 4 2 2" xfId="35178" xr:uid="{00000000-0005-0000-0000-000047860000}"/>
    <cellStyle name="Normal 11 2 3 4 2 3 4 3" xfId="35179" xr:uid="{00000000-0005-0000-0000-000048860000}"/>
    <cellStyle name="Normal 11 2 3 4 2 3 5" xfId="35180" xr:uid="{00000000-0005-0000-0000-000049860000}"/>
    <cellStyle name="Normal 11 2 3 4 2 3 5 2" xfId="35181" xr:uid="{00000000-0005-0000-0000-00004A860000}"/>
    <cellStyle name="Normal 11 2 3 4 2 3 6" xfId="35182" xr:uid="{00000000-0005-0000-0000-00004B860000}"/>
    <cellStyle name="Normal 11 2 3 4 2 3 7" xfId="35159" xr:uid="{00000000-0005-0000-0000-00004C860000}"/>
    <cellStyle name="Normal 11 2 3 4 2 4" xfId="35183" xr:uid="{00000000-0005-0000-0000-00004D860000}"/>
    <cellStyle name="Normal 11 2 3 4 2 4 2" xfId="35184" xr:uid="{00000000-0005-0000-0000-00004E860000}"/>
    <cellStyle name="Normal 11 2 3 4 2 4 2 2" xfId="35185" xr:uid="{00000000-0005-0000-0000-00004F860000}"/>
    <cellStyle name="Normal 11 2 3 4 2 4 2 2 2" xfId="35186" xr:uid="{00000000-0005-0000-0000-000050860000}"/>
    <cellStyle name="Normal 11 2 3 4 2 4 2 2 2 2" xfId="35187" xr:uid="{00000000-0005-0000-0000-000051860000}"/>
    <cellStyle name="Normal 11 2 3 4 2 4 2 2 3" xfId="35188" xr:uid="{00000000-0005-0000-0000-000052860000}"/>
    <cellStyle name="Normal 11 2 3 4 2 4 2 3" xfId="35189" xr:uid="{00000000-0005-0000-0000-000053860000}"/>
    <cellStyle name="Normal 11 2 3 4 2 4 2 3 2" xfId="35190" xr:uid="{00000000-0005-0000-0000-000054860000}"/>
    <cellStyle name="Normal 11 2 3 4 2 4 2 4" xfId="35191" xr:uid="{00000000-0005-0000-0000-000055860000}"/>
    <cellStyle name="Normal 11 2 3 4 2 4 3" xfId="35192" xr:uid="{00000000-0005-0000-0000-000056860000}"/>
    <cellStyle name="Normal 11 2 3 4 2 4 3 2" xfId="35193" xr:uid="{00000000-0005-0000-0000-000057860000}"/>
    <cellStyle name="Normal 11 2 3 4 2 4 3 2 2" xfId="35194" xr:uid="{00000000-0005-0000-0000-000058860000}"/>
    <cellStyle name="Normal 11 2 3 4 2 4 3 3" xfId="35195" xr:uid="{00000000-0005-0000-0000-000059860000}"/>
    <cellStyle name="Normal 11 2 3 4 2 4 4" xfId="35196" xr:uid="{00000000-0005-0000-0000-00005A860000}"/>
    <cellStyle name="Normal 11 2 3 4 2 4 4 2" xfId="35197" xr:uid="{00000000-0005-0000-0000-00005B860000}"/>
    <cellStyle name="Normal 11 2 3 4 2 4 5" xfId="35198" xr:uid="{00000000-0005-0000-0000-00005C860000}"/>
    <cellStyle name="Normal 11 2 3 4 2 5" xfId="35199" xr:uid="{00000000-0005-0000-0000-00005D860000}"/>
    <cellStyle name="Normal 11 2 3 4 2 5 2" xfId="35200" xr:uid="{00000000-0005-0000-0000-00005E860000}"/>
    <cellStyle name="Normal 11 2 3 4 2 5 2 2" xfId="35201" xr:uid="{00000000-0005-0000-0000-00005F860000}"/>
    <cellStyle name="Normal 11 2 3 4 2 5 2 2 2" xfId="35202" xr:uid="{00000000-0005-0000-0000-000060860000}"/>
    <cellStyle name="Normal 11 2 3 4 2 5 2 2 2 2" xfId="35203" xr:uid="{00000000-0005-0000-0000-000061860000}"/>
    <cellStyle name="Normal 11 2 3 4 2 5 2 2 3" xfId="35204" xr:uid="{00000000-0005-0000-0000-000062860000}"/>
    <cellStyle name="Normal 11 2 3 4 2 5 2 3" xfId="35205" xr:uid="{00000000-0005-0000-0000-000063860000}"/>
    <cellStyle name="Normal 11 2 3 4 2 5 2 3 2" xfId="35206" xr:uid="{00000000-0005-0000-0000-000064860000}"/>
    <cellStyle name="Normal 11 2 3 4 2 5 2 4" xfId="35207" xr:uid="{00000000-0005-0000-0000-000065860000}"/>
    <cellStyle name="Normal 11 2 3 4 2 5 3" xfId="35208" xr:uid="{00000000-0005-0000-0000-000066860000}"/>
    <cellStyle name="Normal 11 2 3 4 2 5 3 2" xfId="35209" xr:uid="{00000000-0005-0000-0000-000067860000}"/>
    <cellStyle name="Normal 11 2 3 4 2 5 3 2 2" xfId="35210" xr:uid="{00000000-0005-0000-0000-000068860000}"/>
    <cellStyle name="Normal 11 2 3 4 2 5 3 3" xfId="35211" xr:uid="{00000000-0005-0000-0000-000069860000}"/>
    <cellStyle name="Normal 11 2 3 4 2 5 4" xfId="35212" xr:uid="{00000000-0005-0000-0000-00006A860000}"/>
    <cellStyle name="Normal 11 2 3 4 2 5 4 2" xfId="35213" xr:uid="{00000000-0005-0000-0000-00006B860000}"/>
    <cellStyle name="Normal 11 2 3 4 2 5 5" xfId="35214" xr:uid="{00000000-0005-0000-0000-00006C860000}"/>
    <cellStyle name="Normal 11 2 3 4 2 6" xfId="35215" xr:uid="{00000000-0005-0000-0000-00006D860000}"/>
    <cellStyle name="Normal 11 2 3 4 2 6 2" xfId="35216" xr:uid="{00000000-0005-0000-0000-00006E860000}"/>
    <cellStyle name="Normal 11 2 3 4 2 6 2 2" xfId="35217" xr:uid="{00000000-0005-0000-0000-00006F860000}"/>
    <cellStyle name="Normal 11 2 3 4 2 6 2 2 2" xfId="35218" xr:uid="{00000000-0005-0000-0000-000070860000}"/>
    <cellStyle name="Normal 11 2 3 4 2 6 2 3" xfId="35219" xr:uid="{00000000-0005-0000-0000-000071860000}"/>
    <cellStyle name="Normal 11 2 3 4 2 6 3" xfId="35220" xr:uid="{00000000-0005-0000-0000-000072860000}"/>
    <cellStyle name="Normal 11 2 3 4 2 6 3 2" xfId="35221" xr:uid="{00000000-0005-0000-0000-000073860000}"/>
    <cellStyle name="Normal 11 2 3 4 2 6 4" xfId="35222" xr:uid="{00000000-0005-0000-0000-000074860000}"/>
    <cellStyle name="Normal 11 2 3 4 2 7" xfId="35223" xr:uid="{00000000-0005-0000-0000-000075860000}"/>
    <cellStyle name="Normal 11 2 3 4 2 7 2" xfId="35224" xr:uid="{00000000-0005-0000-0000-000076860000}"/>
    <cellStyle name="Normal 11 2 3 4 2 7 2 2" xfId="35225" xr:uid="{00000000-0005-0000-0000-000077860000}"/>
    <cellStyle name="Normal 11 2 3 4 2 7 2 2 2" xfId="35226" xr:uid="{00000000-0005-0000-0000-000078860000}"/>
    <cellStyle name="Normal 11 2 3 4 2 7 2 3" xfId="35227" xr:uid="{00000000-0005-0000-0000-000079860000}"/>
    <cellStyle name="Normal 11 2 3 4 2 7 3" xfId="35228" xr:uid="{00000000-0005-0000-0000-00007A860000}"/>
    <cellStyle name="Normal 11 2 3 4 2 7 3 2" xfId="35229" xr:uid="{00000000-0005-0000-0000-00007B860000}"/>
    <cellStyle name="Normal 11 2 3 4 2 7 4" xfId="35230" xr:uid="{00000000-0005-0000-0000-00007C860000}"/>
    <cellStyle name="Normal 11 2 3 4 2 8" xfId="35231" xr:uid="{00000000-0005-0000-0000-00007D860000}"/>
    <cellStyle name="Normal 11 2 3 4 2 8 2" xfId="35232" xr:uid="{00000000-0005-0000-0000-00007E860000}"/>
    <cellStyle name="Normal 11 2 3 4 2 8 2 2" xfId="35233" xr:uid="{00000000-0005-0000-0000-00007F860000}"/>
    <cellStyle name="Normal 11 2 3 4 2 8 2 2 2" xfId="35234" xr:uid="{00000000-0005-0000-0000-000080860000}"/>
    <cellStyle name="Normal 11 2 3 4 2 8 2 3" xfId="35235" xr:uid="{00000000-0005-0000-0000-000081860000}"/>
    <cellStyle name="Normal 11 2 3 4 2 8 3" xfId="35236" xr:uid="{00000000-0005-0000-0000-000082860000}"/>
    <cellStyle name="Normal 11 2 3 4 2 8 3 2" xfId="35237" xr:uid="{00000000-0005-0000-0000-000083860000}"/>
    <cellStyle name="Normal 11 2 3 4 2 8 4" xfId="35238" xr:uid="{00000000-0005-0000-0000-000084860000}"/>
    <cellStyle name="Normal 11 2 3 4 2 9" xfId="35239" xr:uid="{00000000-0005-0000-0000-000085860000}"/>
    <cellStyle name="Normal 11 2 3 4 2 9 2" xfId="35240" xr:uid="{00000000-0005-0000-0000-000086860000}"/>
    <cellStyle name="Normal 11 2 3 4 2 9 2 2" xfId="35241" xr:uid="{00000000-0005-0000-0000-000087860000}"/>
    <cellStyle name="Normal 11 2 3 4 2 9 3" xfId="35242" xr:uid="{00000000-0005-0000-0000-000088860000}"/>
    <cellStyle name="Normal 11 2 3 4 3" xfId="581" xr:uid="{00000000-0005-0000-0000-000089860000}"/>
    <cellStyle name="Normal 11 2 3 4 3 10" xfId="35244" xr:uid="{00000000-0005-0000-0000-00008A860000}"/>
    <cellStyle name="Normal 11 2 3 4 3 10 2" xfId="35245" xr:uid="{00000000-0005-0000-0000-00008B860000}"/>
    <cellStyle name="Normal 11 2 3 4 3 10 2 2" xfId="35246" xr:uid="{00000000-0005-0000-0000-00008C860000}"/>
    <cellStyle name="Normal 11 2 3 4 3 10 3" xfId="35247" xr:uid="{00000000-0005-0000-0000-00008D860000}"/>
    <cellStyle name="Normal 11 2 3 4 3 11" xfId="35248" xr:uid="{00000000-0005-0000-0000-00008E860000}"/>
    <cellStyle name="Normal 11 2 3 4 3 11 2" xfId="35249" xr:uid="{00000000-0005-0000-0000-00008F860000}"/>
    <cellStyle name="Normal 11 2 3 4 3 11 2 2" xfId="35250" xr:uid="{00000000-0005-0000-0000-000090860000}"/>
    <cellStyle name="Normal 11 2 3 4 3 11 3" xfId="35251" xr:uid="{00000000-0005-0000-0000-000091860000}"/>
    <cellStyle name="Normal 11 2 3 4 3 12" xfId="35252" xr:uid="{00000000-0005-0000-0000-000092860000}"/>
    <cellStyle name="Normal 11 2 3 4 3 12 2" xfId="35253" xr:uid="{00000000-0005-0000-0000-000093860000}"/>
    <cellStyle name="Normal 11 2 3 4 3 13" xfId="35254" xr:uid="{00000000-0005-0000-0000-000094860000}"/>
    <cellStyle name="Normal 11 2 3 4 3 14" xfId="35255" xr:uid="{00000000-0005-0000-0000-000095860000}"/>
    <cellStyle name="Normal 11 2 3 4 3 15" xfId="35243" xr:uid="{00000000-0005-0000-0000-000096860000}"/>
    <cellStyle name="Normal 11 2 3 4 3 2" xfId="1023" xr:uid="{00000000-0005-0000-0000-000097860000}"/>
    <cellStyle name="Normal 11 2 3 4 3 2 10" xfId="35257" xr:uid="{00000000-0005-0000-0000-000098860000}"/>
    <cellStyle name="Normal 11 2 3 4 3 2 11" xfId="35256" xr:uid="{00000000-0005-0000-0000-000099860000}"/>
    <cellStyle name="Normal 11 2 3 4 3 2 2" xfId="1752" xr:uid="{00000000-0005-0000-0000-00009A860000}"/>
    <cellStyle name="Normal 11 2 3 4 3 2 2 2" xfId="35259" xr:uid="{00000000-0005-0000-0000-00009B860000}"/>
    <cellStyle name="Normal 11 2 3 4 3 2 2 2 2" xfId="35260" xr:uid="{00000000-0005-0000-0000-00009C860000}"/>
    <cellStyle name="Normal 11 2 3 4 3 2 2 2 2 2" xfId="35261" xr:uid="{00000000-0005-0000-0000-00009D860000}"/>
    <cellStyle name="Normal 11 2 3 4 3 2 2 2 2 2 2" xfId="35262" xr:uid="{00000000-0005-0000-0000-00009E860000}"/>
    <cellStyle name="Normal 11 2 3 4 3 2 2 2 2 3" xfId="35263" xr:uid="{00000000-0005-0000-0000-00009F860000}"/>
    <cellStyle name="Normal 11 2 3 4 3 2 2 2 3" xfId="35264" xr:uid="{00000000-0005-0000-0000-0000A0860000}"/>
    <cellStyle name="Normal 11 2 3 4 3 2 2 2 3 2" xfId="35265" xr:uid="{00000000-0005-0000-0000-0000A1860000}"/>
    <cellStyle name="Normal 11 2 3 4 3 2 2 2 4" xfId="35266" xr:uid="{00000000-0005-0000-0000-0000A2860000}"/>
    <cellStyle name="Normal 11 2 3 4 3 2 2 3" xfId="35267" xr:uid="{00000000-0005-0000-0000-0000A3860000}"/>
    <cellStyle name="Normal 11 2 3 4 3 2 2 3 2" xfId="35268" xr:uid="{00000000-0005-0000-0000-0000A4860000}"/>
    <cellStyle name="Normal 11 2 3 4 3 2 2 3 2 2" xfId="35269" xr:uid="{00000000-0005-0000-0000-0000A5860000}"/>
    <cellStyle name="Normal 11 2 3 4 3 2 2 3 2 2 2" xfId="35270" xr:uid="{00000000-0005-0000-0000-0000A6860000}"/>
    <cellStyle name="Normal 11 2 3 4 3 2 2 3 2 3" xfId="35271" xr:uid="{00000000-0005-0000-0000-0000A7860000}"/>
    <cellStyle name="Normal 11 2 3 4 3 2 2 3 3" xfId="35272" xr:uid="{00000000-0005-0000-0000-0000A8860000}"/>
    <cellStyle name="Normal 11 2 3 4 3 2 2 3 3 2" xfId="35273" xr:uid="{00000000-0005-0000-0000-0000A9860000}"/>
    <cellStyle name="Normal 11 2 3 4 3 2 2 3 4" xfId="35274" xr:uid="{00000000-0005-0000-0000-0000AA860000}"/>
    <cellStyle name="Normal 11 2 3 4 3 2 2 4" xfId="35275" xr:uid="{00000000-0005-0000-0000-0000AB860000}"/>
    <cellStyle name="Normal 11 2 3 4 3 2 2 4 2" xfId="35276" xr:uid="{00000000-0005-0000-0000-0000AC860000}"/>
    <cellStyle name="Normal 11 2 3 4 3 2 2 4 2 2" xfId="35277" xr:uid="{00000000-0005-0000-0000-0000AD860000}"/>
    <cellStyle name="Normal 11 2 3 4 3 2 2 4 3" xfId="35278" xr:uid="{00000000-0005-0000-0000-0000AE860000}"/>
    <cellStyle name="Normal 11 2 3 4 3 2 2 5" xfId="35279" xr:uid="{00000000-0005-0000-0000-0000AF860000}"/>
    <cellStyle name="Normal 11 2 3 4 3 2 2 5 2" xfId="35280" xr:uid="{00000000-0005-0000-0000-0000B0860000}"/>
    <cellStyle name="Normal 11 2 3 4 3 2 2 6" xfId="35281" xr:uid="{00000000-0005-0000-0000-0000B1860000}"/>
    <cellStyle name="Normal 11 2 3 4 3 2 2 7" xfId="35258" xr:uid="{00000000-0005-0000-0000-0000B2860000}"/>
    <cellStyle name="Normal 11 2 3 4 3 2 3" xfId="35282" xr:uid="{00000000-0005-0000-0000-0000B3860000}"/>
    <cellStyle name="Normal 11 2 3 4 3 2 3 2" xfId="35283" xr:uid="{00000000-0005-0000-0000-0000B4860000}"/>
    <cellStyle name="Normal 11 2 3 4 3 2 3 2 2" xfId="35284" xr:uid="{00000000-0005-0000-0000-0000B5860000}"/>
    <cellStyle name="Normal 11 2 3 4 3 2 3 2 2 2" xfId="35285" xr:uid="{00000000-0005-0000-0000-0000B6860000}"/>
    <cellStyle name="Normal 11 2 3 4 3 2 3 2 2 2 2" xfId="35286" xr:uid="{00000000-0005-0000-0000-0000B7860000}"/>
    <cellStyle name="Normal 11 2 3 4 3 2 3 2 2 3" xfId="35287" xr:uid="{00000000-0005-0000-0000-0000B8860000}"/>
    <cellStyle name="Normal 11 2 3 4 3 2 3 2 3" xfId="35288" xr:uid="{00000000-0005-0000-0000-0000B9860000}"/>
    <cellStyle name="Normal 11 2 3 4 3 2 3 2 3 2" xfId="35289" xr:uid="{00000000-0005-0000-0000-0000BA860000}"/>
    <cellStyle name="Normal 11 2 3 4 3 2 3 2 4" xfId="35290" xr:uid="{00000000-0005-0000-0000-0000BB860000}"/>
    <cellStyle name="Normal 11 2 3 4 3 2 3 3" xfId="35291" xr:uid="{00000000-0005-0000-0000-0000BC860000}"/>
    <cellStyle name="Normal 11 2 3 4 3 2 3 3 2" xfId="35292" xr:uid="{00000000-0005-0000-0000-0000BD860000}"/>
    <cellStyle name="Normal 11 2 3 4 3 2 3 3 2 2" xfId="35293" xr:uid="{00000000-0005-0000-0000-0000BE860000}"/>
    <cellStyle name="Normal 11 2 3 4 3 2 3 3 3" xfId="35294" xr:uid="{00000000-0005-0000-0000-0000BF860000}"/>
    <cellStyle name="Normal 11 2 3 4 3 2 3 4" xfId="35295" xr:uid="{00000000-0005-0000-0000-0000C0860000}"/>
    <cellStyle name="Normal 11 2 3 4 3 2 3 4 2" xfId="35296" xr:uid="{00000000-0005-0000-0000-0000C1860000}"/>
    <cellStyle name="Normal 11 2 3 4 3 2 3 5" xfId="35297" xr:uid="{00000000-0005-0000-0000-0000C2860000}"/>
    <cellStyle name="Normal 11 2 3 4 3 2 4" xfId="35298" xr:uid="{00000000-0005-0000-0000-0000C3860000}"/>
    <cellStyle name="Normal 11 2 3 4 3 2 4 2" xfId="35299" xr:uid="{00000000-0005-0000-0000-0000C4860000}"/>
    <cellStyle name="Normal 11 2 3 4 3 2 4 2 2" xfId="35300" xr:uid="{00000000-0005-0000-0000-0000C5860000}"/>
    <cellStyle name="Normal 11 2 3 4 3 2 4 2 2 2" xfId="35301" xr:uid="{00000000-0005-0000-0000-0000C6860000}"/>
    <cellStyle name="Normal 11 2 3 4 3 2 4 2 2 2 2" xfId="35302" xr:uid="{00000000-0005-0000-0000-0000C7860000}"/>
    <cellStyle name="Normal 11 2 3 4 3 2 4 2 2 3" xfId="35303" xr:uid="{00000000-0005-0000-0000-0000C8860000}"/>
    <cellStyle name="Normal 11 2 3 4 3 2 4 2 3" xfId="35304" xr:uid="{00000000-0005-0000-0000-0000C9860000}"/>
    <cellStyle name="Normal 11 2 3 4 3 2 4 2 3 2" xfId="35305" xr:uid="{00000000-0005-0000-0000-0000CA860000}"/>
    <cellStyle name="Normal 11 2 3 4 3 2 4 2 4" xfId="35306" xr:uid="{00000000-0005-0000-0000-0000CB860000}"/>
    <cellStyle name="Normal 11 2 3 4 3 2 4 3" xfId="35307" xr:uid="{00000000-0005-0000-0000-0000CC860000}"/>
    <cellStyle name="Normal 11 2 3 4 3 2 4 3 2" xfId="35308" xr:uid="{00000000-0005-0000-0000-0000CD860000}"/>
    <cellStyle name="Normal 11 2 3 4 3 2 4 3 2 2" xfId="35309" xr:uid="{00000000-0005-0000-0000-0000CE860000}"/>
    <cellStyle name="Normal 11 2 3 4 3 2 4 3 3" xfId="35310" xr:uid="{00000000-0005-0000-0000-0000CF860000}"/>
    <cellStyle name="Normal 11 2 3 4 3 2 4 4" xfId="35311" xr:uid="{00000000-0005-0000-0000-0000D0860000}"/>
    <cellStyle name="Normal 11 2 3 4 3 2 4 4 2" xfId="35312" xr:uid="{00000000-0005-0000-0000-0000D1860000}"/>
    <cellStyle name="Normal 11 2 3 4 3 2 4 5" xfId="35313" xr:uid="{00000000-0005-0000-0000-0000D2860000}"/>
    <cellStyle name="Normal 11 2 3 4 3 2 5" xfId="35314" xr:uid="{00000000-0005-0000-0000-0000D3860000}"/>
    <cellStyle name="Normal 11 2 3 4 3 2 5 2" xfId="35315" xr:uid="{00000000-0005-0000-0000-0000D4860000}"/>
    <cellStyle name="Normal 11 2 3 4 3 2 5 2 2" xfId="35316" xr:uid="{00000000-0005-0000-0000-0000D5860000}"/>
    <cellStyle name="Normal 11 2 3 4 3 2 5 2 2 2" xfId="35317" xr:uid="{00000000-0005-0000-0000-0000D6860000}"/>
    <cellStyle name="Normal 11 2 3 4 3 2 5 2 3" xfId="35318" xr:uid="{00000000-0005-0000-0000-0000D7860000}"/>
    <cellStyle name="Normal 11 2 3 4 3 2 5 3" xfId="35319" xr:uid="{00000000-0005-0000-0000-0000D8860000}"/>
    <cellStyle name="Normal 11 2 3 4 3 2 5 3 2" xfId="35320" xr:uid="{00000000-0005-0000-0000-0000D9860000}"/>
    <cellStyle name="Normal 11 2 3 4 3 2 5 4" xfId="35321" xr:uid="{00000000-0005-0000-0000-0000DA860000}"/>
    <cellStyle name="Normal 11 2 3 4 3 2 6" xfId="35322" xr:uid="{00000000-0005-0000-0000-0000DB860000}"/>
    <cellStyle name="Normal 11 2 3 4 3 2 6 2" xfId="35323" xr:uid="{00000000-0005-0000-0000-0000DC860000}"/>
    <cellStyle name="Normal 11 2 3 4 3 2 6 2 2" xfId="35324" xr:uid="{00000000-0005-0000-0000-0000DD860000}"/>
    <cellStyle name="Normal 11 2 3 4 3 2 6 2 2 2" xfId="35325" xr:uid="{00000000-0005-0000-0000-0000DE860000}"/>
    <cellStyle name="Normal 11 2 3 4 3 2 6 2 3" xfId="35326" xr:uid="{00000000-0005-0000-0000-0000DF860000}"/>
    <cellStyle name="Normal 11 2 3 4 3 2 6 3" xfId="35327" xr:uid="{00000000-0005-0000-0000-0000E0860000}"/>
    <cellStyle name="Normal 11 2 3 4 3 2 6 3 2" xfId="35328" xr:uid="{00000000-0005-0000-0000-0000E1860000}"/>
    <cellStyle name="Normal 11 2 3 4 3 2 6 4" xfId="35329" xr:uid="{00000000-0005-0000-0000-0000E2860000}"/>
    <cellStyle name="Normal 11 2 3 4 3 2 7" xfId="35330" xr:uid="{00000000-0005-0000-0000-0000E3860000}"/>
    <cellStyle name="Normal 11 2 3 4 3 2 7 2" xfId="35331" xr:uid="{00000000-0005-0000-0000-0000E4860000}"/>
    <cellStyle name="Normal 11 2 3 4 3 2 7 2 2" xfId="35332" xr:uid="{00000000-0005-0000-0000-0000E5860000}"/>
    <cellStyle name="Normal 11 2 3 4 3 2 7 2 2 2" xfId="35333" xr:uid="{00000000-0005-0000-0000-0000E6860000}"/>
    <cellStyle name="Normal 11 2 3 4 3 2 7 2 3" xfId="35334" xr:uid="{00000000-0005-0000-0000-0000E7860000}"/>
    <cellStyle name="Normal 11 2 3 4 3 2 7 3" xfId="35335" xr:uid="{00000000-0005-0000-0000-0000E8860000}"/>
    <cellStyle name="Normal 11 2 3 4 3 2 7 3 2" xfId="35336" xr:uid="{00000000-0005-0000-0000-0000E9860000}"/>
    <cellStyle name="Normal 11 2 3 4 3 2 7 4" xfId="35337" xr:uid="{00000000-0005-0000-0000-0000EA860000}"/>
    <cellStyle name="Normal 11 2 3 4 3 2 8" xfId="35338" xr:uid="{00000000-0005-0000-0000-0000EB860000}"/>
    <cellStyle name="Normal 11 2 3 4 3 2 8 2" xfId="35339" xr:uid="{00000000-0005-0000-0000-0000EC860000}"/>
    <cellStyle name="Normal 11 2 3 4 3 2 8 2 2" xfId="35340" xr:uid="{00000000-0005-0000-0000-0000ED860000}"/>
    <cellStyle name="Normal 11 2 3 4 3 2 8 3" xfId="35341" xr:uid="{00000000-0005-0000-0000-0000EE860000}"/>
    <cellStyle name="Normal 11 2 3 4 3 2 9" xfId="35342" xr:uid="{00000000-0005-0000-0000-0000EF860000}"/>
    <cellStyle name="Normal 11 2 3 4 3 2 9 2" xfId="35343" xr:uid="{00000000-0005-0000-0000-0000F0860000}"/>
    <cellStyle name="Normal 11 2 3 4 3 3" xfId="1425" xr:uid="{00000000-0005-0000-0000-0000F1860000}"/>
    <cellStyle name="Normal 11 2 3 4 3 3 2" xfId="35345" xr:uid="{00000000-0005-0000-0000-0000F2860000}"/>
    <cellStyle name="Normal 11 2 3 4 3 3 2 2" xfId="35346" xr:uid="{00000000-0005-0000-0000-0000F3860000}"/>
    <cellStyle name="Normal 11 2 3 4 3 3 2 2 2" xfId="35347" xr:uid="{00000000-0005-0000-0000-0000F4860000}"/>
    <cellStyle name="Normal 11 2 3 4 3 3 2 2 2 2" xfId="35348" xr:uid="{00000000-0005-0000-0000-0000F5860000}"/>
    <cellStyle name="Normal 11 2 3 4 3 3 2 2 3" xfId="35349" xr:uid="{00000000-0005-0000-0000-0000F6860000}"/>
    <cellStyle name="Normal 11 2 3 4 3 3 2 3" xfId="35350" xr:uid="{00000000-0005-0000-0000-0000F7860000}"/>
    <cellStyle name="Normal 11 2 3 4 3 3 2 3 2" xfId="35351" xr:uid="{00000000-0005-0000-0000-0000F8860000}"/>
    <cellStyle name="Normal 11 2 3 4 3 3 2 4" xfId="35352" xr:uid="{00000000-0005-0000-0000-0000F9860000}"/>
    <cellStyle name="Normal 11 2 3 4 3 3 3" xfId="35353" xr:uid="{00000000-0005-0000-0000-0000FA860000}"/>
    <cellStyle name="Normal 11 2 3 4 3 3 3 2" xfId="35354" xr:uid="{00000000-0005-0000-0000-0000FB860000}"/>
    <cellStyle name="Normal 11 2 3 4 3 3 3 2 2" xfId="35355" xr:uid="{00000000-0005-0000-0000-0000FC860000}"/>
    <cellStyle name="Normal 11 2 3 4 3 3 3 2 2 2" xfId="35356" xr:uid="{00000000-0005-0000-0000-0000FD860000}"/>
    <cellStyle name="Normal 11 2 3 4 3 3 3 2 3" xfId="35357" xr:uid="{00000000-0005-0000-0000-0000FE860000}"/>
    <cellStyle name="Normal 11 2 3 4 3 3 3 3" xfId="35358" xr:uid="{00000000-0005-0000-0000-0000FF860000}"/>
    <cellStyle name="Normal 11 2 3 4 3 3 3 3 2" xfId="35359" xr:uid="{00000000-0005-0000-0000-000000870000}"/>
    <cellStyle name="Normal 11 2 3 4 3 3 3 4" xfId="35360" xr:uid="{00000000-0005-0000-0000-000001870000}"/>
    <cellStyle name="Normal 11 2 3 4 3 3 4" xfId="35361" xr:uid="{00000000-0005-0000-0000-000002870000}"/>
    <cellStyle name="Normal 11 2 3 4 3 3 4 2" xfId="35362" xr:uid="{00000000-0005-0000-0000-000003870000}"/>
    <cellStyle name="Normal 11 2 3 4 3 3 4 2 2" xfId="35363" xr:uid="{00000000-0005-0000-0000-000004870000}"/>
    <cellStyle name="Normal 11 2 3 4 3 3 4 3" xfId="35364" xr:uid="{00000000-0005-0000-0000-000005870000}"/>
    <cellStyle name="Normal 11 2 3 4 3 3 5" xfId="35365" xr:uid="{00000000-0005-0000-0000-000006870000}"/>
    <cellStyle name="Normal 11 2 3 4 3 3 5 2" xfId="35366" xr:uid="{00000000-0005-0000-0000-000007870000}"/>
    <cellStyle name="Normal 11 2 3 4 3 3 6" xfId="35367" xr:uid="{00000000-0005-0000-0000-000008870000}"/>
    <cellStyle name="Normal 11 2 3 4 3 3 7" xfId="35344" xr:uid="{00000000-0005-0000-0000-000009870000}"/>
    <cellStyle name="Normal 11 2 3 4 3 4" xfId="35368" xr:uid="{00000000-0005-0000-0000-00000A870000}"/>
    <cellStyle name="Normal 11 2 3 4 3 4 2" xfId="35369" xr:uid="{00000000-0005-0000-0000-00000B870000}"/>
    <cellStyle name="Normal 11 2 3 4 3 4 2 2" xfId="35370" xr:uid="{00000000-0005-0000-0000-00000C870000}"/>
    <cellStyle name="Normal 11 2 3 4 3 4 2 2 2" xfId="35371" xr:uid="{00000000-0005-0000-0000-00000D870000}"/>
    <cellStyle name="Normal 11 2 3 4 3 4 2 2 2 2" xfId="35372" xr:uid="{00000000-0005-0000-0000-00000E870000}"/>
    <cellStyle name="Normal 11 2 3 4 3 4 2 2 3" xfId="35373" xr:uid="{00000000-0005-0000-0000-00000F870000}"/>
    <cellStyle name="Normal 11 2 3 4 3 4 2 3" xfId="35374" xr:uid="{00000000-0005-0000-0000-000010870000}"/>
    <cellStyle name="Normal 11 2 3 4 3 4 2 3 2" xfId="35375" xr:uid="{00000000-0005-0000-0000-000011870000}"/>
    <cellStyle name="Normal 11 2 3 4 3 4 2 4" xfId="35376" xr:uid="{00000000-0005-0000-0000-000012870000}"/>
    <cellStyle name="Normal 11 2 3 4 3 4 3" xfId="35377" xr:uid="{00000000-0005-0000-0000-000013870000}"/>
    <cellStyle name="Normal 11 2 3 4 3 4 3 2" xfId="35378" xr:uid="{00000000-0005-0000-0000-000014870000}"/>
    <cellStyle name="Normal 11 2 3 4 3 4 3 2 2" xfId="35379" xr:uid="{00000000-0005-0000-0000-000015870000}"/>
    <cellStyle name="Normal 11 2 3 4 3 4 3 3" xfId="35380" xr:uid="{00000000-0005-0000-0000-000016870000}"/>
    <cellStyle name="Normal 11 2 3 4 3 4 4" xfId="35381" xr:uid="{00000000-0005-0000-0000-000017870000}"/>
    <cellStyle name="Normal 11 2 3 4 3 4 4 2" xfId="35382" xr:uid="{00000000-0005-0000-0000-000018870000}"/>
    <cellStyle name="Normal 11 2 3 4 3 4 5" xfId="35383" xr:uid="{00000000-0005-0000-0000-000019870000}"/>
    <cellStyle name="Normal 11 2 3 4 3 5" xfId="35384" xr:uid="{00000000-0005-0000-0000-00001A870000}"/>
    <cellStyle name="Normal 11 2 3 4 3 5 2" xfId="35385" xr:uid="{00000000-0005-0000-0000-00001B870000}"/>
    <cellStyle name="Normal 11 2 3 4 3 5 2 2" xfId="35386" xr:uid="{00000000-0005-0000-0000-00001C870000}"/>
    <cellStyle name="Normal 11 2 3 4 3 5 2 2 2" xfId="35387" xr:uid="{00000000-0005-0000-0000-00001D870000}"/>
    <cellStyle name="Normal 11 2 3 4 3 5 2 2 2 2" xfId="35388" xr:uid="{00000000-0005-0000-0000-00001E870000}"/>
    <cellStyle name="Normal 11 2 3 4 3 5 2 2 3" xfId="35389" xr:uid="{00000000-0005-0000-0000-00001F870000}"/>
    <cellStyle name="Normal 11 2 3 4 3 5 2 3" xfId="35390" xr:uid="{00000000-0005-0000-0000-000020870000}"/>
    <cellStyle name="Normal 11 2 3 4 3 5 2 3 2" xfId="35391" xr:uid="{00000000-0005-0000-0000-000021870000}"/>
    <cellStyle name="Normal 11 2 3 4 3 5 2 4" xfId="35392" xr:uid="{00000000-0005-0000-0000-000022870000}"/>
    <cellStyle name="Normal 11 2 3 4 3 5 3" xfId="35393" xr:uid="{00000000-0005-0000-0000-000023870000}"/>
    <cellStyle name="Normal 11 2 3 4 3 5 3 2" xfId="35394" xr:uid="{00000000-0005-0000-0000-000024870000}"/>
    <cellStyle name="Normal 11 2 3 4 3 5 3 2 2" xfId="35395" xr:uid="{00000000-0005-0000-0000-000025870000}"/>
    <cellStyle name="Normal 11 2 3 4 3 5 3 3" xfId="35396" xr:uid="{00000000-0005-0000-0000-000026870000}"/>
    <cellStyle name="Normal 11 2 3 4 3 5 4" xfId="35397" xr:uid="{00000000-0005-0000-0000-000027870000}"/>
    <cellStyle name="Normal 11 2 3 4 3 5 4 2" xfId="35398" xr:uid="{00000000-0005-0000-0000-000028870000}"/>
    <cellStyle name="Normal 11 2 3 4 3 5 5" xfId="35399" xr:uid="{00000000-0005-0000-0000-000029870000}"/>
    <cellStyle name="Normal 11 2 3 4 3 6" xfId="35400" xr:uid="{00000000-0005-0000-0000-00002A870000}"/>
    <cellStyle name="Normal 11 2 3 4 3 6 2" xfId="35401" xr:uid="{00000000-0005-0000-0000-00002B870000}"/>
    <cellStyle name="Normal 11 2 3 4 3 6 2 2" xfId="35402" xr:uid="{00000000-0005-0000-0000-00002C870000}"/>
    <cellStyle name="Normal 11 2 3 4 3 6 2 2 2" xfId="35403" xr:uid="{00000000-0005-0000-0000-00002D870000}"/>
    <cellStyle name="Normal 11 2 3 4 3 6 2 3" xfId="35404" xr:uid="{00000000-0005-0000-0000-00002E870000}"/>
    <cellStyle name="Normal 11 2 3 4 3 6 3" xfId="35405" xr:uid="{00000000-0005-0000-0000-00002F870000}"/>
    <cellStyle name="Normal 11 2 3 4 3 6 3 2" xfId="35406" xr:uid="{00000000-0005-0000-0000-000030870000}"/>
    <cellStyle name="Normal 11 2 3 4 3 6 4" xfId="35407" xr:uid="{00000000-0005-0000-0000-000031870000}"/>
    <cellStyle name="Normal 11 2 3 4 3 7" xfId="35408" xr:uid="{00000000-0005-0000-0000-000032870000}"/>
    <cellStyle name="Normal 11 2 3 4 3 7 2" xfId="35409" xr:uid="{00000000-0005-0000-0000-000033870000}"/>
    <cellStyle name="Normal 11 2 3 4 3 7 2 2" xfId="35410" xr:uid="{00000000-0005-0000-0000-000034870000}"/>
    <cellStyle name="Normal 11 2 3 4 3 7 2 2 2" xfId="35411" xr:uid="{00000000-0005-0000-0000-000035870000}"/>
    <cellStyle name="Normal 11 2 3 4 3 7 2 3" xfId="35412" xr:uid="{00000000-0005-0000-0000-000036870000}"/>
    <cellStyle name="Normal 11 2 3 4 3 7 3" xfId="35413" xr:uid="{00000000-0005-0000-0000-000037870000}"/>
    <cellStyle name="Normal 11 2 3 4 3 7 3 2" xfId="35414" xr:uid="{00000000-0005-0000-0000-000038870000}"/>
    <cellStyle name="Normal 11 2 3 4 3 7 4" xfId="35415" xr:uid="{00000000-0005-0000-0000-000039870000}"/>
    <cellStyle name="Normal 11 2 3 4 3 8" xfId="35416" xr:uid="{00000000-0005-0000-0000-00003A870000}"/>
    <cellStyle name="Normal 11 2 3 4 3 8 2" xfId="35417" xr:uid="{00000000-0005-0000-0000-00003B870000}"/>
    <cellStyle name="Normal 11 2 3 4 3 8 2 2" xfId="35418" xr:uid="{00000000-0005-0000-0000-00003C870000}"/>
    <cellStyle name="Normal 11 2 3 4 3 8 2 2 2" xfId="35419" xr:uid="{00000000-0005-0000-0000-00003D870000}"/>
    <cellStyle name="Normal 11 2 3 4 3 8 2 3" xfId="35420" xr:uid="{00000000-0005-0000-0000-00003E870000}"/>
    <cellStyle name="Normal 11 2 3 4 3 8 3" xfId="35421" xr:uid="{00000000-0005-0000-0000-00003F870000}"/>
    <cellStyle name="Normal 11 2 3 4 3 8 3 2" xfId="35422" xr:uid="{00000000-0005-0000-0000-000040870000}"/>
    <cellStyle name="Normal 11 2 3 4 3 8 4" xfId="35423" xr:uid="{00000000-0005-0000-0000-000041870000}"/>
    <cellStyle name="Normal 11 2 3 4 3 9" xfId="35424" xr:uid="{00000000-0005-0000-0000-000042870000}"/>
    <cellStyle name="Normal 11 2 3 4 3 9 2" xfId="35425" xr:uid="{00000000-0005-0000-0000-000043870000}"/>
    <cellStyle name="Normal 11 2 3 4 3 9 2 2" xfId="35426" xr:uid="{00000000-0005-0000-0000-000044870000}"/>
    <cellStyle name="Normal 11 2 3 4 3 9 3" xfId="35427" xr:uid="{00000000-0005-0000-0000-000045870000}"/>
    <cellStyle name="Normal 11 2 3 4 4" xfId="1021" xr:uid="{00000000-0005-0000-0000-000046870000}"/>
    <cellStyle name="Normal 11 2 3 4 4 10" xfId="35429" xr:uid="{00000000-0005-0000-0000-000047870000}"/>
    <cellStyle name="Normal 11 2 3 4 4 11" xfId="35428" xr:uid="{00000000-0005-0000-0000-000048870000}"/>
    <cellStyle name="Normal 11 2 3 4 4 2" xfId="1750" xr:uid="{00000000-0005-0000-0000-000049870000}"/>
    <cellStyle name="Normal 11 2 3 4 4 2 2" xfId="35431" xr:uid="{00000000-0005-0000-0000-00004A870000}"/>
    <cellStyle name="Normal 11 2 3 4 4 2 2 2" xfId="35432" xr:uid="{00000000-0005-0000-0000-00004B870000}"/>
    <cellStyle name="Normal 11 2 3 4 4 2 2 2 2" xfId="35433" xr:uid="{00000000-0005-0000-0000-00004C870000}"/>
    <cellStyle name="Normal 11 2 3 4 4 2 2 2 2 2" xfId="35434" xr:uid="{00000000-0005-0000-0000-00004D870000}"/>
    <cellStyle name="Normal 11 2 3 4 4 2 2 2 3" xfId="35435" xr:uid="{00000000-0005-0000-0000-00004E870000}"/>
    <cellStyle name="Normal 11 2 3 4 4 2 2 3" xfId="35436" xr:uid="{00000000-0005-0000-0000-00004F870000}"/>
    <cellStyle name="Normal 11 2 3 4 4 2 2 3 2" xfId="35437" xr:uid="{00000000-0005-0000-0000-000050870000}"/>
    <cellStyle name="Normal 11 2 3 4 4 2 2 4" xfId="35438" xr:uid="{00000000-0005-0000-0000-000051870000}"/>
    <cellStyle name="Normal 11 2 3 4 4 2 3" xfId="35439" xr:uid="{00000000-0005-0000-0000-000052870000}"/>
    <cellStyle name="Normal 11 2 3 4 4 2 3 2" xfId="35440" xr:uid="{00000000-0005-0000-0000-000053870000}"/>
    <cellStyle name="Normal 11 2 3 4 4 2 3 2 2" xfId="35441" xr:uid="{00000000-0005-0000-0000-000054870000}"/>
    <cellStyle name="Normal 11 2 3 4 4 2 3 2 2 2" xfId="35442" xr:uid="{00000000-0005-0000-0000-000055870000}"/>
    <cellStyle name="Normal 11 2 3 4 4 2 3 2 3" xfId="35443" xr:uid="{00000000-0005-0000-0000-000056870000}"/>
    <cellStyle name="Normal 11 2 3 4 4 2 3 3" xfId="35444" xr:uid="{00000000-0005-0000-0000-000057870000}"/>
    <cellStyle name="Normal 11 2 3 4 4 2 3 3 2" xfId="35445" xr:uid="{00000000-0005-0000-0000-000058870000}"/>
    <cellStyle name="Normal 11 2 3 4 4 2 3 4" xfId="35446" xr:uid="{00000000-0005-0000-0000-000059870000}"/>
    <cellStyle name="Normal 11 2 3 4 4 2 4" xfId="35447" xr:uid="{00000000-0005-0000-0000-00005A870000}"/>
    <cellStyle name="Normal 11 2 3 4 4 2 4 2" xfId="35448" xr:uid="{00000000-0005-0000-0000-00005B870000}"/>
    <cellStyle name="Normal 11 2 3 4 4 2 4 2 2" xfId="35449" xr:uid="{00000000-0005-0000-0000-00005C870000}"/>
    <cellStyle name="Normal 11 2 3 4 4 2 4 3" xfId="35450" xr:uid="{00000000-0005-0000-0000-00005D870000}"/>
    <cellStyle name="Normal 11 2 3 4 4 2 5" xfId="35451" xr:uid="{00000000-0005-0000-0000-00005E870000}"/>
    <cellStyle name="Normal 11 2 3 4 4 2 5 2" xfId="35452" xr:uid="{00000000-0005-0000-0000-00005F870000}"/>
    <cellStyle name="Normal 11 2 3 4 4 2 6" xfId="35453" xr:uid="{00000000-0005-0000-0000-000060870000}"/>
    <cellStyle name="Normal 11 2 3 4 4 2 7" xfId="35430" xr:uid="{00000000-0005-0000-0000-000061870000}"/>
    <cellStyle name="Normal 11 2 3 4 4 3" xfId="35454" xr:uid="{00000000-0005-0000-0000-000062870000}"/>
    <cellStyle name="Normal 11 2 3 4 4 3 2" xfId="35455" xr:uid="{00000000-0005-0000-0000-000063870000}"/>
    <cellStyle name="Normal 11 2 3 4 4 3 2 2" xfId="35456" xr:uid="{00000000-0005-0000-0000-000064870000}"/>
    <cellStyle name="Normal 11 2 3 4 4 3 2 2 2" xfId="35457" xr:uid="{00000000-0005-0000-0000-000065870000}"/>
    <cellStyle name="Normal 11 2 3 4 4 3 2 2 2 2" xfId="35458" xr:uid="{00000000-0005-0000-0000-000066870000}"/>
    <cellStyle name="Normal 11 2 3 4 4 3 2 2 3" xfId="35459" xr:uid="{00000000-0005-0000-0000-000067870000}"/>
    <cellStyle name="Normal 11 2 3 4 4 3 2 3" xfId="35460" xr:uid="{00000000-0005-0000-0000-000068870000}"/>
    <cellStyle name="Normal 11 2 3 4 4 3 2 3 2" xfId="35461" xr:uid="{00000000-0005-0000-0000-000069870000}"/>
    <cellStyle name="Normal 11 2 3 4 4 3 2 4" xfId="35462" xr:uid="{00000000-0005-0000-0000-00006A870000}"/>
    <cellStyle name="Normal 11 2 3 4 4 3 3" xfId="35463" xr:uid="{00000000-0005-0000-0000-00006B870000}"/>
    <cellStyle name="Normal 11 2 3 4 4 3 3 2" xfId="35464" xr:uid="{00000000-0005-0000-0000-00006C870000}"/>
    <cellStyle name="Normal 11 2 3 4 4 3 3 2 2" xfId="35465" xr:uid="{00000000-0005-0000-0000-00006D870000}"/>
    <cellStyle name="Normal 11 2 3 4 4 3 3 3" xfId="35466" xr:uid="{00000000-0005-0000-0000-00006E870000}"/>
    <cellStyle name="Normal 11 2 3 4 4 3 4" xfId="35467" xr:uid="{00000000-0005-0000-0000-00006F870000}"/>
    <cellStyle name="Normal 11 2 3 4 4 3 4 2" xfId="35468" xr:uid="{00000000-0005-0000-0000-000070870000}"/>
    <cellStyle name="Normal 11 2 3 4 4 3 5" xfId="35469" xr:uid="{00000000-0005-0000-0000-000071870000}"/>
    <cellStyle name="Normal 11 2 3 4 4 4" xfId="35470" xr:uid="{00000000-0005-0000-0000-000072870000}"/>
    <cellStyle name="Normal 11 2 3 4 4 4 2" xfId="35471" xr:uid="{00000000-0005-0000-0000-000073870000}"/>
    <cellStyle name="Normal 11 2 3 4 4 4 2 2" xfId="35472" xr:uid="{00000000-0005-0000-0000-000074870000}"/>
    <cellStyle name="Normal 11 2 3 4 4 4 2 2 2" xfId="35473" xr:uid="{00000000-0005-0000-0000-000075870000}"/>
    <cellStyle name="Normal 11 2 3 4 4 4 2 2 2 2" xfId="35474" xr:uid="{00000000-0005-0000-0000-000076870000}"/>
    <cellStyle name="Normal 11 2 3 4 4 4 2 2 3" xfId="35475" xr:uid="{00000000-0005-0000-0000-000077870000}"/>
    <cellStyle name="Normal 11 2 3 4 4 4 2 3" xfId="35476" xr:uid="{00000000-0005-0000-0000-000078870000}"/>
    <cellStyle name="Normal 11 2 3 4 4 4 2 3 2" xfId="35477" xr:uid="{00000000-0005-0000-0000-000079870000}"/>
    <cellStyle name="Normal 11 2 3 4 4 4 2 4" xfId="35478" xr:uid="{00000000-0005-0000-0000-00007A870000}"/>
    <cellStyle name="Normal 11 2 3 4 4 4 3" xfId="35479" xr:uid="{00000000-0005-0000-0000-00007B870000}"/>
    <cellStyle name="Normal 11 2 3 4 4 4 3 2" xfId="35480" xr:uid="{00000000-0005-0000-0000-00007C870000}"/>
    <cellStyle name="Normal 11 2 3 4 4 4 3 2 2" xfId="35481" xr:uid="{00000000-0005-0000-0000-00007D870000}"/>
    <cellStyle name="Normal 11 2 3 4 4 4 3 3" xfId="35482" xr:uid="{00000000-0005-0000-0000-00007E870000}"/>
    <cellStyle name="Normal 11 2 3 4 4 4 4" xfId="35483" xr:uid="{00000000-0005-0000-0000-00007F870000}"/>
    <cellStyle name="Normal 11 2 3 4 4 4 4 2" xfId="35484" xr:uid="{00000000-0005-0000-0000-000080870000}"/>
    <cellStyle name="Normal 11 2 3 4 4 4 5" xfId="35485" xr:uid="{00000000-0005-0000-0000-000081870000}"/>
    <cellStyle name="Normal 11 2 3 4 4 5" xfId="35486" xr:uid="{00000000-0005-0000-0000-000082870000}"/>
    <cellStyle name="Normal 11 2 3 4 4 5 2" xfId="35487" xr:uid="{00000000-0005-0000-0000-000083870000}"/>
    <cellStyle name="Normal 11 2 3 4 4 5 2 2" xfId="35488" xr:uid="{00000000-0005-0000-0000-000084870000}"/>
    <cellStyle name="Normal 11 2 3 4 4 5 2 2 2" xfId="35489" xr:uid="{00000000-0005-0000-0000-000085870000}"/>
    <cellStyle name="Normal 11 2 3 4 4 5 2 3" xfId="35490" xr:uid="{00000000-0005-0000-0000-000086870000}"/>
    <cellStyle name="Normal 11 2 3 4 4 5 3" xfId="35491" xr:uid="{00000000-0005-0000-0000-000087870000}"/>
    <cellStyle name="Normal 11 2 3 4 4 5 3 2" xfId="35492" xr:uid="{00000000-0005-0000-0000-000088870000}"/>
    <cellStyle name="Normal 11 2 3 4 4 5 4" xfId="35493" xr:uid="{00000000-0005-0000-0000-000089870000}"/>
    <cellStyle name="Normal 11 2 3 4 4 6" xfId="35494" xr:uid="{00000000-0005-0000-0000-00008A870000}"/>
    <cellStyle name="Normal 11 2 3 4 4 6 2" xfId="35495" xr:uid="{00000000-0005-0000-0000-00008B870000}"/>
    <cellStyle name="Normal 11 2 3 4 4 6 2 2" xfId="35496" xr:uid="{00000000-0005-0000-0000-00008C870000}"/>
    <cellStyle name="Normal 11 2 3 4 4 6 2 2 2" xfId="35497" xr:uid="{00000000-0005-0000-0000-00008D870000}"/>
    <cellStyle name="Normal 11 2 3 4 4 6 2 3" xfId="35498" xr:uid="{00000000-0005-0000-0000-00008E870000}"/>
    <cellStyle name="Normal 11 2 3 4 4 6 3" xfId="35499" xr:uid="{00000000-0005-0000-0000-00008F870000}"/>
    <cellStyle name="Normal 11 2 3 4 4 6 3 2" xfId="35500" xr:uid="{00000000-0005-0000-0000-000090870000}"/>
    <cellStyle name="Normal 11 2 3 4 4 6 4" xfId="35501" xr:uid="{00000000-0005-0000-0000-000091870000}"/>
    <cellStyle name="Normal 11 2 3 4 4 7" xfId="35502" xr:uid="{00000000-0005-0000-0000-000092870000}"/>
    <cellStyle name="Normal 11 2 3 4 4 7 2" xfId="35503" xr:uid="{00000000-0005-0000-0000-000093870000}"/>
    <cellStyle name="Normal 11 2 3 4 4 7 2 2" xfId="35504" xr:uid="{00000000-0005-0000-0000-000094870000}"/>
    <cellStyle name="Normal 11 2 3 4 4 7 2 2 2" xfId="35505" xr:uid="{00000000-0005-0000-0000-000095870000}"/>
    <cellStyle name="Normal 11 2 3 4 4 7 2 3" xfId="35506" xr:uid="{00000000-0005-0000-0000-000096870000}"/>
    <cellStyle name="Normal 11 2 3 4 4 7 3" xfId="35507" xr:uid="{00000000-0005-0000-0000-000097870000}"/>
    <cellStyle name="Normal 11 2 3 4 4 7 3 2" xfId="35508" xr:uid="{00000000-0005-0000-0000-000098870000}"/>
    <cellStyle name="Normal 11 2 3 4 4 7 4" xfId="35509" xr:uid="{00000000-0005-0000-0000-000099870000}"/>
    <cellStyle name="Normal 11 2 3 4 4 8" xfId="35510" xr:uid="{00000000-0005-0000-0000-00009A870000}"/>
    <cellStyle name="Normal 11 2 3 4 4 8 2" xfId="35511" xr:uid="{00000000-0005-0000-0000-00009B870000}"/>
    <cellStyle name="Normal 11 2 3 4 4 8 2 2" xfId="35512" xr:uid="{00000000-0005-0000-0000-00009C870000}"/>
    <cellStyle name="Normal 11 2 3 4 4 8 3" xfId="35513" xr:uid="{00000000-0005-0000-0000-00009D870000}"/>
    <cellStyle name="Normal 11 2 3 4 4 9" xfId="35514" xr:uid="{00000000-0005-0000-0000-00009E870000}"/>
    <cellStyle name="Normal 11 2 3 4 4 9 2" xfId="35515" xr:uid="{00000000-0005-0000-0000-00009F870000}"/>
    <cellStyle name="Normal 11 2 3 4 5" xfId="1423" xr:uid="{00000000-0005-0000-0000-0000A0870000}"/>
    <cellStyle name="Normal 11 2 3 4 5 2" xfId="35517" xr:uid="{00000000-0005-0000-0000-0000A1870000}"/>
    <cellStyle name="Normal 11 2 3 4 5 2 2" xfId="35518" xr:uid="{00000000-0005-0000-0000-0000A2870000}"/>
    <cellStyle name="Normal 11 2 3 4 5 2 2 2" xfId="35519" xr:uid="{00000000-0005-0000-0000-0000A3870000}"/>
    <cellStyle name="Normal 11 2 3 4 5 2 2 2 2" xfId="35520" xr:uid="{00000000-0005-0000-0000-0000A4870000}"/>
    <cellStyle name="Normal 11 2 3 4 5 2 2 3" xfId="35521" xr:uid="{00000000-0005-0000-0000-0000A5870000}"/>
    <cellStyle name="Normal 11 2 3 4 5 2 3" xfId="35522" xr:uid="{00000000-0005-0000-0000-0000A6870000}"/>
    <cellStyle name="Normal 11 2 3 4 5 2 3 2" xfId="35523" xr:uid="{00000000-0005-0000-0000-0000A7870000}"/>
    <cellStyle name="Normal 11 2 3 4 5 2 4" xfId="35524" xr:uid="{00000000-0005-0000-0000-0000A8870000}"/>
    <cellStyle name="Normal 11 2 3 4 5 3" xfId="35525" xr:uid="{00000000-0005-0000-0000-0000A9870000}"/>
    <cellStyle name="Normal 11 2 3 4 5 3 2" xfId="35526" xr:uid="{00000000-0005-0000-0000-0000AA870000}"/>
    <cellStyle name="Normal 11 2 3 4 5 3 2 2" xfId="35527" xr:uid="{00000000-0005-0000-0000-0000AB870000}"/>
    <cellStyle name="Normal 11 2 3 4 5 3 2 2 2" xfId="35528" xr:uid="{00000000-0005-0000-0000-0000AC870000}"/>
    <cellStyle name="Normal 11 2 3 4 5 3 2 3" xfId="35529" xr:uid="{00000000-0005-0000-0000-0000AD870000}"/>
    <cellStyle name="Normal 11 2 3 4 5 3 3" xfId="35530" xr:uid="{00000000-0005-0000-0000-0000AE870000}"/>
    <cellStyle name="Normal 11 2 3 4 5 3 3 2" xfId="35531" xr:uid="{00000000-0005-0000-0000-0000AF870000}"/>
    <cellStyle name="Normal 11 2 3 4 5 3 4" xfId="35532" xr:uid="{00000000-0005-0000-0000-0000B0870000}"/>
    <cellStyle name="Normal 11 2 3 4 5 4" xfId="35533" xr:uid="{00000000-0005-0000-0000-0000B1870000}"/>
    <cellStyle name="Normal 11 2 3 4 5 4 2" xfId="35534" xr:uid="{00000000-0005-0000-0000-0000B2870000}"/>
    <cellStyle name="Normal 11 2 3 4 5 4 2 2" xfId="35535" xr:uid="{00000000-0005-0000-0000-0000B3870000}"/>
    <cellStyle name="Normal 11 2 3 4 5 4 3" xfId="35536" xr:uid="{00000000-0005-0000-0000-0000B4870000}"/>
    <cellStyle name="Normal 11 2 3 4 5 5" xfId="35537" xr:uid="{00000000-0005-0000-0000-0000B5870000}"/>
    <cellStyle name="Normal 11 2 3 4 5 5 2" xfId="35538" xr:uid="{00000000-0005-0000-0000-0000B6870000}"/>
    <cellStyle name="Normal 11 2 3 4 5 6" xfId="35539" xr:uid="{00000000-0005-0000-0000-0000B7870000}"/>
    <cellStyle name="Normal 11 2 3 4 5 7" xfId="35516" xr:uid="{00000000-0005-0000-0000-0000B8870000}"/>
    <cellStyle name="Normal 11 2 3 4 6" xfId="35540" xr:uid="{00000000-0005-0000-0000-0000B9870000}"/>
    <cellStyle name="Normal 11 2 3 4 6 2" xfId="35541" xr:uid="{00000000-0005-0000-0000-0000BA870000}"/>
    <cellStyle name="Normal 11 2 3 4 6 2 2" xfId="35542" xr:uid="{00000000-0005-0000-0000-0000BB870000}"/>
    <cellStyle name="Normal 11 2 3 4 6 2 2 2" xfId="35543" xr:uid="{00000000-0005-0000-0000-0000BC870000}"/>
    <cellStyle name="Normal 11 2 3 4 6 2 2 2 2" xfId="35544" xr:uid="{00000000-0005-0000-0000-0000BD870000}"/>
    <cellStyle name="Normal 11 2 3 4 6 2 2 3" xfId="35545" xr:uid="{00000000-0005-0000-0000-0000BE870000}"/>
    <cellStyle name="Normal 11 2 3 4 6 2 3" xfId="35546" xr:uid="{00000000-0005-0000-0000-0000BF870000}"/>
    <cellStyle name="Normal 11 2 3 4 6 2 3 2" xfId="35547" xr:uid="{00000000-0005-0000-0000-0000C0870000}"/>
    <cellStyle name="Normal 11 2 3 4 6 2 4" xfId="35548" xr:uid="{00000000-0005-0000-0000-0000C1870000}"/>
    <cellStyle name="Normal 11 2 3 4 6 3" xfId="35549" xr:uid="{00000000-0005-0000-0000-0000C2870000}"/>
    <cellStyle name="Normal 11 2 3 4 6 3 2" xfId="35550" xr:uid="{00000000-0005-0000-0000-0000C3870000}"/>
    <cellStyle name="Normal 11 2 3 4 6 3 2 2" xfId="35551" xr:uid="{00000000-0005-0000-0000-0000C4870000}"/>
    <cellStyle name="Normal 11 2 3 4 6 3 3" xfId="35552" xr:uid="{00000000-0005-0000-0000-0000C5870000}"/>
    <cellStyle name="Normal 11 2 3 4 6 4" xfId="35553" xr:uid="{00000000-0005-0000-0000-0000C6870000}"/>
    <cellStyle name="Normal 11 2 3 4 6 4 2" xfId="35554" xr:uid="{00000000-0005-0000-0000-0000C7870000}"/>
    <cellStyle name="Normal 11 2 3 4 6 5" xfId="35555" xr:uid="{00000000-0005-0000-0000-0000C8870000}"/>
    <cellStyle name="Normal 11 2 3 4 7" xfId="35556" xr:uid="{00000000-0005-0000-0000-0000C9870000}"/>
    <cellStyle name="Normal 11 2 3 4 7 2" xfId="35557" xr:uid="{00000000-0005-0000-0000-0000CA870000}"/>
    <cellStyle name="Normal 11 2 3 4 7 2 2" xfId="35558" xr:uid="{00000000-0005-0000-0000-0000CB870000}"/>
    <cellStyle name="Normal 11 2 3 4 7 2 2 2" xfId="35559" xr:uid="{00000000-0005-0000-0000-0000CC870000}"/>
    <cellStyle name="Normal 11 2 3 4 7 2 2 2 2" xfId="35560" xr:uid="{00000000-0005-0000-0000-0000CD870000}"/>
    <cellStyle name="Normal 11 2 3 4 7 2 2 3" xfId="35561" xr:uid="{00000000-0005-0000-0000-0000CE870000}"/>
    <cellStyle name="Normal 11 2 3 4 7 2 3" xfId="35562" xr:uid="{00000000-0005-0000-0000-0000CF870000}"/>
    <cellStyle name="Normal 11 2 3 4 7 2 3 2" xfId="35563" xr:uid="{00000000-0005-0000-0000-0000D0870000}"/>
    <cellStyle name="Normal 11 2 3 4 7 2 4" xfId="35564" xr:uid="{00000000-0005-0000-0000-0000D1870000}"/>
    <cellStyle name="Normal 11 2 3 4 7 3" xfId="35565" xr:uid="{00000000-0005-0000-0000-0000D2870000}"/>
    <cellStyle name="Normal 11 2 3 4 7 3 2" xfId="35566" xr:uid="{00000000-0005-0000-0000-0000D3870000}"/>
    <cellStyle name="Normal 11 2 3 4 7 3 2 2" xfId="35567" xr:uid="{00000000-0005-0000-0000-0000D4870000}"/>
    <cellStyle name="Normal 11 2 3 4 7 3 3" xfId="35568" xr:uid="{00000000-0005-0000-0000-0000D5870000}"/>
    <cellStyle name="Normal 11 2 3 4 7 4" xfId="35569" xr:uid="{00000000-0005-0000-0000-0000D6870000}"/>
    <cellStyle name="Normal 11 2 3 4 7 4 2" xfId="35570" xr:uid="{00000000-0005-0000-0000-0000D7870000}"/>
    <cellStyle name="Normal 11 2 3 4 7 5" xfId="35571" xr:uid="{00000000-0005-0000-0000-0000D8870000}"/>
    <cellStyle name="Normal 11 2 3 4 8" xfId="35572" xr:uid="{00000000-0005-0000-0000-0000D9870000}"/>
    <cellStyle name="Normal 11 2 3 4 8 2" xfId="35573" xr:uid="{00000000-0005-0000-0000-0000DA870000}"/>
    <cellStyle name="Normal 11 2 3 4 8 2 2" xfId="35574" xr:uid="{00000000-0005-0000-0000-0000DB870000}"/>
    <cellStyle name="Normal 11 2 3 4 8 2 2 2" xfId="35575" xr:uid="{00000000-0005-0000-0000-0000DC870000}"/>
    <cellStyle name="Normal 11 2 3 4 8 2 3" xfId="35576" xr:uid="{00000000-0005-0000-0000-0000DD870000}"/>
    <cellStyle name="Normal 11 2 3 4 8 3" xfId="35577" xr:uid="{00000000-0005-0000-0000-0000DE870000}"/>
    <cellStyle name="Normal 11 2 3 4 8 3 2" xfId="35578" xr:uid="{00000000-0005-0000-0000-0000DF870000}"/>
    <cellStyle name="Normal 11 2 3 4 8 4" xfId="35579" xr:uid="{00000000-0005-0000-0000-0000E0870000}"/>
    <cellStyle name="Normal 11 2 3 4 9" xfId="35580" xr:uid="{00000000-0005-0000-0000-0000E1870000}"/>
    <cellStyle name="Normal 11 2 3 4 9 2" xfId="35581" xr:uid="{00000000-0005-0000-0000-0000E2870000}"/>
    <cellStyle name="Normal 11 2 3 4 9 2 2" xfId="35582" xr:uid="{00000000-0005-0000-0000-0000E3870000}"/>
    <cellStyle name="Normal 11 2 3 4 9 2 2 2" xfId="35583" xr:uid="{00000000-0005-0000-0000-0000E4870000}"/>
    <cellStyle name="Normal 11 2 3 4 9 2 3" xfId="35584" xr:uid="{00000000-0005-0000-0000-0000E5870000}"/>
    <cellStyle name="Normal 11 2 3 4 9 3" xfId="35585" xr:uid="{00000000-0005-0000-0000-0000E6870000}"/>
    <cellStyle name="Normal 11 2 3 4 9 3 2" xfId="35586" xr:uid="{00000000-0005-0000-0000-0000E7870000}"/>
    <cellStyle name="Normal 11 2 3 4 9 4" xfId="35587" xr:uid="{00000000-0005-0000-0000-0000E8870000}"/>
    <cellStyle name="Normal 11 2 3 5" xfId="582" xr:uid="{00000000-0005-0000-0000-0000E9870000}"/>
    <cellStyle name="Normal 11 2 3 5 10" xfId="35589" xr:uid="{00000000-0005-0000-0000-0000EA870000}"/>
    <cellStyle name="Normal 11 2 3 5 10 2" xfId="35590" xr:uid="{00000000-0005-0000-0000-0000EB870000}"/>
    <cellStyle name="Normal 11 2 3 5 10 2 2" xfId="35591" xr:uid="{00000000-0005-0000-0000-0000EC870000}"/>
    <cellStyle name="Normal 11 2 3 5 10 3" xfId="35592" xr:uid="{00000000-0005-0000-0000-0000ED870000}"/>
    <cellStyle name="Normal 11 2 3 5 11" xfId="35593" xr:uid="{00000000-0005-0000-0000-0000EE870000}"/>
    <cellStyle name="Normal 11 2 3 5 11 2" xfId="35594" xr:uid="{00000000-0005-0000-0000-0000EF870000}"/>
    <cellStyle name="Normal 11 2 3 5 11 2 2" xfId="35595" xr:uid="{00000000-0005-0000-0000-0000F0870000}"/>
    <cellStyle name="Normal 11 2 3 5 11 3" xfId="35596" xr:uid="{00000000-0005-0000-0000-0000F1870000}"/>
    <cellStyle name="Normal 11 2 3 5 12" xfId="35597" xr:uid="{00000000-0005-0000-0000-0000F2870000}"/>
    <cellStyle name="Normal 11 2 3 5 12 2" xfId="35598" xr:uid="{00000000-0005-0000-0000-0000F3870000}"/>
    <cellStyle name="Normal 11 2 3 5 13" xfId="35599" xr:uid="{00000000-0005-0000-0000-0000F4870000}"/>
    <cellStyle name="Normal 11 2 3 5 14" xfId="35600" xr:uid="{00000000-0005-0000-0000-0000F5870000}"/>
    <cellStyle name="Normal 11 2 3 5 15" xfId="35588" xr:uid="{00000000-0005-0000-0000-0000F6870000}"/>
    <cellStyle name="Normal 11 2 3 5 2" xfId="1024" xr:uid="{00000000-0005-0000-0000-0000F7870000}"/>
    <cellStyle name="Normal 11 2 3 5 2 10" xfId="35602" xr:uid="{00000000-0005-0000-0000-0000F8870000}"/>
    <cellStyle name="Normal 11 2 3 5 2 11" xfId="35601" xr:uid="{00000000-0005-0000-0000-0000F9870000}"/>
    <cellStyle name="Normal 11 2 3 5 2 2" xfId="1753" xr:uid="{00000000-0005-0000-0000-0000FA870000}"/>
    <cellStyle name="Normal 11 2 3 5 2 2 2" xfId="35604" xr:uid="{00000000-0005-0000-0000-0000FB870000}"/>
    <cellStyle name="Normal 11 2 3 5 2 2 2 2" xfId="35605" xr:uid="{00000000-0005-0000-0000-0000FC870000}"/>
    <cellStyle name="Normal 11 2 3 5 2 2 2 2 2" xfId="35606" xr:uid="{00000000-0005-0000-0000-0000FD870000}"/>
    <cellStyle name="Normal 11 2 3 5 2 2 2 2 2 2" xfId="35607" xr:uid="{00000000-0005-0000-0000-0000FE870000}"/>
    <cellStyle name="Normal 11 2 3 5 2 2 2 2 3" xfId="35608" xr:uid="{00000000-0005-0000-0000-0000FF870000}"/>
    <cellStyle name="Normal 11 2 3 5 2 2 2 3" xfId="35609" xr:uid="{00000000-0005-0000-0000-000000880000}"/>
    <cellStyle name="Normal 11 2 3 5 2 2 2 3 2" xfId="35610" xr:uid="{00000000-0005-0000-0000-000001880000}"/>
    <cellStyle name="Normal 11 2 3 5 2 2 2 4" xfId="35611" xr:uid="{00000000-0005-0000-0000-000002880000}"/>
    <cellStyle name="Normal 11 2 3 5 2 2 3" xfId="35612" xr:uid="{00000000-0005-0000-0000-000003880000}"/>
    <cellStyle name="Normal 11 2 3 5 2 2 3 2" xfId="35613" xr:uid="{00000000-0005-0000-0000-000004880000}"/>
    <cellStyle name="Normal 11 2 3 5 2 2 3 2 2" xfId="35614" xr:uid="{00000000-0005-0000-0000-000005880000}"/>
    <cellStyle name="Normal 11 2 3 5 2 2 3 2 2 2" xfId="35615" xr:uid="{00000000-0005-0000-0000-000006880000}"/>
    <cellStyle name="Normal 11 2 3 5 2 2 3 2 3" xfId="35616" xr:uid="{00000000-0005-0000-0000-000007880000}"/>
    <cellStyle name="Normal 11 2 3 5 2 2 3 3" xfId="35617" xr:uid="{00000000-0005-0000-0000-000008880000}"/>
    <cellStyle name="Normal 11 2 3 5 2 2 3 3 2" xfId="35618" xr:uid="{00000000-0005-0000-0000-000009880000}"/>
    <cellStyle name="Normal 11 2 3 5 2 2 3 4" xfId="35619" xr:uid="{00000000-0005-0000-0000-00000A880000}"/>
    <cellStyle name="Normal 11 2 3 5 2 2 4" xfId="35620" xr:uid="{00000000-0005-0000-0000-00000B880000}"/>
    <cellStyle name="Normal 11 2 3 5 2 2 4 2" xfId="35621" xr:uid="{00000000-0005-0000-0000-00000C880000}"/>
    <cellStyle name="Normal 11 2 3 5 2 2 4 2 2" xfId="35622" xr:uid="{00000000-0005-0000-0000-00000D880000}"/>
    <cellStyle name="Normal 11 2 3 5 2 2 4 3" xfId="35623" xr:uid="{00000000-0005-0000-0000-00000E880000}"/>
    <cellStyle name="Normal 11 2 3 5 2 2 5" xfId="35624" xr:uid="{00000000-0005-0000-0000-00000F880000}"/>
    <cellStyle name="Normal 11 2 3 5 2 2 5 2" xfId="35625" xr:uid="{00000000-0005-0000-0000-000010880000}"/>
    <cellStyle name="Normal 11 2 3 5 2 2 6" xfId="35626" xr:uid="{00000000-0005-0000-0000-000011880000}"/>
    <cellStyle name="Normal 11 2 3 5 2 2 7" xfId="35603" xr:uid="{00000000-0005-0000-0000-000012880000}"/>
    <cellStyle name="Normal 11 2 3 5 2 3" xfId="35627" xr:uid="{00000000-0005-0000-0000-000013880000}"/>
    <cellStyle name="Normal 11 2 3 5 2 3 2" xfId="35628" xr:uid="{00000000-0005-0000-0000-000014880000}"/>
    <cellStyle name="Normal 11 2 3 5 2 3 2 2" xfId="35629" xr:uid="{00000000-0005-0000-0000-000015880000}"/>
    <cellStyle name="Normal 11 2 3 5 2 3 2 2 2" xfId="35630" xr:uid="{00000000-0005-0000-0000-000016880000}"/>
    <cellStyle name="Normal 11 2 3 5 2 3 2 2 2 2" xfId="35631" xr:uid="{00000000-0005-0000-0000-000017880000}"/>
    <cellStyle name="Normal 11 2 3 5 2 3 2 2 3" xfId="35632" xr:uid="{00000000-0005-0000-0000-000018880000}"/>
    <cellStyle name="Normal 11 2 3 5 2 3 2 3" xfId="35633" xr:uid="{00000000-0005-0000-0000-000019880000}"/>
    <cellStyle name="Normal 11 2 3 5 2 3 2 3 2" xfId="35634" xr:uid="{00000000-0005-0000-0000-00001A880000}"/>
    <cellStyle name="Normal 11 2 3 5 2 3 2 4" xfId="35635" xr:uid="{00000000-0005-0000-0000-00001B880000}"/>
    <cellStyle name="Normal 11 2 3 5 2 3 3" xfId="35636" xr:uid="{00000000-0005-0000-0000-00001C880000}"/>
    <cellStyle name="Normal 11 2 3 5 2 3 3 2" xfId="35637" xr:uid="{00000000-0005-0000-0000-00001D880000}"/>
    <cellStyle name="Normal 11 2 3 5 2 3 3 2 2" xfId="35638" xr:uid="{00000000-0005-0000-0000-00001E880000}"/>
    <cellStyle name="Normal 11 2 3 5 2 3 3 3" xfId="35639" xr:uid="{00000000-0005-0000-0000-00001F880000}"/>
    <cellStyle name="Normal 11 2 3 5 2 3 4" xfId="35640" xr:uid="{00000000-0005-0000-0000-000020880000}"/>
    <cellStyle name="Normal 11 2 3 5 2 3 4 2" xfId="35641" xr:uid="{00000000-0005-0000-0000-000021880000}"/>
    <cellStyle name="Normal 11 2 3 5 2 3 5" xfId="35642" xr:uid="{00000000-0005-0000-0000-000022880000}"/>
    <cellStyle name="Normal 11 2 3 5 2 4" xfId="35643" xr:uid="{00000000-0005-0000-0000-000023880000}"/>
    <cellStyle name="Normal 11 2 3 5 2 4 2" xfId="35644" xr:uid="{00000000-0005-0000-0000-000024880000}"/>
    <cellStyle name="Normal 11 2 3 5 2 4 2 2" xfId="35645" xr:uid="{00000000-0005-0000-0000-000025880000}"/>
    <cellStyle name="Normal 11 2 3 5 2 4 2 2 2" xfId="35646" xr:uid="{00000000-0005-0000-0000-000026880000}"/>
    <cellStyle name="Normal 11 2 3 5 2 4 2 2 2 2" xfId="35647" xr:uid="{00000000-0005-0000-0000-000027880000}"/>
    <cellStyle name="Normal 11 2 3 5 2 4 2 2 3" xfId="35648" xr:uid="{00000000-0005-0000-0000-000028880000}"/>
    <cellStyle name="Normal 11 2 3 5 2 4 2 3" xfId="35649" xr:uid="{00000000-0005-0000-0000-000029880000}"/>
    <cellStyle name="Normal 11 2 3 5 2 4 2 3 2" xfId="35650" xr:uid="{00000000-0005-0000-0000-00002A880000}"/>
    <cellStyle name="Normal 11 2 3 5 2 4 2 4" xfId="35651" xr:uid="{00000000-0005-0000-0000-00002B880000}"/>
    <cellStyle name="Normal 11 2 3 5 2 4 3" xfId="35652" xr:uid="{00000000-0005-0000-0000-00002C880000}"/>
    <cellStyle name="Normal 11 2 3 5 2 4 3 2" xfId="35653" xr:uid="{00000000-0005-0000-0000-00002D880000}"/>
    <cellStyle name="Normal 11 2 3 5 2 4 3 2 2" xfId="35654" xr:uid="{00000000-0005-0000-0000-00002E880000}"/>
    <cellStyle name="Normal 11 2 3 5 2 4 3 3" xfId="35655" xr:uid="{00000000-0005-0000-0000-00002F880000}"/>
    <cellStyle name="Normal 11 2 3 5 2 4 4" xfId="35656" xr:uid="{00000000-0005-0000-0000-000030880000}"/>
    <cellStyle name="Normal 11 2 3 5 2 4 4 2" xfId="35657" xr:uid="{00000000-0005-0000-0000-000031880000}"/>
    <cellStyle name="Normal 11 2 3 5 2 4 5" xfId="35658" xr:uid="{00000000-0005-0000-0000-000032880000}"/>
    <cellStyle name="Normal 11 2 3 5 2 5" xfId="35659" xr:uid="{00000000-0005-0000-0000-000033880000}"/>
    <cellStyle name="Normal 11 2 3 5 2 5 2" xfId="35660" xr:uid="{00000000-0005-0000-0000-000034880000}"/>
    <cellStyle name="Normal 11 2 3 5 2 5 2 2" xfId="35661" xr:uid="{00000000-0005-0000-0000-000035880000}"/>
    <cellStyle name="Normal 11 2 3 5 2 5 2 2 2" xfId="35662" xr:uid="{00000000-0005-0000-0000-000036880000}"/>
    <cellStyle name="Normal 11 2 3 5 2 5 2 3" xfId="35663" xr:uid="{00000000-0005-0000-0000-000037880000}"/>
    <cellStyle name="Normal 11 2 3 5 2 5 3" xfId="35664" xr:uid="{00000000-0005-0000-0000-000038880000}"/>
    <cellStyle name="Normal 11 2 3 5 2 5 3 2" xfId="35665" xr:uid="{00000000-0005-0000-0000-000039880000}"/>
    <cellStyle name="Normal 11 2 3 5 2 5 4" xfId="35666" xr:uid="{00000000-0005-0000-0000-00003A880000}"/>
    <cellStyle name="Normal 11 2 3 5 2 6" xfId="35667" xr:uid="{00000000-0005-0000-0000-00003B880000}"/>
    <cellStyle name="Normal 11 2 3 5 2 6 2" xfId="35668" xr:uid="{00000000-0005-0000-0000-00003C880000}"/>
    <cellStyle name="Normal 11 2 3 5 2 6 2 2" xfId="35669" xr:uid="{00000000-0005-0000-0000-00003D880000}"/>
    <cellStyle name="Normal 11 2 3 5 2 6 2 2 2" xfId="35670" xr:uid="{00000000-0005-0000-0000-00003E880000}"/>
    <cellStyle name="Normal 11 2 3 5 2 6 2 3" xfId="35671" xr:uid="{00000000-0005-0000-0000-00003F880000}"/>
    <cellStyle name="Normal 11 2 3 5 2 6 3" xfId="35672" xr:uid="{00000000-0005-0000-0000-000040880000}"/>
    <cellStyle name="Normal 11 2 3 5 2 6 3 2" xfId="35673" xr:uid="{00000000-0005-0000-0000-000041880000}"/>
    <cellStyle name="Normal 11 2 3 5 2 6 4" xfId="35674" xr:uid="{00000000-0005-0000-0000-000042880000}"/>
    <cellStyle name="Normal 11 2 3 5 2 7" xfId="35675" xr:uid="{00000000-0005-0000-0000-000043880000}"/>
    <cellStyle name="Normal 11 2 3 5 2 7 2" xfId="35676" xr:uid="{00000000-0005-0000-0000-000044880000}"/>
    <cellStyle name="Normal 11 2 3 5 2 7 2 2" xfId="35677" xr:uid="{00000000-0005-0000-0000-000045880000}"/>
    <cellStyle name="Normal 11 2 3 5 2 7 2 2 2" xfId="35678" xr:uid="{00000000-0005-0000-0000-000046880000}"/>
    <cellStyle name="Normal 11 2 3 5 2 7 2 3" xfId="35679" xr:uid="{00000000-0005-0000-0000-000047880000}"/>
    <cellStyle name="Normal 11 2 3 5 2 7 3" xfId="35680" xr:uid="{00000000-0005-0000-0000-000048880000}"/>
    <cellStyle name="Normal 11 2 3 5 2 7 3 2" xfId="35681" xr:uid="{00000000-0005-0000-0000-000049880000}"/>
    <cellStyle name="Normal 11 2 3 5 2 7 4" xfId="35682" xr:uid="{00000000-0005-0000-0000-00004A880000}"/>
    <cellStyle name="Normal 11 2 3 5 2 8" xfId="35683" xr:uid="{00000000-0005-0000-0000-00004B880000}"/>
    <cellStyle name="Normal 11 2 3 5 2 8 2" xfId="35684" xr:uid="{00000000-0005-0000-0000-00004C880000}"/>
    <cellStyle name="Normal 11 2 3 5 2 8 2 2" xfId="35685" xr:uid="{00000000-0005-0000-0000-00004D880000}"/>
    <cellStyle name="Normal 11 2 3 5 2 8 3" xfId="35686" xr:uid="{00000000-0005-0000-0000-00004E880000}"/>
    <cellStyle name="Normal 11 2 3 5 2 9" xfId="35687" xr:uid="{00000000-0005-0000-0000-00004F880000}"/>
    <cellStyle name="Normal 11 2 3 5 2 9 2" xfId="35688" xr:uid="{00000000-0005-0000-0000-000050880000}"/>
    <cellStyle name="Normal 11 2 3 5 3" xfId="1426" xr:uid="{00000000-0005-0000-0000-000051880000}"/>
    <cellStyle name="Normal 11 2 3 5 3 2" xfId="35690" xr:uid="{00000000-0005-0000-0000-000052880000}"/>
    <cellStyle name="Normal 11 2 3 5 3 2 2" xfId="35691" xr:uid="{00000000-0005-0000-0000-000053880000}"/>
    <cellStyle name="Normal 11 2 3 5 3 2 2 2" xfId="35692" xr:uid="{00000000-0005-0000-0000-000054880000}"/>
    <cellStyle name="Normal 11 2 3 5 3 2 2 2 2" xfId="35693" xr:uid="{00000000-0005-0000-0000-000055880000}"/>
    <cellStyle name="Normal 11 2 3 5 3 2 2 3" xfId="35694" xr:uid="{00000000-0005-0000-0000-000056880000}"/>
    <cellStyle name="Normal 11 2 3 5 3 2 3" xfId="35695" xr:uid="{00000000-0005-0000-0000-000057880000}"/>
    <cellStyle name="Normal 11 2 3 5 3 2 3 2" xfId="35696" xr:uid="{00000000-0005-0000-0000-000058880000}"/>
    <cellStyle name="Normal 11 2 3 5 3 2 4" xfId="35697" xr:uid="{00000000-0005-0000-0000-000059880000}"/>
    <cellStyle name="Normal 11 2 3 5 3 3" xfId="35698" xr:uid="{00000000-0005-0000-0000-00005A880000}"/>
    <cellStyle name="Normal 11 2 3 5 3 3 2" xfId="35699" xr:uid="{00000000-0005-0000-0000-00005B880000}"/>
    <cellStyle name="Normal 11 2 3 5 3 3 2 2" xfId="35700" xr:uid="{00000000-0005-0000-0000-00005C880000}"/>
    <cellStyle name="Normal 11 2 3 5 3 3 2 2 2" xfId="35701" xr:uid="{00000000-0005-0000-0000-00005D880000}"/>
    <cellStyle name="Normal 11 2 3 5 3 3 2 3" xfId="35702" xr:uid="{00000000-0005-0000-0000-00005E880000}"/>
    <cellStyle name="Normal 11 2 3 5 3 3 3" xfId="35703" xr:uid="{00000000-0005-0000-0000-00005F880000}"/>
    <cellStyle name="Normal 11 2 3 5 3 3 3 2" xfId="35704" xr:uid="{00000000-0005-0000-0000-000060880000}"/>
    <cellStyle name="Normal 11 2 3 5 3 3 4" xfId="35705" xr:uid="{00000000-0005-0000-0000-000061880000}"/>
    <cellStyle name="Normal 11 2 3 5 3 4" xfId="35706" xr:uid="{00000000-0005-0000-0000-000062880000}"/>
    <cellStyle name="Normal 11 2 3 5 3 4 2" xfId="35707" xr:uid="{00000000-0005-0000-0000-000063880000}"/>
    <cellStyle name="Normal 11 2 3 5 3 4 2 2" xfId="35708" xr:uid="{00000000-0005-0000-0000-000064880000}"/>
    <cellStyle name="Normal 11 2 3 5 3 4 3" xfId="35709" xr:uid="{00000000-0005-0000-0000-000065880000}"/>
    <cellStyle name="Normal 11 2 3 5 3 5" xfId="35710" xr:uid="{00000000-0005-0000-0000-000066880000}"/>
    <cellStyle name="Normal 11 2 3 5 3 5 2" xfId="35711" xr:uid="{00000000-0005-0000-0000-000067880000}"/>
    <cellStyle name="Normal 11 2 3 5 3 6" xfId="35712" xr:uid="{00000000-0005-0000-0000-000068880000}"/>
    <cellStyle name="Normal 11 2 3 5 3 7" xfId="35689" xr:uid="{00000000-0005-0000-0000-000069880000}"/>
    <cellStyle name="Normal 11 2 3 5 4" xfId="35713" xr:uid="{00000000-0005-0000-0000-00006A880000}"/>
    <cellStyle name="Normal 11 2 3 5 4 2" xfId="35714" xr:uid="{00000000-0005-0000-0000-00006B880000}"/>
    <cellStyle name="Normal 11 2 3 5 4 2 2" xfId="35715" xr:uid="{00000000-0005-0000-0000-00006C880000}"/>
    <cellStyle name="Normal 11 2 3 5 4 2 2 2" xfId="35716" xr:uid="{00000000-0005-0000-0000-00006D880000}"/>
    <cellStyle name="Normal 11 2 3 5 4 2 2 2 2" xfId="35717" xr:uid="{00000000-0005-0000-0000-00006E880000}"/>
    <cellStyle name="Normal 11 2 3 5 4 2 2 3" xfId="35718" xr:uid="{00000000-0005-0000-0000-00006F880000}"/>
    <cellStyle name="Normal 11 2 3 5 4 2 3" xfId="35719" xr:uid="{00000000-0005-0000-0000-000070880000}"/>
    <cellStyle name="Normal 11 2 3 5 4 2 3 2" xfId="35720" xr:uid="{00000000-0005-0000-0000-000071880000}"/>
    <cellStyle name="Normal 11 2 3 5 4 2 4" xfId="35721" xr:uid="{00000000-0005-0000-0000-000072880000}"/>
    <cellStyle name="Normal 11 2 3 5 4 3" xfId="35722" xr:uid="{00000000-0005-0000-0000-000073880000}"/>
    <cellStyle name="Normal 11 2 3 5 4 3 2" xfId="35723" xr:uid="{00000000-0005-0000-0000-000074880000}"/>
    <cellStyle name="Normal 11 2 3 5 4 3 2 2" xfId="35724" xr:uid="{00000000-0005-0000-0000-000075880000}"/>
    <cellStyle name="Normal 11 2 3 5 4 3 3" xfId="35725" xr:uid="{00000000-0005-0000-0000-000076880000}"/>
    <cellStyle name="Normal 11 2 3 5 4 4" xfId="35726" xr:uid="{00000000-0005-0000-0000-000077880000}"/>
    <cellStyle name="Normal 11 2 3 5 4 4 2" xfId="35727" xr:uid="{00000000-0005-0000-0000-000078880000}"/>
    <cellStyle name="Normal 11 2 3 5 4 5" xfId="35728" xr:uid="{00000000-0005-0000-0000-000079880000}"/>
    <cellStyle name="Normal 11 2 3 5 5" xfId="35729" xr:uid="{00000000-0005-0000-0000-00007A880000}"/>
    <cellStyle name="Normal 11 2 3 5 5 2" xfId="35730" xr:uid="{00000000-0005-0000-0000-00007B880000}"/>
    <cellStyle name="Normal 11 2 3 5 5 2 2" xfId="35731" xr:uid="{00000000-0005-0000-0000-00007C880000}"/>
    <cellStyle name="Normal 11 2 3 5 5 2 2 2" xfId="35732" xr:uid="{00000000-0005-0000-0000-00007D880000}"/>
    <cellStyle name="Normal 11 2 3 5 5 2 2 2 2" xfId="35733" xr:uid="{00000000-0005-0000-0000-00007E880000}"/>
    <cellStyle name="Normal 11 2 3 5 5 2 2 3" xfId="35734" xr:uid="{00000000-0005-0000-0000-00007F880000}"/>
    <cellStyle name="Normal 11 2 3 5 5 2 3" xfId="35735" xr:uid="{00000000-0005-0000-0000-000080880000}"/>
    <cellStyle name="Normal 11 2 3 5 5 2 3 2" xfId="35736" xr:uid="{00000000-0005-0000-0000-000081880000}"/>
    <cellStyle name="Normal 11 2 3 5 5 2 4" xfId="35737" xr:uid="{00000000-0005-0000-0000-000082880000}"/>
    <cellStyle name="Normal 11 2 3 5 5 3" xfId="35738" xr:uid="{00000000-0005-0000-0000-000083880000}"/>
    <cellStyle name="Normal 11 2 3 5 5 3 2" xfId="35739" xr:uid="{00000000-0005-0000-0000-000084880000}"/>
    <cellStyle name="Normal 11 2 3 5 5 3 2 2" xfId="35740" xr:uid="{00000000-0005-0000-0000-000085880000}"/>
    <cellStyle name="Normal 11 2 3 5 5 3 3" xfId="35741" xr:uid="{00000000-0005-0000-0000-000086880000}"/>
    <cellStyle name="Normal 11 2 3 5 5 4" xfId="35742" xr:uid="{00000000-0005-0000-0000-000087880000}"/>
    <cellStyle name="Normal 11 2 3 5 5 4 2" xfId="35743" xr:uid="{00000000-0005-0000-0000-000088880000}"/>
    <cellStyle name="Normal 11 2 3 5 5 5" xfId="35744" xr:uid="{00000000-0005-0000-0000-000089880000}"/>
    <cellStyle name="Normal 11 2 3 5 6" xfId="35745" xr:uid="{00000000-0005-0000-0000-00008A880000}"/>
    <cellStyle name="Normal 11 2 3 5 6 2" xfId="35746" xr:uid="{00000000-0005-0000-0000-00008B880000}"/>
    <cellStyle name="Normal 11 2 3 5 6 2 2" xfId="35747" xr:uid="{00000000-0005-0000-0000-00008C880000}"/>
    <cellStyle name="Normal 11 2 3 5 6 2 2 2" xfId="35748" xr:uid="{00000000-0005-0000-0000-00008D880000}"/>
    <cellStyle name="Normal 11 2 3 5 6 2 3" xfId="35749" xr:uid="{00000000-0005-0000-0000-00008E880000}"/>
    <cellStyle name="Normal 11 2 3 5 6 3" xfId="35750" xr:uid="{00000000-0005-0000-0000-00008F880000}"/>
    <cellStyle name="Normal 11 2 3 5 6 3 2" xfId="35751" xr:uid="{00000000-0005-0000-0000-000090880000}"/>
    <cellStyle name="Normal 11 2 3 5 6 4" xfId="35752" xr:uid="{00000000-0005-0000-0000-000091880000}"/>
    <cellStyle name="Normal 11 2 3 5 7" xfId="35753" xr:uid="{00000000-0005-0000-0000-000092880000}"/>
    <cellStyle name="Normal 11 2 3 5 7 2" xfId="35754" xr:uid="{00000000-0005-0000-0000-000093880000}"/>
    <cellStyle name="Normal 11 2 3 5 7 2 2" xfId="35755" xr:uid="{00000000-0005-0000-0000-000094880000}"/>
    <cellStyle name="Normal 11 2 3 5 7 2 2 2" xfId="35756" xr:uid="{00000000-0005-0000-0000-000095880000}"/>
    <cellStyle name="Normal 11 2 3 5 7 2 3" xfId="35757" xr:uid="{00000000-0005-0000-0000-000096880000}"/>
    <cellStyle name="Normal 11 2 3 5 7 3" xfId="35758" xr:uid="{00000000-0005-0000-0000-000097880000}"/>
    <cellStyle name="Normal 11 2 3 5 7 3 2" xfId="35759" xr:uid="{00000000-0005-0000-0000-000098880000}"/>
    <cellStyle name="Normal 11 2 3 5 7 4" xfId="35760" xr:uid="{00000000-0005-0000-0000-000099880000}"/>
    <cellStyle name="Normal 11 2 3 5 8" xfId="35761" xr:uid="{00000000-0005-0000-0000-00009A880000}"/>
    <cellStyle name="Normal 11 2 3 5 8 2" xfId="35762" xr:uid="{00000000-0005-0000-0000-00009B880000}"/>
    <cellStyle name="Normal 11 2 3 5 8 2 2" xfId="35763" xr:uid="{00000000-0005-0000-0000-00009C880000}"/>
    <cellStyle name="Normal 11 2 3 5 8 2 2 2" xfId="35764" xr:uid="{00000000-0005-0000-0000-00009D880000}"/>
    <cellStyle name="Normal 11 2 3 5 8 2 3" xfId="35765" xr:uid="{00000000-0005-0000-0000-00009E880000}"/>
    <cellStyle name="Normal 11 2 3 5 8 3" xfId="35766" xr:uid="{00000000-0005-0000-0000-00009F880000}"/>
    <cellStyle name="Normal 11 2 3 5 8 3 2" xfId="35767" xr:uid="{00000000-0005-0000-0000-0000A0880000}"/>
    <cellStyle name="Normal 11 2 3 5 8 4" xfId="35768" xr:uid="{00000000-0005-0000-0000-0000A1880000}"/>
    <cellStyle name="Normal 11 2 3 5 9" xfId="35769" xr:uid="{00000000-0005-0000-0000-0000A2880000}"/>
    <cellStyle name="Normal 11 2 3 5 9 2" xfId="35770" xr:uid="{00000000-0005-0000-0000-0000A3880000}"/>
    <cellStyle name="Normal 11 2 3 5 9 2 2" xfId="35771" xr:uid="{00000000-0005-0000-0000-0000A4880000}"/>
    <cellStyle name="Normal 11 2 3 5 9 3" xfId="35772" xr:uid="{00000000-0005-0000-0000-0000A5880000}"/>
    <cellStyle name="Normal 11 2 3 6" xfId="583" xr:uid="{00000000-0005-0000-0000-0000A6880000}"/>
    <cellStyle name="Normal 11 2 3 6 10" xfId="35774" xr:uid="{00000000-0005-0000-0000-0000A7880000}"/>
    <cellStyle name="Normal 11 2 3 6 10 2" xfId="35775" xr:uid="{00000000-0005-0000-0000-0000A8880000}"/>
    <cellStyle name="Normal 11 2 3 6 10 2 2" xfId="35776" xr:uid="{00000000-0005-0000-0000-0000A9880000}"/>
    <cellStyle name="Normal 11 2 3 6 10 3" xfId="35777" xr:uid="{00000000-0005-0000-0000-0000AA880000}"/>
    <cellStyle name="Normal 11 2 3 6 11" xfId="35778" xr:uid="{00000000-0005-0000-0000-0000AB880000}"/>
    <cellStyle name="Normal 11 2 3 6 11 2" xfId="35779" xr:uid="{00000000-0005-0000-0000-0000AC880000}"/>
    <cellStyle name="Normal 11 2 3 6 11 2 2" xfId="35780" xr:uid="{00000000-0005-0000-0000-0000AD880000}"/>
    <cellStyle name="Normal 11 2 3 6 11 3" xfId="35781" xr:uid="{00000000-0005-0000-0000-0000AE880000}"/>
    <cellStyle name="Normal 11 2 3 6 12" xfId="35782" xr:uid="{00000000-0005-0000-0000-0000AF880000}"/>
    <cellStyle name="Normal 11 2 3 6 12 2" xfId="35783" xr:uid="{00000000-0005-0000-0000-0000B0880000}"/>
    <cellStyle name="Normal 11 2 3 6 13" xfId="35784" xr:uid="{00000000-0005-0000-0000-0000B1880000}"/>
    <cellStyle name="Normal 11 2 3 6 14" xfId="35785" xr:uid="{00000000-0005-0000-0000-0000B2880000}"/>
    <cellStyle name="Normal 11 2 3 6 15" xfId="35773" xr:uid="{00000000-0005-0000-0000-0000B3880000}"/>
    <cellStyle name="Normal 11 2 3 6 2" xfId="1025" xr:uid="{00000000-0005-0000-0000-0000B4880000}"/>
    <cellStyle name="Normal 11 2 3 6 2 10" xfId="35787" xr:uid="{00000000-0005-0000-0000-0000B5880000}"/>
    <cellStyle name="Normal 11 2 3 6 2 11" xfId="35786" xr:uid="{00000000-0005-0000-0000-0000B6880000}"/>
    <cellStyle name="Normal 11 2 3 6 2 2" xfId="1754" xr:uid="{00000000-0005-0000-0000-0000B7880000}"/>
    <cellStyle name="Normal 11 2 3 6 2 2 2" xfId="35789" xr:uid="{00000000-0005-0000-0000-0000B8880000}"/>
    <cellStyle name="Normal 11 2 3 6 2 2 2 2" xfId="35790" xr:uid="{00000000-0005-0000-0000-0000B9880000}"/>
    <cellStyle name="Normal 11 2 3 6 2 2 2 2 2" xfId="35791" xr:uid="{00000000-0005-0000-0000-0000BA880000}"/>
    <cellStyle name="Normal 11 2 3 6 2 2 2 2 2 2" xfId="35792" xr:uid="{00000000-0005-0000-0000-0000BB880000}"/>
    <cellStyle name="Normal 11 2 3 6 2 2 2 2 3" xfId="35793" xr:uid="{00000000-0005-0000-0000-0000BC880000}"/>
    <cellStyle name="Normal 11 2 3 6 2 2 2 3" xfId="35794" xr:uid="{00000000-0005-0000-0000-0000BD880000}"/>
    <cellStyle name="Normal 11 2 3 6 2 2 2 3 2" xfId="35795" xr:uid="{00000000-0005-0000-0000-0000BE880000}"/>
    <cellStyle name="Normal 11 2 3 6 2 2 2 4" xfId="35796" xr:uid="{00000000-0005-0000-0000-0000BF880000}"/>
    <cellStyle name="Normal 11 2 3 6 2 2 3" xfId="35797" xr:uid="{00000000-0005-0000-0000-0000C0880000}"/>
    <cellStyle name="Normal 11 2 3 6 2 2 3 2" xfId="35798" xr:uid="{00000000-0005-0000-0000-0000C1880000}"/>
    <cellStyle name="Normal 11 2 3 6 2 2 3 2 2" xfId="35799" xr:uid="{00000000-0005-0000-0000-0000C2880000}"/>
    <cellStyle name="Normal 11 2 3 6 2 2 3 2 2 2" xfId="35800" xr:uid="{00000000-0005-0000-0000-0000C3880000}"/>
    <cellStyle name="Normal 11 2 3 6 2 2 3 2 3" xfId="35801" xr:uid="{00000000-0005-0000-0000-0000C4880000}"/>
    <cellStyle name="Normal 11 2 3 6 2 2 3 3" xfId="35802" xr:uid="{00000000-0005-0000-0000-0000C5880000}"/>
    <cellStyle name="Normal 11 2 3 6 2 2 3 3 2" xfId="35803" xr:uid="{00000000-0005-0000-0000-0000C6880000}"/>
    <cellStyle name="Normal 11 2 3 6 2 2 3 4" xfId="35804" xr:uid="{00000000-0005-0000-0000-0000C7880000}"/>
    <cellStyle name="Normal 11 2 3 6 2 2 4" xfId="35805" xr:uid="{00000000-0005-0000-0000-0000C8880000}"/>
    <cellStyle name="Normal 11 2 3 6 2 2 4 2" xfId="35806" xr:uid="{00000000-0005-0000-0000-0000C9880000}"/>
    <cellStyle name="Normal 11 2 3 6 2 2 4 2 2" xfId="35807" xr:uid="{00000000-0005-0000-0000-0000CA880000}"/>
    <cellStyle name="Normal 11 2 3 6 2 2 4 3" xfId="35808" xr:uid="{00000000-0005-0000-0000-0000CB880000}"/>
    <cellStyle name="Normal 11 2 3 6 2 2 5" xfId="35809" xr:uid="{00000000-0005-0000-0000-0000CC880000}"/>
    <cellStyle name="Normal 11 2 3 6 2 2 5 2" xfId="35810" xr:uid="{00000000-0005-0000-0000-0000CD880000}"/>
    <cellStyle name="Normal 11 2 3 6 2 2 6" xfId="35811" xr:uid="{00000000-0005-0000-0000-0000CE880000}"/>
    <cellStyle name="Normal 11 2 3 6 2 2 7" xfId="35788" xr:uid="{00000000-0005-0000-0000-0000CF880000}"/>
    <cellStyle name="Normal 11 2 3 6 2 3" xfId="35812" xr:uid="{00000000-0005-0000-0000-0000D0880000}"/>
    <cellStyle name="Normal 11 2 3 6 2 3 2" xfId="35813" xr:uid="{00000000-0005-0000-0000-0000D1880000}"/>
    <cellStyle name="Normal 11 2 3 6 2 3 2 2" xfId="35814" xr:uid="{00000000-0005-0000-0000-0000D2880000}"/>
    <cellStyle name="Normal 11 2 3 6 2 3 2 2 2" xfId="35815" xr:uid="{00000000-0005-0000-0000-0000D3880000}"/>
    <cellStyle name="Normal 11 2 3 6 2 3 2 2 2 2" xfId="35816" xr:uid="{00000000-0005-0000-0000-0000D4880000}"/>
    <cellStyle name="Normal 11 2 3 6 2 3 2 2 3" xfId="35817" xr:uid="{00000000-0005-0000-0000-0000D5880000}"/>
    <cellStyle name="Normal 11 2 3 6 2 3 2 3" xfId="35818" xr:uid="{00000000-0005-0000-0000-0000D6880000}"/>
    <cellStyle name="Normal 11 2 3 6 2 3 2 3 2" xfId="35819" xr:uid="{00000000-0005-0000-0000-0000D7880000}"/>
    <cellStyle name="Normal 11 2 3 6 2 3 2 4" xfId="35820" xr:uid="{00000000-0005-0000-0000-0000D8880000}"/>
    <cellStyle name="Normal 11 2 3 6 2 3 3" xfId="35821" xr:uid="{00000000-0005-0000-0000-0000D9880000}"/>
    <cellStyle name="Normal 11 2 3 6 2 3 3 2" xfId="35822" xr:uid="{00000000-0005-0000-0000-0000DA880000}"/>
    <cellStyle name="Normal 11 2 3 6 2 3 3 2 2" xfId="35823" xr:uid="{00000000-0005-0000-0000-0000DB880000}"/>
    <cellStyle name="Normal 11 2 3 6 2 3 3 3" xfId="35824" xr:uid="{00000000-0005-0000-0000-0000DC880000}"/>
    <cellStyle name="Normal 11 2 3 6 2 3 4" xfId="35825" xr:uid="{00000000-0005-0000-0000-0000DD880000}"/>
    <cellStyle name="Normal 11 2 3 6 2 3 4 2" xfId="35826" xr:uid="{00000000-0005-0000-0000-0000DE880000}"/>
    <cellStyle name="Normal 11 2 3 6 2 3 5" xfId="35827" xr:uid="{00000000-0005-0000-0000-0000DF880000}"/>
    <cellStyle name="Normal 11 2 3 6 2 4" xfId="35828" xr:uid="{00000000-0005-0000-0000-0000E0880000}"/>
    <cellStyle name="Normal 11 2 3 6 2 4 2" xfId="35829" xr:uid="{00000000-0005-0000-0000-0000E1880000}"/>
    <cellStyle name="Normal 11 2 3 6 2 4 2 2" xfId="35830" xr:uid="{00000000-0005-0000-0000-0000E2880000}"/>
    <cellStyle name="Normal 11 2 3 6 2 4 2 2 2" xfId="35831" xr:uid="{00000000-0005-0000-0000-0000E3880000}"/>
    <cellStyle name="Normal 11 2 3 6 2 4 2 2 2 2" xfId="35832" xr:uid="{00000000-0005-0000-0000-0000E4880000}"/>
    <cellStyle name="Normal 11 2 3 6 2 4 2 2 3" xfId="35833" xr:uid="{00000000-0005-0000-0000-0000E5880000}"/>
    <cellStyle name="Normal 11 2 3 6 2 4 2 3" xfId="35834" xr:uid="{00000000-0005-0000-0000-0000E6880000}"/>
    <cellStyle name="Normal 11 2 3 6 2 4 2 3 2" xfId="35835" xr:uid="{00000000-0005-0000-0000-0000E7880000}"/>
    <cellStyle name="Normal 11 2 3 6 2 4 2 4" xfId="35836" xr:uid="{00000000-0005-0000-0000-0000E8880000}"/>
    <cellStyle name="Normal 11 2 3 6 2 4 3" xfId="35837" xr:uid="{00000000-0005-0000-0000-0000E9880000}"/>
    <cellStyle name="Normal 11 2 3 6 2 4 3 2" xfId="35838" xr:uid="{00000000-0005-0000-0000-0000EA880000}"/>
    <cellStyle name="Normal 11 2 3 6 2 4 3 2 2" xfId="35839" xr:uid="{00000000-0005-0000-0000-0000EB880000}"/>
    <cellStyle name="Normal 11 2 3 6 2 4 3 3" xfId="35840" xr:uid="{00000000-0005-0000-0000-0000EC880000}"/>
    <cellStyle name="Normal 11 2 3 6 2 4 4" xfId="35841" xr:uid="{00000000-0005-0000-0000-0000ED880000}"/>
    <cellStyle name="Normal 11 2 3 6 2 4 4 2" xfId="35842" xr:uid="{00000000-0005-0000-0000-0000EE880000}"/>
    <cellStyle name="Normal 11 2 3 6 2 4 5" xfId="35843" xr:uid="{00000000-0005-0000-0000-0000EF880000}"/>
    <cellStyle name="Normal 11 2 3 6 2 5" xfId="35844" xr:uid="{00000000-0005-0000-0000-0000F0880000}"/>
    <cellStyle name="Normal 11 2 3 6 2 5 2" xfId="35845" xr:uid="{00000000-0005-0000-0000-0000F1880000}"/>
    <cellStyle name="Normal 11 2 3 6 2 5 2 2" xfId="35846" xr:uid="{00000000-0005-0000-0000-0000F2880000}"/>
    <cellStyle name="Normal 11 2 3 6 2 5 2 2 2" xfId="35847" xr:uid="{00000000-0005-0000-0000-0000F3880000}"/>
    <cellStyle name="Normal 11 2 3 6 2 5 2 3" xfId="35848" xr:uid="{00000000-0005-0000-0000-0000F4880000}"/>
    <cellStyle name="Normal 11 2 3 6 2 5 3" xfId="35849" xr:uid="{00000000-0005-0000-0000-0000F5880000}"/>
    <cellStyle name="Normal 11 2 3 6 2 5 3 2" xfId="35850" xr:uid="{00000000-0005-0000-0000-0000F6880000}"/>
    <cellStyle name="Normal 11 2 3 6 2 5 4" xfId="35851" xr:uid="{00000000-0005-0000-0000-0000F7880000}"/>
    <cellStyle name="Normal 11 2 3 6 2 6" xfId="35852" xr:uid="{00000000-0005-0000-0000-0000F8880000}"/>
    <cellStyle name="Normal 11 2 3 6 2 6 2" xfId="35853" xr:uid="{00000000-0005-0000-0000-0000F9880000}"/>
    <cellStyle name="Normal 11 2 3 6 2 6 2 2" xfId="35854" xr:uid="{00000000-0005-0000-0000-0000FA880000}"/>
    <cellStyle name="Normal 11 2 3 6 2 6 2 2 2" xfId="35855" xr:uid="{00000000-0005-0000-0000-0000FB880000}"/>
    <cellStyle name="Normal 11 2 3 6 2 6 2 3" xfId="35856" xr:uid="{00000000-0005-0000-0000-0000FC880000}"/>
    <cellStyle name="Normal 11 2 3 6 2 6 3" xfId="35857" xr:uid="{00000000-0005-0000-0000-0000FD880000}"/>
    <cellStyle name="Normal 11 2 3 6 2 6 3 2" xfId="35858" xr:uid="{00000000-0005-0000-0000-0000FE880000}"/>
    <cellStyle name="Normal 11 2 3 6 2 6 4" xfId="35859" xr:uid="{00000000-0005-0000-0000-0000FF880000}"/>
    <cellStyle name="Normal 11 2 3 6 2 7" xfId="35860" xr:uid="{00000000-0005-0000-0000-000000890000}"/>
    <cellStyle name="Normal 11 2 3 6 2 7 2" xfId="35861" xr:uid="{00000000-0005-0000-0000-000001890000}"/>
    <cellStyle name="Normal 11 2 3 6 2 7 2 2" xfId="35862" xr:uid="{00000000-0005-0000-0000-000002890000}"/>
    <cellStyle name="Normal 11 2 3 6 2 7 2 2 2" xfId="35863" xr:uid="{00000000-0005-0000-0000-000003890000}"/>
    <cellStyle name="Normal 11 2 3 6 2 7 2 3" xfId="35864" xr:uid="{00000000-0005-0000-0000-000004890000}"/>
    <cellStyle name="Normal 11 2 3 6 2 7 3" xfId="35865" xr:uid="{00000000-0005-0000-0000-000005890000}"/>
    <cellStyle name="Normal 11 2 3 6 2 7 3 2" xfId="35866" xr:uid="{00000000-0005-0000-0000-000006890000}"/>
    <cellStyle name="Normal 11 2 3 6 2 7 4" xfId="35867" xr:uid="{00000000-0005-0000-0000-000007890000}"/>
    <cellStyle name="Normal 11 2 3 6 2 8" xfId="35868" xr:uid="{00000000-0005-0000-0000-000008890000}"/>
    <cellStyle name="Normal 11 2 3 6 2 8 2" xfId="35869" xr:uid="{00000000-0005-0000-0000-000009890000}"/>
    <cellStyle name="Normal 11 2 3 6 2 8 2 2" xfId="35870" xr:uid="{00000000-0005-0000-0000-00000A890000}"/>
    <cellStyle name="Normal 11 2 3 6 2 8 3" xfId="35871" xr:uid="{00000000-0005-0000-0000-00000B890000}"/>
    <cellStyle name="Normal 11 2 3 6 2 9" xfId="35872" xr:uid="{00000000-0005-0000-0000-00000C890000}"/>
    <cellStyle name="Normal 11 2 3 6 2 9 2" xfId="35873" xr:uid="{00000000-0005-0000-0000-00000D890000}"/>
    <cellStyle name="Normal 11 2 3 6 3" xfId="1427" xr:uid="{00000000-0005-0000-0000-00000E890000}"/>
    <cellStyle name="Normal 11 2 3 6 3 2" xfId="35875" xr:uid="{00000000-0005-0000-0000-00000F890000}"/>
    <cellStyle name="Normal 11 2 3 6 3 2 2" xfId="35876" xr:uid="{00000000-0005-0000-0000-000010890000}"/>
    <cellStyle name="Normal 11 2 3 6 3 2 2 2" xfId="35877" xr:uid="{00000000-0005-0000-0000-000011890000}"/>
    <cellStyle name="Normal 11 2 3 6 3 2 2 2 2" xfId="35878" xr:uid="{00000000-0005-0000-0000-000012890000}"/>
    <cellStyle name="Normal 11 2 3 6 3 2 2 3" xfId="35879" xr:uid="{00000000-0005-0000-0000-000013890000}"/>
    <cellStyle name="Normal 11 2 3 6 3 2 3" xfId="35880" xr:uid="{00000000-0005-0000-0000-000014890000}"/>
    <cellStyle name="Normal 11 2 3 6 3 2 3 2" xfId="35881" xr:uid="{00000000-0005-0000-0000-000015890000}"/>
    <cellStyle name="Normal 11 2 3 6 3 2 4" xfId="35882" xr:uid="{00000000-0005-0000-0000-000016890000}"/>
    <cellStyle name="Normal 11 2 3 6 3 3" xfId="35883" xr:uid="{00000000-0005-0000-0000-000017890000}"/>
    <cellStyle name="Normal 11 2 3 6 3 3 2" xfId="35884" xr:uid="{00000000-0005-0000-0000-000018890000}"/>
    <cellStyle name="Normal 11 2 3 6 3 3 2 2" xfId="35885" xr:uid="{00000000-0005-0000-0000-000019890000}"/>
    <cellStyle name="Normal 11 2 3 6 3 3 2 2 2" xfId="35886" xr:uid="{00000000-0005-0000-0000-00001A890000}"/>
    <cellStyle name="Normal 11 2 3 6 3 3 2 3" xfId="35887" xr:uid="{00000000-0005-0000-0000-00001B890000}"/>
    <cellStyle name="Normal 11 2 3 6 3 3 3" xfId="35888" xr:uid="{00000000-0005-0000-0000-00001C890000}"/>
    <cellStyle name="Normal 11 2 3 6 3 3 3 2" xfId="35889" xr:uid="{00000000-0005-0000-0000-00001D890000}"/>
    <cellStyle name="Normal 11 2 3 6 3 3 4" xfId="35890" xr:uid="{00000000-0005-0000-0000-00001E890000}"/>
    <cellStyle name="Normal 11 2 3 6 3 4" xfId="35891" xr:uid="{00000000-0005-0000-0000-00001F890000}"/>
    <cellStyle name="Normal 11 2 3 6 3 4 2" xfId="35892" xr:uid="{00000000-0005-0000-0000-000020890000}"/>
    <cellStyle name="Normal 11 2 3 6 3 4 2 2" xfId="35893" xr:uid="{00000000-0005-0000-0000-000021890000}"/>
    <cellStyle name="Normal 11 2 3 6 3 4 3" xfId="35894" xr:uid="{00000000-0005-0000-0000-000022890000}"/>
    <cellStyle name="Normal 11 2 3 6 3 5" xfId="35895" xr:uid="{00000000-0005-0000-0000-000023890000}"/>
    <cellStyle name="Normal 11 2 3 6 3 5 2" xfId="35896" xr:uid="{00000000-0005-0000-0000-000024890000}"/>
    <cellStyle name="Normal 11 2 3 6 3 6" xfId="35897" xr:uid="{00000000-0005-0000-0000-000025890000}"/>
    <cellStyle name="Normal 11 2 3 6 3 7" xfId="35874" xr:uid="{00000000-0005-0000-0000-000026890000}"/>
    <cellStyle name="Normal 11 2 3 6 4" xfId="35898" xr:uid="{00000000-0005-0000-0000-000027890000}"/>
    <cellStyle name="Normal 11 2 3 6 4 2" xfId="35899" xr:uid="{00000000-0005-0000-0000-000028890000}"/>
    <cellStyle name="Normal 11 2 3 6 4 2 2" xfId="35900" xr:uid="{00000000-0005-0000-0000-000029890000}"/>
    <cellStyle name="Normal 11 2 3 6 4 2 2 2" xfId="35901" xr:uid="{00000000-0005-0000-0000-00002A890000}"/>
    <cellStyle name="Normal 11 2 3 6 4 2 2 2 2" xfId="35902" xr:uid="{00000000-0005-0000-0000-00002B890000}"/>
    <cellStyle name="Normal 11 2 3 6 4 2 2 3" xfId="35903" xr:uid="{00000000-0005-0000-0000-00002C890000}"/>
    <cellStyle name="Normal 11 2 3 6 4 2 3" xfId="35904" xr:uid="{00000000-0005-0000-0000-00002D890000}"/>
    <cellStyle name="Normal 11 2 3 6 4 2 3 2" xfId="35905" xr:uid="{00000000-0005-0000-0000-00002E890000}"/>
    <cellStyle name="Normal 11 2 3 6 4 2 4" xfId="35906" xr:uid="{00000000-0005-0000-0000-00002F890000}"/>
    <cellStyle name="Normal 11 2 3 6 4 3" xfId="35907" xr:uid="{00000000-0005-0000-0000-000030890000}"/>
    <cellStyle name="Normal 11 2 3 6 4 3 2" xfId="35908" xr:uid="{00000000-0005-0000-0000-000031890000}"/>
    <cellStyle name="Normal 11 2 3 6 4 3 2 2" xfId="35909" xr:uid="{00000000-0005-0000-0000-000032890000}"/>
    <cellStyle name="Normal 11 2 3 6 4 3 3" xfId="35910" xr:uid="{00000000-0005-0000-0000-000033890000}"/>
    <cellStyle name="Normal 11 2 3 6 4 4" xfId="35911" xr:uid="{00000000-0005-0000-0000-000034890000}"/>
    <cellStyle name="Normal 11 2 3 6 4 4 2" xfId="35912" xr:uid="{00000000-0005-0000-0000-000035890000}"/>
    <cellStyle name="Normal 11 2 3 6 4 5" xfId="35913" xr:uid="{00000000-0005-0000-0000-000036890000}"/>
    <cellStyle name="Normal 11 2 3 6 5" xfId="35914" xr:uid="{00000000-0005-0000-0000-000037890000}"/>
    <cellStyle name="Normal 11 2 3 6 5 2" xfId="35915" xr:uid="{00000000-0005-0000-0000-000038890000}"/>
    <cellStyle name="Normal 11 2 3 6 5 2 2" xfId="35916" xr:uid="{00000000-0005-0000-0000-000039890000}"/>
    <cellStyle name="Normal 11 2 3 6 5 2 2 2" xfId="35917" xr:uid="{00000000-0005-0000-0000-00003A890000}"/>
    <cellStyle name="Normal 11 2 3 6 5 2 2 2 2" xfId="35918" xr:uid="{00000000-0005-0000-0000-00003B890000}"/>
    <cellStyle name="Normal 11 2 3 6 5 2 2 3" xfId="35919" xr:uid="{00000000-0005-0000-0000-00003C890000}"/>
    <cellStyle name="Normal 11 2 3 6 5 2 3" xfId="35920" xr:uid="{00000000-0005-0000-0000-00003D890000}"/>
    <cellStyle name="Normal 11 2 3 6 5 2 3 2" xfId="35921" xr:uid="{00000000-0005-0000-0000-00003E890000}"/>
    <cellStyle name="Normal 11 2 3 6 5 2 4" xfId="35922" xr:uid="{00000000-0005-0000-0000-00003F890000}"/>
    <cellStyle name="Normal 11 2 3 6 5 3" xfId="35923" xr:uid="{00000000-0005-0000-0000-000040890000}"/>
    <cellStyle name="Normal 11 2 3 6 5 3 2" xfId="35924" xr:uid="{00000000-0005-0000-0000-000041890000}"/>
    <cellStyle name="Normal 11 2 3 6 5 3 2 2" xfId="35925" xr:uid="{00000000-0005-0000-0000-000042890000}"/>
    <cellStyle name="Normal 11 2 3 6 5 3 3" xfId="35926" xr:uid="{00000000-0005-0000-0000-000043890000}"/>
    <cellStyle name="Normal 11 2 3 6 5 4" xfId="35927" xr:uid="{00000000-0005-0000-0000-000044890000}"/>
    <cellStyle name="Normal 11 2 3 6 5 4 2" xfId="35928" xr:uid="{00000000-0005-0000-0000-000045890000}"/>
    <cellStyle name="Normal 11 2 3 6 5 5" xfId="35929" xr:uid="{00000000-0005-0000-0000-000046890000}"/>
    <cellStyle name="Normal 11 2 3 6 6" xfId="35930" xr:uid="{00000000-0005-0000-0000-000047890000}"/>
    <cellStyle name="Normal 11 2 3 6 6 2" xfId="35931" xr:uid="{00000000-0005-0000-0000-000048890000}"/>
    <cellStyle name="Normal 11 2 3 6 6 2 2" xfId="35932" xr:uid="{00000000-0005-0000-0000-000049890000}"/>
    <cellStyle name="Normal 11 2 3 6 6 2 2 2" xfId="35933" xr:uid="{00000000-0005-0000-0000-00004A890000}"/>
    <cellStyle name="Normal 11 2 3 6 6 2 3" xfId="35934" xr:uid="{00000000-0005-0000-0000-00004B890000}"/>
    <cellStyle name="Normal 11 2 3 6 6 3" xfId="35935" xr:uid="{00000000-0005-0000-0000-00004C890000}"/>
    <cellStyle name="Normal 11 2 3 6 6 3 2" xfId="35936" xr:uid="{00000000-0005-0000-0000-00004D890000}"/>
    <cellStyle name="Normal 11 2 3 6 6 4" xfId="35937" xr:uid="{00000000-0005-0000-0000-00004E890000}"/>
    <cellStyle name="Normal 11 2 3 6 7" xfId="35938" xr:uid="{00000000-0005-0000-0000-00004F890000}"/>
    <cellStyle name="Normal 11 2 3 6 7 2" xfId="35939" xr:uid="{00000000-0005-0000-0000-000050890000}"/>
    <cellStyle name="Normal 11 2 3 6 7 2 2" xfId="35940" xr:uid="{00000000-0005-0000-0000-000051890000}"/>
    <cellStyle name="Normal 11 2 3 6 7 2 2 2" xfId="35941" xr:uid="{00000000-0005-0000-0000-000052890000}"/>
    <cellStyle name="Normal 11 2 3 6 7 2 3" xfId="35942" xr:uid="{00000000-0005-0000-0000-000053890000}"/>
    <cellStyle name="Normal 11 2 3 6 7 3" xfId="35943" xr:uid="{00000000-0005-0000-0000-000054890000}"/>
    <cellStyle name="Normal 11 2 3 6 7 3 2" xfId="35944" xr:uid="{00000000-0005-0000-0000-000055890000}"/>
    <cellStyle name="Normal 11 2 3 6 7 4" xfId="35945" xr:uid="{00000000-0005-0000-0000-000056890000}"/>
    <cellStyle name="Normal 11 2 3 6 8" xfId="35946" xr:uid="{00000000-0005-0000-0000-000057890000}"/>
    <cellStyle name="Normal 11 2 3 6 8 2" xfId="35947" xr:uid="{00000000-0005-0000-0000-000058890000}"/>
    <cellStyle name="Normal 11 2 3 6 8 2 2" xfId="35948" xr:uid="{00000000-0005-0000-0000-000059890000}"/>
    <cellStyle name="Normal 11 2 3 6 8 2 2 2" xfId="35949" xr:uid="{00000000-0005-0000-0000-00005A890000}"/>
    <cellStyle name="Normal 11 2 3 6 8 2 3" xfId="35950" xr:uid="{00000000-0005-0000-0000-00005B890000}"/>
    <cellStyle name="Normal 11 2 3 6 8 3" xfId="35951" xr:uid="{00000000-0005-0000-0000-00005C890000}"/>
    <cellStyle name="Normal 11 2 3 6 8 3 2" xfId="35952" xr:uid="{00000000-0005-0000-0000-00005D890000}"/>
    <cellStyle name="Normal 11 2 3 6 8 4" xfId="35953" xr:uid="{00000000-0005-0000-0000-00005E890000}"/>
    <cellStyle name="Normal 11 2 3 6 9" xfId="35954" xr:uid="{00000000-0005-0000-0000-00005F890000}"/>
    <cellStyle name="Normal 11 2 3 6 9 2" xfId="35955" xr:uid="{00000000-0005-0000-0000-000060890000}"/>
    <cellStyle name="Normal 11 2 3 6 9 2 2" xfId="35956" xr:uid="{00000000-0005-0000-0000-000061890000}"/>
    <cellStyle name="Normal 11 2 3 6 9 3" xfId="35957" xr:uid="{00000000-0005-0000-0000-000062890000}"/>
    <cellStyle name="Normal 11 2 3 7" xfId="1002" xr:uid="{00000000-0005-0000-0000-000063890000}"/>
    <cellStyle name="Normal 11 2 3 7 10" xfId="35959" xr:uid="{00000000-0005-0000-0000-000064890000}"/>
    <cellStyle name="Normal 11 2 3 7 11" xfId="35958" xr:uid="{00000000-0005-0000-0000-000065890000}"/>
    <cellStyle name="Normal 11 2 3 7 2" xfId="1731" xr:uid="{00000000-0005-0000-0000-000066890000}"/>
    <cellStyle name="Normal 11 2 3 7 2 2" xfId="35961" xr:uid="{00000000-0005-0000-0000-000067890000}"/>
    <cellStyle name="Normal 11 2 3 7 2 2 2" xfId="35962" xr:uid="{00000000-0005-0000-0000-000068890000}"/>
    <cellStyle name="Normal 11 2 3 7 2 2 2 2" xfId="35963" xr:uid="{00000000-0005-0000-0000-000069890000}"/>
    <cellStyle name="Normal 11 2 3 7 2 2 2 2 2" xfId="35964" xr:uid="{00000000-0005-0000-0000-00006A890000}"/>
    <cellStyle name="Normal 11 2 3 7 2 2 2 3" xfId="35965" xr:uid="{00000000-0005-0000-0000-00006B890000}"/>
    <cellStyle name="Normal 11 2 3 7 2 2 3" xfId="35966" xr:uid="{00000000-0005-0000-0000-00006C890000}"/>
    <cellStyle name="Normal 11 2 3 7 2 2 3 2" xfId="35967" xr:uid="{00000000-0005-0000-0000-00006D890000}"/>
    <cellStyle name="Normal 11 2 3 7 2 2 4" xfId="35968" xr:uid="{00000000-0005-0000-0000-00006E890000}"/>
    <cellStyle name="Normal 11 2 3 7 2 3" xfId="35969" xr:uid="{00000000-0005-0000-0000-00006F890000}"/>
    <cellStyle name="Normal 11 2 3 7 2 3 2" xfId="35970" xr:uid="{00000000-0005-0000-0000-000070890000}"/>
    <cellStyle name="Normal 11 2 3 7 2 3 2 2" xfId="35971" xr:uid="{00000000-0005-0000-0000-000071890000}"/>
    <cellStyle name="Normal 11 2 3 7 2 3 2 2 2" xfId="35972" xr:uid="{00000000-0005-0000-0000-000072890000}"/>
    <cellStyle name="Normal 11 2 3 7 2 3 2 3" xfId="35973" xr:uid="{00000000-0005-0000-0000-000073890000}"/>
    <cellStyle name="Normal 11 2 3 7 2 3 3" xfId="35974" xr:uid="{00000000-0005-0000-0000-000074890000}"/>
    <cellStyle name="Normal 11 2 3 7 2 3 3 2" xfId="35975" xr:uid="{00000000-0005-0000-0000-000075890000}"/>
    <cellStyle name="Normal 11 2 3 7 2 3 4" xfId="35976" xr:uid="{00000000-0005-0000-0000-000076890000}"/>
    <cellStyle name="Normal 11 2 3 7 2 4" xfId="35977" xr:uid="{00000000-0005-0000-0000-000077890000}"/>
    <cellStyle name="Normal 11 2 3 7 2 4 2" xfId="35978" xr:uid="{00000000-0005-0000-0000-000078890000}"/>
    <cellStyle name="Normal 11 2 3 7 2 4 2 2" xfId="35979" xr:uid="{00000000-0005-0000-0000-000079890000}"/>
    <cellStyle name="Normal 11 2 3 7 2 4 3" xfId="35980" xr:uid="{00000000-0005-0000-0000-00007A890000}"/>
    <cellStyle name="Normal 11 2 3 7 2 5" xfId="35981" xr:uid="{00000000-0005-0000-0000-00007B890000}"/>
    <cellStyle name="Normal 11 2 3 7 2 5 2" xfId="35982" xr:uid="{00000000-0005-0000-0000-00007C890000}"/>
    <cellStyle name="Normal 11 2 3 7 2 6" xfId="35983" xr:uid="{00000000-0005-0000-0000-00007D890000}"/>
    <cellStyle name="Normal 11 2 3 7 2 7" xfId="35960" xr:uid="{00000000-0005-0000-0000-00007E890000}"/>
    <cellStyle name="Normal 11 2 3 7 3" xfId="35984" xr:uid="{00000000-0005-0000-0000-00007F890000}"/>
    <cellStyle name="Normal 11 2 3 7 3 2" xfId="35985" xr:uid="{00000000-0005-0000-0000-000080890000}"/>
    <cellStyle name="Normal 11 2 3 7 3 2 2" xfId="35986" xr:uid="{00000000-0005-0000-0000-000081890000}"/>
    <cellStyle name="Normal 11 2 3 7 3 2 2 2" xfId="35987" xr:uid="{00000000-0005-0000-0000-000082890000}"/>
    <cellStyle name="Normal 11 2 3 7 3 2 2 2 2" xfId="35988" xr:uid="{00000000-0005-0000-0000-000083890000}"/>
    <cellStyle name="Normal 11 2 3 7 3 2 2 3" xfId="35989" xr:uid="{00000000-0005-0000-0000-000084890000}"/>
    <cellStyle name="Normal 11 2 3 7 3 2 3" xfId="35990" xr:uid="{00000000-0005-0000-0000-000085890000}"/>
    <cellStyle name="Normal 11 2 3 7 3 2 3 2" xfId="35991" xr:uid="{00000000-0005-0000-0000-000086890000}"/>
    <cellStyle name="Normal 11 2 3 7 3 2 4" xfId="35992" xr:uid="{00000000-0005-0000-0000-000087890000}"/>
    <cellStyle name="Normal 11 2 3 7 3 3" xfId="35993" xr:uid="{00000000-0005-0000-0000-000088890000}"/>
    <cellStyle name="Normal 11 2 3 7 3 3 2" xfId="35994" xr:uid="{00000000-0005-0000-0000-000089890000}"/>
    <cellStyle name="Normal 11 2 3 7 3 3 2 2" xfId="35995" xr:uid="{00000000-0005-0000-0000-00008A890000}"/>
    <cellStyle name="Normal 11 2 3 7 3 3 3" xfId="35996" xr:uid="{00000000-0005-0000-0000-00008B890000}"/>
    <cellStyle name="Normal 11 2 3 7 3 4" xfId="35997" xr:uid="{00000000-0005-0000-0000-00008C890000}"/>
    <cellStyle name="Normal 11 2 3 7 3 4 2" xfId="35998" xr:uid="{00000000-0005-0000-0000-00008D890000}"/>
    <cellStyle name="Normal 11 2 3 7 3 5" xfId="35999" xr:uid="{00000000-0005-0000-0000-00008E890000}"/>
    <cellStyle name="Normal 11 2 3 7 4" xfId="36000" xr:uid="{00000000-0005-0000-0000-00008F890000}"/>
    <cellStyle name="Normal 11 2 3 7 4 2" xfId="36001" xr:uid="{00000000-0005-0000-0000-000090890000}"/>
    <cellStyle name="Normal 11 2 3 7 4 2 2" xfId="36002" xr:uid="{00000000-0005-0000-0000-000091890000}"/>
    <cellStyle name="Normal 11 2 3 7 4 2 2 2" xfId="36003" xr:uid="{00000000-0005-0000-0000-000092890000}"/>
    <cellStyle name="Normal 11 2 3 7 4 2 2 2 2" xfId="36004" xr:uid="{00000000-0005-0000-0000-000093890000}"/>
    <cellStyle name="Normal 11 2 3 7 4 2 2 3" xfId="36005" xr:uid="{00000000-0005-0000-0000-000094890000}"/>
    <cellStyle name="Normal 11 2 3 7 4 2 3" xfId="36006" xr:uid="{00000000-0005-0000-0000-000095890000}"/>
    <cellStyle name="Normal 11 2 3 7 4 2 3 2" xfId="36007" xr:uid="{00000000-0005-0000-0000-000096890000}"/>
    <cellStyle name="Normal 11 2 3 7 4 2 4" xfId="36008" xr:uid="{00000000-0005-0000-0000-000097890000}"/>
    <cellStyle name="Normal 11 2 3 7 4 3" xfId="36009" xr:uid="{00000000-0005-0000-0000-000098890000}"/>
    <cellStyle name="Normal 11 2 3 7 4 3 2" xfId="36010" xr:uid="{00000000-0005-0000-0000-000099890000}"/>
    <cellStyle name="Normal 11 2 3 7 4 3 2 2" xfId="36011" xr:uid="{00000000-0005-0000-0000-00009A890000}"/>
    <cellStyle name="Normal 11 2 3 7 4 3 3" xfId="36012" xr:uid="{00000000-0005-0000-0000-00009B890000}"/>
    <cellStyle name="Normal 11 2 3 7 4 4" xfId="36013" xr:uid="{00000000-0005-0000-0000-00009C890000}"/>
    <cellStyle name="Normal 11 2 3 7 4 4 2" xfId="36014" xr:uid="{00000000-0005-0000-0000-00009D890000}"/>
    <cellStyle name="Normal 11 2 3 7 4 5" xfId="36015" xr:uid="{00000000-0005-0000-0000-00009E890000}"/>
    <cellStyle name="Normal 11 2 3 7 5" xfId="36016" xr:uid="{00000000-0005-0000-0000-00009F890000}"/>
    <cellStyle name="Normal 11 2 3 7 5 2" xfId="36017" xr:uid="{00000000-0005-0000-0000-0000A0890000}"/>
    <cellStyle name="Normal 11 2 3 7 5 2 2" xfId="36018" xr:uid="{00000000-0005-0000-0000-0000A1890000}"/>
    <cellStyle name="Normal 11 2 3 7 5 2 2 2" xfId="36019" xr:uid="{00000000-0005-0000-0000-0000A2890000}"/>
    <cellStyle name="Normal 11 2 3 7 5 2 3" xfId="36020" xr:uid="{00000000-0005-0000-0000-0000A3890000}"/>
    <cellStyle name="Normal 11 2 3 7 5 3" xfId="36021" xr:uid="{00000000-0005-0000-0000-0000A4890000}"/>
    <cellStyle name="Normal 11 2 3 7 5 3 2" xfId="36022" xr:uid="{00000000-0005-0000-0000-0000A5890000}"/>
    <cellStyle name="Normal 11 2 3 7 5 4" xfId="36023" xr:uid="{00000000-0005-0000-0000-0000A6890000}"/>
    <cellStyle name="Normal 11 2 3 7 6" xfId="36024" xr:uid="{00000000-0005-0000-0000-0000A7890000}"/>
    <cellStyle name="Normal 11 2 3 7 6 2" xfId="36025" xr:uid="{00000000-0005-0000-0000-0000A8890000}"/>
    <cellStyle name="Normal 11 2 3 7 6 2 2" xfId="36026" xr:uid="{00000000-0005-0000-0000-0000A9890000}"/>
    <cellStyle name="Normal 11 2 3 7 6 2 2 2" xfId="36027" xr:uid="{00000000-0005-0000-0000-0000AA890000}"/>
    <cellStyle name="Normal 11 2 3 7 6 2 3" xfId="36028" xr:uid="{00000000-0005-0000-0000-0000AB890000}"/>
    <cellStyle name="Normal 11 2 3 7 6 3" xfId="36029" xr:uid="{00000000-0005-0000-0000-0000AC890000}"/>
    <cellStyle name="Normal 11 2 3 7 6 3 2" xfId="36030" xr:uid="{00000000-0005-0000-0000-0000AD890000}"/>
    <cellStyle name="Normal 11 2 3 7 6 4" xfId="36031" xr:uid="{00000000-0005-0000-0000-0000AE890000}"/>
    <cellStyle name="Normal 11 2 3 7 7" xfId="36032" xr:uid="{00000000-0005-0000-0000-0000AF890000}"/>
    <cellStyle name="Normal 11 2 3 7 7 2" xfId="36033" xr:uid="{00000000-0005-0000-0000-0000B0890000}"/>
    <cellStyle name="Normal 11 2 3 7 7 2 2" xfId="36034" xr:uid="{00000000-0005-0000-0000-0000B1890000}"/>
    <cellStyle name="Normal 11 2 3 7 7 2 2 2" xfId="36035" xr:uid="{00000000-0005-0000-0000-0000B2890000}"/>
    <cellStyle name="Normal 11 2 3 7 7 2 3" xfId="36036" xr:uid="{00000000-0005-0000-0000-0000B3890000}"/>
    <cellStyle name="Normal 11 2 3 7 7 3" xfId="36037" xr:uid="{00000000-0005-0000-0000-0000B4890000}"/>
    <cellStyle name="Normal 11 2 3 7 7 3 2" xfId="36038" xr:uid="{00000000-0005-0000-0000-0000B5890000}"/>
    <cellStyle name="Normal 11 2 3 7 7 4" xfId="36039" xr:uid="{00000000-0005-0000-0000-0000B6890000}"/>
    <cellStyle name="Normal 11 2 3 7 8" xfId="36040" xr:uid="{00000000-0005-0000-0000-0000B7890000}"/>
    <cellStyle name="Normal 11 2 3 7 8 2" xfId="36041" xr:uid="{00000000-0005-0000-0000-0000B8890000}"/>
    <cellStyle name="Normal 11 2 3 7 8 2 2" xfId="36042" xr:uid="{00000000-0005-0000-0000-0000B9890000}"/>
    <cellStyle name="Normal 11 2 3 7 8 3" xfId="36043" xr:uid="{00000000-0005-0000-0000-0000BA890000}"/>
    <cellStyle name="Normal 11 2 3 7 9" xfId="36044" xr:uid="{00000000-0005-0000-0000-0000BB890000}"/>
    <cellStyle name="Normal 11 2 3 7 9 2" xfId="36045" xr:uid="{00000000-0005-0000-0000-0000BC890000}"/>
    <cellStyle name="Normal 11 2 3 8" xfId="1404" xr:uid="{00000000-0005-0000-0000-0000BD890000}"/>
    <cellStyle name="Normal 11 2 3 8 2" xfId="36047" xr:uid="{00000000-0005-0000-0000-0000BE890000}"/>
    <cellStyle name="Normal 11 2 3 8 2 2" xfId="36048" xr:uid="{00000000-0005-0000-0000-0000BF890000}"/>
    <cellStyle name="Normal 11 2 3 8 2 2 2" xfId="36049" xr:uid="{00000000-0005-0000-0000-0000C0890000}"/>
    <cellStyle name="Normal 11 2 3 8 2 2 2 2" xfId="36050" xr:uid="{00000000-0005-0000-0000-0000C1890000}"/>
    <cellStyle name="Normal 11 2 3 8 2 2 3" xfId="36051" xr:uid="{00000000-0005-0000-0000-0000C2890000}"/>
    <cellStyle name="Normal 11 2 3 8 2 3" xfId="36052" xr:uid="{00000000-0005-0000-0000-0000C3890000}"/>
    <cellStyle name="Normal 11 2 3 8 2 3 2" xfId="36053" xr:uid="{00000000-0005-0000-0000-0000C4890000}"/>
    <cellStyle name="Normal 11 2 3 8 2 4" xfId="36054" xr:uid="{00000000-0005-0000-0000-0000C5890000}"/>
    <cellStyle name="Normal 11 2 3 8 3" xfId="36055" xr:uid="{00000000-0005-0000-0000-0000C6890000}"/>
    <cellStyle name="Normal 11 2 3 8 3 2" xfId="36056" xr:uid="{00000000-0005-0000-0000-0000C7890000}"/>
    <cellStyle name="Normal 11 2 3 8 3 2 2" xfId="36057" xr:uid="{00000000-0005-0000-0000-0000C8890000}"/>
    <cellStyle name="Normal 11 2 3 8 3 2 2 2" xfId="36058" xr:uid="{00000000-0005-0000-0000-0000C9890000}"/>
    <cellStyle name="Normal 11 2 3 8 3 2 3" xfId="36059" xr:uid="{00000000-0005-0000-0000-0000CA890000}"/>
    <cellStyle name="Normal 11 2 3 8 3 3" xfId="36060" xr:uid="{00000000-0005-0000-0000-0000CB890000}"/>
    <cellStyle name="Normal 11 2 3 8 3 3 2" xfId="36061" xr:uid="{00000000-0005-0000-0000-0000CC890000}"/>
    <cellStyle name="Normal 11 2 3 8 3 4" xfId="36062" xr:uid="{00000000-0005-0000-0000-0000CD890000}"/>
    <cellStyle name="Normal 11 2 3 8 4" xfId="36063" xr:uid="{00000000-0005-0000-0000-0000CE890000}"/>
    <cellStyle name="Normal 11 2 3 8 4 2" xfId="36064" xr:uid="{00000000-0005-0000-0000-0000CF890000}"/>
    <cellStyle name="Normal 11 2 3 8 4 2 2" xfId="36065" xr:uid="{00000000-0005-0000-0000-0000D0890000}"/>
    <cellStyle name="Normal 11 2 3 8 4 3" xfId="36066" xr:uid="{00000000-0005-0000-0000-0000D1890000}"/>
    <cellStyle name="Normal 11 2 3 8 5" xfId="36067" xr:uid="{00000000-0005-0000-0000-0000D2890000}"/>
    <cellStyle name="Normal 11 2 3 8 5 2" xfId="36068" xr:uid="{00000000-0005-0000-0000-0000D3890000}"/>
    <cellStyle name="Normal 11 2 3 8 6" xfId="36069" xr:uid="{00000000-0005-0000-0000-0000D4890000}"/>
    <cellStyle name="Normal 11 2 3 8 7" xfId="36046" xr:uid="{00000000-0005-0000-0000-0000D5890000}"/>
    <cellStyle name="Normal 11 2 3 9" xfId="36070" xr:uid="{00000000-0005-0000-0000-0000D6890000}"/>
    <cellStyle name="Normal 11 2 3 9 2" xfId="36071" xr:uid="{00000000-0005-0000-0000-0000D7890000}"/>
    <cellStyle name="Normal 11 2 3 9 2 2" xfId="36072" xr:uid="{00000000-0005-0000-0000-0000D8890000}"/>
    <cellStyle name="Normal 11 2 3 9 2 2 2" xfId="36073" xr:uid="{00000000-0005-0000-0000-0000D9890000}"/>
    <cellStyle name="Normal 11 2 3 9 2 2 2 2" xfId="36074" xr:uid="{00000000-0005-0000-0000-0000DA890000}"/>
    <cellStyle name="Normal 11 2 3 9 2 2 3" xfId="36075" xr:uid="{00000000-0005-0000-0000-0000DB890000}"/>
    <cellStyle name="Normal 11 2 3 9 2 3" xfId="36076" xr:uid="{00000000-0005-0000-0000-0000DC890000}"/>
    <cellStyle name="Normal 11 2 3 9 2 3 2" xfId="36077" xr:uid="{00000000-0005-0000-0000-0000DD890000}"/>
    <cellStyle name="Normal 11 2 3 9 2 4" xfId="36078" xr:uid="{00000000-0005-0000-0000-0000DE890000}"/>
    <cellStyle name="Normal 11 2 3 9 3" xfId="36079" xr:uid="{00000000-0005-0000-0000-0000DF890000}"/>
    <cellStyle name="Normal 11 2 3 9 3 2" xfId="36080" xr:uid="{00000000-0005-0000-0000-0000E0890000}"/>
    <cellStyle name="Normal 11 2 3 9 3 2 2" xfId="36081" xr:uid="{00000000-0005-0000-0000-0000E1890000}"/>
    <cellStyle name="Normal 11 2 3 9 3 3" xfId="36082" xr:uid="{00000000-0005-0000-0000-0000E2890000}"/>
    <cellStyle name="Normal 11 2 3 9 4" xfId="36083" xr:uid="{00000000-0005-0000-0000-0000E3890000}"/>
    <cellStyle name="Normal 11 2 3 9 4 2" xfId="36084" xr:uid="{00000000-0005-0000-0000-0000E4890000}"/>
    <cellStyle name="Normal 11 2 3 9 5" xfId="36085" xr:uid="{00000000-0005-0000-0000-0000E5890000}"/>
    <cellStyle name="Normal 11 2 4" xfId="584" xr:uid="{00000000-0005-0000-0000-0000E6890000}"/>
    <cellStyle name="Normal 11 2 4 10" xfId="36087" xr:uid="{00000000-0005-0000-0000-0000E7890000}"/>
    <cellStyle name="Normal 11 2 4 10 2" xfId="36088" xr:uid="{00000000-0005-0000-0000-0000E8890000}"/>
    <cellStyle name="Normal 11 2 4 10 2 2" xfId="36089" xr:uid="{00000000-0005-0000-0000-0000E9890000}"/>
    <cellStyle name="Normal 11 2 4 10 2 2 2" xfId="36090" xr:uid="{00000000-0005-0000-0000-0000EA890000}"/>
    <cellStyle name="Normal 11 2 4 10 2 3" xfId="36091" xr:uid="{00000000-0005-0000-0000-0000EB890000}"/>
    <cellStyle name="Normal 11 2 4 10 3" xfId="36092" xr:uid="{00000000-0005-0000-0000-0000EC890000}"/>
    <cellStyle name="Normal 11 2 4 10 3 2" xfId="36093" xr:uid="{00000000-0005-0000-0000-0000ED890000}"/>
    <cellStyle name="Normal 11 2 4 10 4" xfId="36094" xr:uid="{00000000-0005-0000-0000-0000EE890000}"/>
    <cellStyle name="Normal 11 2 4 11" xfId="36095" xr:uid="{00000000-0005-0000-0000-0000EF890000}"/>
    <cellStyle name="Normal 11 2 4 11 2" xfId="36096" xr:uid="{00000000-0005-0000-0000-0000F0890000}"/>
    <cellStyle name="Normal 11 2 4 11 2 2" xfId="36097" xr:uid="{00000000-0005-0000-0000-0000F1890000}"/>
    <cellStyle name="Normal 11 2 4 11 2 2 2" xfId="36098" xr:uid="{00000000-0005-0000-0000-0000F2890000}"/>
    <cellStyle name="Normal 11 2 4 11 2 3" xfId="36099" xr:uid="{00000000-0005-0000-0000-0000F3890000}"/>
    <cellStyle name="Normal 11 2 4 11 3" xfId="36100" xr:uid="{00000000-0005-0000-0000-0000F4890000}"/>
    <cellStyle name="Normal 11 2 4 11 3 2" xfId="36101" xr:uid="{00000000-0005-0000-0000-0000F5890000}"/>
    <cellStyle name="Normal 11 2 4 11 4" xfId="36102" xr:uid="{00000000-0005-0000-0000-0000F6890000}"/>
    <cellStyle name="Normal 11 2 4 12" xfId="36103" xr:uid="{00000000-0005-0000-0000-0000F7890000}"/>
    <cellStyle name="Normal 11 2 4 12 2" xfId="36104" xr:uid="{00000000-0005-0000-0000-0000F8890000}"/>
    <cellStyle name="Normal 11 2 4 12 2 2" xfId="36105" xr:uid="{00000000-0005-0000-0000-0000F9890000}"/>
    <cellStyle name="Normal 11 2 4 12 2 2 2" xfId="36106" xr:uid="{00000000-0005-0000-0000-0000FA890000}"/>
    <cellStyle name="Normal 11 2 4 12 2 3" xfId="36107" xr:uid="{00000000-0005-0000-0000-0000FB890000}"/>
    <cellStyle name="Normal 11 2 4 12 3" xfId="36108" xr:uid="{00000000-0005-0000-0000-0000FC890000}"/>
    <cellStyle name="Normal 11 2 4 12 3 2" xfId="36109" xr:uid="{00000000-0005-0000-0000-0000FD890000}"/>
    <cellStyle name="Normal 11 2 4 12 4" xfId="36110" xr:uid="{00000000-0005-0000-0000-0000FE890000}"/>
    <cellStyle name="Normal 11 2 4 13" xfId="36111" xr:uid="{00000000-0005-0000-0000-0000FF890000}"/>
    <cellStyle name="Normal 11 2 4 13 2" xfId="36112" xr:uid="{00000000-0005-0000-0000-0000008A0000}"/>
    <cellStyle name="Normal 11 2 4 13 2 2" xfId="36113" xr:uid="{00000000-0005-0000-0000-0000018A0000}"/>
    <cellStyle name="Normal 11 2 4 13 3" xfId="36114" xr:uid="{00000000-0005-0000-0000-0000028A0000}"/>
    <cellStyle name="Normal 11 2 4 14" xfId="36115" xr:uid="{00000000-0005-0000-0000-0000038A0000}"/>
    <cellStyle name="Normal 11 2 4 14 2" xfId="36116" xr:uid="{00000000-0005-0000-0000-0000048A0000}"/>
    <cellStyle name="Normal 11 2 4 14 2 2" xfId="36117" xr:uid="{00000000-0005-0000-0000-0000058A0000}"/>
    <cellStyle name="Normal 11 2 4 14 3" xfId="36118" xr:uid="{00000000-0005-0000-0000-0000068A0000}"/>
    <cellStyle name="Normal 11 2 4 15" xfId="36119" xr:uid="{00000000-0005-0000-0000-0000078A0000}"/>
    <cellStyle name="Normal 11 2 4 15 2" xfId="36120" xr:uid="{00000000-0005-0000-0000-0000088A0000}"/>
    <cellStyle name="Normal 11 2 4 15 2 2" xfId="36121" xr:uid="{00000000-0005-0000-0000-0000098A0000}"/>
    <cellStyle name="Normal 11 2 4 15 3" xfId="36122" xr:uid="{00000000-0005-0000-0000-00000A8A0000}"/>
    <cellStyle name="Normal 11 2 4 16" xfId="36123" xr:uid="{00000000-0005-0000-0000-00000B8A0000}"/>
    <cellStyle name="Normal 11 2 4 16 2" xfId="36124" xr:uid="{00000000-0005-0000-0000-00000C8A0000}"/>
    <cellStyle name="Normal 11 2 4 17" xfId="36125" xr:uid="{00000000-0005-0000-0000-00000D8A0000}"/>
    <cellStyle name="Normal 11 2 4 18" xfId="36126" xr:uid="{00000000-0005-0000-0000-00000E8A0000}"/>
    <cellStyle name="Normal 11 2 4 19" xfId="36086" xr:uid="{00000000-0005-0000-0000-00000F8A0000}"/>
    <cellStyle name="Normal 11 2 4 2" xfId="585" xr:uid="{00000000-0005-0000-0000-0000108A0000}"/>
    <cellStyle name="Normal 11 2 4 2 10" xfId="36128" xr:uid="{00000000-0005-0000-0000-0000118A0000}"/>
    <cellStyle name="Normal 11 2 4 2 10 2" xfId="36129" xr:uid="{00000000-0005-0000-0000-0000128A0000}"/>
    <cellStyle name="Normal 11 2 4 2 10 2 2" xfId="36130" xr:uid="{00000000-0005-0000-0000-0000138A0000}"/>
    <cellStyle name="Normal 11 2 4 2 10 2 2 2" xfId="36131" xr:uid="{00000000-0005-0000-0000-0000148A0000}"/>
    <cellStyle name="Normal 11 2 4 2 10 2 3" xfId="36132" xr:uid="{00000000-0005-0000-0000-0000158A0000}"/>
    <cellStyle name="Normal 11 2 4 2 10 3" xfId="36133" xr:uid="{00000000-0005-0000-0000-0000168A0000}"/>
    <cellStyle name="Normal 11 2 4 2 10 3 2" xfId="36134" xr:uid="{00000000-0005-0000-0000-0000178A0000}"/>
    <cellStyle name="Normal 11 2 4 2 10 4" xfId="36135" xr:uid="{00000000-0005-0000-0000-0000188A0000}"/>
    <cellStyle name="Normal 11 2 4 2 11" xfId="36136" xr:uid="{00000000-0005-0000-0000-0000198A0000}"/>
    <cellStyle name="Normal 11 2 4 2 11 2" xfId="36137" xr:uid="{00000000-0005-0000-0000-00001A8A0000}"/>
    <cellStyle name="Normal 11 2 4 2 11 2 2" xfId="36138" xr:uid="{00000000-0005-0000-0000-00001B8A0000}"/>
    <cellStyle name="Normal 11 2 4 2 11 2 2 2" xfId="36139" xr:uid="{00000000-0005-0000-0000-00001C8A0000}"/>
    <cellStyle name="Normal 11 2 4 2 11 2 3" xfId="36140" xr:uid="{00000000-0005-0000-0000-00001D8A0000}"/>
    <cellStyle name="Normal 11 2 4 2 11 3" xfId="36141" xr:uid="{00000000-0005-0000-0000-00001E8A0000}"/>
    <cellStyle name="Normal 11 2 4 2 11 3 2" xfId="36142" xr:uid="{00000000-0005-0000-0000-00001F8A0000}"/>
    <cellStyle name="Normal 11 2 4 2 11 4" xfId="36143" xr:uid="{00000000-0005-0000-0000-0000208A0000}"/>
    <cellStyle name="Normal 11 2 4 2 12" xfId="36144" xr:uid="{00000000-0005-0000-0000-0000218A0000}"/>
    <cellStyle name="Normal 11 2 4 2 12 2" xfId="36145" xr:uid="{00000000-0005-0000-0000-0000228A0000}"/>
    <cellStyle name="Normal 11 2 4 2 12 2 2" xfId="36146" xr:uid="{00000000-0005-0000-0000-0000238A0000}"/>
    <cellStyle name="Normal 11 2 4 2 12 3" xfId="36147" xr:uid="{00000000-0005-0000-0000-0000248A0000}"/>
    <cellStyle name="Normal 11 2 4 2 13" xfId="36148" xr:uid="{00000000-0005-0000-0000-0000258A0000}"/>
    <cellStyle name="Normal 11 2 4 2 13 2" xfId="36149" xr:uid="{00000000-0005-0000-0000-0000268A0000}"/>
    <cellStyle name="Normal 11 2 4 2 13 2 2" xfId="36150" xr:uid="{00000000-0005-0000-0000-0000278A0000}"/>
    <cellStyle name="Normal 11 2 4 2 13 3" xfId="36151" xr:uid="{00000000-0005-0000-0000-0000288A0000}"/>
    <cellStyle name="Normal 11 2 4 2 14" xfId="36152" xr:uid="{00000000-0005-0000-0000-0000298A0000}"/>
    <cellStyle name="Normal 11 2 4 2 14 2" xfId="36153" xr:uid="{00000000-0005-0000-0000-00002A8A0000}"/>
    <cellStyle name="Normal 11 2 4 2 14 2 2" xfId="36154" xr:uid="{00000000-0005-0000-0000-00002B8A0000}"/>
    <cellStyle name="Normal 11 2 4 2 14 3" xfId="36155" xr:uid="{00000000-0005-0000-0000-00002C8A0000}"/>
    <cellStyle name="Normal 11 2 4 2 15" xfId="36156" xr:uid="{00000000-0005-0000-0000-00002D8A0000}"/>
    <cellStyle name="Normal 11 2 4 2 15 2" xfId="36157" xr:uid="{00000000-0005-0000-0000-00002E8A0000}"/>
    <cellStyle name="Normal 11 2 4 2 16" xfId="36158" xr:uid="{00000000-0005-0000-0000-00002F8A0000}"/>
    <cellStyle name="Normal 11 2 4 2 17" xfId="36159" xr:uid="{00000000-0005-0000-0000-0000308A0000}"/>
    <cellStyle name="Normal 11 2 4 2 18" xfId="36127" xr:uid="{00000000-0005-0000-0000-0000318A0000}"/>
    <cellStyle name="Normal 11 2 4 2 2" xfId="586" xr:uid="{00000000-0005-0000-0000-0000328A0000}"/>
    <cellStyle name="Normal 11 2 4 2 2 10" xfId="36161" xr:uid="{00000000-0005-0000-0000-0000338A0000}"/>
    <cellStyle name="Normal 11 2 4 2 2 10 2" xfId="36162" xr:uid="{00000000-0005-0000-0000-0000348A0000}"/>
    <cellStyle name="Normal 11 2 4 2 2 10 2 2" xfId="36163" xr:uid="{00000000-0005-0000-0000-0000358A0000}"/>
    <cellStyle name="Normal 11 2 4 2 2 10 2 2 2" xfId="36164" xr:uid="{00000000-0005-0000-0000-0000368A0000}"/>
    <cellStyle name="Normal 11 2 4 2 2 10 2 3" xfId="36165" xr:uid="{00000000-0005-0000-0000-0000378A0000}"/>
    <cellStyle name="Normal 11 2 4 2 2 10 3" xfId="36166" xr:uid="{00000000-0005-0000-0000-0000388A0000}"/>
    <cellStyle name="Normal 11 2 4 2 2 10 3 2" xfId="36167" xr:uid="{00000000-0005-0000-0000-0000398A0000}"/>
    <cellStyle name="Normal 11 2 4 2 2 10 4" xfId="36168" xr:uid="{00000000-0005-0000-0000-00003A8A0000}"/>
    <cellStyle name="Normal 11 2 4 2 2 11" xfId="36169" xr:uid="{00000000-0005-0000-0000-00003B8A0000}"/>
    <cellStyle name="Normal 11 2 4 2 2 11 2" xfId="36170" xr:uid="{00000000-0005-0000-0000-00003C8A0000}"/>
    <cellStyle name="Normal 11 2 4 2 2 11 2 2" xfId="36171" xr:uid="{00000000-0005-0000-0000-00003D8A0000}"/>
    <cellStyle name="Normal 11 2 4 2 2 11 3" xfId="36172" xr:uid="{00000000-0005-0000-0000-00003E8A0000}"/>
    <cellStyle name="Normal 11 2 4 2 2 12" xfId="36173" xr:uid="{00000000-0005-0000-0000-00003F8A0000}"/>
    <cellStyle name="Normal 11 2 4 2 2 12 2" xfId="36174" xr:uid="{00000000-0005-0000-0000-0000408A0000}"/>
    <cellStyle name="Normal 11 2 4 2 2 12 2 2" xfId="36175" xr:uid="{00000000-0005-0000-0000-0000418A0000}"/>
    <cellStyle name="Normal 11 2 4 2 2 12 3" xfId="36176" xr:uid="{00000000-0005-0000-0000-0000428A0000}"/>
    <cellStyle name="Normal 11 2 4 2 2 13" xfId="36177" xr:uid="{00000000-0005-0000-0000-0000438A0000}"/>
    <cellStyle name="Normal 11 2 4 2 2 13 2" xfId="36178" xr:uid="{00000000-0005-0000-0000-0000448A0000}"/>
    <cellStyle name="Normal 11 2 4 2 2 13 2 2" xfId="36179" xr:uid="{00000000-0005-0000-0000-0000458A0000}"/>
    <cellStyle name="Normal 11 2 4 2 2 13 3" xfId="36180" xr:uid="{00000000-0005-0000-0000-0000468A0000}"/>
    <cellStyle name="Normal 11 2 4 2 2 14" xfId="36181" xr:uid="{00000000-0005-0000-0000-0000478A0000}"/>
    <cellStyle name="Normal 11 2 4 2 2 14 2" xfId="36182" xr:uid="{00000000-0005-0000-0000-0000488A0000}"/>
    <cellStyle name="Normal 11 2 4 2 2 15" xfId="36183" xr:uid="{00000000-0005-0000-0000-0000498A0000}"/>
    <cellStyle name="Normal 11 2 4 2 2 16" xfId="36184" xr:uid="{00000000-0005-0000-0000-00004A8A0000}"/>
    <cellStyle name="Normal 11 2 4 2 2 17" xfId="36160" xr:uid="{00000000-0005-0000-0000-00004B8A0000}"/>
    <cellStyle name="Normal 11 2 4 2 2 2" xfId="587" xr:uid="{00000000-0005-0000-0000-00004C8A0000}"/>
    <cellStyle name="Normal 11 2 4 2 2 2 10" xfId="36186" xr:uid="{00000000-0005-0000-0000-00004D8A0000}"/>
    <cellStyle name="Normal 11 2 4 2 2 2 10 2" xfId="36187" xr:uid="{00000000-0005-0000-0000-00004E8A0000}"/>
    <cellStyle name="Normal 11 2 4 2 2 2 10 2 2" xfId="36188" xr:uid="{00000000-0005-0000-0000-00004F8A0000}"/>
    <cellStyle name="Normal 11 2 4 2 2 2 10 3" xfId="36189" xr:uid="{00000000-0005-0000-0000-0000508A0000}"/>
    <cellStyle name="Normal 11 2 4 2 2 2 11" xfId="36190" xr:uid="{00000000-0005-0000-0000-0000518A0000}"/>
    <cellStyle name="Normal 11 2 4 2 2 2 11 2" xfId="36191" xr:uid="{00000000-0005-0000-0000-0000528A0000}"/>
    <cellStyle name="Normal 11 2 4 2 2 2 11 2 2" xfId="36192" xr:uid="{00000000-0005-0000-0000-0000538A0000}"/>
    <cellStyle name="Normal 11 2 4 2 2 2 11 3" xfId="36193" xr:uid="{00000000-0005-0000-0000-0000548A0000}"/>
    <cellStyle name="Normal 11 2 4 2 2 2 12" xfId="36194" xr:uid="{00000000-0005-0000-0000-0000558A0000}"/>
    <cellStyle name="Normal 11 2 4 2 2 2 12 2" xfId="36195" xr:uid="{00000000-0005-0000-0000-0000568A0000}"/>
    <cellStyle name="Normal 11 2 4 2 2 2 13" xfId="36196" xr:uid="{00000000-0005-0000-0000-0000578A0000}"/>
    <cellStyle name="Normal 11 2 4 2 2 2 14" xfId="36197" xr:uid="{00000000-0005-0000-0000-0000588A0000}"/>
    <cellStyle name="Normal 11 2 4 2 2 2 15" xfId="36185" xr:uid="{00000000-0005-0000-0000-0000598A0000}"/>
    <cellStyle name="Normal 11 2 4 2 2 2 2" xfId="1029" xr:uid="{00000000-0005-0000-0000-00005A8A0000}"/>
    <cellStyle name="Normal 11 2 4 2 2 2 2 10" xfId="36199" xr:uid="{00000000-0005-0000-0000-00005B8A0000}"/>
    <cellStyle name="Normal 11 2 4 2 2 2 2 11" xfId="36198" xr:uid="{00000000-0005-0000-0000-00005C8A0000}"/>
    <cellStyle name="Normal 11 2 4 2 2 2 2 2" xfId="1758" xr:uid="{00000000-0005-0000-0000-00005D8A0000}"/>
    <cellStyle name="Normal 11 2 4 2 2 2 2 2 2" xfId="36201" xr:uid="{00000000-0005-0000-0000-00005E8A0000}"/>
    <cellStyle name="Normal 11 2 4 2 2 2 2 2 2 2" xfId="36202" xr:uid="{00000000-0005-0000-0000-00005F8A0000}"/>
    <cellStyle name="Normal 11 2 4 2 2 2 2 2 2 2 2" xfId="36203" xr:uid="{00000000-0005-0000-0000-0000608A0000}"/>
    <cellStyle name="Normal 11 2 4 2 2 2 2 2 2 2 2 2" xfId="36204" xr:uid="{00000000-0005-0000-0000-0000618A0000}"/>
    <cellStyle name="Normal 11 2 4 2 2 2 2 2 2 2 3" xfId="36205" xr:uid="{00000000-0005-0000-0000-0000628A0000}"/>
    <cellStyle name="Normal 11 2 4 2 2 2 2 2 2 3" xfId="36206" xr:uid="{00000000-0005-0000-0000-0000638A0000}"/>
    <cellStyle name="Normal 11 2 4 2 2 2 2 2 2 3 2" xfId="36207" xr:uid="{00000000-0005-0000-0000-0000648A0000}"/>
    <cellStyle name="Normal 11 2 4 2 2 2 2 2 2 4" xfId="36208" xr:uid="{00000000-0005-0000-0000-0000658A0000}"/>
    <cellStyle name="Normal 11 2 4 2 2 2 2 2 3" xfId="36209" xr:uid="{00000000-0005-0000-0000-0000668A0000}"/>
    <cellStyle name="Normal 11 2 4 2 2 2 2 2 3 2" xfId="36210" xr:uid="{00000000-0005-0000-0000-0000678A0000}"/>
    <cellStyle name="Normal 11 2 4 2 2 2 2 2 3 2 2" xfId="36211" xr:uid="{00000000-0005-0000-0000-0000688A0000}"/>
    <cellStyle name="Normal 11 2 4 2 2 2 2 2 3 2 2 2" xfId="36212" xr:uid="{00000000-0005-0000-0000-0000698A0000}"/>
    <cellStyle name="Normal 11 2 4 2 2 2 2 2 3 2 3" xfId="36213" xr:uid="{00000000-0005-0000-0000-00006A8A0000}"/>
    <cellStyle name="Normal 11 2 4 2 2 2 2 2 3 3" xfId="36214" xr:uid="{00000000-0005-0000-0000-00006B8A0000}"/>
    <cellStyle name="Normal 11 2 4 2 2 2 2 2 3 3 2" xfId="36215" xr:uid="{00000000-0005-0000-0000-00006C8A0000}"/>
    <cellStyle name="Normal 11 2 4 2 2 2 2 2 3 4" xfId="36216" xr:uid="{00000000-0005-0000-0000-00006D8A0000}"/>
    <cellStyle name="Normal 11 2 4 2 2 2 2 2 4" xfId="36217" xr:uid="{00000000-0005-0000-0000-00006E8A0000}"/>
    <cellStyle name="Normal 11 2 4 2 2 2 2 2 4 2" xfId="36218" xr:uid="{00000000-0005-0000-0000-00006F8A0000}"/>
    <cellStyle name="Normal 11 2 4 2 2 2 2 2 4 2 2" xfId="36219" xr:uid="{00000000-0005-0000-0000-0000708A0000}"/>
    <cellStyle name="Normal 11 2 4 2 2 2 2 2 4 3" xfId="36220" xr:uid="{00000000-0005-0000-0000-0000718A0000}"/>
    <cellStyle name="Normal 11 2 4 2 2 2 2 2 5" xfId="36221" xr:uid="{00000000-0005-0000-0000-0000728A0000}"/>
    <cellStyle name="Normal 11 2 4 2 2 2 2 2 5 2" xfId="36222" xr:uid="{00000000-0005-0000-0000-0000738A0000}"/>
    <cellStyle name="Normal 11 2 4 2 2 2 2 2 6" xfId="36223" xr:uid="{00000000-0005-0000-0000-0000748A0000}"/>
    <cellStyle name="Normal 11 2 4 2 2 2 2 2 7" xfId="36200" xr:uid="{00000000-0005-0000-0000-0000758A0000}"/>
    <cellStyle name="Normal 11 2 4 2 2 2 2 3" xfId="36224" xr:uid="{00000000-0005-0000-0000-0000768A0000}"/>
    <cellStyle name="Normal 11 2 4 2 2 2 2 3 2" xfId="36225" xr:uid="{00000000-0005-0000-0000-0000778A0000}"/>
    <cellStyle name="Normal 11 2 4 2 2 2 2 3 2 2" xfId="36226" xr:uid="{00000000-0005-0000-0000-0000788A0000}"/>
    <cellStyle name="Normal 11 2 4 2 2 2 2 3 2 2 2" xfId="36227" xr:uid="{00000000-0005-0000-0000-0000798A0000}"/>
    <cellStyle name="Normal 11 2 4 2 2 2 2 3 2 2 2 2" xfId="36228" xr:uid="{00000000-0005-0000-0000-00007A8A0000}"/>
    <cellStyle name="Normal 11 2 4 2 2 2 2 3 2 2 3" xfId="36229" xr:uid="{00000000-0005-0000-0000-00007B8A0000}"/>
    <cellStyle name="Normal 11 2 4 2 2 2 2 3 2 3" xfId="36230" xr:uid="{00000000-0005-0000-0000-00007C8A0000}"/>
    <cellStyle name="Normal 11 2 4 2 2 2 2 3 2 3 2" xfId="36231" xr:uid="{00000000-0005-0000-0000-00007D8A0000}"/>
    <cellStyle name="Normal 11 2 4 2 2 2 2 3 2 4" xfId="36232" xr:uid="{00000000-0005-0000-0000-00007E8A0000}"/>
    <cellStyle name="Normal 11 2 4 2 2 2 2 3 3" xfId="36233" xr:uid="{00000000-0005-0000-0000-00007F8A0000}"/>
    <cellStyle name="Normal 11 2 4 2 2 2 2 3 3 2" xfId="36234" xr:uid="{00000000-0005-0000-0000-0000808A0000}"/>
    <cellStyle name="Normal 11 2 4 2 2 2 2 3 3 2 2" xfId="36235" xr:uid="{00000000-0005-0000-0000-0000818A0000}"/>
    <cellStyle name="Normal 11 2 4 2 2 2 2 3 3 3" xfId="36236" xr:uid="{00000000-0005-0000-0000-0000828A0000}"/>
    <cellStyle name="Normal 11 2 4 2 2 2 2 3 4" xfId="36237" xr:uid="{00000000-0005-0000-0000-0000838A0000}"/>
    <cellStyle name="Normal 11 2 4 2 2 2 2 3 4 2" xfId="36238" xr:uid="{00000000-0005-0000-0000-0000848A0000}"/>
    <cellStyle name="Normal 11 2 4 2 2 2 2 3 5" xfId="36239" xr:uid="{00000000-0005-0000-0000-0000858A0000}"/>
    <cellStyle name="Normal 11 2 4 2 2 2 2 4" xfId="36240" xr:uid="{00000000-0005-0000-0000-0000868A0000}"/>
    <cellStyle name="Normal 11 2 4 2 2 2 2 4 2" xfId="36241" xr:uid="{00000000-0005-0000-0000-0000878A0000}"/>
    <cellStyle name="Normal 11 2 4 2 2 2 2 4 2 2" xfId="36242" xr:uid="{00000000-0005-0000-0000-0000888A0000}"/>
    <cellStyle name="Normal 11 2 4 2 2 2 2 4 2 2 2" xfId="36243" xr:uid="{00000000-0005-0000-0000-0000898A0000}"/>
    <cellStyle name="Normal 11 2 4 2 2 2 2 4 2 2 2 2" xfId="36244" xr:uid="{00000000-0005-0000-0000-00008A8A0000}"/>
    <cellStyle name="Normal 11 2 4 2 2 2 2 4 2 2 3" xfId="36245" xr:uid="{00000000-0005-0000-0000-00008B8A0000}"/>
    <cellStyle name="Normal 11 2 4 2 2 2 2 4 2 3" xfId="36246" xr:uid="{00000000-0005-0000-0000-00008C8A0000}"/>
    <cellStyle name="Normal 11 2 4 2 2 2 2 4 2 3 2" xfId="36247" xr:uid="{00000000-0005-0000-0000-00008D8A0000}"/>
    <cellStyle name="Normal 11 2 4 2 2 2 2 4 2 4" xfId="36248" xr:uid="{00000000-0005-0000-0000-00008E8A0000}"/>
    <cellStyle name="Normal 11 2 4 2 2 2 2 4 3" xfId="36249" xr:uid="{00000000-0005-0000-0000-00008F8A0000}"/>
    <cellStyle name="Normal 11 2 4 2 2 2 2 4 3 2" xfId="36250" xr:uid="{00000000-0005-0000-0000-0000908A0000}"/>
    <cellStyle name="Normal 11 2 4 2 2 2 2 4 3 2 2" xfId="36251" xr:uid="{00000000-0005-0000-0000-0000918A0000}"/>
    <cellStyle name="Normal 11 2 4 2 2 2 2 4 3 3" xfId="36252" xr:uid="{00000000-0005-0000-0000-0000928A0000}"/>
    <cellStyle name="Normal 11 2 4 2 2 2 2 4 4" xfId="36253" xr:uid="{00000000-0005-0000-0000-0000938A0000}"/>
    <cellStyle name="Normal 11 2 4 2 2 2 2 4 4 2" xfId="36254" xr:uid="{00000000-0005-0000-0000-0000948A0000}"/>
    <cellStyle name="Normal 11 2 4 2 2 2 2 4 5" xfId="36255" xr:uid="{00000000-0005-0000-0000-0000958A0000}"/>
    <cellStyle name="Normal 11 2 4 2 2 2 2 5" xfId="36256" xr:uid="{00000000-0005-0000-0000-0000968A0000}"/>
    <cellStyle name="Normal 11 2 4 2 2 2 2 5 2" xfId="36257" xr:uid="{00000000-0005-0000-0000-0000978A0000}"/>
    <cellStyle name="Normal 11 2 4 2 2 2 2 5 2 2" xfId="36258" xr:uid="{00000000-0005-0000-0000-0000988A0000}"/>
    <cellStyle name="Normal 11 2 4 2 2 2 2 5 2 2 2" xfId="36259" xr:uid="{00000000-0005-0000-0000-0000998A0000}"/>
    <cellStyle name="Normal 11 2 4 2 2 2 2 5 2 3" xfId="36260" xr:uid="{00000000-0005-0000-0000-00009A8A0000}"/>
    <cellStyle name="Normal 11 2 4 2 2 2 2 5 3" xfId="36261" xr:uid="{00000000-0005-0000-0000-00009B8A0000}"/>
    <cellStyle name="Normal 11 2 4 2 2 2 2 5 3 2" xfId="36262" xr:uid="{00000000-0005-0000-0000-00009C8A0000}"/>
    <cellStyle name="Normal 11 2 4 2 2 2 2 5 4" xfId="36263" xr:uid="{00000000-0005-0000-0000-00009D8A0000}"/>
    <cellStyle name="Normal 11 2 4 2 2 2 2 6" xfId="36264" xr:uid="{00000000-0005-0000-0000-00009E8A0000}"/>
    <cellStyle name="Normal 11 2 4 2 2 2 2 6 2" xfId="36265" xr:uid="{00000000-0005-0000-0000-00009F8A0000}"/>
    <cellStyle name="Normal 11 2 4 2 2 2 2 6 2 2" xfId="36266" xr:uid="{00000000-0005-0000-0000-0000A08A0000}"/>
    <cellStyle name="Normal 11 2 4 2 2 2 2 6 2 2 2" xfId="36267" xr:uid="{00000000-0005-0000-0000-0000A18A0000}"/>
    <cellStyle name="Normal 11 2 4 2 2 2 2 6 2 3" xfId="36268" xr:uid="{00000000-0005-0000-0000-0000A28A0000}"/>
    <cellStyle name="Normal 11 2 4 2 2 2 2 6 3" xfId="36269" xr:uid="{00000000-0005-0000-0000-0000A38A0000}"/>
    <cellStyle name="Normal 11 2 4 2 2 2 2 6 3 2" xfId="36270" xr:uid="{00000000-0005-0000-0000-0000A48A0000}"/>
    <cellStyle name="Normal 11 2 4 2 2 2 2 6 4" xfId="36271" xr:uid="{00000000-0005-0000-0000-0000A58A0000}"/>
    <cellStyle name="Normal 11 2 4 2 2 2 2 7" xfId="36272" xr:uid="{00000000-0005-0000-0000-0000A68A0000}"/>
    <cellStyle name="Normal 11 2 4 2 2 2 2 7 2" xfId="36273" xr:uid="{00000000-0005-0000-0000-0000A78A0000}"/>
    <cellStyle name="Normal 11 2 4 2 2 2 2 7 2 2" xfId="36274" xr:uid="{00000000-0005-0000-0000-0000A88A0000}"/>
    <cellStyle name="Normal 11 2 4 2 2 2 2 7 2 2 2" xfId="36275" xr:uid="{00000000-0005-0000-0000-0000A98A0000}"/>
    <cellStyle name="Normal 11 2 4 2 2 2 2 7 2 3" xfId="36276" xr:uid="{00000000-0005-0000-0000-0000AA8A0000}"/>
    <cellStyle name="Normal 11 2 4 2 2 2 2 7 3" xfId="36277" xr:uid="{00000000-0005-0000-0000-0000AB8A0000}"/>
    <cellStyle name="Normal 11 2 4 2 2 2 2 7 3 2" xfId="36278" xr:uid="{00000000-0005-0000-0000-0000AC8A0000}"/>
    <cellStyle name="Normal 11 2 4 2 2 2 2 7 4" xfId="36279" xr:uid="{00000000-0005-0000-0000-0000AD8A0000}"/>
    <cellStyle name="Normal 11 2 4 2 2 2 2 8" xfId="36280" xr:uid="{00000000-0005-0000-0000-0000AE8A0000}"/>
    <cellStyle name="Normal 11 2 4 2 2 2 2 8 2" xfId="36281" xr:uid="{00000000-0005-0000-0000-0000AF8A0000}"/>
    <cellStyle name="Normal 11 2 4 2 2 2 2 8 2 2" xfId="36282" xr:uid="{00000000-0005-0000-0000-0000B08A0000}"/>
    <cellStyle name="Normal 11 2 4 2 2 2 2 8 3" xfId="36283" xr:uid="{00000000-0005-0000-0000-0000B18A0000}"/>
    <cellStyle name="Normal 11 2 4 2 2 2 2 9" xfId="36284" xr:uid="{00000000-0005-0000-0000-0000B28A0000}"/>
    <cellStyle name="Normal 11 2 4 2 2 2 2 9 2" xfId="36285" xr:uid="{00000000-0005-0000-0000-0000B38A0000}"/>
    <cellStyle name="Normal 11 2 4 2 2 2 3" xfId="1431" xr:uid="{00000000-0005-0000-0000-0000B48A0000}"/>
    <cellStyle name="Normal 11 2 4 2 2 2 3 2" xfId="36287" xr:uid="{00000000-0005-0000-0000-0000B58A0000}"/>
    <cellStyle name="Normal 11 2 4 2 2 2 3 2 2" xfId="36288" xr:uid="{00000000-0005-0000-0000-0000B68A0000}"/>
    <cellStyle name="Normal 11 2 4 2 2 2 3 2 2 2" xfId="36289" xr:uid="{00000000-0005-0000-0000-0000B78A0000}"/>
    <cellStyle name="Normal 11 2 4 2 2 2 3 2 2 2 2" xfId="36290" xr:uid="{00000000-0005-0000-0000-0000B88A0000}"/>
    <cellStyle name="Normal 11 2 4 2 2 2 3 2 2 3" xfId="36291" xr:uid="{00000000-0005-0000-0000-0000B98A0000}"/>
    <cellStyle name="Normal 11 2 4 2 2 2 3 2 3" xfId="36292" xr:uid="{00000000-0005-0000-0000-0000BA8A0000}"/>
    <cellStyle name="Normal 11 2 4 2 2 2 3 2 3 2" xfId="36293" xr:uid="{00000000-0005-0000-0000-0000BB8A0000}"/>
    <cellStyle name="Normal 11 2 4 2 2 2 3 2 4" xfId="36294" xr:uid="{00000000-0005-0000-0000-0000BC8A0000}"/>
    <cellStyle name="Normal 11 2 4 2 2 2 3 3" xfId="36295" xr:uid="{00000000-0005-0000-0000-0000BD8A0000}"/>
    <cellStyle name="Normal 11 2 4 2 2 2 3 3 2" xfId="36296" xr:uid="{00000000-0005-0000-0000-0000BE8A0000}"/>
    <cellStyle name="Normal 11 2 4 2 2 2 3 3 2 2" xfId="36297" xr:uid="{00000000-0005-0000-0000-0000BF8A0000}"/>
    <cellStyle name="Normal 11 2 4 2 2 2 3 3 2 2 2" xfId="36298" xr:uid="{00000000-0005-0000-0000-0000C08A0000}"/>
    <cellStyle name="Normal 11 2 4 2 2 2 3 3 2 3" xfId="36299" xr:uid="{00000000-0005-0000-0000-0000C18A0000}"/>
    <cellStyle name="Normal 11 2 4 2 2 2 3 3 3" xfId="36300" xr:uid="{00000000-0005-0000-0000-0000C28A0000}"/>
    <cellStyle name="Normal 11 2 4 2 2 2 3 3 3 2" xfId="36301" xr:uid="{00000000-0005-0000-0000-0000C38A0000}"/>
    <cellStyle name="Normal 11 2 4 2 2 2 3 3 4" xfId="36302" xr:uid="{00000000-0005-0000-0000-0000C48A0000}"/>
    <cellStyle name="Normal 11 2 4 2 2 2 3 4" xfId="36303" xr:uid="{00000000-0005-0000-0000-0000C58A0000}"/>
    <cellStyle name="Normal 11 2 4 2 2 2 3 4 2" xfId="36304" xr:uid="{00000000-0005-0000-0000-0000C68A0000}"/>
    <cellStyle name="Normal 11 2 4 2 2 2 3 4 2 2" xfId="36305" xr:uid="{00000000-0005-0000-0000-0000C78A0000}"/>
    <cellStyle name="Normal 11 2 4 2 2 2 3 4 3" xfId="36306" xr:uid="{00000000-0005-0000-0000-0000C88A0000}"/>
    <cellStyle name="Normal 11 2 4 2 2 2 3 5" xfId="36307" xr:uid="{00000000-0005-0000-0000-0000C98A0000}"/>
    <cellStyle name="Normal 11 2 4 2 2 2 3 5 2" xfId="36308" xr:uid="{00000000-0005-0000-0000-0000CA8A0000}"/>
    <cellStyle name="Normal 11 2 4 2 2 2 3 6" xfId="36309" xr:uid="{00000000-0005-0000-0000-0000CB8A0000}"/>
    <cellStyle name="Normal 11 2 4 2 2 2 3 7" xfId="36286" xr:uid="{00000000-0005-0000-0000-0000CC8A0000}"/>
    <cellStyle name="Normal 11 2 4 2 2 2 4" xfId="36310" xr:uid="{00000000-0005-0000-0000-0000CD8A0000}"/>
    <cellStyle name="Normal 11 2 4 2 2 2 4 2" xfId="36311" xr:uid="{00000000-0005-0000-0000-0000CE8A0000}"/>
    <cellStyle name="Normal 11 2 4 2 2 2 4 2 2" xfId="36312" xr:uid="{00000000-0005-0000-0000-0000CF8A0000}"/>
    <cellStyle name="Normal 11 2 4 2 2 2 4 2 2 2" xfId="36313" xr:uid="{00000000-0005-0000-0000-0000D08A0000}"/>
    <cellStyle name="Normal 11 2 4 2 2 2 4 2 2 2 2" xfId="36314" xr:uid="{00000000-0005-0000-0000-0000D18A0000}"/>
    <cellStyle name="Normal 11 2 4 2 2 2 4 2 2 3" xfId="36315" xr:uid="{00000000-0005-0000-0000-0000D28A0000}"/>
    <cellStyle name="Normal 11 2 4 2 2 2 4 2 3" xfId="36316" xr:uid="{00000000-0005-0000-0000-0000D38A0000}"/>
    <cellStyle name="Normal 11 2 4 2 2 2 4 2 3 2" xfId="36317" xr:uid="{00000000-0005-0000-0000-0000D48A0000}"/>
    <cellStyle name="Normal 11 2 4 2 2 2 4 2 4" xfId="36318" xr:uid="{00000000-0005-0000-0000-0000D58A0000}"/>
    <cellStyle name="Normal 11 2 4 2 2 2 4 3" xfId="36319" xr:uid="{00000000-0005-0000-0000-0000D68A0000}"/>
    <cellStyle name="Normal 11 2 4 2 2 2 4 3 2" xfId="36320" xr:uid="{00000000-0005-0000-0000-0000D78A0000}"/>
    <cellStyle name="Normal 11 2 4 2 2 2 4 3 2 2" xfId="36321" xr:uid="{00000000-0005-0000-0000-0000D88A0000}"/>
    <cellStyle name="Normal 11 2 4 2 2 2 4 3 3" xfId="36322" xr:uid="{00000000-0005-0000-0000-0000D98A0000}"/>
    <cellStyle name="Normal 11 2 4 2 2 2 4 4" xfId="36323" xr:uid="{00000000-0005-0000-0000-0000DA8A0000}"/>
    <cellStyle name="Normal 11 2 4 2 2 2 4 4 2" xfId="36324" xr:uid="{00000000-0005-0000-0000-0000DB8A0000}"/>
    <cellStyle name="Normal 11 2 4 2 2 2 4 5" xfId="36325" xr:uid="{00000000-0005-0000-0000-0000DC8A0000}"/>
    <cellStyle name="Normal 11 2 4 2 2 2 5" xfId="36326" xr:uid="{00000000-0005-0000-0000-0000DD8A0000}"/>
    <cellStyle name="Normal 11 2 4 2 2 2 5 2" xfId="36327" xr:uid="{00000000-0005-0000-0000-0000DE8A0000}"/>
    <cellStyle name="Normal 11 2 4 2 2 2 5 2 2" xfId="36328" xr:uid="{00000000-0005-0000-0000-0000DF8A0000}"/>
    <cellStyle name="Normal 11 2 4 2 2 2 5 2 2 2" xfId="36329" xr:uid="{00000000-0005-0000-0000-0000E08A0000}"/>
    <cellStyle name="Normal 11 2 4 2 2 2 5 2 2 2 2" xfId="36330" xr:uid="{00000000-0005-0000-0000-0000E18A0000}"/>
    <cellStyle name="Normal 11 2 4 2 2 2 5 2 2 3" xfId="36331" xr:uid="{00000000-0005-0000-0000-0000E28A0000}"/>
    <cellStyle name="Normal 11 2 4 2 2 2 5 2 3" xfId="36332" xr:uid="{00000000-0005-0000-0000-0000E38A0000}"/>
    <cellStyle name="Normal 11 2 4 2 2 2 5 2 3 2" xfId="36333" xr:uid="{00000000-0005-0000-0000-0000E48A0000}"/>
    <cellStyle name="Normal 11 2 4 2 2 2 5 2 4" xfId="36334" xr:uid="{00000000-0005-0000-0000-0000E58A0000}"/>
    <cellStyle name="Normal 11 2 4 2 2 2 5 3" xfId="36335" xr:uid="{00000000-0005-0000-0000-0000E68A0000}"/>
    <cellStyle name="Normal 11 2 4 2 2 2 5 3 2" xfId="36336" xr:uid="{00000000-0005-0000-0000-0000E78A0000}"/>
    <cellStyle name="Normal 11 2 4 2 2 2 5 3 2 2" xfId="36337" xr:uid="{00000000-0005-0000-0000-0000E88A0000}"/>
    <cellStyle name="Normal 11 2 4 2 2 2 5 3 3" xfId="36338" xr:uid="{00000000-0005-0000-0000-0000E98A0000}"/>
    <cellStyle name="Normal 11 2 4 2 2 2 5 4" xfId="36339" xr:uid="{00000000-0005-0000-0000-0000EA8A0000}"/>
    <cellStyle name="Normal 11 2 4 2 2 2 5 4 2" xfId="36340" xr:uid="{00000000-0005-0000-0000-0000EB8A0000}"/>
    <cellStyle name="Normal 11 2 4 2 2 2 5 5" xfId="36341" xr:uid="{00000000-0005-0000-0000-0000EC8A0000}"/>
    <cellStyle name="Normal 11 2 4 2 2 2 6" xfId="36342" xr:uid="{00000000-0005-0000-0000-0000ED8A0000}"/>
    <cellStyle name="Normal 11 2 4 2 2 2 6 2" xfId="36343" xr:uid="{00000000-0005-0000-0000-0000EE8A0000}"/>
    <cellStyle name="Normal 11 2 4 2 2 2 6 2 2" xfId="36344" xr:uid="{00000000-0005-0000-0000-0000EF8A0000}"/>
    <cellStyle name="Normal 11 2 4 2 2 2 6 2 2 2" xfId="36345" xr:uid="{00000000-0005-0000-0000-0000F08A0000}"/>
    <cellStyle name="Normal 11 2 4 2 2 2 6 2 3" xfId="36346" xr:uid="{00000000-0005-0000-0000-0000F18A0000}"/>
    <cellStyle name="Normal 11 2 4 2 2 2 6 3" xfId="36347" xr:uid="{00000000-0005-0000-0000-0000F28A0000}"/>
    <cellStyle name="Normal 11 2 4 2 2 2 6 3 2" xfId="36348" xr:uid="{00000000-0005-0000-0000-0000F38A0000}"/>
    <cellStyle name="Normal 11 2 4 2 2 2 6 4" xfId="36349" xr:uid="{00000000-0005-0000-0000-0000F48A0000}"/>
    <cellStyle name="Normal 11 2 4 2 2 2 7" xfId="36350" xr:uid="{00000000-0005-0000-0000-0000F58A0000}"/>
    <cellStyle name="Normal 11 2 4 2 2 2 7 2" xfId="36351" xr:uid="{00000000-0005-0000-0000-0000F68A0000}"/>
    <cellStyle name="Normal 11 2 4 2 2 2 7 2 2" xfId="36352" xr:uid="{00000000-0005-0000-0000-0000F78A0000}"/>
    <cellStyle name="Normal 11 2 4 2 2 2 7 2 2 2" xfId="36353" xr:uid="{00000000-0005-0000-0000-0000F88A0000}"/>
    <cellStyle name="Normal 11 2 4 2 2 2 7 2 3" xfId="36354" xr:uid="{00000000-0005-0000-0000-0000F98A0000}"/>
    <cellStyle name="Normal 11 2 4 2 2 2 7 3" xfId="36355" xr:uid="{00000000-0005-0000-0000-0000FA8A0000}"/>
    <cellStyle name="Normal 11 2 4 2 2 2 7 3 2" xfId="36356" xr:uid="{00000000-0005-0000-0000-0000FB8A0000}"/>
    <cellStyle name="Normal 11 2 4 2 2 2 7 4" xfId="36357" xr:uid="{00000000-0005-0000-0000-0000FC8A0000}"/>
    <cellStyle name="Normal 11 2 4 2 2 2 8" xfId="36358" xr:uid="{00000000-0005-0000-0000-0000FD8A0000}"/>
    <cellStyle name="Normal 11 2 4 2 2 2 8 2" xfId="36359" xr:uid="{00000000-0005-0000-0000-0000FE8A0000}"/>
    <cellStyle name="Normal 11 2 4 2 2 2 8 2 2" xfId="36360" xr:uid="{00000000-0005-0000-0000-0000FF8A0000}"/>
    <cellStyle name="Normal 11 2 4 2 2 2 8 2 2 2" xfId="36361" xr:uid="{00000000-0005-0000-0000-0000008B0000}"/>
    <cellStyle name="Normal 11 2 4 2 2 2 8 2 3" xfId="36362" xr:uid="{00000000-0005-0000-0000-0000018B0000}"/>
    <cellStyle name="Normal 11 2 4 2 2 2 8 3" xfId="36363" xr:uid="{00000000-0005-0000-0000-0000028B0000}"/>
    <cellStyle name="Normal 11 2 4 2 2 2 8 3 2" xfId="36364" xr:uid="{00000000-0005-0000-0000-0000038B0000}"/>
    <cellStyle name="Normal 11 2 4 2 2 2 8 4" xfId="36365" xr:uid="{00000000-0005-0000-0000-0000048B0000}"/>
    <cellStyle name="Normal 11 2 4 2 2 2 9" xfId="36366" xr:uid="{00000000-0005-0000-0000-0000058B0000}"/>
    <cellStyle name="Normal 11 2 4 2 2 2 9 2" xfId="36367" xr:uid="{00000000-0005-0000-0000-0000068B0000}"/>
    <cellStyle name="Normal 11 2 4 2 2 2 9 2 2" xfId="36368" xr:uid="{00000000-0005-0000-0000-0000078B0000}"/>
    <cellStyle name="Normal 11 2 4 2 2 2 9 3" xfId="36369" xr:uid="{00000000-0005-0000-0000-0000088B0000}"/>
    <cellStyle name="Normal 11 2 4 2 2 3" xfId="588" xr:uid="{00000000-0005-0000-0000-0000098B0000}"/>
    <cellStyle name="Normal 11 2 4 2 2 3 10" xfId="36371" xr:uid="{00000000-0005-0000-0000-00000A8B0000}"/>
    <cellStyle name="Normal 11 2 4 2 2 3 10 2" xfId="36372" xr:uid="{00000000-0005-0000-0000-00000B8B0000}"/>
    <cellStyle name="Normal 11 2 4 2 2 3 10 2 2" xfId="36373" xr:uid="{00000000-0005-0000-0000-00000C8B0000}"/>
    <cellStyle name="Normal 11 2 4 2 2 3 10 3" xfId="36374" xr:uid="{00000000-0005-0000-0000-00000D8B0000}"/>
    <cellStyle name="Normal 11 2 4 2 2 3 11" xfId="36375" xr:uid="{00000000-0005-0000-0000-00000E8B0000}"/>
    <cellStyle name="Normal 11 2 4 2 2 3 11 2" xfId="36376" xr:uid="{00000000-0005-0000-0000-00000F8B0000}"/>
    <cellStyle name="Normal 11 2 4 2 2 3 11 2 2" xfId="36377" xr:uid="{00000000-0005-0000-0000-0000108B0000}"/>
    <cellStyle name="Normal 11 2 4 2 2 3 11 3" xfId="36378" xr:uid="{00000000-0005-0000-0000-0000118B0000}"/>
    <cellStyle name="Normal 11 2 4 2 2 3 12" xfId="36379" xr:uid="{00000000-0005-0000-0000-0000128B0000}"/>
    <cellStyle name="Normal 11 2 4 2 2 3 12 2" xfId="36380" xr:uid="{00000000-0005-0000-0000-0000138B0000}"/>
    <cellStyle name="Normal 11 2 4 2 2 3 13" xfId="36381" xr:uid="{00000000-0005-0000-0000-0000148B0000}"/>
    <cellStyle name="Normal 11 2 4 2 2 3 14" xfId="36382" xr:uid="{00000000-0005-0000-0000-0000158B0000}"/>
    <cellStyle name="Normal 11 2 4 2 2 3 15" xfId="36370" xr:uid="{00000000-0005-0000-0000-0000168B0000}"/>
    <cellStyle name="Normal 11 2 4 2 2 3 2" xfId="1030" xr:uid="{00000000-0005-0000-0000-0000178B0000}"/>
    <cellStyle name="Normal 11 2 4 2 2 3 2 10" xfId="36384" xr:uid="{00000000-0005-0000-0000-0000188B0000}"/>
    <cellStyle name="Normal 11 2 4 2 2 3 2 11" xfId="36383" xr:uid="{00000000-0005-0000-0000-0000198B0000}"/>
    <cellStyle name="Normal 11 2 4 2 2 3 2 2" xfId="1759" xr:uid="{00000000-0005-0000-0000-00001A8B0000}"/>
    <cellStyle name="Normal 11 2 4 2 2 3 2 2 2" xfId="36386" xr:uid="{00000000-0005-0000-0000-00001B8B0000}"/>
    <cellStyle name="Normal 11 2 4 2 2 3 2 2 2 2" xfId="36387" xr:uid="{00000000-0005-0000-0000-00001C8B0000}"/>
    <cellStyle name="Normal 11 2 4 2 2 3 2 2 2 2 2" xfId="36388" xr:uid="{00000000-0005-0000-0000-00001D8B0000}"/>
    <cellStyle name="Normal 11 2 4 2 2 3 2 2 2 2 2 2" xfId="36389" xr:uid="{00000000-0005-0000-0000-00001E8B0000}"/>
    <cellStyle name="Normal 11 2 4 2 2 3 2 2 2 2 3" xfId="36390" xr:uid="{00000000-0005-0000-0000-00001F8B0000}"/>
    <cellStyle name="Normal 11 2 4 2 2 3 2 2 2 3" xfId="36391" xr:uid="{00000000-0005-0000-0000-0000208B0000}"/>
    <cellStyle name="Normal 11 2 4 2 2 3 2 2 2 3 2" xfId="36392" xr:uid="{00000000-0005-0000-0000-0000218B0000}"/>
    <cellStyle name="Normal 11 2 4 2 2 3 2 2 2 4" xfId="36393" xr:uid="{00000000-0005-0000-0000-0000228B0000}"/>
    <cellStyle name="Normal 11 2 4 2 2 3 2 2 3" xfId="36394" xr:uid="{00000000-0005-0000-0000-0000238B0000}"/>
    <cellStyle name="Normal 11 2 4 2 2 3 2 2 3 2" xfId="36395" xr:uid="{00000000-0005-0000-0000-0000248B0000}"/>
    <cellStyle name="Normal 11 2 4 2 2 3 2 2 3 2 2" xfId="36396" xr:uid="{00000000-0005-0000-0000-0000258B0000}"/>
    <cellStyle name="Normal 11 2 4 2 2 3 2 2 3 2 2 2" xfId="36397" xr:uid="{00000000-0005-0000-0000-0000268B0000}"/>
    <cellStyle name="Normal 11 2 4 2 2 3 2 2 3 2 3" xfId="36398" xr:uid="{00000000-0005-0000-0000-0000278B0000}"/>
    <cellStyle name="Normal 11 2 4 2 2 3 2 2 3 3" xfId="36399" xr:uid="{00000000-0005-0000-0000-0000288B0000}"/>
    <cellStyle name="Normal 11 2 4 2 2 3 2 2 3 3 2" xfId="36400" xr:uid="{00000000-0005-0000-0000-0000298B0000}"/>
    <cellStyle name="Normal 11 2 4 2 2 3 2 2 3 4" xfId="36401" xr:uid="{00000000-0005-0000-0000-00002A8B0000}"/>
    <cellStyle name="Normal 11 2 4 2 2 3 2 2 4" xfId="36402" xr:uid="{00000000-0005-0000-0000-00002B8B0000}"/>
    <cellStyle name="Normal 11 2 4 2 2 3 2 2 4 2" xfId="36403" xr:uid="{00000000-0005-0000-0000-00002C8B0000}"/>
    <cellStyle name="Normal 11 2 4 2 2 3 2 2 4 2 2" xfId="36404" xr:uid="{00000000-0005-0000-0000-00002D8B0000}"/>
    <cellStyle name="Normal 11 2 4 2 2 3 2 2 4 3" xfId="36405" xr:uid="{00000000-0005-0000-0000-00002E8B0000}"/>
    <cellStyle name="Normal 11 2 4 2 2 3 2 2 5" xfId="36406" xr:uid="{00000000-0005-0000-0000-00002F8B0000}"/>
    <cellStyle name="Normal 11 2 4 2 2 3 2 2 5 2" xfId="36407" xr:uid="{00000000-0005-0000-0000-0000308B0000}"/>
    <cellStyle name="Normal 11 2 4 2 2 3 2 2 6" xfId="36408" xr:uid="{00000000-0005-0000-0000-0000318B0000}"/>
    <cellStyle name="Normal 11 2 4 2 2 3 2 2 7" xfId="36385" xr:uid="{00000000-0005-0000-0000-0000328B0000}"/>
    <cellStyle name="Normal 11 2 4 2 2 3 2 3" xfId="36409" xr:uid="{00000000-0005-0000-0000-0000338B0000}"/>
    <cellStyle name="Normal 11 2 4 2 2 3 2 3 2" xfId="36410" xr:uid="{00000000-0005-0000-0000-0000348B0000}"/>
    <cellStyle name="Normal 11 2 4 2 2 3 2 3 2 2" xfId="36411" xr:uid="{00000000-0005-0000-0000-0000358B0000}"/>
    <cellStyle name="Normal 11 2 4 2 2 3 2 3 2 2 2" xfId="36412" xr:uid="{00000000-0005-0000-0000-0000368B0000}"/>
    <cellStyle name="Normal 11 2 4 2 2 3 2 3 2 2 2 2" xfId="36413" xr:uid="{00000000-0005-0000-0000-0000378B0000}"/>
    <cellStyle name="Normal 11 2 4 2 2 3 2 3 2 2 3" xfId="36414" xr:uid="{00000000-0005-0000-0000-0000388B0000}"/>
    <cellStyle name="Normal 11 2 4 2 2 3 2 3 2 3" xfId="36415" xr:uid="{00000000-0005-0000-0000-0000398B0000}"/>
    <cellStyle name="Normal 11 2 4 2 2 3 2 3 2 3 2" xfId="36416" xr:uid="{00000000-0005-0000-0000-00003A8B0000}"/>
    <cellStyle name="Normal 11 2 4 2 2 3 2 3 2 4" xfId="36417" xr:uid="{00000000-0005-0000-0000-00003B8B0000}"/>
    <cellStyle name="Normal 11 2 4 2 2 3 2 3 3" xfId="36418" xr:uid="{00000000-0005-0000-0000-00003C8B0000}"/>
    <cellStyle name="Normal 11 2 4 2 2 3 2 3 3 2" xfId="36419" xr:uid="{00000000-0005-0000-0000-00003D8B0000}"/>
    <cellStyle name="Normal 11 2 4 2 2 3 2 3 3 2 2" xfId="36420" xr:uid="{00000000-0005-0000-0000-00003E8B0000}"/>
    <cellStyle name="Normal 11 2 4 2 2 3 2 3 3 3" xfId="36421" xr:uid="{00000000-0005-0000-0000-00003F8B0000}"/>
    <cellStyle name="Normal 11 2 4 2 2 3 2 3 4" xfId="36422" xr:uid="{00000000-0005-0000-0000-0000408B0000}"/>
    <cellStyle name="Normal 11 2 4 2 2 3 2 3 4 2" xfId="36423" xr:uid="{00000000-0005-0000-0000-0000418B0000}"/>
    <cellStyle name="Normal 11 2 4 2 2 3 2 3 5" xfId="36424" xr:uid="{00000000-0005-0000-0000-0000428B0000}"/>
    <cellStyle name="Normal 11 2 4 2 2 3 2 4" xfId="36425" xr:uid="{00000000-0005-0000-0000-0000438B0000}"/>
    <cellStyle name="Normal 11 2 4 2 2 3 2 4 2" xfId="36426" xr:uid="{00000000-0005-0000-0000-0000448B0000}"/>
    <cellStyle name="Normal 11 2 4 2 2 3 2 4 2 2" xfId="36427" xr:uid="{00000000-0005-0000-0000-0000458B0000}"/>
    <cellStyle name="Normal 11 2 4 2 2 3 2 4 2 2 2" xfId="36428" xr:uid="{00000000-0005-0000-0000-0000468B0000}"/>
    <cellStyle name="Normal 11 2 4 2 2 3 2 4 2 2 2 2" xfId="36429" xr:uid="{00000000-0005-0000-0000-0000478B0000}"/>
    <cellStyle name="Normal 11 2 4 2 2 3 2 4 2 2 3" xfId="36430" xr:uid="{00000000-0005-0000-0000-0000488B0000}"/>
    <cellStyle name="Normal 11 2 4 2 2 3 2 4 2 3" xfId="36431" xr:uid="{00000000-0005-0000-0000-0000498B0000}"/>
    <cellStyle name="Normal 11 2 4 2 2 3 2 4 2 3 2" xfId="36432" xr:uid="{00000000-0005-0000-0000-00004A8B0000}"/>
    <cellStyle name="Normal 11 2 4 2 2 3 2 4 2 4" xfId="36433" xr:uid="{00000000-0005-0000-0000-00004B8B0000}"/>
    <cellStyle name="Normal 11 2 4 2 2 3 2 4 3" xfId="36434" xr:uid="{00000000-0005-0000-0000-00004C8B0000}"/>
    <cellStyle name="Normal 11 2 4 2 2 3 2 4 3 2" xfId="36435" xr:uid="{00000000-0005-0000-0000-00004D8B0000}"/>
    <cellStyle name="Normal 11 2 4 2 2 3 2 4 3 2 2" xfId="36436" xr:uid="{00000000-0005-0000-0000-00004E8B0000}"/>
    <cellStyle name="Normal 11 2 4 2 2 3 2 4 3 3" xfId="36437" xr:uid="{00000000-0005-0000-0000-00004F8B0000}"/>
    <cellStyle name="Normal 11 2 4 2 2 3 2 4 4" xfId="36438" xr:uid="{00000000-0005-0000-0000-0000508B0000}"/>
    <cellStyle name="Normal 11 2 4 2 2 3 2 4 4 2" xfId="36439" xr:uid="{00000000-0005-0000-0000-0000518B0000}"/>
    <cellStyle name="Normal 11 2 4 2 2 3 2 4 5" xfId="36440" xr:uid="{00000000-0005-0000-0000-0000528B0000}"/>
    <cellStyle name="Normal 11 2 4 2 2 3 2 5" xfId="36441" xr:uid="{00000000-0005-0000-0000-0000538B0000}"/>
    <cellStyle name="Normal 11 2 4 2 2 3 2 5 2" xfId="36442" xr:uid="{00000000-0005-0000-0000-0000548B0000}"/>
    <cellStyle name="Normal 11 2 4 2 2 3 2 5 2 2" xfId="36443" xr:uid="{00000000-0005-0000-0000-0000558B0000}"/>
    <cellStyle name="Normal 11 2 4 2 2 3 2 5 2 2 2" xfId="36444" xr:uid="{00000000-0005-0000-0000-0000568B0000}"/>
    <cellStyle name="Normal 11 2 4 2 2 3 2 5 2 3" xfId="36445" xr:uid="{00000000-0005-0000-0000-0000578B0000}"/>
    <cellStyle name="Normal 11 2 4 2 2 3 2 5 3" xfId="36446" xr:uid="{00000000-0005-0000-0000-0000588B0000}"/>
    <cellStyle name="Normal 11 2 4 2 2 3 2 5 3 2" xfId="36447" xr:uid="{00000000-0005-0000-0000-0000598B0000}"/>
    <cellStyle name="Normal 11 2 4 2 2 3 2 5 4" xfId="36448" xr:uid="{00000000-0005-0000-0000-00005A8B0000}"/>
    <cellStyle name="Normal 11 2 4 2 2 3 2 6" xfId="36449" xr:uid="{00000000-0005-0000-0000-00005B8B0000}"/>
    <cellStyle name="Normal 11 2 4 2 2 3 2 6 2" xfId="36450" xr:uid="{00000000-0005-0000-0000-00005C8B0000}"/>
    <cellStyle name="Normal 11 2 4 2 2 3 2 6 2 2" xfId="36451" xr:uid="{00000000-0005-0000-0000-00005D8B0000}"/>
    <cellStyle name="Normal 11 2 4 2 2 3 2 6 2 2 2" xfId="36452" xr:uid="{00000000-0005-0000-0000-00005E8B0000}"/>
    <cellStyle name="Normal 11 2 4 2 2 3 2 6 2 3" xfId="36453" xr:uid="{00000000-0005-0000-0000-00005F8B0000}"/>
    <cellStyle name="Normal 11 2 4 2 2 3 2 6 3" xfId="36454" xr:uid="{00000000-0005-0000-0000-0000608B0000}"/>
    <cellStyle name="Normal 11 2 4 2 2 3 2 6 3 2" xfId="36455" xr:uid="{00000000-0005-0000-0000-0000618B0000}"/>
    <cellStyle name="Normal 11 2 4 2 2 3 2 6 4" xfId="36456" xr:uid="{00000000-0005-0000-0000-0000628B0000}"/>
    <cellStyle name="Normal 11 2 4 2 2 3 2 7" xfId="36457" xr:uid="{00000000-0005-0000-0000-0000638B0000}"/>
    <cellStyle name="Normal 11 2 4 2 2 3 2 7 2" xfId="36458" xr:uid="{00000000-0005-0000-0000-0000648B0000}"/>
    <cellStyle name="Normal 11 2 4 2 2 3 2 7 2 2" xfId="36459" xr:uid="{00000000-0005-0000-0000-0000658B0000}"/>
    <cellStyle name="Normal 11 2 4 2 2 3 2 7 2 2 2" xfId="36460" xr:uid="{00000000-0005-0000-0000-0000668B0000}"/>
    <cellStyle name="Normal 11 2 4 2 2 3 2 7 2 3" xfId="36461" xr:uid="{00000000-0005-0000-0000-0000678B0000}"/>
    <cellStyle name="Normal 11 2 4 2 2 3 2 7 3" xfId="36462" xr:uid="{00000000-0005-0000-0000-0000688B0000}"/>
    <cellStyle name="Normal 11 2 4 2 2 3 2 7 3 2" xfId="36463" xr:uid="{00000000-0005-0000-0000-0000698B0000}"/>
    <cellStyle name="Normal 11 2 4 2 2 3 2 7 4" xfId="36464" xr:uid="{00000000-0005-0000-0000-00006A8B0000}"/>
    <cellStyle name="Normal 11 2 4 2 2 3 2 8" xfId="36465" xr:uid="{00000000-0005-0000-0000-00006B8B0000}"/>
    <cellStyle name="Normal 11 2 4 2 2 3 2 8 2" xfId="36466" xr:uid="{00000000-0005-0000-0000-00006C8B0000}"/>
    <cellStyle name="Normal 11 2 4 2 2 3 2 8 2 2" xfId="36467" xr:uid="{00000000-0005-0000-0000-00006D8B0000}"/>
    <cellStyle name="Normal 11 2 4 2 2 3 2 8 3" xfId="36468" xr:uid="{00000000-0005-0000-0000-00006E8B0000}"/>
    <cellStyle name="Normal 11 2 4 2 2 3 2 9" xfId="36469" xr:uid="{00000000-0005-0000-0000-00006F8B0000}"/>
    <cellStyle name="Normal 11 2 4 2 2 3 2 9 2" xfId="36470" xr:uid="{00000000-0005-0000-0000-0000708B0000}"/>
    <cellStyle name="Normal 11 2 4 2 2 3 3" xfId="1432" xr:uid="{00000000-0005-0000-0000-0000718B0000}"/>
    <cellStyle name="Normal 11 2 4 2 2 3 3 2" xfId="36472" xr:uid="{00000000-0005-0000-0000-0000728B0000}"/>
    <cellStyle name="Normal 11 2 4 2 2 3 3 2 2" xfId="36473" xr:uid="{00000000-0005-0000-0000-0000738B0000}"/>
    <cellStyle name="Normal 11 2 4 2 2 3 3 2 2 2" xfId="36474" xr:uid="{00000000-0005-0000-0000-0000748B0000}"/>
    <cellStyle name="Normal 11 2 4 2 2 3 3 2 2 2 2" xfId="36475" xr:uid="{00000000-0005-0000-0000-0000758B0000}"/>
    <cellStyle name="Normal 11 2 4 2 2 3 3 2 2 3" xfId="36476" xr:uid="{00000000-0005-0000-0000-0000768B0000}"/>
    <cellStyle name="Normal 11 2 4 2 2 3 3 2 3" xfId="36477" xr:uid="{00000000-0005-0000-0000-0000778B0000}"/>
    <cellStyle name="Normal 11 2 4 2 2 3 3 2 3 2" xfId="36478" xr:uid="{00000000-0005-0000-0000-0000788B0000}"/>
    <cellStyle name="Normal 11 2 4 2 2 3 3 2 4" xfId="36479" xr:uid="{00000000-0005-0000-0000-0000798B0000}"/>
    <cellStyle name="Normal 11 2 4 2 2 3 3 3" xfId="36480" xr:uid="{00000000-0005-0000-0000-00007A8B0000}"/>
    <cellStyle name="Normal 11 2 4 2 2 3 3 3 2" xfId="36481" xr:uid="{00000000-0005-0000-0000-00007B8B0000}"/>
    <cellStyle name="Normal 11 2 4 2 2 3 3 3 2 2" xfId="36482" xr:uid="{00000000-0005-0000-0000-00007C8B0000}"/>
    <cellStyle name="Normal 11 2 4 2 2 3 3 3 2 2 2" xfId="36483" xr:uid="{00000000-0005-0000-0000-00007D8B0000}"/>
    <cellStyle name="Normal 11 2 4 2 2 3 3 3 2 3" xfId="36484" xr:uid="{00000000-0005-0000-0000-00007E8B0000}"/>
    <cellStyle name="Normal 11 2 4 2 2 3 3 3 3" xfId="36485" xr:uid="{00000000-0005-0000-0000-00007F8B0000}"/>
    <cellStyle name="Normal 11 2 4 2 2 3 3 3 3 2" xfId="36486" xr:uid="{00000000-0005-0000-0000-0000808B0000}"/>
    <cellStyle name="Normal 11 2 4 2 2 3 3 3 4" xfId="36487" xr:uid="{00000000-0005-0000-0000-0000818B0000}"/>
    <cellStyle name="Normal 11 2 4 2 2 3 3 4" xfId="36488" xr:uid="{00000000-0005-0000-0000-0000828B0000}"/>
    <cellStyle name="Normal 11 2 4 2 2 3 3 4 2" xfId="36489" xr:uid="{00000000-0005-0000-0000-0000838B0000}"/>
    <cellStyle name="Normal 11 2 4 2 2 3 3 4 2 2" xfId="36490" xr:uid="{00000000-0005-0000-0000-0000848B0000}"/>
    <cellStyle name="Normal 11 2 4 2 2 3 3 4 3" xfId="36491" xr:uid="{00000000-0005-0000-0000-0000858B0000}"/>
    <cellStyle name="Normal 11 2 4 2 2 3 3 5" xfId="36492" xr:uid="{00000000-0005-0000-0000-0000868B0000}"/>
    <cellStyle name="Normal 11 2 4 2 2 3 3 5 2" xfId="36493" xr:uid="{00000000-0005-0000-0000-0000878B0000}"/>
    <cellStyle name="Normal 11 2 4 2 2 3 3 6" xfId="36494" xr:uid="{00000000-0005-0000-0000-0000888B0000}"/>
    <cellStyle name="Normal 11 2 4 2 2 3 3 7" xfId="36471" xr:uid="{00000000-0005-0000-0000-0000898B0000}"/>
    <cellStyle name="Normal 11 2 4 2 2 3 4" xfId="36495" xr:uid="{00000000-0005-0000-0000-00008A8B0000}"/>
    <cellStyle name="Normal 11 2 4 2 2 3 4 2" xfId="36496" xr:uid="{00000000-0005-0000-0000-00008B8B0000}"/>
    <cellStyle name="Normal 11 2 4 2 2 3 4 2 2" xfId="36497" xr:uid="{00000000-0005-0000-0000-00008C8B0000}"/>
    <cellStyle name="Normal 11 2 4 2 2 3 4 2 2 2" xfId="36498" xr:uid="{00000000-0005-0000-0000-00008D8B0000}"/>
    <cellStyle name="Normal 11 2 4 2 2 3 4 2 2 2 2" xfId="36499" xr:uid="{00000000-0005-0000-0000-00008E8B0000}"/>
    <cellStyle name="Normal 11 2 4 2 2 3 4 2 2 3" xfId="36500" xr:uid="{00000000-0005-0000-0000-00008F8B0000}"/>
    <cellStyle name="Normal 11 2 4 2 2 3 4 2 3" xfId="36501" xr:uid="{00000000-0005-0000-0000-0000908B0000}"/>
    <cellStyle name="Normal 11 2 4 2 2 3 4 2 3 2" xfId="36502" xr:uid="{00000000-0005-0000-0000-0000918B0000}"/>
    <cellStyle name="Normal 11 2 4 2 2 3 4 2 4" xfId="36503" xr:uid="{00000000-0005-0000-0000-0000928B0000}"/>
    <cellStyle name="Normal 11 2 4 2 2 3 4 3" xfId="36504" xr:uid="{00000000-0005-0000-0000-0000938B0000}"/>
    <cellStyle name="Normal 11 2 4 2 2 3 4 3 2" xfId="36505" xr:uid="{00000000-0005-0000-0000-0000948B0000}"/>
    <cellStyle name="Normal 11 2 4 2 2 3 4 3 2 2" xfId="36506" xr:uid="{00000000-0005-0000-0000-0000958B0000}"/>
    <cellStyle name="Normal 11 2 4 2 2 3 4 3 3" xfId="36507" xr:uid="{00000000-0005-0000-0000-0000968B0000}"/>
    <cellStyle name="Normal 11 2 4 2 2 3 4 4" xfId="36508" xr:uid="{00000000-0005-0000-0000-0000978B0000}"/>
    <cellStyle name="Normal 11 2 4 2 2 3 4 4 2" xfId="36509" xr:uid="{00000000-0005-0000-0000-0000988B0000}"/>
    <cellStyle name="Normal 11 2 4 2 2 3 4 5" xfId="36510" xr:uid="{00000000-0005-0000-0000-0000998B0000}"/>
    <cellStyle name="Normal 11 2 4 2 2 3 5" xfId="36511" xr:uid="{00000000-0005-0000-0000-00009A8B0000}"/>
    <cellStyle name="Normal 11 2 4 2 2 3 5 2" xfId="36512" xr:uid="{00000000-0005-0000-0000-00009B8B0000}"/>
    <cellStyle name="Normal 11 2 4 2 2 3 5 2 2" xfId="36513" xr:uid="{00000000-0005-0000-0000-00009C8B0000}"/>
    <cellStyle name="Normal 11 2 4 2 2 3 5 2 2 2" xfId="36514" xr:uid="{00000000-0005-0000-0000-00009D8B0000}"/>
    <cellStyle name="Normal 11 2 4 2 2 3 5 2 2 2 2" xfId="36515" xr:uid="{00000000-0005-0000-0000-00009E8B0000}"/>
    <cellStyle name="Normal 11 2 4 2 2 3 5 2 2 3" xfId="36516" xr:uid="{00000000-0005-0000-0000-00009F8B0000}"/>
    <cellStyle name="Normal 11 2 4 2 2 3 5 2 3" xfId="36517" xr:uid="{00000000-0005-0000-0000-0000A08B0000}"/>
    <cellStyle name="Normal 11 2 4 2 2 3 5 2 3 2" xfId="36518" xr:uid="{00000000-0005-0000-0000-0000A18B0000}"/>
    <cellStyle name="Normal 11 2 4 2 2 3 5 2 4" xfId="36519" xr:uid="{00000000-0005-0000-0000-0000A28B0000}"/>
    <cellStyle name="Normal 11 2 4 2 2 3 5 3" xfId="36520" xr:uid="{00000000-0005-0000-0000-0000A38B0000}"/>
    <cellStyle name="Normal 11 2 4 2 2 3 5 3 2" xfId="36521" xr:uid="{00000000-0005-0000-0000-0000A48B0000}"/>
    <cellStyle name="Normal 11 2 4 2 2 3 5 3 2 2" xfId="36522" xr:uid="{00000000-0005-0000-0000-0000A58B0000}"/>
    <cellStyle name="Normal 11 2 4 2 2 3 5 3 3" xfId="36523" xr:uid="{00000000-0005-0000-0000-0000A68B0000}"/>
    <cellStyle name="Normal 11 2 4 2 2 3 5 4" xfId="36524" xr:uid="{00000000-0005-0000-0000-0000A78B0000}"/>
    <cellStyle name="Normal 11 2 4 2 2 3 5 4 2" xfId="36525" xr:uid="{00000000-0005-0000-0000-0000A88B0000}"/>
    <cellStyle name="Normal 11 2 4 2 2 3 5 5" xfId="36526" xr:uid="{00000000-0005-0000-0000-0000A98B0000}"/>
    <cellStyle name="Normal 11 2 4 2 2 3 6" xfId="36527" xr:uid="{00000000-0005-0000-0000-0000AA8B0000}"/>
    <cellStyle name="Normal 11 2 4 2 2 3 6 2" xfId="36528" xr:uid="{00000000-0005-0000-0000-0000AB8B0000}"/>
    <cellStyle name="Normal 11 2 4 2 2 3 6 2 2" xfId="36529" xr:uid="{00000000-0005-0000-0000-0000AC8B0000}"/>
    <cellStyle name="Normal 11 2 4 2 2 3 6 2 2 2" xfId="36530" xr:uid="{00000000-0005-0000-0000-0000AD8B0000}"/>
    <cellStyle name="Normal 11 2 4 2 2 3 6 2 3" xfId="36531" xr:uid="{00000000-0005-0000-0000-0000AE8B0000}"/>
    <cellStyle name="Normal 11 2 4 2 2 3 6 3" xfId="36532" xr:uid="{00000000-0005-0000-0000-0000AF8B0000}"/>
    <cellStyle name="Normal 11 2 4 2 2 3 6 3 2" xfId="36533" xr:uid="{00000000-0005-0000-0000-0000B08B0000}"/>
    <cellStyle name="Normal 11 2 4 2 2 3 6 4" xfId="36534" xr:uid="{00000000-0005-0000-0000-0000B18B0000}"/>
    <cellStyle name="Normal 11 2 4 2 2 3 7" xfId="36535" xr:uid="{00000000-0005-0000-0000-0000B28B0000}"/>
    <cellStyle name="Normal 11 2 4 2 2 3 7 2" xfId="36536" xr:uid="{00000000-0005-0000-0000-0000B38B0000}"/>
    <cellStyle name="Normal 11 2 4 2 2 3 7 2 2" xfId="36537" xr:uid="{00000000-0005-0000-0000-0000B48B0000}"/>
    <cellStyle name="Normal 11 2 4 2 2 3 7 2 2 2" xfId="36538" xr:uid="{00000000-0005-0000-0000-0000B58B0000}"/>
    <cellStyle name="Normal 11 2 4 2 2 3 7 2 3" xfId="36539" xr:uid="{00000000-0005-0000-0000-0000B68B0000}"/>
    <cellStyle name="Normal 11 2 4 2 2 3 7 3" xfId="36540" xr:uid="{00000000-0005-0000-0000-0000B78B0000}"/>
    <cellStyle name="Normal 11 2 4 2 2 3 7 3 2" xfId="36541" xr:uid="{00000000-0005-0000-0000-0000B88B0000}"/>
    <cellStyle name="Normal 11 2 4 2 2 3 7 4" xfId="36542" xr:uid="{00000000-0005-0000-0000-0000B98B0000}"/>
    <cellStyle name="Normal 11 2 4 2 2 3 8" xfId="36543" xr:uid="{00000000-0005-0000-0000-0000BA8B0000}"/>
    <cellStyle name="Normal 11 2 4 2 2 3 8 2" xfId="36544" xr:uid="{00000000-0005-0000-0000-0000BB8B0000}"/>
    <cellStyle name="Normal 11 2 4 2 2 3 8 2 2" xfId="36545" xr:uid="{00000000-0005-0000-0000-0000BC8B0000}"/>
    <cellStyle name="Normal 11 2 4 2 2 3 8 2 2 2" xfId="36546" xr:uid="{00000000-0005-0000-0000-0000BD8B0000}"/>
    <cellStyle name="Normal 11 2 4 2 2 3 8 2 3" xfId="36547" xr:uid="{00000000-0005-0000-0000-0000BE8B0000}"/>
    <cellStyle name="Normal 11 2 4 2 2 3 8 3" xfId="36548" xr:uid="{00000000-0005-0000-0000-0000BF8B0000}"/>
    <cellStyle name="Normal 11 2 4 2 2 3 8 3 2" xfId="36549" xr:uid="{00000000-0005-0000-0000-0000C08B0000}"/>
    <cellStyle name="Normal 11 2 4 2 2 3 8 4" xfId="36550" xr:uid="{00000000-0005-0000-0000-0000C18B0000}"/>
    <cellStyle name="Normal 11 2 4 2 2 3 9" xfId="36551" xr:uid="{00000000-0005-0000-0000-0000C28B0000}"/>
    <cellStyle name="Normal 11 2 4 2 2 3 9 2" xfId="36552" xr:uid="{00000000-0005-0000-0000-0000C38B0000}"/>
    <cellStyle name="Normal 11 2 4 2 2 3 9 2 2" xfId="36553" xr:uid="{00000000-0005-0000-0000-0000C48B0000}"/>
    <cellStyle name="Normal 11 2 4 2 2 3 9 3" xfId="36554" xr:uid="{00000000-0005-0000-0000-0000C58B0000}"/>
    <cellStyle name="Normal 11 2 4 2 2 4" xfId="1028" xr:uid="{00000000-0005-0000-0000-0000C68B0000}"/>
    <cellStyle name="Normal 11 2 4 2 2 4 10" xfId="36556" xr:uid="{00000000-0005-0000-0000-0000C78B0000}"/>
    <cellStyle name="Normal 11 2 4 2 2 4 11" xfId="36555" xr:uid="{00000000-0005-0000-0000-0000C88B0000}"/>
    <cellStyle name="Normal 11 2 4 2 2 4 2" xfId="1757" xr:uid="{00000000-0005-0000-0000-0000C98B0000}"/>
    <cellStyle name="Normal 11 2 4 2 2 4 2 2" xfId="36558" xr:uid="{00000000-0005-0000-0000-0000CA8B0000}"/>
    <cellStyle name="Normal 11 2 4 2 2 4 2 2 2" xfId="36559" xr:uid="{00000000-0005-0000-0000-0000CB8B0000}"/>
    <cellStyle name="Normal 11 2 4 2 2 4 2 2 2 2" xfId="36560" xr:uid="{00000000-0005-0000-0000-0000CC8B0000}"/>
    <cellStyle name="Normal 11 2 4 2 2 4 2 2 2 2 2" xfId="36561" xr:uid="{00000000-0005-0000-0000-0000CD8B0000}"/>
    <cellStyle name="Normal 11 2 4 2 2 4 2 2 2 3" xfId="36562" xr:uid="{00000000-0005-0000-0000-0000CE8B0000}"/>
    <cellStyle name="Normal 11 2 4 2 2 4 2 2 3" xfId="36563" xr:uid="{00000000-0005-0000-0000-0000CF8B0000}"/>
    <cellStyle name="Normal 11 2 4 2 2 4 2 2 3 2" xfId="36564" xr:uid="{00000000-0005-0000-0000-0000D08B0000}"/>
    <cellStyle name="Normal 11 2 4 2 2 4 2 2 4" xfId="36565" xr:uid="{00000000-0005-0000-0000-0000D18B0000}"/>
    <cellStyle name="Normal 11 2 4 2 2 4 2 3" xfId="36566" xr:uid="{00000000-0005-0000-0000-0000D28B0000}"/>
    <cellStyle name="Normal 11 2 4 2 2 4 2 3 2" xfId="36567" xr:uid="{00000000-0005-0000-0000-0000D38B0000}"/>
    <cellStyle name="Normal 11 2 4 2 2 4 2 3 2 2" xfId="36568" xr:uid="{00000000-0005-0000-0000-0000D48B0000}"/>
    <cellStyle name="Normal 11 2 4 2 2 4 2 3 2 2 2" xfId="36569" xr:uid="{00000000-0005-0000-0000-0000D58B0000}"/>
    <cellStyle name="Normal 11 2 4 2 2 4 2 3 2 3" xfId="36570" xr:uid="{00000000-0005-0000-0000-0000D68B0000}"/>
    <cellStyle name="Normal 11 2 4 2 2 4 2 3 3" xfId="36571" xr:uid="{00000000-0005-0000-0000-0000D78B0000}"/>
    <cellStyle name="Normal 11 2 4 2 2 4 2 3 3 2" xfId="36572" xr:uid="{00000000-0005-0000-0000-0000D88B0000}"/>
    <cellStyle name="Normal 11 2 4 2 2 4 2 3 4" xfId="36573" xr:uid="{00000000-0005-0000-0000-0000D98B0000}"/>
    <cellStyle name="Normal 11 2 4 2 2 4 2 4" xfId="36574" xr:uid="{00000000-0005-0000-0000-0000DA8B0000}"/>
    <cellStyle name="Normal 11 2 4 2 2 4 2 4 2" xfId="36575" xr:uid="{00000000-0005-0000-0000-0000DB8B0000}"/>
    <cellStyle name="Normal 11 2 4 2 2 4 2 4 2 2" xfId="36576" xr:uid="{00000000-0005-0000-0000-0000DC8B0000}"/>
    <cellStyle name="Normal 11 2 4 2 2 4 2 4 3" xfId="36577" xr:uid="{00000000-0005-0000-0000-0000DD8B0000}"/>
    <cellStyle name="Normal 11 2 4 2 2 4 2 5" xfId="36578" xr:uid="{00000000-0005-0000-0000-0000DE8B0000}"/>
    <cellStyle name="Normal 11 2 4 2 2 4 2 5 2" xfId="36579" xr:uid="{00000000-0005-0000-0000-0000DF8B0000}"/>
    <cellStyle name="Normal 11 2 4 2 2 4 2 6" xfId="36580" xr:uid="{00000000-0005-0000-0000-0000E08B0000}"/>
    <cellStyle name="Normal 11 2 4 2 2 4 2 7" xfId="36557" xr:uid="{00000000-0005-0000-0000-0000E18B0000}"/>
    <cellStyle name="Normal 11 2 4 2 2 4 3" xfId="36581" xr:uid="{00000000-0005-0000-0000-0000E28B0000}"/>
    <cellStyle name="Normal 11 2 4 2 2 4 3 2" xfId="36582" xr:uid="{00000000-0005-0000-0000-0000E38B0000}"/>
    <cellStyle name="Normal 11 2 4 2 2 4 3 2 2" xfId="36583" xr:uid="{00000000-0005-0000-0000-0000E48B0000}"/>
    <cellStyle name="Normal 11 2 4 2 2 4 3 2 2 2" xfId="36584" xr:uid="{00000000-0005-0000-0000-0000E58B0000}"/>
    <cellStyle name="Normal 11 2 4 2 2 4 3 2 2 2 2" xfId="36585" xr:uid="{00000000-0005-0000-0000-0000E68B0000}"/>
    <cellStyle name="Normal 11 2 4 2 2 4 3 2 2 3" xfId="36586" xr:uid="{00000000-0005-0000-0000-0000E78B0000}"/>
    <cellStyle name="Normal 11 2 4 2 2 4 3 2 3" xfId="36587" xr:uid="{00000000-0005-0000-0000-0000E88B0000}"/>
    <cellStyle name="Normal 11 2 4 2 2 4 3 2 3 2" xfId="36588" xr:uid="{00000000-0005-0000-0000-0000E98B0000}"/>
    <cellStyle name="Normal 11 2 4 2 2 4 3 2 4" xfId="36589" xr:uid="{00000000-0005-0000-0000-0000EA8B0000}"/>
    <cellStyle name="Normal 11 2 4 2 2 4 3 3" xfId="36590" xr:uid="{00000000-0005-0000-0000-0000EB8B0000}"/>
    <cellStyle name="Normal 11 2 4 2 2 4 3 3 2" xfId="36591" xr:uid="{00000000-0005-0000-0000-0000EC8B0000}"/>
    <cellStyle name="Normal 11 2 4 2 2 4 3 3 2 2" xfId="36592" xr:uid="{00000000-0005-0000-0000-0000ED8B0000}"/>
    <cellStyle name="Normal 11 2 4 2 2 4 3 3 3" xfId="36593" xr:uid="{00000000-0005-0000-0000-0000EE8B0000}"/>
    <cellStyle name="Normal 11 2 4 2 2 4 3 4" xfId="36594" xr:uid="{00000000-0005-0000-0000-0000EF8B0000}"/>
    <cellStyle name="Normal 11 2 4 2 2 4 3 4 2" xfId="36595" xr:uid="{00000000-0005-0000-0000-0000F08B0000}"/>
    <cellStyle name="Normal 11 2 4 2 2 4 3 5" xfId="36596" xr:uid="{00000000-0005-0000-0000-0000F18B0000}"/>
    <cellStyle name="Normal 11 2 4 2 2 4 4" xfId="36597" xr:uid="{00000000-0005-0000-0000-0000F28B0000}"/>
    <cellStyle name="Normal 11 2 4 2 2 4 4 2" xfId="36598" xr:uid="{00000000-0005-0000-0000-0000F38B0000}"/>
    <cellStyle name="Normal 11 2 4 2 2 4 4 2 2" xfId="36599" xr:uid="{00000000-0005-0000-0000-0000F48B0000}"/>
    <cellStyle name="Normal 11 2 4 2 2 4 4 2 2 2" xfId="36600" xr:uid="{00000000-0005-0000-0000-0000F58B0000}"/>
    <cellStyle name="Normal 11 2 4 2 2 4 4 2 2 2 2" xfId="36601" xr:uid="{00000000-0005-0000-0000-0000F68B0000}"/>
    <cellStyle name="Normal 11 2 4 2 2 4 4 2 2 3" xfId="36602" xr:uid="{00000000-0005-0000-0000-0000F78B0000}"/>
    <cellStyle name="Normal 11 2 4 2 2 4 4 2 3" xfId="36603" xr:uid="{00000000-0005-0000-0000-0000F88B0000}"/>
    <cellStyle name="Normal 11 2 4 2 2 4 4 2 3 2" xfId="36604" xr:uid="{00000000-0005-0000-0000-0000F98B0000}"/>
    <cellStyle name="Normal 11 2 4 2 2 4 4 2 4" xfId="36605" xr:uid="{00000000-0005-0000-0000-0000FA8B0000}"/>
    <cellStyle name="Normal 11 2 4 2 2 4 4 3" xfId="36606" xr:uid="{00000000-0005-0000-0000-0000FB8B0000}"/>
    <cellStyle name="Normal 11 2 4 2 2 4 4 3 2" xfId="36607" xr:uid="{00000000-0005-0000-0000-0000FC8B0000}"/>
    <cellStyle name="Normal 11 2 4 2 2 4 4 3 2 2" xfId="36608" xr:uid="{00000000-0005-0000-0000-0000FD8B0000}"/>
    <cellStyle name="Normal 11 2 4 2 2 4 4 3 3" xfId="36609" xr:uid="{00000000-0005-0000-0000-0000FE8B0000}"/>
    <cellStyle name="Normal 11 2 4 2 2 4 4 4" xfId="36610" xr:uid="{00000000-0005-0000-0000-0000FF8B0000}"/>
    <cellStyle name="Normal 11 2 4 2 2 4 4 4 2" xfId="36611" xr:uid="{00000000-0005-0000-0000-0000008C0000}"/>
    <cellStyle name="Normal 11 2 4 2 2 4 4 5" xfId="36612" xr:uid="{00000000-0005-0000-0000-0000018C0000}"/>
    <cellStyle name="Normal 11 2 4 2 2 4 5" xfId="36613" xr:uid="{00000000-0005-0000-0000-0000028C0000}"/>
    <cellStyle name="Normal 11 2 4 2 2 4 5 2" xfId="36614" xr:uid="{00000000-0005-0000-0000-0000038C0000}"/>
    <cellStyle name="Normal 11 2 4 2 2 4 5 2 2" xfId="36615" xr:uid="{00000000-0005-0000-0000-0000048C0000}"/>
    <cellStyle name="Normal 11 2 4 2 2 4 5 2 2 2" xfId="36616" xr:uid="{00000000-0005-0000-0000-0000058C0000}"/>
    <cellStyle name="Normal 11 2 4 2 2 4 5 2 3" xfId="36617" xr:uid="{00000000-0005-0000-0000-0000068C0000}"/>
    <cellStyle name="Normal 11 2 4 2 2 4 5 3" xfId="36618" xr:uid="{00000000-0005-0000-0000-0000078C0000}"/>
    <cellStyle name="Normal 11 2 4 2 2 4 5 3 2" xfId="36619" xr:uid="{00000000-0005-0000-0000-0000088C0000}"/>
    <cellStyle name="Normal 11 2 4 2 2 4 5 4" xfId="36620" xr:uid="{00000000-0005-0000-0000-0000098C0000}"/>
    <cellStyle name="Normal 11 2 4 2 2 4 6" xfId="36621" xr:uid="{00000000-0005-0000-0000-00000A8C0000}"/>
    <cellStyle name="Normal 11 2 4 2 2 4 6 2" xfId="36622" xr:uid="{00000000-0005-0000-0000-00000B8C0000}"/>
    <cellStyle name="Normal 11 2 4 2 2 4 6 2 2" xfId="36623" xr:uid="{00000000-0005-0000-0000-00000C8C0000}"/>
    <cellStyle name="Normal 11 2 4 2 2 4 6 2 2 2" xfId="36624" xr:uid="{00000000-0005-0000-0000-00000D8C0000}"/>
    <cellStyle name="Normal 11 2 4 2 2 4 6 2 3" xfId="36625" xr:uid="{00000000-0005-0000-0000-00000E8C0000}"/>
    <cellStyle name="Normal 11 2 4 2 2 4 6 3" xfId="36626" xr:uid="{00000000-0005-0000-0000-00000F8C0000}"/>
    <cellStyle name="Normal 11 2 4 2 2 4 6 3 2" xfId="36627" xr:uid="{00000000-0005-0000-0000-0000108C0000}"/>
    <cellStyle name="Normal 11 2 4 2 2 4 6 4" xfId="36628" xr:uid="{00000000-0005-0000-0000-0000118C0000}"/>
    <cellStyle name="Normal 11 2 4 2 2 4 7" xfId="36629" xr:uid="{00000000-0005-0000-0000-0000128C0000}"/>
    <cellStyle name="Normal 11 2 4 2 2 4 7 2" xfId="36630" xr:uid="{00000000-0005-0000-0000-0000138C0000}"/>
    <cellStyle name="Normal 11 2 4 2 2 4 7 2 2" xfId="36631" xr:uid="{00000000-0005-0000-0000-0000148C0000}"/>
    <cellStyle name="Normal 11 2 4 2 2 4 7 2 2 2" xfId="36632" xr:uid="{00000000-0005-0000-0000-0000158C0000}"/>
    <cellStyle name="Normal 11 2 4 2 2 4 7 2 3" xfId="36633" xr:uid="{00000000-0005-0000-0000-0000168C0000}"/>
    <cellStyle name="Normal 11 2 4 2 2 4 7 3" xfId="36634" xr:uid="{00000000-0005-0000-0000-0000178C0000}"/>
    <cellStyle name="Normal 11 2 4 2 2 4 7 3 2" xfId="36635" xr:uid="{00000000-0005-0000-0000-0000188C0000}"/>
    <cellStyle name="Normal 11 2 4 2 2 4 7 4" xfId="36636" xr:uid="{00000000-0005-0000-0000-0000198C0000}"/>
    <cellStyle name="Normal 11 2 4 2 2 4 8" xfId="36637" xr:uid="{00000000-0005-0000-0000-00001A8C0000}"/>
    <cellStyle name="Normal 11 2 4 2 2 4 8 2" xfId="36638" xr:uid="{00000000-0005-0000-0000-00001B8C0000}"/>
    <cellStyle name="Normal 11 2 4 2 2 4 8 2 2" xfId="36639" xr:uid="{00000000-0005-0000-0000-00001C8C0000}"/>
    <cellStyle name="Normal 11 2 4 2 2 4 8 3" xfId="36640" xr:uid="{00000000-0005-0000-0000-00001D8C0000}"/>
    <cellStyle name="Normal 11 2 4 2 2 4 9" xfId="36641" xr:uid="{00000000-0005-0000-0000-00001E8C0000}"/>
    <cellStyle name="Normal 11 2 4 2 2 4 9 2" xfId="36642" xr:uid="{00000000-0005-0000-0000-00001F8C0000}"/>
    <cellStyle name="Normal 11 2 4 2 2 5" xfId="1430" xr:uid="{00000000-0005-0000-0000-0000208C0000}"/>
    <cellStyle name="Normal 11 2 4 2 2 5 2" xfId="36644" xr:uid="{00000000-0005-0000-0000-0000218C0000}"/>
    <cellStyle name="Normal 11 2 4 2 2 5 2 2" xfId="36645" xr:uid="{00000000-0005-0000-0000-0000228C0000}"/>
    <cellStyle name="Normal 11 2 4 2 2 5 2 2 2" xfId="36646" xr:uid="{00000000-0005-0000-0000-0000238C0000}"/>
    <cellStyle name="Normal 11 2 4 2 2 5 2 2 2 2" xfId="36647" xr:uid="{00000000-0005-0000-0000-0000248C0000}"/>
    <cellStyle name="Normal 11 2 4 2 2 5 2 2 3" xfId="36648" xr:uid="{00000000-0005-0000-0000-0000258C0000}"/>
    <cellStyle name="Normal 11 2 4 2 2 5 2 3" xfId="36649" xr:uid="{00000000-0005-0000-0000-0000268C0000}"/>
    <cellStyle name="Normal 11 2 4 2 2 5 2 3 2" xfId="36650" xr:uid="{00000000-0005-0000-0000-0000278C0000}"/>
    <cellStyle name="Normal 11 2 4 2 2 5 2 4" xfId="36651" xr:uid="{00000000-0005-0000-0000-0000288C0000}"/>
    <cellStyle name="Normal 11 2 4 2 2 5 3" xfId="36652" xr:uid="{00000000-0005-0000-0000-0000298C0000}"/>
    <cellStyle name="Normal 11 2 4 2 2 5 3 2" xfId="36653" xr:uid="{00000000-0005-0000-0000-00002A8C0000}"/>
    <cellStyle name="Normal 11 2 4 2 2 5 3 2 2" xfId="36654" xr:uid="{00000000-0005-0000-0000-00002B8C0000}"/>
    <cellStyle name="Normal 11 2 4 2 2 5 3 2 2 2" xfId="36655" xr:uid="{00000000-0005-0000-0000-00002C8C0000}"/>
    <cellStyle name="Normal 11 2 4 2 2 5 3 2 3" xfId="36656" xr:uid="{00000000-0005-0000-0000-00002D8C0000}"/>
    <cellStyle name="Normal 11 2 4 2 2 5 3 3" xfId="36657" xr:uid="{00000000-0005-0000-0000-00002E8C0000}"/>
    <cellStyle name="Normal 11 2 4 2 2 5 3 3 2" xfId="36658" xr:uid="{00000000-0005-0000-0000-00002F8C0000}"/>
    <cellStyle name="Normal 11 2 4 2 2 5 3 4" xfId="36659" xr:uid="{00000000-0005-0000-0000-0000308C0000}"/>
    <cellStyle name="Normal 11 2 4 2 2 5 4" xfId="36660" xr:uid="{00000000-0005-0000-0000-0000318C0000}"/>
    <cellStyle name="Normal 11 2 4 2 2 5 4 2" xfId="36661" xr:uid="{00000000-0005-0000-0000-0000328C0000}"/>
    <cellStyle name="Normal 11 2 4 2 2 5 4 2 2" xfId="36662" xr:uid="{00000000-0005-0000-0000-0000338C0000}"/>
    <cellStyle name="Normal 11 2 4 2 2 5 4 3" xfId="36663" xr:uid="{00000000-0005-0000-0000-0000348C0000}"/>
    <cellStyle name="Normal 11 2 4 2 2 5 5" xfId="36664" xr:uid="{00000000-0005-0000-0000-0000358C0000}"/>
    <cellStyle name="Normal 11 2 4 2 2 5 5 2" xfId="36665" xr:uid="{00000000-0005-0000-0000-0000368C0000}"/>
    <cellStyle name="Normal 11 2 4 2 2 5 6" xfId="36666" xr:uid="{00000000-0005-0000-0000-0000378C0000}"/>
    <cellStyle name="Normal 11 2 4 2 2 5 7" xfId="36643" xr:uid="{00000000-0005-0000-0000-0000388C0000}"/>
    <cellStyle name="Normal 11 2 4 2 2 6" xfId="36667" xr:uid="{00000000-0005-0000-0000-0000398C0000}"/>
    <cellStyle name="Normal 11 2 4 2 2 6 2" xfId="36668" xr:uid="{00000000-0005-0000-0000-00003A8C0000}"/>
    <cellStyle name="Normal 11 2 4 2 2 6 2 2" xfId="36669" xr:uid="{00000000-0005-0000-0000-00003B8C0000}"/>
    <cellStyle name="Normal 11 2 4 2 2 6 2 2 2" xfId="36670" xr:uid="{00000000-0005-0000-0000-00003C8C0000}"/>
    <cellStyle name="Normal 11 2 4 2 2 6 2 2 2 2" xfId="36671" xr:uid="{00000000-0005-0000-0000-00003D8C0000}"/>
    <cellStyle name="Normal 11 2 4 2 2 6 2 2 3" xfId="36672" xr:uid="{00000000-0005-0000-0000-00003E8C0000}"/>
    <cellStyle name="Normal 11 2 4 2 2 6 2 3" xfId="36673" xr:uid="{00000000-0005-0000-0000-00003F8C0000}"/>
    <cellStyle name="Normal 11 2 4 2 2 6 2 3 2" xfId="36674" xr:uid="{00000000-0005-0000-0000-0000408C0000}"/>
    <cellStyle name="Normal 11 2 4 2 2 6 2 4" xfId="36675" xr:uid="{00000000-0005-0000-0000-0000418C0000}"/>
    <cellStyle name="Normal 11 2 4 2 2 6 3" xfId="36676" xr:uid="{00000000-0005-0000-0000-0000428C0000}"/>
    <cellStyle name="Normal 11 2 4 2 2 6 3 2" xfId="36677" xr:uid="{00000000-0005-0000-0000-0000438C0000}"/>
    <cellStyle name="Normal 11 2 4 2 2 6 3 2 2" xfId="36678" xr:uid="{00000000-0005-0000-0000-0000448C0000}"/>
    <cellStyle name="Normal 11 2 4 2 2 6 3 3" xfId="36679" xr:uid="{00000000-0005-0000-0000-0000458C0000}"/>
    <cellStyle name="Normal 11 2 4 2 2 6 4" xfId="36680" xr:uid="{00000000-0005-0000-0000-0000468C0000}"/>
    <cellStyle name="Normal 11 2 4 2 2 6 4 2" xfId="36681" xr:uid="{00000000-0005-0000-0000-0000478C0000}"/>
    <cellStyle name="Normal 11 2 4 2 2 6 5" xfId="36682" xr:uid="{00000000-0005-0000-0000-0000488C0000}"/>
    <cellStyle name="Normal 11 2 4 2 2 7" xfId="36683" xr:uid="{00000000-0005-0000-0000-0000498C0000}"/>
    <cellStyle name="Normal 11 2 4 2 2 7 2" xfId="36684" xr:uid="{00000000-0005-0000-0000-00004A8C0000}"/>
    <cellStyle name="Normal 11 2 4 2 2 7 2 2" xfId="36685" xr:uid="{00000000-0005-0000-0000-00004B8C0000}"/>
    <cellStyle name="Normal 11 2 4 2 2 7 2 2 2" xfId="36686" xr:uid="{00000000-0005-0000-0000-00004C8C0000}"/>
    <cellStyle name="Normal 11 2 4 2 2 7 2 2 2 2" xfId="36687" xr:uid="{00000000-0005-0000-0000-00004D8C0000}"/>
    <cellStyle name="Normal 11 2 4 2 2 7 2 2 3" xfId="36688" xr:uid="{00000000-0005-0000-0000-00004E8C0000}"/>
    <cellStyle name="Normal 11 2 4 2 2 7 2 3" xfId="36689" xr:uid="{00000000-0005-0000-0000-00004F8C0000}"/>
    <cellStyle name="Normal 11 2 4 2 2 7 2 3 2" xfId="36690" xr:uid="{00000000-0005-0000-0000-0000508C0000}"/>
    <cellStyle name="Normal 11 2 4 2 2 7 2 4" xfId="36691" xr:uid="{00000000-0005-0000-0000-0000518C0000}"/>
    <cellStyle name="Normal 11 2 4 2 2 7 3" xfId="36692" xr:uid="{00000000-0005-0000-0000-0000528C0000}"/>
    <cellStyle name="Normal 11 2 4 2 2 7 3 2" xfId="36693" xr:uid="{00000000-0005-0000-0000-0000538C0000}"/>
    <cellStyle name="Normal 11 2 4 2 2 7 3 2 2" xfId="36694" xr:uid="{00000000-0005-0000-0000-0000548C0000}"/>
    <cellStyle name="Normal 11 2 4 2 2 7 3 3" xfId="36695" xr:uid="{00000000-0005-0000-0000-0000558C0000}"/>
    <cellStyle name="Normal 11 2 4 2 2 7 4" xfId="36696" xr:uid="{00000000-0005-0000-0000-0000568C0000}"/>
    <cellStyle name="Normal 11 2 4 2 2 7 4 2" xfId="36697" xr:uid="{00000000-0005-0000-0000-0000578C0000}"/>
    <cellStyle name="Normal 11 2 4 2 2 7 5" xfId="36698" xr:uid="{00000000-0005-0000-0000-0000588C0000}"/>
    <cellStyle name="Normal 11 2 4 2 2 8" xfId="36699" xr:uid="{00000000-0005-0000-0000-0000598C0000}"/>
    <cellStyle name="Normal 11 2 4 2 2 8 2" xfId="36700" xr:uid="{00000000-0005-0000-0000-00005A8C0000}"/>
    <cellStyle name="Normal 11 2 4 2 2 8 2 2" xfId="36701" xr:uid="{00000000-0005-0000-0000-00005B8C0000}"/>
    <cellStyle name="Normal 11 2 4 2 2 8 2 2 2" xfId="36702" xr:uid="{00000000-0005-0000-0000-00005C8C0000}"/>
    <cellStyle name="Normal 11 2 4 2 2 8 2 3" xfId="36703" xr:uid="{00000000-0005-0000-0000-00005D8C0000}"/>
    <cellStyle name="Normal 11 2 4 2 2 8 3" xfId="36704" xr:uid="{00000000-0005-0000-0000-00005E8C0000}"/>
    <cellStyle name="Normal 11 2 4 2 2 8 3 2" xfId="36705" xr:uid="{00000000-0005-0000-0000-00005F8C0000}"/>
    <cellStyle name="Normal 11 2 4 2 2 8 4" xfId="36706" xr:uid="{00000000-0005-0000-0000-0000608C0000}"/>
    <cellStyle name="Normal 11 2 4 2 2 9" xfId="36707" xr:uid="{00000000-0005-0000-0000-0000618C0000}"/>
    <cellStyle name="Normal 11 2 4 2 2 9 2" xfId="36708" xr:uid="{00000000-0005-0000-0000-0000628C0000}"/>
    <cellStyle name="Normal 11 2 4 2 2 9 2 2" xfId="36709" xr:uid="{00000000-0005-0000-0000-0000638C0000}"/>
    <cellStyle name="Normal 11 2 4 2 2 9 2 2 2" xfId="36710" xr:uid="{00000000-0005-0000-0000-0000648C0000}"/>
    <cellStyle name="Normal 11 2 4 2 2 9 2 3" xfId="36711" xr:uid="{00000000-0005-0000-0000-0000658C0000}"/>
    <cellStyle name="Normal 11 2 4 2 2 9 3" xfId="36712" xr:uid="{00000000-0005-0000-0000-0000668C0000}"/>
    <cellStyle name="Normal 11 2 4 2 2 9 3 2" xfId="36713" xr:uid="{00000000-0005-0000-0000-0000678C0000}"/>
    <cellStyle name="Normal 11 2 4 2 2 9 4" xfId="36714" xr:uid="{00000000-0005-0000-0000-0000688C0000}"/>
    <cellStyle name="Normal 11 2 4 2 3" xfId="589" xr:uid="{00000000-0005-0000-0000-0000698C0000}"/>
    <cellStyle name="Normal 11 2 4 2 3 10" xfId="36716" xr:uid="{00000000-0005-0000-0000-00006A8C0000}"/>
    <cellStyle name="Normal 11 2 4 2 3 10 2" xfId="36717" xr:uid="{00000000-0005-0000-0000-00006B8C0000}"/>
    <cellStyle name="Normal 11 2 4 2 3 10 2 2" xfId="36718" xr:uid="{00000000-0005-0000-0000-00006C8C0000}"/>
    <cellStyle name="Normal 11 2 4 2 3 10 3" xfId="36719" xr:uid="{00000000-0005-0000-0000-00006D8C0000}"/>
    <cellStyle name="Normal 11 2 4 2 3 11" xfId="36720" xr:uid="{00000000-0005-0000-0000-00006E8C0000}"/>
    <cellStyle name="Normal 11 2 4 2 3 11 2" xfId="36721" xr:uid="{00000000-0005-0000-0000-00006F8C0000}"/>
    <cellStyle name="Normal 11 2 4 2 3 11 2 2" xfId="36722" xr:uid="{00000000-0005-0000-0000-0000708C0000}"/>
    <cellStyle name="Normal 11 2 4 2 3 11 3" xfId="36723" xr:uid="{00000000-0005-0000-0000-0000718C0000}"/>
    <cellStyle name="Normal 11 2 4 2 3 12" xfId="36724" xr:uid="{00000000-0005-0000-0000-0000728C0000}"/>
    <cellStyle name="Normal 11 2 4 2 3 12 2" xfId="36725" xr:uid="{00000000-0005-0000-0000-0000738C0000}"/>
    <cellStyle name="Normal 11 2 4 2 3 13" xfId="36726" xr:uid="{00000000-0005-0000-0000-0000748C0000}"/>
    <cellStyle name="Normal 11 2 4 2 3 14" xfId="36727" xr:uid="{00000000-0005-0000-0000-0000758C0000}"/>
    <cellStyle name="Normal 11 2 4 2 3 15" xfId="36715" xr:uid="{00000000-0005-0000-0000-0000768C0000}"/>
    <cellStyle name="Normal 11 2 4 2 3 2" xfId="1031" xr:uid="{00000000-0005-0000-0000-0000778C0000}"/>
    <cellStyle name="Normal 11 2 4 2 3 2 10" xfId="36729" xr:uid="{00000000-0005-0000-0000-0000788C0000}"/>
    <cellStyle name="Normal 11 2 4 2 3 2 11" xfId="36728" xr:uid="{00000000-0005-0000-0000-0000798C0000}"/>
    <cellStyle name="Normal 11 2 4 2 3 2 2" xfId="1760" xr:uid="{00000000-0005-0000-0000-00007A8C0000}"/>
    <cellStyle name="Normal 11 2 4 2 3 2 2 2" xfId="36731" xr:uid="{00000000-0005-0000-0000-00007B8C0000}"/>
    <cellStyle name="Normal 11 2 4 2 3 2 2 2 2" xfId="36732" xr:uid="{00000000-0005-0000-0000-00007C8C0000}"/>
    <cellStyle name="Normal 11 2 4 2 3 2 2 2 2 2" xfId="36733" xr:uid="{00000000-0005-0000-0000-00007D8C0000}"/>
    <cellStyle name="Normal 11 2 4 2 3 2 2 2 2 2 2" xfId="36734" xr:uid="{00000000-0005-0000-0000-00007E8C0000}"/>
    <cellStyle name="Normal 11 2 4 2 3 2 2 2 2 3" xfId="36735" xr:uid="{00000000-0005-0000-0000-00007F8C0000}"/>
    <cellStyle name="Normal 11 2 4 2 3 2 2 2 3" xfId="36736" xr:uid="{00000000-0005-0000-0000-0000808C0000}"/>
    <cellStyle name="Normal 11 2 4 2 3 2 2 2 3 2" xfId="36737" xr:uid="{00000000-0005-0000-0000-0000818C0000}"/>
    <cellStyle name="Normal 11 2 4 2 3 2 2 2 4" xfId="36738" xr:uid="{00000000-0005-0000-0000-0000828C0000}"/>
    <cellStyle name="Normal 11 2 4 2 3 2 2 3" xfId="36739" xr:uid="{00000000-0005-0000-0000-0000838C0000}"/>
    <cellStyle name="Normal 11 2 4 2 3 2 2 3 2" xfId="36740" xr:uid="{00000000-0005-0000-0000-0000848C0000}"/>
    <cellStyle name="Normal 11 2 4 2 3 2 2 3 2 2" xfId="36741" xr:uid="{00000000-0005-0000-0000-0000858C0000}"/>
    <cellStyle name="Normal 11 2 4 2 3 2 2 3 2 2 2" xfId="36742" xr:uid="{00000000-0005-0000-0000-0000868C0000}"/>
    <cellStyle name="Normal 11 2 4 2 3 2 2 3 2 3" xfId="36743" xr:uid="{00000000-0005-0000-0000-0000878C0000}"/>
    <cellStyle name="Normal 11 2 4 2 3 2 2 3 3" xfId="36744" xr:uid="{00000000-0005-0000-0000-0000888C0000}"/>
    <cellStyle name="Normal 11 2 4 2 3 2 2 3 3 2" xfId="36745" xr:uid="{00000000-0005-0000-0000-0000898C0000}"/>
    <cellStyle name="Normal 11 2 4 2 3 2 2 3 4" xfId="36746" xr:uid="{00000000-0005-0000-0000-00008A8C0000}"/>
    <cellStyle name="Normal 11 2 4 2 3 2 2 4" xfId="36747" xr:uid="{00000000-0005-0000-0000-00008B8C0000}"/>
    <cellStyle name="Normal 11 2 4 2 3 2 2 4 2" xfId="36748" xr:uid="{00000000-0005-0000-0000-00008C8C0000}"/>
    <cellStyle name="Normal 11 2 4 2 3 2 2 4 2 2" xfId="36749" xr:uid="{00000000-0005-0000-0000-00008D8C0000}"/>
    <cellStyle name="Normal 11 2 4 2 3 2 2 4 3" xfId="36750" xr:uid="{00000000-0005-0000-0000-00008E8C0000}"/>
    <cellStyle name="Normal 11 2 4 2 3 2 2 5" xfId="36751" xr:uid="{00000000-0005-0000-0000-00008F8C0000}"/>
    <cellStyle name="Normal 11 2 4 2 3 2 2 5 2" xfId="36752" xr:uid="{00000000-0005-0000-0000-0000908C0000}"/>
    <cellStyle name="Normal 11 2 4 2 3 2 2 6" xfId="36753" xr:uid="{00000000-0005-0000-0000-0000918C0000}"/>
    <cellStyle name="Normal 11 2 4 2 3 2 2 7" xfId="36730" xr:uid="{00000000-0005-0000-0000-0000928C0000}"/>
    <cellStyle name="Normal 11 2 4 2 3 2 3" xfId="36754" xr:uid="{00000000-0005-0000-0000-0000938C0000}"/>
    <cellStyle name="Normal 11 2 4 2 3 2 3 2" xfId="36755" xr:uid="{00000000-0005-0000-0000-0000948C0000}"/>
    <cellStyle name="Normal 11 2 4 2 3 2 3 2 2" xfId="36756" xr:uid="{00000000-0005-0000-0000-0000958C0000}"/>
    <cellStyle name="Normal 11 2 4 2 3 2 3 2 2 2" xfId="36757" xr:uid="{00000000-0005-0000-0000-0000968C0000}"/>
    <cellStyle name="Normal 11 2 4 2 3 2 3 2 2 2 2" xfId="36758" xr:uid="{00000000-0005-0000-0000-0000978C0000}"/>
    <cellStyle name="Normal 11 2 4 2 3 2 3 2 2 3" xfId="36759" xr:uid="{00000000-0005-0000-0000-0000988C0000}"/>
    <cellStyle name="Normal 11 2 4 2 3 2 3 2 3" xfId="36760" xr:uid="{00000000-0005-0000-0000-0000998C0000}"/>
    <cellStyle name="Normal 11 2 4 2 3 2 3 2 3 2" xfId="36761" xr:uid="{00000000-0005-0000-0000-00009A8C0000}"/>
    <cellStyle name="Normal 11 2 4 2 3 2 3 2 4" xfId="36762" xr:uid="{00000000-0005-0000-0000-00009B8C0000}"/>
    <cellStyle name="Normal 11 2 4 2 3 2 3 3" xfId="36763" xr:uid="{00000000-0005-0000-0000-00009C8C0000}"/>
    <cellStyle name="Normal 11 2 4 2 3 2 3 3 2" xfId="36764" xr:uid="{00000000-0005-0000-0000-00009D8C0000}"/>
    <cellStyle name="Normal 11 2 4 2 3 2 3 3 2 2" xfId="36765" xr:uid="{00000000-0005-0000-0000-00009E8C0000}"/>
    <cellStyle name="Normal 11 2 4 2 3 2 3 3 3" xfId="36766" xr:uid="{00000000-0005-0000-0000-00009F8C0000}"/>
    <cellStyle name="Normal 11 2 4 2 3 2 3 4" xfId="36767" xr:uid="{00000000-0005-0000-0000-0000A08C0000}"/>
    <cellStyle name="Normal 11 2 4 2 3 2 3 4 2" xfId="36768" xr:uid="{00000000-0005-0000-0000-0000A18C0000}"/>
    <cellStyle name="Normal 11 2 4 2 3 2 3 5" xfId="36769" xr:uid="{00000000-0005-0000-0000-0000A28C0000}"/>
    <cellStyle name="Normal 11 2 4 2 3 2 4" xfId="36770" xr:uid="{00000000-0005-0000-0000-0000A38C0000}"/>
    <cellStyle name="Normal 11 2 4 2 3 2 4 2" xfId="36771" xr:uid="{00000000-0005-0000-0000-0000A48C0000}"/>
    <cellStyle name="Normal 11 2 4 2 3 2 4 2 2" xfId="36772" xr:uid="{00000000-0005-0000-0000-0000A58C0000}"/>
    <cellStyle name="Normal 11 2 4 2 3 2 4 2 2 2" xfId="36773" xr:uid="{00000000-0005-0000-0000-0000A68C0000}"/>
    <cellStyle name="Normal 11 2 4 2 3 2 4 2 2 2 2" xfId="36774" xr:uid="{00000000-0005-0000-0000-0000A78C0000}"/>
    <cellStyle name="Normal 11 2 4 2 3 2 4 2 2 3" xfId="36775" xr:uid="{00000000-0005-0000-0000-0000A88C0000}"/>
    <cellStyle name="Normal 11 2 4 2 3 2 4 2 3" xfId="36776" xr:uid="{00000000-0005-0000-0000-0000A98C0000}"/>
    <cellStyle name="Normal 11 2 4 2 3 2 4 2 3 2" xfId="36777" xr:uid="{00000000-0005-0000-0000-0000AA8C0000}"/>
    <cellStyle name="Normal 11 2 4 2 3 2 4 2 4" xfId="36778" xr:uid="{00000000-0005-0000-0000-0000AB8C0000}"/>
    <cellStyle name="Normal 11 2 4 2 3 2 4 3" xfId="36779" xr:uid="{00000000-0005-0000-0000-0000AC8C0000}"/>
    <cellStyle name="Normal 11 2 4 2 3 2 4 3 2" xfId="36780" xr:uid="{00000000-0005-0000-0000-0000AD8C0000}"/>
    <cellStyle name="Normal 11 2 4 2 3 2 4 3 2 2" xfId="36781" xr:uid="{00000000-0005-0000-0000-0000AE8C0000}"/>
    <cellStyle name="Normal 11 2 4 2 3 2 4 3 3" xfId="36782" xr:uid="{00000000-0005-0000-0000-0000AF8C0000}"/>
    <cellStyle name="Normal 11 2 4 2 3 2 4 4" xfId="36783" xr:uid="{00000000-0005-0000-0000-0000B08C0000}"/>
    <cellStyle name="Normal 11 2 4 2 3 2 4 4 2" xfId="36784" xr:uid="{00000000-0005-0000-0000-0000B18C0000}"/>
    <cellStyle name="Normal 11 2 4 2 3 2 4 5" xfId="36785" xr:uid="{00000000-0005-0000-0000-0000B28C0000}"/>
    <cellStyle name="Normal 11 2 4 2 3 2 5" xfId="36786" xr:uid="{00000000-0005-0000-0000-0000B38C0000}"/>
    <cellStyle name="Normal 11 2 4 2 3 2 5 2" xfId="36787" xr:uid="{00000000-0005-0000-0000-0000B48C0000}"/>
    <cellStyle name="Normal 11 2 4 2 3 2 5 2 2" xfId="36788" xr:uid="{00000000-0005-0000-0000-0000B58C0000}"/>
    <cellStyle name="Normal 11 2 4 2 3 2 5 2 2 2" xfId="36789" xr:uid="{00000000-0005-0000-0000-0000B68C0000}"/>
    <cellStyle name="Normal 11 2 4 2 3 2 5 2 3" xfId="36790" xr:uid="{00000000-0005-0000-0000-0000B78C0000}"/>
    <cellStyle name="Normal 11 2 4 2 3 2 5 3" xfId="36791" xr:uid="{00000000-0005-0000-0000-0000B88C0000}"/>
    <cellStyle name="Normal 11 2 4 2 3 2 5 3 2" xfId="36792" xr:uid="{00000000-0005-0000-0000-0000B98C0000}"/>
    <cellStyle name="Normal 11 2 4 2 3 2 5 4" xfId="36793" xr:uid="{00000000-0005-0000-0000-0000BA8C0000}"/>
    <cellStyle name="Normal 11 2 4 2 3 2 6" xfId="36794" xr:uid="{00000000-0005-0000-0000-0000BB8C0000}"/>
    <cellStyle name="Normal 11 2 4 2 3 2 6 2" xfId="36795" xr:uid="{00000000-0005-0000-0000-0000BC8C0000}"/>
    <cellStyle name="Normal 11 2 4 2 3 2 6 2 2" xfId="36796" xr:uid="{00000000-0005-0000-0000-0000BD8C0000}"/>
    <cellStyle name="Normal 11 2 4 2 3 2 6 2 2 2" xfId="36797" xr:uid="{00000000-0005-0000-0000-0000BE8C0000}"/>
    <cellStyle name="Normal 11 2 4 2 3 2 6 2 3" xfId="36798" xr:uid="{00000000-0005-0000-0000-0000BF8C0000}"/>
    <cellStyle name="Normal 11 2 4 2 3 2 6 3" xfId="36799" xr:uid="{00000000-0005-0000-0000-0000C08C0000}"/>
    <cellStyle name="Normal 11 2 4 2 3 2 6 3 2" xfId="36800" xr:uid="{00000000-0005-0000-0000-0000C18C0000}"/>
    <cellStyle name="Normal 11 2 4 2 3 2 6 4" xfId="36801" xr:uid="{00000000-0005-0000-0000-0000C28C0000}"/>
    <cellStyle name="Normal 11 2 4 2 3 2 7" xfId="36802" xr:uid="{00000000-0005-0000-0000-0000C38C0000}"/>
    <cellStyle name="Normal 11 2 4 2 3 2 7 2" xfId="36803" xr:uid="{00000000-0005-0000-0000-0000C48C0000}"/>
    <cellStyle name="Normal 11 2 4 2 3 2 7 2 2" xfId="36804" xr:uid="{00000000-0005-0000-0000-0000C58C0000}"/>
    <cellStyle name="Normal 11 2 4 2 3 2 7 2 2 2" xfId="36805" xr:uid="{00000000-0005-0000-0000-0000C68C0000}"/>
    <cellStyle name="Normal 11 2 4 2 3 2 7 2 3" xfId="36806" xr:uid="{00000000-0005-0000-0000-0000C78C0000}"/>
    <cellStyle name="Normal 11 2 4 2 3 2 7 3" xfId="36807" xr:uid="{00000000-0005-0000-0000-0000C88C0000}"/>
    <cellStyle name="Normal 11 2 4 2 3 2 7 3 2" xfId="36808" xr:uid="{00000000-0005-0000-0000-0000C98C0000}"/>
    <cellStyle name="Normal 11 2 4 2 3 2 7 4" xfId="36809" xr:uid="{00000000-0005-0000-0000-0000CA8C0000}"/>
    <cellStyle name="Normal 11 2 4 2 3 2 8" xfId="36810" xr:uid="{00000000-0005-0000-0000-0000CB8C0000}"/>
    <cellStyle name="Normal 11 2 4 2 3 2 8 2" xfId="36811" xr:uid="{00000000-0005-0000-0000-0000CC8C0000}"/>
    <cellStyle name="Normal 11 2 4 2 3 2 8 2 2" xfId="36812" xr:uid="{00000000-0005-0000-0000-0000CD8C0000}"/>
    <cellStyle name="Normal 11 2 4 2 3 2 8 3" xfId="36813" xr:uid="{00000000-0005-0000-0000-0000CE8C0000}"/>
    <cellStyle name="Normal 11 2 4 2 3 2 9" xfId="36814" xr:uid="{00000000-0005-0000-0000-0000CF8C0000}"/>
    <cellStyle name="Normal 11 2 4 2 3 2 9 2" xfId="36815" xr:uid="{00000000-0005-0000-0000-0000D08C0000}"/>
    <cellStyle name="Normal 11 2 4 2 3 3" xfId="1433" xr:uid="{00000000-0005-0000-0000-0000D18C0000}"/>
    <cellStyle name="Normal 11 2 4 2 3 3 2" xfId="36817" xr:uid="{00000000-0005-0000-0000-0000D28C0000}"/>
    <cellStyle name="Normal 11 2 4 2 3 3 2 2" xfId="36818" xr:uid="{00000000-0005-0000-0000-0000D38C0000}"/>
    <cellStyle name="Normal 11 2 4 2 3 3 2 2 2" xfId="36819" xr:uid="{00000000-0005-0000-0000-0000D48C0000}"/>
    <cellStyle name="Normal 11 2 4 2 3 3 2 2 2 2" xfId="36820" xr:uid="{00000000-0005-0000-0000-0000D58C0000}"/>
    <cellStyle name="Normal 11 2 4 2 3 3 2 2 3" xfId="36821" xr:uid="{00000000-0005-0000-0000-0000D68C0000}"/>
    <cellStyle name="Normal 11 2 4 2 3 3 2 3" xfId="36822" xr:uid="{00000000-0005-0000-0000-0000D78C0000}"/>
    <cellStyle name="Normal 11 2 4 2 3 3 2 3 2" xfId="36823" xr:uid="{00000000-0005-0000-0000-0000D88C0000}"/>
    <cellStyle name="Normal 11 2 4 2 3 3 2 4" xfId="36824" xr:uid="{00000000-0005-0000-0000-0000D98C0000}"/>
    <cellStyle name="Normal 11 2 4 2 3 3 3" xfId="36825" xr:uid="{00000000-0005-0000-0000-0000DA8C0000}"/>
    <cellStyle name="Normal 11 2 4 2 3 3 3 2" xfId="36826" xr:uid="{00000000-0005-0000-0000-0000DB8C0000}"/>
    <cellStyle name="Normal 11 2 4 2 3 3 3 2 2" xfId="36827" xr:uid="{00000000-0005-0000-0000-0000DC8C0000}"/>
    <cellStyle name="Normal 11 2 4 2 3 3 3 2 2 2" xfId="36828" xr:uid="{00000000-0005-0000-0000-0000DD8C0000}"/>
    <cellStyle name="Normal 11 2 4 2 3 3 3 2 3" xfId="36829" xr:uid="{00000000-0005-0000-0000-0000DE8C0000}"/>
    <cellStyle name="Normal 11 2 4 2 3 3 3 3" xfId="36830" xr:uid="{00000000-0005-0000-0000-0000DF8C0000}"/>
    <cellStyle name="Normal 11 2 4 2 3 3 3 3 2" xfId="36831" xr:uid="{00000000-0005-0000-0000-0000E08C0000}"/>
    <cellStyle name="Normal 11 2 4 2 3 3 3 4" xfId="36832" xr:uid="{00000000-0005-0000-0000-0000E18C0000}"/>
    <cellStyle name="Normal 11 2 4 2 3 3 4" xfId="36833" xr:uid="{00000000-0005-0000-0000-0000E28C0000}"/>
    <cellStyle name="Normal 11 2 4 2 3 3 4 2" xfId="36834" xr:uid="{00000000-0005-0000-0000-0000E38C0000}"/>
    <cellStyle name="Normal 11 2 4 2 3 3 4 2 2" xfId="36835" xr:uid="{00000000-0005-0000-0000-0000E48C0000}"/>
    <cellStyle name="Normal 11 2 4 2 3 3 4 3" xfId="36836" xr:uid="{00000000-0005-0000-0000-0000E58C0000}"/>
    <cellStyle name="Normal 11 2 4 2 3 3 5" xfId="36837" xr:uid="{00000000-0005-0000-0000-0000E68C0000}"/>
    <cellStyle name="Normal 11 2 4 2 3 3 5 2" xfId="36838" xr:uid="{00000000-0005-0000-0000-0000E78C0000}"/>
    <cellStyle name="Normal 11 2 4 2 3 3 6" xfId="36839" xr:uid="{00000000-0005-0000-0000-0000E88C0000}"/>
    <cellStyle name="Normal 11 2 4 2 3 3 7" xfId="36816" xr:uid="{00000000-0005-0000-0000-0000E98C0000}"/>
    <cellStyle name="Normal 11 2 4 2 3 4" xfId="36840" xr:uid="{00000000-0005-0000-0000-0000EA8C0000}"/>
    <cellStyle name="Normal 11 2 4 2 3 4 2" xfId="36841" xr:uid="{00000000-0005-0000-0000-0000EB8C0000}"/>
    <cellStyle name="Normal 11 2 4 2 3 4 2 2" xfId="36842" xr:uid="{00000000-0005-0000-0000-0000EC8C0000}"/>
    <cellStyle name="Normal 11 2 4 2 3 4 2 2 2" xfId="36843" xr:uid="{00000000-0005-0000-0000-0000ED8C0000}"/>
    <cellStyle name="Normal 11 2 4 2 3 4 2 2 2 2" xfId="36844" xr:uid="{00000000-0005-0000-0000-0000EE8C0000}"/>
    <cellStyle name="Normal 11 2 4 2 3 4 2 2 3" xfId="36845" xr:uid="{00000000-0005-0000-0000-0000EF8C0000}"/>
    <cellStyle name="Normal 11 2 4 2 3 4 2 3" xfId="36846" xr:uid="{00000000-0005-0000-0000-0000F08C0000}"/>
    <cellStyle name="Normal 11 2 4 2 3 4 2 3 2" xfId="36847" xr:uid="{00000000-0005-0000-0000-0000F18C0000}"/>
    <cellStyle name="Normal 11 2 4 2 3 4 2 4" xfId="36848" xr:uid="{00000000-0005-0000-0000-0000F28C0000}"/>
    <cellStyle name="Normal 11 2 4 2 3 4 3" xfId="36849" xr:uid="{00000000-0005-0000-0000-0000F38C0000}"/>
    <cellStyle name="Normal 11 2 4 2 3 4 3 2" xfId="36850" xr:uid="{00000000-0005-0000-0000-0000F48C0000}"/>
    <cellStyle name="Normal 11 2 4 2 3 4 3 2 2" xfId="36851" xr:uid="{00000000-0005-0000-0000-0000F58C0000}"/>
    <cellStyle name="Normal 11 2 4 2 3 4 3 3" xfId="36852" xr:uid="{00000000-0005-0000-0000-0000F68C0000}"/>
    <cellStyle name="Normal 11 2 4 2 3 4 4" xfId="36853" xr:uid="{00000000-0005-0000-0000-0000F78C0000}"/>
    <cellStyle name="Normal 11 2 4 2 3 4 4 2" xfId="36854" xr:uid="{00000000-0005-0000-0000-0000F88C0000}"/>
    <cellStyle name="Normal 11 2 4 2 3 4 5" xfId="36855" xr:uid="{00000000-0005-0000-0000-0000F98C0000}"/>
    <cellStyle name="Normal 11 2 4 2 3 5" xfId="36856" xr:uid="{00000000-0005-0000-0000-0000FA8C0000}"/>
    <cellStyle name="Normal 11 2 4 2 3 5 2" xfId="36857" xr:uid="{00000000-0005-0000-0000-0000FB8C0000}"/>
    <cellStyle name="Normal 11 2 4 2 3 5 2 2" xfId="36858" xr:uid="{00000000-0005-0000-0000-0000FC8C0000}"/>
    <cellStyle name="Normal 11 2 4 2 3 5 2 2 2" xfId="36859" xr:uid="{00000000-0005-0000-0000-0000FD8C0000}"/>
    <cellStyle name="Normal 11 2 4 2 3 5 2 2 2 2" xfId="36860" xr:uid="{00000000-0005-0000-0000-0000FE8C0000}"/>
    <cellStyle name="Normal 11 2 4 2 3 5 2 2 3" xfId="36861" xr:uid="{00000000-0005-0000-0000-0000FF8C0000}"/>
    <cellStyle name="Normal 11 2 4 2 3 5 2 3" xfId="36862" xr:uid="{00000000-0005-0000-0000-0000008D0000}"/>
    <cellStyle name="Normal 11 2 4 2 3 5 2 3 2" xfId="36863" xr:uid="{00000000-0005-0000-0000-0000018D0000}"/>
    <cellStyle name="Normal 11 2 4 2 3 5 2 4" xfId="36864" xr:uid="{00000000-0005-0000-0000-0000028D0000}"/>
    <cellStyle name="Normal 11 2 4 2 3 5 3" xfId="36865" xr:uid="{00000000-0005-0000-0000-0000038D0000}"/>
    <cellStyle name="Normal 11 2 4 2 3 5 3 2" xfId="36866" xr:uid="{00000000-0005-0000-0000-0000048D0000}"/>
    <cellStyle name="Normal 11 2 4 2 3 5 3 2 2" xfId="36867" xr:uid="{00000000-0005-0000-0000-0000058D0000}"/>
    <cellStyle name="Normal 11 2 4 2 3 5 3 3" xfId="36868" xr:uid="{00000000-0005-0000-0000-0000068D0000}"/>
    <cellStyle name="Normal 11 2 4 2 3 5 4" xfId="36869" xr:uid="{00000000-0005-0000-0000-0000078D0000}"/>
    <cellStyle name="Normal 11 2 4 2 3 5 4 2" xfId="36870" xr:uid="{00000000-0005-0000-0000-0000088D0000}"/>
    <cellStyle name="Normal 11 2 4 2 3 5 5" xfId="36871" xr:uid="{00000000-0005-0000-0000-0000098D0000}"/>
    <cellStyle name="Normal 11 2 4 2 3 6" xfId="36872" xr:uid="{00000000-0005-0000-0000-00000A8D0000}"/>
    <cellStyle name="Normal 11 2 4 2 3 6 2" xfId="36873" xr:uid="{00000000-0005-0000-0000-00000B8D0000}"/>
    <cellStyle name="Normal 11 2 4 2 3 6 2 2" xfId="36874" xr:uid="{00000000-0005-0000-0000-00000C8D0000}"/>
    <cellStyle name="Normal 11 2 4 2 3 6 2 2 2" xfId="36875" xr:uid="{00000000-0005-0000-0000-00000D8D0000}"/>
    <cellStyle name="Normal 11 2 4 2 3 6 2 3" xfId="36876" xr:uid="{00000000-0005-0000-0000-00000E8D0000}"/>
    <cellStyle name="Normal 11 2 4 2 3 6 3" xfId="36877" xr:uid="{00000000-0005-0000-0000-00000F8D0000}"/>
    <cellStyle name="Normal 11 2 4 2 3 6 3 2" xfId="36878" xr:uid="{00000000-0005-0000-0000-0000108D0000}"/>
    <cellStyle name="Normal 11 2 4 2 3 6 4" xfId="36879" xr:uid="{00000000-0005-0000-0000-0000118D0000}"/>
    <cellStyle name="Normal 11 2 4 2 3 7" xfId="36880" xr:uid="{00000000-0005-0000-0000-0000128D0000}"/>
    <cellStyle name="Normal 11 2 4 2 3 7 2" xfId="36881" xr:uid="{00000000-0005-0000-0000-0000138D0000}"/>
    <cellStyle name="Normal 11 2 4 2 3 7 2 2" xfId="36882" xr:uid="{00000000-0005-0000-0000-0000148D0000}"/>
    <cellStyle name="Normal 11 2 4 2 3 7 2 2 2" xfId="36883" xr:uid="{00000000-0005-0000-0000-0000158D0000}"/>
    <cellStyle name="Normal 11 2 4 2 3 7 2 3" xfId="36884" xr:uid="{00000000-0005-0000-0000-0000168D0000}"/>
    <cellStyle name="Normal 11 2 4 2 3 7 3" xfId="36885" xr:uid="{00000000-0005-0000-0000-0000178D0000}"/>
    <cellStyle name="Normal 11 2 4 2 3 7 3 2" xfId="36886" xr:uid="{00000000-0005-0000-0000-0000188D0000}"/>
    <cellStyle name="Normal 11 2 4 2 3 7 4" xfId="36887" xr:uid="{00000000-0005-0000-0000-0000198D0000}"/>
    <cellStyle name="Normal 11 2 4 2 3 8" xfId="36888" xr:uid="{00000000-0005-0000-0000-00001A8D0000}"/>
    <cellStyle name="Normal 11 2 4 2 3 8 2" xfId="36889" xr:uid="{00000000-0005-0000-0000-00001B8D0000}"/>
    <cellStyle name="Normal 11 2 4 2 3 8 2 2" xfId="36890" xr:uid="{00000000-0005-0000-0000-00001C8D0000}"/>
    <cellStyle name="Normal 11 2 4 2 3 8 2 2 2" xfId="36891" xr:uid="{00000000-0005-0000-0000-00001D8D0000}"/>
    <cellStyle name="Normal 11 2 4 2 3 8 2 3" xfId="36892" xr:uid="{00000000-0005-0000-0000-00001E8D0000}"/>
    <cellStyle name="Normal 11 2 4 2 3 8 3" xfId="36893" xr:uid="{00000000-0005-0000-0000-00001F8D0000}"/>
    <cellStyle name="Normal 11 2 4 2 3 8 3 2" xfId="36894" xr:uid="{00000000-0005-0000-0000-0000208D0000}"/>
    <cellStyle name="Normal 11 2 4 2 3 8 4" xfId="36895" xr:uid="{00000000-0005-0000-0000-0000218D0000}"/>
    <cellStyle name="Normal 11 2 4 2 3 9" xfId="36896" xr:uid="{00000000-0005-0000-0000-0000228D0000}"/>
    <cellStyle name="Normal 11 2 4 2 3 9 2" xfId="36897" xr:uid="{00000000-0005-0000-0000-0000238D0000}"/>
    <cellStyle name="Normal 11 2 4 2 3 9 2 2" xfId="36898" xr:uid="{00000000-0005-0000-0000-0000248D0000}"/>
    <cellStyle name="Normal 11 2 4 2 3 9 3" xfId="36899" xr:uid="{00000000-0005-0000-0000-0000258D0000}"/>
    <cellStyle name="Normal 11 2 4 2 4" xfId="590" xr:uid="{00000000-0005-0000-0000-0000268D0000}"/>
    <cellStyle name="Normal 11 2 4 2 4 10" xfId="36901" xr:uid="{00000000-0005-0000-0000-0000278D0000}"/>
    <cellStyle name="Normal 11 2 4 2 4 10 2" xfId="36902" xr:uid="{00000000-0005-0000-0000-0000288D0000}"/>
    <cellStyle name="Normal 11 2 4 2 4 10 2 2" xfId="36903" xr:uid="{00000000-0005-0000-0000-0000298D0000}"/>
    <cellStyle name="Normal 11 2 4 2 4 10 3" xfId="36904" xr:uid="{00000000-0005-0000-0000-00002A8D0000}"/>
    <cellStyle name="Normal 11 2 4 2 4 11" xfId="36905" xr:uid="{00000000-0005-0000-0000-00002B8D0000}"/>
    <cellStyle name="Normal 11 2 4 2 4 11 2" xfId="36906" xr:uid="{00000000-0005-0000-0000-00002C8D0000}"/>
    <cellStyle name="Normal 11 2 4 2 4 11 2 2" xfId="36907" xr:uid="{00000000-0005-0000-0000-00002D8D0000}"/>
    <cellStyle name="Normal 11 2 4 2 4 11 3" xfId="36908" xr:uid="{00000000-0005-0000-0000-00002E8D0000}"/>
    <cellStyle name="Normal 11 2 4 2 4 12" xfId="36909" xr:uid="{00000000-0005-0000-0000-00002F8D0000}"/>
    <cellStyle name="Normal 11 2 4 2 4 12 2" xfId="36910" xr:uid="{00000000-0005-0000-0000-0000308D0000}"/>
    <cellStyle name="Normal 11 2 4 2 4 13" xfId="36911" xr:uid="{00000000-0005-0000-0000-0000318D0000}"/>
    <cellStyle name="Normal 11 2 4 2 4 14" xfId="36912" xr:uid="{00000000-0005-0000-0000-0000328D0000}"/>
    <cellStyle name="Normal 11 2 4 2 4 15" xfId="36900" xr:uid="{00000000-0005-0000-0000-0000338D0000}"/>
    <cellStyle name="Normal 11 2 4 2 4 2" xfId="1032" xr:uid="{00000000-0005-0000-0000-0000348D0000}"/>
    <cellStyle name="Normal 11 2 4 2 4 2 10" xfId="36914" xr:uid="{00000000-0005-0000-0000-0000358D0000}"/>
    <cellStyle name="Normal 11 2 4 2 4 2 11" xfId="36913" xr:uid="{00000000-0005-0000-0000-0000368D0000}"/>
    <cellStyle name="Normal 11 2 4 2 4 2 2" xfId="1761" xr:uid="{00000000-0005-0000-0000-0000378D0000}"/>
    <cellStyle name="Normal 11 2 4 2 4 2 2 2" xfId="36916" xr:uid="{00000000-0005-0000-0000-0000388D0000}"/>
    <cellStyle name="Normal 11 2 4 2 4 2 2 2 2" xfId="36917" xr:uid="{00000000-0005-0000-0000-0000398D0000}"/>
    <cellStyle name="Normal 11 2 4 2 4 2 2 2 2 2" xfId="36918" xr:uid="{00000000-0005-0000-0000-00003A8D0000}"/>
    <cellStyle name="Normal 11 2 4 2 4 2 2 2 2 2 2" xfId="36919" xr:uid="{00000000-0005-0000-0000-00003B8D0000}"/>
    <cellStyle name="Normal 11 2 4 2 4 2 2 2 2 3" xfId="36920" xr:uid="{00000000-0005-0000-0000-00003C8D0000}"/>
    <cellStyle name="Normal 11 2 4 2 4 2 2 2 3" xfId="36921" xr:uid="{00000000-0005-0000-0000-00003D8D0000}"/>
    <cellStyle name="Normal 11 2 4 2 4 2 2 2 3 2" xfId="36922" xr:uid="{00000000-0005-0000-0000-00003E8D0000}"/>
    <cellStyle name="Normal 11 2 4 2 4 2 2 2 4" xfId="36923" xr:uid="{00000000-0005-0000-0000-00003F8D0000}"/>
    <cellStyle name="Normal 11 2 4 2 4 2 2 3" xfId="36924" xr:uid="{00000000-0005-0000-0000-0000408D0000}"/>
    <cellStyle name="Normal 11 2 4 2 4 2 2 3 2" xfId="36925" xr:uid="{00000000-0005-0000-0000-0000418D0000}"/>
    <cellStyle name="Normal 11 2 4 2 4 2 2 3 2 2" xfId="36926" xr:uid="{00000000-0005-0000-0000-0000428D0000}"/>
    <cellStyle name="Normal 11 2 4 2 4 2 2 3 2 2 2" xfId="36927" xr:uid="{00000000-0005-0000-0000-0000438D0000}"/>
    <cellStyle name="Normal 11 2 4 2 4 2 2 3 2 3" xfId="36928" xr:uid="{00000000-0005-0000-0000-0000448D0000}"/>
    <cellStyle name="Normal 11 2 4 2 4 2 2 3 3" xfId="36929" xr:uid="{00000000-0005-0000-0000-0000458D0000}"/>
    <cellStyle name="Normal 11 2 4 2 4 2 2 3 3 2" xfId="36930" xr:uid="{00000000-0005-0000-0000-0000468D0000}"/>
    <cellStyle name="Normal 11 2 4 2 4 2 2 3 4" xfId="36931" xr:uid="{00000000-0005-0000-0000-0000478D0000}"/>
    <cellStyle name="Normal 11 2 4 2 4 2 2 4" xfId="36932" xr:uid="{00000000-0005-0000-0000-0000488D0000}"/>
    <cellStyle name="Normal 11 2 4 2 4 2 2 4 2" xfId="36933" xr:uid="{00000000-0005-0000-0000-0000498D0000}"/>
    <cellStyle name="Normal 11 2 4 2 4 2 2 4 2 2" xfId="36934" xr:uid="{00000000-0005-0000-0000-00004A8D0000}"/>
    <cellStyle name="Normal 11 2 4 2 4 2 2 4 3" xfId="36935" xr:uid="{00000000-0005-0000-0000-00004B8D0000}"/>
    <cellStyle name="Normal 11 2 4 2 4 2 2 5" xfId="36936" xr:uid="{00000000-0005-0000-0000-00004C8D0000}"/>
    <cellStyle name="Normal 11 2 4 2 4 2 2 5 2" xfId="36937" xr:uid="{00000000-0005-0000-0000-00004D8D0000}"/>
    <cellStyle name="Normal 11 2 4 2 4 2 2 6" xfId="36938" xr:uid="{00000000-0005-0000-0000-00004E8D0000}"/>
    <cellStyle name="Normal 11 2 4 2 4 2 2 7" xfId="36915" xr:uid="{00000000-0005-0000-0000-00004F8D0000}"/>
    <cellStyle name="Normal 11 2 4 2 4 2 3" xfId="36939" xr:uid="{00000000-0005-0000-0000-0000508D0000}"/>
    <cellStyle name="Normal 11 2 4 2 4 2 3 2" xfId="36940" xr:uid="{00000000-0005-0000-0000-0000518D0000}"/>
    <cellStyle name="Normal 11 2 4 2 4 2 3 2 2" xfId="36941" xr:uid="{00000000-0005-0000-0000-0000528D0000}"/>
    <cellStyle name="Normal 11 2 4 2 4 2 3 2 2 2" xfId="36942" xr:uid="{00000000-0005-0000-0000-0000538D0000}"/>
    <cellStyle name="Normal 11 2 4 2 4 2 3 2 2 2 2" xfId="36943" xr:uid="{00000000-0005-0000-0000-0000548D0000}"/>
    <cellStyle name="Normal 11 2 4 2 4 2 3 2 2 3" xfId="36944" xr:uid="{00000000-0005-0000-0000-0000558D0000}"/>
    <cellStyle name="Normal 11 2 4 2 4 2 3 2 3" xfId="36945" xr:uid="{00000000-0005-0000-0000-0000568D0000}"/>
    <cellStyle name="Normal 11 2 4 2 4 2 3 2 3 2" xfId="36946" xr:uid="{00000000-0005-0000-0000-0000578D0000}"/>
    <cellStyle name="Normal 11 2 4 2 4 2 3 2 4" xfId="36947" xr:uid="{00000000-0005-0000-0000-0000588D0000}"/>
    <cellStyle name="Normal 11 2 4 2 4 2 3 3" xfId="36948" xr:uid="{00000000-0005-0000-0000-0000598D0000}"/>
    <cellStyle name="Normal 11 2 4 2 4 2 3 3 2" xfId="36949" xr:uid="{00000000-0005-0000-0000-00005A8D0000}"/>
    <cellStyle name="Normal 11 2 4 2 4 2 3 3 2 2" xfId="36950" xr:uid="{00000000-0005-0000-0000-00005B8D0000}"/>
    <cellStyle name="Normal 11 2 4 2 4 2 3 3 3" xfId="36951" xr:uid="{00000000-0005-0000-0000-00005C8D0000}"/>
    <cellStyle name="Normal 11 2 4 2 4 2 3 4" xfId="36952" xr:uid="{00000000-0005-0000-0000-00005D8D0000}"/>
    <cellStyle name="Normal 11 2 4 2 4 2 3 4 2" xfId="36953" xr:uid="{00000000-0005-0000-0000-00005E8D0000}"/>
    <cellStyle name="Normal 11 2 4 2 4 2 3 5" xfId="36954" xr:uid="{00000000-0005-0000-0000-00005F8D0000}"/>
    <cellStyle name="Normal 11 2 4 2 4 2 4" xfId="36955" xr:uid="{00000000-0005-0000-0000-0000608D0000}"/>
    <cellStyle name="Normal 11 2 4 2 4 2 4 2" xfId="36956" xr:uid="{00000000-0005-0000-0000-0000618D0000}"/>
    <cellStyle name="Normal 11 2 4 2 4 2 4 2 2" xfId="36957" xr:uid="{00000000-0005-0000-0000-0000628D0000}"/>
    <cellStyle name="Normal 11 2 4 2 4 2 4 2 2 2" xfId="36958" xr:uid="{00000000-0005-0000-0000-0000638D0000}"/>
    <cellStyle name="Normal 11 2 4 2 4 2 4 2 2 2 2" xfId="36959" xr:uid="{00000000-0005-0000-0000-0000648D0000}"/>
    <cellStyle name="Normal 11 2 4 2 4 2 4 2 2 3" xfId="36960" xr:uid="{00000000-0005-0000-0000-0000658D0000}"/>
    <cellStyle name="Normal 11 2 4 2 4 2 4 2 3" xfId="36961" xr:uid="{00000000-0005-0000-0000-0000668D0000}"/>
    <cellStyle name="Normal 11 2 4 2 4 2 4 2 3 2" xfId="36962" xr:uid="{00000000-0005-0000-0000-0000678D0000}"/>
    <cellStyle name="Normal 11 2 4 2 4 2 4 2 4" xfId="36963" xr:uid="{00000000-0005-0000-0000-0000688D0000}"/>
    <cellStyle name="Normal 11 2 4 2 4 2 4 3" xfId="36964" xr:uid="{00000000-0005-0000-0000-0000698D0000}"/>
    <cellStyle name="Normal 11 2 4 2 4 2 4 3 2" xfId="36965" xr:uid="{00000000-0005-0000-0000-00006A8D0000}"/>
    <cellStyle name="Normal 11 2 4 2 4 2 4 3 2 2" xfId="36966" xr:uid="{00000000-0005-0000-0000-00006B8D0000}"/>
    <cellStyle name="Normal 11 2 4 2 4 2 4 3 3" xfId="36967" xr:uid="{00000000-0005-0000-0000-00006C8D0000}"/>
    <cellStyle name="Normal 11 2 4 2 4 2 4 4" xfId="36968" xr:uid="{00000000-0005-0000-0000-00006D8D0000}"/>
    <cellStyle name="Normal 11 2 4 2 4 2 4 4 2" xfId="36969" xr:uid="{00000000-0005-0000-0000-00006E8D0000}"/>
    <cellStyle name="Normal 11 2 4 2 4 2 4 5" xfId="36970" xr:uid="{00000000-0005-0000-0000-00006F8D0000}"/>
    <cellStyle name="Normal 11 2 4 2 4 2 5" xfId="36971" xr:uid="{00000000-0005-0000-0000-0000708D0000}"/>
    <cellStyle name="Normal 11 2 4 2 4 2 5 2" xfId="36972" xr:uid="{00000000-0005-0000-0000-0000718D0000}"/>
    <cellStyle name="Normal 11 2 4 2 4 2 5 2 2" xfId="36973" xr:uid="{00000000-0005-0000-0000-0000728D0000}"/>
    <cellStyle name="Normal 11 2 4 2 4 2 5 2 2 2" xfId="36974" xr:uid="{00000000-0005-0000-0000-0000738D0000}"/>
    <cellStyle name="Normal 11 2 4 2 4 2 5 2 3" xfId="36975" xr:uid="{00000000-0005-0000-0000-0000748D0000}"/>
    <cellStyle name="Normal 11 2 4 2 4 2 5 3" xfId="36976" xr:uid="{00000000-0005-0000-0000-0000758D0000}"/>
    <cellStyle name="Normal 11 2 4 2 4 2 5 3 2" xfId="36977" xr:uid="{00000000-0005-0000-0000-0000768D0000}"/>
    <cellStyle name="Normal 11 2 4 2 4 2 5 4" xfId="36978" xr:uid="{00000000-0005-0000-0000-0000778D0000}"/>
    <cellStyle name="Normal 11 2 4 2 4 2 6" xfId="36979" xr:uid="{00000000-0005-0000-0000-0000788D0000}"/>
    <cellStyle name="Normal 11 2 4 2 4 2 6 2" xfId="36980" xr:uid="{00000000-0005-0000-0000-0000798D0000}"/>
    <cellStyle name="Normal 11 2 4 2 4 2 6 2 2" xfId="36981" xr:uid="{00000000-0005-0000-0000-00007A8D0000}"/>
    <cellStyle name="Normal 11 2 4 2 4 2 6 2 2 2" xfId="36982" xr:uid="{00000000-0005-0000-0000-00007B8D0000}"/>
    <cellStyle name="Normal 11 2 4 2 4 2 6 2 3" xfId="36983" xr:uid="{00000000-0005-0000-0000-00007C8D0000}"/>
    <cellStyle name="Normal 11 2 4 2 4 2 6 3" xfId="36984" xr:uid="{00000000-0005-0000-0000-00007D8D0000}"/>
    <cellStyle name="Normal 11 2 4 2 4 2 6 3 2" xfId="36985" xr:uid="{00000000-0005-0000-0000-00007E8D0000}"/>
    <cellStyle name="Normal 11 2 4 2 4 2 6 4" xfId="36986" xr:uid="{00000000-0005-0000-0000-00007F8D0000}"/>
    <cellStyle name="Normal 11 2 4 2 4 2 7" xfId="36987" xr:uid="{00000000-0005-0000-0000-0000808D0000}"/>
    <cellStyle name="Normal 11 2 4 2 4 2 7 2" xfId="36988" xr:uid="{00000000-0005-0000-0000-0000818D0000}"/>
    <cellStyle name="Normal 11 2 4 2 4 2 7 2 2" xfId="36989" xr:uid="{00000000-0005-0000-0000-0000828D0000}"/>
    <cellStyle name="Normal 11 2 4 2 4 2 7 2 2 2" xfId="36990" xr:uid="{00000000-0005-0000-0000-0000838D0000}"/>
    <cellStyle name="Normal 11 2 4 2 4 2 7 2 3" xfId="36991" xr:uid="{00000000-0005-0000-0000-0000848D0000}"/>
    <cellStyle name="Normal 11 2 4 2 4 2 7 3" xfId="36992" xr:uid="{00000000-0005-0000-0000-0000858D0000}"/>
    <cellStyle name="Normal 11 2 4 2 4 2 7 3 2" xfId="36993" xr:uid="{00000000-0005-0000-0000-0000868D0000}"/>
    <cellStyle name="Normal 11 2 4 2 4 2 7 4" xfId="36994" xr:uid="{00000000-0005-0000-0000-0000878D0000}"/>
    <cellStyle name="Normal 11 2 4 2 4 2 8" xfId="36995" xr:uid="{00000000-0005-0000-0000-0000888D0000}"/>
    <cellStyle name="Normal 11 2 4 2 4 2 8 2" xfId="36996" xr:uid="{00000000-0005-0000-0000-0000898D0000}"/>
    <cellStyle name="Normal 11 2 4 2 4 2 8 2 2" xfId="36997" xr:uid="{00000000-0005-0000-0000-00008A8D0000}"/>
    <cellStyle name="Normal 11 2 4 2 4 2 8 3" xfId="36998" xr:uid="{00000000-0005-0000-0000-00008B8D0000}"/>
    <cellStyle name="Normal 11 2 4 2 4 2 9" xfId="36999" xr:uid="{00000000-0005-0000-0000-00008C8D0000}"/>
    <cellStyle name="Normal 11 2 4 2 4 2 9 2" xfId="37000" xr:uid="{00000000-0005-0000-0000-00008D8D0000}"/>
    <cellStyle name="Normal 11 2 4 2 4 3" xfId="1434" xr:uid="{00000000-0005-0000-0000-00008E8D0000}"/>
    <cellStyle name="Normal 11 2 4 2 4 3 2" xfId="37002" xr:uid="{00000000-0005-0000-0000-00008F8D0000}"/>
    <cellStyle name="Normal 11 2 4 2 4 3 2 2" xfId="37003" xr:uid="{00000000-0005-0000-0000-0000908D0000}"/>
    <cellStyle name="Normal 11 2 4 2 4 3 2 2 2" xfId="37004" xr:uid="{00000000-0005-0000-0000-0000918D0000}"/>
    <cellStyle name="Normal 11 2 4 2 4 3 2 2 2 2" xfId="37005" xr:uid="{00000000-0005-0000-0000-0000928D0000}"/>
    <cellStyle name="Normal 11 2 4 2 4 3 2 2 3" xfId="37006" xr:uid="{00000000-0005-0000-0000-0000938D0000}"/>
    <cellStyle name="Normal 11 2 4 2 4 3 2 3" xfId="37007" xr:uid="{00000000-0005-0000-0000-0000948D0000}"/>
    <cellStyle name="Normal 11 2 4 2 4 3 2 3 2" xfId="37008" xr:uid="{00000000-0005-0000-0000-0000958D0000}"/>
    <cellStyle name="Normal 11 2 4 2 4 3 2 4" xfId="37009" xr:uid="{00000000-0005-0000-0000-0000968D0000}"/>
    <cellStyle name="Normal 11 2 4 2 4 3 3" xfId="37010" xr:uid="{00000000-0005-0000-0000-0000978D0000}"/>
    <cellStyle name="Normal 11 2 4 2 4 3 3 2" xfId="37011" xr:uid="{00000000-0005-0000-0000-0000988D0000}"/>
    <cellStyle name="Normal 11 2 4 2 4 3 3 2 2" xfId="37012" xr:uid="{00000000-0005-0000-0000-0000998D0000}"/>
    <cellStyle name="Normal 11 2 4 2 4 3 3 2 2 2" xfId="37013" xr:uid="{00000000-0005-0000-0000-00009A8D0000}"/>
    <cellStyle name="Normal 11 2 4 2 4 3 3 2 3" xfId="37014" xr:uid="{00000000-0005-0000-0000-00009B8D0000}"/>
    <cellStyle name="Normal 11 2 4 2 4 3 3 3" xfId="37015" xr:uid="{00000000-0005-0000-0000-00009C8D0000}"/>
    <cellStyle name="Normal 11 2 4 2 4 3 3 3 2" xfId="37016" xr:uid="{00000000-0005-0000-0000-00009D8D0000}"/>
    <cellStyle name="Normal 11 2 4 2 4 3 3 4" xfId="37017" xr:uid="{00000000-0005-0000-0000-00009E8D0000}"/>
    <cellStyle name="Normal 11 2 4 2 4 3 4" xfId="37018" xr:uid="{00000000-0005-0000-0000-00009F8D0000}"/>
    <cellStyle name="Normal 11 2 4 2 4 3 4 2" xfId="37019" xr:uid="{00000000-0005-0000-0000-0000A08D0000}"/>
    <cellStyle name="Normal 11 2 4 2 4 3 4 2 2" xfId="37020" xr:uid="{00000000-0005-0000-0000-0000A18D0000}"/>
    <cellStyle name="Normal 11 2 4 2 4 3 4 3" xfId="37021" xr:uid="{00000000-0005-0000-0000-0000A28D0000}"/>
    <cellStyle name="Normal 11 2 4 2 4 3 5" xfId="37022" xr:uid="{00000000-0005-0000-0000-0000A38D0000}"/>
    <cellStyle name="Normal 11 2 4 2 4 3 5 2" xfId="37023" xr:uid="{00000000-0005-0000-0000-0000A48D0000}"/>
    <cellStyle name="Normal 11 2 4 2 4 3 6" xfId="37024" xr:uid="{00000000-0005-0000-0000-0000A58D0000}"/>
    <cellStyle name="Normal 11 2 4 2 4 3 7" xfId="37001" xr:uid="{00000000-0005-0000-0000-0000A68D0000}"/>
    <cellStyle name="Normal 11 2 4 2 4 4" xfId="37025" xr:uid="{00000000-0005-0000-0000-0000A78D0000}"/>
    <cellStyle name="Normal 11 2 4 2 4 4 2" xfId="37026" xr:uid="{00000000-0005-0000-0000-0000A88D0000}"/>
    <cellStyle name="Normal 11 2 4 2 4 4 2 2" xfId="37027" xr:uid="{00000000-0005-0000-0000-0000A98D0000}"/>
    <cellStyle name="Normal 11 2 4 2 4 4 2 2 2" xfId="37028" xr:uid="{00000000-0005-0000-0000-0000AA8D0000}"/>
    <cellStyle name="Normal 11 2 4 2 4 4 2 2 2 2" xfId="37029" xr:uid="{00000000-0005-0000-0000-0000AB8D0000}"/>
    <cellStyle name="Normal 11 2 4 2 4 4 2 2 3" xfId="37030" xr:uid="{00000000-0005-0000-0000-0000AC8D0000}"/>
    <cellStyle name="Normal 11 2 4 2 4 4 2 3" xfId="37031" xr:uid="{00000000-0005-0000-0000-0000AD8D0000}"/>
    <cellStyle name="Normal 11 2 4 2 4 4 2 3 2" xfId="37032" xr:uid="{00000000-0005-0000-0000-0000AE8D0000}"/>
    <cellStyle name="Normal 11 2 4 2 4 4 2 4" xfId="37033" xr:uid="{00000000-0005-0000-0000-0000AF8D0000}"/>
    <cellStyle name="Normal 11 2 4 2 4 4 3" xfId="37034" xr:uid="{00000000-0005-0000-0000-0000B08D0000}"/>
    <cellStyle name="Normal 11 2 4 2 4 4 3 2" xfId="37035" xr:uid="{00000000-0005-0000-0000-0000B18D0000}"/>
    <cellStyle name="Normal 11 2 4 2 4 4 3 2 2" xfId="37036" xr:uid="{00000000-0005-0000-0000-0000B28D0000}"/>
    <cellStyle name="Normal 11 2 4 2 4 4 3 3" xfId="37037" xr:uid="{00000000-0005-0000-0000-0000B38D0000}"/>
    <cellStyle name="Normal 11 2 4 2 4 4 4" xfId="37038" xr:uid="{00000000-0005-0000-0000-0000B48D0000}"/>
    <cellStyle name="Normal 11 2 4 2 4 4 4 2" xfId="37039" xr:uid="{00000000-0005-0000-0000-0000B58D0000}"/>
    <cellStyle name="Normal 11 2 4 2 4 4 5" xfId="37040" xr:uid="{00000000-0005-0000-0000-0000B68D0000}"/>
    <cellStyle name="Normal 11 2 4 2 4 5" xfId="37041" xr:uid="{00000000-0005-0000-0000-0000B78D0000}"/>
    <cellStyle name="Normal 11 2 4 2 4 5 2" xfId="37042" xr:uid="{00000000-0005-0000-0000-0000B88D0000}"/>
    <cellStyle name="Normal 11 2 4 2 4 5 2 2" xfId="37043" xr:uid="{00000000-0005-0000-0000-0000B98D0000}"/>
    <cellStyle name="Normal 11 2 4 2 4 5 2 2 2" xfId="37044" xr:uid="{00000000-0005-0000-0000-0000BA8D0000}"/>
    <cellStyle name="Normal 11 2 4 2 4 5 2 2 2 2" xfId="37045" xr:uid="{00000000-0005-0000-0000-0000BB8D0000}"/>
    <cellStyle name="Normal 11 2 4 2 4 5 2 2 3" xfId="37046" xr:uid="{00000000-0005-0000-0000-0000BC8D0000}"/>
    <cellStyle name="Normal 11 2 4 2 4 5 2 3" xfId="37047" xr:uid="{00000000-0005-0000-0000-0000BD8D0000}"/>
    <cellStyle name="Normal 11 2 4 2 4 5 2 3 2" xfId="37048" xr:uid="{00000000-0005-0000-0000-0000BE8D0000}"/>
    <cellStyle name="Normal 11 2 4 2 4 5 2 4" xfId="37049" xr:uid="{00000000-0005-0000-0000-0000BF8D0000}"/>
    <cellStyle name="Normal 11 2 4 2 4 5 3" xfId="37050" xr:uid="{00000000-0005-0000-0000-0000C08D0000}"/>
    <cellStyle name="Normal 11 2 4 2 4 5 3 2" xfId="37051" xr:uid="{00000000-0005-0000-0000-0000C18D0000}"/>
    <cellStyle name="Normal 11 2 4 2 4 5 3 2 2" xfId="37052" xr:uid="{00000000-0005-0000-0000-0000C28D0000}"/>
    <cellStyle name="Normal 11 2 4 2 4 5 3 3" xfId="37053" xr:uid="{00000000-0005-0000-0000-0000C38D0000}"/>
    <cellStyle name="Normal 11 2 4 2 4 5 4" xfId="37054" xr:uid="{00000000-0005-0000-0000-0000C48D0000}"/>
    <cellStyle name="Normal 11 2 4 2 4 5 4 2" xfId="37055" xr:uid="{00000000-0005-0000-0000-0000C58D0000}"/>
    <cellStyle name="Normal 11 2 4 2 4 5 5" xfId="37056" xr:uid="{00000000-0005-0000-0000-0000C68D0000}"/>
    <cellStyle name="Normal 11 2 4 2 4 6" xfId="37057" xr:uid="{00000000-0005-0000-0000-0000C78D0000}"/>
    <cellStyle name="Normal 11 2 4 2 4 6 2" xfId="37058" xr:uid="{00000000-0005-0000-0000-0000C88D0000}"/>
    <cellStyle name="Normal 11 2 4 2 4 6 2 2" xfId="37059" xr:uid="{00000000-0005-0000-0000-0000C98D0000}"/>
    <cellStyle name="Normal 11 2 4 2 4 6 2 2 2" xfId="37060" xr:uid="{00000000-0005-0000-0000-0000CA8D0000}"/>
    <cellStyle name="Normal 11 2 4 2 4 6 2 3" xfId="37061" xr:uid="{00000000-0005-0000-0000-0000CB8D0000}"/>
    <cellStyle name="Normal 11 2 4 2 4 6 3" xfId="37062" xr:uid="{00000000-0005-0000-0000-0000CC8D0000}"/>
    <cellStyle name="Normal 11 2 4 2 4 6 3 2" xfId="37063" xr:uid="{00000000-0005-0000-0000-0000CD8D0000}"/>
    <cellStyle name="Normal 11 2 4 2 4 6 4" xfId="37064" xr:uid="{00000000-0005-0000-0000-0000CE8D0000}"/>
    <cellStyle name="Normal 11 2 4 2 4 7" xfId="37065" xr:uid="{00000000-0005-0000-0000-0000CF8D0000}"/>
    <cellStyle name="Normal 11 2 4 2 4 7 2" xfId="37066" xr:uid="{00000000-0005-0000-0000-0000D08D0000}"/>
    <cellStyle name="Normal 11 2 4 2 4 7 2 2" xfId="37067" xr:uid="{00000000-0005-0000-0000-0000D18D0000}"/>
    <cellStyle name="Normal 11 2 4 2 4 7 2 2 2" xfId="37068" xr:uid="{00000000-0005-0000-0000-0000D28D0000}"/>
    <cellStyle name="Normal 11 2 4 2 4 7 2 3" xfId="37069" xr:uid="{00000000-0005-0000-0000-0000D38D0000}"/>
    <cellStyle name="Normal 11 2 4 2 4 7 3" xfId="37070" xr:uid="{00000000-0005-0000-0000-0000D48D0000}"/>
    <cellStyle name="Normal 11 2 4 2 4 7 3 2" xfId="37071" xr:uid="{00000000-0005-0000-0000-0000D58D0000}"/>
    <cellStyle name="Normal 11 2 4 2 4 7 4" xfId="37072" xr:uid="{00000000-0005-0000-0000-0000D68D0000}"/>
    <cellStyle name="Normal 11 2 4 2 4 8" xfId="37073" xr:uid="{00000000-0005-0000-0000-0000D78D0000}"/>
    <cellStyle name="Normal 11 2 4 2 4 8 2" xfId="37074" xr:uid="{00000000-0005-0000-0000-0000D88D0000}"/>
    <cellStyle name="Normal 11 2 4 2 4 8 2 2" xfId="37075" xr:uid="{00000000-0005-0000-0000-0000D98D0000}"/>
    <cellStyle name="Normal 11 2 4 2 4 8 2 2 2" xfId="37076" xr:uid="{00000000-0005-0000-0000-0000DA8D0000}"/>
    <cellStyle name="Normal 11 2 4 2 4 8 2 3" xfId="37077" xr:uid="{00000000-0005-0000-0000-0000DB8D0000}"/>
    <cellStyle name="Normal 11 2 4 2 4 8 3" xfId="37078" xr:uid="{00000000-0005-0000-0000-0000DC8D0000}"/>
    <cellStyle name="Normal 11 2 4 2 4 8 3 2" xfId="37079" xr:uid="{00000000-0005-0000-0000-0000DD8D0000}"/>
    <cellStyle name="Normal 11 2 4 2 4 8 4" xfId="37080" xr:uid="{00000000-0005-0000-0000-0000DE8D0000}"/>
    <cellStyle name="Normal 11 2 4 2 4 9" xfId="37081" xr:uid="{00000000-0005-0000-0000-0000DF8D0000}"/>
    <cellStyle name="Normal 11 2 4 2 4 9 2" xfId="37082" xr:uid="{00000000-0005-0000-0000-0000E08D0000}"/>
    <cellStyle name="Normal 11 2 4 2 4 9 2 2" xfId="37083" xr:uid="{00000000-0005-0000-0000-0000E18D0000}"/>
    <cellStyle name="Normal 11 2 4 2 4 9 3" xfId="37084" xr:uid="{00000000-0005-0000-0000-0000E28D0000}"/>
    <cellStyle name="Normal 11 2 4 2 5" xfId="1027" xr:uid="{00000000-0005-0000-0000-0000E38D0000}"/>
    <cellStyle name="Normal 11 2 4 2 5 10" xfId="37086" xr:uid="{00000000-0005-0000-0000-0000E48D0000}"/>
    <cellStyle name="Normal 11 2 4 2 5 11" xfId="37085" xr:uid="{00000000-0005-0000-0000-0000E58D0000}"/>
    <cellStyle name="Normal 11 2 4 2 5 2" xfId="1756" xr:uid="{00000000-0005-0000-0000-0000E68D0000}"/>
    <cellStyle name="Normal 11 2 4 2 5 2 2" xfId="37088" xr:uid="{00000000-0005-0000-0000-0000E78D0000}"/>
    <cellStyle name="Normal 11 2 4 2 5 2 2 2" xfId="37089" xr:uid="{00000000-0005-0000-0000-0000E88D0000}"/>
    <cellStyle name="Normal 11 2 4 2 5 2 2 2 2" xfId="37090" xr:uid="{00000000-0005-0000-0000-0000E98D0000}"/>
    <cellStyle name="Normal 11 2 4 2 5 2 2 2 2 2" xfId="37091" xr:uid="{00000000-0005-0000-0000-0000EA8D0000}"/>
    <cellStyle name="Normal 11 2 4 2 5 2 2 2 3" xfId="37092" xr:uid="{00000000-0005-0000-0000-0000EB8D0000}"/>
    <cellStyle name="Normal 11 2 4 2 5 2 2 3" xfId="37093" xr:uid="{00000000-0005-0000-0000-0000EC8D0000}"/>
    <cellStyle name="Normal 11 2 4 2 5 2 2 3 2" xfId="37094" xr:uid="{00000000-0005-0000-0000-0000ED8D0000}"/>
    <cellStyle name="Normal 11 2 4 2 5 2 2 4" xfId="37095" xr:uid="{00000000-0005-0000-0000-0000EE8D0000}"/>
    <cellStyle name="Normal 11 2 4 2 5 2 3" xfId="37096" xr:uid="{00000000-0005-0000-0000-0000EF8D0000}"/>
    <cellStyle name="Normal 11 2 4 2 5 2 3 2" xfId="37097" xr:uid="{00000000-0005-0000-0000-0000F08D0000}"/>
    <cellStyle name="Normal 11 2 4 2 5 2 3 2 2" xfId="37098" xr:uid="{00000000-0005-0000-0000-0000F18D0000}"/>
    <cellStyle name="Normal 11 2 4 2 5 2 3 2 2 2" xfId="37099" xr:uid="{00000000-0005-0000-0000-0000F28D0000}"/>
    <cellStyle name="Normal 11 2 4 2 5 2 3 2 3" xfId="37100" xr:uid="{00000000-0005-0000-0000-0000F38D0000}"/>
    <cellStyle name="Normal 11 2 4 2 5 2 3 3" xfId="37101" xr:uid="{00000000-0005-0000-0000-0000F48D0000}"/>
    <cellStyle name="Normal 11 2 4 2 5 2 3 3 2" xfId="37102" xr:uid="{00000000-0005-0000-0000-0000F58D0000}"/>
    <cellStyle name="Normal 11 2 4 2 5 2 3 4" xfId="37103" xr:uid="{00000000-0005-0000-0000-0000F68D0000}"/>
    <cellStyle name="Normal 11 2 4 2 5 2 4" xfId="37104" xr:uid="{00000000-0005-0000-0000-0000F78D0000}"/>
    <cellStyle name="Normal 11 2 4 2 5 2 4 2" xfId="37105" xr:uid="{00000000-0005-0000-0000-0000F88D0000}"/>
    <cellStyle name="Normal 11 2 4 2 5 2 4 2 2" xfId="37106" xr:uid="{00000000-0005-0000-0000-0000F98D0000}"/>
    <cellStyle name="Normal 11 2 4 2 5 2 4 3" xfId="37107" xr:uid="{00000000-0005-0000-0000-0000FA8D0000}"/>
    <cellStyle name="Normal 11 2 4 2 5 2 5" xfId="37108" xr:uid="{00000000-0005-0000-0000-0000FB8D0000}"/>
    <cellStyle name="Normal 11 2 4 2 5 2 5 2" xfId="37109" xr:uid="{00000000-0005-0000-0000-0000FC8D0000}"/>
    <cellStyle name="Normal 11 2 4 2 5 2 6" xfId="37110" xr:uid="{00000000-0005-0000-0000-0000FD8D0000}"/>
    <cellStyle name="Normal 11 2 4 2 5 2 7" xfId="37087" xr:uid="{00000000-0005-0000-0000-0000FE8D0000}"/>
    <cellStyle name="Normal 11 2 4 2 5 3" xfId="37111" xr:uid="{00000000-0005-0000-0000-0000FF8D0000}"/>
    <cellStyle name="Normal 11 2 4 2 5 3 2" xfId="37112" xr:uid="{00000000-0005-0000-0000-0000008E0000}"/>
    <cellStyle name="Normal 11 2 4 2 5 3 2 2" xfId="37113" xr:uid="{00000000-0005-0000-0000-0000018E0000}"/>
    <cellStyle name="Normal 11 2 4 2 5 3 2 2 2" xfId="37114" xr:uid="{00000000-0005-0000-0000-0000028E0000}"/>
    <cellStyle name="Normal 11 2 4 2 5 3 2 2 2 2" xfId="37115" xr:uid="{00000000-0005-0000-0000-0000038E0000}"/>
    <cellStyle name="Normal 11 2 4 2 5 3 2 2 3" xfId="37116" xr:uid="{00000000-0005-0000-0000-0000048E0000}"/>
    <cellStyle name="Normal 11 2 4 2 5 3 2 3" xfId="37117" xr:uid="{00000000-0005-0000-0000-0000058E0000}"/>
    <cellStyle name="Normal 11 2 4 2 5 3 2 3 2" xfId="37118" xr:uid="{00000000-0005-0000-0000-0000068E0000}"/>
    <cellStyle name="Normal 11 2 4 2 5 3 2 4" xfId="37119" xr:uid="{00000000-0005-0000-0000-0000078E0000}"/>
    <cellStyle name="Normal 11 2 4 2 5 3 3" xfId="37120" xr:uid="{00000000-0005-0000-0000-0000088E0000}"/>
    <cellStyle name="Normal 11 2 4 2 5 3 3 2" xfId="37121" xr:uid="{00000000-0005-0000-0000-0000098E0000}"/>
    <cellStyle name="Normal 11 2 4 2 5 3 3 2 2" xfId="37122" xr:uid="{00000000-0005-0000-0000-00000A8E0000}"/>
    <cellStyle name="Normal 11 2 4 2 5 3 3 3" xfId="37123" xr:uid="{00000000-0005-0000-0000-00000B8E0000}"/>
    <cellStyle name="Normal 11 2 4 2 5 3 4" xfId="37124" xr:uid="{00000000-0005-0000-0000-00000C8E0000}"/>
    <cellStyle name="Normal 11 2 4 2 5 3 4 2" xfId="37125" xr:uid="{00000000-0005-0000-0000-00000D8E0000}"/>
    <cellStyle name="Normal 11 2 4 2 5 3 5" xfId="37126" xr:uid="{00000000-0005-0000-0000-00000E8E0000}"/>
    <cellStyle name="Normal 11 2 4 2 5 4" xfId="37127" xr:uid="{00000000-0005-0000-0000-00000F8E0000}"/>
    <cellStyle name="Normal 11 2 4 2 5 4 2" xfId="37128" xr:uid="{00000000-0005-0000-0000-0000108E0000}"/>
    <cellStyle name="Normal 11 2 4 2 5 4 2 2" xfId="37129" xr:uid="{00000000-0005-0000-0000-0000118E0000}"/>
    <cellStyle name="Normal 11 2 4 2 5 4 2 2 2" xfId="37130" xr:uid="{00000000-0005-0000-0000-0000128E0000}"/>
    <cellStyle name="Normal 11 2 4 2 5 4 2 2 2 2" xfId="37131" xr:uid="{00000000-0005-0000-0000-0000138E0000}"/>
    <cellStyle name="Normal 11 2 4 2 5 4 2 2 3" xfId="37132" xr:uid="{00000000-0005-0000-0000-0000148E0000}"/>
    <cellStyle name="Normal 11 2 4 2 5 4 2 3" xfId="37133" xr:uid="{00000000-0005-0000-0000-0000158E0000}"/>
    <cellStyle name="Normal 11 2 4 2 5 4 2 3 2" xfId="37134" xr:uid="{00000000-0005-0000-0000-0000168E0000}"/>
    <cellStyle name="Normal 11 2 4 2 5 4 2 4" xfId="37135" xr:uid="{00000000-0005-0000-0000-0000178E0000}"/>
    <cellStyle name="Normal 11 2 4 2 5 4 3" xfId="37136" xr:uid="{00000000-0005-0000-0000-0000188E0000}"/>
    <cellStyle name="Normal 11 2 4 2 5 4 3 2" xfId="37137" xr:uid="{00000000-0005-0000-0000-0000198E0000}"/>
    <cellStyle name="Normal 11 2 4 2 5 4 3 2 2" xfId="37138" xr:uid="{00000000-0005-0000-0000-00001A8E0000}"/>
    <cellStyle name="Normal 11 2 4 2 5 4 3 3" xfId="37139" xr:uid="{00000000-0005-0000-0000-00001B8E0000}"/>
    <cellStyle name="Normal 11 2 4 2 5 4 4" xfId="37140" xr:uid="{00000000-0005-0000-0000-00001C8E0000}"/>
    <cellStyle name="Normal 11 2 4 2 5 4 4 2" xfId="37141" xr:uid="{00000000-0005-0000-0000-00001D8E0000}"/>
    <cellStyle name="Normal 11 2 4 2 5 4 5" xfId="37142" xr:uid="{00000000-0005-0000-0000-00001E8E0000}"/>
    <cellStyle name="Normal 11 2 4 2 5 5" xfId="37143" xr:uid="{00000000-0005-0000-0000-00001F8E0000}"/>
    <cellStyle name="Normal 11 2 4 2 5 5 2" xfId="37144" xr:uid="{00000000-0005-0000-0000-0000208E0000}"/>
    <cellStyle name="Normal 11 2 4 2 5 5 2 2" xfId="37145" xr:uid="{00000000-0005-0000-0000-0000218E0000}"/>
    <cellStyle name="Normal 11 2 4 2 5 5 2 2 2" xfId="37146" xr:uid="{00000000-0005-0000-0000-0000228E0000}"/>
    <cellStyle name="Normal 11 2 4 2 5 5 2 3" xfId="37147" xr:uid="{00000000-0005-0000-0000-0000238E0000}"/>
    <cellStyle name="Normal 11 2 4 2 5 5 3" xfId="37148" xr:uid="{00000000-0005-0000-0000-0000248E0000}"/>
    <cellStyle name="Normal 11 2 4 2 5 5 3 2" xfId="37149" xr:uid="{00000000-0005-0000-0000-0000258E0000}"/>
    <cellStyle name="Normal 11 2 4 2 5 5 4" xfId="37150" xr:uid="{00000000-0005-0000-0000-0000268E0000}"/>
    <cellStyle name="Normal 11 2 4 2 5 6" xfId="37151" xr:uid="{00000000-0005-0000-0000-0000278E0000}"/>
    <cellStyle name="Normal 11 2 4 2 5 6 2" xfId="37152" xr:uid="{00000000-0005-0000-0000-0000288E0000}"/>
    <cellStyle name="Normal 11 2 4 2 5 6 2 2" xfId="37153" xr:uid="{00000000-0005-0000-0000-0000298E0000}"/>
    <cellStyle name="Normal 11 2 4 2 5 6 2 2 2" xfId="37154" xr:uid="{00000000-0005-0000-0000-00002A8E0000}"/>
    <cellStyle name="Normal 11 2 4 2 5 6 2 3" xfId="37155" xr:uid="{00000000-0005-0000-0000-00002B8E0000}"/>
    <cellStyle name="Normal 11 2 4 2 5 6 3" xfId="37156" xr:uid="{00000000-0005-0000-0000-00002C8E0000}"/>
    <cellStyle name="Normal 11 2 4 2 5 6 3 2" xfId="37157" xr:uid="{00000000-0005-0000-0000-00002D8E0000}"/>
    <cellStyle name="Normal 11 2 4 2 5 6 4" xfId="37158" xr:uid="{00000000-0005-0000-0000-00002E8E0000}"/>
    <cellStyle name="Normal 11 2 4 2 5 7" xfId="37159" xr:uid="{00000000-0005-0000-0000-00002F8E0000}"/>
    <cellStyle name="Normal 11 2 4 2 5 7 2" xfId="37160" xr:uid="{00000000-0005-0000-0000-0000308E0000}"/>
    <cellStyle name="Normal 11 2 4 2 5 7 2 2" xfId="37161" xr:uid="{00000000-0005-0000-0000-0000318E0000}"/>
    <cellStyle name="Normal 11 2 4 2 5 7 2 2 2" xfId="37162" xr:uid="{00000000-0005-0000-0000-0000328E0000}"/>
    <cellStyle name="Normal 11 2 4 2 5 7 2 3" xfId="37163" xr:uid="{00000000-0005-0000-0000-0000338E0000}"/>
    <cellStyle name="Normal 11 2 4 2 5 7 3" xfId="37164" xr:uid="{00000000-0005-0000-0000-0000348E0000}"/>
    <cellStyle name="Normal 11 2 4 2 5 7 3 2" xfId="37165" xr:uid="{00000000-0005-0000-0000-0000358E0000}"/>
    <cellStyle name="Normal 11 2 4 2 5 7 4" xfId="37166" xr:uid="{00000000-0005-0000-0000-0000368E0000}"/>
    <cellStyle name="Normal 11 2 4 2 5 8" xfId="37167" xr:uid="{00000000-0005-0000-0000-0000378E0000}"/>
    <cellStyle name="Normal 11 2 4 2 5 8 2" xfId="37168" xr:uid="{00000000-0005-0000-0000-0000388E0000}"/>
    <cellStyle name="Normal 11 2 4 2 5 8 2 2" xfId="37169" xr:uid="{00000000-0005-0000-0000-0000398E0000}"/>
    <cellStyle name="Normal 11 2 4 2 5 8 3" xfId="37170" xr:uid="{00000000-0005-0000-0000-00003A8E0000}"/>
    <cellStyle name="Normal 11 2 4 2 5 9" xfId="37171" xr:uid="{00000000-0005-0000-0000-00003B8E0000}"/>
    <cellStyle name="Normal 11 2 4 2 5 9 2" xfId="37172" xr:uid="{00000000-0005-0000-0000-00003C8E0000}"/>
    <cellStyle name="Normal 11 2 4 2 6" xfId="1429" xr:uid="{00000000-0005-0000-0000-00003D8E0000}"/>
    <cellStyle name="Normal 11 2 4 2 6 2" xfId="37174" xr:uid="{00000000-0005-0000-0000-00003E8E0000}"/>
    <cellStyle name="Normal 11 2 4 2 6 2 2" xfId="37175" xr:uid="{00000000-0005-0000-0000-00003F8E0000}"/>
    <cellStyle name="Normal 11 2 4 2 6 2 2 2" xfId="37176" xr:uid="{00000000-0005-0000-0000-0000408E0000}"/>
    <cellStyle name="Normal 11 2 4 2 6 2 2 2 2" xfId="37177" xr:uid="{00000000-0005-0000-0000-0000418E0000}"/>
    <cellStyle name="Normal 11 2 4 2 6 2 2 3" xfId="37178" xr:uid="{00000000-0005-0000-0000-0000428E0000}"/>
    <cellStyle name="Normal 11 2 4 2 6 2 3" xfId="37179" xr:uid="{00000000-0005-0000-0000-0000438E0000}"/>
    <cellStyle name="Normal 11 2 4 2 6 2 3 2" xfId="37180" xr:uid="{00000000-0005-0000-0000-0000448E0000}"/>
    <cellStyle name="Normal 11 2 4 2 6 2 4" xfId="37181" xr:uid="{00000000-0005-0000-0000-0000458E0000}"/>
    <cellStyle name="Normal 11 2 4 2 6 3" xfId="37182" xr:uid="{00000000-0005-0000-0000-0000468E0000}"/>
    <cellStyle name="Normal 11 2 4 2 6 3 2" xfId="37183" xr:uid="{00000000-0005-0000-0000-0000478E0000}"/>
    <cellStyle name="Normal 11 2 4 2 6 3 2 2" xfId="37184" xr:uid="{00000000-0005-0000-0000-0000488E0000}"/>
    <cellStyle name="Normal 11 2 4 2 6 3 2 2 2" xfId="37185" xr:uid="{00000000-0005-0000-0000-0000498E0000}"/>
    <cellStyle name="Normal 11 2 4 2 6 3 2 3" xfId="37186" xr:uid="{00000000-0005-0000-0000-00004A8E0000}"/>
    <cellStyle name="Normal 11 2 4 2 6 3 3" xfId="37187" xr:uid="{00000000-0005-0000-0000-00004B8E0000}"/>
    <cellStyle name="Normal 11 2 4 2 6 3 3 2" xfId="37188" xr:uid="{00000000-0005-0000-0000-00004C8E0000}"/>
    <cellStyle name="Normal 11 2 4 2 6 3 4" xfId="37189" xr:uid="{00000000-0005-0000-0000-00004D8E0000}"/>
    <cellStyle name="Normal 11 2 4 2 6 4" xfId="37190" xr:uid="{00000000-0005-0000-0000-00004E8E0000}"/>
    <cellStyle name="Normal 11 2 4 2 6 4 2" xfId="37191" xr:uid="{00000000-0005-0000-0000-00004F8E0000}"/>
    <cellStyle name="Normal 11 2 4 2 6 4 2 2" xfId="37192" xr:uid="{00000000-0005-0000-0000-0000508E0000}"/>
    <cellStyle name="Normal 11 2 4 2 6 4 3" xfId="37193" xr:uid="{00000000-0005-0000-0000-0000518E0000}"/>
    <cellStyle name="Normal 11 2 4 2 6 5" xfId="37194" xr:uid="{00000000-0005-0000-0000-0000528E0000}"/>
    <cellStyle name="Normal 11 2 4 2 6 5 2" xfId="37195" xr:uid="{00000000-0005-0000-0000-0000538E0000}"/>
    <cellStyle name="Normal 11 2 4 2 6 6" xfId="37196" xr:uid="{00000000-0005-0000-0000-0000548E0000}"/>
    <cellStyle name="Normal 11 2 4 2 6 7" xfId="37173" xr:uid="{00000000-0005-0000-0000-0000558E0000}"/>
    <cellStyle name="Normal 11 2 4 2 7" xfId="37197" xr:uid="{00000000-0005-0000-0000-0000568E0000}"/>
    <cellStyle name="Normal 11 2 4 2 7 2" xfId="37198" xr:uid="{00000000-0005-0000-0000-0000578E0000}"/>
    <cellStyle name="Normal 11 2 4 2 7 2 2" xfId="37199" xr:uid="{00000000-0005-0000-0000-0000588E0000}"/>
    <cellStyle name="Normal 11 2 4 2 7 2 2 2" xfId="37200" xr:uid="{00000000-0005-0000-0000-0000598E0000}"/>
    <cellStyle name="Normal 11 2 4 2 7 2 2 2 2" xfId="37201" xr:uid="{00000000-0005-0000-0000-00005A8E0000}"/>
    <cellStyle name="Normal 11 2 4 2 7 2 2 3" xfId="37202" xr:uid="{00000000-0005-0000-0000-00005B8E0000}"/>
    <cellStyle name="Normal 11 2 4 2 7 2 3" xfId="37203" xr:uid="{00000000-0005-0000-0000-00005C8E0000}"/>
    <cellStyle name="Normal 11 2 4 2 7 2 3 2" xfId="37204" xr:uid="{00000000-0005-0000-0000-00005D8E0000}"/>
    <cellStyle name="Normal 11 2 4 2 7 2 4" xfId="37205" xr:uid="{00000000-0005-0000-0000-00005E8E0000}"/>
    <cellStyle name="Normal 11 2 4 2 7 3" xfId="37206" xr:uid="{00000000-0005-0000-0000-00005F8E0000}"/>
    <cellStyle name="Normal 11 2 4 2 7 3 2" xfId="37207" xr:uid="{00000000-0005-0000-0000-0000608E0000}"/>
    <cellStyle name="Normal 11 2 4 2 7 3 2 2" xfId="37208" xr:uid="{00000000-0005-0000-0000-0000618E0000}"/>
    <cellStyle name="Normal 11 2 4 2 7 3 3" xfId="37209" xr:uid="{00000000-0005-0000-0000-0000628E0000}"/>
    <cellStyle name="Normal 11 2 4 2 7 4" xfId="37210" xr:uid="{00000000-0005-0000-0000-0000638E0000}"/>
    <cellStyle name="Normal 11 2 4 2 7 4 2" xfId="37211" xr:uid="{00000000-0005-0000-0000-0000648E0000}"/>
    <cellStyle name="Normal 11 2 4 2 7 5" xfId="37212" xr:uid="{00000000-0005-0000-0000-0000658E0000}"/>
    <cellStyle name="Normal 11 2 4 2 8" xfId="37213" xr:uid="{00000000-0005-0000-0000-0000668E0000}"/>
    <cellStyle name="Normal 11 2 4 2 8 2" xfId="37214" xr:uid="{00000000-0005-0000-0000-0000678E0000}"/>
    <cellStyle name="Normal 11 2 4 2 8 2 2" xfId="37215" xr:uid="{00000000-0005-0000-0000-0000688E0000}"/>
    <cellStyle name="Normal 11 2 4 2 8 2 2 2" xfId="37216" xr:uid="{00000000-0005-0000-0000-0000698E0000}"/>
    <cellStyle name="Normal 11 2 4 2 8 2 2 2 2" xfId="37217" xr:uid="{00000000-0005-0000-0000-00006A8E0000}"/>
    <cellStyle name="Normal 11 2 4 2 8 2 2 3" xfId="37218" xr:uid="{00000000-0005-0000-0000-00006B8E0000}"/>
    <cellStyle name="Normal 11 2 4 2 8 2 3" xfId="37219" xr:uid="{00000000-0005-0000-0000-00006C8E0000}"/>
    <cellStyle name="Normal 11 2 4 2 8 2 3 2" xfId="37220" xr:uid="{00000000-0005-0000-0000-00006D8E0000}"/>
    <cellStyle name="Normal 11 2 4 2 8 2 4" xfId="37221" xr:uid="{00000000-0005-0000-0000-00006E8E0000}"/>
    <cellStyle name="Normal 11 2 4 2 8 3" xfId="37222" xr:uid="{00000000-0005-0000-0000-00006F8E0000}"/>
    <cellStyle name="Normal 11 2 4 2 8 3 2" xfId="37223" xr:uid="{00000000-0005-0000-0000-0000708E0000}"/>
    <cellStyle name="Normal 11 2 4 2 8 3 2 2" xfId="37224" xr:uid="{00000000-0005-0000-0000-0000718E0000}"/>
    <cellStyle name="Normal 11 2 4 2 8 3 3" xfId="37225" xr:uid="{00000000-0005-0000-0000-0000728E0000}"/>
    <cellStyle name="Normal 11 2 4 2 8 4" xfId="37226" xr:uid="{00000000-0005-0000-0000-0000738E0000}"/>
    <cellStyle name="Normal 11 2 4 2 8 4 2" xfId="37227" xr:uid="{00000000-0005-0000-0000-0000748E0000}"/>
    <cellStyle name="Normal 11 2 4 2 8 5" xfId="37228" xr:uid="{00000000-0005-0000-0000-0000758E0000}"/>
    <cellStyle name="Normal 11 2 4 2 9" xfId="37229" xr:uid="{00000000-0005-0000-0000-0000768E0000}"/>
    <cellStyle name="Normal 11 2 4 2 9 2" xfId="37230" xr:uid="{00000000-0005-0000-0000-0000778E0000}"/>
    <cellStyle name="Normal 11 2 4 2 9 2 2" xfId="37231" xr:uid="{00000000-0005-0000-0000-0000788E0000}"/>
    <cellStyle name="Normal 11 2 4 2 9 2 2 2" xfId="37232" xr:uid="{00000000-0005-0000-0000-0000798E0000}"/>
    <cellStyle name="Normal 11 2 4 2 9 2 3" xfId="37233" xr:uid="{00000000-0005-0000-0000-00007A8E0000}"/>
    <cellStyle name="Normal 11 2 4 2 9 3" xfId="37234" xr:uid="{00000000-0005-0000-0000-00007B8E0000}"/>
    <cellStyle name="Normal 11 2 4 2 9 3 2" xfId="37235" xr:uid="{00000000-0005-0000-0000-00007C8E0000}"/>
    <cellStyle name="Normal 11 2 4 2 9 4" xfId="37236" xr:uid="{00000000-0005-0000-0000-00007D8E0000}"/>
    <cellStyle name="Normal 11 2 4 3" xfId="591" xr:uid="{00000000-0005-0000-0000-00007E8E0000}"/>
    <cellStyle name="Normal 11 2 4 3 10" xfId="37238" xr:uid="{00000000-0005-0000-0000-00007F8E0000}"/>
    <cellStyle name="Normal 11 2 4 3 10 2" xfId="37239" xr:uid="{00000000-0005-0000-0000-0000808E0000}"/>
    <cellStyle name="Normal 11 2 4 3 10 2 2" xfId="37240" xr:uid="{00000000-0005-0000-0000-0000818E0000}"/>
    <cellStyle name="Normal 11 2 4 3 10 2 2 2" xfId="37241" xr:uid="{00000000-0005-0000-0000-0000828E0000}"/>
    <cellStyle name="Normal 11 2 4 3 10 2 3" xfId="37242" xr:uid="{00000000-0005-0000-0000-0000838E0000}"/>
    <cellStyle name="Normal 11 2 4 3 10 3" xfId="37243" xr:uid="{00000000-0005-0000-0000-0000848E0000}"/>
    <cellStyle name="Normal 11 2 4 3 10 3 2" xfId="37244" xr:uid="{00000000-0005-0000-0000-0000858E0000}"/>
    <cellStyle name="Normal 11 2 4 3 10 4" xfId="37245" xr:uid="{00000000-0005-0000-0000-0000868E0000}"/>
    <cellStyle name="Normal 11 2 4 3 11" xfId="37246" xr:uid="{00000000-0005-0000-0000-0000878E0000}"/>
    <cellStyle name="Normal 11 2 4 3 11 2" xfId="37247" xr:uid="{00000000-0005-0000-0000-0000888E0000}"/>
    <cellStyle name="Normal 11 2 4 3 11 2 2" xfId="37248" xr:uid="{00000000-0005-0000-0000-0000898E0000}"/>
    <cellStyle name="Normal 11 2 4 3 11 3" xfId="37249" xr:uid="{00000000-0005-0000-0000-00008A8E0000}"/>
    <cellStyle name="Normal 11 2 4 3 12" xfId="37250" xr:uid="{00000000-0005-0000-0000-00008B8E0000}"/>
    <cellStyle name="Normal 11 2 4 3 12 2" xfId="37251" xr:uid="{00000000-0005-0000-0000-00008C8E0000}"/>
    <cellStyle name="Normal 11 2 4 3 12 2 2" xfId="37252" xr:uid="{00000000-0005-0000-0000-00008D8E0000}"/>
    <cellStyle name="Normal 11 2 4 3 12 3" xfId="37253" xr:uid="{00000000-0005-0000-0000-00008E8E0000}"/>
    <cellStyle name="Normal 11 2 4 3 13" xfId="37254" xr:uid="{00000000-0005-0000-0000-00008F8E0000}"/>
    <cellStyle name="Normal 11 2 4 3 13 2" xfId="37255" xr:uid="{00000000-0005-0000-0000-0000908E0000}"/>
    <cellStyle name="Normal 11 2 4 3 13 2 2" xfId="37256" xr:uid="{00000000-0005-0000-0000-0000918E0000}"/>
    <cellStyle name="Normal 11 2 4 3 13 3" xfId="37257" xr:uid="{00000000-0005-0000-0000-0000928E0000}"/>
    <cellStyle name="Normal 11 2 4 3 14" xfId="37258" xr:uid="{00000000-0005-0000-0000-0000938E0000}"/>
    <cellStyle name="Normal 11 2 4 3 14 2" xfId="37259" xr:uid="{00000000-0005-0000-0000-0000948E0000}"/>
    <cellStyle name="Normal 11 2 4 3 15" xfId="37260" xr:uid="{00000000-0005-0000-0000-0000958E0000}"/>
    <cellStyle name="Normal 11 2 4 3 16" xfId="37261" xr:uid="{00000000-0005-0000-0000-0000968E0000}"/>
    <cellStyle name="Normal 11 2 4 3 17" xfId="37237" xr:uid="{00000000-0005-0000-0000-0000978E0000}"/>
    <cellStyle name="Normal 11 2 4 3 2" xfId="592" xr:uid="{00000000-0005-0000-0000-0000988E0000}"/>
    <cellStyle name="Normal 11 2 4 3 2 10" xfId="37263" xr:uid="{00000000-0005-0000-0000-0000998E0000}"/>
    <cellStyle name="Normal 11 2 4 3 2 10 2" xfId="37264" xr:uid="{00000000-0005-0000-0000-00009A8E0000}"/>
    <cellStyle name="Normal 11 2 4 3 2 10 2 2" xfId="37265" xr:uid="{00000000-0005-0000-0000-00009B8E0000}"/>
    <cellStyle name="Normal 11 2 4 3 2 10 3" xfId="37266" xr:uid="{00000000-0005-0000-0000-00009C8E0000}"/>
    <cellStyle name="Normal 11 2 4 3 2 11" xfId="37267" xr:uid="{00000000-0005-0000-0000-00009D8E0000}"/>
    <cellStyle name="Normal 11 2 4 3 2 11 2" xfId="37268" xr:uid="{00000000-0005-0000-0000-00009E8E0000}"/>
    <cellStyle name="Normal 11 2 4 3 2 11 2 2" xfId="37269" xr:uid="{00000000-0005-0000-0000-00009F8E0000}"/>
    <cellStyle name="Normal 11 2 4 3 2 11 3" xfId="37270" xr:uid="{00000000-0005-0000-0000-0000A08E0000}"/>
    <cellStyle name="Normal 11 2 4 3 2 12" xfId="37271" xr:uid="{00000000-0005-0000-0000-0000A18E0000}"/>
    <cellStyle name="Normal 11 2 4 3 2 12 2" xfId="37272" xr:uid="{00000000-0005-0000-0000-0000A28E0000}"/>
    <cellStyle name="Normal 11 2 4 3 2 13" xfId="37273" xr:uid="{00000000-0005-0000-0000-0000A38E0000}"/>
    <cellStyle name="Normal 11 2 4 3 2 14" xfId="37274" xr:uid="{00000000-0005-0000-0000-0000A48E0000}"/>
    <cellStyle name="Normal 11 2 4 3 2 15" xfId="37262" xr:uid="{00000000-0005-0000-0000-0000A58E0000}"/>
    <cellStyle name="Normal 11 2 4 3 2 2" xfId="1034" xr:uid="{00000000-0005-0000-0000-0000A68E0000}"/>
    <cellStyle name="Normal 11 2 4 3 2 2 10" xfId="37276" xr:uid="{00000000-0005-0000-0000-0000A78E0000}"/>
    <cellStyle name="Normal 11 2 4 3 2 2 11" xfId="37275" xr:uid="{00000000-0005-0000-0000-0000A88E0000}"/>
    <cellStyle name="Normal 11 2 4 3 2 2 2" xfId="1763" xr:uid="{00000000-0005-0000-0000-0000A98E0000}"/>
    <cellStyle name="Normal 11 2 4 3 2 2 2 2" xfId="37278" xr:uid="{00000000-0005-0000-0000-0000AA8E0000}"/>
    <cellStyle name="Normal 11 2 4 3 2 2 2 2 2" xfId="37279" xr:uid="{00000000-0005-0000-0000-0000AB8E0000}"/>
    <cellStyle name="Normal 11 2 4 3 2 2 2 2 2 2" xfId="37280" xr:uid="{00000000-0005-0000-0000-0000AC8E0000}"/>
    <cellStyle name="Normal 11 2 4 3 2 2 2 2 2 2 2" xfId="37281" xr:uid="{00000000-0005-0000-0000-0000AD8E0000}"/>
    <cellStyle name="Normal 11 2 4 3 2 2 2 2 2 3" xfId="37282" xr:uid="{00000000-0005-0000-0000-0000AE8E0000}"/>
    <cellStyle name="Normal 11 2 4 3 2 2 2 2 3" xfId="37283" xr:uid="{00000000-0005-0000-0000-0000AF8E0000}"/>
    <cellStyle name="Normal 11 2 4 3 2 2 2 2 3 2" xfId="37284" xr:uid="{00000000-0005-0000-0000-0000B08E0000}"/>
    <cellStyle name="Normal 11 2 4 3 2 2 2 2 4" xfId="37285" xr:uid="{00000000-0005-0000-0000-0000B18E0000}"/>
    <cellStyle name="Normal 11 2 4 3 2 2 2 3" xfId="37286" xr:uid="{00000000-0005-0000-0000-0000B28E0000}"/>
    <cellStyle name="Normal 11 2 4 3 2 2 2 3 2" xfId="37287" xr:uid="{00000000-0005-0000-0000-0000B38E0000}"/>
    <cellStyle name="Normal 11 2 4 3 2 2 2 3 2 2" xfId="37288" xr:uid="{00000000-0005-0000-0000-0000B48E0000}"/>
    <cellStyle name="Normal 11 2 4 3 2 2 2 3 2 2 2" xfId="37289" xr:uid="{00000000-0005-0000-0000-0000B58E0000}"/>
    <cellStyle name="Normal 11 2 4 3 2 2 2 3 2 3" xfId="37290" xr:uid="{00000000-0005-0000-0000-0000B68E0000}"/>
    <cellStyle name="Normal 11 2 4 3 2 2 2 3 3" xfId="37291" xr:uid="{00000000-0005-0000-0000-0000B78E0000}"/>
    <cellStyle name="Normal 11 2 4 3 2 2 2 3 3 2" xfId="37292" xr:uid="{00000000-0005-0000-0000-0000B88E0000}"/>
    <cellStyle name="Normal 11 2 4 3 2 2 2 3 4" xfId="37293" xr:uid="{00000000-0005-0000-0000-0000B98E0000}"/>
    <cellStyle name="Normal 11 2 4 3 2 2 2 4" xfId="37294" xr:uid="{00000000-0005-0000-0000-0000BA8E0000}"/>
    <cellStyle name="Normal 11 2 4 3 2 2 2 4 2" xfId="37295" xr:uid="{00000000-0005-0000-0000-0000BB8E0000}"/>
    <cellStyle name="Normal 11 2 4 3 2 2 2 4 2 2" xfId="37296" xr:uid="{00000000-0005-0000-0000-0000BC8E0000}"/>
    <cellStyle name="Normal 11 2 4 3 2 2 2 4 3" xfId="37297" xr:uid="{00000000-0005-0000-0000-0000BD8E0000}"/>
    <cellStyle name="Normal 11 2 4 3 2 2 2 5" xfId="37298" xr:uid="{00000000-0005-0000-0000-0000BE8E0000}"/>
    <cellStyle name="Normal 11 2 4 3 2 2 2 5 2" xfId="37299" xr:uid="{00000000-0005-0000-0000-0000BF8E0000}"/>
    <cellStyle name="Normal 11 2 4 3 2 2 2 6" xfId="37300" xr:uid="{00000000-0005-0000-0000-0000C08E0000}"/>
    <cellStyle name="Normal 11 2 4 3 2 2 2 7" xfId="37277" xr:uid="{00000000-0005-0000-0000-0000C18E0000}"/>
    <cellStyle name="Normal 11 2 4 3 2 2 3" xfId="37301" xr:uid="{00000000-0005-0000-0000-0000C28E0000}"/>
    <cellStyle name="Normal 11 2 4 3 2 2 3 2" xfId="37302" xr:uid="{00000000-0005-0000-0000-0000C38E0000}"/>
    <cellStyle name="Normal 11 2 4 3 2 2 3 2 2" xfId="37303" xr:uid="{00000000-0005-0000-0000-0000C48E0000}"/>
    <cellStyle name="Normal 11 2 4 3 2 2 3 2 2 2" xfId="37304" xr:uid="{00000000-0005-0000-0000-0000C58E0000}"/>
    <cellStyle name="Normal 11 2 4 3 2 2 3 2 2 2 2" xfId="37305" xr:uid="{00000000-0005-0000-0000-0000C68E0000}"/>
    <cellStyle name="Normal 11 2 4 3 2 2 3 2 2 3" xfId="37306" xr:uid="{00000000-0005-0000-0000-0000C78E0000}"/>
    <cellStyle name="Normal 11 2 4 3 2 2 3 2 3" xfId="37307" xr:uid="{00000000-0005-0000-0000-0000C88E0000}"/>
    <cellStyle name="Normal 11 2 4 3 2 2 3 2 3 2" xfId="37308" xr:uid="{00000000-0005-0000-0000-0000C98E0000}"/>
    <cellStyle name="Normal 11 2 4 3 2 2 3 2 4" xfId="37309" xr:uid="{00000000-0005-0000-0000-0000CA8E0000}"/>
    <cellStyle name="Normal 11 2 4 3 2 2 3 3" xfId="37310" xr:uid="{00000000-0005-0000-0000-0000CB8E0000}"/>
    <cellStyle name="Normal 11 2 4 3 2 2 3 3 2" xfId="37311" xr:uid="{00000000-0005-0000-0000-0000CC8E0000}"/>
    <cellStyle name="Normal 11 2 4 3 2 2 3 3 2 2" xfId="37312" xr:uid="{00000000-0005-0000-0000-0000CD8E0000}"/>
    <cellStyle name="Normal 11 2 4 3 2 2 3 3 3" xfId="37313" xr:uid="{00000000-0005-0000-0000-0000CE8E0000}"/>
    <cellStyle name="Normal 11 2 4 3 2 2 3 4" xfId="37314" xr:uid="{00000000-0005-0000-0000-0000CF8E0000}"/>
    <cellStyle name="Normal 11 2 4 3 2 2 3 4 2" xfId="37315" xr:uid="{00000000-0005-0000-0000-0000D08E0000}"/>
    <cellStyle name="Normal 11 2 4 3 2 2 3 5" xfId="37316" xr:uid="{00000000-0005-0000-0000-0000D18E0000}"/>
    <cellStyle name="Normal 11 2 4 3 2 2 4" xfId="37317" xr:uid="{00000000-0005-0000-0000-0000D28E0000}"/>
    <cellStyle name="Normal 11 2 4 3 2 2 4 2" xfId="37318" xr:uid="{00000000-0005-0000-0000-0000D38E0000}"/>
    <cellStyle name="Normal 11 2 4 3 2 2 4 2 2" xfId="37319" xr:uid="{00000000-0005-0000-0000-0000D48E0000}"/>
    <cellStyle name="Normal 11 2 4 3 2 2 4 2 2 2" xfId="37320" xr:uid="{00000000-0005-0000-0000-0000D58E0000}"/>
    <cellStyle name="Normal 11 2 4 3 2 2 4 2 2 2 2" xfId="37321" xr:uid="{00000000-0005-0000-0000-0000D68E0000}"/>
    <cellStyle name="Normal 11 2 4 3 2 2 4 2 2 3" xfId="37322" xr:uid="{00000000-0005-0000-0000-0000D78E0000}"/>
    <cellStyle name="Normal 11 2 4 3 2 2 4 2 3" xfId="37323" xr:uid="{00000000-0005-0000-0000-0000D88E0000}"/>
    <cellStyle name="Normal 11 2 4 3 2 2 4 2 3 2" xfId="37324" xr:uid="{00000000-0005-0000-0000-0000D98E0000}"/>
    <cellStyle name="Normal 11 2 4 3 2 2 4 2 4" xfId="37325" xr:uid="{00000000-0005-0000-0000-0000DA8E0000}"/>
    <cellStyle name="Normal 11 2 4 3 2 2 4 3" xfId="37326" xr:uid="{00000000-0005-0000-0000-0000DB8E0000}"/>
    <cellStyle name="Normal 11 2 4 3 2 2 4 3 2" xfId="37327" xr:uid="{00000000-0005-0000-0000-0000DC8E0000}"/>
    <cellStyle name="Normal 11 2 4 3 2 2 4 3 2 2" xfId="37328" xr:uid="{00000000-0005-0000-0000-0000DD8E0000}"/>
    <cellStyle name="Normal 11 2 4 3 2 2 4 3 3" xfId="37329" xr:uid="{00000000-0005-0000-0000-0000DE8E0000}"/>
    <cellStyle name="Normal 11 2 4 3 2 2 4 4" xfId="37330" xr:uid="{00000000-0005-0000-0000-0000DF8E0000}"/>
    <cellStyle name="Normal 11 2 4 3 2 2 4 4 2" xfId="37331" xr:uid="{00000000-0005-0000-0000-0000E08E0000}"/>
    <cellStyle name="Normal 11 2 4 3 2 2 4 5" xfId="37332" xr:uid="{00000000-0005-0000-0000-0000E18E0000}"/>
    <cellStyle name="Normal 11 2 4 3 2 2 5" xfId="37333" xr:uid="{00000000-0005-0000-0000-0000E28E0000}"/>
    <cellStyle name="Normal 11 2 4 3 2 2 5 2" xfId="37334" xr:uid="{00000000-0005-0000-0000-0000E38E0000}"/>
    <cellStyle name="Normal 11 2 4 3 2 2 5 2 2" xfId="37335" xr:uid="{00000000-0005-0000-0000-0000E48E0000}"/>
    <cellStyle name="Normal 11 2 4 3 2 2 5 2 2 2" xfId="37336" xr:uid="{00000000-0005-0000-0000-0000E58E0000}"/>
    <cellStyle name="Normal 11 2 4 3 2 2 5 2 3" xfId="37337" xr:uid="{00000000-0005-0000-0000-0000E68E0000}"/>
    <cellStyle name="Normal 11 2 4 3 2 2 5 3" xfId="37338" xr:uid="{00000000-0005-0000-0000-0000E78E0000}"/>
    <cellStyle name="Normal 11 2 4 3 2 2 5 3 2" xfId="37339" xr:uid="{00000000-0005-0000-0000-0000E88E0000}"/>
    <cellStyle name="Normal 11 2 4 3 2 2 5 4" xfId="37340" xr:uid="{00000000-0005-0000-0000-0000E98E0000}"/>
    <cellStyle name="Normal 11 2 4 3 2 2 6" xfId="37341" xr:uid="{00000000-0005-0000-0000-0000EA8E0000}"/>
    <cellStyle name="Normal 11 2 4 3 2 2 6 2" xfId="37342" xr:uid="{00000000-0005-0000-0000-0000EB8E0000}"/>
    <cellStyle name="Normal 11 2 4 3 2 2 6 2 2" xfId="37343" xr:uid="{00000000-0005-0000-0000-0000EC8E0000}"/>
    <cellStyle name="Normal 11 2 4 3 2 2 6 2 2 2" xfId="37344" xr:uid="{00000000-0005-0000-0000-0000ED8E0000}"/>
    <cellStyle name="Normal 11 2 4 3 2 2 6 2 3" xfId="37345" xr:uid="{00000000-0005-0000-0000-0000EE8E0000}"/>
    <cellStyle name="Normal 11 2 4 3 2 2 6 3" xfId="37346" xr:uid="{00000000-0005-0000-0000-0000EF8E0000}"/>
    <cellStyle name="Normal 11 2 4 3 2 2 6 3 2" xfId="37347" xr:uid="{00000000-0005-0000-0000-0000F08E0000}"/>
    <cellStyle name="Normal 11 2 4 3 2 2 6 4" xfId="37348" xr:uid="{00000000-0005-0000-0000-0000F18E0000}"/>
    <cellStyle name="Normal 11 2 4 3 2 2 7" xfId="37349" xr:uid="{00000000-0005-0000-0000-0000F28E0000}"/>
    <cellStyle name="Normal 11 2 4 3 2 2 7 2" xfId="37350" xr:uid="{00000000-0005-0000-0000-0000F38E0000}"/>
    <cellStyle name="Normal 11 2 4 3 2 2 7 2 2" xfId="37351" xr:uid="{00000000-0005-0000-0000-0000F48E0000}"/>
    <cellStyle name="Normal 11 2 4 3 2 2 7 2 2 2" xfId="37352" xr:uid="{00000000-0005-0000-0000-0000F58E0000}"/>
    <cellStyle name="Normal 11 2 4 3 2 2 7 2 3" xfId="37353" xr:uid="{00000000-0005-0000-0000-0000F68E0000}"/>
    <cellStyle name="Normal 11 2 4 3 2 2 7 3" xfId="37354" xr:uid="{00000000-0005-0000-0000-0000F78E0000}"/>
    <cellStyle name="Normal 11 2 4 3 2 2 7 3 2" xfId="37355" xr:uid="{00000000-0005-0000-0000-0000F88E0000}"/>
    <cellStyle name="Normal 11 2 4 3 2 2 7 4" xfId="37356" xr:uid="{00000000-0005-0000-0000-0000F98E0000}"/>
    <cellStyle name="Normal 11 2 4 3 2 2 8" xfId="37357" xr:uid="{00000000-0005-0000-0000-0000FA8E0000}"/>
    <cellStyle name="Normal 11 2 4 3 2 2 8 2" xfId="37358" xr:uid="{00000000-0005-0000-0000-0000FB8E0000}"/>
    <cellStyle name="Normal 11 2 4 3 2 2 8 2 2" xfId="37359" xr:uid="{00000000-0005-0000-0000-0000FC8E0000}"/>
    <cellStyle name="Normal 11 2 4 3 2 2 8 3" xfId="37360" xr:uid="{00000000-0005-0000-0000-0000FD8E0000}"/>
    <cellStyle name="Normal 11 2 4 3 2 2 9" xfId="37361" xr:uid="{00000000-0005-0000-0000-0000FE8E0000}"/>
    <cellStyle name="Normal 11 2 4 3 2 2 9 2" xfId="37362" xr:uid="{00000000-0005-0000-0000-0000FF8E0000}"/>
    <cellStyle name="Normal 11 2 4 3 2 3" xfId="1436" xr:uid="{00000000-0005-0000-0000-0000008F0000}"/>
    <cellStyle name="Normal 11 2 4 3 2 3 2" xfId="37364" xr:uid="{00000000-0005-0000-0000-0000018F0000}"/>
    <cellStyle name="Normal 11 2 4 3 2 3 2 2" xfId="37365" xr:uid="{00000000-0005-0000-0000-0000028F0000}"/>
    <cellStyle name="Normal 11 2 4 3 2 3 2 2 2" xfId="37366" xr:uid="{00000000-0005-0000-0000-0000038F0000}"/>
    <cellStyle name="Normal 11 2 4 3 2 3 2 2 2 2" xfId="37367" xr:uid="{00000000-0005-0000-0000-0000048F0000}"/>
    <cellStyle name="Normal 11 2 4 3 2 3 2 2 3" xfId="37368" xr:uid="{00000000-0005-0000-0000-0000058F0000}"/>
    <cellStyle name="Normal 11 2 4 3 2 3 2 3" xfId="37369" xr:uid="{00000000-0005-0000-0000-0000068F0000}"/>
    <cellStyle name="Normal 11 2 4 3 2 3 2 3 2" xfId="37370" xr:uid="{00000000-0005-0000-0000-0000078F0000}"/>
    <cellStyle name="Normal 11 2 4 3 2 3 2 4" xfId="37371" xr:uid="{00000000-0005-0000-0000-0000088F0000}"/>
    <cellStyle name="Normal 11 2 4 3 2 3 3" xfId="37372" xr:uid="{00000000-0005-0000-0000-0000098F0000}"/>
    <cellStyle name="Normal 11 2 4 3 2 3 3 2" xfId="37373" xr:uid="{00000000-0005-0000-0000-00000A8F0000}"/>
    <cellStyle name="Normal 11 2 4 3 2 3 3 2 2" xfId="37374" xr:uid="{00000000-0005-0000-0000-00000B8F0000}"/>
    <cellStyle name="Normal 11 2 4 3 2 3 3 2 2 2" xfId="37375" xr:uid="{00000000-0005-0000-0000-00000C8F0000}"/>
    <cellStyle name="Normal 11 2 4 3 2 3 3 2 3" xfId="37376" xr:uid="{00000000-0005-0000-0000-00000D8F0000}"/>
    <cellStyle name="Normal 11 2 4 3 2 3 3 3" xfId="37377" xr:uid="{00000000-0005-0000-0000-00000E8F0000}"/>
    <cellStyle name="Normal 11 2 4 3 2 3 3 3 2" xfId="37378" xr:uid="{00000000-0005-0000-0000-00000F8F0000}"/>
    <cellStyle name="Normal 11 2 4 3 2 3 3 4" xfId="37379" xr:uid="{00000000-0005-0000-0000-0000108F0000}"/>
    <cellStyle name="Normal 11 2 4 3 2 3 4" xfId="37380" xr:uid="{00000000-0005-0000-0000-0000118F0000}"/>
    <cellStyle name="Normal 11 2 4 3 2 3 4 2" xfId="37381" xr:uid="{00000000-0005-0000-0000-0000128F0000}"/>
    <cellStyle name="Normal 11 2 4 3 2 3 4 2 2" xfId="37382" xr:uid="{00000000-0005-0000-0000-0000138F0000}"/>
    <cellStyle name="Normal 11 2 4 3 2 3 4 3" xfId="37383" xr:uid="{00000000-0005-0000-0000-0000148F0000}"/>
    <cellStyle name="Normal 11 2 4 3 2 3 5" xfId="37384" xr:uid="{00000000-0005-0000-0000-0000158F0000}"/>
    <cellStyle name="Normal 11 2 4 3 2 3 5 2" xfId="37385" xr:uid="{00000000-0005-0000-0000-0000168F0000}"/>
    <cellStyle name="Normal 11 2 4 3 2 3 6" xfId="37386" xr:uid="{00000000-0005-0000-0000-0000178F0000}"/>
    <cellStyle name="Normal 11 2 4 3 2 3 7" xfId="37363" xr:uid="{00000000-0005-0000-0000-0000188F0000}"/>
    <cellStyle name="Normal 11 2 4 3 2 4" xfId="37387" xr:uid="{00000000-0005-0000-0000-0000198F0000}"/>
    <cellStyle name="Normal 11 2 4 3 2 4 2" xfId="37388" xr:uid="{00000000-0005-0000-0000-00001A8F0000}"/>
    <cellStyle name="Normal 11 2 4 3 2 4 2 2" xfId="37389" xr:uid="{00000000-0005-0000-0000-00001B8F0000}"/>
    <cellStyle name="Normal 11 2 4 3 2 4 2 2 2" xfId="37390" xr:uid="{00000000-0005-0000-0000-00001C8F0000}"/>
    <cellStyle name="Normal 11 2 4 3 2 4 2 2 2 2" xfId="37391" xr:uid="{00000000-0005-0000-0000-00001D8F0000}"/>
    <cellStyle name="Normal 11 2 4 3 2 4 2 2 3" xfId="37392" xr:uid="{00000000-0005-0000-0000-00001E8F0000}"/>
    <cellStyle name="Normal 11 2 4 3 2 4 2 3" xfId="37393" xr:uid="{00000000-0005-0000-0000-00001F8F0000}"/>
    <cellStyle name="Normal 11 2 4 3 2 4 2 3 2" xfId="37394" xr:uid="{00000000-0005-0000-0000-0000208F0000}"/>
    <cellStyle name="Normal 11 2 4 3 2 4 2 4" xfId="37395" xr:uid="{00000000-0005-0000-0000-0000218F0000}"/>
    <cellStyle name="Normal 11 2 4 3 2 4 3" xfId="37396" xr:uid="{00000000-0005-0000-0000-0000228F0000}"/>
    <cellStyle name="Normal 11 2 4 3 2 4 3 2" xfId="37397" xr:uid="{00000000-0005-0000-0000-0000238F0000}"/>
    <cellStyle name="Normal 11 2 4 3 2 4 3 2 2" xfId="37398" xr:uid="{00000000-0005-0000-0000-0000248F0000}"/>
    <cellStyle name="Normal 11 2 4 3 2 4 3 3" xfId="37399" xr:uid="{00000000-0005-0000-0000-0000258F0000}"/>
    <cellStyle name="Normal 11 2 4 3 2 4 4" xfId="37400" xr:uid="{00000000-0005-0000-0000-0000268F0000}"/>
    <cellStyle name="Normal 11 2 4 3 2 4 4 2" xfId="37401" xr:uid="{00000000-0005-0000-0000-0000278F0000}"/>
    <cellStyle name="Normal 11 2 4 3 2 4 5" xfId="37402" xr:uid="{00000000-0005-0000-0000-0000288F0000}"/>
    <cellStyle name="Normal 11 2 4 3 2 5" xfId="37403" xr:uid="{00000000-0005-0000-0000-0000298F0000}"/>
    <cellStyle name="Normal 11 2 4 3 2 5 2" xfId="37404" xr:uid="{00000000-0005-0000-0000-00002A8F0000}"/>
    <cellStyle name="Normal 11 2 4 3 2 5 2 2" xfId="37405" xr:uid="{00000000-0005-0000-0000-00002B8F0000}"/>
    <cellStyle name="Normal 11 2 4 3 2 5 2 2 2" xfId="37406" xr:uid="{00000000-0005-0000-0000-00002C8F0000}"/>
    <cellStyle name="Normal 11 2 4 3 2 5 2 2 2 2" xfId="37407" xr:uid="{00000000-0005-0000-0000-00002D8F0000}"/>
    <cellStyle name="Normal 11 2 4 3 2 5 2 2 3" xfId="37408" xr:uid="{00000000-0005-0000-0000-00002E8F0000}"/>
    <cellStyle name="Normal 11 2 4 3 2 5 2 3" xfId="37409" xr:uid="{00000000-0005-0000-0000-00002F8F0000}"/>
    <cellStyle name="Normal 11 2 4 3 2 5 2 3 2" xfId="37410" xr:uid="{00000000-0005-0000-0000-0000308F0000}"/>
    <cellStyle name="Normal 11 2 4 3 2 5 2 4" xfId="37411" xr:uid="{00000000-0005-0000-0000-0000318F0000}"/>
    <cellStyle name="Normal 11 2 4 3 2 5 3" xfId="37412" xr:uid="{00000000-0005-0000-0000-0000328F0000}"/>
    <cellStyle name="Normal 11 2 4 3 2 5 3 2" xfId="37413" xr:uid="{00000000-0005-0000-0000-0000338F0000}"/>
    <cellStyle name="Normal 11 2 4 3 2 5 3 2 2" xfId="37414" xr:uid="{00000000-0005-0000-0000-0000348F0000}"/>
    <cellStyle name="Normal 11 2 4 3 2 5 3 3" xfId="37415" xr:uid="{00000000-0005-0000-0000-0000358F0000}"/>
    <cellStyle name="Normal 11 2 4 3 2 5 4" xfId="37416" xr:uid="{00000000-0005-0000-0000-0000368F0000}"/>
    <cellStyle name="Normal 11 2 4 3 2 5 4 2" xfId="37417" xr:uid="{00000000-0005-0000-0000-0000378F0000}"/>
    <cellStyle name="Normal 11 2 4 3 2 5 5" xfId="37418" xr:uid="{00000000-0005-0000-0000-0000388F0000}"/>
    <cellStyle name="Normal 11 2 4 3 2 6" xfId="37419" xr:uid="{00000000-0005-0000-0000-0000398F0000}"/>
    <cellStyle name="Normal 11 2 4 3 2 6 2" xfId="37420" xr:uid="{00000000-0005-0000-0000-00003A8F0000}"/>
    <cellStyle name="Normal 11 2 4 3 2 6 2 2" xfId="37421" xr:uid="{00000000-0005-0000-0000-00003B8F0000}"/>
    <cellStyle name="Normal 11 2 4 3 2 6 2 2 2" xfId="37422" xr:uid="{00000000-0005-0000-0000-00003C8F0000}"/>
    <cellStyle name="Normal 11 2 4 3 2 6 2 3" xfId="37423" xr:uid="{00000000-0005-0000-0000-00003D8F0000}"/>
    <cellStyle name="Normal 11 2 4 3 2 6 3" xfId="37424" xr:uid="{00000000-0005-0000-0000-00003E8F0000}"/>
    <cellStyle name="Normal 11 2 4 3 2 6 3 2" xfId="37425" xr:uid="{00000000-0005-0000-0000-00003F8F0000}"/>
    <cellStyle name="Normal 11 2 4 3 2 6 4" xfId="37426" xr:uid="{00000000-0005-0000-0000-0000408F0000}"/>
    <cellStyle name="Normal 11 2 4 3 2 7" xfId="37427" xr:uid="{00000000-0005-0000-0000-0000418F0000}"/>
    <cellStyle name="Normal 11 2 4 3 2 7 2" xfId="37428" xr:uid="{00000000-0005-0000-0000-0000428F0000}"/>
    <cellStyle name="Normal 11 2 4 3 2 7 2 2" xfId="37429" xr:uid="{00000000-0005-0000-0000-0000438F0000}"/>
    <cellStyle name="Normal 11 2 4 3 2 7 2 2 2" xfId="37430" xr:uid="{00000000-0005-0000-0000-0000448F0000}"/>
    <cellStyle name="Normal 11 2 4 3 2 7 2 3" xfId="37431" xr:uid="{00000000-0005-0000-0000-0000458F0000}"/>
    <cellStyle name="Normal 11 2 4 3 2 7 3" xfId="37432" xr:uid="{00000000-0005-0000-0000-0000468F0000}"/>
    <cellStyle name="Normal 11 2 4 3 2 7 3 2" xfId="37433" xr:uid="{00000000-0005-0000-0000-0000478F0000}"/>
    <cellStyle name="Normal 11 2 4 3 2 7 4" xfId="37434" xr:uid="{00000000-0005-0000-0000-0000488F0000}"/>
    <cellStyle name="Normal 11 2 4 3 2 8" xfId="37435" xr:uid="{00000000-0005-0000-0000-0000498F0000}"/>
    <cellStyle name="Normal 11 2 4 3 2 8 2" xfId="37436" xr:uid="{00000000-0005-0000-0000-00004A8F0000}"/>
    <cellStyle name="Normal 11 2 4 3 2 8 2 2" xfId="37437" xr:uid="{00000000-0005-0000-0000-00004B8F0000}"/>
    <cellStyle name="Normal 11 2 4 3 2 8 2 2 2" xfId="37438" xr:uid="{00000000-0005-0000-0000-00004C8F0000}"/>
    <cellStyle name="Normal 11 2 4 3 2 8 2 3" xfId="37439" xr:uid="{00000000-0005-0000-0000-00004D8F0000}"/>
    <cellStyle name="Normal 11 2 4 3 2 8 3" xfId="37440" xr:uid="{00000000-0005-0000-0000-00004E8F0000}"/>
    <cellStyle name="Normal 11 2 4 3 2 8 3 2" xfId="37441" xr:uid="{00000000-0005-0000-0000-00004F8F0000}"/>
    <cellStyle name="Normal 11 2 4 3 2 8 4" xfId="37442" xr:uid="{00000000-0005-0000-0000-0000508F0000}"/>
    <cellStyle name="Normal 11 2 4 3 2 9" xfId="37443" xr:uid="{00000000-0005-0000-0000-0000518F0000}"/>
    <cellStyle name="Normal 11 2 4 3 2 9 2" xfId="37444" xr:uid="{00000000-0005-0000-0000-0000528F0000}"/>
    <cellStyle name="Normal 11 2 4 3 2 9 2 2" xfId="37445" xr:uid="{00000000-0005-0000-0000-0000538F0000}"/>
    <cellStyle name="Normal 11 2 4 3 2 9 3" xfId="37446" xr:uid="{00000000-0005-0000-0000-0000548F0000}"/>
    <cellStyle name="Normal 11 2 4 3 3" xfId="593" xr:uid="{00000000-0005-0000-0000-0000558F0000}"/>
    <cellStyle name="Normal 11 2 4 3 3 10" xfId="37448" xr:uid="{00000000-0005-0000-0000-0000568F0000}"/>
    <cellStyle name="Normal 11 2 4 3 3 10 2" xfId="37449" xr:uid="{00000000-0005-0000-0000-0000578F0000}"/>
    <cellStyle name="Normal 11 2 4 3 3 10 2 2" xfId="37450" xr:uid="{00000000-0005-0000-0000-0000588F0000}"/>
    <cellStyle name="Normal 11 2 4 3 3 10 3" xfId="37451" xr:uid="{00000000-0005-0000-0000-0000598F0000}"/>
    <cellStyle name="Normal 11 2 4 3 3 11" xfId="37452" xr:uid="{00000000-0005-0000-0000-00005A8F0000}"/>
    <cellStyle name="Normal 11 2 4 3 3 11 2" xfId="37453" xr:uid="{00000000-0005-0000-0000-00005B8F0000}"/>
    <cellStyle name="Normal 11 2 4 3 3 11 2 2" xfId="37454" xr:uid="{00000000-0005-0000-0000-00005C8F0000}"/>
    <cellStyle name="Normal 11 2 4 3 3 11 3" xfId="37455" xr:uid="{00000000-0005-0000-0000-00005D8F0000}"/>
    <cellStyle name="Normal 11 2 4 3 3 12" xfId="37456" xr:uid="{00000000-0005-0000-0000-00005E8F0000}"/>
    <cellStyle name="Normal 11 2 4 3 3 12 2" xfId="37457" xr:uid="{00000000-0005-0000-0000-00005F8F0000}"/>
    <cellStyle name="Normal 11 2 4 3 3 13" xfId="37458" xr:uid="{00000000-0005-0000-0000-0000608F0000}"/>
    <cellStyle name="Normal 11 2 4 3 3 14" xfId="37459" xr:uid="{00000000-0005-0000-0000-0000618F0000}"/>
    <cellStyle name="Normal 11 2 4 3 3 15" xfId="37447" xr:uid="{00000000-0005-0000-0000-0000628F0000}"/>
    <cellStyle name="Normal 11 2 4 3 3 2" xfId="1035" xr:uid="{00000000-0005-0000-0000-0000638F0000}"/>
    <cellStyle name="Normal 11 2 4 3 3 2 10" xfId="37461" xr:uid="{00000000-0005-0000-0000-0000648F0000}"/>
    <cellStyle name="Normal 11 2 4 3 3 2 11" xfId="37460" xr:uid="{00000000-0005-0000-0000-0000658F0000}"/>
    <cellStyle name="Normal 11 2 4 3 3 2 2" xfId="1764" xr:uid="{00000000-0005-0000-0000-0000668F0000}"/>
    <cellStyle name="Normal 11 2 4 3 3 2 2 2" xfId="37463" xr:uid="{00000000-0005-0000-0000-0000678F0000}"/>
    <cellStyle name="Normal 11 2 4 3 3 2 2 2 2" xfId="37464" xr:uid="{00000000-0005-0000-0000-0000688F0000}"/>
    <cellStyle name="Normal 11 2 4 3 3 2 2 2 2 2" xfId="37465" xr:uid="{00000000-0005-0000-0000-0000698F0000}"/>
    <cellStyle name="Normal 11 2 4 3 3 2 2 2 2 2 2" xfId="37466" xr:uid="{00000000-0005-0000-0000-00006A8F0000}"/>
    <cellStyle name="Normal 11 2 4 3 3 2 2 2 2 3" xfId="37467" xr:uid="{00000000-0005-0000-0000-00006B8F0000}"/>
    <cellStyle name="Normal 11 2 4 3 3 2 2 2 3" xfId="37468" xr:uid="{00000000-0005-0000-0000-00006C8F0000}"/>
    <cellStyle name="Normal 11 2 4 3 3 2 2 2 3 2" xfId="37469" xr:uid="{00000000-0005-0000-0000-00006D8F0000}"/>
    <cellStyle name="Normal 11 2 4 3 3 2 2 2 4" xfId="37470" xr:uid="{00000000-0005-0000-0000-00006E8F0000}"/>
    <cellStyle name="Normal 11 2 4 3 3 2 2 3" xfId="37471" xr:uid="{00000000-0005-0000-0000-00006F8F0000}"/>
    <cellStyle name="Normal 11 2 4 3 3 2 2 3 2" xfId="37472" xr:uid="{00000000-0005-0000-0000-0000708F0000}"/>
    <cellStyle name="Normal 11 2 4 3 3 2 2 3 2 2" xfId="37473" xr:uid="{00000000-0005-0000-0000-0000718F0000}"/>
    <cellStyle name="Normal 11 2 4 3 3 2 2 3 2 2 2" xfId="37474" xr:uid="{00000000-0005-0000-0000-0000728F0000}"/>
    <cellStyle name="Normal 11 2 4 3 3 2 2 3 2 3" xfId="37475" xr:uid="{00000000-0005-0000-0000-0000738F0000}"/>
    <cellStyle name="Normal 11 2 4 3 3 2 2 3 3" xfId="37476" xr:uid="{00000000-0005-0000-0000-0000748F0000}"/>
    <cellStyle name="Normal 11 2 4 3 3 2 2 3 3 2" xfId="37477" xr:uid="{00000000-0005-0000-0000-0000758F0000}"/>
    <cellStyle name="Normal 11 2 4 3 3 2 2 3 4" xfId="37478" xr:uid="{00000000-0005-0000-0000-0000768F0000}"/>
    <cellStyle name="Normal 11 2 4 3 3 2 2 4" xfId="37479" xr:uid="{00000000-0005-0000-0000-0000778F0000}"/>
    <cellStyle name="Normal 11 2 4 3 3 2 2 4 2" xfId="37480" xr:uid="{00000000-0005-0000-0000-0000788F0000}"/>
    <cellStyle name="Normal 11 2 4 3 3 2 2 4 2 2" xfId="37481" xr:uid="{00000000-0005-0000-0000-0000798F0000}"/>
    <cellStyle name="Normal 11 2 4 3 3 2 2 4 3" xfId="37482" xr:uid="{00000000-0005-0000-0000-00007A8F0000}"/>
    <cellStyle name="Normal 11 2 4 3 3 2 2 5" xfId="37483" xr:uid="{00000000-0005-0000-0000-00007B8F0000}"/>
    <cellStyle name="Normal 11 2 4 3 3 2 2 5 2" xfId="37484" xr:uid="{00000000-0005-0000-0000-00007C8F0000}"/>
    <cellStyle name="Normal 11 2 4 3 3 2 2 6" xfId="37485" xr:uid="{00000000-0005-0000-0000-00007D8F0000}"/>
    <cellStyle name="Normal 11 2 4 3 3 2 2 7" xfId="37462" xr:uid="{00000000-0005-0000-0000-00007E8F0000}"/>
    <cellStyle name="Normal 11 2 4 3 3 2 3" xfId="37486" xr:uid="{00000000-0005-0000-0000-00007F8F0000}"/>
    <cellStyle name="Normal 11 2 4 3 3 2 3 2" xfId="37487" xr:uid="{00000000-0005-0000-0000-0000808F0000}"/>
    <cellStyle name="Normal 11 2 4 3 3 2 3 2 2" xfId="37488" xr:uid="{00000000-0005-0000-0000-0000818F0000}"/>
    <cellStyle name="Normal 11 2 4 3 3 2 3 2 2 2" xfId="37489" xr:uid="{00000000-0005-0000-0000-0000828F0000}"/>
    <cellStyle name="Normal 11 2 4 3 3 2 3 2 2 2 2" xfId="37490" xr:uid="{00000000-0005-0000-0000-0000838F0000}"/>
    <cellStyle name="Normal 11 2 4 3 3 2 3 2 2 3" xfId="37491" xr:uid="{00000000-0005-0000-0000-0000848F0000}"/>
    <cellStyle name="Normal 11 2 4 3 3 2 3 2 3" xfId="37492" xr:uid="{00000000-0005-0000-0000-0000858F0000}"/>
    <cellStyle name="Normal 11 2 4 3 3 2 3 2 3 2" xfId="37493" xr:uid="{00000000-0005-0000-0000-0000868F0000}"/>
    <cellStyle name="Normal 11 2 4 3 3 2 3 2 4" xfId="37494" xr:uid="{00000000-0005-0000-0000-0000878F0000}"/>
    <cellStyle name="Normal 11 2 4 3 3 2 3 3" xfId="37495" xr:uid="{00000000-0005-0000-0000-0000888F0000}"/>
    <cellStyle name="Normal 11 2 4 3 3 2 3 3 2" xfId="37496" xr:uid="{00000000-0005-0000-0000-0000898F0000}"/>
    <cellStyle name="Normal 11 2 4 3 3 2 3 3 2 2" xfId="37497" xr:uid="{00000000-0005-0000-0000-00008A8F0000}"/>
    <cellStyle name="Normal 11 2 4 3 3 2 3 3 3" xfId="37498" xr:uid="{00000000-0005-0000-0000-00008B8F0000}"/>
    <cellStyle name="Normal 11 2 4 3 3 2 3 4" xfId="37499" xr:uid="{00000000-0005-0000-0000-00008C8F0000}"/>
    <cellStyle name="Normal 11 2 4 3 3 2 3 4 2" xfId="37500" xr:uid="{00000000-0005-0000-0000-00008D8F0000}"/>
    <cellStyle name="Normal 11 2 4 3 3 2 3 5" xfId="37501" xr:uid="{00000000-0005-0000-0000-00008E8F0000}"/>
    <cellStyle name="Normal 11 2 4 3 3 2 4" xfId="37502" xr:uid="{00000000-0005-0000-0000-00008F8F0000}"/>
    <cellStyle name="Normal 11 2 4 3 3 2 4 2" xfId="37503" xr:uid="{00000000-0005-0000-0000-0000908F0000}"/>
    <cellStyle name="Normal 11 2 4 3 3 2 4 2 2" xfId="37504" xr:uid="{00000000-0005-0000-0000-0000918F0000}"/>
    <cellStyle name="Normal 11 2 4 3 3 2 4 2 2 2" xfId="37505" xr:uid="{00000000-0005-0000-0000-0000928F0000}"/>
    <cellStyle name="Normal 11 2 4 3 3 2 4 2 2 2 2" xfId="37506" xr:uid="{00000000-0005-0000-0000-0000938F0000}"/>
    <cellStyle name="Normal 11 2 4 3 3 2 4 2 2 3" xfId="37507" xr:uid="{00000000-0005-0000-0000-0000948F0000}"/>
    <cellStyle name="Normal 11 2 4 3 3 2 4 2 3" xfId="37508" xr:uid="{00000000-0005-0000-0000-0000958F0000}"/>
    <cellStyle name="Normal 11 2 4 3 3 2 4 2 3 2" xfId="37509" xr:uid="{00000000-0005-0000-0000-0000968F0000}"/>
    <cellStyle name="Normal 11 2 4 3 3 2 4 2 4" xfId="37510" xr:uid="{00000000-0005-0000-0000-0000978F0000}"/>
    <cellStyle name="Normal 11 2 4 3 3 2 4 3" xfId="37511" xr:uid="{00000000-0005-0000-0000-0000988F0000}"/>
    <cellStyle name="Normal 11 2 4 3 3 2 4 3 2" xfId="37512" xr:uid="{00000000-0005-0000-0000-0000998F0000}"/>
    <cellStyle name="Normal 11 2 4 3 3 2 4 3 2 2" xfId="37513" xr:uid="{00000000-0005-0000-0000-00009A8F0000}"/>
    <cellStyle name="Normal 11 2 4 3 3 2 4 3 3" xfId="37514" xr:uid="{00000000-0005-0000-0000-00009B8F0000}"/>
    <cellStyle name="Normal 11 2 4 3 3 2 4 4" xfId="37515" xr:uid="{00000000-0005-0000-0000-00009C8F0000}"/>
    <cellStyle name="Normal 11 2 4 3 3 2 4 4 2" xfId="37516" xr:uid="{00000000-0005-0000-0000-00009D8F0000}"/>
    <cellStyle name="Normal 11 2 4 3 3 2 4 5" xfId="37517" xr:uid="{00000000-0005-0000-0000-00009E8F0000}"/>
    <cellStyle name="Normal 11 2 4 3 3 2 5" xfId="37518" xr:uid="{00000000-0005-0000-0000-00009F8F0000}"/>
    <cellStyle name="Normal 11 2 4 3 3 2 5 2" xfId="37519" xr:uid="{00000000-0005-0000-0000-0000A08F0000}"/>
    <cellStyle name="Normal 11 2 4 3 3 2 5 2 2" xfId="37520" xr:uid="{00000000-0005-0000-0000-0000A18F0000}"/>
    <cellStyle name="Normal 11 2 4 3 3 2 5 2 2 2" xfId="37521" xr:uid="{00000000-0005-0000-0000-0000A28F0000}"/>
    <cellStyle name="Normal 11 2 4 3 3 2 5 2 3" xfId="37522" xr:uid="{00000000-0005-0000-0000-0000A38F0000}"/>
    <cellStyle name="Normal 11 2 4 3 3 2 5 3" xfId="37523" xr:uid="{00000000-0005-0000-0000-0000A48F0000}"/>
    <cellStyle name="Normal 11 2 4 3 3 2 5 3 2" xfId="37524" xr:uid="{00000000-0005-0000-0000-0000A58F0000}"/>
    <cellStyle name="Normal 11 2 4 3 3 2 5 4" xfId="37525" xr:uid="{00000000-0005-0000-0000-0000A68F0000}"/>
    <cellStyle name="Normal 11 2 4 3 3 2 6" xfId="37526" xr:uid="{00000000-0005-0000-0000-0000A78F0000}"/>
    <cellStyle name="Normal 11 2 4 3 3 2 6 2" xfId="37527" xr:uid="{00000000-0005-0000-0000-0000A88F0000}"/>
    <cellStyle name="Normal 11 2 4 3 3 2 6 2 2" xfId="37528" xr:uid="{00000000-0005-0000-0000-0000A98F0000}"/>
    <cellStyle name="Normal 11 2 4 3 3 2 6 2 2 2" xfId="37529" xr:uid="{00000000-0005-0000-0000-0000AA8F0000}"/>
    <cellStyle name="Normal 11 2 4 3 3 2 6 2 3" xfId="37530" xr:uid="{00000000-0005-0000-0000-0000AB8F0000}"/>
    <cellStyle name="Normal 11 2 4 3 3 2 6 3" xfId="37531" xr:uid="{00000000-0005-0000-0000-0000AC8F0000}"/>
    <cellStyle name="Normal 11 2 4 3 3 2 6 3 2" xfId="37532" xr:uid="{00000000-0005-0000-0000-0000AD8F0000}"/>
    <cellStyle name="Normal 11 2 4 3 3 2 6 4" xfId="37533" xr:uid="{00000000-0005-0000-0000-0000AE8F0000}"/>
    <cellStyle name="Normal 11 2 4 3 3 2 7" xfId="37534" xr:uid="{00000000-0005-0000-0000-0000AF8F0000}"/>
    <cellStyle name="Normal 11 2 4 3 3 2 7 2" xfId="37535" xr:uid="{00000000-0005-0000-0000-0000B08F0000}"/>
    <cellStyle name="Normal 11 2 4 3 3 2 7 2 2" xfId="37536" xr:uid="{00000000-0005-0000-0000-0000B18F0000}"/>
    <cellStyle name="Normal 11 2 4 3 3 2 7 2 2 2" xfId="37537" xr:uid="{00000000-0005-0000-0000-0000B28F0000}"/>
    <cellStyle name="Normal 11 2 4 3 3 2 7 2 3" xfId="37538" xr:uid="{00000000-0005-0000-0000-0000B38F0000}"/>
    <cellStyle name="Normal 11 2 4 3 3 2 7 3" xfId="37539" xr:uid="{00000000-0005-0000-0000-0000B48F0000}"/>
    <cellStyle name="Normal 11 2 4 3 3 2 7 3 2" xfId="37540" xr:uid="{00000000-0005-0000-0000-0000B58F0000}"/>
    <cellStyle name="Normal 11 2 4 3 3 2 7 4" xfId="37541" xr:uid="{00000000-0005-0000-0000-0000B68F0000}"/>
    <cellStyle name="Normal 11 2 4 3 3 2 8" xfId="37542" xr:uid="{00000000-0005-0000-0000-0000B78F0000}"/>
    <cellStyle name="Normal 11 2 4 3 3 2 8 2" xfId="37543" xr:uid="{00000000-0005-0000-0000-0000B88F0000}"/>
    <cellStyle name="Normal 11 2 4 3 3 2 8 2 2" xfId="37544" xr:uid="{00000000-0005-0000-0000-0000B98F0000}"/>
    <cellStyle name="Normal 11 2 4 3 3 2 8 3" xfId="37545" xr:uid="{00000000-0005-0000-0000-0000BA8F0000}"/>
    <cellStyle name="Normal 11 2 4 3 3 2 9" xfId="37546" xr:uid="{00000000-0005-0000-0000-0000BB8F0000}"/>
    <cellStyle name="Normal 11 2 4 3 3 2 9 2" xfId="37547" xr:uid="{00000000-0005-0000-0000-0000BC8F0000}"/>
    <cellStyle name="Normal 11 2 4 3 3 3" xfId="1437" xr:uid="{00000000-0005-0000-0000-0000BD8F0000}"/>
    <cellStyle name="Normal 11 2 4 3 3 3 2" xfId="37549" xr:uid="{00000000-0005-0000-0000-0000BE8F0000}"/>
    <cellStyle name="Normal 11 2 4 3 3 3 2 2" xfId="37550" xr:uid="{00000000-0005-0000-0000-0000BF8F0000}"/>
    <cellStyle name="Normal 11 2 4 3 3 3 2 2 2" xfId="37551" xr:uid="{00000000-0005-0000-0000-0000C08F0000}"/>
    <cellStyle name="Normal 11 2 4 3 3 3 2 2 2 2" xfId="37552" xr:uid="{00000000-0005-0000-0000-0000C18F0000}"/>
    <cellStyle name="Normal 11 2 4 3 3 3 2 2 3" xfId="37553" xr:uid="{00000000-0005-0000-0000-0000C28F0000}"/>
    <cellStyle name="Normal 11 2 4 3 3 3 2 3" xfId="37554" xr:uid="{00000000-0005-0000-0000-0000C38F0000}"/>
    <cellStyle name="Normal 11 2 4 3 3 3 2 3 2" xfId="37555" xr:uid="{00000000-0005-0000-0000-0000C48F0000}"/>
    <cellStyle name="Normal 11 2 4 3 3 3 2 4" xfId="37556" xr:uid="{00000000-0005-0000-0000-0000C58F0000}"/>
    <cellStyle name="Normal 11 2 4 3 3 3 3" xfId="37557" xr:uid="{00000000-0005-0000-0000-0000C68F0000}"/>
    <cellStyle name="Normal 11 2 4 3 3 3 3 2" xfId="37558" xr:uid="{00000000-0005-0000-0000-0000C78F0000}"/>
    <cellStyle name="Normal 11 2 4 3 3 3 3 2 2" xfId="37559" xr:uid="{00000000-0005-0000-0000-0000C88F0000}"/>
    <cellStyle name="Normal 11 2 4 3 3 3 3 2 2 2" xfId="37560" xr:uid="{00000000-0005-0000-0000-0000C98F0000}"/>
    <cellStyle name="Normal 11 2 4 3 3 3 3 2 3" xfId="37561" xr:uid="{00000000-0005-0000-0000-0000CA8F0000}"/>
    <cellStyle name="Normal 11 2 4 3 3 3 3 3" xfId="37562" xr:uid="{00000000-0005-0000-0000-0000CB8F0000}"/>
    <cellStyle name="Normal 11 2 4 3 3 3 3 3 2" xfId="37563" xr:uid="{00000000-0005-0000-0000-0000CC8F0000}"/>
    <cellStyle name="Normal 11 2 4 3 3 3 3 4" xfId="37564" xr:uid="{00000000-0005-0000-0000-0000CD8F0000}"/>
    <cellStyle name="Normal 11 2 4 3 3 3 4" xfId="37565" xr:uid="{00000000-0005-0000-0000-0000CE8F0000}"/>
    <cellStyle name="Normal 11 2 4 3 3 3 4 2" xfId="37566" xr:uid="{00000000-0005-0000-0000-0000CF8F0000}"/>
    <cellStyle name="Normal 11 2 4 3 3 3 4 2 2" xfId="37567" xr:uid="{00000000-0005-0000-0000-0000D08F0000}"/>
    <cellStyle name="Normal 11 2 4 3 3 3 4 3" xfId="37568" xr:uid="{00000000-0005-0000-0000-0000D18F0000}"/>
    <cellStyle name="Normal 11 2 4 3 3 3 5" xfId="37569" xr:uid="{00000000-0005-0000-0000-0000D28F0000}"/>
    <cellStyle name="Normal 11 2 4 3 3 3 5 2" xfId="37570" xr:uid="{00000000-0005-0000-0000-0000D38F0000}"/>
    <cellStyle name="Normal 11 2 4 3 3 3 6" xfId="37571" xr:uid="{00000000-0005-0000-0000-0000D48F0000}"/>
    <cellStyle name="Normal 11 2 4 3 3 3 7" xfId="37548" xr:uid="{00000000-0005-0000-0000-0000D58F0000}"/>
    <cellStyle name="Normal 11 2 4 3 3 4" xfId="37572" xr:uid="{00000000-0005-0000-0000-0000D68F0000}"/>
    <cellStyle name="Normal 11 2 4 3 3 4 2" xfId="37573" xr:uid="{00000000-0005-0000-0000-0000D78F0000}"/>
    <cellStyle name="Normal 11 2 4 3 3 4 2 2" xfId="37574" xr:uid="{00000000-0005-0000-0000-0000D88F0000}"/>
    <cellStyle name="Normal 11 2 4 3 3 4 2 2 2" xfId="37575" xr:uid="{00000000-0005-0000-0000-0000D98F0000}"/>
    <cellStyle name="Normal 11 2 4 3 3 4 2 2 2 2" xfId="37576" xr:uid="{00000000-0005-0000-0000-0000DA8F0000}"/>
    <cellStyle name="Normal 11 2 4 3 3 4 2 2 3" xfId="37577" xr:uid="{00000000-0005-0000-0000-0000DB8F0000}"/>
    <cellStyle name="Normal 11 2 4 3 3 4 2 3" xfId="37578" xr:uid="{00000000-0005-0000-0000-0000DC8F0000}"/>
    <cellStyle name="Normal 11 2 4 3 3 4 2 3 2" xfId="37579" xr:uid="{00000000-0005-0000-0000-0000DD8F0000}"/>
    <cellStyle name="Normal 11 2 4 3 3 4 2 4" xfId="37580" xr:uid="{00000000-0005-0000-0000-0000DE8F0000}"/>
    <cellStyle name="Normal 11 2 4 3 3 4 3" xfId="37581" xr:uid="{00000000-0005-0000-0000-0000DF8F0000}"/>
    <cellStyle name="Normal 11 2 4 3 3 4 3 2" xfId="37582" xr:uid="{00000000-0005-0000-0000-0000E08F0000}"/>
    <cellStyle name="Normal 11 2 4 3 3 4 3 2 2" xfId="37583" xr:uid="{00000000-0005-0000-0000-0000E18F0000}"/>
    <cellStyle name="Normal 11 2 4 3 3 4 3 3" xfId="37584" xr:uid="{00000000-0005-0000-0000-0000E28F0000}"/>
    <cellStyle name="Normal 11 2 4 3 3 4 4" xfId="37585" xr:uid="{00000000-0005-0000-0000-0000E38F0000}"/>
    <cellStyle name="Normal 11 2 4 3 3 4 4 2" xfId="37586" xr:uid="{00000000-0005-0000-0000-0000E48F0000}"/>
    <cellStyle name="Normal 11 2 4 3 3 4 5" xfId="37587" xr:uid="{00000000-0005-0000-0000-0000E58F0000}"/>
    <cellStyle name="Normal 11 2 4 3 3 5" xfId="37588" xr:uid="{00000000-0005-0000-0000-0000E68F0000}"/>
    <cellStyle name="Normal 11 2 4 3 3 5 2" xfId="37589" xr:uid="{00000000-0005-0000-0000-0000E78F0000}"/>
    <cellStyle name="Normal 11 2 4 3 3 5 2 2" xfId="37590" xr:uid="{00000000-0005-0000-0000-0000E88F0000}"/>
    <cellStyle name="Normal 11 2 4 3 3 5 2 2 2" xfId="37591" xr:uid="{00000000-0005-0000-0000-0000E98F0000}"/>
    <cellStyle name="Normal 11 2 4 3 3 5 2 2 2 2" xfId="37592" xr:uid="{00000000-0005-0000-0000-0000EA8F0000}"/>
    <cellStyle name="Normal 11 2 4 3 3 5 2 2 3" xfId="37593" xr:uid="{00000000-0005-0000-0000-0000EB8F0000}"/>
    <cellStyle name="Normal 11 2 4 3 3 5 2 3" xfId="37594" xr:uid="{00000000-0005-0000-0000-0000EC8F0000}"/>
    <cellStyle name="Normal 11 2 4 3 3 5 2 3 2" xfId="37595" xr:uid="{00000000-0005-0000-0000-0000ED8F0000}"/>
    <cellStyle name="Normal 11 2 4 3 3 5 2 4" xfId="37596" xr:uid="{00000000-0005-0000-0000-0000EE8F0000}"/>
    <cellStyle name="Normal 11 2 4 3 3 5 3" xfId="37597" xr:uid="{00000000-0005-0000-0000-0000EF8F0000}"/>
    <cellStyle name="Normal 11 2 4 3 3 5 3 2" xfId="37598" xr:uid="{00000000-0005-0000-0000-0000F08F0000}"/>
    <cellStyle name="Normal 11 2 4 3 3 5 3 2 2" xfId="37599" xr:uid="{00000000-0005-0000-0000-0000F18F0000}"/>
    <cellStyle name="Normal 11 2 4 3 3 5 3 3" xfId="37600" xr:uid="{00000000-0005-0000-0000-0000F28F0000}"/>
    <cellStyle name="Normal 11 2 4 3 3 5 4" xfId="37601" xr:uid="{00000000-0005-0000-0000-0000F38F0000}"/>
    <cellStyle name="Normal 11 2 4 3 3 5 4 2" xfId="37602" xr:uid="{00000000-0005-0000-0000-0000F48F0000}"/>
    <cellStyle name="Normal 11 2 4 3 3 5 5" xfId="37603" xr:uid="{00000000-0005-0000-0000-0000F58F0000}"/>
    <cellStyle name="Normal 11 2 4 3 3 6" xfId="37604" xr:uid="{00000000-0005-0000-0000-0000F68F0000}"/>
    <cellStyle name="Normal 11 2 4 3 3 6 2" xfId="37605" xr:uid="{00000000-0005-0000-0000-0000F78F0000}"/>
    <cellStyle name="Normal 11 2 4 3 3 6 2 2" xfId="37606" xr:uid="{00000000-0005-0000-0000-0000F88F0000}"/>
    <cellStyle name="Normal 11 2 4 3 3 6 2 2 2" xfId="37607" xr:uid="{00000000-0005-0000-0000-0000F98F0000}"/>
    <cellStyle name="Normal 11 2 4 3 3 6 2 3" xfId="37608" xr:uid="{00000000-0005-0000-0000-0000FA8F0000}"/>
    <cellStyle name="Normal 11 2 4 3 3 6 3" xfId="37609" xr:uid="{00000000-0005-0000-0000-0000FB8F0000}"/>
    <cellStyle name="Normal 11 2 4 3 3 6 3 2" xfId="37610" xr:uid="{00000000-0005-0000-0000-0000FC8F0000}"/>
    <cellStyle name="Normal 11 2 4 3 3 6 4" xfId="37611" xr:uid="{00000000-0005-0000-0000-0000FD8F0000}"/>
    <cellStyle name="Normal 11 2 4 3 3 7" xfId="37612" xr:uid="{00000000-0005-0000-0000-0000FE8F0000}"/>
    <cellStyle name="Normal 11 2 4 3 3 7 2" xfId="37613" xr:uid="{00000000-0005-0000-0000-0000FF8F0000}"/>
    <cellStyle name="Normal 11 2 4 3 3 7 2 2" xfId="37614" xr:uid="{00000000-0005-0000-0000-000000900000}"/>
    <cellStyle name="Normal 11 2 4 3 3 7 2 2 2" xfId="37615" xr:uid="{00000000-0005-0000-0000-000001900000}"/>
    <cellStyle name="Normal 11 2 4 3 3 7 2 3" xfId="37616" xr:uid="{00000000-0005-0000-0000-000002900000}"/>
    <cellStyle name="Normal 11 2 4 3 3 7 3" xfId="37617" xr:uid="{00000000-0005-0000-0000-000003900000}"/>
    <cellStyle name="Normal 11 2 4 3 3 7 3 2" xfId="37618" xr:uid="{00000000-0005-0000-0000-000004900000}"/>
    <cellStyle name="Normal 11 2 4 3 3 7 4" xfId="37619" xr:uid="{00000000-0005-0000-0000-000005900000}"/>
    <cellStyle name="Normal 11 2 4 3 3 8" xfId="37620" xr:uid="{00000000-0005-0000-0000-000006900000}"/>
    <cellStyle name="Normal 11 2 4 3 3 8 2" xfId="37621" xr:uid="{00000000-0005-0000-0000-000007900000}"/>
    <cellStyle name="Normal 11 2 4 3 3 8 2 2" xfId="37622" xr:uid="{00000000-0005-0000-0000-000008900000}"/>
    <cellStyle name="Normal 11 2 4 3 3 8 2 2 2" xfId="37623" xr:uid="{00000000-0005-0000-0000-000009900000}"/>
    <cellStyle name="Normal 11 2 4 3 3 8 2 3" xfId="37624" xr:uid="{00000000-0005-0000-0000-00000A900000}"/>
    <cellStyle name="Normal 11 2 4 3 3 8 3" xfId="37625" xr:uid="{00000000-0005-0000-0000-00000B900000}"/>
    <cellStyle name="Normal 11 2 4 3 3 8 3 2" xfId="37626" xr:uid="{00000000-0005-0000-0000-00000C900000}"/>
    <cellStyle name="Normal 11 2 4 3 3 8 4" xfId="37627" xr:uid="{00000000-0005-0000-0000-00000D900000}"/>
    <cellStyle name="Normal 11 2 4 3 3 9" xfId="37628" xr:uid="{00000000-0005-0000-0000-00000E900000}"/>
    <cellStyle name="Normal 11 2 4 3 3 9 2" xfId="37629" xr:uid="{00000000-0005-0000-0000-00000F900000}"/>
    <cellStyle name="Normal 11 2 4 3 3 9 2 2" xfId="37630" xr:uid="{00000000-0005-0000-0000-000010900000}"/>
    <cellStyle name="Normal 11 2 4 3 3 9 3" xfId="37631" xr:uid="{00000000-0005-0000-0000-000011900000}"/>
    <cellStyle name="Normal 11 2 4 3 4" xfId="1033" xr:uid="{00000000-0005-0000-0000-000012900000}"/>
    <cellStyle name="Normal 11 2 4 3 4 10" xfId="37633" xr:uid="{00000000-0005-0000-0000-000013900000}"/>
    <cellStyle name="Normal 11 2 4 3 4 11" xfId="37632" xr:uid="{00000000-0005-0000-0000-000014900000}"/>
    <cellStyle name="Normal 11 2 4 3 4 2" xfId="1762" xr:uid="{00000000-0005-0000-0000-000015900000}"/>
    <cellStyle name="Normal 11 2 4 3 4 2 2" xfId="37635" xr:uid="{00000000-0005-0000-0000-000016900000}"/>
    <cellStyle name="Normal 11 2 4 3 4 2 2 2" xfId="37636" xr:uid="{00000000-0005-0000-0000-000017900000}"/>
    <cellStyle name="Normal 11 2 4 3 4 2 2 2 2" xfId="37637" xr:uid="{00000000-0005-0000-0000-000018900000}"/>
    <cellStyle name="Normal 11 2 4 3 4 2 2 2 2 2" xfId="37638" xr:uid="{00000000-0005-0000-0000-000019900000}"/>
    <cellStyle name="Normal 11 2 4 3 4 2 2 2 3" xfId="37639" xr:uid="{00000000-0005-0000-0000-00001A900000}"/>
    <cellStyle name="Normal 11 2 4 3 4 2 2 3" xfId="37640" xr:uid="{00000000-0005-0000-0000-00001B900000}"/>
    <cellStyle name="Normal 11 2 4 3 4 2 2 3 2" xfId="37641" xr:uid="{00000000-0005-0000-0000-00001C900000}"/>
    <cellStyle name="Normal 11 2 4 3 4 2 2 4" xfId="37642" xr:uid="{00000000-0005-0000-0000-00001D900000}"/>
    <cellStyle name="Normal 11 2 4 3 4 2 3" xfId="37643" xr:uid="{00000000-0005-0000-0000-00001E900000}"/>
    <cellStyle name="Normal 11 2 4 3 4 2 3 2" xfId="37644" xr:uid="{00000000-0005-0000-0000-00001F900000}"/>
    <cellStyle name="Normal 11 2 4 3 4 2 3 2 2" xfId="37645" xr:uid="{00000000-0005-0000-0000-000020900000}"/>
    <cellStyle name="Normal 11 2 4 3 4 2 3 2 2 2" xfId="37646" xr:uid="{00000000-0005-0000-0000-000021900000}"/>
    <cellStyle name="Normal 11 2 4 3 4 2 3 2 3" xfId="37647" xr:uid="{00000000-0005-0000-0000-000022900000}"/>
    <cellStyle name="Normal 11 2 4 3 4 2 3 3" xfId="37648" xr:uid="{00000000-0005-0000-0000-000023900000}"/>
    <cellStyle name="Normal 11 2 4 3 4 2 3 3 2" xfId="37649" xr:uid="{00000000-0005-0000-0000-000024900000}"/>
    <cellStyle name="Normal 11 2 4 3 4 2 3 4" xfId="37650" xr:uid="{00000000-0005-0000-0000-000025900000}"/>
    <cellStyle name="Normal 11 2 4 3 4 2 4" xfId="37651" xr:uid="{00000000-0005-0000-0000-000026900000}"/>
    <cellStyle name="Normal 11 2 4 3 4 2 4 2" xfId="37652" xr:uid="{00000000-0005-0000-0000-000027900000}"/>
    <cellStyle name="Normal 11 2 4 3 4 2 4 2 2" xfId="37653" xr:uid="{00000000-0005-0000-0000-000028900000}"/>
    <cellStyle name="Normal 11 2 4 3 4 2 4 3" xfId="37654" xr:uid="{00000000-0005-0000-0000-000029900000}"/>
    <cellStyle name="Normal 11 2 4 3 4 2 5" xfId="37655" xr:uid="{00000000-0005-0000-0000-00002A900000}"/>
    <cellStyle name="Normal 11 2 4 3 4 2 5 2" xfId="37656" xr:uid="{00000000-0005-0000-0000-00002B900000}"/>
    <cellStyle name="Normal 11 2 4 3 4 2 6" xfId="37657" xr:uid="{00000000-0005-0000-0000-00002C900000}"/>
    <cellStyle name="Normal 11 2 4 3 4 2 7" xfId="37634" xr:uid="{00000000-0005-0000-0000-00002D900000}"/>
    <cellStyle name="Normal 11 2 4 3 4 3" xfId="37658" xr:uid="{00000000-0005-0000-0000-00002E900000}"/>
    <cellStyle name="Normal 11 2 4 3 4 3 2" xfId="37659" xr:uid="{00000000-0005-0000-0000-00002F900000}"/>
    <cellStyle name="Normal 11 2 4 3 4 3 2 2" xfId="37660" xr:uid="{00000000-0005-0000-0000-000030900000}"/>
    <cellStyle name="Normal 11 2 4 3 4 3 2 2 2" xfId="37661" xr:uid="{00000000-0005-0000-0000-000031900000}"/>
    <cellStyle name="Normal 11 2 4 3 4 3 2 2 2 2" xfId="37662" xr:uid="{00000000-0005-0000-0000-000032900000}"/>
    <cellStyle name="Normal 11 2 4 3 4 3 2 2 3" xfId="37663" xr:uid="{00000000-0005-0000-0000-000033900000}"/>
    <cellStyle name="Normal 11 2 4 3 4 3 2 3" xfId="37664" xr:uid="{00000000-0005-0000-0000-000034900000}"/>
    <cellStyle name="Normal 11 2 4 3 4 3 2 3 2" xfId="37665" xr:uid="{00000000-0005-0000-0000-000035900000}"/>
    <cellStyle name="Normal 11 2 4 3 4 3 2 4" xfId="37666" xr:uid="{00000000-0005-0000-0000-000036900000}"/>
    <cellStyle name="Normal 11 2 4 3 4 3 3" xfId="37667" xr:uid="{00000000-0005-0000-0000-000037900000}"/>
    <cellStyle name="Normal 11 2 4 3 4 3 3 2" xfId="37668" xr:uid="{00000000-0005-0000-0000-000038900000}"/>
    <cellStyle name="Normal 11 2 4 3 4 3 3 2 2" xfId="37669" xr:uid="{00000000-0005-0000-0000-000039900000}"/>
    <cellStyle name="Normal 11 2 4 3 4 3 3 3" xfId="37670" xr:uid="{00000000-0005-0000-0000-00003A900000}"/>
    <cellStyle name="Normal 11 2 4 3 4 3 4" xfId="37671" xr:uid="{00000000-0005-0000-0000-00003B900000}"/>
    <cellStyle name="Normal 11 2 4 3 4 3 4 2" xfId="37672" xr:uid="{00000000-0005-0000-0000-00003C900000}"/>
    <cellStyle name="Normal 11 2 4 3 4 3 5" xfId="37673" xr:uid="{00000000-0005-0000-0000-00003D900000}"/>
    <cellStyle name="Normal 11 2 4 3 4 4" xfId="37674" xr:uid="{00000000-0005-0000-0000-00003E900000}"/>
    <cellStyle name="Normal 11 2 4 3 4 4 2" xfId="37675" xr:uid="{00000000-0005-0000-0000-00003F900000}"/>
    <cellStyle name="Normal 11 2 4 3 4 4 2 2" xfId="37676" xr:uid="{00000000-0005-0000-0000-000040900000}"/>
    <cellStyle name="Normal 11 2 4 3 4 4 2 2 2" xfId="37677" xr:uid="{00000000-0005-0000-0000-000041900000}"/>
    <cellStyle name="Normal 11 2 4 3 4 4 2 2 2 2" xfId="37678" xr:uid="{00000000-0005-0000-0000-000042900000}"/>
    <cellStyle name="Normal 11 2 4 3 4 4 2 2 3" xfId="37679" xr:uid="{00000000-0005-0000-0000-000043900000}"/>
    <cellStyle name="Normal 11 2 4 3 4 4 2 3" xfId="37680" xr:uid="{00000000-0005-0000-0000-000044900000}"/>
    <cellStyle name="Normal 11 2 4 3 4 4 2 3 2" xfId="37681" xr:uid="{00000000-0005-0000-0000-000045900000}"/>
    <cellStyle name="Normal 11 2 4 3 4 4 2 4" xfId="37682" xr:uid="{00000000-0005-0000-0000-000046900000}"/>
    <cellStyle name="Normal 11 2 4 3 4 4 3" xfId="37683" xr:uid="{00000000-0005-0000-0000-000047900000}"/>
    <cellStyle name="Normal 11 2 4 3 4 4 3 2" xfId="37684" xr:uid="{00000000-0005-0000-0000-000048900000}"/>
    <cellStyle name="Normal 11 2 4 3 4 4 3 2 2" xfId="37685" xr:uid="{00000000-0005-0000-0000-000049900000}"/>
    <cellStyle name="Normal 11 2 4 3 4 4 3 3" xfId="37686" xr:uid="{00000000-0005-0000-0000-00004A900000}"/>
    <cellStyle name="Normal 11 2 4 3 4 4 4" xfId="37687" xr:uid="{00000000-0005-0000-0000-00004B900000}"/>
    <cellStyle name="Normal 11 2 4 3 4 4 4 2" xfId="37688" xr:uid="{00000000-0005-0000-0000-00004C900000}"/>
    <cellStyle name="Normal 11 2 4 3 4 4 5" xfId="37689" xr:uid="{00000000-0005-0000-0000-00004D900000}"/>
    <cellStyle name="Normal 11 2 4 3 4 5" xfId="37690" xr:uid="{00000000-0005-0000-0000-00004E900000}"/>
    <cellStyle name="Normal 11 2 4 3 4 5 2" xfId="37691" xr:uid="{00000000-0005-0000-0000-00004F900000}"/>
    <cellStyle name="Normal 11 2 4 3 4 5 2 2" xfId="37692" xr:uid="{00000000-0005-0000-0000-000050900000}"/>
    <cellStyle name="Normal 11 2 4 3 4 5 2 2 2" xfId="37693" xr:uid="{00000000-0005-0000-0000-000051900000}"/>
    <cellStyle name="Normal 11 2 4 3 4 5 2 3" xfId="37694" xr:uid="{00000000-0005-0000-0000-000052900000}"/>
    <cellStyle name="Normal 11 2 4 3 4 5 3" xfId="37695" xr:uid="{00000000-0005-0000-0000-000053900000}"/>
    <cellStyle name="Normal 11 2 4 3 4 5 3 2" xfId="37696" xr:uid="{00000000-0005-0000-0000-000054900000}"/>
    <cellStyle name="Normal 11 2 4 3 4 5 4" xfId="37697" xr:uid="{00000000-0005-0000-0000-000055900000}"/>
    <cellStyle name="Normal 11 2 4 3 4 6" xfId="37698" xr:uid="{00000000-0005-0000-0000-000056900000}"/>
    <cellStyle name="Normal 11 2 4 3 4 6 2" xfId="37699" xr:uid="{00000000-0005-0000-0000-000057900000}"/>
    <cellStyle name="Normal 11 2 4 3 4 6 2 2" xfId="37700" xr:uid="{00000000-0005-0000-0000-000058900000}"/>
    <cellStyle name="Normal 11 2 4 3 4 6 2 2 2" xfId="37701" xr:uid="{00000000-0005-0000-0000-000059900000}"/>
    <cellStyle name="Normal 11 2 4 3 4 6 2 3" xfId="37702" xr:uid="{00000000-0005-0000-0000-00005A900000}"/>
    <cellStyle name="Normal 11 2 4 3 4 6 3" xfId="37703" xr:uid="{00000000-0005-0000-0000-00005B900000}"/>
    <cellStyle name="Normal 11 2 4 3 4 6 3 2" xfId="37704" xr:uid="{00000000-0005-0000-0000-00005C900000}"/>
    <cellStyle name="Normal 11 2 4 3 4 6 4" xfId="37705" xr:uid="{00000000-0005-0000-0000-00005D900000}"/>
    <cellStyle name="Normal 11 2 4 3 4 7" xfId="37706" xr:uid="{00000000-0005-0000-0000-00005E900000}"/>
    <cellStyle name="Normal 11 2 4 3 4 7 2" xfId="37707" xr:uid="{00000000-0005-0000-0000-00005F900000}"/>
    <cellStyle name="Normal 11 2 4 3 4 7 2 2" xfId="37708" xr:uid="{00000000-0005-0000-0000-000060900000}"/>
    <cellStyle name="Normal 11 2 4 3 4 7 2 2 2" xfId="37709" xr:uid="{00000000-0005-0000-0000-000061900000}"/>
    <cellStyle name="Normal 11 2 4 3 4 7 2 3" xfId="37710" xr:uid="{00000000-0005-0000-0000-000062900000}"/>
    <cellStyle name="Normal 11 2 4 3 4 7 3" xfId="37711" xr:uid="{00000000-0005-0000-0000-000063900000}"/>
    <cellStyle name="Normal 11 2 4 3 4 7 3 2" xfId="37712" xr:uid="{00000000-0005-0000-0000-000064900000}"/>
    <cellStyle name="Normal 11 2 4 3 4 7 4" xfId="37713" xr:uid="{00000000-0005-0000-0000-000065900000}"/>
    <cellStyle name="Normal 11 2 4 3 4 8" xfId="37714" xr:uid="{00000000-0005-0000-0000-000066900000}"/>
    <cellStyle name="Normal 11 2 4 3 4 8 2" xfId="37715" xr:uid="{00000000-0005-0000-0000-000067900000}"/>
    <cellStyle name="Normal 11 2 4 3 4 8 2 2" xfId="37716" xr:uid="{00000000-0005-0000-0000-000068900000}"/>
    <cellStyle name="Normal 11 2 4 3 4 8 3" xfId="37717" xr:uid="{00000000-0005-0000-0000-000069900000}"/>
    <cellStyle name="Normal 11 2 4 3 4 9" xfId="37718" xr:uid="{00000000-0005-0000-0000-00006A900000}"/>
    <cellStyle name="Normal 11 2 4 3 4 9 2" xfId="37719" xr:uid="{00000000-0005-0000-0000-00006B900000}"/>
    <cellStyle name="Normal 11 2 4 3 5" xfId="1435" xr:uid="{00000000-0005-0000-0000-00006C900000}"/>
    <cellStyle name="Normal 11 2 4 3 5 2" xfId="37721" xr:uid="{00000000-0005-0000-0000-00006D900000}"/>
    <cellStyle name="Normal 11 2 4 3 5 2 2" xfId="37722" xr:uid="{00000000-0005-0000-0000-00006E900000}"/>
    <cellStyle name="Normal 11 2 4 3 5 2 2 2" xfId="37723" xr:uid="{00000000-0005-0000-0000-00006F900000}"/>
    <cellStyle name="Normal 11 2 4 3 5 2 2 2 2" xfId="37724" xr:uid="{00000000-0005-0000-0000-000070900000}"/>
    <cellStyle name="Normal 11 2 4 3 5 2 2 3" xfId="37725" xr:uid="{00000000-0005-0000-0000-000071900000}"/>
    <cellStyle name="Normal 11 2 4 3 5 2 3" xfId="37726" xr:uid="{00000000-0005-0000-0000-000072900000}"/>
    <cellStyle name="Normal 11 2 4 3 5 2 3 2" xfId="37727" xr:uid="{00000000-0005-0000-0000-000073900000}"/>
    <cellStyle name="Normal 11 2 4 3 5 2 4" xfId="37728" xr:uid="{00000000-0005-0000-0000-000074900000}"/>
    <cellStyle name="Normal 11 2 4 3 5 3" xfId="37729" xr:uid="{00000000-0005-0000-0000-000075900000}"/>
    <cellStyle name="Normal 11 2 4 3 5 3 2" xfId="37730" xr:uid="{00000000-0005-0000-0000-000076900000}"/>
    <cellStyle name="Normal 11 2 4 3 5 3 2 2" xfId="37731" xr:uid="{00000000-0005-0000-0000-000077900000}"/>
    <cellStyle name="Normal 11 2 4 3 5 3 2 2 2" xfId="37732" xr:uid="{00000000-0005-0000-0000-000078900000}"/>
    <cellStyle name="Normal 11 2 4 3 5 3 2 3" xfId="37733" xr:uid="{00000000-0005-0000-0000-000079900000}"/>
    <cellStyle name="Normal 11 2 4 3 5 3 3" xfId="37734" xr:uid="{00000000-0005-0000-0000-00007A900000}"/>
    <cellStyle name="Normal 11 2 4 3 5 3 3 2" xfId="37735" xr:uid="{00000000-0005-0000-0000-00007B900000}"/>
    <cellStyle name="Normal 11 2 4 3 5 3 4" xfId="37736" xr:uid="{00000000-0005-0000-0000-00007C900000}"/>
    <cellStyle name="Normal 11 2 4 3 5 4" xfId="37737" xr:uid="{00000000-0005-0000-0000-00007D900000}"/>
    <cellStyle name="Normal 11 2 4 3 5 4 2" xfId="37738" xr:uid="{00000000-0005-0000-0000-00007E900000}"/>
    <cellStyle name="Normal 11 2 4 3 5 4 2 2" xfId="37739" xr:uid="{00000000-0005-0000-0000-00007F900000}"/>
    <cellStyle name="Normal 11 2 4 3 5 4 3" xfId="37740" xr:uid="{00000000-0005-0000-0000-000080900000}"/>
    <cellStyle name="Normal 11 2 4 3 5 5" xfId="37741" xr:uid="{00000000-0005-0000-0000-000081900000}"/>
    <cellStyle name="Normal 11 2 4 3 5 5 2" xfId="37742" xr:uid="{00000000-0005-0000-0000-000082900000}"/>
    <cellStyle name="Normal 11 2 4 3 5 6" xfId="37743" xr:uid="{00000000-0005-0000-0000-000083900000}"/>
    <cellStyle name="Normal 11 2 4 3 5 7" xfId="37720" xr:uid="{00000000-0005-0000-0000-000084900000}"/>
    <cellStyle name="Normal 11 2 4 3 6" xfId="37744" xr:uid="{00000000-0005-0000-0000-000085900000}"/>
    <cellStyle name="Normal 11 2 4 3 6 2" xfId="37745" xr:uid="{00000000-0005-0000-0000-000086900000}"/>
    <cellStyle name="Normal 11 2 4 3 6 2 2" xfId="37746" xr:uid="{00000000-0005-0000-0000-000087900000}"/>
    <cellStyle name="Normal 11 2 4 3 6 2 2 2" xfId="37747" xr:uid="{00000000-0005-0000-0000-000088900000}"/>
    <cellStyle name="Normal 11 2 4 3 6 2 2 2 2" xfId="37748" xr:uid="{00000000-0005-0000-0000-000089900000}"/>
    <cellStyle name="Normal 11 2 4 3 6 2 2 3" xfId="37749" xr:uid="{00000000-0005-0000-0000-00008A900000}"/>
    <cellStyle name="Normal 11 2 4 3 6 2 3" xfId="37750" xr:uid="{00000000-0005-0000-0000-00008B900000}"/>
    <cellStyle name="Normal 11 2 4 3 6 2 3 2" xfId="37751" xr:uid="{00000000-0005-0000-0000-00008C900000}"/>
    <cellStyle name="Normal 11 2 4 3 6 2 4" xfId="37752" xr:uid="{00000000-0005-0000-0000-00008D900000}"/>
    <cellStyle name="Normal 11 2 4 3 6 3" xfId="37753" xr:uid="{00000000-0005-0000-0000-00008E900000}"/>
    <cellStyle name="Normal 11 2 4 3 6 3 2" xfId="37754" xr:uid="{00000000-0005-0000-0000-00008F900000}"/>
    <cellStyle name="Normal 11 2 4 3 6 3 2 2" xfId="37755" xr:uid="{00000000-0005-0000-0000-000090900000}"/>
    <cellStyle name="Normal 11 2 4 3 6 3 3" xfId="37756" xr:uid="{00000000-0005-0000-0000-000091900000}"/>
    <cellStyle name="Normal 11 2 4 3 6 4" xfId="37757" xr:uid="{00000000-0005-0000-0000-000092900000}"/>
    <cellStyle name="Normal 11 2 4 3 6 4 2" xfId="37758" xr:uid="{00000000-0005-0000-0000-000093900000}"/>
    <cellStyle name="Normal 11 2 4 3 6 5" xfId="37759" xr:uid="{00000000-0005-0000-0000-000094900000}"/>
    <cellStyle name="Normal 11 2 4 3 7" xfId="37760" xr:uid="{00000000-0005-0000-0000-000095900000}"/>
    <cellStyle name="Normal 11 2 4 3 7 2" xfId="37761" xr:uid="{00000000-0005-0000-0000-000096900000}"/>
    <cellStyle name="Normal 11 2 4 3 7 2 2" xfId="37762" xr:uid="{00000000-0005-0000-0000-000097900000}"/>
    <cellStyle name="Normal 11 2 4 3 7 2 2 2" xfId="37763" xr:uid="{00000000-0005-0000-0000-000098900000}"/>
    <cellStyle name="Normal 11 2 4 3 7 2 2 2 2" xfId="37764" xr:uid="{00000000-0005-0000-0000-000099900000}"/>
    <cellStyle name="Normal 11 2 4 3 7 2 2 3" xfId="37765" xr:uid="{00000000-0005-0000-0000-00009A900000}"/>
    <cellStyle name="Normal 11 2 4 3 7 2 3" xfId="37766" xr:uid="{00000000-0005-0000-0000-00009B900000}"/>
    <cellStyle name="Normal 11 2 4 3 7 2 3 2" xfId="37767" xr:uid="{00000000-0005-0000-0000-00009C900000}"/>
    <cellStyle name="Normal 11 2 4 3 7 2 4" xfId="37768" xr:uid="{00000000-0005-0000-0000-00009D900000}"/>
    <cellStyle name="Normal 11 2 4 3 7 3" xfId="37769" xr:uid="{00000000-0005-0000-0000-00009E900000}"/>
    <cellStyle name="Normal 11 2 4 3 7 3 2" xfId="37770" xr:uid="{00000000-0005-0000-0000-00009F900000}"/>
    <cellStyle name="Normal 11 2 4 3 7 3 2 2" xfId="37771" xr:uid="{00000000-0005-0000-0000-0000A0900000}"/>
    <cellStyle name="Normal 11 2 4 3 7 3 3" xfId="37772" xr:uid="{00000000-0005-0000-0000-0000A1900000}"/>
    <cellStyle name="Normal 11 2 4 3 7 4" xfId="37773" xr:uid="{00000000-0005-0000-0000-0000A2900000}"/>
    <cellStyle name="Normal 11 2 4 3 7 4 2" xfId="37774" xr:uid="{00000000-0005-0000-0000-0000A3900000}"/>
    <cellStyle name="Normal 11 2 4 3 7 5" xfId="37775" xr:uid="{00000000-0005-0000-0000-0000A4900000}"/>
    <cellStyle name="Normal 11 2 4 3 8" xfId="37776" xr:uid="{00000000-0005-0000-0000-0000A5900000}"/>
    <cellStyle name="Normal 11 2 4 3 8 2" xfId="37777" xr:uid="{00000000-0005-0000-0000-0000A6900000}"/>
    <cellStyle name="Normal 11 2 4 3 8 2 2" xfId="37778" xr:uid="{00000000-0005-0000-0000-0000A7900000}"/>
    <cellStyle name="Normal 11 2 4 3 8 2 2 2" xfId="37779" xr:uid="{00000000-0005-0000-0000-0000A8900000}"/>
    <cellStyle name="Normal 11 2 4 3 8 2 3" xfId="37780" xr:uid="{00000000-0005-0000-0000-0000A9900000}"/>
    <cellStyle name="Normal 11 2 4 3 8 3" xfId="37781" xr:uid="{00000000-0005-0000-0000-0000AA900000}"/>
    <cellStyle name="Normal 11 2 4 3 8 3 2" xfId="37782" xr:uid="{00000000-0005-0000-0000-0000AB900000}"/>
    <cellStyle name="Normal 11 2 4 3 8 4" xfId="37783" xr:uid="{00000000-0005-0000-0000-0000AC900000}"/>
    <cellStyle name="Normal 11 2 4 3 9" xfId="37784" xr:uid="{00000000-0005-0000-0000-0000AD900000}"/>
    <cellStyle name="Normal 11 2 4 3 9 2" xfId="37785" xr:uid="{00000000-0005-0000-0000-0000AE900000}"/>
    <cellStyle name="Normal 11 2 4 3 9 2 2" xfId="37786" xr:uid="{00000000-0005-0000-0000-0000AF900000}"/>
    <cellStyle name="Normal 11 2 4 3 9 2 2 2" xfId="37787" xr:uid="{00000000-0005-0000-0000-0000B0900000}"/>
    <cellStyle name="Normal 11 2 4 3 9 2 3" xfId="37788" xr:uid="{00000000-0005-0000-0000-0000B1900000}"/>
    <cellStyle name="Normal 11 2 4 3 9 3" xfId="37789" xr:uid="{00000000-0005-0000-0000-0000B2900000}"/>
    <cellStyle name="Normal 11 2 4 3 9 3 2" xfId="37790" xr:uid="{00000000-0005-0000-0000-0000B3900000}"/>
    <cellStyle name="Normal 11 2 4 3 9 4" xfId="37791" xr:uid="{00000000-0005-0000-0000-0000B4900000}"/>
    <cellStyle name="Normal 11 2 4 4" xfId="594" xr:uid="{00000000-0005-0000-0000-0000B5900000}"/>
    <cellStyle name="Normal 11 2 4 4 10" xfId="37793" xr:uid="{00000000-0005-0000-0000-0000B6900000}"/>
    <cellStyle name="Normal 11 2 4 4 10 2" xfId="37794" xr:uid="{00000000-0005-0000-0000-0000B7900000}"/>
    <cellStyle name="Normal 11 2 4 4 10 2 2" xfId="37795" xr:uid="{00000000-0005-0000-0000-0000B8900000}"/>
    <cellStyle name="Normal 11 2 4 4 10 3" xfId="37796" xr:uid="{00000000-0005-0000-0000-0000B9900000}"/>
    <cellStyle name="Normal 11 2 4 4 11" xfId="37797" xr:uid="{00000000-0005-0000-0000-0000BA900000}"/>
    <cellStyle name="Normal 11 2 4 4 11 2" xfId="37798" xr:uid="{00000000-0005-0000-0000-0000BB900000}"/>
    <cellStyle name="Normal 11 2 4 4 11 2 2" xfId="37799" xr:uid="{00000000-0005-0000-0000-0000BC900000}"/>
    <cellStyle name="Normal 11 2 4 4 11 3" xfId="37800" xr:uid="{00000000-0005-0000-0000-0000BD900000}"/>
    <cellStyle name="Normal 11 2 4 4 12" xfId="37801" xr:uid="{00000000-0005-0000-0000-0000BE900000}"/>
    <cellStyle name="Normal 11 2 4 4 12 2" xfId="37802" xr:uid="{00000000-0005-0000-0000-0000BF900000}"/>
    <cellStyle name="Normal 11 2 4 4 13" xfId="37803" xr:uid="{00000000-0005-0000-0000-0000C0900000}"/>
    <cellStyle name="Normal 11 2 4 4 14" xfId="37804" xr:uid="{00000000-0005-0000-0000-0000C1900000}"/>
    <cellStyle name="Normal 11 2 4 4 15" xfId="37792" xr:uid="{00000000-0005-0000-0000-0000C2900000}"/>
    <cellStyle name="Normal 11 2 4 4 2" xfId="1036" xr:uid="{00000000-0005-0000-0000-0000C3900000}"/>
    <cellStyle name="Normal 11 2 4 4 2 10" xfId="37806" xr:uid="{00000000-0005-0000-0000-0000C4900000}"/>
    <cellStyle name="Normal 11 2 4 4 2 11" xfId="37805" xr:uid="{00000000-0005-0000-0000-0000C5900000}"/>
    <cellStyle name="Normal 11 2 4 4 2 2" xfId="1765" xr:uid="{00000000-0005-0000-0000-0000C6900000}"/>
    <cellStyle name="Normal 11 2 4 4 2 2 2" xfId="37808" xr:uid="{00000000-0005-0000-0000-0000C7900000}"/>
    <cellStyle name="Normal 11 2 4 4 2 2 2 2" xfId="37809" xr:uid="{00000000-0005-0000-0000-0000C8900000}"/>
    <cellStyle name="Normal 11 2 4 4 2 2 2 2 2" xfId="37810" xr:uid="{00000000-0005-0000-0000-0000C9900000}"/>
    <cellStyle name="Normal 11 2 4 4 2 2 2 2 2 2" xfId="37811" xr:uid="{00000000-0005-0000-0000-0000CA900000}"/>
    <cellStyle name="Normal 11 2 4 4 2 2 2 2 3" xfId="37812" xr:uid="{00000000-0005-0000-0000-0000CB900000}"/>
    <cellStyle name="Normal 11 2 4 4 2 2 2 3" xfId="37813" xr:uid="{00000000-0005-0000-0000-0000CC900000}"/>
    <cellStyle name="Normal 11 2 4 4 2 2 2 3 2" xfId="37814" xr:uid="{00000000-0005-0000-0000-0000CD900000}"/>
    <cellStyle name="Normal 11 2 4 4 2 2 2 4" xfId="37815" xr:uid="{00000000-0005-0000-0000-0000CE900000}"/>
    <cellStyle name="Normal 11 2 4 4 2 2 3" xfId="37816" xr:uid="{00000000-0005-0000-0000-0000CF900000}"/>
    <cellStyle name="Normal 11 2 4 4 2 2 3 2" xfId="37817" xr:uid="{00000000-0005-0000-0000-0000D0900000}"/>
    <cellStyle name="Normal 11 2 4 4 2 2 3 2 2" xfId="37818" xr:uid="{00000000-0005-0000-0000-0000D1900000}"/>
    <cellStyle name="Normal 11 2 4 4 2 2 3 2 2 2" xfId="37819" xr:uid="{00000000-0005-0000-0000-0000D2900000}"/>
    <cellStyle name="Normal 11 2 4 4 2 2 3 2 3" xfId="37820" xr:uid="{00000000-0005-0000-0000-0000D3900000}"/>
    <cellStyle name="Normal 11 2 4 4 2 2 3 3" xfId="37821" xr:uid="{00000000-0005-0000-0000-0000D4900000}"/>
    <cellStyle name="Normal 11 2 4 4 2 2 3 3 2" xfId="37822" xr:uid="{00000000-0005-0000-0000-0000D5900000}"/>
    <cellStyle name="Normal 11 2 4 4 2 2 3 4" xfId="37823" xr:uid="{00000000-0005-0000-0000-0000D6900000}"/>
    <cellStyle name="Normal 11 2 4 4 2 2 4" xfId="37824" xr:uid="{00000000-0005-0000-0000-0000D7900000}"/>
    <cellStyle name="Normal 11 2 4 4 2 2 4 2" xfId="37825" xr:uid="{00000000-0005-0000-0000-0000D8900000}"/>
    <cellStyle name="Normal 11 2 4 4 2 2 4 2 2" xfId="37826" xr:uid="{00000000-0005-0000-0000-0000D9900000}"/>
    <cellStyle name="Normal 11 2 4 4 2 2 4 3" xfId="37827" xr:uid="{00000000-0005-0000-0000-0000DA900000}"/>
    <cellStyle name="Normal 11 2 4 4 2 2 5" xfId="37828" xr:uid="{00000000-0005-0000-0000-0000DB900000}"/>
    <cellStyle name="Normal 11 2 4 4 2 2 5 2" xfId="37829" xr:uid="{00000000-0005-0000-0000-0000DC900000}"/>
    <cellStyle name="Normal 11 2 4 4 2 2 6" xfId="37830" xr:uid="{00000000-0005-0000-0000-0000DD900000}"/>
    <cellStyle name="Normal 11 2 4 4 2 2 7" xfId="37807" xr:uid="{00000000-0005-0000-0000-0000DE900000}"/>
    <cellStyle name="Normal 11 2 4 4 2 3" xfId="37831" xr:uid="{00000000-0005-0000-0000-0000DF900000}"/>
    <cellStyle name="Normal 11 2 4 4 2 3 2" xfId="37832" xr:uid="{00000000-0005-0000-0000-0000E0900000}"/>
    <cellStyle name="Normal 11 2 4 4 2 3 2 2" xfId="37833" xr:uid="{00000000-0005-0000-0000-0000E1900000}"/>
    <cellStyle name="Normal 11 2 4 4 2 3 2 2 2" xfId="37834" xr:uid="{00000000-0005-0000-0000-0000E2900000}"/>
    <cellStyle name="Normal 11 2 4 4 2 3 2 2 2 2" xfId="37835" xr:uid="{00000000-0005-0000-0000-0000E3900000}"/>
    <cellStyle name="Normal 11 2 4 4 2 3 2 2 3" xfId="37836" xr:uid="{00000000-0005-0000-0000-0000E4900000}"/>
    <cellStyle name="Normal 11 2 4 4 2 3 2 3" xfId="37837" xr:uid="{00000000-0005-0000-0000-0000E5900000}"/>
    <cellStyle name="Normal 11 2 4 4 2 3 2 3 2" xfId="37838" xr:uid="{00000000-0005-0000-0000-0000E6900000}"/>
    <cellStyle name="Normal 11 2 4 4 2 3 2 4" xfId="37839" xr:uid="{00000000-0005-0000-0000-0000E7900000}"/>
    <cellStyle name="Normal 11 2 4 4 2 3 3" xfId="37840" xr:uid="{00000000-0005-0000-0000-0000E8900000}"/>
    <cellStyle name="Normal 11 2 4 4 2 3 3 2" xfId="37841" xr:uid="{00000000-0005-0000-0000-0000E9900000}"/>
    <cellStyle name="Normal 11 2 4 4 2 3 3 2 2" xfId="37842" xr:uid="{00000000-0005-0000-0000-0000EA900000}"/>
    <cellStyle name="Normal 11 2 4 4 2 3 3 3" xfId="37843" xr:uid="{00000000-0005-0000-0000-0000EB900000}"/>
    <cellStyle name="Normal 11 2 4 4 2 3 4" xfId="37844" xr:uid="{00000000-0005-0000-0000-0000EC900000}"/>
    <cellStyle name="Normal 11 2 4 4 2 3 4 2" xfId="37845" xr:uid="{00000000-0005-0000-0000-0000ED900000}"/>
    <cellStyle name="Normal 11 2 4 4 2 3 5" xfId="37846" xr:uid="{00000000-0005-0000-0000-0000EE900000}"/>
    <cellStyle name="Normal 11 2 4 4 2 4" xfId="37847" xr:uid="{00000000-0005-0000-0000-0000EF900000}"/>
    <cellStyle name="Normal 11 2 4 4 2 4 2" xfId="37848" xr:uid="{00000000-0005-0000-0000-0000F0900000}"/>
    <cellStyle name="Normal 11 2 4 4 2 4 2 2" xfId="37849" xr:uid="{00000000-0005-0000-0000-0000F1900000}"/>
    <cellStyle name="Normal 11 2 4 4 2 4 2 2 2" xfId="37850" xr:uid="{00000000-0005-0000-0000-0000F2900000}"/>
    <cellStyle name="Normal 11 2 4 4 2 4 2 2 2 2" xfId="37851" xr:uid="{00000000-0005-0000-0000-0000F3900000}"/>
    <cellStyle name="Normal 11 2 4 4 2 4 2 2 3" xfId="37852" xr:uid="{00000000-0005-0000-0000-0000F4900000}"/>
    <cellStyle name="Normal 11 2 4 4 2 4 2 3" xfId="37853" xr:uid="{00000000-0005-0000-0000-0000F5900000}"/>
    <cellStyle name="Normal 11 2 4 4 2 4 2 3 2" xfId="37854" xr:uid="{00000000-0005-0000-0000-0000F6900000}"/>
    <cellStyle name="Normal 11 2 4 4 2 4 2 4" xfId="37855" xr:uid="{00000000-0005-0000-0000-0000F7900000}"/>
    <cellStyle name="Normal 11 2 4 4 2 4 3" xfId="37856" xr:uid="{00000000-0005-0000-0000-0000F8900000}"/>
    <cellStyle name="Normal 11 2 4 4 2 4 3 2" xfId="37857" xr:uid="{00000000-0005-0000-0000-0000F9900000}"/>
    <cellStyle name="Normal 11 2 4 4 2 4 3 2 2" xfId="37858" xr:uid="{00000000-0005-0000-0000-0000FA900000}"/>
    <cellStyle name="Normal 11 2 4 4 2 4 3 3" xfId="37859" xr:uid="{00000000-0005-0000-0000-0000FB900000}"/>
    <cellStyle name="Normal 11 2 4 4 2 4 4" xfId="37860" xr:uid="{00000000-0005-0000-0000-0000FC900000}"/>
    <cellStyle name="Normal 11 2 4 4 2 4 4 2" xfId="37861" xr:uid="{00000000-0005-0000-0000-0000FD900000}"/>
    <cellStyle name="Normal 11 2 4 4 2 4 5" xfId="37862" xr:uid="{00000000-0005-0000-0000-0000FE900000}"/>
    <cellStyle name="Normal 11 2 4 4 2 5" xfId="37863" xr:uid="{00000000-0005-0000-0000-0000FF900000}"/>
    <cellStyle name="Normal 11 2 4 4 2 5 2" xfId="37864" xr:uid="{00000000-0005-0000-0000-000000910000}"/>
    <cellStyle name="Normal 11 2 4 4 2 5 2 2" xfId="37865" xr:uid="{00000000-0005-0000-0000-000001910000}"/>
    <cellStyle name="Normal 11 2 4 4 2 5 2 2 2" xfId="37866" xr:uid="{00000000-0005-0000-0000-000002910000}"/>
    <cellStyle name="Normal 11 2 4 4 2 5 2 3" xfId="37867" xr:uid="{00000000-0005-0000-0000-000003910000}"/>
    <cellStyle name="Normal 11 2 4 4 2 5 3" xfId="37868" xr:uid="{00000000-0005-0000-0000-000004910000}"/>
    <cellStyle name="Normal 11 2 4 4 2 5 3 2" xfId="37869" xr:uid="{00000000-0005-0000-0000-000005910000}"/>
    <cellStyle name="Normal 11 2 4 4 2 5 4" xfId="37870" xr:uid="{00000000-0005-0000-0000-000006910000}"/>
    <cellStyle name="Normal 11 2 4 4 2 6" xfId="37871" xr:uid="{00000000-0005-0000-0000-000007910000}"/>
    <cellStyle name="Normal 11 2 4 4 2 6 2" xfId="37872" xr:uid="{00000000-0005-0000-0000-000008910000}"/>
    <cellStyle name="Normal 11 2 4 4 2 6 2 2" xfId="37873" xr:uid="{00000000-0005-0000-0000-000009910000}"/>
    <cellStyle name="Normal 11 2 4 4 2 6 2 2 2" xfId="37874" xr:uid="{00000000-0005-0000-0000-00000A910000}"/>
    <cellStyle name="Normal 11 2 4 4 2 6 2 3" xfId="37875" xr:uid="{00000000-0005-0000-0000-00000B910000}"/>
    <cellStyle name="Normal 11 2 4 4 2 6 3" xfId="37876" xr:uid="{00000000-0005-0000-0000-00000C910000}"/>
    <cellStyle name="Normal 11 2 4 4 2 6 3 2" xfId="37877" xr:uid="{00000000-0005-0000-0000-00000D910000}"/>
    <cellStyle name="Normal 11 2 4 4 2 6 4" xfId="37878" xr:uid="{00000000-0005-0000-0000-00000E910000}"/>
    <cellStyle name="Normal 11 2 4 4 2 7" xfId="37879" xr:uid="{00000000-0005-0000-0000-00000F910000}"/>
    <cellStyle name="Normal 11 2 4 4 2 7 2" xfId="37880" xr:uid="{00000000-0005-0000-0000-000010910000}"/>
    <cellStyle name="Normal 11 2 4 4 2 7 2 2" xfId="37881" xr:uid="{00000000-0005-0000-0000-000011910000}"/>
    <cellStyle name="Normal 11 2 4 4 2 7 2 2 2" xfId="37882" xr:uid="{00000000-0005-0000-0000-000012910000}"/>
    <cellStyle name="Normal 11 2 4 4 2 7 2 3" xfId="37883" xr:uid="{00000000-0005-0000-0000-000013910000}"/>
    <cellStyle name="Normal 11 2 4 4 2 7 3" xfId="37884" xr:uid="{00000000-0005-0000-0000-000014910000}"/>
    <cellStyle name="Normal 11 2 4 4 2 7 3 2" xfId="37885" xr:uid="{00000000-0005-0000-0000-000015910000}"/>
    <cellStyle name="Normal 11 2 4 4 2 7 4" xfId="37886" xr:uid="{00000000-0005-0000-0000-000016910000}"/>
    <cellStyle name="Normal 11 2 4 4 2 8" xfId="37887" xr:uid="{00000000-0005-0000-0000-000017910000}"/>
    <cellStyle name="Normal 11 2 4 4 2 8 2" xfId="37888" xr:uid="{00000000-0005-0000-0000-000018910000}"/>
    <cellStyle name="Normal 11 2 4 4 2 8 2 2" xfId="37889" xr:uid="{00000000-0005-0000-0000-000019910000}"/>
    <cellStyle name="Normal 11 2 4 4 2 8 3" xfId="37890" xr:uid="{00000000-0005-0000-0000-00001A910000}"/>
    <cellStyle name="Normal 11 2 4 4 2 9" xfId="37891" xr:uid="{00000000-0005-0000-0000-00001B910000}"/>
    <cellStyle name="Normal 11 2 4 4 2 9 2" xfId="37892" xr:uid="{00000000-0005-0000-0000-00001C910000}"/>
    <cellStyle name="Normal 11 2 4 4 3" xfId="1438" xr:uid="{00000000-0005-0000-0000-00001D910000}"/>
    <cellStyle name="Normal 11 2 4 4 3 2" xfId="37894" xr:uid="{00000000-0005-0000-0000-00001E910000}"/>
    <cellStyle name="Normal 11 2 4 4 3 2 2" xfId="37895" xr:uid="{00000000-0005-0000-0000-00001F910000}"/>
    <cellStyle name="Normal 11 2 4 4 3 2 2 2" xfId="37896" xr:uid="{00000000-0005-0000-0000-000020910000}"/>
    <cellStyle name="Normal 11 2 4 4 3 2 2 2 2" xfId="37897" xr:uid="{00000000-0005-0000-0000-000021910000}"/>
    <cellStyle name="Normal 11 2 4 4 3 2 2 3" xfId="37898" xr:uid="{00000000-0005-0000-0000-000022910000}"/>
    <cellStyle name="Normal 11 2 4 4 3 2 3" xfId="37899" xr:uid="{00000000-0005-0000-0000-000023910000}"/>
    <cellStyle name="Normal 11 2 4 4 3 2 3 2" xfId="37900" xr:uid="{00000000-0005-0000-0000-000024910000}"/>
    <cellStyle name="Normal 11 2 4 4 3 2 4" xfId="37901" xr:uid="{00000000-0005-0000-0000-000025910000}"/>
    <cellStyle name="Normal 11 2 4 4 3 3" xfId="37902" xr:uid="{00000000-0005-0000-0000-000026910000}"/>
    <cellStyle name="Normal 11 2 4 4 3 3 2" xfId="37903" xr:uid="{00000000-0005-0000-0000-000027910000}"/>
    <cellStyle name="Normal 11 2 4 4 3 3 2 2" xfId="37904" xr:uid="{00000000-0005-0000-0000-000028910000}"/>
    <cellStyle name="Normal 11 2 4 4 3 3 2 2 2" xfId="37905" xr:uid="{00000000-0005-0000-0000-000029910000}"/>
    <cellStyle name="Normal 11 2 4 4 3 3 2 3" xfId="37906" xr:uid="{00000000-0005-0000-0000-00002A910000}"/>
    <cellStyle name="Normal 11 2 4 4 3 3 3" xfId="37907" xr:uid="{00000000-0005-0000-0000-00002B910000}"/>
    <cellStyle name="Normal 11 2 4 4 3 3 3 2" xfId="37908" xr:uid="{00000000-0005-0000-0000-00002C910000}"/>
    <cellStyle name="Normal 11 2 4 4 3 3 4" xfId="37909" xr:uid="{00000000-0005-0000-0000-00002D910000}"/>
    <cellStyle name="Normal 11 2 4 4 3 4" xfId="37910" xr:uid="{00000000-0005-0000-0000-00002E910000}"/>
    <cellStyle name="Normal 11 2 4 4 3 4 2" xfId="37911" xr:uid="{00000000-0005-0000-0000-00002F910000}"/>
    <cellStyle name="Normal 11 2 4 4 3 4 2 2" xfId="37912" xr:uid="{00000000-0005-0000-0000-000030910000}"/>
    <cellStyle name="Normal 11 2 4 4 3 4 3" xfId="37913" xr:uid="{00000000-0005-0000-0000-000031910000}"/>
    <cellStyle name="Normal 11 2 4 4 3 5" xfId="37914" xr:uid="{00000000-0005-0000-0000-000032910000}"/>
    <cellStyle name="Normal 11 2 4 4 3 5 2" xfId="37915" xr:uid="{00000000-0005-0000-0000-000033910000}"/>
    <cellStyle name="Normal 11 2 4 4 3 6" xfId="37916" xr:uid="{00000000-0005-0000-0000-000034910000}"/>
    <cellStyle name="Normal 11 2 4 4 3 7" xfId="37893" xr:uid="{00000000-0005-0000-0000-000035910000}"/>
    <cellStyle name="Normal 11 2 4 4 4" xfId="37917" xr:uid="{00000000-0005-0000-0000-000036910000}"/>
    <cellStyle name="Normal 11 2 4 4 4 2" xfId="37918" xr:uid="{00000000-0005-0000-0000-000037910000}"/>
    <cellStyle name="Normal 11 2 4 4 4 2 2" xfId="37919" xr:uid="{00000000-0005-0000-0000-000038910000}"/>
    <cellStyle name="Normal 11 2 4 4 4 2 2 2" xfId="37920" xr:uid="{00000000-0005-0000-0000-000039910000}"/>
    <cellStyle name="Normal 11 2 4 4 4 2 2 2 2" xfId="37921" xr:uid="{00000000-0005-0000-0000-00003A910000}"/>
    <cellStyle name="Normal 11 2 4 4 4 2 2 3" xfId="37922" xr:uid="{00000000-0005-0000-0000-00003B910000}"/>
    <cellStyle name="Normal 11 2 4 4 4 2 3" xfId="37923" xr:uid="{00000000-0005-0000-0000-00003C910000}"/>
    <cellStyle name="Normal 11 2 4 4 4 2 3 2" xfId="37924" xr:uid="{00000000-0005-0000-0000-00003D910000}"/>
    <cellStyle name="Normal 11 2 4 4 4 2 4" xfId="37925" xr:uid="{00000000-0005-0000-0000-00003E910000}"/>
    <cellStyle name="Normal 11 2 4 4 4 3" xfId="37926" xr:uid="{00000000-0005-0000-0000-00003F910000}"/>
    <cellStyle name="Normal 11 2 4 4 4 3 2" xfId="37927" xr:uid="{00000000-0005-0000-0000-000040910000}"/>
    <cellStyle name="Normal 11 2 4 4 4 3 2 2" xfId="37928" xr:uid="{00000000-0005-0000-0000-000041910000}"/>
    <cellStyle name="Normal 11 2 4 4 4 3 3" xfId="37929" xr:uid="{00000000-0005-0000-0000-000042910000}"/>
    <cellStyle name="Normal 11 2 4 4 4 4" xfId="37930" xr:uid="{00000000-0005-0000-0000-000043910000}"/>
    <cellStyle name="Normal 11 2 4 4 4 4 2" xfId="37931" xr:uid="{00000000-0005-0000-0000-000044910000}"/>
    <cellStyle name="Normal 11 2 4 4 4 5" xfId="37932" xr:uid="{00000000-0005-0000-0000-000045910000}"/>
    <cellStyle name="Normal 11 2 4 4 5" xfId="37933" xr:uid="{00000000-0005-0000-0000-000046910000}"/>
    <cellStyle name="Normal 11 2 4 4 5 2" xfId="37934" xr:uid="{00000000-0005-0000-0000-000047910000}"/>
    <cellStyle name="Normal 11 2 4 4 5 2 2" xfId="37935" xr:uid="{00000000-0005-0000-0000-000048910000}"/>
    <cellStyle name="Normal 11 2 4 4 5 2 2 2" xfId="37936" xr:uid="{00000000-0005-0000-0000-000049910000}"/>
    <cellStyle name="Normal 11 2 4 4 5 2 2 2 2" xfId="37937" xr:uid="{00000000-0005-0000-0000-00004A910000}"/>
    <cellStyle name="Normal 11 2 4 4 5 2 2 3" xfId="37938" xr:uid="{00000000-0005-0000-0000-00004B910000}"/>
    <cellStyle name="Normal 11 2 4 4 5 2 3" xfId="37939" xr:uid="{00000000-0005-0000-0000-00004C910000}"/>
    <cellStyle name="Normal 11 2 4 4 5 2 3 2" xfId="37940" xr:uid="{00000000-0005-0000-0000-00004D910000}"/>
    <cellStyle name="Normal 11 2 4 4 5 2 4" xfId="37941" xr:uid="{00000000-0005-0000-0000-00004E910000}"/>
    <cellStyle name="Normal 11 2 4 4 5 3" xfId="37942" xr:uid="{00000000-0005-0000-0000-00004F910000}"/>
    <cellStyle name="Normal 11 2 4 4 5 3 2" xfId="37943" xr:uid="{00000000-0005-0000-0000-000050910000}"/>
    <cellStyle name="Normal 11 2 4 4 5 3 2 2" xfId="37944" xr:uid="{00000000-0005-0000-0000-000051910000}"/>
    <cellStyle name="Normal 11 2 4 4 5 3 3" xfId="37945" xr:uid="{00000000-0005-0000-0000-000052910000}"/>
    <cellStyle name="Normal 11 2 4 4 5 4" xfId="37946" xr:uid="{00000000-0005-0000-0000-000053910000}"/>
    <cellStyle name="Normal 11 2 4 4 5 4 2" xfId="37947" xr:uid="{00000000-0005-0000-0000-000054910000}"/>
    <cellStyle name="Normal 11 2 4 4 5 5" xfId="37948" xr:uid="{00000000-0005-0000-0000-000055910000}"/>
    <cellStyle name="Normal 11 2 4 4 6" xfId="37949" xr:uid="{00000000-0005-0000-0000-000056910000}"/>
    <cellStyle name="Normal 11 2 4 4 6 2" xfId="37950" xr:uid="{00000000-0005-0000-0000-000057910000}"/>
    <cellStyle name="Normal 11 2 4 4 6 2 2" xfId="37951" xr:uid="{00000000-0005-0000-0000-000058910000}"/>
    <cellStyle name="Normal 11 2 4 4 6 2 2 2" xfId="37952" xr:uid="{00000000-0005-0000-0000-000059910000}"/>
    <cellStyle name="Normal 11 2 4 4 6 2 3" xfId="37953" xr:uid="{00000000-0005-0000-0000-00005A910000}"/>
    <cellStyle name="Normal 11 2 4 4 6 3" xfId="37954" xr:uid="{00000000-0005-0000-0000-00005B910000}"/>
    <cellStyle name="Normal 11 2 4 4 6 3 2" xfId="37955" xr:uid="{00000000-0005-0000-0000-00005C910000}"/>
    <cellStyle name="Normal 11 2 4 4 6 4" xfId="37956" xr:uid="{00000000-0005-0000-0000-00005D910000}"/>
    <cellStyle name="Normal 11 2 4 4 7" xfId="37957" xr:uid="{00000000-0005-0000-0000-00005E910000}"/>
    <cellStyle name="Normal 11 2 4 4 7 2" xfId="37958" xr:uid="{00000000-0005-0000-0000-00005F910000}"/>
    <cellStyle name="Normal 11 2 4 4 7 2 2" xfId="37959" xr:uid="{00000000-0005-0000-0000-000060910000}"/>
    <cellStyle name="Normal 11 2 4 4 7 2 2 2" xfId="37960" xr:uid="{00000000-0005-0000-0000-000061910000}"/>
    <cellStyle name="Normal 11 2 4 4 7 2 3" xfId="37961" xr:uid="{00000000-0005-0000-0000-000062910000}"/>
    <cellStyle name="Normal 11 2 4 4 7 3" xfId="37962" xr:uid="{00000000-0005-0000-0000-000063910000}"/>
    <cellStyle name="Normal 11 2 4 4 7 3 2" xfId="37963" xr:uid="{00000000-0005-0000-0000-000064910000}"/>
    <cellStyle name="Normal 11 2 4 4 7 4" xfId="37964" xr:uid="{00000000-0005-0000-0000-000065910000}"/>
    <cellStyle name="Normal 11 2 4 4 8" xfId="37965" xr:uid="{00000000-0005-0000-0000-000066910000}"/>
    <cellStyle name="Normal 11 2 4 4 8 2" xfId="37966" xr:uid="{00000000-0005-0000-0000-000067910000}"/>
    <cellStyle name="Normal 11 2 4 4 8 2 2" xfId="37967" xr:uid="{00000000-0005-0000-0000-000068910000}"/>
    <cellStyle name="Normal 11 2 4 4 8 2 2 2" xfId="37968" xr:uid="{00000000-0005-0000-0000-000069910000}"/>
    <cellStyle name="Normal 11 2 4 4 8 2 3" xfId="37969" xr:uid="{00000000-0005-0000-0000-00006A910000}"/>
    <cellStyle name="Normal 11 2 4 4 8 3" xfId="37970" xr:uid="{00000000-0005-0000-0000-00006B910000}"/>
    <cellStyle name="Normal 11 2 4 4 8 3 2" xfId="37971" xr:uid="{00000000-0005-0000-0000-00006C910000}"/>
    <cellStyle name="Normal 11 2 4 4 8 4" xfId="37972" xr:uid="{00000000-0005-0000-0000-00006D910000}"/>
    <cellStyle name="Normal 11 2 4 4 9" xfId="37973" xr:uid="{00000000-0005-0000-0000-00006E910000}"/>
    <cellStyle name="Normal 11 2 4 4 9 2" xfId="37974" xr:uid="{00000000-0005-0000-0000-00006F910000}"/>
    <cellStyle name="Normal 11 2 4 4 9 2 2" xfId="37975" xr:uid="{00000000-0005-0000-0000-000070910000}"/>
    <cellStyle name="Normal 11 2 4 4 9 3" xfId="37976" xr:uid="{00000000-0005-0000-0000-000071910000}"/>
    <cellStyle name="Normal 11 2 4 5" xfId="595" xr:uid="{00000000-0005-0000-0000-000072910000}"/>
    <cellStyle name="Normal 11 2 4 5 10" xfId="37978" xr:uid="{00000000-0005-0000-0000-000073910000}"/>
    <cellStyle name="Normal 11 2 4 5 10 2" xfId="37979" xr:uid="{00000000-0005-0000-0000-000074910000}"/>
    <cellStyle name="Normal 11 2 4 5 10 2 2" xfId="37980" xr:uid="{00000000-0005-0000-0000-000075910000}"/>
    <cellStyle name="Normal 11 2 4 5 10 3" xfId="37981" xr:uid="{00000000-0005-0000-0000-000076910000}"/>
    <cellStyle name="Normal 11 2 4 5 11" xfId="37982" xr:uid="{00000000-0005-0000-0000-000077910000}"/>
    <cellStyle name="Normal 11 2 4 5 11 2" xfId="37983" xr:uid="{00000000-0005-0000-0000-000078910000}"/>
    <cellStyle name="Normal 11 2 4 5 11 2 2" xfId="37984" xr:uid="{00000000-0005-0000-0000-000079910000}"/>
    <cellStyle name="Normal 11 2 4 5 11 3" xfId="37985" xr:uid="{00000000-0005-0000-0000-00007A910000}"/>
    <cellStyle name="Normal 11 2 4 5 12" xfId="37986" xr:uid="{00000000-0005-0000-0000-00007B910000}"/>
    <cellStyle name="Normal 11 2 4 5 12 2" xfId="37987" xr:uid="{00000000-0005-0000-0000-00007C910000}"/>
    <cellStyle name="Normal 11 2 4 5 13" xfId="37988" xr:uid="{00000000-0005-0000-0000-00007D910000}"/>
    <cellStyle name="Normal 11 2 4 5 14" xfId="37989" xr:uid="{00000000-0005-0000-0000-00007E910000}"/>
    <cellStyle name="Normal 11 2 4 5 15" xfId="37977" xr:uid="{00000000-0005-0000-0000-00007F910000}"/>
    <cellStyle name="Normal 11 2 4 5 2" xfId="1037" xr:uid="{00000000-0005-0000-0000-000080910000}"/>
    <cellStyle name="Normal 11 2 4 5 2 10" xfId="37991" xr:uid="{00000000-0005-0000-0000-000081910000}"/>
    <cellStyle name="Normal 11 2 4 5 2 11" xfId="37990" xr:uid="{00000000-0005-0000-0000-000082910000}"/>
    <cellStyle name="Normal 11 2 4 5 2 2" xfId="1766" xr:uid="{00000000-0005-0000-0000-000083910000}"/>
    <cellStyle name="Normal 11 2 4 5 2 2 2" xfId="37993" xr:uid="{00000000-0005-0000-0000-000084910000}"/>
    <cellStyle name="Normal 11 2 4 5 2 2 2 2" xfId="37994" xr:uid="{00000000-0005-0000-0000-000085910000}"/>
    <cellStyle name="Normal 11 2 4 5 2 2 2 2 2" xfId="37995" xr:uid="{00000000-0005-0000-0000-000086910000}"/>
    <cellStyle name="Normal 11 2 4 5 2 2 2 2 2 2" xfId="37996" xr:uid="{00000000-0005-0000-0000-000087910000}"/>
    <cellStyle name="Normal 11 2 4 5 2 2 2 2 3" xfId="37997" xr:uid="{00000000-0005-0000-0000-000088910000}"/>
    <cellStyle name="Normal 11 2 4 5 2 2 2 3" xfId="37998" xr:uid="{00000000-0005-0000-0000-000089910000}"/>
    <cellStyle name="Normal 11 2 4 5 2 2 2 3 2" xfId="37999" xr:uid="{00000000-0005-0000-0000-00008A910000}"/>
    <cellStyle name="Normal 11 2 4 5 2 2 2 4" xfId="38000" xr:uid="{00000000-0005-0000-0000-00008B910000}"/>
    <cellStyle name="Normal 11 2 4 5 2 2 3" xfId="38001" xr:uid="{00000000-0005-0000-0000-00008C910000}"/>
    <cellStyle name="Normal 11 2 4 5 2 2 3 2" xfId="38002" xr:uid="{00000000-0005-0000-0000-00008D910000}"/>
    <cellStyle name="Normal 11 2 4 5 2 2 3 2 2" xfId="38003" xr:uid="{00000000-0005-0000-0000-00008E910000}"/>
    <cellStyle name="Normal 11 2 4 5 2 2 3 2 2 2" xfId="38004" xr:uid="{00000000-0005-0000-0000-00008F910000}"/>
    <cellStyle name="Normal 11 2 4 5 2 2 3 2 3" xfId="38005" xr:uid="{00000000-0005-0000-0000-000090910000}"/>
    <cellStyle name="Normal 11 2 4 5 2 2 3 3" xfId="38006" xr:uid="{00000000-0005-0000-0000-000091910000}"/>
    <cellStyle name="Normal 11 2 4 5 2 2 3 3 2" xfId="38007" xr:uid="{00000000-0005-0000-0000-000092910000}"/>
    <cellStyle name="Normal 11 2 4 5 2 2 3 4" xfId="38008" xr:uid="{00000000-0005-0000-0000-000093910000}"/>
    <cellStyle name="Normal 11 2 4 5 2 2 4" xfId="38009" xr:uid="{00000000-0005-0000-0000-000094910000}"/>
    <cellStyle name="Normal 11 2 4 5 2 2 4 2" xfId="38010" xr:uid="{00000000-0005-0000-0000-000095910000}"/>
    <cellStyle name="Normal 11 2 4 5 2 2 4 2 2" xfId="38011" xr:uid="{00000000-0005-0000-0000-000096910000}"/>
    <cellStyle name="Normal 11 2 4 5 2 2 4 3" xfId="38012" xr:uid="{00000000-0005-0000-0000-000097910000}"/>
    <cellStyle name="Normal 11 2 4 5 2 2 5" xfId="38013" xr:uid="{00000000-0005-0000-0000-000098910000}"/>
    <cellStyle name="Normal 11 2 4 5 2 2 5 2" xfId="38014" xr:uid="{00000000-0005-0000-0000-000099910000}"/>
    <cellStyle name="Normal 11 2 4 5 2 2 6" xfId="38015" xr:uid="{00000000-0005-0000-0000-00009A910000}"/>
    <cellStyle name="Normal 11 2 4 5 2 2 7" xfId="37992" xr:uid="{00000000-0005-0000-0000-00009B910000}"/>
    <cellStyle name="Normal 11 2 4 5 2 3" xfId="38016" xr:uid="{00000000-0005-0000-0000-00009C910000}"/>
    <cellStyle name="Normal 11 2 4 5 2 3 2" xfId="38017" xr:uid="{00000000-0005-0000-0000-00009D910000}"/>
    <cellStyle name="Normal 11 2 4 5 2 3 2 2" xfId="38018" xr:uid="{00000000-0005-0000-0000-00009E910000}"/>
    <cellStyle name="Normal 11 2 4 5 2 3 2 2 2" xfId="38019" xr:uid="{00000000-0005-0000-0000-00009F910000}"/>
    <cellStyle name="Normal 11 2 4 5 2 3 2 2 2 2" xfId="38020" xr:uid="{00000000-0005-0000-0000-0000A0910000}"/>
    <cellStyle name="Normal 11 2 4 5 2 3 2 2 3" xfId="38021" xr:uid="{00000000-0005-0000-0000-0000A1910000}"/>
    <cellStyle name="Normal 11 2 4 5 2 3 2 3" xfId="38022" xr:uid="{00000000-0005-0000-0000-0000A2910000}"/>
    <cellStyle name="Normal 11 2 4 5 2 3 2 3 2" xfId="38023" xr:uid="{00000000-0005-0000-0000-0000A3910000}"/>
    <cellStyle name="Normal 11 2 4 5 2 3 2 4" xfId="38024" xr:uid="{00000000-0005-0000-0000-0000A4910000}"/>
    <cellStyle name="Normal 11 2 4 5 2 3 3" xfId="38025" xr:uid="{00000000-0005-0000-0000-0000A5910000}"/>
    <cellStyle name="Normal 11 2 4 5 2 3 3 2" xfId="38026" xr:uid="{00000000-0005-0000-0000-0000A6910000}"/>
    <cellStyle name="Normal 11 2 4 5 2 3 3 2 2" xfId="38027" xr:uid="{00000000-0005-0000-0000-0000A7910000}"/>
    <cellStyle name="Normal 11 2 4 5 2 3 3 3" xfId="38028" xr:uid="{00000000-0005-0000-0000-0000A8910000}"/>
    <cellStyle name="Normal 11 2 4 5 2 3 4" xfId="38029" xr:uid="{00000000-0005-0000-0000-0000A9910000}"/>
    <cellStyle name="Normal 11 2 4 5 2 3 4 2" xfId="38030" xr:uid="{00000000-0005-0000-0000-0000AA910000}"/>
    <cellStyle name="Normal 11 2 4 5 2 3 5" xfId="38031" xr:uid="{00000000-0005-0000-0000-0000AB910000}"/>
    <cellStyle name="Normal 11 2 4 5 2 4" xfId="38032" xr:uid="{00000000-0005-0000-0000-0000AC910000}"/>
    <cellStyle name="Normal 11 2 4 5 2 4 2" xfId="38033" xr:uid="{00000000-0005-0000-0000-0000AD910000}"/>
    <cellStyle name="Normal 11 2 4 5 2 4 2 2" xfId="38034" xr:uid="{00000000-0005-0000-0000-0000AE910000}"/>
    <cellStyle name="Normal 11 2 4 5 2 4 2 2 2" xfId="38035" xr:uid="{00000000-0005-0000-0000-0000AF910000}"/>
    <cellStyle name="Normal 11 2 4 5 2 4 2 2 2 2" xfId="38036" xr:uid="{00000000-0005-0000-0000-0000B0910000}"/>
    <cellStyle name="Normal 11 2 4 5 2 4 2 2 3" xfId="38037" xr:uid="{00000000-0005-0000-0000-0000B1910000}"/>
    <cellStyle name="Normal 11 2 4 5 2 4 2 3" xfId="38038" xr:uid="{00000000-0005-0000-0000-0000B2910000}"/>
    <cellStyle name="Normal 11 2 4 5 2 4 2 3 2" xfId="38039" xr:uid="{00000000-0005-0000-0000-0000B3910000}"/>
    <cellStyle name="Normal 11 2 4 5 2 4 2 4" xfId="38040" xr:uid="{00000000-0005-0000-0000-0000B4910000}"/>
    <cellStyle name="Normal 11 2 4 5 2 4 3" xfId="38041" xr:uid="{00000000-0005-0000-0000-0000B5910000}"/>
    <cellStyle name="Normal 11 2 4 5 2 4 3 2" xfId="38042" xr:uid="{00000000-0005-0000-0000-0000B6910000}"/>
    <cellStyle name="Normal 11 2 4 5 2 4 3 2 2" xfId="38043" xr:uid="{00000000-0005-0000-0000-0000B7910000}"/>
    <cellStyle name="Normal 11 2 4 5 2 4 3 3" xfId="38044" xr:uid="{00000000-0005-0000-0000-0000B8910000}"/>
    <cellStyle name="Normal 11 2 4 5 2 4 4" xfId="38045" xr:uid="{00000000-0005-0000-0000-0000B9910000}"/>
    <cellStyle name="Normal 11 2 4 5 2 4 4 2" xfId="38046" xr:uid="{00000000-0005-0000-0000-0000BA910000}"/>
    <cellStyle name="Normal 11 2 4 5 2 4 5" xfId="38047" xr:uid="{00000000-0005-0000-0000-0000BB910000}"/>
    <cellStyle name="Normal 11 2 4 5 2 5" xfId="38048" xr:uid="{00000000-0005-0000-0000-0000BC910000}"/>
    <cellStyle name="Normal 11 2 4 5 2 5 2" xfId="38049" xr:uid="{00000000-0005-0000-0000-0000BD910000}"/>
    <cellStyle name="Normal 11 2 4 5 2 5 2 2" xfId="38050" xr:uid="{00000000-0005-0000-0000-0000BE910000}"/>
    <cellStyle name="Normal 11 2 4 5 2 5 2 2 2" xfId="38051" xr:uid="{00000000-0005-0000-0000-0000BF910000}"/>
    <cellStyle name="Normal 11 2 4 5 2 5 2 3" xfId="38052" xr:uid="{00000000-0005-0000-0000-0000C0910000}"/>
    <cellStyle name="Normal 11 2 4 5 2 5 3" xfId="38053" xr:uid="{00000000-0005-0000-0000-0000C1910000}"/>
    <cellStyle name="Normal 11 2 4 5 2 5 3 2" xfId="38054" xr:uid="{00000000-0005-0000-0000-0000C2910000}"/>
    <cellStyle name="Normal 11 2 4 5 2 5 4" xfId="38055" xr:uid="{00000000-0005-0000-0000-0000C3910000}"/>
    <cellStyle name="Normal 11 2 4 5 2 6" xfId="38056" xr:uid="{00000000-0005-0000-0000-0000C4910000}"/>
    <cellStyle name="Normal 11 2 4 5 2 6 2" xfId="38057" xr:uid="{00000000-0005-0000-0000-0000C5910000}"/>
    <cellStyle name="Normal 11 2 4 5 2 6 2 2" xfId="38058" xr:uid="{00000000-0005-0000-0000-0000C6910000}"/>
    <cellStyle name="Normal 11 2 4 5 2 6 2 2 2" xfId="38059" xr:uid="{00000000-0005-0000-0000-0000C7910000}"/>
    <cellStyle name="Normal 11 2 4 5 2 6 2 3" xfId="38060" xr:uid="{00000000-0005-0000-0000-0000C8910000}"/>
    <cellStyle name="Normal 11 2 4 5 2 6 3" xfId="38061" xr:uid="{00000000-0005-0000-0000-0000C9910000}"/>
    <cellStyle name="Normal 11 2 4 5 2 6 3 2" xfId="38062" xr:uid="{00000000-0005-0000-0000-0000CA910000}"/>
    <cellStyle name="Normal 11 2 4 5 2 6 4" xfId="38063" xr:uid="{00000000-0005-0000-0000-0000CB910000}"/>
    <cellStyle name="Normal 11 2 4 5 2 7" xfId="38064" xr:uid="{00000000-0005-0000-0000-0000CC910000}"/>
    <cellStyle name="Normal 11 2 4 5 2 7 2" xfId="38065" xr:uid="{00000000-0005-0000-0000-0000CD910000}"/>
    <cellStyle name="Normal 11 2 4 5 2 7 2 2" xfId="38066" xr:uid="{00000000-0005-0000-0000-0000CE910000}"/>
    <cellStyle name="Normal 11 2 4 5 2 7 2 2 2" xfId="38067" xr:uid="{00000000-0005-0000-0000-0000CF910000}"/>
    <cellStyle name="Normal 11 2 4 5 2 7 2 3" xfId="38068" xr:uid="{00000000-0005-0000-0000-0000D0910000}"/>
    <cellStyle name="Normal 11 2 4 5 2 7 3" xfId="38069" xr:uid="{00000000-0005-0000-0000-0000D1910000}"/>
    <cellStyle name="Normal 11 2 4 5 2 7 3 2" xfId="38070" xr:uid="{00000000-0005-0000-0000-0000D2910000}"/>
    <cellStyle name="Normal 11 2 4 5 2 7 4" xfId="38071" xr:uid="{00000000-0005-0000-0000-0000D3910000}"/>
    <cellStyle name="Normal 11 2 4 5 2 8" xfId="38072" xr:uid="{00000000-0005-0000-0000-0000D4910000}"/>
    <cellStyle name="Normal 11 2 4 5 2 8 2" xfId="38073" xr:uid="{00000000-0005-0000-0000-0000D5910000}"/>
    <cellStyle name="Normal 11 2 4 5 2 8 2 2" xfId="38074" xr:uid="{00000000-0005-0000-0000-0000D6910000}"/>
    <cellStyle name="Normal 11 2 4 5 2 8 3" xfId="38075" xr:uid="{00000000-0005-0000-0000-0000D7910000}"/>
    <cellStyle name="Normal 11 2 4 5 2 9" xfId="38076" xr:uid="{00000000-0005-0000-0000-0000D8910000}"/>
    <cellStyle name="Normal 11 2 4 5 2 9 2" xfId="38077" xr:uid="{00000000-0005-0000-0000-0000D9910000}"/>
    <cellStyle name="Normal 11 2 4 5 3" xfId="1439" xr:uid="{00000000-0005-0000-0000-0000DA910000}"/>
    <cellStyle name="Normal 11 2 4 5 3 2" xfId="38079" xr:uid="{00000000-0005-0000-0000-0000DB910000}"/>
    <cellStyle name="Normal 11 2 4 5 3 2 2" xfId="38080" xr:uid="{00000000-0005-0000-0000-0000DC910000}"/>
    <cellStyle name="Normal 11 2 4 5 3 2 2 2" xfId="38081" xr:uid="{00000000-0005-0000-0000-0000DD910000}"/>
    <cellStyle name="Normal 11 2 4 5 3 2 2 2 2" xfId="38082" xr:uid="{00000000-0005-0000-0000-0000DE910000}"/>
    <cellStyle name="Normal 11 2 4 5 3 2 2 3" xfId="38083" xr:uid="{00000000-0005-0000-0000-0000DF910000}"/>
    <cellStyle name="Normal 11 2 4 5 3 2 3" xfId="38084" xr:uid="{00000000-0005-0000-0000-0000E0910000}"/>
    <cellStyle name="Normal 11 2 4 5 3 2 3 2" xfId="38085" xr:uid="{00000000-0005-0000-0000-0000E1910000}"/>
    <cellStyle name="Normal 11 2 4 5 3 2 4" xfId="38086" xr:uid="{00000000-0005-0000-0000-0000E2910000}"/>
    <cellStyle name="Normal 11 2 4 5 3 3" xfId="38087" xr:uid="{00000000-0005-0000-0000-0000E3910000}"/>
    <cellStyle name="Normal 11 2 4 5 3 3 2" xfId="38088" xr:uid="{00000000-0005-0000-0000-0000E4910000}"/>
    <cellStyle name="Normal 11 2 4 5 3 3 2 2" xfId="38089" xr:uid="{00000000-0005-0000-0000-0000E5910000}"/>
    <cellStyle name="Normal 11 2 4 5 3 3 2 2 2" xfId="38090" xr:uid="{00000000-0005-0000-0000-0000E6910000}"/>
    <cellStyle name="Normal 11 2 4 5 3 3 2 3" xfId="38091" xr:uid="{00000000-0005-0000-0000-0000E7910000}"/>
    <cellStyle name="Normal 11 2 4 5 3 3 3" xfId="38092" xr:uid="{00000000-0005-0000-0000-0000E8910000}"/>
    <cellStyle name="Normal 11 2 4 5 3 3 3 2" xfId="38093" xr:uid="{00000000-0005-0000-0000-0000E9910000}"/>
    <cellStyle name="Normal 11 2 4 5 3 3 4" xfId="38094" xr:uid="{00000000-0005-0000-0000-0000EA910000}"/>
    <cellStyle name="Normal 11 2 4 5 3 4" xfId="38095" xr:uid="{00000000-0005-0000-0000-0000EB910000}"/>
    <cellStyle name="Normal 11 2 4 5 3 4 2" xfId="38096" xr:uid="{00000000-0005-0000-0000-0000EC910000}"/>
    <cellStyle name="Normal 11 2 4 5 3 4 2 2" xfId="38097" xr:uid="{00000000-0005-0000-0000-0000ED910000}"/>
    <cellStyle name="Normal 11 2 4 5 3 4 3" xfId="38098" xr:uid="{00000000-0005-0000-0000-0000EE910000}"/>
    <cellStyle name="Normal 11 2 4 5 3 5" xfId="38099" xr:uid="{00000000-0005-0000-0000-0000EF910000}"/>
    <cellStyle name="Normal 11 2 4 5 3 5 2" xfId="38100" xr:uid="{00000000-0005-0000-0000-0000F0910000}"/>
    <cellStyle name="Normal 11 2 4 5 3 6" xfId="38101" xr:uid="{00000000-0005-0000-0000-0000F1910000}"/>
    <cellStyle name="Normal 11 2 4 5 3 7" xfId="38078" xr:uid="{00000000-0005-0000-0000-0000F2910000}"/>
    <cellStyle name="Normal 11 2 4 5 4" xfId="38102" xr:uid="{00000000-0005-0000-0000-0000F3910000}"/>
    <cellStyle name="Normal 11 2 4 5 4 2" xfId="38103" xr:uid="{00000000-0005-0000-0000-0000F4910000}"/>
    <cellStyle name="Normal 11 2 4 5 4 2 2" xfId="38104" xr:uid="{00000000-0005-0000-0000-0000F5910000}"/>
    <cellStyle name="Normal 11 2 4 5 4 2 2 2" xfId="38105" xr:uid="{00000000-0005-0000-0000-0000F6910000}"/>
    <cellStyle name="Normal 11 2 4 5 4 2 2 2 2" xfId="38106" xr:uid="{00000000-0005-0000-0000-0000F7910000}"/>
    <cellStyle name="Normal 11 2 4 5 4 2 2 3" xfId="38107" xr:uid="{00000000-0005-0000-0000-0000F8910000}"/>
    <cellStyle name="Normal 11 2 4 5 4 2 3" xfId="38108" xr:uid="{00000000-0005-0000-0000-0000F9910000}"/>
    <cellStyle name="Normal 11 2 4 5 4 2 3 2" xfId="38109" xr:uid="{00000000-0005-0000-0000-0000FA910000}"/>
    <cellStyle name="Normal 11 2 4 5 4 2 4" xfId="38110" xr:uid="{00000000-0005-0000-0000-0000FB910000}"/>
    <cellStyle name="Normal 11 2 4 5 4 3" xfId="38111" xr:uid="{00000000-0005-0000-0000-0000FC910000}"/>
    <cellStyle name="Normal 11 2 4 5 4 3 2" xfId="38112" xr:uid="{00000000-0005-0000-0000-0000FD910000}"/>
    <cellStyle name="Normal 11 2 4 5 4 3 2 2" xfId="38113" xr:uid="{00000000-0005-0000-0000-0000FE910000}"/>
    <cellStyle name="Normal 11 2 4 5 4 3 3" xfId="38114" xr:uid="{00000000-0005-0000-0000-0000FF910000}"/>
    <cellStyle name="Normal 11 2 4 5 4 4" xfId="38115" xr:uid="{00000000-0005-0000-0000-000000920000}"/>
    <cellStyle name="Normal 11 2 4 5 4 4 2" xfId="38116" xr:uid="{00000000-0005-0000-0000-000001920000}"/>
    <cellStyle name="Normal 11 2 4 5 4 5" xfId="38117" xr:uid="{00000000-0005-0000-0000-000002920000}"/>
    <cellStyle name="Normal 11 2 4 5 5" xfId="38118" xr:uid="{00000000-0005-0000-0000-000003920000}"/>
    <cellStyle name="Normal 11 2 4 5 5 2" xfId="38119" xr:uid="{00000000-0005-0000-0000-000004920000}"/>
    <cellStyle name="Normal 11 2 4 5 5 2 2" xfId="38120" xr:uid="{00000000-0005-0000-0000-000005920000}"/>
    <cellStyle name="Normal 11 2 4 5 5 2 2 2" xfId="38121" xr:uid="{00000000-0005-0000-0000-000006920000}"/>
    <cellStyle name="Normal 11 2 4 5 5 2 2 2 2" xfId="38122" xr:uid="{00000000-0005-0000-0000-000007920000}"/>
    <cellStyle name="Normal 11 2 4 5 5 2 2 3" xfId="38123" xr:uid="{00000000-0005-0000-0000-000008920000}"/>
    <cellStyle name="Normal 11 2 4 5 5 2 3" xfId="38124" xr:uid="{00000000-0005-0000-0000-000009920000}"/>
    <cellStyle name="Normal 11 2 4 5 5 2 3 2" xfId="38125" xr:uid="{00000000-0005-0000-0000-00000A920000}"/>
    <cellStyle name="Normal 11 2 4 5 5 2 4" xfId="38126" xr:uid="{00000000-0005-0000-0000-00000B920000}"/>
    <cellStyle name="Normal 11 2 4 5 5 3" xfId="38127" xr:uid="{00000000-0005-0000-0000-00000C920000}"/>
    <cellStyle name="Normal 11 2 4 5 5 3 2" xfId="38128" xr:uid="{00000000-0005-0000-0000-00000D920000}"/>
    <cellStyle name="Normal 11 2 4 5 5 3 2 2" xfId="38129" xr:uid="{00000000-0005-0000-0000-00000E920000}"/>
    <cellStyle name="Normal 11 2 4 5 5 3 3" xfId="38130" xr:uid="{00000000-0005-0000-0000-00000F920000}"/>
    <cellStyle name="Normal 11 2 4 5 5 4" xfId="38131" xr:uid="{00000000-0005-0000-0000-000010920000}"/>
    <cellStyle name="Normal 11 2 4 5 5 4 2" xfId="38132" xr:uid="{00000000-0005-0000-0000-000011920000}"/>
    <cellStyle name="Normal 11 2 4 5 5 5" xfId="38133" xr:uid="{00000000-0005-0000-0000-000012920000}"/>
    <cellStyle name="Normal 11 2 4 5 6" xfId="38134" xr:uid="{00000000-0005-0000-0000-000013920000}"/>
    <cellStyle name="Normal 11 2 4 5 6 2" xfId="38135" xr:uid="{00000000-0005-0000-0000-000014920000}"/>
    <cellStyle name="Normal 11 2 4 5 6 2 2" xfId="38136" xr:uid="{00000000-0005-0000-0000-000015920000}"/>
    <cellStyle name="Normal 11 2 4 5 6 2 2 2" xfId="38137" xr:uid="{00000000-0005-0000-0000-000016920000}"/>
    <cellStyle name="Normal 11 2 4 5 6 2 3" xfId="38138" xr:uid="{00000000-0005-0000-0000-000017920000}"/>
    <cellStyle name="Normal 11 2 4 5 6 3" xfId="38139" xr:uid="{00000000-0005-0000-0000-000018920000}"/>
    <cellStyle name="Normal 11 2 4 5 6 3 2" xfId="38140" xr:uid="{00000000-0005-0000-0000-000019920000}"/>
    <cellStyle name="Normal 11 2 4 5 6 4" xfId="38141" xr:uid="{00000000-0005-0000-0000-00001A920000}"/>
    <cellStyle name="Normal 11 2 4 5 7" xfId="38142" xr:uid="{00000000-0005-0000-0000-00001B920000}"/>
    <cellStyle name="Normal 11 2 4 5 7 2" xfId="38143" xr:uid="{00000000-0005-0000-0000-00001C920000}"/>
    <cellStyle name="Normal 11 2 4 5 7 2 2" xfId="38144" xr:uid="{00000000-0005-0000-0000-00001D920000}"/>
    <cellStyle name="Normal 11 2 4 5 7 2 2 2" xfId="38145" xr:uid="{00000000-0005-0000-0000-00001E920000}"/>
    <cellStyle name="Normal 11 2 4 5 7 2 3" xfId="38146" xr:uid="{00000000-0005-0000-0000-00001F920000}"/>
    <cellStyle name="Normal 11 2 4 5 7 3" xfId="38147" xr:uid="{00000000-0005-0000-0000-000020920000}"/>
    <cellStyle name="Normal 11 2 4 5 7 3 2" xfId="38148" xr:uid="{00000000-0005-0000-0000-000021920000}"/>
    <cellStyle name="Normal 11 2 4 5 7 4" xfId="38149" xr:uid="{00000000-0005-0000-0000-000022920000}"/>
    <cellStyle name="Normal 11 2 4 5 8" xfId="38150" xr:uid="{00000000-0005-0000-0000-000023920000}"/>
    <cellStyle name="Normal 11 2 4 5 8 2" xfId="38151" xr:uid="{00000000-0005-0000-0000-000024920000}"/>
    <cellStyle name="Normal 11 2 4 5 8 2 2" xfId="38152" xr:uid="{00000000-0005-0000-0000-000025920000}"/>
    <cellStyle name="Normal 11 2 4 5 8 2 2 2" xfId="38153" xr:uid="{00000000-0005-0000-0000-000026920000}"/>
    <cellStyle name="Normal 11 2 4 5 8 2 3" xfId="38154" xr:uid="{00000000-0005-0000-0000-000027920000}"/>
    <cellStyle name="Normal 11 2 4 5 8 3" xfId="38155" xr:uid="{00000000-0005-0000-0000-000028920000}"/>
    <cellStyle name="Normal 11 2 4 5 8 3 2" xfId="38156" xr:uid="{00000000-0005-0000-0000-000029920000}"/>
    <cellStyle name="Normal 11 2 4 5 8 4" xfId="38157" xr:uid="{00000000-0005-0000-0000-00002A920000}"/>
    <cellStyle name="Normal 11 2 4 5 9" xfId="38158" xr:uid="{00000000-0005-0000-0000-00002B920000}"/>
    <cellStyle name="Normal 11 2 4 5 9 2" xfId="38159" xr:uid="{00000000-0005-0000-0000-00002C920000}"/>
    <cellStyle name="Normal 11 2 4 5 9 2 2" xfId="38160" xr:uid="{00000000-0005-0000-0000-00002D920000}"/>
    <cellStyle name="Normal 11 2 4 5 9 3" xfId="38161" xr:uid="{00000000-0005-0000-0000-00002E920000}"/>
    <cellStyle name="Normal 11 2 4 6" xfId="1026" xr:uid="{00000000-0005-0000-0000-00002F920000}"/>
    <cellStyle name="Normal 11 2 4 6 10" xfId="38163" xr:uid="{00000000-0005-0000-0000-000030920000}"/>
    <cellStyle name="Normal 11 2 4 6 11" xfId="38162" xr:uid="{00000000-0005-0000-0000-000031920000}"/>
    <cellStyle name="Normal 11 2 4 6 2" xfId="1755" xr:uid="{00000000-0005-0000-0000-000032920000}"/>
    <cellStyle name="Normal 11 2 4 6 2 2" xfId="38165" xr:uid="{00000000-0005-0000-0000-000033920000}"/>
    <cellStyle name="Normal 11 2 4 6 2 2 2" xfId="38166" xr:uid="{00000000-0005-0000-0000-000034920000}"/>
    <cellStyle name="Normal 11 2 4 6 2 2 2 2" xfId="38167" xr:uid="{00000000-0005-0000-0000-000035920000}"/>
    <cellStyle name="Normal 11 2 4 6 2 2 2 2 2" xfId="38168" xr:uid="{00000000-0005-0000-0000-000036920000}"/>
    <cellStyle name="Normal 11 2 4 6 2 2 2 3" xfId="38169" xr:uid="{00000000-0005-0000-0000-000037920000}"/>
    <cellStyle name="Normal 11 2 4 6 2 2 3" xfId="38170" xr:uid="{00000000-0005-0000-0000-000038920000}"/>
    <cellStyle name="Normal 11 2 4 6 2 2 3 2" xfId="38171" xr:uid="{00000000-0005-0000-0000-000039920000}"/>
    <cellStyle name="Normal 11 2 4 6 2 2 4" xfId="38172" xr:uid="{00000000-0005-0000-0000-00003A920000}"/>
    <cellStyle name="Normal 11 2 4 6 2 3" xfId="38173" xr:uid="{00000000-0005-0000-0000-00003B920000}"/>
    <cellStyle name="Normal 11 2 4 6 2 3 2" xfId="38174" xr:uid="{00000000-0005-0000-0000-00003C920000}"/>
    <cellStyle name="Normal 11 2 4 6 2 3 2 2" xfId="38175" xr:uid="{00000000-0005-0000-0000-00003D920000}"/>
    <cellStyle name="Normal 11 2 4 6 2 3 2 2 2" xfId="38176" xr:uid="{00000000-0005-0000-0000-00003E920000}"/>
    <cellStyle name="Normal 11 2 4 6 2 3 2 3" xfId="38177" xr:uid="{00000000-0005-0000-0000-00003F920000}"/>
    <cellStyle name="Normal 11 2 4 6 2 3 3" xfId="38178" xr:uid="{00000000-0005-0000-0000-000040920000}"/>
    <cellStyle name="Normal 11 2 4 6 2 3 3 2" xfId="38179" xr:uid="{00000000-0005-0000-0000-000041920000}"/>
    <cellStyle name="Normal 11 2 4 6 2 3 4" xfId="38180" xr:uid="{00000000-0005-0000-0000-000042920000}"/>
    <cellStyle name="Normal 11 2 4 6 2 4" xfId="38181" xr:uid="{00000000-0005-0000-0000-000043920000}"/>
    <cellStyle name="Normal 11 2 4 6 2 4 2" xfId="38182" xr:uid="{00000000-0005-0000-0000-000044920000}"/>
    <cellStyle name="Normal 11 2 4 6 2 4 2 2" xfId="38183" xr:uid="{00000000-0005-0000-0000-000045920000}"/>
    <cellStyle name="Normal 11 2 4 6 2 4 3" xfId="38184" xr:uid="{00000000-0005-0000-0000-000046920000}"/>
    <cellStyle name="Normal 11 2 4 6 2 5" xfId="38185" xr:uid="{00000000-0005-0000-0000-000047920000}"/>
    <cellStyle name="Normal 11 2 4 6 2 5 2" xfId="38186" xr:uid="{00000000-0005-0000-0000-000048920000}"/>
    <cellStyle name="Normal 11 2 4 6 2 6" xfId="38187" xr:uid="{00000000-0005-0000-0000-000049920000}"/>
    <cellStyle name="Normal 11 2 4 6 2 7" xfId="38164" xr:uid="{00000000-0005-0000-0000-00004A920000}"/>
    <cellStyle name="Normal 11 2 4 6 3" xfId="38188" xr:uid="{00000000-0005-0000-0000-00004B920000}"/>
    <cellStyle name="Normal 11 2 4 6 3 2" xfId="38189" xr:uid="{00000000-0005-0000-0000-00004C920000}"/>
    <cellStyle name="Normal 11 2 4 6 3 2 2" xfId="38190" xr:uid="{00000000-0005-0000-0000-00004D920000}"/>
    <cellStyle name="Normal 11 2 4 6 3 2 2 2" xfId="38191" xr:uid="{00000000-0005-0000-0000-00004E920000}"/>
    <cellStyle name="Normal 11 2 4 6 3 2 2 2 2" xfId="38192" xr:uid="{00000000-0005-0000-0000-00004F920000}"/>
    <cellStyle name="Normal 11 2 4 6 3 2 2 3" xfId="38193" xr:uid="{00000000-0005-0000-0000-000050920000}"/>
    <cellStyle name="Normal 11 2 4 6 3 2 3" xfId="38194" xr:uid="{00000000-0005-0000-0000-000051920000}"/>
    <cellStyle name="Normal 11 2 4 6 3 2 3 2" xfId="38195" xr:uid="{00000000-0005-0000-0000-000052920000}"/>
    <cellStyle name="Normal 11 2 4 6 3 2 4" xfId="38196" xr:uid="{00000000-0005-0000-0000-000053920000}"/>
    <cellStyle name="Normal 11 2 4 6 3 3" xfId="38197" xr:uid="{00000000-0005-0000-0000-000054920000}"/>
    <cellStyle name="Normal 11 2 4 6 3 3 2" xfId="38198" xr:uid="{00000000-0005-0000-0000-000055920000}"/>
    <cellStyle name="Normal 11 2 4 6 3 3 2 2" xfId="38199" xr:uid="{00000000-0005-0000-0000-000056920000}"/>
    <cellStyle name="Normal 11 2 4 6 3 3 3" xfId="38200" xr:uid="{00000000-0005-0000-0000-000057920000}"/>
    <cellStyle name="Normal 11 2 4 6 3 4" xfId="38201" xr:uid="{00000000-0005-0000-0000-000058920000}"/>
    <cellStyle name="Normal 11 2 4 6 3 4 2" xfId="38202" xr:uid="{00000000-0005-0000-0000-000059920000}"/>
    <cellStyle name="Normal 11 2 4 6 3 5" xfId="38203" xr:uid="{00000000-0005-0000-0000-00005A920000}"/>
    <cellStyle name="Normal 11 2 4 6 4" xfId="38204" xr:uid="{00000000-0005-0000-0000-00005B920000}"/>
    <cellStyle name="Normal 11 2 4 6 4 2" xfId="38205" xr:uid="{00000000-0005-0000-0000-00005C920000}"/>
    <cellStyle name="Normal 11 2 4 6 4 2 2" xfId="38206" xr:uid="{00000000-0005-0000-0000-00005D920000}"/>
    <cellStyle name="Normal 11 2 4 6 4 2 2 2" xfId="38207" xr:uid="{00000000-0005-0000-0000-00005E920000}"/>
    <cellStyle name="Normal 11 2 4 6 4 2 2 2 2" xfId="38208" xr:uid="{00000000-0005-0000-0000-00005F920000}"/>
    <cellStyle name="Normal 11 2 4 6 4 2 2 3" xfId="38209" xr:uid="{00000000-0005-0000-0000-000060920000}"/>
    <cellStyle name="Normal 11 2 4 6 4 2 3" xfId="38210" xr:uid="{00000000-0005-0000-0000-000061920000}"/>
    <cellStyle name="Normal 11 2 4 6 4 2 3 2" xfId="38211" xr:uid="{00000000-0005-0000-0000-000062920000}"/>
    <cellStyle name="Normal 11 2 4 6 4 2 4" xfId="38212" xr:uid="{00000000-0005-0000-0000-000063920000}"/>
    <cellStyle name="Normal 11 2 4 6 4 3" xfId="38213" xr:uid="{00000000-0005-0000-0000-000064920000}"/>
    <cellStyle name="Normal 11 2 4 6 4 3 2" xfId="38214" xr:uid="{00000000-0005-0000-0000-000065920000}"/>
    <cellStyle name="Normal 11 2 4 6 4 3 2 2" xfId="38215" xr:uid="{00000000-0005-0000-0000-000066920000}"/>
    <cellStyle name="Normal 11 2 4 6 4 3 3" xfId="38216" xr:uid="{00000000-0005-0000-0000-000067920000}"/>
    <cellStyle name="Normal 11 2 4 6 4 4" xfId="38217" xr:uid="{00000000-0005-0000-0000-000068920000}"/>
    <cellStyle name="Normal 11 2 4 6 4 4 2" xfId="38218" xr:uid="{00000000-0005-0000-0000-000069920000}"/>
    <cellStyle name="Normal 11 2 4 6 4 5" xfId="38219" xr:uid="{00000000-0005-0000-0000-00006A920000}"/>
    <cellStyle name="Normal 11 2 4 6 5" xfId="38220" xr:uid="{00000000-0005-0000-0000-00006B920000}"/>
    <cellStyle name="Normal 11 2 4 6 5 2" xfId="38221" xr:uid="{00000000-0005-0000-0000-00006C920000}"/>
    <cellStyle name="Normal 11 2 4 6 5 2 2" xfId="38222" xr:uid="{00000000-0005-0000-0000-00006D920000}"/>
    <cellStyle name="Normal 11 2 4 6 5 2 2 2" xfId="38223" xr:uid="{00000000-0005-0000-0000-00006E920000}"/>
    <cellStyle name="Normal 11 2 4 6 5 2 3" xfId="38224" xr:uid="{00000000-0005-0000-0000-00006F920000}"/>
    <cellStyle name="Normal 11 2 4 6 5 3" xfId="38225" xr:uid="{00000000-0005-0000-0000-000070920000}"/>
    <cellStyle name="Normal 11 2 4 6 5 3 2" xfId="38226" xr:uid="{00000000-0005-0000-0000-000071920000}"/>
    <cellStyle name="Normal 11 2 4 6 5 4" xfId="38227" xr:uid="{00000000-0005-0000-0000-000072920000}"/>
    <cellStyle name="Normal 11 2 4 6 6" xfId="38228" xr:uid="{00000000-0005-0000-0000-000073920000}"/>
    <cellStyle name="Normal 11 2 4 6 6 2" xfId="38229" xr:uid="{00000000-0005-0000-0000-000074920000}"/>
    <cellStyle name="Normal 11 2 4 6 6 2 2" xfId="38230" xr:uid="{00000000-0005-0000-0000-000075920000}"/>
    <cellStyle name="Normal 11 2 4 6 6 2 2 2" xfId="38231" xr:uid="{00000000-0005-0000-0000-000076920000}"/>
    <cellStyle name="Normal 11 2 4 6 6 2 3" xfId="38232" xr:uid="{00000000-0005-0000-0000-000077920000}"/>
    <cellStyle name="Normal 11 2 4 6 6 3" xfId="38233" xr:uid="{00000000-0005-0000-0000-000078920000}"/>
    <cellStyle name="Normal 11 2 4 6 6 3 2" xfId="38234" xr:uid="{00000000-0005-0000-0000-000079920000}"/>
    <cellStyle name="Normal 11 2 4 6 6 4" xfId="38235" xr:uid="{00000000-0005-0000-0000-00007A920000}"/>
    <cellStyle name="Normal 11 2 4 6 7" xfId="38236" xr:uid="{00000000-0005-0000-0000-00007B920000}"/>
    <cellStyle name="Normal 11 2 4 6 7 2" xfId="38237" xr:uid="{00000000-0005-0000-0000-00007C920000}"/>
    <cellStyle name="Normal 11 2 4 6 7 2 2" xfId="38238" xr:uid="{00000000-0005-0000-0000-00007D920000}"/>
    <cellStyle name="Normal 11 2 4 6 7 2 2 2" xfId="38239" xr:uid="{00000000-0005-0000-0000-00007E920000}"/>
    <cellStyle name="Normal 11 2 4 6 7 2 3" xfId="38240" xr:uid="{00000000-0005-0000-0000-00007F920000}"/>
    <cellStyle name="Normal 11 2 4 6 7 3" xfId="38241" xr:uid="{00000000-0005-0000-0000-000080920000}"/>
    <cellStyle name="Normal 11 2 4 6 7 3 2" xfId="38242" xr:uid="{00000000-0005-0000-0000-000081920000}"/>
    <cellStyle name="Normal 11 2 4 6 7 4" xfId="38243" xr:uid="{00000000-0005-0000-0000-000082920000}"/>
    <cellStyle name="Normal 11 2 4 6 8" xfId="38244" xr:uid="{00000000-0005-0000-0000-000083920000}"/>
    <cellStyle name="Normal 11 2 4 6 8 2" xfId="38245" xr:uid="{00000000-0005-0000-0000-000084920000}"/>
    <cellStyle name="Normal 11 2 4 6 8 2 2" xfId="38246" xr:uid="{00000000-0005-0000-0000-000085920000}"/>
    <cellStyle name="Normal 11 2 4 6 8 3" xfId="38247" xr:uid="{00000000-0005-0000-0000-000086920000}"/>
    <cellStyle name="Normal 11 2 4 6 9" xfId="38248" xr:uid="{00000000-0005-0000-0000-000087920000}"/>
    <cellStyle name="Normal 11 2 4 6 9 2" xfId="38249" xr:uid="{00000000-0005-0000-0000-000088920000}"/>
    <cellStyle name="Normal 11 2 4 7" xfId="1428" xr:uid="{00000000-0005-0000-0000-000089920000}"/>
    <cellStyle name="Normal 11 2 4 7 2" xfId="38251" xr:uid="{00000000-0005-0000-0000-00008A920000}"/>
    <cellStyle name="Normal 11 2 4 7 2 2" xfId="38252" xr:uid="{00000000-0005-0000-0000-00008B920000}"/>
    <cellStyle name="Normal 11 2 4 7 2 2 2" xfId="38253" xr:uid="{00000000-0005-0000-0000-00008C920000}"/>
    <cellStyle name="Normal 11 2 4 7 2 2 2 2" xfId="38254" xr:uid="{00000000-0005-0000-0000-00008D920000}"/>
    <cellStyle name="Normal 11 2 4 7 2 2 3" xfId="38255" xr:uid="{00000000-0005-0000-0000-00008E920000}"/>
    <cellStyle name="Normal 11 2 4 7 2 3" xfId="38256" xr:uid="{00000000-0005-0000-0000-00008F920000}"/>
    <cellStyle name="Normal 11 2 4 7 2 3 2" xfId="38257" xr:uid="{00000000-0005-0000-0000-000090920000}"/>
    <cellStyle name="Normal 11 2 4 7 2 4" xfId="38258" xr:uid="{00000000-0005-0000-0000-000091920000}"/>
    <cellStyle name="Normal 11 2 4 7 3" xfId="38259" xr:uid="{00000000-0005-0000-0000-000092920000}"/>
    <cellStyle name="Normal 11 2 4 7 3 2" xfId="38260" xr:uid="{00000000-0005-0000-0000-000093920000}"/>
    <cellStyle name="Normal 11 2 4 7 3 2 2" xfId="38261" xr:uid="{00000000-0005-0000-0000-000094920000}"/>
    <cellStyle name="Normal 11 2 4 7 3 2 2 2" xfId="38262" xr:uid="{00000000-0005-0000-0000-000095920000}"/>
    <cellStyle name="Normal 11 2 4 7 3 2 3" xfId="38263" xr:uid="{00000000-0005-0000-0000-000096920000}"/>
    <cellStyle name="Normal 11 2 4 7 3 3" xfId="38264" xr:uid="{00000000-0005-0000-0000-000097920000}"/>
    <cellStyle name="Normal 11 2 4 7 3 3 2" xfId="38265" xr:uid="{00000000-0005-0000-0000-000098920000}"/>
    <cellStyle name="Normal 11 2 4 7 3 4" xfId="38266" xr:uid="{00000000-0005-0000-0000-000099920000}"/>
    <cellStyle name="Normal 11 2 4 7 4" xfId="38267" xr:uid="{00000000-0005-0000-0000-00009A920000}"/>
    <cellStyle name="Normal 11 2 4 7 4 2" xfId="38268" xr:uid="{00000000-0005-0000-0000-00009B920000}"/>
    <cellStyle name="Normal 11 2 4 7 4 2 2" xfId="38269" xr:uid="{00000000-0005-0000-0000-00009C920000}"/>
    <cellStyle name="Normal 11 2 4 7 4 3" xfId="38270" xr:uid="{00000000-0005-0000-0000-00009D920000}"/>
    <cellStyle name="Normal 11 2 4 7 5" xfId="38271" xr:uid="{00000000-0005-0000-0000-00009E920000}"/>
    <cellStyle name="Normal 11 2 4 7 5 2" xfId="38272" xr:uid="{00000000-0005-0000-0000-00009F920000}"/>
    <cellStyle name="Normal 11 2 4 7 6" xfId="38273" xr:uid="{00000000-0005-0000-0000-0000A0920000}"/>
    <cellStyle name="Normal 11 2 4 7 7" xfId="38250" xr:uid="{00000000-0005-0000-0000-0000A1920000}"/>
    <cellStyle name="Normal 11 2 4 8" xfId="38274" xr:uid="{00000000-0005-0000-0000-0000A2920000}"/>
    <cellStyle name="Normal 11 2 4 8 2" xfId="38275" xr:uid="{00000000-0005-0000-0000-0000A3920000}"/>
    <cellStyle name="Normal 11 2 4 8 2 2" xfId="38276" xr:uid="{00000000-0005-0000-0000-0000A4920000}"/>
    <cellStyle name="Normal 11 2 4 8 2 2 2" xfId="38277" xr:uid="{00000000-0005-0000-0000-0000A5920000}"/>
    <cellStyle name="Normal 11 2 4 8 2 2 2 2" xfId="38278" xr:uid="{00000000-0005-0000-0000-0000A6920000}"/>
    <cellStyle name="Normal 11 2 4 8 2 2 3" xfId="38279" xr:uid="{00000000-0005-0000-0000-0000A7920000}"/>
    <cellStyle name="Normal 11 2 4 8 2 3" xfId="38280" xr:uid="{00000000-0005-0000-0000-0000A8920000}"/>
    <cellStyle name="Normal 11 2 4 8 2 3 2" xfId="38281" xr:uid="{00000000-0005-0000-0000-0000A9920000}"/>
    <cellStyle name="Normal 11 2 4 8 2 4" xfId="38282" xr:uid="{00000000-0005-0000-0000-0000AA920000}"/>
    <cellStyle name="Normal 11 2 4 8 3" xfId="38283" xr:uid="{00000000-0005-0000-0000-0000AB920000}"/>
    <cellStyle name="Normal 11 2 4 8 3 2" xfId="38284" xr:uid="{00000000-0005-0000-0000-0000AC920000}"/>
    <cellStyle name="Normal 11 2 4 8 3 2 2" xfId="38285" xr:uid="{00000000-0005-0000-0000-0000AD920000}"/>
    <cellStyle name="Normal 11 2 4 8 3 3" xfId="38286" xr:uid="{00000000-0005-0000-0000-0000AE920000}"/>
    <cellStyle name="Normal 11 2 4 8 4" xfId="38287" xr:uid="{00000000-0005-0000-0000-0000AF920000}"/>
    <cellStyle name="Normal 11 2 4 8 4 2" xfId="38288" xr:uid="{00000000-0005-0000-0000-0000B0920000}"/>
    <cellStyle name="Normal 11 2 4 8 5" xfId="38289" xr:uid="{00000000-0005-0000-0000-0000B1920000}"/>
    <cellStyle name="Normal 11 2 4 9" xfId="38290" xr:uid="{00000000-0005-0000-0000-0000B2920000}"/>
    <cellStyle name="Normal 11 2 4 9 2" xfId="38291" xr:uid="{00000000-0005-0000-0000-0000B3920000}"/>
    <cellStyle name="Normal 11 2 4 9 2 2" xfId="38292" xr:uid="{00000000-0005-0000-0000-0000B4920000}"/>
    <cellStyle name="Normal 11 2 4 9 2 2 2" xfId="38293" xr:uid="{00000000-0005-0000-0000-0000B5920000}"/>
    <cellStyle name="Normal 11 2 4 9 2 2 2 2" xfId="38294" xr:uid="{00000000-0005-0000-0000-0000B6920000}"/>
    <cellStyle name="Normal 11 2 4 9 2 2 3" xfId="38295" xr:uid="{00000000-0005-0000-0000-0000B7920000}"/>
    <cellStyle name="Normal 11 2 4 9 2 3" xfId="38296" xr:uid="{00000000-0005-0000-0000-0000B8920000}"/>
    <cellStyle name="Normal 11 2 4 9 2 3 2" xfId="38297" xr:uid="{00000000-0005-0000-0000-0000B9920000}"/>
    <cellStyle name="Normal 11 2 4 9 2 4" xfId="38298" xr:uid="{00000000-0005-0000-0000-0000BA920000}"/>
    <cellStyle name="Normal 11 2 4 9 3" xfId="38299" xr:uid="{00000000-0005-0000-0000-0000BB920000}"/>
    <cellStyle name="Normal 11 2 4 9 3 2" xfId="38300" xr:uid="{00000000-0005-0000-0000-0000BC920000}"/>
    <cellStyle name="Normal 11 2 4 9 3 2 2" xfId="38301" xr:uid="{00000000-0005-0000-0000-0000BD920000}"/>
    <cellStyle name="Normal 11 2 4 9 3 3" xfId="38302" xr:uid="{00000000-0005-0000-0000-0000BE920000}"/>
    <cellStyle name="Normal 11 2 4 9 4" xfId="38303" xr:uid="{00000000-0005-0000-0000-0000BF920000}"/>
    <cellStyle name="Normal 11 2 4 9 4 2" xfId="38304" xr:uid="{00000000-0005-0000-0000-0000C0920000}"/>
    <cellStyle name="Normal 11 2 4 9 5" xfId="38305" xr:uid="{00000000-0005-0000-0000-0000C1920000}"/>
    <cellStyle name="Normal 11 2 5" xfId="596" xr:uid="{00000000-0005-0000-0000-0000C2920000}"/>
    <cellStyle name="Normal 11 2 5 10" xfId="38307" xr:uid="{00000000-0005-0000-0000-0000C3920000}"/>
    <cellStyle name="Normal 11 2 5 10 2" xfId="38308" xr:uid="{00000000-0005-0000-0000-0000C4920000}"/>
    <cellStyle name="Normal 11 2 5 10 2 2" xfId="38309" xr:uid="{00000000-0005-0000-0000-0000C5920000}"/>
    <cellStyle name="Normal 11 2 5 10 2 2 2" xfId="38310" xr:uid="{00000000-0005-0000-0000-0000C6920000}"/>
    <cellStyle name="Normal 11 2 5 10 2 3" xfId="38311" xr:uid="{00000000-0005-0000-0000-0000C7920000}"/>
    <cellStyle name="Normal 11 2 5 10 3" xfId="38312" xr:uid="{00000000-0005-0000-0000-0000C8920000}"/>
    <cellStyle name="Normal 11 2 5 10 3 2" xfId="38313" xr:uid="{00000000-0005-0000-0000-0000C9920000}"/>
    <cellStyle name="Normal 11 2 5 10 4" xfId="38314" xr:uid="{00000000-0005-0000-0000-0000CA920000}"/>
    <cellStyle name="Normal 11 2 5 11" xfId="38315" xr:uid="{00000000-0005-0000-0000-0000CB920000}"/>
    <cellStyle name="Normal 11 2 5 11 2" xfId="38316" xr:uid="{00000000-0005-0000-0000-0000CC920000}"/>
    <cellStyle name="Normal 11 2 5 11 2 2" xfId="38317" xr:uid="{00000000-0005-0000-0000-0000CD920000}"/>
    <cellStyle name="Normal 11 2 5 11 2 2 2" xfId="38318" xr:uid="{00000000-0005-0000-0000-0000CE920000}"/>
    <cellStyle name="Normal 11 2 5 11 2 3" xfId="38319" xr:uid="{00000000-0005-0000-0000-0000CF920000}"/>
    <cellStyle name="Normal 11 2 5 11 3" xfId="38320" xr:uid="{00000000-0005-0000-0000-0000D0920000}"/>
    <cellStyle name="Normal 11 2 5 11 3 2" xfId="38321" xr:uid="{00000000-0005-0000-0000-0000D1920000}"/>
    <cellStyle name="Normal 11 2 5 11 4" xfId="38322" xr:uid="{00000000-0005-0000-0000-0000D2920000}"/>
    <cellStyle name="Normal 11 2 5 12" xfId="38323" xr:uid="{00000000-0005-0000-0000-0000D3920000}"/>
    <cellStyle name="Normal 11 2 5 12 2" xfId="38324" xr:uid="{00000000-0005-0000-0000-0000D4920000}"/>
    <cellStyle name="Normal 11 2 5 12 2 2" xfId="38325" xr:uid="{00000000-0005-0000-0000-0000D5920000}"/>
    <cellStyle name="Normal 11 2 5 12 3" xfId="38326" xr:uid="{00000000-0005-0000-0000-0000D6920000}"/>
    <cellStyle name="Normal 11 2 5 13" xfId="38327" xr:uid="{00000000-0005-0000-0000-0000D7920000}"/>
    <cellStyle name="Normal 11 2 5 13 2" xfId="38328" xr:uid="{00000000-0005-0000-0000-0000D8920000}"/>
    <cellStyle name="Normal 11 2 5 13 2 2" xfId="38329" xr:uid="{00000000-0005-0000-0000-0000D9920000}"/>
    <cellStyle name="Normal 11 2 5 13 3" xfId="38330" xr:uid="{00000000-0005-0000-0000-0000DA920000}"/>
    <cellStyle name="Normal 11 2 5 14" xfId="38331" xr:uid="{00000000-0005-0000-0000-0000DB920000}"/>
    <cellStyle name="Normal 11 2 5 14 2" xfId="38332" xr:uid="{00000000-0005-0000-0000-0000DC920000}"/>
    <cellStyle name="Normal 11 2 5 14 2 2" xfId="38333" xr:uid="{00000000-0005-0000-0000-0000DD920000}"/>
    <cellStyle name="Normal 11 2 5 14 3" xfId="38334" xr:uid="{00000000-0005-0000-0000-0000DE920000}"/>
    <cellStyle name="Normal 11 2 5 15" xfId="38335" xr:uid="{00000000-0005-0000-0000-0000DF920000}"/>
    <cellStyle name="Normal 11 2 5 15 2" xfId="38336" xr:uid="{00000000-0005-0000-0000-0000E0920000}"/>
    <cellStyle name="Normal 11 2 5 16" xfId="38337" xr:uid="{00000000-0005-0000-0000-0000E1920000}"/>
    <cellStyle name="Normal 11 2 5 17" xfId="38338" xr:uid="{00000000-0005-0000-0000-0000E2920000}"/>
    <cellStyle name="Normal 11 2 5 18" xfId="38306" xr:uid="{00000000-0005-0000-0000-0000E3920000}"/>
    <cellStyle name="Normal 11 2 5 2" xfId="597" xr:uid="{00000000-0005-0000-0000-0000E4920000}"/>
    <cellStyle name="Normal 11 2 5 2 10" xfId="38340" xr:uid="{00000000-0005-0000-0000-0000E5920000}"/>
    <cellStyle name="Normal 11 2 5 2 10 2" xfId="38341" xr:uid="{00000000-0005-0000-0000-0000E6920000}"/>
    <cellStyle name="Normal 11 2 5 2 10 2 2" xfId="38342" xr:uid="{00000000-0005-0000-0000-0000E7920000}"/>
    <cellStyle name="Normal 11 2 5 2 10 2 2 2" xfId="38343" xr:uid="{00000000-0005-0000-0000-0000E8920000}"/>
    <cellStyle name="Normal 11 2 5 2 10 2 3" xfId="38344" xr:uid="{00000000-0005-0000-0000-0000E9920000}"/>
    <cellStyle name="Normal 11 2 5 2 10 3" xfId="38345" xr:uid="{00000000-0005-0000-0000-0000EA920000}"/>
    <cellStyle name="Normal 11 2 5 2 10 3 2" xfId="38346" xr:uid="{00000000-0005-0000-0000-0000EB920000}"/>
    <cellStyle name="Normal 11 2 5 2 10 4" xfId="38347" xr:uid="{00000000-0005-0000-0000-0000EC920000}"/>
    <cellStyle name="Normal 11 2 5 2 11" xfId="38348" xr:uid="{00000000-0005-0000-0000-0000ED920000}"/>
    <cellStyle name="Normal 11 2 5 2 11 2" xfId="38349" xr:uid="{00000000-0005-0000-0000-0000EE920000}"/>
    <cellStyle name="Normal 11 2 5 2 11 2 2" xfId="38350" xr:uid="{00000000-0005-0000-0000-0000EF920000}"/>
    <cellStyle name="Normal 11 2 5 2 11 3" xfId="38351" xr:uid="{00000000-0005-0000-0000-0000F0920000}"/>
    <cellStyle name="Normal 11 2 5 2 12" xfId="38352" xr:uid="{00000000-0005-0000-0000-0000F1920000}"/>
    <cellStyle name="Normal 11 2 5 2 12 2" xfId="38353" xr:uid="{00000000-0005-0000-0000-0000F2920000}"/>
    <cellStyle name="Normal 11 2 5 2 12 2 2" xfId="38354" xr:uid="{00000000-0005-0000-0000-0000F3920000}"/>
    <cellStyle name="Normal 11 2 5 2 12 3" xfId="38355" xr:uid="{00000000-0005-0000-0000-0000F4920000}"/>
    <cellStyle name="Normal 11 2 5 2 13" xfId="38356" xr:uid="{00000000-0005-0000-0000-0000F5920000}"/>
    <cellStyle name="Normal 11 2 5 2 13 2" xfId="38357" xr:uid="{00000000-0005-0000-0000-0000F6920000}"/>
    <cellStyle name="Normal 11 2 5 2 13 2 2" xfId="38358" xr:uid="{00000000-0005-0000-0000-0000F7920000}"/>
    <cellStyle name="Normal 11 2 5 2 13 3" xfId="38359" xr:uid="{00000000-0005-0000-0000-0000F8920000}"/>
    <cellStyle name="Normal 11 2 5 2 14" xfId="38360" xr:uid="{00000000-0005-0000-0000-0000F9920000}"/>
    <cellStyle name="Normal 11 2 5 2 14 2" xfId="38361" xr:uid="{00000000-0005-0000-0000-0000FA920000}"/>
    <cellStyle name="Normal 11 2 5 2 15" xfId="38362" xr:uid="{00000000-0005-0000-0000-0000FB920000}"/>
    <cellStyle name="Normal 11 2 5 2 16" xfId="38363" xr:uid="{00000000-0005-0000-0000-0000FC920000}"/>
    <cellStyle name="Normal 11 2 5 2 17" xfId="38339" xr:uid="{00000000-0005-0000-0000-0000FD920000}"/>
    <cellStyle name="Normal 11 2 5 2 2" xfId="598" xr:uid="{00000000-0005-0000-0000-0000FE920000}"/>
    <cellStyle name="Normal 11 2 5 2 2 10" xfId="38365" xr:uid="{00000000-0005-0000-0000-0000FF920000}"/>
    <cellStyle name="Normal 11 2 5 2 2 10 2" xfId="38366" xr:uid="{00000000-0005-0000-0000-000000930000}"/>
    <cellStyle name="Normal 11 2 5 2 2 10 2 2" xfId="38367" xr:uid="{00000000-0005-0000-0000-000001930000}"/>
    <cellStyle name="Normal 11 2 5 2 2 10 3" xfId="38368" xr:uid="{00000000-0005-0000-0000-000002930000}"/>
    <cellStyle name="Normal 11 2 5 2 2 11" xfId="38369" xr:uid="{00000000-0005-0000-0000-000003930000}"/>
    <cellStyle name="Normal 11 2 5 2 2 11 2" xfId="38370" xr:uid="{00000000-0005-0000-0000-000004930000}"/>
    <cellStyle name="Normal 11 2 5 2 2 11 2 2" xfId="38371" xr:uid="{00000000-0005-0000-0000-000005930000}"/>
    <cellStyle name="Normal 11 2 5 2 2 11 3" xfId="38372" xr:uid="{00000000-0005-0000-0000-000006930000}"/>
    <cellStyle name="Normal 11 2 5 2 2 12" xfId="38373" xr:uid="{00000000-0005-0000-0000-000007930000}"/>
    <cellStyle name="Normal 11 2 5 2 2 12 2" xfId="38374" xr:uid="{00000000-0005-0000-0000-000008930000}"/>
    <cellStyle name="Normal 11 2 5 2 2 13" xfId="38375" xr:uid="{00000000-0005-0000-0000-000009930000}"/>
    <cellStyle name="Normal 11 2 5 2 2 14" xfId="38376" xr:uid="{00000000-0005-0000-0000-00000A930000}"/>
    <cellStyle name="Normal 11 2 5 2 2 15" xfId="38364" xr:uid="{00000000-0005-0000-0000-00000B930000}"/>
    <cellStyle name="Normal 11 2 5 2 2 2" xfId="1040" xr:uid="{00000000-0005-0000-0000-00000C930000}"/>
    <cellStyle name="Normal 11 2 5 2 2 2 10" xfId="38378" xr:uid="{00000000-0005-0000-0000-00000D930000}"/>
    <cellStyle name="Normal 11 2 5 2 2 2 11" xfId="38377" xr:uid="{00000000-0005-0000-0000-00000E930000}"/>
    <cellStyle name="Normal 11 2 5 2 2 2 2" xfId="1769" xr:uid="{00000000-0005-0000-0000-00000F930000}"/>
    <cellStyle name="Normal 11 2 5 2 2 2 2 2" xfId="38380" xr:uid="{00000000-0005-0000-0000-000010930000}"/>
    <cellStyle name="Normal 11 2 5 2 2 2 2 2 2" xfId="38381" xr:uid="{00000000-0005-0000-0000-000011930000}"/>
    <cellStyle name="Normal 11 2 5 2 2 2 2 2 2 2" xfId="38382" xr:uid="{00000000-0005-0000-0000-000012930000}"/>
    <cellStyle name="Normal 11 2 5 2 2 2 2 2 2 2 2" xfId="38383" xr:uid="{00000000-0005-0000-0000-000013930000}"/>
    <cellStyle name="Normal 11 2 5 2 2 2 2 2 2 3" xfId="38384" xr:uid="{00000000-0005-0000-0000-000014930000}"/>
    <cellStyle name="Normal 11 2 5 2 2 2 2 2 3" xfId="38385" xr:uid="{00000000-0005-0000-0000-000015930000}"/>
    <cellStyle name="Normal 11 2 5 2 2 2 2 2 3 2" xfId="38386" xr:uid="{00000000-0005-0000-0000-000016930000}"/>
    <cellStyle name="Normal 11 2 5 2 2 2 2 2 4" xfId="38387" xr:uid="{00000000-0005-0000-0000-000017930000}"/>
    <cellStyle name="Normal 11 2 5 2 2 2 2 3" xfId="38388" xr:uid="{00000000-0005-0000-0000-000018930000}"/>
    <cellStyle name="Normal 11 2 5 2 2 2 2 3 2" xfId="38389" xr:uid="{00000000-0005-0000-0000-000019930000}"/>
    <cellStyle name="Normal 11 2 5 2 2 2 2 3 2 2" xfId="38390" xr:uid="{00000000-0005-0000-0000-00001A930000}"/>
    <cellStyle name="Normal 11 2 5 2 2 2 2 3 2 2 2" xfId="38391" xr:uid="{00000000-0005-0000-0000-00001B930000}"/>
    <cellStyle name="Normal 11 2 5 2 2 2 2 3 2 3" xfId="38392" xr:uid="{00000000-0005-0000-0000-00001C930000}"/>
    <cellStyle name="Normal 11 2 5 2 2 2 2 3 3" xfId="38393" xr:uid="{00000000-0005-0000-0000-00001D930000}"/>
    <cellStyle name="Normal 11 2 5 2 2 2 2 3 3 2" xfId="38394" xr:uid="{00000000-0005-0000-0000-00001E930000}"/>
    <cellStyle name="Normal 11 2 5 2 2 2 2 3 4" xfId="38395" xr:uid="{00000000-0005-0000-0000-00001F930000}"/>
    <cellStyle name="Normal 11 2 5 2 2 2 2 4" xfId="38396" xr:uid="{00000000-0005-0000-0000-000020930000}"/>
    <cellStyle name="Normal 11 2 5 2 2 2 2 4 2" xfId="38397" xr:uid="{00000000-0005-0000-0000-000021930000}"/>
    <cellStyle name="Normal 11 2 5 2 2 2 2 4 2 2" xfId="38398" xr:uid="{00000000-0005-0000-0000-000022930000}"/>
    <cellStyle name="Normal 11 2 5 2 2 2 2 4 3" xfId="38399" xr:uid="{00000000-0005-0000-0000-000023930000}"/>
    <cellStyle name="Normal 11 2 5 2 2 2 2 5" xfId="38400" xr:uid="{00000000-0005-0000-0000-000024930000}"/>
    <cellStyle name="Normal 11 2 5 2 2 2 2 5 2" xfId="38401" xr:uid="{00000000-0005-0000-0000-000025930000}"/>
    <cellStyle name="Normal 11 2 5 2 2 2 2 6" xfId="38402" xr:uid="{00000000-0005-0000-0000-000026930000}"/>
    <cellStyle name="Normal 11 2 5 2 2 2 2 7" xfId="38379" xr:uid="{00000000-0005-0000-0000-000027930000}"/>
    <cellStyle name="Normal 11 2 5 2 2 2 3" xfId="38403" xr:uid="{00000000-0005-0000-0000-000028930000}"/>
    <cellStyle name="Normal 11 2 5 2 2 2 3 2" xfId="38404" xr:uid="{00000000-0005-0000-0000-000029930000}"/>
    <cellStyle name="Normal 11 2 5 2 2 2 3 2 2" xfId="38405" xr:uid="{00000000-0005-0000-0000-00002A930000}"/>
    <cellStyle name="Normal 11 2 5 2 2 2 3 2 2 2" xfId="38406" xr:uid="{00000000-0005-0000-0000-00002B930000}"/>
    <cellStyle name="Normal 11 2 5 2 2 2 3 2 2 2 2" xfId="38407" xr:uid="{00000000-0005-0000-0000-00002C930000}"/>
    <cellStyle name="Normal 11 2 5 2 2 2 3 2 2 3" xfId="38408" xr:uid="{00000000-0005-0000-0000-00002D930000}"/>
    <cellStyle name="Normal 11 2 5 2 2 2 3 2 3" xfId="38409" xr:uid="{00000000-0005-0000-0000-00002E930000}"/>
    <cellStyle name="Normal 11 2 5 2 2 2 3 2 3 2" xfId="38410" xr:uid="{00000000-0005-0000-0000-00002F930000}"/>
    <cellStyle name="Normal 11 2 5 2 2 2 3 2 4" xfId="38411" xr:uid="{00000000-0005-0000-0000-000030930000}"/>
    <cellStyle name="Normal 11 2 5 2 2 2 3 3" xfId="38412" xr:uid="{00000000-0005-0000-0000-000031930000}"/>
    <cellStyle name="Normal 11 2 5 2 2 2 3 3 2" xfId="38413" xr:uid="{00000000-0005-0000-0000-000032930000}"/>
    <cellStyle name="Normal 11 2 5 2 2 2 3 3 2 2" xfId="38414" xr:uid="{00000000-0005-0000-0000-000033930000}"/>
    <cellStyle name="Normal 11 2 5 2 2 2 3 3 3" xfId="38415" xr:uid="{00000000-0005-0000-0000-000034930000}"/>
    <cellStyle name="Normal 11 2 5 2 2 2 3 4" xfId="38416" xr:uid="{00000000-0005-0000-0000-000035930000}"/>
    <cellStyle name="Normal 11 2 5 2 2 2 3 4 2" xfId="38417" xr:uid="{00000000-0005-0000-0000-000036930000}"/>
    <cellStyle name="Normal 11 2 5 2 2 2 3 5" xfId="38418" xr:uid="{00000000-0005-0000-0000-000037930000}"/>
    <cellStyle name="Normal 11 2 5 2 2 2 4" xfId="38419" xr:uid="{00000000-0005-0000-0000-000038930000}"/>
    <cellStyle name="Normal 11 2 5 2 2 2 4 2" xfId="38420" xr:uid="{00000000-0005-0000-0000-000039930000}"/>
    <cellStyle name="Normal 11 2 5 2 2 2 4 2 2" xfId="38421" xr:uid="{00000000-0005-0000-0000-00003A930000}"/>
    <cellStyle name="Normal 11 2 5 2 2 2 4 2 2 2" xfId="38422" xr:uid="{00000000-0005-0000-0000-00003B930000}"/>
    <cellStyle name="Normal 11 2 5 2 2 2 4 2 2 2 2" xfId="38423" xr:uid="{00000000-0005-0000-0000-00003C930000}"/>
    <cellStyle name="Normal 11 2 5 2 2 2 4 2 2 3" xfId="38424" xr:uid="{00000000-0005-0000-0000-00003D930000}"/>
    <cellStyle name="Normal 11 2 5 2 2 2 4 2 3" xfId="38425" xr:uid="{00000000-0005-0000-0000-00003E930000}"/>
    <cellStyle name="Normal 11 2 5 2 2 2 4 2 3 2" xfId="38426" xr:uid="{00000000-0005-0000-0000-00003F930000}"/>
    <cellStyle name="Normal 11 2 5 2 2 2 4 2 4" xfId="38427" xr:uid="{00000000-0005-0000-0000-000040930000}"/>
    <cellStyle name="Normal 11 2 5 2 2 2 4 3" xfId="38428" xr:uid="{00000000-0005-0000-0000-000041930000}"/>
    <cellStyle name="Normal 11 2 5 2 2 2 4 3 2" xfId="38429" xr:uid="{00000000-0005-0000-0000-000042930000}"/>
    <cellStyle name="Normal 11 2 5 2 2 2 4 3 2 2" xfId="38430" xr:uid="{00000000-0005-0000-0000-000043930000}"/>
    <cellStyle name="Normal 11 2 5 2 2 2 4 3 3" xfId="38431" xr:uid="{00000000-0005-0000-0000-000044930000}"/>
    <cellStyle name="Normal 11 2 5 2 2 2 4 4" xfId="38432" xr:uid="{00000000-0005-0000-0000-000045930000}"/>
    <cellStyle name="Normal 11 2 5 2 2 2 4 4 2" xfId="38433" xr:uid="{00000000-0005-0000-0000-000046930000}"/>
    <cellStyle name="Normal 11 2 5 2 2 2 4 5" xfId="38434" xr:uid="{00000000-0005-0000-0000-000047930000}"/>
    <cellStyle name="Normal 11 2 5 2 2 2 5" xfId="38435" xr:uid="{00000000-0005-0000-0000-000048930000}"/>
    <cellStyle name="Normal 11 2 5 2 2 2 5 2" xfId="38436" xr:uid="{00000000-0005-0000-0000-000049930000}"/>
    <cellStyle name="Normal 11 2 5 2 2 2 5 2 2" xfId="38437" xr:uid="{00000000-0005-0000-0000-00004A930000}"/>
    <cellStyle name="Normal 11 2 5 2 2 2 5 2 2 2" xfId="38438" xr:uid="{00000000-0005-0000-0000-00004B930000}"/>
    <cellStyle name="Normal 11 2 5 2 2 2 5 2 3" xfId="38439" xr:uid="{00000000-0005-0000-0000-00004C930000}"/>
    <cellStyle name="Normal 11 2 5 2 2 2 5 3" xfId="38440" xr:uid="{00000000-0005-0000-0000-00004D930000}"/>
    <cellStyle name="Normal 11 2 5 2 2 2 5 3 2" xfId="38441" xr:uid="{00000000-0005-0000-0000-00004E930000}"/>
    <cellStyle name="Normal 11 2 5 2 2 2 5 4" xfId="38442" xr:uid="{00000000-0005-0000-0000-00004F930000}"/>
    <cellStyle name="Normal 11 2 5 2 2 2 6" xfId="38443" xr:uid="{00000000-0005-0000-0000-000050930000}"/>
    <cellStyle name="Normal 11 2 5 2 2 2 6 2" xfId="38444" xr:uid="{00000000-0005-0000-0000-000051930000}"/>
    <cellStyle name="Normal 11 2 5 2 2 2 6 2 2" xfId="38445" xr:uid="{00000000-0005-0000-0000-000052930000}"/>
    <cellStyle name="Normal 11 2 5 2 2 2 6 2 2 2" xfId="38446" xr:uid="{00000000-0005-0000-0000-000053930000}"/>
    <cellStyle name="Normal 11 2 5 2 2 2 6 2 3" xfId="38447" xr:uid="{00000000-0005-0000-0000-000054930000}"/>
    <cellStyle name="Normal 11 2 5 2 2 2 6 3" xfId="38448" xr:uid="{00000000-0005-0000-0000-000055930000}"/>
    <cellStyle name="Normal 11 2 5 2 2 2 6 3 2" xfId="38449" xr:uid="{00000000-0005-0000-0000-000056930000}"/>
    <cellStyle name="Normal 11 2 5 2 2 2 6 4" xfId="38450" xr:uid="{00000000-0005-0000-0000-000057930000}"/>
    <cellStyle name="Normal 11 2 5 2 2 2 7" xfId="38451" xr:uid="{00000000-0005-0000-0000-000058930000}"/>
    <cellStyle name="Normal 11 2 5 2 2 2 7 2" xfId="38452" xr:uid="{00000000-0005-0000-0000-000059930000}"/>
    <cellStyle name="Normal 11 2 5 2 2 2 7 2 2" xfId="38453" xr:uid="{00000000-0005-0000-0000-00005A930000}"/>
    <cellStyle name="Normal 11 2 5 2 2 2 7 2 2 2" xfId="38454" xr:uid="{00000000-0005-0000-0000-00005B930000}"/>
    <cellStyle name="Normal 11 2 5 2 2 2 7 2 3" xfId="38455" xr:uid="{00000000-0005-0000-0000-00005C930000}"/>
    <cellStyle name="Normal 11 2 5 2 2 2 7 3" xfId="38456" xr:uid="{00000000-0005-0000-0000-00005D930000}"/>
    <cellStyle name="Normal 11 2 5 2 2 2 7 3 2" xfId="38457" xr:uid="{00000000-0005-0000-0000-00005E930000}"/>
    <cellStyle name="Normal 11 2 5 2 2 2 7 4" xfId="38458" xr:uid="{00000000-0005-0000-0000-00005F930000}"/>
    <cellStyle name="Normal 11 2 5 2 2 2 8" xfId="38459" xr:uid="{00000000-0005-0000-0000-000060930000}"/>
    <cellStyle name="Normal 11 2 5 2 2 2 8 2" xfId="38460" xr:uid="{00000000-0005-0000-0000-000061930000}"/>
    <cellStyle name="Normal 11 2 5 2 2 2 8 2 2" xfId="38461" xr:uid="{00000000-0005-0000-0000-000062930000}"/>
    <cellStyle name="Normal 11 2 5 2 2 2 8 3" xfId="38462" xr:uid="{00000000-0005-0000-0000-000063930000}"/>
    <cellStyle name="Normal 11 2 5 2 2 2 9" xfId="38463" xr:uid="{00000000-0005-0000-0000-000064930000}"/>
    <cellStyle name="Normal 11 2 5 2 2 2 9 2" xfId="38464" xr:uid="{00000000-0005-0000-0000-000065930000}"/>
    <cellStyle name="Normal 11 2 5 2 2 3" xfId="1442" xr:uid="{00000000-0005-0000-0000-000066930000}"/>
    <cellStyle name="Normal 11 2 5 2 2 3 2" xfId="38466" xr:uid="{00000000-0005-0000-0000-000067930000}"/>
    <cellStyle name="Normal 11 2 5 2 2 3 2 2" xfId="38467" xr:uid="{00000000-0005-0000-0000-000068930000}"/>
    <cellStyle name="Normal 11 2 5 2 2 3 2 2 2" xfId="38468" xr:uid="{00000000-0005-0000-0000-000069930000}"/>
    <cellStyle name="Normal 11 2 5 2 2 3 2 2 2 2" xfId="38469" xr:uid="{00000000-0005-0000-0000-00006A930000}"/>
    <cellStyle name="Normal 11 2 5 2 2 3 2 2 3" xfId="38470" xr:uid="{00000000-0005-0000-0000-00006B930000}"/>
    <cellStyle name="Normal 11 2 5 2 2 3 2 3" xfId="38471" xr:uid="{00000000-0005-0000-0000-00006C930000}"/>
    <cellStyle name="Normal 11 2 5 2 2 3 2 3 2" xfId="38472" xr:uid="{00000000-0005-0000-0000-00006D930000}"/>
    <cellStyle name="Normal 11 2 5 2 2 3 2 4" xfId="38473" xr:uid="{00000000-0005-0000-0000-00006E930000}"/>
    <cellStyle name="Normal 11 2 5 2 2 3 3" xfId="38474" xr:uid="{00000000-0005-0000-0000-00006F930000}"/>
    <cellStyle name="Normal 11 2 5 2 2 3 3 2" xfId="38475" xr:uid="{00000000-0005-0000-0000-000070930000}"/>
    <cellStyle name="Normal 11 2 5 2 2 3 3 2 2" xfId="38476" xr:uid="{00000000-0005-0000-0000-000071930000}"/>
    <cellStyle name="Normal 11 2 5 2 2 3 3 2 2 2" xfId="38477" xr:uid="{00000000-0005-0000-0000-000072930000}"/>
    <cellStyle name="Normal 11 2 5 2 2 3 3 2 3" xfId="38478" xr:uid="{00000000-0005-0000-0000-000073930000}"/>
    <cellStyle name="Normal 11 2 5 2 2 3 3 3" xfId="38479" xr:uid="{00000000-0005-0000-0000-000074930000}"/>
    <cellStyle name="Normal 11 2 5 2 2 3 3 3 2" xfId="38480" xr:uid="{00000000-0005-0000-0000-000075930000}"/>
    <cellStyle name="Normal 11 2 5 2 2 3 3 4" xfId="38481" xr:uid="{00000000-0005-0000-0000-000076930000}"/>
    <cellStyle name="Normal 11 2 5 2 2 3 4" xfId="38482" xr:uid="{00000000-0005-0000-0000-000077930000}"/>
    <cellStyle name="Normal 11 2 5 2 2 3 4 2" xfId="38483" xr:uid="{00000000-0005-0000-0000-000078930000}"/>
    <cellStyle name="Normal 11 2 5 2 2 3 4 2 2" xfId="38484" xr:uid="{00000000-0005-0000-0000-000079930000}"/>
    <cellStyle name="Normal 11 2 5 2 2 3 4 3" xfId="38485" xr:uid="{00000000-0005-0000-0000-00007A930000}"/>
    <cellStyle name="Normal 11 2 5 2 2 3 5" xfId="38486" xr:uid="{00000000-0005-0000-0000-00007B930000}"/>
    <cellStyle name="Normal 11 2 5 2 2 3 5 2" xfId="38487" xr:uid="{00000000-0005-0000-0000-00007C930000}"/>
    <cellStyle name="Normal 11 2 5 2 2 3 6" xfId="38488" xr:uid="{00000000-0005-0000-0000-00007D930000}"/>
    <cellStyle name="Normal 11 2 5 2 2 3 7" xfId="38465" xr:uid="{00000000-0005-0000-0000-00007E930000}"/>
    <cellStyle name="Normal 11 2 5 2 2 4" xfId="38489" xr:uid="{00000000-0005-0000-0000-00007F930000}"/>
    <cellStyle name="Normal 11 2 5 2 2 4 2" xfId="38490" xr:uid="{00000000-0005-0000-0000-000080930000}"/>
    <cellStyle name="Normal 11 2 5 2 2 4 2 2" xfId="38491" xr:uid="{00000000-0005-0000-0000-000081930000}"/>
    <cellStyle name="Normal 11 2 5 2 2 4 2 2 2" xfId="38492" xr:uid="{00000000-0005-0000-0000-000082930000}"/>
    <cellStyle name="Normal 11 2 5 2 2 4 2 2 2 2" xfId="38493" xr:uid="{00000000-0005-0000-0000-000083930000}"/>
    <cellStyle name="Normal 11 2 5 2 2 4 2 2 3" xfId="38494" xr:uid="{00000000-0005-0000-0000-000084930000}"/>
    <cellStyle name="Normal 11 2 5 2 2 4 2 3" xfId="38495" xr:uid="{00000000-0005-0000-0000-000085930000}"/>
    <cellStyle name="Normal 11 2 5 2 2 4 2 3 2" xfId="38496" xr:uid="{00000000-0005-0000-0000-000086930000}"/>
    <cellStyle name="Normal 11 2 5 2 2 4 2 4" xfId="38497" xr:uid="{00000000-0005-0000-0000-000087930000}"/>
    <cellStyle name="Normal 11 2 5 2 2 4 3" xfId="38498" xr:uid="{00000000-0005-0000-0000-000088930000}"/>
    <cellStyle name="Normal 11 2 5 2 2 4 3 2" xfId="38499" xr:uid="{00000000-0005-0000-0000-000089930000}"/>
    <cellStyle name="Normal 11 2 5 2 2 4 3 2 2" xfId="38500" xr:uid="{00000000-0005-0000-0000-00008A930000}"/>
    <cellStyle name="Normal 11 2 5 2 2 4 3 3" xfId="38501" xr:uid="{00000000-0005-0000-0000-00008B930000}"/>
    <cellStyle name="Normal 11 2 5 2 2 4 4" xfId="38502" xr:uid="{00000000-0005-0000-0000-00008C930000}"/>
    <cellStyle name="Normal 11 2 5 2 2 4 4 2" xfId="38503" xr:uid="{00000000-0005-0000-0000-00008D930000}"/>
    <cellStyle name="Normal 11 2 5 2 2 4 5" xfId="38504" xr:uid="{00000000-0005-0000-0000-00008E930000}"/>
    <cellStyle name="Normal 11 2 5 2 2 5" xfId="38505" xr:uid="{00000000-0005-0000-0000-00008F930000}"/>
    <cellStyle name="Normal 11 2 5 2 2 5 2" xfId="38506" xr:uid="{00000000-0005-0000-0000-000090930000}"/>
    <cellStyle name="Normal 11 2 5 2 2 5 2 2" xfId="38507" xr:uid="{00000000-0005-0000-0000-000091930000}"/>
    <cellStyle name="Normal 11 2 5 2 2 5 2 2 2" xfId="38508" xr:uid="{00000000-0005-0000-0000-000092930000}"/>
    <cellStyle name="Normal 11 2 5 2 2 5 2 2 2 2" xfId="38509" xr:uid="{00000000-0005-0000-0000-000093930000}"/>
    <cellStyle name="Normal 11 2 5 2 2 5 2 2 3" xfId="38510" xr:uid="{00000000-0005-0000-0000-000094930000}"/>
    <cellStyle name="Normal 11 2 5 2 2 5 2 3" xfId="38511" xr:uid="{00000000-0005-0000-0000-000095930000}"/>
    <cellStyle name="Normal 11 2 5 2 2 5 2 3 2" xfId="38512" xr:uid="{00000000-0005-0000-0000-000096930000}"/>
    <cellStyle name="Normal 11 2 5 2 2 5 2 4" xfId="38513" xr:uid="{00000000-0005-0000-0000-000097930000}"/>
    <cellStyle name="Normal 11 2 5 2 2 5 3" xfId="38514" xr:uid="{00000000-0005-0000-0000-000098930000}"/>
    <cellStyle name="Normal 11 2 5 2 2 5 3 2" xfId="38515" xr:uid="{00000000-0005-0000-0000-000099930000}"/>
    <cellStyle name="Normal 11 2 5 2 2 5 3 2 2" xfId="38516" xr:uid="{00000000-0005-0000-0000-00009A930000}"/>
    <cellStyle name="Normal 11 2 5 2 2 5 3 3" xfId="38517" xr:uid="{00000000-0005-0000-0000-00009B930000}"/>
    <cellStyle name="Normal 11 2 5 2 2 5 4" xfId="38518" xr:uid="{00000000-0005-0000-0000-00009C930000}"/>
    <cellStyle name="Normal 11 2 5 2 2 5 4 2" xfId="38519" xr:uid="{00000000-0005-0000-0000-00009D930000}"/>
    <cellStyle name="Normal 11 2 5 2 2 5 5" xfId="38520" xr:uid="{00000000-0005-0000-0000-00009E930000}"/>
    <cellStyle name="Normal 11 2 5 2 2 6" xfId="38521" xr:uid="{00000000-0005-0000-0000-00009F930000}"/>
    <cellStyle name="Normal 11 2 5 2 2 6 2" xfId="38522" xr:uid="{00000000-0005-0000-0000-0000A0930000}"/>
    <cellStyle name="Normal 11 2 5 2 2 6 2 2" xfId="38523" xr:uid="{00000000-0005-0000-0000-0000A1930000}"/>
    <cellStyle name="Normal 11 2 5 2 2 6 2 2 2" xfId="38524" xr:uid="{00000000-0005-0000-0000-0000A2930000}"/>
    <cellStyle name="Normal 11 2 5 2 2 6 2 3" xfId="38525" xr:uid="{00000000-0005-0000-0000-0000A3930000}"/>
    <cellStyle name="Normal 11 2 5 2 2 6 3" xfId="38526" xr:uid="{00000000-0005-0000-0000-0000A4930000}"/>
    <cellStyle name="Normal 11 2 5 2 2 6 3 2" xfId="38527" xr:uid="{00000000-0005-0000-0000-0000A5930000}"/>
    <cellStyle name="Normal 11 2 5 2 2 6 4" xfId="38528" xr:uid="{00000000-0005-0000-0000-0000A6930000}"/>
    <cellStyle name="Normal 11 2 5 2 2 7" xfId="38529" xr:uid="{00000000-0005-0000-0000-0000A7930000}"/>
    <cellStyle name="Normal 11 2 5 2 2 7 2" xfId="38530" xr:uid="{00000000-0005-0000-0000-0000A8930000}"/>
    <cellStyle name="Normal 11 2 5 2 2 7 2 2" xfId="38531" xr:uid="{00000000-0005-0000-0000-0000A9930000}"/>
    <cellStyle name="Normal 11 2 5 2 2 7 2 2 2" xfId="38532" xr:uid="{00000000-0005-0000-0000-0000AA930000}"/>
    <cellStyle name="Normal 11 2 5 2 2 7 2 3" xfId="38533" xr:uid="{00000000-0005-0000-0000-0000AB930000}"/>
    <cellStyle name="Normal 11 2 5 2 2 7 3" xfId="38534" xr:uid="{00000000-0005-0000-0000-0000AC930000}"/>
    <cellStyle name="Normal 11 2 5 2 2 7 3 2" xfId="38535" xr:uid="{00000000-0005-0000-0000-0000AD930000}"/>
    <cellStyle name="Normal 11 2 5 2 2 7 4" xfId="38536" xr:uid="{00000000-0005-0000-0000-0000AE930000}"/>
    <cellStyle name="Normal 11 2 5 2 2 8" xfId="38537" xr:uid="{00000000-0005-0000-0000-0000AF930000}"/>
    <cellStyle name="Normal 11 2 5 2 2 8 2" xfId="38538" xr:uid="{00000000-0005-0000-0000-0000B0930000}"/>
    <cellStyle name="Normal 11 2 5 2 2 8 2 2" xfId="38539" xr:uid="{00000000-0005-0000-0000-0000B1930000}"/>
    <cellStyle name="Normal 11 2 5 2 2 8 2 2 2" xfId="38540" xr:uid="{00000000-0005-0000-0000-0000B2930000}"/>
    <cellStyle name="Normal 11 2 5 2 2 8 2 3" xfId="38541" xr:uid="{00000000-0005-0000-0000-0000B3930000}"/>
    <cellStyle name="Normal 11 2 5 2 2 8 3" xfId="38542" xr:uid="{00000000-0005-0000-0000-0000B4930000}"/>
    <cellStyle name="Normal 11 2 5 2 2 8 3 2" xfId="38543" xr:uid="{00000000-0005-0000-0000-0000B5930000}"/>
    <cellStyle name="Normal 11 2 5 2 2 8 4" xfId="38544" xr:uid="{00000000-0005-0000-0000-0000B6930000}"/>
    <cellStyle name="Normal 11 2 5 2 2 9" xfId="38545" xr:uid="{00000000-0005-0000-0000-0000B7930000}"/>
    <cellStyle name="Normal 11 2 5 2 2 9 2" xfId="38546" xr:uid="{00000000-0005-0000-0000-0000B8930000}"/>
    <cellStyle name="Normal 11 2 5 2 2 9 2 2" xfId="38547" xr:uid="{00000000-0005-0000-0000-0000B9930000}"/>
    <cellStyle name="Normal 11 2 5 2 2 9 3" xfId="38548" xr:uid="{00000000-0005-0000-0000-0000BA930000}"/>
    <cellStyle name="Normal 11 2 5 2 3" xfId="599" xr:uid="{00000000-0005-0000-0000-0000BB930000}"/>
    <cellStyle name="Normal 11 2 5 2 3 10" xfId="38550" xr:uid="{00000000-0005-0000-0000-0000BC930000}"/>
    <cellStyle name="Normal 11 2 5 2 3 10 2" xfId="38551" xr:uid="{00000000-0005-0000-0000-0000BD930000}"/>
    <cellStyle name="Normal 11 2 5 2 3 10 2 2" xfId="38552" xr:uid="{00000000-0005-0000-0000-0000BE930000}"/>
    <cellStyle name="Normal 11 2 5 2 3 10 3" xfId="38553" xr:uid="{00000000-0005-0000-0000-0000BF930000}"/>
    <cellStyle name="Normal 11 2 5 2 3 11" xfId="38554" xr:uid="{00000000-0005-0000-0000-0000C0930000}"/>
    <cellStyle name="Normal 11 2 5 2 3 11 2" xfId="38555" xr:uid="{00000000-0005-0000-0000-0000C1930000}"/>
    <cellStyle name="Normal 11 2 5 2 3 11 2 2" xfId="38556" xr:uid="{00000000-0005-0000-0000-0000C2930000}"/>
    <cellStyle name="Normal 11 2 5 2 3 11 3" xfId="38557" xr:uid="{00000000-0005-0000-0000-0000C3930000}"/>
    <cellStyle name="Normal 11 2 5 2 3 12" xfId="38558" xr:uid="{00000000-0005-0000-0000-0000C4930000}"/>
    <cellStyle name="Normal 11 2 5 2 3 12 2" xfId="38559" xr:uid="{00000000-0005-0000-0000-0000C5930000}"/>
    <cellStyle name="Normal 11 2 5 2 3 13" xfId="38560" xr:uid="{00000000-0005-0000-0000-0000C6930000}"/>
    <cellStyle name="Normal 11 2 5 2 3 14" xfId="38561" xr:uid="{00000000-0005-0000-0000-0000C7930000}"/>
    <cellStyle name="Normal 11 2 5 2 3 15" xfId="38549" xr:uid="{00000000-0005-0000-0000-0000C8930000}"/>
    <cellStyle name="Normal 11 2 5 2 3 2" xfId="1041" xr:uid="{00000000-0005-0000-0000-0000C9930000}"/>
    <cellStyle name="Normal 11 2 5 2 3 2 10" xfId="38563" xr:uid="{00000000-0005-0000-0000-0000CA930000}"/>
    <cellStyle name="Normal 11 2 5 2 3 2 11" xfId="38562" xr:uid="{00000000-0005-0000-0000-0000CB930000}"/>
    <cellStyle name="Normal 11 2 5 2 3 2 2" xfId="1770" xr:uid="{00000000-0005-0000-0000-0000CC930000}"/>
    <cellStyle name="Normal 11 2 5 2 3 2 2 2" xfId="38565" xr:uid="{00000000-0005-0000-0000-0000CD930000}"/>
    <cellStyle name="Normal 11 2 5 2 3 2 2 2 2" xfId="38566" xr:uid="{00000000-0005-0000-0000-0000CE930000}"/>
    <cellStyle name="Normal 11 2 5 2 3 2 2 2 2 2" xfId="38567" xr:uid="{00000000-0005-0000-0000-0000CF930000}"/>
    <cellStyle name="Normal 11 2 5 2 3 2 2 2 2 2 2" xfId="38568" xr:uid="{00000000-0005-0000-0000-0000D0930000}"/>
    <cellStyle name="Normal 11 2 5 2 3 2 2 2 2 3" xfId="38569" xr:uid="{00000000-0005-0000-0000-0000D1930000}"/>
    <cellStyle name="Normal 11 2 5 2 3 2 2 2 3" xfId="38570" xr:uid="{00000000-0005-0000-0000-0000D2930000}"/>
    <cellStyle name="Normal 11 2 5 2 3 2 2 2 3 2" xfId="38571" xr:uid="{00000000-0005-0000-0000-0000D3930000}"/>
    <cellStyle name="Normal 11 2 5 2 3 2 2 2 4" xfId="38572" xr:uid="{00000000-0005-0000-0000-0000D4930000}"/>
    <cellStyle name="Normal 11 2 5 2 3 2 2 3" xfId="38573" xr:uid="{00000000-0005-0000-0000-0000D5930000}"/>
    <cellStyle name="Normal 11 2 5 2 3 2 2 3 2" xfId="38574" xr:uid="{00000000-0005-0000-0000-0000D6930000}"/>
    <cellStyle name="Normal 11 2 5 2 3 2 2 3 2 2" xfId="38575" xr:uid="{00000000-0005-0000-0000-0000D7930000}"/>
    <cellStyle name="Normal 11 2 5 2 3 2 2 3 2 2 2" xfId="38576" xr:uid="{00000000-0005-0000-0000-0000D8930000}"/>
    <cellStyle name="Normal 11 2 5 2 3 2 2 3 2 3" xfId="38577" xr:uid="{00000000-0005-0000-0000-0000D9930000}"/>
    <cellStyle name="Normal 11 2 5 2 3 2 2 3 3" xfId="38578" xr:uid="{00000000-0005-0000-0000-0000DA930000}"/>
    <cellStyle name="Normal 11 2 5 2 3 2 2 3 3 2" xfId="38579" xr:uid="{00000000-0005-0000-0000-0000DB930000}"/>
    <cellStyle name="Normal 11 2 5 2 3 2 2 3 4" xfId="38580" xr:uid="{00000000-0005-0000-0000-0000DC930000}"/>
    <cellStyle name="Normal 11 2 5 2 3 2 2 4" xfId="38581" xr:uid="{00000000-0005-0000-0000-0000DD930000}"/>
    <cellStyle name="Normal 11 2 5 2 3 2 2 4 2" xfId="38582" xr:uid="{00000000-0005-0000-0000-0000DE930000}"/>
    <cellStyle name="Normal 11 2 5 2 3 2 2 4 2 2" xfId="38583" xr:uid="{00000000-0005-0000-0000-0000DF930000}"/>
    <cellStyle name="Normal 11 2 5 2 3 2 2 4 3" xfId="38584" xr:uid="{00000000-0005-0000-0000-0000E0930000}"/>
    <cellStyle name="Normal 11 2 5 2 3 2 2 5" xfId="38585" xr:uid="{00000000-0005-0000-0000-0000E1930000}"/>
    <cellStyle name="Normal 11 2 5 2 3 2 2 5 2" xfId="38586" xr:uid="{00000000-0005-0000-0000-0000E2930000}"/>
    <cellStyle name="Normal 11 2 5 2 3 2 2 6" xfId="38587" xr:uid="{00000000-0005-0000-0000-0000E3930000}"/>
    <cellStyle name="Normal 11 2 5 2 3 2 2 7" xfId="38564" xr:uid="{00000000-0005-0000-0000-0000E4930000}"/>
    <cellStyle name="Normal 11 2 5 2 3 2 3" xfId="38588" xr:uid="{00000000-0005-0000-0000-0000E5930000}"/>
    <cellStyle name="Normal 11 2 5 2 3 2 3 2" xfId="38589" xr:uid="{00000000-0005-0000-0000-0000E6930000}"/>
    <cellStyle name="Normal 11 2 5 2 3 2 3 2 2" xfId="38590" xr:uid="{00000000-0005-0000-0000-0000E7930000}"/>
    <cellStyle name="Normal 11 2 5 2 3 2 3 2 2 2" xfId="38591" xr:uid="{00000000-0005-0000-0000-0000E8930000}"/>
    <cellStyle name="Normal 11 2 5 2 3 2 3 2 2 2 2" xfId="38592" xr:uid="{00000000-0005-0000-0000-0000E9930000}"/>
    <cellStyle name="Normal 11 2 5 2 3 2 3 2 2 3" xfId="38593" xr:uid="{00000000-0005-0000-0000-0000EA930000}"/>
    <cellStyle name="Normal 11 2 5 2 3 2 3 2 3" xfId="38594" xr:uid="{00000000-0005-0000-0000-0000EB930000}"/>
    <cellStyle name="Normal 11 2 5 2 3 2 3 2 3 2" xfId="38595" xr:uid="{00000000-0005-0000-0000-0000EC930000}"/>
    <cellStyle name="Normal 11 2 5 2 3 2 3 2 4" xfId="38596" xr:uid="{00000000-0005-0000-0000-0000ED930000}"/>
    <cellStyle name="Normal 11 2 5 2 3 2 3 3" xfId="38597" xr:uid="{00000000-0005-0000-0000-0000EE930000}"/>
    <cellStyle name="Normal 11 2 5 2 3 2 3 3 2" xfId="38598" xr:uid="{00000000-0005-0000-0000-0000EF930000}"/>
    <cellStyle name="Normal 11 2 5 2 3 2 3 3 2 2" xfId="38599" xr:uid="{00000000-0005-0000-0000-0000F0930000}"/>
    <cellStyle name="Normal 11 2 5 2 3 2 3 3 3" xfId="38600" xr:uid="{00000000-0005-0000-0000-0000F1930000}"/>
    <cellStyle name="Normal 11 2 5 2 3 2 3 4" xfId="38601" xr:uid="{00000000-0005-0000-0000-0000F2930000}"/>
    <cellStyle name="Normal 11 2 5 2 3 2 3 4 2" xfId="38602" xr:uid="{00000000-0005-0000-0000-0000F3930000}"/>
    <cellStyle name="Normal 11 2 5 2 3 2 3 5" xfId="38603" xr:uid="{00000000-0005-0000-0000-0000F4930000}"/>
    <cellStyle name="Normal 11 2 5 2 3 2 4" xfId="38604" xr:uid="{00000000-0005-0000-0000-0000F5930000}"/>
    <cellStyle name="Normal 11 2 5 2 3 2 4 2" xfId="38605" xr:uid="{00000000-0005-0000-0000-0000F6930000}"/>
    <cellStyle name="Normal 11 2 5 2 3 2 4 2 2" xfId="38606" xr:uid="{00000000-0005-0000-0000-0000F7930000}"/>
    <cellStyle name="Normal 11 2 5 2 3 2 4 2 2 2" xfId="38607" xr:uid="{00000000-0005-0000-0000-0000F8930000}"/>
    <cellStyle name="Normal 11 2 5 2 3 2 4 2 2 2 2" xfId="38608" xr:uid="{00000000-0005-0000-0000-0000F9930000}"/>
    <cellStyle name="Normal 11 2 5 2 3 2 4 2 2 3" xfId="38609" xr:uid="{00000000-0005-0000-0000-0000FA930000}"/>
    <cellStyle name="Normal 11 2 5 2 3 2 4 2 3" xfId="38610" xr:uid="{00000000-0005-0000-0000-0000FB930000}"/>
    <cellStyle name="Normal 11 2 5 2 3 2 4 2 3 2" xfId="38611" xr:uid="{00000000-0005-0000-0000-0000FC930000}"/>
    <cellStyle name="Normal 11 2 5 2 3 2 4 2 4" xfId="38612" xr:uid="{00000000-0005-0000-0000-0000FD930000}"/>
    <cellStyle name="Normal 11 2 5 2 3 2 4 3" xfId="38613" xr:uid="{00000000-0005-0000-0000-0000FE930000}"/>
    <cellStyle name="Normal 11 2 5 2 3 2 4 3 2" xfId="38614" xr:uid="{00000000-0005-0000-0000-0000FF930000}"/>
    <cellStyle name="Normal 11 2 5 2 3 2 4 3 2 2" xfId="38615" xr:uid="{00000000-0005-0000-0000-000000940000}"/>
    <cellStyle name="Normal 11 2 5 2 3 2 4 3 3" xfId="38616" xr:uid="{00000000-0005-0000-0000-000001940000}"/>
    <cellStyle name="Normal 11 2 5 2 3 2 4 4" xfId="38617" xr:uid="{00000000-0005-0000-0000-000002940000}"/>
    <cellStyle name="Normal 11 2 5 2 3 2 4 4 2" xfId="38618" xr:uid="{00000000-0005-0000-0000-000003940000}"/>
    <cellStyle name="Normal 11 2 5 2 3 2 4 5" xfId="38619" xr:uid="{00000000-0005-0000-0000-000004940000}"/>
    <cellStyle name="Normal 11 2 5 2 3 2 5" xfId="38620" xr:uid="{00000000-0005-0000-0000-000005940000}"/>
    <cellStyle name="Normal 11 2 5 2 3 2 5 2" xfId="38621" xr:uid="{00000000-0005-0000-0000-000006940000}"/>
    <cellStyle name="Normal 11 2 5 2 3 2 5 2 2" xfId="38622" xr:uid="{00000000-0005-0000-0000-000007940000}"/>
    <cellStyle name="Normal 11 2 5 2 3 2 5 2 2 2" xfId="38623" xr:uid="{00000000-0005-0000-0000-000008940000}"/>
    <cellStyle name="Normal 11 2 5 2 3 2 5 2 3" xfId="38624" xr:uid="{00000000-0005-0000-0000-000009940000}"/>
    <cellStyle name="Normal 11 2 5 2 3 2 5 3" xfId="38625" xr:uid="{00000000-0005-0000-0000-00000A940000}"/>
    <cellStyle name="Normal 11 2 5 2 3 2 5 3 2" xfId="38626" xr:uid="{00000000-0005-0000-0000-00000B940000}"/>
    <cellStyle name="Normal 11 2 5 2 3 2 5 4" xfId="38627" xr:uid="{00000000-0005-0000-0000-00000C940000}"/>
    <cellStyle name="Normal 11 2 5 2 3 2 6" xfId="38628" xr:uid="{00000000-0005-0000-0000-00000D940000}"/>
    <cellStyle name="Normal 11 2 5 2 3 2 6 2" xfId="38629" xr:uid="{00000000-0005-0000-0000-00000E940000}"/>
    <cellStyle name="Normal 11 2 5 2 3 2 6 2 2" xfId="38630" xr:uid="{00000000-0005-0000-0000-00000F940000}"/>
    <cellStyle name="Normal 11 2 5 2 3 2 6 2 2 2" xfId="38631" xr:uid="{00000000-0005-0000-0000-000010940000}"/>
    <cellStyle name="Normal 11 2 5 2 3 2 6 2 3" xfId="38632" xr:uid="{00000000-0005-0000-0000-000011940000}"/>
    <cellStyle name="Normal 11 2 5 2 3 2 6 3" xfId="38633" xr:uid="{00000000-0005-0000-0000-000012940000}"/>
    <cellStyle name="Normal 11 2 5 2 3 2 6 3 2" xfId="38634" xr:uid="{00000000-0005-0000-0000-000013940000}"/>
    <cellStyle name="Normal 11 2 5 2 3 2 6 4" xfId="38635" xr:uid="{00000000-0005-0000-0000-000014940000}"/>
    <cellStyle name="Normal 11 2 5 2 3 2 7" xfId="38636" xr:uid="{00000000-0005-0000-0000-000015940000}"/>
    <cellStyle name="Normal 11 2 5 2 3 2 7 2" xfId="38637" xr:uid="{00000000-0005-0000-0000-000016940000}"/>
    <cellStyle name="Normal 11 2 5 2 3 2 7 2 2" xfId="38638" xr:uid="{00000000-0005-0000-0000-000017940000}"/>
    <cellStyle name="Normal 11 2 5 2 3 2 7 2 2 2" xfId="38639" xr:uid="{00000000-0005-0000-0000-000018940000}"/>
    <cellStyle name="Normal 11 2 5 2 3 2 7 2 3" xfId="38640" xr:uid="{00000000-0005-0000-0000-000019940000}"/>
    <cellStyle name="Normal 11 2 5 2 3 2 7 3" xfId="38641" xr:uid="{00000000-0005-0000-0000-00001A940000}"/>
    <cellStyle name="Normal 11 2 5 2 3 2 7 3 2" xfId="38642" xr:uid="{00000000-0005-0000-0000-00001B940000}"/>
    <cellStyle name="Normal 11 2 5 2 3 2 7 4" xfId="38643" xr:uid="{00000000-0005-0000-0000-00001C940000}"/>
    <cellStyle name="Normal 11 2 5 2 3 2 8" xfId="38644" xr:uid="{00000000-0005-0000-0000-00001D940000}"/>
    <cellStyle name="Normal 11 2 5 2 3 2 8 2" xfId="38645" xr:uid="{00000000-0005-0000-0000-00001E940000}"/>
    <cellStyle name="Normal 11 2 5 2 3 2 8 2 2" xfId="38646" xr:uid="{00000000-0005-0000-0000-00001F940000}"/>
    <cellStyle name="Normal 11 2 5 2 3 2 8 3" xfId="38647" xr:uid="{00000000-0005-0000-0000-000020940000}"/>
    <cellStyle name="Normal 11 2 5 2 3 2 9" xfId="38648" xr:uid="{00000000-0005-0000-0000-000021940000}"/>
    <cellStyle name="Normal 11 2 5 2 3 2 9 2" xfId="38649" xr:uid="{00000000-0005-0000-0000-000022940000}"/>
    <cellStyle name="Normal 11 2 5 2 3 3" xfId="1443" xr:uid="{00000000-0005-0000-0000-000023940000}"/>
    <cellStyle name="Normal 11 2 5 2 3 3 2" xfId="38651" xr:uid="{00000000-0005-0000-0000-000024940000}"/>
    <cellStyle name="Normal 11 2 5 2 3 3 2 2" xfId="38652" xr:uid="{00000000-0005-0000-0000-000025940000}"/>
    <cellStyle name="Normal 11 2 5 2 3 3 2 2 2" xfId="38653" xr:uid="{00000000-0005-0000-0000-000026940000}"/>
    <cellStyle name="Normal 11 2 5 2 3 3 2 2 2 2" xfId="38654" xr:uid="{00000000-0005-0000-0000-000027940000}"/>
    <cellStyle name="Normal 11 2 5 2 3 3 2 2 3" xfId="38655" xr:uid="{00000000-0005-0000-0000-000028940000}"/>
    <cellStyle name="Normal 11 2 5 2 3 3 2 3" xfId="38656" xr:uid="{00000000-0005-0000-0000-000029940000}"/>
    <cellStyle name="Normal 11 2 5 2 3 3 2 3 2" xfId="38657" xr:uid="{00000000-0005-0000-0000-00002A940000}"/>
    <cellStyle name="Normal 11 2 5 2 3 3 2 4" xfId="38658" xr:uid="{00000000-0005-0000-0000-00002B940000}"/>
    <cellStyle name="Normal 11 2 5 2 3 3 3" xfId="38659" xr:uid="{00000000-0005-0000-0000-00002C940000}"/>
    <cellStyle name="Normal 11 2 5 2 3 3 3 2" xfId="38660" xr:uid="{00000000-0005-0000-0000-00002D940000}"/>
    <cellStyle name="Normal 11 2 5 2 3 3 3 2 2" xfId="38661" xr:uid="{00000000-0005-0000-0000-00002E940000}"/>
    <cellStyle name="Normal 11 2 5 2 3 3 3 2 2 2" xfId="38662" xr:uid="{00000000-0005-0000-0000-00002F940000}"/>
    <cellStyle name="Normal 11 2 5 2 3 3 3 2 3" xfId="38663" xr:uid="{00000000-0005-0000-0000-000030940000}"/>
    <cellStyle name="Normal 11 2 5 2 3 3 3 3" xfId="38664" xr:uid="{00000000-0005-0000-0000-000031940000}"/>
    <cellStyle name="Normal 11 2 5 2 3 3 3 3 2" xfId="38665" xr:uid="{00000000-0005-0000-0000-000032940000}"/>
    <cellStyle name="Normal 11 2 5 2 3 3 3 4" xfId="38666" xr:uid="{00000000-0005-0000-0000-000033940000}"/>
    <cellStyle name="Normal 11 2 5 2 3 3 4" xfId="38667" xr:uid="{00000000-0005-0000-0000-000034940000}"/>
    <cellStyle name="Normal 11 2 5 2 3 3 4 2" xfId="38668" xr:uid="{00000000-0005-0000-0000-000035940000}"/>
    <cellStyle name="Normal 11 2 5 2 3 3 4 2 2" xfId="38669" xr:uid="{00000000-0005-0000-0000-000036940000}"/>
    <cellStyle name="Normal 11 2 5 2 3 3 4 3" xfId="38670" xr:uid="{00000000-0005-0000-0000-000037940000}"/>
    <cellStyle name="Normal 11 2 5 2 3 3 5" xfId="38671" xr:uid="{00000000-0005-0000-0000-000038940000}"/>
    <cellStyle name="Normal 11 2 5 2 3 3 5 2" xfId="38672" xr:uid="{00000000-0005-0000-0000-000039940000}"/>
    <cellStyle name="Normal 11 2 5 2 3 3 6" xfId="38673" xr:uid="{00000000-0005-0000-0000-00003A940000}"/>
    <cellStyle name="Normal 11 2 5 2 3 3 7" xfId="38650" xr:uid="{00000000-0005-0000-0000-00003B940000}"/>
    <cellStyle name="Normal 11 2 5 2 3 4" xfId="38674" xr:uid="{00000000-0005-0000-0000-00003C940000}"/>
    <cellStyle name="Normal 11 2 5 2 3 4 2" xfId="38675" xr:uid="{00000000-0005-0000-0000-00003D940000}"/>
    <cellStyle name="Normal 11 2 5 2 3 4 2 2" xfId="38676" xr:uid="{00000000-0005-0000-0000-00003E940000}"/>
    <cellStyle name="Normal 11 2 5 2 3 4 2 2 2" xfId="38677" xr:uid="{00000000-0005-0000-0000-00003F940000}"/>
    <cellStyle name="Normal 11 2 5 2 3 4 2 2 2 2" xfId="38678" xr:uid="{00000000-0005-0000-0000-000040940000}"/>
    <cellStyle name="Normal 11 2 5 2 3 4 2 2 3" xfId="38679" xr:uid="{00000000-0005-0000-0000-000041940000}"/>
    <cellStyle name="Normal 11 2 5 2 3 4 2 3" xfId="38680" xr:uid="{00000000-0005-0000-0000-000042940000}"/>
    <cellStyle name="Normal 11 2 5 2 3 4 2 3 2" xfId="38681" xr:uid="{00000000-0005-0000-0000-000043940000}"/>
    <cellStyle name="Normal 11 2 5 2 3 4 2 4" xfId="38682" xr:uid="{00000000-0005-0000-0000-000044940000}"/>
    <cellStyle name="Normal 11 2 5 2 3 4 3" xfId="38683" xr:uid="{00000000-0005-0000-0000-000045940000}"/>
    <cellStyle name="Normal 11 2 5 2 3 4 3 2" xfId="38684" xr:uid="{00000000-0005-0000-0000-000046940000}"/>
    <cellStyle name="Normal 11 2 5 2 3 4 3 2 2" xfId="38685" xr:uid="{00000000-0005-0000-0000-000047940000}"/>
    <cellStyle name="Normal 11 2 5 2 3 4 3 3" xfId="38686" xr:uid="{00000000-0005-0000-0000-000048940000}"/>
    <cellStyle name="Normal 11 2 5 2 3 4 4" xfId="38687" xr:uid="{00000000-0005-0000-0000-000049940000}"/>
    <cellStyle name="Normal 11 2 5 2 3 4 4 2" xfId="38688" xr:uid="{00000000-0005-0000-0000-00004A940000}"/>
    <cellStyle name="Normal 11 2 5 2 3 4 5" xfId="38689" xr:uid="{00000000-0005-0000-0000-00004B940000}"/>
    <cellStyle name="Normal 11 2 5 2 3 5" xfId="38690" xr:uid="{00000000-0005-0000-0000-00004C940000}"/>
    <cellStyle name="Normal 11 2 5 2 3 5 2" xfId="38691" xr:uid="{00000000-0005-0000-0000-00004D940000}"/>
    <cellStyle name="Normal 11 2 5 2 3 5 2 2" xfId="38692" xr:uid="{00000000-0005-0000-0000-00004E940000}"/>
    <cellStyle name="Normal 11 2 5 2 3 5 2 2 2" xfId="38693" xr:uid="{00000000-0005-0000-0000-00004F940000}"/>
    <cellStyle name="Normal 11 2 5 2 3 5 2 2 2 2" xfId="38694" xr:uid="{00000000-0005-0000-0000-000050940000}"/>
    <cellStyle name="Normal 11 2 5 2 3 5 2 2 3" xfId="38695" xr:uid="{00000000-0005-0000-0000-000051940000}"/>
    <cellStyle name="Normal 11 2 5 2 3 5 2 3" xfId="38696" xr:uid="{00000000-0005-0000-0000-000052940000}"/>
    <cellStyle name="Normal 11 2 5 2 3 5 2 3 2" xfId="38697" xr:uid="{00000000-0005-0000-0000-000053940000}"/>
    <cellStyle name="Normal 11 2 5 2 3 5 2 4" xfId="38698" xr:uid="{00000000-0005-0000-0000-000054940000}"/>
    <cellStyle name="Normal 11 2 5 2 3 5 3" xfId="38699" xr:uid="{00000000-0005-0000-0000-000055940000}"/>
    <cellStyle name="Normal 11 2 5 2 3 5 3 2" xfId="38700" xr:uid="{00000000-0005-0000-0000-000056940000}"/>
    <cellStyle name="Normal 11 2 5 2 3 5 3 2 2" xfId="38701" xr:uid="{00000000-0005-0000-0000-000057940000}"/>
    <cellStyle name="Normal 11 2 5 2 3 5 3 3" xfId="38702" xr:uid="{00000000-0005-0000-0000-000058940000}"/>
    <cellStyle name="Normal 11 2 5 2 3 5 4" xfId="38703" xr:uid="{00000000-0005-0000-0000-000059940000}"/>
    <cellStyle name="Normal 11 2 5 2 3 5 4 2" xfId="38704" xr:uid="{00000000-0005-0000-0000-00005A940000}"/>
    <cellStyle name="Normal 11 2 5 2 3 5 5" xfId="38705" xr:uid="{00000000-0005-0000-0000-00005B940000}"/>
    <cellStyle name="Normal 11 2 5 2 3 6" xfId="38706" xr:uid="{00000000-0005-0000-0000-00005C940000}"/>
    <cellStyle name="Normal 11 2 5 2 3 6 2" xfId="38707" xr:uid="{00000000-0005-0000-0000-00005D940000}"/>
    <cellStyle name="Normal 11 2 5 2 3 6 2 2" xfId="38708" xr:uid="{00000000-0005-0000-0000-00005E940000}"/>
    <cellStyle name="Normal 11 2 5 2 3 6 2 2 2" xfId="38709" xr:uid="{00000000-0005-0000-0000-00005F940000}"/>
    <cellStyle name="Normal 11 2 5 2 3 6 2 3" xfId="38710" xr:uid="{00000000-0005-0000-0000-000060940000}"/>
    <cellStyle name="Normal 11 2 5 2 3 6 3" xfId="38711" xr:uid="{00000000-0005-0000-0000-000061940000}"/>
    <cellStyle name="Normal 11 2 5 2 3 6 3 2" xfId="38712" xr:uid="{00000000-0005-0000-0000-000062940000}"/>
    <cellStyle name="Normal 11 2 5 2 3 6 4" xfId="38713" xr:uid="{00000000-0005-0000-0000-000063940000}"/>
    <cellStyle name="Normal 11 2 5 2 3 7" xfId="38714" xr:uid="{00000000-0005-0000-0000-000064940000}"/>
    <cellStyle name="Normal 11 2 5 2 3 7 2" xfId="38715" xr:uid="{00000000-0005-0000-0000-000065940000}"/>
    <cellStyle name="Normal 11 2 5 2 3 7 2 2" xfId="38716" xr:uid="{00000000-0005-0000-0000-000066940000}"/>
    <cellStyle name="Normal 11 2 5 2 3 7 2 2 2" xfId="38717" xr:uid="{00000000-0005-0000-0000-000067940000}"/>
    <cellStyle name="Normal 11 2 5 2 3 7 2 3" xfId="38718" xr:uid="{00000000-0005-0000-0000-000068940000}"/>
    <cellStyle name="Normal 11 2 5 2 3 7 3" xfId="38719" xr:uid="{00000000-0005-0000-0000-000069940000}"/>
    <cellStyle name="Normal 11 2 5 2 3 7 3 2" xfId="38720" xr:uid="{00000000-0005-0000-0000-00006A940000}"/>
    <cellStyle name="Normal 11 2 5 2 3 7 4" xfId="38721" xr:uid="{00000000-0005-0000-0000-00006B940000}"/>
    <cellStyle name="Normal 11 2 5 2 3 8" xfId="38722" xr:uid="{00000000-0005-0000-0000-00006C940000}"/>
    <cellStyle name="Normal 11 2 5 2 3 8 2" xfId="38723" xr:uid="{00000000-0005-0000-0000-00006D940000}"/>
    <cellStyle name="Normal 11 2 5 2 3 8 2 2" xfId="38724" xr:uid="{00000000-0005-0000-0000-00006E940000}"/>
    <cellStyle name="Normal 11 2 5 2 3 8 2 2 2" xfId="38725" xr:uid="{00000000-0005-0000-0000-00006F940000}"/>
    <cellStyle name="Normal 11 2 5 2 3 8 2 3" xfId="38726" xr:uid="{00000000-0005-0000-0000-000070940000}"/>
    <cellStyle name="Normal 11 2 5 2 3 8 3" xfId="38727" xr:uid="{00000000-0005-0000-0000-000071940000}"/>
    <cellStyle name="Normal 11 2 5 2 3 8 3 2" xfId="38728" xr:uid="{00000000-0005-0000-0000-000072940000}"/>
    <cellStyle name="Normal 11 2 5 2 3 8 4" xfId="38729" xr:uid="{00000000-0005-0000-0000-000073940000}"/>
    <cellStyle name="Normal 11 2 5 2 3 9" xfId="38730" xr:uid="{00000000-0005-0000-0000-000074940000}"/>
    <cellStyle name="Normal 11 2 5 2 3 9 2" xfId="38731" xr:uid="{00000000-0005-0000-0000-000075940000}"/>
    <cellStyle name="Normal 11 2 5 2 3 9 2 2" xfId="38732" xr:uid="{00000000-0005-0000-0000-000076940000}"/>
    <cellStyle name="Normal 11 2 5 2 3 9 3" xfId="38733" xr:uid="{00000000-0005-0000-0000-000077940000}"/>
    <cellStyle name="Normal 11 2 5 2 4" xfId="1039" xr:uid="{00000000-0005-0000-0000-000078940000}"/>
    <cellStyle name="Normal 11 2 5 2 4 10" xfId="38735" xr:uid="{00000000-0005-0000-0000-000079940000}"/>
    <cellStyle name="Normal 11 2 5 2 4 11" xfId="38734" xr:uid="{00000000-0005-0000-0000-00007A940000}"/>
    <cellStyle name="Normal 11 2 5 2 4 2" xfId="1768" xr:uid="{00000000-0005-0000-0000-00007B940000}"/>
    <cellStyle name="Normal 11 2 5 2 4 2 2" xfId="38737" xr:uid="{00000000-0005-0000-0000-00007C940000}"/>
    <cellStyle name="Normal 11 2 5 2 4 2 2 2" xfId="38738" xr:uid="{00000000-0005-0000-0000-00007D940000}"/>
    <cellStyle name="Normal 11 2 5 2 4 2 2 2 2" xfId="38739" xr:uid="{00000000-0005-0000-0000-00007E940000}"/>
    <cellStyle name="Normal 11 2 5 2 4 2 2 2 2 2" xfId="38740" xr:uid="{00000000-0005-0000-0000-00007F940000}"/>
    <cellStyle name="Normal 11 2 5 2 4 2 2 2 3" xfId="38741" xr:uid="{00000000-0005-0000-0000-000080940000}"/>
    <cellStyle name="Normal 11 2 5 2 4 2 2 3" xfId="38742" xr:uid="{00000000-0005-0000-0000-000081940000}"/>
    <cellStyle name="Normal 11 2 5 2 4 2 2 3 2" xfId="38743" xr:uid="{00000000-0005-0000-0000-000082940000}"/>
    <cellStyle name="Normal 11 2 5 2 4 2 2 4" xfId="38744" xr:uid="{00000000-0005-0000-0000-000083940000}"/>
    <cellStyle name="Normal 11 2 5 2 4 2 3" xfId="38745" xr:uid="{00000000-0005-0000-0000-000084940000}"/>
    <cellStyle name="Normal 11 2 5 2 4 2 3 2" xfId="38746" xr:uid="{00000000-0005-0000-0000-000085940000}"/>
    <cellStyle name="Normal 11 2 5 2 4 2 3 2 2" xfId="38747" xr:uid="{00000000-0005-0000-0000-000086940000}"/>
    <cellStyle name="Normal 11 2 5 2 4 2 3 2 2 2" xfId="38748" xr:uid="{00000000-0005-0000-0000-000087940000}"/>
    <cellStyle name="Normal 11 2 5 2 4 2 3 2 3" xfId="38749" xr:uid="{00000000-0005-0000-0000-000088940000}"/>
    <cellStyle name="Normal 11 2 5 2 4 2 3 3" xfId="38750" xr:uid="{00000000-0005-0000-0000-000089940000}"/>
    <cellStyle name="Normal 11 2 5 2 4 2 3 3 2" xfId="38751" xr:uid="{00000000-0005-0000-0000-00008A940000}"/>
    <cellStyle name="Normal 11 2 5 2 4 2 3 4" xfId="38752" xr:uid="{00000000-0005-0000-0000-00008B940000}"/>
    <cellStyle name="Normal 11 2 5 2 4 2 4" xfId="38753" xr:uid="{00000000-0005-0000-0000-00008C940000}"/>
    <cellStyle name="Normal 11 2 5 2 4 2 4 2" xfId="38754" xr:uid="{00000000-0005-0000-0000-00008D940000}"/>
    <cellStyle name="Normal 11 2 5 2 4 2 4 2 2" xfId="38755" xr:uid="{00000000-0005-0000-0000-00008E940000}"/>
    <cellStyle name="Normal 11 2 5 2 4 2 4 3" xfId="38756" xr:uid="{00000000-0005-0000-0000-00008F940000}"/>
    <cellStyle name="Normal 11 2 5 2 4 2 5" xfId="38757" xr:uid="{00000000-0005-0000-0000-000090940000}"/>
    <cellStyle name="Normal 11 2 5 2 4 2 5 2" xfId="38758" xr:uid="{00000000-0005-0000-0000-000091940000}"/>
    <cellStyle name="Normal 11 2 5 2 4 2 6" xfId="38759" xr:uid="{00000000-0005-0000-0000-000092940000}"/>
    <cellStyle name="Normal 11 2 5 2 4 2 7" xfId="38736" xr:uid="{00000000-0005-0000-0000-000093940000}"/>
    <cellStyle name="Normal 11 2 5 2 4 3" xfId="38760" xr:uid="{00000000-0005-0000-0000-000094940000}"/>
    <cellStyle name="Normal 11 2 5 2 4 3 2" xfId="38761" xr:uid="{00000000-0005-0000-0000-000095940000}"/>
    <cellStyle name="Normal 11 2 5 2 4 3 2 2" xfId="38762" xr:uid="{00000000-0005-0000-0000-000096940000}"/>
    <cellStyle name="Normal 11 2 5 2 4 3 2 2 2" xfId="38763" xr:uid="{00000000-0005-0000-0000-000097940000}"/>
    <cellStyle name="Normal 11 2 5 2 4 3 2 2 2 2" xfId="38764" xr:uid="{00000000-0005-0000-0000-000098940000}"/>
    <cellStyle name="Normal 11 2 5 2 4 3 2 2 3" xfId="38765" xr:uid="{00000000-0005-0000-0000-000099940000}"/>
    <cellStyle name="Normal 11 2 5 2 4 3 2 3" xfId="38766" xr:uid="{00000000-0005-0000-0000-00009A940000}"/>
    <cellStyle name="Normal 11 2 5 2 4 3 2 3 2" xfId="38767" xr:uid="{00000000-0005-0000-0000-00009B940000}"/>
    <cellStyle name="Normal 11 2 5 2 4 3 2 4" xfId="38768" xr:uid="{00000000-0005-0000-0000-00009C940000}"/>
    <cellStyle name="Normal 11 2 5 2 4 3 3" xfId="38769" xr:uid="{00000000-0005-0000-0000-00009D940000}"/>
    <cellStyle name="Normal 11 2 5 2 4 3 3 2" xfId="38770" xr:uid="{00000000-0005-0000-0000-00009E940000}"/>
    <cellStyle name="Normal 11 2 5 2 4 3 3 2 2" xfId="38771" xr:uid="{00000000-0005-0000-0000-00009F940000}"/>
    <cellStyle name="Normal 11 2 5 2 4 3 3 3" xfId="38772" xr:uid="{00000000-0005-0000-0000-0000A0940000}"/>
    <cellStyle name="Normal 11 2 5 2 4 3 4" xfId="38773" xr:uid="{00000000-0005-0000-0000-0000A1940000}"/>
    <cellStyle name="Normal 11 2 5 2 4 3 4 2" xfId="38774" xr:uid="{00000000-0005-0000-0000-0000A2940000}"/>
    <cellStyle name="Normal 11 2 5 2 4 3 5" xfId="38775" xr:uid="{00000000-0005-0000-0000-0000A3940000}"/>
    <cellStyle name="Normal 11 2 5 2 4 4" xfId="38776" xr:uid="{00000000-0005-0000-0000-0000A4940000}"/>
    <cellStyle name="Normal 11 2 5 2 4 4 2" xfId="38777" xr:uid="{00000000-0005-0000-0000-0000A5940000}"/>
    <cellStyle name="Normal 11 2 5 2 4 4 2 2" xfId="38778" xr:uid="{00000000-0005-0000-0000-0000A6940000}"/>
    <cellStyle name="Normal 11 2 5 2 4 4 2 2 2" xfId="38779" xr:uid="{00000000-0005-0000-0000-0000A7940000}"/>
    <cellStyle name="Normal 11 2 5 2 4 4 2 2 2 2" xfId="38780" xr:uid="{00000000-0005-0000-0000-0000A8940000}"/>
    <cellStyle name="Normal 11 2 5 2 4 4 2 2 3" xfId="38781" xr:uid="{00000000-0005-0000-0000-0000A9940000}"/>
    <cellStyle name="Normal 11 2 5 2 4 4 2 3" xfId="38782" xr:uid="{00000000-0005-0000-0000-0000AA940000}"/>
    <cellStyle name="Normal 11 2 5 2 4 4 2 3 2" xfId="38783" xr:uid="{00000000-0005-0000-0000-0000AB940000}"/>
    <cellStyle name="Normal 11 2 5 2 4 4 2 4" xfId="38784" xr:uid="{00000000-0005-0000-0000-0000AC940000}"/>
    <cellStyle name="Normal 11 2 5 2 4 4 3" xfId="38785" xr:uid="{00000000-0005-0000-0000-0000AD940000}"/>
    <cellStyle name="Normal 11 2 5 2 4 4 3 2" xfId="38786" xr:uid="{00000000-0005-0000-0000-0000AE940000}"/>
    <cellStyle name="Normal 11 2 5 2 4 4 3 2 2" xfId="38787" xr:uid="{00000000-0005-0000-0000-0000AF940000}"/>
    <cellStyle name="Normal 11 2 5 2 4 4 3 3" xfId="38788" xr:uid="{00000000-0005-0000-0000-0000B0940000}"/>
    <cellStyle name="Normal 11 2 5 2 4 4 4" xfId="38789" xr:uid="{00000000-0005-0000-0000-0000B1940000}"/>
    <cellStyle name="Normal 11 2 5 2 4 4 4 2" xfId="38790" xr:uid="{00000000-0005-0000-0000-0000B2940000}"/>
    <cellStyle name="Normal 11 2 5 2 4 4 5" xfId="38791" xr:uid="{00000000-0005-0000-0000-0000B3940000}"/>
    <cellStyle name="Normal 11 2 5 2 4 5" xfId="38792" xr:uid="{00000000-0005-0000-0000-0000B4940000}"/>
    <cellStyle name="Normal 11 2 5 2 4 5 2" xfId="38793" xr:uid="{00000000-0005-0000-0000-0000B5940000}"/>
    <cellStyle name="Normal 11 2 5 2 4 5 2 2" xfId="38794" xr:uid="{00000000-0005-0000-0000-0000B6940000}"/>
    <cellStyle name="Normal 11 2 5 2 4 5 2 2 2" xfId="38795" xr:uid="{00000000-0005-0000-0000-0000B7940000}"/>
    <cellStyle name="Normal 11 2 5 2 4 5 2 3" xfId="38796" xr:uid="{00000000-0005-0000-0000-0000B8940000}"/>
    <cellStyle name="Normal 11 2 5 2 4 5 3" xfId="38797" xr:uid="{00000000-0005-0000-0000-0000B9940000}"/>
    <cellStyle name="Normal 11 2 5 2 4 5 3 2" xfId="38798" xr:uid="{00000000-0005-0000-0000-0000BA940000}"/>
    <cellStyle name="Normal 11 2 5 2 4 5 4" xfId="38799" xr:uid="{00000000-0005-0000-0000-0000BB940000}"/>
    <cellStyle name="Normal 11 2 5 2 4 6" xfId="38800" xr:uid="{00000000-0005-0000-0000-0000BC940000}"/>
    <cellStyle name="Normal 11 2 5 2 4 6 2" xfId="38801" xr:uid="{00000000-0005-0000-0000-0000BD940000}"/>
    <cellStyle name="Normal 11 2 5 2 4 6 2 2" xfId="38802" xr:uid="{00000000-0005-0000-0000-0000BE940000}"/>
    <cellStyle name="Normal 11 2 5 2 4 6 2 2 2" xfId="38803" xr:uid="{00000000-0005-0000-0000-0000BF940000}"/>
    <cellStyle name="Normal 11 2 5 2 4 6 2 3" xfId="38804" xr:uid="{00000000-0005-0000-0000-0000C0940000}"/>
    <cellStyle name="Normal 11 2 5 2 4 6 3" xfId="38805" xr:uid="{00000000-0005-0000-0000-0000C1940000}"/>
    <cellStyle name="Normal 11 2 5 2 4 6 3 2" xfId="38806" xr:uid="{00000000-0005-0000-0000-0000C2940000}"/>
    <cellStyle name="Normal 11 2 5 2 4 6 4" xfId="38807" xr:uid="{00000000-0005-0000-0000-0000C3940000}"/>
    <cellStyle name="Normal 11 2 5 2 4 7" xfId="38808" xr:uid="{00000000-0005-0000-0000-0000C4940000}"/>
    <cellStyle name="Normal 11 2 5 2 4 7 2" xfId="38809" xr:uid="{00000000-0005-0000-0000-0000C5940000}"/>
    <cellStyle name="Normal 11 2 5 2 4 7 2 2" xfId="38810" xr:uid="{00000000-0005-0000-0000-0000C6940000}"/>
    <cellStyle name="Normal 11 2 5 2 4 7 2 2 2" xfId="38811" xr:uid="{00000000-0005-0000-0000-0000C7940000}"/>
    <cellStyle name="Normal 11 2 5 2 4 7 2 3" xfId="38812" xr:uid="{00000000-0005-0000-0000-0000C8940000}"/>
    <cellStyle name="Normal 11 2 5 2 4 7 3" xfId="38813" xr:uid="{00000000-0005-0000-0000-0000C9940000}"/>
    <cellStyle name="Normal 11 2 5 2 4 7 3 2" xfId="38814" xr:uid="{00000000-0005-0000-0000-0000CA940000}"/>
    <cellStyle name="Normal 11 2 5 2 4 7 4" xfId="38815" xr:uid="{00000000-0005-0000-0000-0000CB940000}"/>
    <cellStyle name="Normal 11 2 5 2 4 8" xfId="38816" xr:uid="{00000000-0005-0000-0000-0000CC940000}"/>
    <cellStyle name="Normal 11 2 5 2 4 8 2" xfId="38817" xr:uid="{00000000-0005-0000-0000-0000CD940000}"/>
    <cellStyle name="Normal 11 2 5 2 4 8 2 2" xfId="38818" xr:uid="{00000000-0005-0000-0000-0000CE940000}"/>
    <cellStyle name="Normal 11 2 5 2 4 8 3" xfId="38819" xr:uid="{00000000-0005-0000-0000-0000CF940000}"/>
    <cellStyle name="Normal 11 2 5 2 4 9" xfId="38820" xr:uid="{00000000-0005-0000-0000-0000D0940000}"/>
    <cellStyle name="Normal 11 2 5 2 4 9 2" xfId="38821" xr:uid="{00000000-0005-0000-0000-0000D1940000}"/>
    <cellStyle name="Normal 11 2 5 2 5" xfId="1441" xr:uid="{00000000-0005-0000-0000-0000D2940000}"/>
    <cellStyle name="Normal 11 2 5 2 5 2" xfId="38823" xr:uid="{00000000-0005-0000-0000-0000D3940000}"/>
    <cellStyle name="Normal 11 2 5 2 5 2 2" xfId="38824" xr:uid="{00000000-0005-0000-0000-0000D4940000}"/>
    <cellStyle name="Normal 11 2 5 2 5 2 2 2" xfId="38825" xr:uid="{00000000-0005-0000-0000-0000D5940000}"/>
    <cellStyle name="Normal 11 2 5 2 5 2 2 2 2" xfId="38826" xr:uid="{00000000-0005-0000-0000-0000D6940000}"/>
    <cellStyle name="Normal 11 2 5 2 5 2 2 3" xfId="38827" xr:uid="{00000000-0005-0000-0000-0000D7940000}"/>
    <cellStyle name="Normal 11 2 5 2 5 2 3" xfId="38828" xr:uid="{00000000-0005-0000-0000-0000D8940000}"/>
    <cellStyle name="Normal 11 2 5 2 5 2 3 2" xfId="38829" xr:uid="{00000000-0005-0000-0000-0000D9940000}"/>
    <cellStyle name="Normal 11 2 5 2 5 2 4" xfId="38830" xr:uid="{00000000-0005-0000-0000-0000DA940000}"/>
    <cellStyle name="Normal 11 2 5 2 5 3" xfId="38831" xr:uid="{00000000-0005-0000-0000-0000DB940000}"/>
    <cellStyle name="Normal 11 2 5 2 5 3 2" xfId="38832" xr:uid="{00000000-0005-0000-0000-0000DC940000}"/>
    <cellStyle name="Normal 11 2 5 2 5 3 2 2" xfId="38833" xr:uid="{00000000-0005-0000-0000-0000DD940000}"/>
    <cellStyle name="Normal 11 2 5 2 5 3 2 2 2" xfId="38834" xr:uid="{00000000-0005-0000-0000-0000DE940000}"/>
    <cellStyle name="Normal 11 2 5 2 5 3 2 3" xfId="38835" xr:uid="{00000000-0005-0000-0000-0000DF940000}"/>
    <cellStyle name="Normal 11 2 5 2 5 3 3" xfId="38836" xr:uid="{00000000-0005-0000-0000-0000E0940000}"/>
    <cellStyle name="Normal 11 2 5 2 5 3 3 2" xfId="38837" xr:uid="{00000000-0005-0000-0000-0000E1940000}"/>
    <cellStyle name="Normal 11 2 5 2 5 3 4" xfId="38838" xr:uid="{00000000-0005-0000-0000-0000E2940000}"/>
    <cellStyle name="Normal 11 2 5 2 5 4" xfId="38839" xr:uid="{00000000-0005-0000-0000-0000E3940000}"/>
    <cellStyle name="Normal 11 2 5 2 5 4 2" xfId="38840" xr:uid="{00000000-0005-0000-0000-0000E4940000}"/>
    <cellStyle name="Normal 11 2 5 2 5 4 2 2" xfId="38841" xr:uid="{00000000-0005-0000-0000-0000E5940000}"/>
    <cellStyle name="Normal 11 2 5 2 5 4 3" xfId="38842" xr:uid="{00000000-0005-0000-0000-0000E6940000}"/>
    <cellStyle name="Normal 11 2 5 2 5 5" xfId="38843" xr:uid="{00000000-0005-0000-0000-0000E7940000}"/>
    <cellStyle name="Normal 11 2 5 2 5 5 2" xfId="38844" xr:uid="{00000000-0005-0000-0000-0000E8940000}"/>
    <cellStyle name="Normal 11 2 5 2 5 6" xfId="38845" xr:uid="{00000000-0005-0000-0000-0000E9940000}"/>
    <cellStyle name="Normal 11 2 5 2 5 7" xfId="38822" xr:uid="{00000000-0005-0000-0000-0000EA940000}"/>
    <cellStyle name="Normal 11 2 5 2 6" xfId="38846" xr:uid="{00000000-0005-0000-0000-0000EB940000}"/>
    <cellStyle name="Normal 11 2 5 2 6 2" xfId="38847" xr:uid="{00000000-0005-0000-0000-0000EC940000}"/>
    <cellStyle name="Normal 11 2 5 2 6 2 2" xfId="38848" xr:uid="{00000000-0005-0000-0000-0000ED940000}"/>
    <cellStyle name="Normal 11 2 5 2 6 2 2 2" xfId="38849" xr:uid="{00000000-0005-0000-0000-0000EE940000}"/>
    <cellStyle name="Normal 11 2 5 2 6 2 2 2 2" xfId="38850" xr:uid="{00000000-0005-0000-0000-0000EF940000}"/>
    <cellStyle name="Normal 11 2 5 2 6 2 2 3" xfId="38851" xr:uid="{00000000-0005-0000-0000-0000F0940000}"/>
    <cellStyle name="Normal 11 2 5 2 6 2 3" xfId="38852" xr:uid="{00000000-0005-0000-0000-0000F1940000}"/>
    <cellStyle name="Normal 11 2 5 2 6 2 3 2" xfId="38853" xr:uid="{00000000-0005-0000-0000-0000F2940000}"/>
    <cellStyle name="Normal 11 2 5 2 6 2 4" xfId="38854" xr:uid="{00000000-0005-0000-0000-0000F3940000}"/>
    <cellStyle name="Normal 11 2 5 2 6 3" xfId="38855" xr:uid="{00000000-0005-0000-0000-0000F4940000}"/>
    <cellStyle name="Normal 11 2 5 2 6 3 2" xfId="38856" xr:uid="{00000000-0005-0000-0000-0000F5940000}"/>
    <cellStyle name="Normal 11 2 5 2 6 3 2 2" xfId="38857" xr:uid="{00000000-0005-0000-0000-0000F6940000}"/>
    <cellStyle name="Normal 11 2 5 2 6 3 3" xfId="38858" xr:uid="{00000000-0005-0000-0000-0000F7940000}"/>
    <cellStyle name="Normal 11 2 5 2 6 4" xfId="38859" xr:uid="{00000000-0005-0000-0000-0000F8940000}"/>
    <cellStyle name="Normal 11 2 5 2 6 4 2" xfId="38860" xr:uid="{00000000-0005-0000-0000-0000F9940000}"/>
    <cellStyle name="Normal 11 2 5 2 6 5" xfId="38861" xr:uid="{00000000-0005-0000-0000-0000FA940000}"/>
    <cellStyle name="Normal 11 2 5 2 7" xfId="38862" xr:uid="{00000000-0005-0000-0000-0000FB940000}"/>
    <cellStyle name="Normal 11 2 5 2 7 2" xfId="38863" xr:uid="{00000000-0005-0000-0000-0000FC940000}"/>
    <cellStyle name="Normal 11 2 5 2 7 2 2" xfId="38864" xr:uid="{00000000-0005-0000-0000-0000FD940000}"/>
    <cellStyle name="Normal 11 2 5 2 7 2 2 2" xfId="38865" xr:uid="{00000000-0005-0000-0000-0000FE940000}"/>
    <cellStyle name="Normal 11 2 5 2 7 2 2 2 2" xfId="38866" xr:uid="{00000000-0005-0000-0000-0000FF940000}"/>
    <cellStyle name="Normal 11 2 5 2 7 2 2 3" xfId="38867" xr:uid="{00000000-0005-0000-0000-000000950000}"/>
    <cellStyle name="Normal 11 2 5 2 7 2 3" xfId="38868" xr:uid="{00000000-0005-0000-0000-000001950000}"/>
    <cellStyle name="Normal 11 2 5 2 7 2 3 2" xfId="38869" xr:uid="{00000000-0005-0000-0000-000002950000}"/>
    <cellStyle name="Normal 11 2 5 2 7 2 4" xfId="38870" xr:uid="{00000000-0005-0000-0000-000003950000}"/>
    <cellStyle name="Normal 11 2 5 2 7 3" xfId="38871" xr:uid="{00000000-0005-0000-0000-000004950000}"/>
    <cellStyle name="Normal 11 2 5 2 7 3 2" xfId="38872" xr:uid="{00000000-0005-0000-0000-000005950000}"/>
    <cellStyle name="Normal 11 2 5 2 7 3 2 2" xfId="38873" xr:uid="{00000000-0005-0000-0000-000006950000}"/>
    <cellStyle name="Normal 11 2 5 2 7 3 3" xfId="38874" xr:uid="{00000000-0005-0000-0000-000007950000}"/>
    <cellStyle name="Normal 11 2 5 2 7 4" xfId="38875" xr:uid="{00000000-0005-0000-0000-000008950000}"/>
    <cellStyle name="Normal 11 2 5 2 7 4 2" xfId="38876" xr:uid="{00000000-0005-0000-0000-000009950000}"/>
    <cellStyle name="Normal 11 2 5 2 7 5" xfId="38877" xr:uid="{00000000-0005-0000-0000-00000A950000}"/>
    <cellStyle name="Normal 11 2 5 2 8" xfId="38878" xr:uid="{00000000-0005-0000-0000-00000B950000}"/>
    <cellStyle name="Normal 11 2 5 2 8 2" xfId="38879" xr:uid="{00000000-0005-0000-0000-00000C950000}"/>
    <cellStyle name="Normal 11 2 5 2 8 2 2" xfId="38880" xr:uid="{00000000-0005-0000-0000-00000D950000}"/>
    <cellStyle name="Normal 11 2 5 2 8 2 2 2" xfId="38881" xr:uid="{00000000-0005-0000-0000-00000E950000}"/>
    <cellStyle name="Normal 11 2 5 2 8 2 3" xfId="38882" xr:uid="{00000000-0005-0000-0000-00000F950000}"/>
    <cellStyle name="Normal 11 2 5 2 8 3" xfId="38883" xr:uid="{00000000-0005-0000-0000-000010950000}"/>
    <cellStyle name="Normal 11 2 5 2 8 3 2" xfId="38884" xr:uid="{00000000-0005-0000-0000-000011950000}"/>
    <cellStyle name="Normal 11 2 5 2 8 4" xfId="38885" xr:uid="{00000000-0005-0000-0000-000012950000}"/>
    <cellStyle name="Normal 11 2 5 2 9" xfId="38886" xr:uid="{00000000-0005-0000-0000-000013950000}"/>
    <cellStyle name="Normal 11 2 5 2 9 2" xfId="38887" xr:uid="{00000000-0005-0000-0000-000014950000}"/>
    <cellStyle name="Normal 11 2 5 2 9 2 2" xfId="38888" xr:uid="{00000000-0005-0000-0000-000015950000}"/>
    <cellStyle name="Normal 11 2 5 2 9 2 2 2" xfId="38889" xr:uid="{00000000-0005-0000-0000-000016950000}"/>
    <cellStyle name="Normal 11 2 5 2 9 2 3" xfId="38890" xr:uid="{00000000-0005-0000-0000-000017950000}"/>
    <cellStyle name="Normal 11 2 5 2 9 3" xfId="38891" xr:uid="{00000000-0005-0000-0000-000018950000}"/>
    <cellStyle name="Normal 11 2 5 2 9 3 2" xfId="38892" xr:uid="{00000000-0005-0000-0000-000019950000}"/>
    <cellStyle name="Normal 11 2 5 2 9 4" xfId="38893" xr:uid="{00000000-0005-0000-0000-00001A950000}"/>
    <cellStyle name="Normal 11 2 5 3" xfId="600" xr:uid="{00000000-0005-0000-0000-00001B950000}"/>
    <cellStyle name="Normal 11 2 5 3 10" xfId="38895" xr:uid="{00000000-0005-0000-0000-00001C950000}"/>
    <cellStyle name="Normal 11 2 5 3 10 2" xfId="38896" xr:uid="{00000000-0005-0000-0000-00001D950000}"/>
    <cellStyle name="Normal 11 2 5 3 10 2 2" xfId="38897" xr:uid="{00000000-0005-0000-0000-00001E950000}"/>
    <cellStyle name="Normal 11 2 5 3 10 3" xfId="38898" xr:uid="{00000000-0005-0000-0000-00001F950000}"/>
    <cellStyle name="Normal 11 2 5 3 11" xfId="38899" xr:uid="{00000000-0005-0000-0000-000020950000}"/>
    <cellStyle name="Normal 11 2 5 3 11 2" xfId="38900" xr:uid="{00000000-0005-0000-0000-000021950000}"/>
    <cellStyle name="Normal 11 2 5 3 11 2 2" xfId="38901" xr:uid="{00000000-0005-0000-0000-000022950000}"/>
    <cellStyle name="Normal 11 2 5 3 11 3" xfId="38902" xr:uid="{00000000-0005-0000-0000-000023950000}"/>
    <cellStyle name="Normal 11 2 5 3 12" xfId="38903" xr:uid="{00000000-0005-0000-0000-000024950000}"/>
    <cellStyle name="Normal 11 2 5 3 12 2" xfId="38904" xr:uid="{00000000-0005-0000-0000-000025950000}"/>
    <cellStyle name="Normal 11 2 5 3 13" xfId="38905" xr:uid="{00000000-0005-0000-0000-000026950000}"/>
    <cellStyle name="Normal 11 2 5 3 14" xfId="38906" xr:uid="{00000000-0005-0000-0000-000027950000}"/>
    <cellStyle name="Normal 11 2 5 3 15" xfId="38894" xr:uid="{00000000-0005-0000-0000-000028950000}"/>
    <cellStyle name="Normal 11 2 5 3 2" xfId="1042" xr:uid="{00000000-0005-0000-0000-000029950000}"/>
    <cellStyle name="Normal 11 2 5 3 2 10" xfId="38908" xr:uid="{00000000-0005-0000-0000-00002A950000}"/>
    <cellStyle name="Normal 11 2 5 3 2 11" xfId="38907" xr:uid="{00000000-0005-0000-0000-00002B950000}"/>
    <cellStyle name="Normal 11 2 5 3 2 2" xfId="1771" xr:uid="{00000000-0005-0000-0000-00002C950000}"/>
    <cellStyle name="Normal 11 2 5 3 2 2 2" xfId="38910" xr:uid="{00000000-0005-0000-0000-00002D950000}"/>
    <cellStyle name="Normal 11 2 5 3 2 2 2 2" xfId="38911" xr:uid="{00000000-0005-0000-0000-00002E950000}"/>
    <cellStyle name="Normal 11 2 5 3 2 2 2 2 2" xfId="38912" xr:uid="{00000000-0005-0000-0000-00002F950000}"/>
    <cellStyle name="Normal 11 2 5 3 2 2 2 2 2 2" xfId="38913" xr:uid="{00000000-0005-0000-0000-000030950000}"/>
    <cellStyle name="Normal 11 2 5 3 2 2 2 2 3" xfId="38914" xr:uid="{00000000-0005-0000-0000-000031950000}"/>
    <cellStyle name="Normal 11 2 5 3 2 2 2 3" xfId="38915" xr:uid="{00000000-0005-0000-0000-000032950000}"/>
    <cellStyle name="Normal 11 2 5 3 2 2 2 3 2" xfId="38916" xr:uid="{00000000-0005-0000-0000-000033950000}"/>
    <cellStyle name="Normal 11 2 5 3 2 2 2 4" xfId="38917" xr:uid="{00000000-0005-0000-0000-000034950000}"/>
    <cellStyle name="Normal 11 2 5 3 2 2 3" xfId="38918" xr:uid="{00000000-0005-0000-0000-000035950000}"/>
    <cellStyle name="Normal 11 2 5 3 2 2 3 2" xfId="38919" xr:uid="{00000000-0005-0000-0000-000036950000}"/>
    <cellStyle name="Normal 11 2 5 3 2 2 3 2 2" xfId="38920" xr:uid="{00000000-0005-0000-0000-000037950000}"/>
    <cellStyle name="Normal 11 2 5 3 2 2 3 2 2 2" xfId="38921" xr:uid="{00000000-0005-0000-0000-000038950000}"/>
    <cellStyle name="Normal 11 2 5 3 2 2 3 2 3" xfId="38922" xr:uid="{00000000-0005-0000-0000-000039950000}"/>
    <cellStyle name="Normal 11 2 5 3 2 2 3 3" xfId="38923" xr:uid="{00000000-0005-0000-0000-00003A950000}"/>
    <cellStyle name="Normal 11 2 5 3 2 2 3 3 2" xfId="38924" xr:uid="{00000000-0005-0000-0000-00003B950000}"/>
    <cellStyle name="Normal 11 2 5 3 2 2 3 4" xfId="38925" xr:uid="{00000000-0005-0000-0000-00003C950000}"/>
    <cellStyle name="Normal 11 2 5 3 2 2 4" xfId="38926" xr:uid="{00000000-0005-0000-0000-00003D950000}"/>
    <cellStyle name="Normal 11 2 5 3 2 2 4 2" xfId="38927" xr:uid="{00000000-0005-0000-0000-00003E950000}"/>
    <cellStyle name="Normal 11 2 5 3 2 2 4 2 2" xfId="38928" xr:uid="{00000000-0005-0000-0000-00003F950000}"/>
    <cellStyle name="Normal 11 2 5 3 2 2 4 3" xfId="38929" xr:uid="{00000000-0005-0000-0000-000040950000}"/>
    <cellStyle name="Normal 11 2 5 3 2 2 5" xfId="38930" xr:uid="{00000000-0005-0000-0000-000041950000}"/>
    <cellStyle name="Normal 11 2 5 3 2 2 5 2" xfId="38931" xr:uid="{00000000-0005-0000-0000-000042950000}"/>
    <cellStyle name="Normal 11 2 5 3 2 2 6" xfId="38932" xr:uid="{00000000-0005-0000-0000-000043950000}"/>
    <cellStyle name="Normal 11 2 5 3 2 2 7" xfId="38909" xr:uid="{00000000-0005-0000-0000-000044950000}"/>
    <cellStyle name="Normal 11 2 5 3 2 3" xfId="38933" xr:uid="{00000000-0005-0000-0000-000045950000}"/>
    <cellStyle name="Normal 11 2 5 3 2 3 2" xfId="38934" xr:uid="{00000000-0005-0000-0000-000046950000}"/>
    <cellStyle name="Normal 11 2 5 3 2 3 2 2" xfId="38935" xr:uid="{00000000-0005-0000-0000-000047950000}"/>
    <cellStyle name="Normal 11 2 5 3 2 3 2 2 2" xfId="38936" xr:uid="{00000000-0005-0000-0000-000048950000}"/>
    <cellStyle name="Normal 11 2 5 3 2 3 2 2 2 2" xfId="38937" xr:uid="{00000000-0005-0000-0000-000049950000}"/>
    <cellStyle name="Normal 11 2 5 3 2 3 2 2 3" xfId="38938" xr:uid="{00000000-0005-0000-0000-00004A950000}"/>
    <cellStyle name="Normal 11 2 5 3 2 3 2 3" xfId="38939" xr:uid="{00000000-0005-0000-0000-00004B950000}"/>
    <cellStyle name="Normal 11 2 5 3 2 3 2 3 2" xfId="38940" xr:uid="{00000000-0005-0000-0000-00004C950000}"/>
    <cellStyle name="Normal 11 2 5 3 2 3 2 4" xfId="38941" xr:uid="{00000000-0005-0000-0000-00004D950000}"/>
    <cellStyle name="Normal 11 2 5 3 2 3 3" xfId="38942" xr:uid="{00000000-0005-0000-0000-00004E950000}"/>
    <cellStyle name="Normal 11 2 5 3 2 3 3 2" xfId="38943" xr:uid="{00000000-0005-0000-0000-00004F950000}"/>
    <cellStyle name="Normal 11 2 5 3 2 3 3 2 2" xfId="38944" xr:uid="{00000000-0005-0000-0000-000050950000}"/>
    <cellStyle name="Normal 11 2 5 3 2 3 3 3" xfId="38945" xr:uid="{00000000-0005-0000-0000-000051950000}"/>
    <cellStyle name="Normal 11 2 5 3 2 3 4" xfId="38946" xr:uid="{00000000-0005-0000-0000-000052950000}"/>
    <cellStyle name="Normal 11 2 5 3 2 3 4 2" xfId="38947" xr:uid="{00000000-0005-0000-0000-000053950000}"/>
    <cellStyle name="Normal 11 2 5 3 2 3 5" xfId="38948" xr:uid="{00000000-0005-0000-0000-000054950000}"/>
    <cellStyle name="Normal 11 2 5 3 2 4" xfId="38949" xr:uid="{00000000-0005-0000-0000-000055950000}"/>
    <cellStyle name="Normal 11 2 5 3 2 4 2" xfId="38950" xr:uid="{00000000-0005-0000-0000-000056950000}"/>
    <cellStyle name="Normal 11 2 5 3 2 4 2 2" xfId="38951" xr:uid="{00000000-0005-0000-0000-000057950000}"/>
    <cellStyle name="Normal 11 2 5 3 2 4 2 2 2" xfId="38952" xr:uid="{00000000-0005-0000-0000-000058950000}"/>
    <cellStyle name="Normal 11 2 5 3 2 4 2 2 2 2" xfId="38953" xr:uid="{00000000-0005-0000-0000-000059950000}"/>
    <cellStyle name="Normal 11 2 5 3 2 4 2 2 3" xfId="38954" xr:uid="{00000000-0005-0000-0000-00005A950000}"/>
    <cellStyle name="Normal 11 2 5 3 2 4 2 3" xfId="38955" xr:uid="{00000000-0005-0000-0000-00005B950000}"/>
    <cellStyle name="Normal 11 2 5 3 2 4 2 3 2" xfId="38956" xr:uid="{00000000-0005-0000-0000-00005C950000}"/>
    <cellStyle name="Normal 11 2 5 3 2 4 2 4" xfId="38957" xr:uid="{00000000-0005-0000-0000-00005D950000}"/>
    <cellStyle name="Normal 11 2 5 3 2 4 3" xfId="38958" xr:uid="{00000000-0005-0000-0000-00005E950000}"/>
    <cellStyle name="Normal 11 2 5 3 2 4 3 2" xfId="38959" xr:uid="{00000000-0005-0000-0000-00005F950000}"/>
    <cellStyle name="Normal 11 2 5 3 2 4 3 2 2" xfId="38960" xr:uid="{00000000-0005-0000-0000-000060950000}"/>
    <cellStyle name="Normal 11 2 5 3 2 4 3 3" xfId="38961" xr:uid="{00000000-0005-0000-0000-000061950000}"/>
    <cellStyle name="Normal 11 2 5 3 2 4 4" xfId="38962" xr:uid="{00000000-0005-0000-0000-000062950000}"/>
    <cellStyle name="Normal 11 2 5 3 2 4 4 2" xfId="38963" xr:uid="{00000000-0005-0000-0000-000063950000}"/>
    <cellStyle name="Normal 11 2 5 3 2 4 5" xfId="38964" xr:uid="{00000000-0005-0000-0000-000064950000}"/>
    <cellStyle name="Normal 11 2 5 3 2 5" xfId="38965" xr:uid="{00000000-0005-0000-0000-000065950000}"/>
    <cellStyle name="Normal 11 2 5 3 2 5 2" xfId="38966" xr:uid="{00000000-0005-0000-0000-000066950000}"/>
    <cellStyle name="Normal 11 2 5 3 2 5 2 2" xfId="38967" xr:uid="{00000000-0005-0000-0000-000067950000}"/>
    <cellStyle name="Normal 11 2 5 3 2 5 2 2 2" xfId="38968" xr:uid="{00000000-0005-0000-0000-000068950000}"/>
    <cellStyle name="Normal 11 2 5 3 2 5 2 3" xfId="38969" xr:uid="{00000000-0005-0000-0000-000069950000}"/>
    <cellStyle name="Normal 11 2 5 3 2 5 3" xfId="38970" xr:uid="{00000000-0005-0000-0000-00006A950000}"/>
    <cellStyle name="Normal 11 2 5 3 2 5 3 2" xfId="38971" xr:uid="{00000000-0005-0000-0000-00006B950000}"/>
    <cellStyle name="Normal 11 2 5 3 2 5 4" xfId="38972" xr:uid="{00000000-0005-0000-0000-00006C950000}"/>
    <cellStyle name="Normal 11 2 5 3 2 6" xfId="38973" xr:uid="{00000000-0005-0000-0000-00006D950000}"/>
    <cellStyle name="Normal 11 2 5 3 2 6 2" xfId="38974" xr:uid="{00000000-0005-0000-0000-00006E950000}"/>
    <cellStyle name="Normal 11 2 5 3 2 6 2 2" xfId="38975" xr:uid="{00000000-0005-0000-0000-00006F950000}"/>
    <cellStyle name="Normal 11 2 5 3 2 6 2 2 2" xfId="38976" xr:uid="{00000000-0005-0000-0000-000070950000}"/>
    <cellStyle name="Normal 11 2 5 3 2 6 2 3" xfId="38977" xr:uid="{00000000-0005-0000-0000-000071950000}"/>
    <cellStyle name="Normal 11 2 5 3 2 6 3" xfId="38978" xr:uid="{00000000-0005-0000-0000-000072950000}"/>
    <cellStyle name="Normal 11 2 5 3 2 6 3 2" xfId="38979" xr:uid="{00000000-0005-0000-0000-000073950000}"/>
    <cellStyle name="Normal 11 2 5 3 2 6 4" xfId="38980" xr:uid="{00000000-0005-0000-0000-000074950000}"/>
    <cellStyle name="Normal 11 2 5 3 2 7" xfId="38981" xr:uid="{00000000-0005-0000-0000-000075950000}"/>
    <cellStyle name="Normal 11 2 5 3 2 7 2" xfId="38982" xr:uid="{00000000-0005-0000-0000-000076950000}"/>
    <cellStyle name="Normal 11 2 5 3 2 7 2 2" xfId="38983" xr:uid="{00000000-0005-0000-0000-000077950000}"/>
    <cellStyle name="Normal 11 2 5 3 2 7 2 2 2" xfId="38984" xr:uid="{00000000-0005-0000-0000-000078950000}"/>
    <cellStyle name="Normal 11 2 5 3 2 7 2 3" xfId="38985" xr:uid="{00000000-0005-0000-0000-000079950000}"/>
    <cellStyle name="Normal 11 2 5 3 2 7 3" xfId="38986" xr:uid="{00000000-0005-0000-0000-00007A950000}"/>
    <cellStyle name="Normal 11 2 5 3 2 7 3 2" xfId="38987" xr:uid="{00000000-0005-0000-0000-00007B950000}"/>
    <cellStyle name="Normal 11 2 5 3 2 7 4" xfId="38988" xr:uid="{00000000-0005-0000-0000-00007C950000}"/>
    <cellStyle name="Normal 11 2 5 3 2 8" xfId="38989" xr:uid="{00000000-0005-0000-0000-00007D950000}"/>
    <cellStyle name="Normal 11 2 5 3 2 8 2" xfId="38990" xr:uid="{00000000-0005-0000-0000-00007E950000}"/>
    <cellStyle name="Normal 11 2 5 3 2 8 2 2" xfId="38991" xr:uid="{00000000-0005-0000-0000-00007F950000}"/>
    <cellStyle name="Normal 11 2 5 3 2 8 3" xfId="38992" xr:uid="{00000000-0005-0000-0000-000080950000}"/>
    <cellStyle name="Normal 11 2 5 3 2 9" xfId="38993" xr:uid="{00000000-0005-0000-0000-000081950000}"/>
    <cellStyle name="Normal 11 2 5 3 2 9 2" xfId="38994" xr:uid="{00000000-0005-0000-0000-000082950000}"/>
    <cellStyle name="Normal 11 2 5 3 3" xfId="1444" xr:uid="{00000000-0005-0000-0000-000083950000}"/>
    <cellStyle name="Normal 11 2 5 3 3 2" xfId="38996" xr:uid="{00000000-0005-0000-0000-000084950000}"/>
    <cellStyle name="Normal 11 2 5 3 3 2 2" xfId="38997" xr:uid="{00000000-0005-0000-0000-000085950000}"/>
    <cellStyle name="Normal 11 2 5 3 3 2 2 2" xfId="38998" xr:uid="{00000000-0005-0000-0000-000086950000}"/>
    <cellStyle name="Normal 11 2 5 3 3 2 2 2 2" xfId="38999" xr:uid="{00000000-0005-0000-0000-000087950000}"/>
    <cellStyle name="Normal 11 2 5 3 3 2 2 3" xfId="39000" xr:uid="{00000000-0005-0000-0000-000088950000}"/>
    <cellStyle name="Normal 11 2 5 3 3 2 3" xfId="39001" xr:uid="{00000000-0005-0000-0000-000089950000}"/>
    <cellStyle name="Normal 11 2 5 3 3 2 3 2" xfId="39002" xr:uid="{00000000-0005-0000-0000-00008A950000}"/>
    <cellStyle name="Normal 11 2 5 3 3 2 4" xfId="39003" xr:uid="{00000000-0005-0000-0000-00008B950000}"/>
    <cellStyle name="Normal 11 2 5 3 3 3" xfId="39004" xr:uid="{00000000-0005-0000-0000-00008C950000}"/>
    <cellStyle name="Normal 11 2 5 3 3 3 2" xfId="39005" xr:uid="{00000000-0005-0000-0000-00008D950000}"/>
    <cellStyle name="Normal 11 2 5 3 3 3 2 2" xfId="39006" xr:uid="{00000000-0005-0000-0000-00008E950000}"/>
    <cellStyle name="Normal 11 2 5 3 3 3 2 2 2" xfId="39007" xr:uid="{00000000-0005-0000-0000-00008F950000}"/>
    <cellStyle name="Normal 11 2 5 3 3 3 2 3" xfId="39008" xr:uid="{00000000-0005-0000-0000-000090950000}"/>
    <cellStyle name="Normal 11 2 5 3 3 3 3" xfId="39009" xr:uid="{00000000-0005-0000-0000-000091950000}"/>
    <cellStyle name="Normal 11 2 5 3 3 3 3 2" xfId="39010" xr:uid="{00000000-0005-0000-0000-000092950000}"/>
    <cellStyle name="Normal 11 2 5 3 3 3 4" xfId="39011" xr:uid="{00000000-0005-0000-0000-000093950000}"/>
    <cellStyle name="Normal 11 2 5 3 3 4" xfId="39012" xr:uid="{00000000-0005-0000-0000-000094950000}"/>
    <cellStyle name="Normal 11 2 5 3 3 4 2" xfId="39013" xr:uid="{00000000-0005-0000-0000-000095950000}"/>
    <cellStyle name="Normal 11 2 5 3 3 4 2 2" xfId="39014" xr:uid="{00000000-0005-0000-0000-000096950000}"/>
    <cellStyle name="Normal 11 2 5 3 3 4 3" xfId="39015" xr:uid="{00000000-0005-0000-0000-000097950000}"/>
    <cellStyle name="Normal 11 2 5 3 3 5" xfId="39016" xr:uid="{00000000-0005-0000-0000-000098950000}"/>
    <cellStyle name="Normal 11 2 5 3 3 5 2" xfId="39017" xr:uid="{00000000-0005-0000-0000-000099950000}"/>
    <cellStyle name="Normal 11 2 5 3 3 6" xfId="39018" xr:uid="{00000000-0005-0000-0000-00009A950000}"/>
    <cellStyle name="Normal 11 2 5 3 3 7" xfId="38995" xr:uid="{00000000-0005-0000-0000-00009B950000}"/>
    <cellStyle name="Normal 11 2 5 3 4" xfId="39019" xr:uid="{00000000-0005-0000-0000-00009C950000}"/>
    <cellStyle name="Normal 11 2 5 3 4 2" xfId="39020" xr:uid="{00000000-0005-0000-0000-00009D950000}"/>
    <cellStyle name="Normal 11 2 5 3 4 2 2" xfId="39021" xr:uid="{00000000-0005-0000-0000-00009E950000}"/>
    <cellStyle name="Normal 11 2 5 3 4 2 2 2" xfId="39022" xr:uid="{00000000-0005-0000-0000-00009F950000}"/>
    <cellStyle name="Normal 11 2 5 3 4 2 2 2 2" xfId="39023" xr:uid="{00000000-0005-0000-0000-0000A0950000}"/>
    <cellStyle name="Normal 11 2 5 3 4 2 2 3" xfId="39024" xr:uid="{00000000-0005-0000-0000-0000A1950000}"/>
    <cellStyle name="Normal 11 2 5 3 4 2 3" xfId="39025" xr:uid="{00000000-0005-0000-0000-0000A2950000}"/>
    <cellStyle name="Normal 11 2 5 3 4 2 3 2" xfId="39026" xr:uid="{00000000-0005-0000-0000-0000A3950000}"/>
    <cellStyle name="Normal 11 2 5 3 4 2 4" xfId="39027" xr:uid="{00000000-0005-0000-0000-0000A4950000}"/>
    <cellStyle name="Normal 11 2 5 3 4 3" xfId="39028" xr:uid="{00000000-0005-0000-0000-0000A5950000}"/>
    <cellStyle name="Normal 11 2 5 3 4 3 2" xfId="39029" xr:uid="{00000000-0005-0000-0000-0000A6950000}"/>
    <cellStyle name="Normal 11 2 5 3 4 3 2 2" xfId="39030" xr:uid="{00000000-0005-0000-0000-0000A7950000}"/>
    <cellStyle name="Normal 11 2 5 3 4 3 3" xfId="39031" xr:uid="{00000000-0005-0000-0000-0000A8950000}"/>
    <cellStyle name="Normal 11 2 5 3 4 4" xfId="39032" xr:uid="{00000000-0005-0000-0000-0000A9950000}"/>
    <cellStyle name="Normal 11 2 5 3 4 4 2" xfId="39033" xr:uid="{00000000-0005-0000-0000-0000AA950000}"/>
    <cellStyle name="Normal 11 2 5 3 4 5" xfId="39034" xr:uid="{00000000-0005-0000-0000-0000AB950000}"/>
    <cellStyle name="Normal 11 2 5 3 5" xfId="39035" xr:uid="{00000000-0005-0000-0000-0000AC950000}"/>
    <cellStyle name="Normal 11 2 5 3 5 2" xfId="39036" xr:uid="{00000000-0005-0000-0000-0000AD950000}"/>
    <cellStyle name="Normal 11 2 5 3 5 2 2" xfId="39037" xr:uid="{00000000-0005-0000-0000-0000AE950000}"/>
    <cellStyle name="Normal 11 2 5 3 5 2 2 2" xfId="39038" xr:uid="{00000000-0005-0000-0000-0000AF950000}"/>
    <cellStyle name="Normal 11 2 5 3 5 2 2 2 2" xfId="39039" xr:uid="{00000000-0005-0000-0000-0000B0950000}"/>
    <cellStyle name="Normal 11 2 5 3 5 2 2 3" xfId="39040" xr:uid="{00000000-0005-0000-0000-0000B1950000}"/>
    <cellStyle name="Normal 11 2 5 3 5 2 3" xfId="39041" xr:uid="{00000000-0005-0000-0000-0000B2950000}"/>
    <cellStyle name="Normal 11 2 5 3 5 2 3 2" xfId="39042" xr:uid="{00000000-0005-0000-0000-0000B3950000}"/>
    <cellStyle name="Normal 11 2 5 3 5 2 4" xfId="39043" xr:uid="{00000000-0005-0000-0000-0000B4950000}"/>
    <cellStyle name="Normal 11 2 5 3 5 3" xfId="39044" xr:uid="{00000000-0005-0000-0000-0000B5950000}"/>
    <cellStyle name="Normal 11 2 5 3 5 3 2" xfId="39045" xr:uid="{00000000-0005-0000-0000-0000B6950000}"/>
    <cellStyle name="Normal 11 2 5 3 5 3 2 2" xfId="39046" xr:uid="{00000000-0005-0000-0000-0000B7950000}"/>
    <cellStyle name="Normal 11 2 5 3 5 3 3" xfId="39047" xr:uid="{00000000-0005-0000-0000-0000B8950000}"/>
    <cellStyle name="Normal 11 2 5 3 5 4" xfId="39048" xr:uid="{00000000-0005-0000-0000-0000B9950000}"/>
    <cellStyle name="Normal 11 2 5 3 5 4 2" xfId="39049" xr:uid="{00000000-0005-0000-0000-0000BA950000}"/>
    <cellStyle name="Normal 11 2 5 3 5 5" xfId="39050" xr:uid="{00000000-0005-0000-0000-0000BB950000}"/>
    <cellStyle name="Normal 11 2 5 3 6" xfId="39051" xr:uid="{00000000-0005-0000-0000-0000BC950000}"/>
    <cellStyle name="Normal 11 2 5 3 6 2" xfId="39052" xr:uid="{00000000-0005-0000-0000-0000BD950000}"/>
    <cellStyle name="Normal 11 2 5 3 6 2 2" xfId="39053" xr:uid="{00000000-0005-0000-0000-0000BE950000}"/>
    <cellStyle name="Normal 11 2 5 3 6 2 2 2" xfId="39054" xr:uid="{00000000-0005-0000-0000-0000BF950000}"/>
    <cellStyle name="Normal 11 2 5 3 6 2 3" xfId="39055" xr:uid="{00000000-0005-0000-0000-0000C0950000}"/>
    <cellStyle name="Normal 11 2 5 3 6 3" xfId="39056" xr:uid="{00000000-0005-0000-0000-0000C1950000}"/>
    <cellStyle name="Normal 11 2 5 3 6 3 2" xfId="39057" xr:uid="{00000000-0005-0000-0000-0000C2950000}"/>
    <cellStyle name="Normal 11 2 5 3 6 4" xfId="39058" xr:uid="{00000000-0005-0000-0000-0000C3950000}"/>
    <cellStyle name="Normal 11 2 5 3 7" xfId="39059" xr:uid="{00000000-0005-0000-0000-0000C4950000}"/>
    <cellStyle name="Normal 11 2 5 3 7 2" xfId="39060" xr:uid="{00000000-0005-0000-0000-0000C5950000}"/>
    <cellStyle name="Normal 11 2 5 3 7 2 2" xfId="39061" xr:uid="{00000000-0005-0000-0000-0000C6950000}"/>
    <cellStyle name="Normal 11 2 5 3 7 2 2 2" xfId="39062" xr:uid="{00000000-0005-0000-0000-0000C7950000}"/>
    <cellStyle name="Normal 11 2 5 3 7 2 3" xfId="39063" xr:uid="{00000000-0005-0000-0000-0000C8950000}"/>
    <cellStyle name="Normal 11 2 5 3 7 3" xfId="39064" xr:uid="{00000000-0005-0000-0000-0000C9950000}"/>
    <cellStyle name="Normal 11 2 5 3 7 3 2" xfId="39065" xr:uid="{00000000-0005-0000-0000-0000CA950000}"/>
    <cellStyle name="Normal 11 2 5 3 7 4" xfId="39066" xr:uid="{00000000-0005-0000-0000-0000CB950000}"/>
    <cellStyle name="Normal 11 2 5 3 8" xfId="39067" xr:uid="{00000000-0005-0000-0000-0000CC950000}"/>
    <cellStyle name="Normal 11 2 5 3 8 2" xfId="39068" xr:uid="{00000000-0005-0000-0000-0000CD950000}"/>
    <cellStyle name="Normal 11 2 5 3 8 2 2" xfId="39069" xr:uid="{00000000-0005-0000-0000-0000CE950000}"/>
    <cellStyle name="Normal 11 2 5 3 8 2 2 2" xfId="39070" xr:uid="{00000000-0005-0000-0000-0000CF950000}"/>
    <cellStyle name="Normal 11 2 5 3 8 2 3" xfId="39071" xr:uid="{00000000-0005-0000-0000-0000D0950000}"/>
    <cellStyle name="Normal 11 2 5 3 8 3" xfId="39072" xr:uid="{00000000-0005-0000-0000-0000D1950000}"/>
    <cellStyle name="Normal 11 2 5 3 8 3 2" xfId="39073" xr:uid="{00000000-0005-0000-0000-0000D2950000}"/>
    <cellStyle name="Normal 11 2 5 3 8 4" xfId="39074" xr:uid="{00000000-0005-0000-0000-0000D3950000}"/>
    <cellStyle name="Normal 11 2 5 3 9" xfId="39075" xr:uid="{00000000-0005-0000-0000-0000D4950000}"/>
    <cellStyle name="Normal 11 2 5 3 9 2" xfId="39076" xr:uid="{00000000-0005-0000-0000-0000D5950000}"/>
    <cellStyle name="Normal 11 2 5 3 9 2 2" xfId="39077" xr:uid="{00000000-0005-0000-0000-0000D6950000}"/>
    <cellStyle name="Normal 11 2 5 3 9 3" xfId="39078" xr:uid="{00000000-0005-0000-0000-0000D7950000}"/>
    <cellStyle name="Normal 11 2 5 4" xfId="601" xr:uid="{00000000-0005-0000-0000-0000D8950000}"/>
    <cellStyle name="Normal 11 2 5 4 10" xfId="39080" xr:uid="{00000000-0005-0000-0000-0000D9950000}"/>
    <cellStyle name="Normal 11 2 5 4 10 2" xfId="39081" xr:uid="{00000000-0005-0000-0000-0000DA950000}"/>
    <cellStyle name="Normal 11 2 5 4 10 2 2" xfId="39082" xr:uid="{00000000-0005-0000-0000-0000DB950000}"/>
    <cellStyle name="Normal 11 2 5 4 10 3" xfId="39083" xr:uid="{00000000-0005-0000-0000-0000DC950000}"/>
    <cellStyle name="Normal 11 2 5 4 11" xfId="39084" xr:uid="{00000000-0005-0000-0000-0000DD950000}"/>
    <cellStyle name="Normal 11 2 5 4 11 2" xfId="39085" xr:uid="{00000000-0005-0000-0000-0000DE950000}"/>
    <cellStyle name="Normal 11 2 5 4 11 2 2" xfId="39086" xr:uid="{00000000-0005-0000-0000-0000DF950000}"/>
    <cellStyle name="Normal 11 2 5 4 11 3" xfId="39087" xr:uid="{00000000-0005-0000-0000-0000E0950000}"/>
    <cellStyle name="Normal 11 2 5 4 12" xfId="39088" xr:uid="{00000000-0005-0000-0000-0000E1950000}"/>
    <cellStyle name="Normal 11 2 5 4 12 2" xfId="39089" xr:uid="{00000000-0005-0000-0000-0000E2950000}"/>
    <cellStyle name="Normal 11 2 5 4 13" xfId="39090" xr:uid="{00000000-0005-0000-0000-0000E3950000}"/>
    <cellStyle name="Normal 11 2 5 4 14" xfId="39091" xr:uid="{00000000-0005-0000-0000-0000E4950000}"/>
    <cellStyle name="Normal 11 2 5 4 15" xfId="39079" xr:uid="{00000000-0005-0000-0000-0000E5950000}"/>
    <cellStyle name="Normal 11 2 5 4 2" xfId="1043" xr:uid="{00000000-0005-0000-0000-0000E6950000}"/>
    <cellStyle name="Normal 11 2 5 4 2 10" xfId="39093" xr:uid="{00000000-0005-0000-0000-0000E7950000}"/>
    <cellStyle name="Normal 11 2 5 4 2 11" xfId="39092" xr:uid="{00000000-0005-0000-0000-0000E8950000}"/>
    <cellStyle name="Normal 11 2 5 4 2 2" xfId="1772" xr:uid="{00000000-0005-0000-0000-0000E9950000}"/>
    <cellStyle name="Normal 11 2 5 4 2 2 2" xfId="39095" xr:uid="{00000000-0005-0000-0000-0000EA950000}"/>
    <cellStyle name="Normal 11 2 5 4 2 2 2 2" xfId="39096" xr:uid="{00000000-0005-0000-0000-0000EB950000}"/>
    <cellStyle name="Normal 11 2 5 4 2 2 2 2 2" xfId="39097" xr:uid="{00000000-0005-0000-0000-0000EC950000}"/>
    <cellStyle name="Normal 11 2 5 4 2 2 2 2 2 2" xfId="39098" xr:uid="{00000000-0005-0000-0000-0000ED950000}"/>
    <cellStyle name="Normal 11 2 5 4 2 2 2 2 3" xfId="39099" xr:uid="{00000000-0005-0000-0000-0000EE950000}"/>
    <cellStyle name="Normal 11 2 5 4 2 2 2 3" xfId="39100" xr:uid="{00000000-0005-0000-0000-0000EF950000}"/>
    <cellStyle name="Normal 11 2 5 4 2 2 2 3 2" xfId="39101" xr:uid="{00000000-0005-0000-0000-0000F0950000}"/>
    <cellStyle name="Normal 11 2 5 4 2 2 2 4" xfId="39102" xr:uid="{00000000-0005-0000-0000-0000F1950000}"/>
    <cellStyle name="Normal 11 2 5 4 2 2 3" xfId="39103" xr:uid="{00000000-0005-0000-0000-0000F2950000}"/>
    <cellStyle name="Normal 11 2 5 4 2 2 3 2" xfId="39104" xr:uid="{00000000-0005-0000-0000-0000F3950000}"/>
    <cellStyle name="Normal 11 2 5 4 2 2 3 2 2" xfId="39105" xr:uid="{00000000-0005-0000-0000-0000F4950000}"/>
    <cellStyle name="Normal 11 2 5 4 2 2 3 2 2 2" xfId="39106" xr:uid="{00000000-0005-0000-0000-0000F5950000}"/>
    <cellStyle name="Normal 11 2 5 4 2 2 3 2 3" xfId="39107" xr:uid="{00000000-0005-0000-0000-0000F6950000}"/>
    <cellStyle name="Normal 11 2 5 4 2 2 3 3" xfId="39108" xr:uid="{00000000-0005-0000-0000-0000F7950000}"/>
    <cellStyle name="Normal 11 2 5 4 2 2 3 3 2" xfId="39109" xr:uid="{00000000-0005-0000-0000-0000F8950000}"/>
    <cellStyle name="Normal 11 2 5 4 2 2 3 4" xfId="39110" xr:uid="{00000000-0005-0000-0000-0000F9950000}"/>
    <cellStyle name="Normal 11 2 5 4 2 2 4" xfId="39111" xr:uid="{00000000-0005-0000-0000-0000FA950000}"/>
    <cellStyle name="Normal 11 2 5 4 2 2 4 2" xfId="39112" xr:uid="{00000000-0005-0000-0000-0000FB950000}"/>
    <cellStyle name="Normal 11 2 5 4 2 2 4 2 2" xfId="39113" xr:uid="{00000000-0005-0000-0000-0000FC950000}"/>
    <cellStyle name="Normal 11 2 5 4 2 2 4 3" xfId="39114" xr:uid="{00000000-0005-0000-0000-0000FD950000}"/>
    <cellStyle name="Normal 11 2 5 4 2 2 5" xfId="39115" xr:uid="{00000000-0005-0000-0000-0000FE950000}"/>
    <cellStyle name="Normal 11 2 5 4 2 2 5 2" xfId="39116" xr:uid="{00000000-0005-0000-0000-0000FF950000}"/>
    <cellStyle name="Normal 11 2 5 4 2 2 6" xfId="39117" xr:uid="{00000000-0005-0000-0000-000000960000}"/>
    <cellStyle name="Normal 11 2 5 4 2 2 7" xfId="39094" xr:uid="{00000000-0005-0000-0000-000001960000}"/>
    <cellStyle name="Normal 11 2 5 4 2 3" xfId="39118" xr:uid="{00000000-0005-0000-0000-000002960000}"/>
    <cellStyle name="Normal 11 2 5 4 2 3 2" xfId="39119" xr:uid="{00000000-0005-0000-0000-000003960000}"/>
    <cellStyle name="Normal 11 2 5 4 2 3 2 2" xfId="39120" xr:uid="{00000000-0005-0000-0000-000004960000}"/>
    <cellStyle name="Normal 11 2 5 4 2 3 2 2 2" xfId="39121" xr:uid="{00000000-0005-0000-0000-000005960000}"/>
    <cellStyle name="Normal 11 2 5 4 2 3 2 2 2 2" xfId="39122" xr:uid="{00000000-0005-0000-0000-000006960000}"/>
    <cellStyle name="Normal 11 2 5 4 2 3 2 2 3" xfId="39123" xr:uid="{00000000-0005-0000-0000-000007960000}"/>
    <cellStyle name="Normal 11 2 5 4 2 3 2 3" xfId="39124" xr:uid="{00000000-0005-0000-0000-000008960000}"/>
    <cellStyle name="Normal 11 2 5 4 2 3 2 3 2" xfId="39125" xr:uid="{00000000-0005-0000-0000-000009960000}"/>
    <cellStyle name="Normal 11 2 5 4 2 3 2 4" xfId="39126" xr:uid="{00000000-0005-0000-0000-00000A960000}"/>
    <cellStyle name="Normal 11 2 5 4 2 3 3" xfId="39127" xr:uid="{00000000-0005-0000-0000-00000B960000}"/>
    <cellStyle name="Normal 11 2 5 4 2 3 3 2" xfId="39128" xr:uid="{00000000-0005-0000-0000-00000C960000}"/>
    <cellStyle name="Normal 11 2 5 4 2 3 3 2 2" xfId="39129" xr:uid="{00000000-0005-0000-0000-00000D960000}"/>
    <cellStyle name="Normal 11 2 5 4 2 3 3 3" xfId="39130" xr:uid="{00000000-0005-0000-0000-00000E960000}"/>
    <cellStyle name="Normal 11 2 5 4 2 3 4" xfId="39131" xr:uid="{00000000-0005-0000-0000-00000F960000}"/>
    <cellStyle name="Normal 11 2 5 4 2 3 4 2" xfId="39132" xr:uid="{00000000-0005-0000-0000-000010960000}"/>
    <cellStyle name="Normal 11 2 5 4 2 3 5" xfId="39133" xr:uid="{00000000-0005-0000-0000-000011960000}"/>
    <cellStyle name="Normal 11 2 5 4 2 4" xfId="39134" xr:uid="{00000000-0005-0000-0000-000012960000}"/>
    <cellStyle name="Normal 11 2 5 4 2 4 2" xfId="39135" xr:uid="{00000000-0005-0000-0000-000013960000}"/>
    <cellStyle name="Normal 11 2 5 4 2 4 2 2" xfId="39136" xr:uid="{00000000-0005-0000-0000-000014960000}"/>
    <cellStyle name="Normal 11 2 5 4 2 4 2 2 2" xfId="39137" xr:uid="{00000000-0005-0000-0000-000015960000}"/>
    <cellStyle name="Normal 11 2 5 4 2 4 2 2 2 2" xfId="39138" xr:uid="{00000000-0005-0000-0000-000016960000}"/>
    <cellStyle name="Normal 11 2 5 4 2 4 2 2 3" xfId="39139" xr:uid="{00000000-0005-0000-0000-000017960000}"/>
    <cellStyle name="Normal 11 2 5 4 2 4 2 3" xfId="39140" xr:uid="{00000000-0005-0000-0000-000018960000}"/>
    <cellStyle name="Normal 11 2 5 4 2 4 2 3 2" xfId="39141" xr:uid="{00000000-0005-0000-0000-000019960000}"/>
    <cellStyle name="Normal 11 2 5 4 2 4 2 4" xfId="39142" xr:uid="{00000000-0005-0000-0000-00001A960000}"/>
    <cellStyle name="Normal 11 2 5 4 2 4 3" xfId="39143" xr:uid="{00000000-0005-0000-0000-00001B960000}"/>
    <cellStyle name="Normal 11 2 5 4 2 4 3 2" xfId="39144" xr:uid="{00000000-0005-0000-0000-00001C960000}"/>
    <cellStyle name="Normal 11 2 5 4 2 4 3 2 2" xfId="39145" xr:uid="{00000000-0005-0000-0000-00001D960000}"/>
    <cellStyle name="Normal 11 2 5 4 2 4 3 3" xfId="39146" xr:uid="{00000000-0005-0000-0000-00001E960000}"/>
    <cellStyle name="Normal 11 2 5 4 2 4 4" xfId="39147" xr:uid="{00000000-0005-0000-0000-00001F960000}"/>
    <cellStyle name="Normal 11 2 5 4 2 4 4 2" xfId="39148" xr:uid="{00000000-0005-0000-0000-000020960000}"/>
    <cellStyle name="Normal 11 2 5 4 2 4 5" xfId="39149" xr:uid="{00000000-0005-0000-0000-000021960000}"/>
    <cellStyle name="Normal 11 2 5 4 2 5" xfId="39150" xr:uid="{00000000-0005-0000-0000-000022960000}"/>
    <cellStyle name="Normal 11 2 5 4 2 5 2" xfId="39151" xr:uid="{00000000-0005-0000-0000-000023960000}"/>
    <cellStyle name="Normal 11 2 5 4 2 5 2 2" xfId="39152" xr:uid="{00000000-0005-0000-0000-000024960000}"/>
    <cellStyle name="Normal 11 2 5 4 2 5 2 2 2" xfId="39153" xr:uid="{00000000-0005-0000-0000-000025960000}"/>
    <cellStyle name="Normal 11 2 5 4 2 5 2 3" xfId="39154" xr:uid="{00000000-0005-0000-0000-000026960000}"/>
    <cellStyle name="Normal 11 2 5 4 2 5 3" xfId="39155" xr:uid="{00000000-0005-0000-0000-000027960000}"/>
    <cellStyle name="Normal 11 2 5 4 2 5 3 2" xfId="39156" xr:uid="{00000000-0005-0000-0000-000028960000}"/>
    <cellStyle name="Normal 11 2 5 4 2 5 4" xfId="39157" xr:uid="{00000000-0005-0000-0000-000029960000}"/>
    <cellStyle name="Normal 11 2 5 4 2 6" xfId="39158" xr:uid="{00000000-0005-0000-0000-00002A960000}"/>
    <cellStyle name="Normal 11 2 5 4 2 6 2" xfId="39159" xr:uid="{00000000-0005-0000-0000-00002B960000}"/>
    <cellStyle name="Normal 11 2 5 4 2 6 2 2" xfId="39160" xr:uid="{00000000-0005-0000-0000-00002C960000}"/>
    <cellStyle name="Normal 11 2 5 4 2 6 2 2 2" xfId="39161" xr:uid="{00000000-0005-0000-0000-00002D960000}"/>
    <cellStyle name="Normal 11 2 5 4 2 6 2 3" xfId="39162" xr:uid="{00000000-0005-0000-0000-00002E960000}"/>
    <cellStyle name="Normal 11 2 5 4 2 6 3" xfId="39163" xr:uid="{00000000-0005-0000-0000-00002F960000}"/>
    <cellStyle name="Normal 11 2 5 4 2 6 3 2" xfId="39164" xr:uid="{00000000-0005-0000-0000-000030960000}"/>
    <cellStyle name="Normal 11 2 5 4 2 6 4" xfId="39165" xr:uid="{00000000-0005-0000-0000-000031960000}"/>
    <cellStyle name="Normal 11 2 5 4 2 7" xfId="39166" xr:uid="{00000000-0005-0000-0000-000032960000}"/>
    <cellStyle name="Normal 11 2 5 4 2 7 2" xfId="39167" xr:uid="{00000000-0005-0000-0000-000033960000}"/>
    <cellStyle name="Normal 11 2 5 4 2 7 2 2" xfId="39168" xr:uid="{00000000-0005-0000-0000-000034960000}"/>
    <cellStyle name="Normal 11 2 5 4 2 7 2 2 2" xfId="39169" xr:uid="{00000000-0005-0000-0000-000035960000}"/>
    <cellStyle name="Normal 11 2 5 4 2 7 2 3" xfId="39170" xr:uid="{00000000-0005-0000-0000-000036960000}"/>
    <cellStyle name="Normal 11 2 5 4 2 7 3" xfId="39171" xr:uid="{00000000-0005-0000-0000-000037960000}"/>
    <cellStyle name="Normal 11 2 5 4 2 7 3 2" xfId="39172" xr:uid="{00000000-0005-0000-0000-000038960000}"/>
    <cellStyle name="Normal 11 2 5 4 2 7 4" xfId="39173" xr:uid="{00000000-0005-0000-0000-000039960000}"/>
    <cellStyle name="Normal 11 2 5 4 2 8" xfId="39174" xr:uid="{00000000-0005-0000-0000-00003A960000}"/>
    <cellStyle name="Normal 11 2 5 4 2 8 2" xfId="39175" xr:uid="{00000000-0005-0000-0000-00003B960000}"/>
    <cellStyle name="Normal 11 2 5 4 2 8 2 2" xfId="39176" xr:uid="{00000000-0005-0000-0000-00003C960000}"/>
    <cellStyle name="Normal 11 2 5 4 2 8 3" xfId="39177" xr:uid="{00000000-0005-0000-0000-00003D960000}"/>
    <cellStyle name="Normal 11 2 5 4 2 9" xfId="39178" xr:uid="{00000000-0005-0000-0000-00003E960000}"/>
    <cellStyle name="Normal 11 2 5 4 2 9 2" xfId="39179" xr:uid="{00000000-0005-0000-0000-00003F960000}"/>
    <cellStyle name="Normal 11 2 5 4 3" xfId="1445" xr:uid="{00000000-0005-0000-0000-000040960000}"/>
    <cellStyle name="Normal 11 2 5 4 3 2" xfId="39181" xr:uid="{00000000-0005-0000-0000-000041960000}"/>
    <cellStyle name="Normal 11 2 5 4 3 2 2" xfId="39182" xr:uid="{00000000-0005-0000-0000-000042960000}"/>
    <cellStyle name="Normal 11 2 5 4 3 2 2 2" xfId="39183" xr:uid="{00000000-0005-0000-0000-000043960000}"/>
    <cellStyle name="Normal 11 2 5 4 3 2 2 2 2" xfId="39184" xr:uid="{00000000-0005-0000-0000-000044960000}"/>
    <cellStyle name="Normal 11 2 5 4 3 2 2 3" xfId="39185" xr:uid="{00000000-0005-0000-0000-000045960000}"/>
    <cellStyle name="Normal 11 2 5 4 3 2 3" xfId="39186" xr:uid="{00000000-0005-0000-0000-000046960000}"/>
    <cellStyle name="Normal 11 2 5 4 3 2 3 2" xfId="39187" xr:uid="{00000000-0005-0000-0000-000047960000}"/>
    <cellStyle name="Normal 11 2 5 4 3 2 4" xfId="39188" xr:uid="{00000000-0005-0000-0000-000048960000}"/>
    <cellStyle name="Normal 11 2 5 4 3 3" xfId="39189" xr:uid="{00000000-0005-0000-0000-000049960000}"/>
    <cellStyle name="Normal 11 2 5 4 3 3 2" xfId="39190" xr:uid="{00000000-0005-0000-0000-00004A960000}"/>
    <cellStyle name="Normal 11 2 5 4 3 3 2 2" xfId="39191" xr:uid="{00000000-0005-0000-0000-00004B960000}"/>
    <cellStyle name="Normal 11 2 5 4 3 3 2 2 2" xfId="39192" xr:uid="{00000000-0005-0000-0000-00004C960000}"/>
    <cellStyle name="Normal 11 2 5 4 3 3 2 3" xfId="39193" xr:uid="{00000000-0005-0000-0000-00004D960000}"/>
    <cellStyle name="Normal 11 2 5 4 3 3 3" xfId="39194" xr:uid="{00000000-0005-0000-0000-00004E960000}"/>
    <cellStyle name="Normal 11 2 5 4 3 3 3 2" xfId="39195" xr:uid="{00000000-0005-0000-0000-00004F960000}"/>
    <cellStyle name="Normal 11 2 5 4 3 3 4" xfId="39196" xr:uid="{00000000-0005-0000-0000-000050960000}"/>
    <cellStyle name="Normal 11 2 5 4 3 4" xfId="39197" xr:uid="{00000000-0005-0000-0000-000051960000}"/>
    <cellStyle name="Normal 11 2 5 4 3 4 2" xfId="39198" xr:uid="{00000000-0005-0000-0000-000052960000}"/>
    <cellStyle name="Normal 11 2 5 4 3 4 2 2" xfId="39199" xr:uid="{00000000-0005-0000-0000-000053960000}"/>
    <cellStyle name="Normal 11 2 5 4 3 4 3" xfId="39200" xr:uid="{00000000-0005-0000-0000-000054960000}"/>
    <cellStyle name="Normal 11 2 5 4 3 5" xfId="39201" xr:uid="{00000000-0005-0000-0000-000055960000}"/>
    <cellStyle name="Normal 11 2 5 4 3 5 2" xfId="39202" xr:uid="{00000000-0005-0000-0000-000056960000}"/>
    <cellStyle name="Normal 11 2 5 4 3 6" xfId="39203" xr:uid="{00000000-0005-0000-0000-000057960000}"/>
    <cellStyle name="Normal 11 2 5 4 3 7" xfId="39180" xr:uid="{00000000-0005-0000-0000-000058960000}"/>
    <cellStyle name="Normal 11 2 5 4 4" xfId="39204" xr:uid="{00000000-0005-0000-0000-000059960000}"/>
    <cellStyle name="Normal 11 2 5 4 4 2" xfId="39205" xr:uid="{00000000-0005-0000-0000-00005A960000}"/>
    <cellStyle name="Normal 11 2 5 4 4 2 2" xfId="39206" xr:uid="{00000000-0005-0000-0000-00005B960000}"/>
    <cellStyle name="Normal 11 2 5 4 4 2 2 2" xfId="39207" xr:uid="{00000000-0005-0000-0000-00005C960000}"/>
    <cellStyle name="Normal 11 2 5 4 4 2 2 2 2" xfId="39208" xr:uid="{00000000-0005-0000-0000-00005D960000}"/>
    <cellStyle name="Normal 11 2 5 4 4 2 2 3" xfId="39209" xr:uid="{00000000-0005-0000-0000-00005E960000}"/>
    <cellStyle name="Normal 11 2 5 4 4 2 3" xfId="39210" xr:uid="{00000000-0005-0000-0000-00005F960000}"/>
    <cellStyle name="Normal 11 2 5 4 4 2 3 2" xfId="39211" xr:uid="{00000000-0005-0000-0000-000060960000}"/>
    <cellStyle name="Normal 11 2 5 4 4 2 4" xfId="39212" xr:uid="{00000000-0005-0000-0000-000061960000}"/>
    <cellStyle name="Normal 11 2 5 4 4 3" xfId="39213" xr:uid="{00000000-0005-0000-0000-000062960000}"/>
    <cellStyle name="Normal 11 2 5 4 4 3 2" xfId="39214" xr:uid="{00000000-0005-0000-0000-000063960000}"/>
    <cellStyle name="Normal 11 2 5 4 4 3 2 2" xfId="39215" xr:uid="{00000000-0005-0000-0000-000064960000}"/>
    <cellStyle name="Normal 11 2 5 4 4 3 3" xfId="39216" xr:uid="{00000000-0005-0000-0000-000065960000}"/>
    <cellStyle name="Normal 11 2 5 4 4 4" xfId="39217" xr:uid="{00000000-0005-0000-0000-000066960000}"/>
    <cellStyle name="Normal 11 2 5 4 4 4 2" xfId="39218" xr:uid="{00000000-0005-0000-0000-000067960000}"/>
    <cellStyle name="Normal 11 2 5 4 4 5" xfId="39219" xr:uid="{00000000-0005-0000-0000-000068960000}"/>
    <cellStyle name="Normal 11 2 5 4 5" xfId="39220" xr:uid="{00000000-0005-0000-0000-000069960000}"/>
    <cellStyle name="Normal 11 2 5 4 5 2" xfId="39221" xr:uid="{00000000-0005-0000-0000-00006A960000}"/>
    <cellStyle name="Normal 11 2 5 4 5 2 2" xfId="39222" xr:uid="{00000000-0005-0000-0000-00006B960000}"/>
    <cellStyle name="Normal 11 2 5 4 5 2 2 2" xfId="39223" xr:uid="{00000000-0005-0000-0000-00006C960000}"/>
    <cellStyle name="Normal 11 2 5 4 5 2 2 2 2" xfId="39224" xr:uid="{00000000-0005-0000-0000-00006D960000}"/>
    <cellStyle name="Normal 11 2 5 4 5 2 2 3" xfId="39225" xr:uid="{00000000-0005-0000-0000-00006E960000}"/>
    <cellStyle name="Normal 11 2 5 4 5 2 3" xfId="39226" xr:uid="{00000000-0005-0000-0000-00006F960000}"/>
    <cellStyle name="Normal 11 2 5 4 5 2 3 2" xfId="39227" xr:uid="{00000000-0005-0000-0000-000070960000}"/>
    <cellStyle name="Normal 11 2 5 4 5 2 4" xfId="39228" xr:uid="{00000000-0005-0000-0000-000071960000}"/>
    <cellStyle name="Normal 11 2 5 4 5 3" xfId="39229" xr:uid="{00000000-0005-0000-0000-000072960000}"/>
    <cellStyle name="Normal 11 2 5 4 5 3 2" xfId="39230" xr:uid="{00000000-0005-0000-0000-000073960000}"/>
    <cellStyle name="Normal 11 2 5 4 5 3 2 2" xfId="39231" xr:uid="{00000000-0005-0000-0000-000074960000}"/>
    <cellStyle name="Normal 11 2 5 4 5 3 3" xfId="39232" xr:uid="{00000000-0005-0000-0000-000075960000}"/>
    <cellStyle name="Normal 11 2 5 4 5 4" xfId="39233" xr:uid="{00000000-0005-0000-0000-000076960000}"/>
    <cellStyle name="Normal 11 2 5 4 5 4 2" xfId="39234" xr:uid="{00000000-0005-0000-0000-000077960000}"/>
    <cellStyle name="Normal 11 2 5 4 5 5" xfId="39235" xr:uid="{00000000-0005-0000-0000-000078960000}"/>
    <cellStyle name="Normal 11 2 5 4 6" xfId="39236" xr:uid="{00000000-0005-0000-0000-000079960000}"/>
    <cellStyle name="Normal 11 2 5 4 6 2" xfId="39237" xr:uid="{00000000-0005-0000-0000-00007A960000}"/>
    <cellStyle name="Normal 11 2 5 4 6 2 2" xfId="39238" xr:uid="{00000000-0005-0000-0000-00007B960000}"/>
    <cellStyle name="Normal 11 2 5 4 6 2 2 2" xfId="39239" xr:uid="{00000000-0005-0000-0000-00007C960000}"/>
    <cellStyle name="Normal 11 2 5 4 6 2 3" xfId="39240" xr:uid="{00000000-0005-0000-0000-00007D960000}"/>
    <cellStyle name="Normal 11 2 5 4 6 3" xfId="39241" xr:uid="{00000000-0005-0000-0000-00007E960000}"/>
    <cellStyle name="Normal 11 2 5 4 6 3 2" xfId="39242" xr:uid="{00000000-0005-0000-0000-00007F960000}"/>
    <cellStyle name="Normal 11 2 5 4 6 4" xfId="39243" xr:uid="{00000000-0005-0000-0000-000080960000}"/>
    <cellStyle name="Normal 11 2 5 4 7" xfId="39244" xr:uid="{00000000-0005-0000-0000-000081960000}"/>
    <cellStyle name="Normal 11 2 5 4 7 2" xfId="39245" xr:uid="{00000000-0005-0000-0000-000082960000}"/>
    <cellStyle name="Normal 11 2 5 4 7 2 2" xfId="39246" xr:uid="{00000000-0005-0000-0000-000083960000}"/>
    <cellStyle name="Normal 11 2 5 4 7 2 2 2" xfId="39247" xr:uid="{00000000-0005-0000-0000-000084960000}"/>
    <cellStyle name="Normal 11 2 5 4 7 2 3" xfId="39248" xr:uid="{00000000-0005-0000-0000-000085960000}"/>
    <cellStyle name="Normal 11 2 5 4 7 3" xfId="39249" xr:uid="{00000000-0005-0000-0000-000086960000}"/>
    <cellStyle name="Normal 11 2 5 4 7 3 2" xfId="39250" xr:uid="{00000000-0005-0000-0000-000087960000}"/>
    <cellStyle name="Normal 11 2 5 4 7 4" xfId="39251" xr:uid="{00000000-0005-0000-0000-000088960000}"/>
    <cellStyle name="Normal 11 2 5 4 8" xfId="39252" xr:uid="{00000000-0005-0000-0000-000089960000}"/>
    <cellStyle name="Normal 11 2 5 4 8 2" xfId="39253" xr:uid="{00000000-0005-0000-0000-00008A960000}"/>
    <cellStyle name="Normal 11 2 5 4 8 2 2" xfId="39254" xr:uid="{00000000-0005-0000-0000-00008B960000}"/>
    <cellStyle name="Normal 11 2 5 4 8 2 2 2" xfId="39255" xr:uid="{00000000-0005-0000-0000-00008C960000}"/>
    <cellStyle name="Normal 11 2 5 4 8 2 3" xfId="39256" xr:uid="{00000000-0005-0000-0000-00008D960000}"/>
    <cellStyle name="Normal 11 2 5 4 8 3" xfId="39257" xr:uid="{00000000-0005-0000-0000-00008E960000}"/>
    <cellStyle name="Normal 11 2 5 4 8 3 2" xfId="39258" xr:uid="{00000000-0005-0000-0000-00008F960000}"/>
    <cellStyle name="Normal 11 2 5 4 8 4" xfId="39259" xr:uid="{00000000-0005-0000-0000-000090960000}"/>
    <cellStyle name="Normal 11 2 5 4 9" xfId="39260" xr:uid="{00000000-0005-0000-0000-000091960000}"/>
    <cellStyle name="Normal 11 2 5 4 9 2" xfId="39261" xr:uid="{00000000-0005-0000-0000-000092960000}"/>
    <cellStyle name="Normal 11 2 5 4 9 2 2" xfId="39262" xr:uid="{00000000-0005-0000-0000-000093960000}"/>
    <cellStyle name="Normal 11 2 5 4 9 3" xfId="39263" xr:uid="{00000000-0005-0000-0000-000094960000}"/>
    <cellStyle name="Normal 11 2 5 5" xfId="1038" xr:uid="{00000000-0005-0000-0000-000095960000}"/>
    <cellStyle name="Normal 11 2 5 5 10" xfId="39265" xr:uid="{00000000-0005-0000-0000-000096960000}"/>
    <cellStyle name="Normal 11 2 5 5 11" xfId="39264" xr:uid="{00000000-0005-0000-0000-000097960000}"/>
    <cellStyle name="Normal 11 2 5 5 2" xfId="1767" xr:uid="{00000000-0005-0000-0000-000098960000}"/>
    <cellStyle name="Normal 11 2 5 5 2 2" xfId="39267" xr:uid="{00000000-0005-0000-0000-000099960000}"/>
    <cellStyle name="Normal 11 2 5 5 2 2 2" xfId="39268" xr:uid="{00000000-0005-0000-0000-00009A960000}"/>
    <cellStyle name="Normal 11 2 5 5 2 2 2 2" xfId="39269" xr:uid="{00000000-0005-0000-0000-00009B960000}"/>
    <cellStyle name="Normal 11 2 5 5 2 2 2 2 2" xfId="39270" xr:uid="{00000000-0005-0000-0000-00009C960000}"/>
    <cellStyle name="Normal 11 2 5 5 2 2 2 3" xfId="39271" xr:uid="{00000000-0005-0000-0000-00009D960000}"/>
    <cellStyle name="Normal 11 2 5 5 2 2 3" xfId="39272" xr:uid="{00000000-0005-0000-0000-00009E960000}"/>
    <cellStyle name="Normal 11 2 5 5 2 2 3 2" xfId="39273" xr:uid="{00000000-0005-0000-0000-00009F960000}"/>
    <cellStyle name="Normal 11 2 5 5 2 2 4" xfId="39274" xr:uid="{00000000-0005-0000-0000-0000A0960000}"/>
    <cellStyle name="Normal 11 2 5 5 2 3" xfId="39275" xr:uid="{00000000-0005-0000-0000-0000A1960000}"/>
    <cellStyle name="Normal 11 2 5 5 2 3 2" xfId="39276" xr:uid="{00000000-0005-0000-0000-0000A2960000}"/>
    <cellStyle name="Normal 11 2 5 5 2 3 2 2" xfId="39277" xr:uid="{00000000-0005-0000-0000-0000A3960000}"/>
    <cellStyle name="Normal 11 2 5 5 2 3 2 2 2" xfId="39278" xr:uid="{00000000-0005-0000-0000-0000A4960000}"/>
    <cellStyle name="Normal 11 2 5 5 2 3 2 3" xfId="39279" xr:uid="{00000000-0005-0000-0000-0000A5960000}"/>
    <cellStyle name="Normal 11 2 5 5 2 3 3" xfId="39280" xr:uid="{00000000-0005-0000-0000-0000A6960000}"/>
    <cellStyle name="Normal 11 2 5 5 2 3 3 2" xfId="39281" xr:uid="{00000000-0005-0000-0000-0000A7960000}"/>
    <cellStyle name="Normal 11 2 5 5 2 3 4" xfId="39282" xr:uid="{00000000-0005-0000-0000-0000A8960000}"/>
    <cellStyle name="Normal 11 2 5 5 2 4" xfId="39283" xr:uid="{00000000-0005-0000-0000-0000A9960000}"/>
    <cellStyle name="Normal 11 2 5 5 2 4 2" xfId="39284" xr:uid="{00000000-0005-0000-0000-0000AA960000}"/>
    <cellStyle name="Normal 11 2 5 5 2 4 2 2" xfId="39285" xr:uid="{00000000-0005-0000-0000-0000AB960000}"/>
    <cellStyle name="Normal 11 2 5 5 2 4 3" xfId="39286" xr:uid="{00000000-0005-0000-0000-0000AC960000}"/>
    <cellStyle name="Normal 11 2 5 5 2 5" xfId="39287" xr:uid="{00000000-0005-0000-0000-0000AD960000}"/>
    <cellStyle name="Normal 11 2 5 5 2 5 2" xfId="39288" xr:uid="{00000000-0005-0000-0000-0000AE960000}"/>
    <cellStyle name="Normal 11 2 5 5 2 6" xfId="39289" xr:uid="{00000000-0005-0000-0000-0000AF960000}"/>
    <cellStyle name="Normal 11 2 5 5 2 7" xfId="39266" xr:uid="{00000000-0005-0000-0000-0000B0960000}"/>
    <cellStyle name="Normal 11 2 5 5 3" xfId="39290" xr:uid="{00000000-0005-0000-0000-0000B1960000}"/>
    <cellStyle name="Normal 11 2 5 5 3 2" xfId="39291" xr:uid="{00000000-0005-0000-0000-0000B2960000}"/>
    <cellStyle name="Normal 11 2 5 5 3 2 2" xfId="39292" xr:uid="{00000000-0005-0000-0000-0000B3960000}"/>
    <cellStyle name="Normal 11 2 5 5 3 2 2 2" xfId="39293" xr:uid="{00000000-0005-0000-0000-0000B4960000}"/>
    <cellStyle name="Normal 11 2 5 5 3 2 2 2 2" xfId="39294" xr:uid="{00000000-0005-0000-0000-0000B5960000}"/>
    <cellStyle name="Normal 11 2 5 5 3 2 2 3" xfId="39295" xr:uid="{00000000-0005-0000-0000-0000B6960000}"/>
    <cellStyle name="Normal 11 2 5 5 3 2 3" xfId="39296" xr:uid="{00000000-0005-0000-0000-0000B7960000}"/>
    <cellStyle name="Normal 11 2 5 5 3 2 3 2" xfId="39297" xr:uid="{00000000-0005-0000-0000-0000B8960000}"/>
    <cellStyle name="Normal 11 2 5 5 3 2 4" xfId="39298" xr:uid="{00000000-0005-0000-0000-0000B9960000}"/>
    <cellStyle name="Normal 11 2 5 5 3 3" xfId="39299" xr:uid="{00000000-0005-0000-0000-0000BA960000}"/>
    <cellStyle name="Normal 11 2 5 5 3 3 2" xfId="39300" xr:uid="{00000000-0005-0000-0000-0000BB960000}"/>
    <cellStyle name="Normal 11 2 5 5 3 3 2 2" xfId="39301" xr:uid="{00000000-0005-0000-0000-0000BC960000}"/>
    <cellStyle name="Normal 11 2 5 5 3 3 3" xfId="39302" xr:uid="{00000000-0005-0000-0000-0000BD960000}"/>
    <cellStyle name="Normal 11 2 5 5 3 4" xfId="39303" xr:uid="{00000000-0005-0000-0000-0000BE960000}"/>
    <cellStyle name="Normal 11 2 5 5 3 4 2" xfId="39304" xr:uid="{00000000-0005-0000-0000-0000BF960000}"/>
    <cellStyle name="Normal 11 2 5 5 3 5" xfId="39305" xr:uid="{00000000-0005-0000-0000-0000C0960000}"/>
    <cellStyle name="Normal 11 2 5 5 4" xfId="39306" xr:uid="{00000000-0005-0000-0000-0000C1960000}"/>
    <cellStyle name="Normal 11 2 5 5 4 2" xfId="39307" xr:uid="{00000000-0005-0000-0000-0000C2960000}"/>
    <cellStyle name="Normal 11 2 5 5 4 2 2" xfId="39308" xr:uid="{00000000-0005-0000-0000-0000C3960000}"/>
    <cellStyle name="Normal 11 2 5 5 4 2 2 2" xfId="39309" xr:uid="{00000000-0005-0000-0000-0000C4960000}"/>
    <cellStyle name="Normal 11 2 5 5 4 2 2 2 2" xfId="39310" xr:uid="{00000000-0005-0000-0000-0000C5960000}"/>
    <cellStyle name="Normal 11 2 5 5 4 2 2 3" xfId="39311" xr:uid="{00000000-0005-0000-0000-0000C6960000}"/>
    <cellStyle name="Normal 11 2 5 5 4 2 3" xfId="39312" xr:uid="{00000000-0005-0000-0000-0000C7960000}"/>
    <cellStyle name="Normal 11 2 5 5 4 2 3 2" xfId="39313" xr:uid="{00000000-0005-0000-0000-0000C8960000}"/>
    <cellStyle name="Normal 11 2 5 5 4 2 4" xfId="39314" xr:uid="{00000000-0005-0000-0000-0000C9960000}"/>
    <cellStyle name="Normal 11 2 5 5 4 3" xfId="39315" xr:uid="{00000000-0005-0000-0000-0000CA960000}"/>
    <cellStyle name="Normal 11 2 5 5 4 3 2" xfId="39316" xr:uid="{00000000-0005-0000-0000-0000CB960000}"/>
    <cellStyle name="Normal 11 2 5 5 4 3 2 2" xfId="39317" xr:uid="{00000000-0005-0000-0000-0000CC960000}"/>
    <cellStyle name="Normal 11 2 5 5 4 3 3" xfId="39318" xr:uid="{00000000-0005-0000-0000-0000CD960000}"/>
    <cellStyle name="Normal 11 2 5 5 4 4" xfId="39319" xr:uid="{00000000-0005-0000-0000-0000CE960000}"/>
    <cellStyle name="Normal 11 2 5 5 4 4 2" xfId="39320" xr:uid="{00000000-0005-0000-0000-0000CF960000}"/>
    <cellStyle name="Normal 11 2 5 5 4 5" xfId="39321" xr:uid="{00000000-0005-0000-0000-0000D0960000}"/>
    <cellStyle name="Normal 11 2 5 5 5" xfId="39322" xr:uid="{00000000-0005-0000-0000-0000D1960000}"/>
    <cellStyle name="Normal 11 2 5 5 5 2" xfId="39323" xr:uid="{00000000-0005-0000-0000-0000D2960000}"/>
    <cellStyle name="Normal 11 2 5 5 5 2 2" xfId="39324" xr:uid="{00000000-0005-0000-0000-0000D3960000}"/>
    <cellStyle name="Normal 11 2 5 5 5 2 2 2" xfId="39325" xr:uid="{00000000-0005-0000-0000-0000D4960000}"/>
    <cellStyle name="Normal 11 2 5 5 5 2 3" xfId="39326" xr:uid="{00000000-0005-0000-0000-0000D5960000}"/>
    <cellStyle name="Normal 11 2 5 5 5 3" xfId="39327" xr:uid="{00000000-0005-0000-0000-0000D6960000}"/>
    <cellStyle name="Normal 11 2 5 5 5 3 2" xfId="39328" xr:uid="{00000000-0005-0000-0000-0000D7960000}"/>
    <cellStyle name="Normal 11 2 5 5 5 4" xfId="39329" xr:uid="{00000000-0005-0000-0000-0000D8960000}"/>
    <cellStyle name="Normal 11 2 5 5 6" xfId="39330" xr:uid="{00000000-0005-0000-0000-0000D9960000}"/>
    <cellStyle name="Normal 11 2 5 5 6 2" xfId="39331" xr:uid="{00000000-0005-0000-0000-0000DA960000}"/>
    <cellStyle name="Normal 11 2 5 5 6 2 2" xfId="39332" xr:uid="{00000000-0005-0000-0000-0000DB960000}"/>
    <cellStyle name="Normal 11 2 5 5 6 2 2 2" xfId="39333" xr:uid="{00000000-0005-0000-0000-0000DC960000}"/>
    <cellStyle name="Normal 11 2 5 5 6 2 3" xfId="39334" xr:uid="{00000000-0005-0000-0000-0000DD960000}"/>
    <cellStyle name="Normal 11 2 5 5 6 3" xfId="39335" xr:uid="{00000000-0005-0000-0000-0000DE960000}"/>
    <cellStyle name="Normal 11 2 5 5 6 3 2" xfId="39336" xr:uid="{00000000-0005-0000-0000-0000DF960000}"/>
    <cellStyle name="Normal 11 2 5 5 6 4" xfId="39337" xr:uid="{00000000-0005-0000-0000-0000E0960000}"/>
    <cellStyle name="Normal 11 2 5 5 7" xfId="39338" xr:uid="{00000000-0005-0000-0000-0000E1960000}"/>
    <cellStyle name="Normal 11 2 5 5 7 2" xfId="39339" xr:uid="{00000000-0005-0000-0000-0000E2960000}"/>
    <cellStyle name="Normal 11 2 5 5 7 2 2" xfId="39340" xr:uid="{00000000-0005-0000-0000-0000E3960000}"/>
    <cellStyle name="Normal 11 2 5 5 7 2 2 2" xfId="39341" xr:uid="{00000000-0005-0000-0000-0000E4960000}"/>
    <cellStyle name="Normal 11 2 5 5 7 2 3" xfId="39342" xr:uid="{00000000-0005-0000-0000-0000E5960000}"/>
    <cellStyle name="Normal 11 2 5 5 7 3" xfId="39343" xr:uid="{00000000-0005-0000-0000-0000E6960000}"/>
    <cellStyle name="Normal 11 2 5 5 7 3 2" xfId="39344" xr:uid="{00000000-0005-0000-0000-0000E7960000}"/>
    <cellStyle name="Normal 11 2 5 5 7 4" xfId="39345" xr:uid="{00000000-0005-0000-0000-0000E8960000}"/>
    <cellStyle name="Normal 11 2 5 5 8" xfId="39346" xr:uid="{00000000-0005-0000-0000-0000E9960000}"/>
    <cellStyle name="Normal 11 2 5 5 8 2" xfId="39347" xr:uid="{00000000-0005-0000-0000-0000EA960000}"/>
    <cellStyle name="Normal 11 2 5 5 8 2 2" xfId="39348" xr:uid="{00000000-0005-0000-0000-0000EB960000}"/>
    <cellStyle name="Normal 11 2 5 5 8 3" xfId="39349" xr:uid="{00000000-0005-0000-0000-0000EC960000}"/>
    <cellStyle name="Normal 11 2 5 5 9" xfId="39350" xr:uid="{00000000-0005-0000-0000-0000ED960000}"/>
    <cellStyle name="Normal 11 2 5 5 9 2" xfId="39351" xr:uid="{00000000-0005-0000-0000-0000EE960000}"/>
    <cellStyle name="Normal 11 2 5 6" xfId="1440" xr:uid="{00000000-0005-0000-0000-0000EF960000}"/>
    <cellStyle name="Normal 11 2 5 6 2" xfId="39353" xr:uid="{00000000-0005-0000-0000-0000F0960000}"/>
    <cellStyle name="Normal 11 2 5 6 2 2" xfId="39354" xr:uid="{00000000-0005-0000-0000-0000F1960000}"/>
    <cellStyle name="Normal 11 2 5 6 2 2 2" xfId="39355" xr:uid="{00000000-0005-0000-0000-0000F2960000}"/>
    <cellStyle name="Normal 11 2 5 6 2 2 2 2" xfId="39356" xr:uid="{00000000-0005-0000-0000-0000F3960000}"/>
    <cellStyle name="Normal 11 2 5 6 2 2 3" xfId="39357" xr:uid="{00000000-0005-0000-0000-0000F4960000}"/>
    <cellStyle name="Normal 11 2 5 6 2 3" xfId="39358" xr:uid="{00000000-0005-0000-0000-0000F5960000}"/>
    <cellStyle name="Normal 11 2 5 6 2 3 2" xfId="39359" xr:uid="{00000000-0005-0000-0000-0000F6960000}"/>
    <cellStyle name="Normal 11 2 5 6 2 4" xfId="39360" xr:uid="{00000000-0005-0000-0000-0000F7960000}"/>
    <cellStyle name="Normal 11 2 5 6 3" xfId="39361" xr:uid="{00000000-0005-0000-0000-0000F8960000}"/>
    <cellStyle name="Normal 11 2 5 6 3 2" xfId="39362" xr:uid="{00000000-0005-0000-0000-0000F9960000}"/>
    <cellStyle name="Normal 11 2 5 6 3 2 2" xfId="39363" xr:uid="{00000000-0005-0000-0000-0000FA960000}"/>
    <cellStyle name="Normal 11 2 5 6 3 2 2 2" xfId="39364" xr:uid="{00000000-0005-0000-0000-0000FB960000}"/>
    <cellStyle name="Normal 11 2 5 6 3 2 3" xfId="39365" xr:uid="{00000000-0005-0000-0000-0000FC960000}"/>
    <cellStyle name="Normal 11 2 5 6 3 3" xfId="39366" xr:uid="{00000000-0005-0000-0000-0000FD960000}"/>
    <cellStyle name="Normal 11 2 5 6 3 3 2" xfId="39367" xr:uid="{00000000-0005-0000-0000-0000FE960000}"/>
    <cellStyle name="Normal 11 2 5 6 3 4" xfId="39368" xr:uid="{00000000-0005-0000-0000-0000FF960000}"/>
    <cellStyle name="Normal 11 2 5 6 4" xfId="39369" xr:uid="{00000000-0005-0000-0000-000000970000}"/>
    <cellStyle name="Normal 11 2 5 6 4 2" xfId="39370" xr:uid="{00000000-0005-0000-0000-000001970000}"/>
    <cellStyle name="Normal 11 2 5 6 4 2 2" xfId="39371" xr:uid="{00000000-0005-0000-0000-000002970000}"/>
    <cellStyle name="Normal 11 2 5 6 4 3" xfId="39372" xr:uid="{00000000-0005-0000-0000-000003970000}"/>
    <cellStyle name="Normal 11 2 5 6 5" xfId="39373" xr:uid="{00000000-0005-0000-0000-000004970000}"/>
    <cellStyle name="Normal 11 2 5 6 5 2" xfId="39374" xr:uid="{00000000-0005-0000-0000-000005970000}"/>
    <cellStyle name="Normal 11 2 5 6 6" xfId="39375" xr:uid="{00000000-0005-0000-0000-000006970000}"/>
    <cellStyle name="Normal 11 2 5 6 7" xfId="39352" xr:uid="{00000000-0005-0000-0000-000007970000}"/>
    <cellStyle name="Normal 11 2 5 7" xfId="39376" xr:uid="{00000000-0005-0000-0000-000008970000}"/>
    <cellStyle name="Normal 11 2 5 7 2" xfId="39377" xr:uid="{00000000-0005-0000-0000-000009970000}"/>
    <cellStyle name="Normal 11 2 5 7 2 2" xfId="39378" xr:uid="{00000000-0005-0000-0000-00000A970000}"/>
    <cellStyle name="Normal 11 2 5 7 2 2 2" xfId="39379" xr:uid="{00000000-0005-0000-0000-00000B970000}"/>
    <cellStyle name="Normal 11 2 5 7 2 2 2 2" xfId="39380" xr:uid="{00000000-0005-0000-0000-00000C970000}"/>
    <cellStyle name="Normal 11 2 5 7 2 2 3" xfId="39381" xr:uid="{00000000-0005-0000-0000-00000D970000}"/>
    <cellStyle name="Normal 11 2 5 7 2 3" xfId="39382" xr:uid="{00000000-0005-0000-0000-00000E970000}"/>
    <cellStyle name="Normal 11 2 5 7 2 3 2" xfId="39383" xr:uid="{00000000-0005-0000-0000-00000F970000}"/>
    <cellStyle name="Normal 11 2 5 7 2 4" xfId="39384" xr:uid="{00000000-0005-0000-0000-000010970000}"/>
    <cellStyle name="Normal 11 2 5 7 3" xfId="39385" xr:uid="{00000000-0005-0000-0000-000011970000}"/>
    <cellStyle name="Normal 11 2 5 7 3 2" xfId="39386" xr:uid="{00000000-0005-0000-0000-000012970000}"/>
    <cellStyle name="Normal 11 2 5 7 3 2 2" xfId="39387" xr:uid="{00000000-0005-0000-0000-000013970000}"/>
    <cellStyle name="Normal 11 2 5 7 3 3" xfId="39388" xr:uid="{00000000-0005-0000-0000-000014970000}"/>
    <cellStyle name="Normal 11 2 5 7 4" xfId="39389" xr:uid="{00000000-0005-0000-0000-000015970000}"/>
    <cellStyle name="Normal 11 2 5 7 4 2" xfId="39390" xr:uid="{00000000-0005-0000-0000-000016970000}"/>
    <cellStyle name="Normal 11 2 5 7 5" xfId="39391" xr:uid="{00000000-0005-0000-0000-000017970000}"/>
    <cellStyle name="Normal 11 2 5 8" xfId="39392" xr:uid="{00000000-0005-0000-0000-000018970000}"/>
    <cellStyle name="Normal 11 2 5 8 2" xfId="39393" xr:uid="{00000000-0005-0000-0000-000019970000}"/>
    <cellStyle name="Normal 11 2 5 8 2 2" xfId="39394" xr:uid="{00000000-0005-0000-0000-00001A970000}"/>
    <cellStyle name="Normal 11 2 5 8 2 2 2" xfId="39395" xr:uid="{00000000-0005-0000-0000-00001B970000}"/>
    <cellStyle name="Normal 11 2 5 8 2 2 2 2" xfId="39396" xr:uid="{00000000-0005-0000-0000-00001C970000}"/>
    <cellStyle name="Normal 11 2 5 8 2 2 3" xfId="39397" xr:uid="{00000000-0005-0000-0000-00001D970000}"/>
    <cellStyle name="Normal 11 2 5 8 2 3" xfId="39398" xr:uid="{00000000-0005-0000-0000-00001E970000}"/>
    <cellStyle name="Normal 11 2 5 8 2 3 2" xfId="39399" xr:uid="{00000000-0005-0000-0000-00001F970000}"/>
    <cellStyle name="Normal 11 2 5 8 2 4" xfId="39400" xr:uid="{00000000-0005-0000-0000-000020970000}"/>
    <cellStyle name="Normal 11 2 5 8 3" xfId="39401" xr:uid="{00000000-0005-0000-0000-000021970000}"/>
    <cellStyle name="Normal 11 2 5 8 3 2" xfId="39402" xr:uid="{00000000-0005-0000-0000-000022970000}"/>
    <cellStyle name="Normal 11 2 5 8 3 2 2" xfId="39403" xr:uid="{00000000-0005-0000-0000-000023970000}"/>
    <cellStyle name="Normal 11 2 5 8 3 3" xfId="39404" xr:uid="{00000000-0005-0000-0000-000024970000}"/>
    <cellStyle name="Normal 11 2 5 8 4" xfId="39405" xr:uid="{00000000-0005-0000-0000-000025970000}"/>
    <cellStyle name="Normal 11 2 5 8 4 2" xfId="39406" xr:uid="{00000000-0005-0000-0000-000026970000}"/>
    <cellStyle name="Normal 11 2 5 8 5" xfId="39407" xr:uid="{00000000-0005-0000-0000-000027970000}"/>
    <cellStyle name="Normal 11 2 5 9" xfId="39408" xr:uid="{00000000-0005-0000-0000-000028970000}"/>
    <cellStyle name="Normal 11 2 5 9 2" xfId="39409" xr:uid="{00000000-0005-0000-0000-000029970000}"/>
    <cellStyle name="Normal 11 2 5 9 2 2" xfId="39410" xr:uid="{00000000-0005-0000-0000-00002A970000}"/>
    <cellStyle name="Normal 11 2 5 9 2 2 2" xfId="39411" xr:uid="{00000000-0005-0000-0000-00002B970000}"/>
    <cellStyle name="Normal 11 2 5 9 2 3" xfId="39412" xr:uid="{00000000-0005-0000-0000-00002C970000}"/>
    <cellStyle name="Normal 11 2 5 9 3" xfId="39413" xr:uid="{00000000-0005-0000-0000-00002D970000}"/>
    <cellStyle name="Normal 11 2 5 9 3 2" xfId="39414" xr:uid="{00000000-0005-0000-0000-00002E970000}"/>
    <cellStyle name="Normal 11 2 5 9 4" xfId="39415" xr:uid="{00000000-0005-0000-0000-00002F970000}"/>
    <cellStyle name="Normal 11 2 6" xfId="602" xr:uid="{00000000-0005-0000-0000-000030970000}"/>
    <cellStyle name="Normal 11 2 6 10" xfId="39417" xr:uid="{00000000-0005-0000-0000-000031970000}"/>
    <cellStyle name="Normal 11 2 6 10 2" xfId="39418" xr:uid="{00000000-0005-0000-0000-000032970000}"/>
    <cellStyle name="Normal 11 2 6 10 2 2" xfId="39419" xr:uid="{00000000-0005-0000-0000-000033970000}"/>
    <cellStyle name="Normal 11 2 6 10 2 2 2" xfId="39420" xr:uid="{00000000-0005-0000-0000-000034970000}"/>
    <cellStyle name="Normal 11 2 6 10 2 3" xfId="39421" xr:uid="{00000000-0005-0000-0000-000035970000}"/>
    <cellStyle name="Normal 11 2 6 10 3" xfId="39422" xr:uid="{00000000-0005-0000-0000-000036970000}"/>
    <cellStyle name="Normal 11 2 6 10 3 2" xfId="39423" xr:uid="{00000000-0005-0000-0000-000037970000}"/>
    <cellStyle name="Normal 11 2 6 10 4" xfId="39424" xr:uid="{00000000-0005-0000-0000-000038970000}"/>
    <cellStyle name="Normal 11 2 6 11" xfId="39425" xr:uid="{00000000-0005-0000-0000-000039970000}"/>
    <cellStyle name="Normal 11 2 6 11 2" xfId="39426" xr:uid="{00000000-0005-0000-0000-00003A970000}"/>
    <cellStyle name="Normal 11 2 6 11 2 2" xfId="39427" xr:uid="{00000000-0005-0000-0000-00003B970000}"/>
    <cellStyle name="Normal 11 2 6 11 3" xfId="39428" xr:uid="{00000000-0005-0000-0000-00003C970000}"/>
    <cellStyle name="Normal 11 2 6 12" xfId="39429" xr:uid="{00000000-0005-0000-0000-00003D970000}"/>
    <cellStyle name="Normal 11 2 6 12 2" xfId="39430" xr:uid="{00000000-0005-0000-0000-00003E970000}"/>
    <cellStyle name="Normal 11 2 6 12 2 2" xfId="39431" xr:uid="{00000000-0005-0000-0000-00003F970000}"/>
    <cellStyle name="Normal 11 2 6 12 3" xfId="39432" xr:uid="{00000000-0005-0000-0000-000040970000}"/>
    <cellStyle name="Normal 11 2 6 13" xfId="39433" xr:uid="{00000000-0005-0000-0000-000041970000}"/>
    <cellStyle name="Normal 11 2 6 13 2" xfId="39434" xr:uid="{00000000-0005-0000-0000-000042970000}"/>
    <cellStyle name="Normal 11 2 6 13 2 2" xfId="39435" xr:uid="{00000000-0005-0000-0000-000043970000}"/>
    <cellStyle name="Normal 11 2 6 13 3" xfId="39436" xr:uid="{00000000-0005-0000-0000-000044970000}"/>
    <cellStyle name="Normal 11 2 6 14" xfId="39437" xr:uid="{00000000-0005-0000-0000-000045970000}"/>
    <cellStyle name="Normal 11 2 6 14 2" xfId="39438" xr:uid="{00000000-0005-0000-0000-000046970000}"/>
    <cellStyle name="Normal 11 2 6 15" xfId="39439" xr:uid="{00000000-0005-0000-0000-000047970000}"/>
    <cellStyle name="Normal 11 2 6 16" xfId="39440" xr:uid="{00000000-0005-0000-0000-000048970000}"/>
    <cellStyle name="Normal 11 2 6 17" xfId="39416" xr:uid="{00000000-0005-0000-0000-000049970000}"/>
    <cellStyle name="Normal 11 2 6 2" xfId="603" xr:uid="{00000000-0005-0000-0000-00004A970000}"/>
    <cellStyle name="Normal 11 2 6 2 10" xfId="39442" xr:uid="{00000000-0005-0000-0000-00004B970000}"/>
    <cellStyle name="Normal 11 2 6 2 10 2" xfId="39443" xr:uid="{00000000-0005-0000-0000-00004C970000}"/>
    <cellStyle name="Normal 11 2 6 2 10 2 2" xfId="39444" xr:uid="{00000000-0005-0000-0000-00004D970000}"/>
    <cellStyle name="Normal 11 2 6 2 10 3" xfId="39445" xr:uid="{00000000-0005-0000-0000-00004E970000}"/>
    <cellStyle name="Normal 11 2 6 2 11" xfId="39446" xr:uid="{00000000-0005-0000-0000-00004F970000}"/>
    <cellStyle name="Normal 11 2 6 2 11 2" xfId="39447" xr:uid="{00000000-0005-0000-0000-000050970000}"/>
    <cellStyle name="Normal 11 2 6 2 11 2 2" xfId="39448" xr:uid="{00000000-0005-0000-0000-000051970000}"/>
    <cellStyle name="Normal 11 2 6 2 11 3" xfId="39449" xr:uid="{00000000-0005-0000-0000-000052970000}"/>
    <cellStyle name="Normal 11 2 6 2 12" xfId="39450" xr:uid="{00000000-0005-0000-0000-000053970000}"/>
    <cellStyle name="Normal 11 2 6 2 12 2" xfId="39451" xr:uid="{00000000-0005-0000-0000-000054970000}"/>
    <cellStyle name="Normal 11 2 6 2 13" xfId="39452" xr:uid="{00000000-0005-0000-0000-000055970000}"/>
    <cellStyle name="Normal 11 2 6 2 14" xfId="39453" xr:uid="{00000000-0005-0000-0000-000056970000}"/>
    <cellStyle name="Normal 11 2 6 2 15" xfId="39441" xr:uid="{00000000-0005-0000-0000-000057970000}"/>
    <cellStyle name="Normal 11 2 6 2 2" xfId="1045" xr:uid="{00000000-0005-0000-0000-000058970000}"/>
    <cellStyle name="Normal 11 2 6 2 2 10" xfId="39455" xr:uid="{00000000-0005-0000-0000-000059970000}"/>
    <cellStyle name="Normal 11 2 6 2 2 11" xfId="39454" xr:uid="{00000000-0005-0000-0000-00005A970000}"/>
    <cellStyle name="Normal 11 2 6 2 2 2" xfId="1774" xr:uid="{00000000-0005-0000-0000-00005B970000}"/>
    <cellStyle name="Normal 11 2 6 2 2 2 2" xfId="39457" xr:uid="{00000000-0005-0000-0000-00005C970000}"/>
    <cellStyle name="Normal 11 2 6 2 2 2 2 2" xfId="39458" xr:uid="{00000000-0005-0000-0000-00005D970000}"/>
    <cellStyle name="Normal 11 2 6 2 2 2 2 2 2" xfId="39459" xr:uid="{00000000-0005-0000-0000-00005E970000}"/>
    <cellStyle name="Normal 11 2 6 2 2 2 2 2 2 2" xfId="39460" xr:uid="{00000000-0005-0000-0000-00005F970000}"/>
    <cellStyle name="Normal 11 2 6 2 2 2 2 2 3" xfId="39461" xr:uid="{00000000-0005-0000-0000-000060970000}"/>
    <cellStyle name="Normal 11 2 6 2 2 2 2 3" xfId="39462" xr:uid="{00000000-0005-0000-0000-000061970000}"/>
    <cellStyle name="Normal 11 2 6 2 2 2 2 3 2" xfId="39463" xr:uid="{00000000-0005-0000-0000-000062970000}"/>
    <cellStyle name="Normal 11 2 6 2 2 2 2 4" xfId="39464" xr:uid="{00000000-0005-0000-0000-000063970000}"/>
    <cellStyle name="Normal 11 2 6 2 2 2 3" xfId="39465" xr:uid="{00000000-0005-0000-0000-000064970000}"/>
    <cellStyle name="Normal 11 2 6 2 2 2 3 2" xfId="39466" xr:uid="{00000000-0005-0000-0000-000065970000}"/>
    <cellStyle name="Normal 11 2 6 2 2 2 3 2 2" xfId="39467" xr:uid="{00000000-0005-0000-0000-000066970000}"/>
    <cellStyle name="Normal 11 2 6 2 2 2 3 2 2 2" xfId="39468" xr:uid="{00000000-0005-0000-0000-000067970000}"/>
    <cellStyle name="Normal 11 2 6 2 2 2 3 2 3" xfId="39469" xr:uid="{00000000-0005-0000-0000-000068970000}"/>
    <cellStyle name="Normal 11 2 6 2 2 2 3 3" xfId="39470" xr:uid="{00000000-0005-0000-0000-000069970000}"/>
    <cellStyle name="Normal 11 2 6 2 2 2 3 3 2" xfId="39471" xr:uid="{00000000-0005-0000-0000-00006A970000}"/>
    <cellStyle name="Normal 11 2 6 2 2 2 3 4" xfId="39472" xr:uid="{00000000-0005-0000-0000-00006B970000}"/>
    <cellStyle name="Normal 11 2 6 2 2 2 4" xfId="39473" xr:uid="{00000000-0005-0000-0000-00006C970000}"/>
    <cellStyle name="Normal 11 2 6 2 2 2 4 2" xfId="39474" xr:uid="{00000000-0005-0000-0000-00006D970000}"/>
    <cellStyle name="Normal 11 2 6 2 2 2 4 2 2" xfId="39475" xr:uid="{00000000-0005-0000-0000-00006E970000}"/>
    <cellStyle name="Normal 11 2 6 2 2 2 4 3" xfId="39476" xr:uid="{00000000-0005-0000-0000-00006F970000}"/>
    <cellStyle name="Normal 11 2 6 2 2 2 5" xfId="39477" xr:uid="{00000000-0005-0000-0000-000070970000}"/>
    <cellStyle name="Normal 11 2 6 2 2 2 5 2" xfId="39478" xr:uid="{00000000-0005-0000-0000-000071970000}"/>
    <cellStyle name="Normal 11 2 6 2 2 2 6" xfId="39479" xr:uid="{00000000-0005-0000-0000-000072970000}"/>
    <cellStyle name="Normal 11 2 6 2 2 2 7" xfId="39456" xr:uid="{00000000-0005-0000-0000-000073970000}"/>
    <cellStyle name="Normal 11 2 6 2 2 3" xfId="39480" xr:uid="{00000000-0005-0000-0000-000074970000}"/>
    <cellStyle name="Normal 11 2 6 2 2 3 2" xfId="39481" xr:uid="{00000000-0005-0000-0000-000075970000}"/>
    <cellStyle name="Normal 11 2 6 2 2 3 2 2" xfId="39482" xr:uid="{00000000-0005-0000-0000-000076970000}"/>
    <cellStyle name="Normal 11 2 6 2 2 3 2 2 2" xfId="39483" xr:uid="{00000000-0005-0000-0000-000077970000}"/>
    <cellStyle name="Normal 11 2 6 2 2 3 2 2 2 2" xfId="39484" xr:uid="{00000000-0005-0000-0000-000078970000}"/>
    <cellStyle name="Normal 11 2 6 2 2 3 2 2 3" xfId="39485" xr:uid="{00000000-0005-0000-0000-000079970000}"/>
    <cellStyle name="Normal 11 2 6 2 2 3 2 3" xfId="39486" xr:uid="{00000000-0005-0000-0000-00007A970000}"/>
    <cellStyle name="Normal 11 2 6 2 2 3 2 3 2" xfId="39487" xr:uid="{00000000-0005-0000-0000-00007B970000}"/>
    <cellStyle name="Normal 11 2 6 2 2 3 2 4" xfId="39488" xr:uid="{00000000-0005-0000-0000-00007C970000}"/>
    <cellStyle name="Normal 11 2 6 2 2 3 3" xfId="39489" xr:uid="{00000000-0005-0000-0000-00007D970000}"/>
    <cellStyle name="Normal 11 2 6 2 2 3 3 2" xfId="39490" xr:uid="{00000000-0005-0000-0000-00007E970000}"/>
    <cellStyle name="Normal 11 2 6 2 2 3 3 2 2" xfId="39491" xr:uid="{00000000-0005-0000-0000-00007F970000}"/>
    <cellStyle name="Normal 11 2 6 2 2 3 3 3" xfId="39492" xr:uid="{00000000-0005-0000-0000-000080970000}"/>
    <cellStyle name="Normal 11 2 6 2 2 3 4" xfId="39493" xr:uid="{00000000-0005-0000-0000-000081970000}"/>
    <cellStyle name="Normal 11 2 6 2 2 3 4 2" xfId="39494" xr:uid="{00000000-0005-0000-0000-000082970000}"/>
    <cellStyle name="Normal 11 2 6 2 2 3 5" xfId="39495" xr:uid="{00000000-0005-0000-0000-000083970000}"/>
    <cellStyle name="Normal 11 2 6 2 2 4" xfId="39496" xr:uid="{00000000-0005-0000-0000-000084970000}"/>
    <cellStyle name="Normal 11 2 6 2 2 4 2" xfId="39497" xr:uid="{00000000-0005-0000-0000-000085970000}"/>
    <cellStyle name="Normal 11 2 6 2 2 4 2 2" xfId="39498" xr:uid="{00000000-0005-0000-0000-000086970000}"/>
    <cellStyle name="Normal 11 2 6 2 2 4 2 2 2" xfId="39499" xr:uid="{00000000-0005-0000-0000-000087970000}"/>
    <cellStyle name="Normal 11 2 6 2 2 4 2 2 2 2" xfId="39500" xr:uid="{00000000-0005-0000-0000-000088970000}"/>
    <cellStyle name="Normal 11 2 6 2 2 4 2 2 3" xfId="39501" xr:uid="{00000000-0005-0000-0000-000089970000}"/>
    <cellStyle name="Normal 11 2 6 2 2 4 2 3" xfId="39502" xr:uid="{00000000-0005-0000-0000-00008A970000}"/>
    <cellStyle name="Normal 11 2 6 2 2 4 2 3 2" xfId="39503" xr:uid="{00000000-0005-0000-0000-00008B970000}"/>
    <cellStyle name="Normal 11 2 6 2 2 4 2 4" xfId="39504" xr:uid="{00000000-0005-0000-0000-00008C970000}"/>
    <cellStyle name="Normal 11 2 6 2 2 4 3" xfId="39505" xr:uid="{00000000-0005-0000-0000-00008D970000}"/>
    <cellStyle name="Normal 11 2 6 2 2 4 3 2" xfId="39506" xr:uid="{00000000-0005-0000-0000-00008E970000}"/>
    <cellStyle name="Normal 11 2 6 2 2 4 3 2 2" xfId="39507" xr:uid="{00000000-0005-0000-0000-00008F970000}"/>
    <cellStyle name="Normal 11 2 6 2 2 4 3 3" xfId="39508" xr:uid="{00000000-0005-0000-0000-000090970000}"/>
    <cellStyle name="Normal 11 2 6 2 2 4 4" xfId="39509" xr:uid="{00000000-0005-0000-0000-000091970000}"/>
    <cellStyle name="Normal 11 2 6 2 2 4 4 2" xfId="39510" xr:uid="{00000000-0005-0000-0000-000092970000}"/>
    <cellStyle name="Normal 11 2 6 2 2 4 5" xfId="39511" xr:uid="{00000000-0005-0000-0000-000093970000}"/>
    <cellStyle name="Normal 11 2 6 2 2 5" xfId="39512" xr:uid="{00000000-0005-0000-0000-000094970000}"/>
    <cellStyle name="Normal 11 2 6 2 2 5 2" xfId="39513" xr:uid="{00000000-0005-0000-0000-000095970000}"/>
    <cellStyle name="Normal 11 2 6 2 2 5 2 2" xfId="39514" xr:uid="{00000000-0005-0000-0000-000096970000}"/>
    <cellStyle name="Normal 11 2 6 2 2 5 2 2 2" xfId="39515" xr:uid="{00000000-0005-0000-0000-000097970000}"/>
    <cellStyle name="Normal 11 2 6 2 2 5 2 3" xfId="39516" xr:uid="{00000000-0005-0000-0000-000098970000}"/>
    <cellStyle name="Normal 11 2 6 2 2 5 3" xfId="39517" xr:uid="{00000000-0005-0000-0000-000099970000}"/>
    <cellStyle name="Normal 11 2 6 2 2 5 3 2" xfId="39518" xr:uid="{00000000-0005-0000-0000-00009A970000}"/>
    <cellStyle name="Normal 11 2 6 2 2 5 4" xfId="39519" xr:uid="{00000000-0005-0000-0000-00009B970000}"/>
    <cellStyle name="Normal 11 2 6 2 2 6" xfId="39520" xr:uid="{00000000-0005-0000-0000-00009C970000}"/>
    <cellStyle name="Normal 11 2 6 2 2 6 2" xfId="39521" xr:uid="{00000000-0005-0000-0000-00009D970000}"/>
    <cellStyle name="Normal 11 2 6 2 2 6 2 2" xfId="39522" xr:uid="{00000000-0005-0000-0000-00009E970000}"/>
    <cellStyle name="Normal 11 2 6 2 2 6 2 2 2" xfId="39523" xr:uid="{00000000-0005-0000-0000-00009F970000}"/>
    <cellStyle name="Normal 11 2 6 2 2 6 2 3" xfId="39524" xr:uid="{00000000-0005-0000-0000-0000A0970000}"/>
    <cellStyle name="Normal 11 2 6 2 2 6 3" xfId="39525" xr:uid="{00000000-0005-0000-0000-0000A1970000}"/>
    <cellStyle name="Normal 11 2 6 2 2 6 3 2" xfId="39526" xr:uid="{00000000-0005-0000-0000-0000A2970000}"/>
    <cellStyle name="Normal 11 2 6 2 2 6 4" xfId="39527" xr:uid="{00000000-0005-0000-0000-0000A3970000}"/>
    <cellStyle name="Normal 11 2 6 2 2 7" xfId="39528" xr:uid="{00000000-0005-0000-0000-0000A4970000}"/>
    <cellStyle name="Normal 11 2 6 2 2 7 2" xfId="39529" xr:uid="{00000000-0005-0000-0000-0000A5970000}"/>
    <cellStyle name="Normal 11 2 6 2 2 7 2 2" xfId="39530" xr:uid="{00000000-0005-0000-0000-0000A6970000}"/>
    <cellStyle name="Normal 11 2 6 2 2 7 2 2 2" xfId="39531" xr:uid="{00000000-0005-0000-0000-0000A7970000}"/>
    <cellStyle name="Normal 11 2 6 2 2 7 2 3" xfId="39532" xr:uid="{00000000-0005-0000-0000-0000A8970000}"/>
    <cellStyle name="Normal 11 2 6 2 2 7 3" xfId="39533" xr:uid="{00000000-0005-0000-0000-0000A9970000}"/>
    <cellStyle name="Normal 11 2 6 2 2 7 3 2" xfId="39534" xr:uid="{00000000-0005-0000-0000-0000AA970000}"/>
    <cellStyle name="Normal 11 2 6 2 2 7 4" xfId="39535" xr:uid="{00000000-0005-0000-0000-0000AB970000}"/>
    <cellStyle name="Normal 11 2 6 2 2 8" xfId="39536" xr:uid="{00000000-0005-0000-0000-0000AC970000}"/>
    <cellStyle name="Normal 11 2 6 2 2 8 2" xfId="39537" xr:uid="{00000000-0005-0000-0000-0000AD970000}"/>
    <cellStyle name="Normal 11 2 6 2 2 8 2 2" xfId="39538" xr:uid="{00000000-0005-0000-0000-0000AE970000}"/>
    <cellStyle name="Normal 11 2 6 2 2 8 3" xfId="39539" xr:uid="{00000000-0005-0000-0000-0000AF970000}"/>
    <cellStyle name="Normal 11 2 6 2 2 9" xfId="39540" xr:uid="{00000000-0005-0000-0000-0000B0970000}"/>
    <cellStyle name="Normal 11 2 6 2 2 9 2" xfId="39541" xr:uid="{00000000-0005-0000-0000-0000B1970000}"/>
    <cellStyle name="Normal 11 2 6 2 3" xfId="1447" xr:uid="{00000000-0005-0000-0000-0000B2970000}"/>
    <cellStyle name="Normal 11 2 6 2 3 2" xfId="39543" xr:uid="{00000000-0005-0000-0000-0000B3970000}"/>
    <cellStyle name="Normal 11 2 6 2 3 2 2" xfId="39544" xr:uid="{00000000-0005-0000-0000-0000B4970000}"/>
    <cellStyle name="Normal 11 2 6 2 3 2 2 2" xfId="39545" xr:uid="{00000000-0005-0000-0000-0000B5970000}"/>
    <cellStyle name="Normal 11 2 6 2 3 2 2 2 2" xfId="39546" xr:uid="{00000000-0005-0000-0000-0000B6970000}"/>
    <cellStyle name="Normal 11 2 6 2 3 2 2 3" xfId="39547" xr:uid="{00000000-0005-0000-0000-0000B7970000}"/>
    <cellStyle name="Normal 11 2 6 2 3 2 3" xfId="39548" xr:uid="{00000000-0005-0000-0000-0000B8970000}"/>
    <cellStyle name="Normal 11 2 6 2 3 2 3 2" xfId="39549" xr:uid="{00000000-0005-0000-0000-0000B9970000}"/>
    <cellStyle name="Normal 11 2 6 2 3 2 4" xfId="39550" xr:uid="{00000000-0005-0000-0000-0000BA970000}"/>
    <cellStyle name="Normal 11 2 6 2 3 3" xfId="39551" xr:uid="{00000000-0005-0000-0000-0000BB970000}"/>
    <cellStyle name="Normal 11 2 6 2 3 3 2" xfId="39552" xr:uid="{00000000-0005-0000-0000-0000BC970000}"/>
    <cellStyle name="Normal 11 2 6 2 3 3 2 2" xfId="39553" xr:uid="{00000000-0005-0000-0000-0000BD970000}"/>
    <cellStyle name="Normal 11 2 6 2 3 3 2 2 2" xfId="39554" xr:uid="{00000000-0005-0000-0000-0000BE970000}"/>
    <cellStyle name="Normal 11 2 6 2 3 3 2 3" xfId="39555" xr:uid="{00000000-0005-0000-0000-0000BF970000}"/>
    <cellStyle name="Normal 11 2 6 2 3 3 3" xfId="39556" xr:uid="{00000000-0005-0000-0000-0000C0970000}"/>
    <cellStyle name="Normal 11 2 6 2 3 3 3 2" xfId="39557" xr:uid="{00000000-0005-0000-0000-0000C1970000}"/>
    <cellStyle name="Normal 11 2 6 2 3 3 4" xfId="39558" xr:uid="{00000000-0005-0000-0000-0000C2970000}"/>
    <cellStyle name="Normal 11 2 6 2 3 4" xfId="39559" xr:uid="{00000000-0005-0000-0000-0000C3970000}"/>
    <cellStyle name="Normal 11 2 6 2 3 4 2" xfId="39560" xr:uid="{00000000-0005-0000-0000-0000C4970000}"/>
    <cellStyle name="Normal 11 2 6 2 3 4 2 2" xfId="39561" xr:uid="{00000000-0005-0000-0000-0000C5970000}"/>
    <cellStyle name="Normal 11 2 6 2 3 4 3" xfId="39562" xr:uid="{00000000-0005-0000-0000-0000C6970000}"/>
    <cellStyle name="Normal 11 2 6 2 3 5" xfId="39563" xr:uid="{00000000-0005-0000-0000-0000C7970000}"/>
    <cellStyle name="Normal 11 2 6 2 3 5 2" xfId="39564" xr:uid="{00000000-0005-0000-0000-0000C8970000}"/>
    <cellStyle name="Normal 11 2 6 2 3 6" xfId="39565" xr:uid="{00000000-0005-0000-0000-0000C9970000}"/>
    <cellStyle name="Normal 11 2 6 2 3 7" xfId="39542" xr:uid="{00000000-0005-0000-0000-0000CA970000}"/>
    <cellStyle name="Normal 11 2 6 2 4" xfId="39566" xr:uid="{00000000-0005-0000-0000-0000CB970000}"/>
    <cellStyle name="Normal 11 2 6 2 4 2" xfId="39567" xr:uid="{00000000-0005-0000-0000-0000CC970000}"/>
    <cellStyle name="Normal 11 2 6 2 4 2 2" xfId="39568" xr:uid="{00000000-0005-0000-0000-0000CD970000}"/>
    <cellStyle name="Normal 11 2 6 2 4 2 2 2" xfId="39569" xr:uid="{00000000-0005-0000-0000-0000CE970000}"/>
    <cellStyle name="Normal 11 2 6 2 4 2 2 2 2" xfId="39570" xr:uid="{00000000-0005-0000-0000-0000CF970000}"/>
    <cellStyle name="Normal 11 2 6 2 4 2 2 3" xfId="39571" xr:uid="{00000000-0005-0000-0000-0000D0970000}"/>
    <cellStyle name="Normal 11 2 6 2 4 2 3" xfId="39572" xr:uid="{00000000-0005-0000-0000-0000D1970000}"/>
    <cellStyle name="Normal 11 2 6 2 4 2 3 2" xfId="39573" xr:uid="{00000000-0005-0000-0000-0000D2970000}"/>
    <cellStyle name="Normal 11 2 6 2 4 2 4" xfId="39574" xr:uid="{00000000-0005-0000-0000-0000D3970000}"/>
    <cellStyle name="Normal 11 2 6 2 4 3" xfId="39575" xr:uid="{00000000-0005-0000-0000-0000D4970000}"/>
    <cellStyle name="Normal 11 2 6 2 4 3 2" xfId="39576" xr:uid="{00000000-0005-0000-0000-0000D5970000}"/>
    <cellStyle name="Normal 11 2 6 2 4 3 2 2" xfId="39577" xr:uid="{00000000-0005-0000-0000-0000D6970000}"/>
    <cellStyle name="Normal 11 2 6 2 4 3 3" xfId="39578" xr:uid="{00000000-0005-0000-0000-0000D7970000}"/>
    <cellStyle name="Normal 11 2 6 2 4 4" xfId="39579" xr:uid="{00000000-0005-0000-0000-0000D8970000}"/>
    <cellStyle name="Normal 11 2 6 2 4 4 2" xfId="39580" xr:uid="{00000000-0005-0000-0000-0000D9970000}"/>
    <cellStyle name="Normal 11 2 6 2 4 5" xfId="39581" xr:uid="{00000000-0005-0000-0000-0000DA970000}"/>
    <cellStyle name="Normal 11 2 6 2 5" xfId="39582" xr:uid="{00000000-0005-0000-0000-0000DB970000}"/>
    <cellStyle name="Normal 11 2 6 2 5 2" xfId="39583" xr:uid="{00000000-0005-0000-0000-0000DC970000}"/>
    <cellStyle name="Normal 11 2 6 2 5 2 2" xfId="39584" xr:uid="{00000000-0005-0000-0000-0000DD970000}"/>
    <cellStyle name="Normal 11 2 6 2 5 2 2 2" xfId="39585" xr:uid="{00000000-0005-0000-0000-0000DE970000}"/>
    <cellStyle name="Normal 11 2 6 2 5 2 2 2 2" xfId="39586" xr:uid="{00000000-0005-0000-0000-0000DF970000}"/>
    <cellStyle name="Normal 11 2 6 2 5 2 2 3" xfId="39587" xr:uid="{00000000-0005-0000-0000-0000E0970000}"/>
    <cellStyle name="Normal 11 2 6 2 5 2 3" xfId="39588" xr:uid="{00000000-0005-0000-0000-0000E1970000}"/>
    <cellStyle name="Normal 11 2 6 2 5 2 3 2" xfId="39589" xr:uid="{00000000-0005-0000-0000-0000E2970000}"/>
    <cellStyle name="Normal 11 2 6 2 5 2 4" xfId="39590" xr:uid="{00000000-0005-0000-0000-0000E3970000}"/>
    <cellStyle name="Normal 11 2 6 2 5 3" xfId="39591" xr:uid="{00000000-0005-0000-0000-0000E4970000}"/>
    <cellStyle name="Normal 11 2 6 2 5 3 2" xfId="39592" xr:uid="{00000000-0005-0000-0000-0000E5970000}"/>
    <cellStyle name="Normal 11 2 6 2 5 3 2 2" xfId="39593" xr:uid="{00000000-0005-0000-0000-0000E6970000}"/>
    <cellStyle name="Normal 11 2 6 2 5 3 3" xfId="39594" xr:uid="{00000000-0005-0000-0000-0000E7970000}"/>
    <cellStyle name="Normal 11 2 6 2 5 4" xfId="39595" xr:uid="{00000000-0005-0000-0000-0000E8970000}"/>
    <cellStyle name="Normal 11 2 6 2 5 4 2" xfId="39596" xr:uid="{00000000-0005-0000-0000-0000E9970000}"/>
    <cellStyle name="Normal 11 2 6 2 5 5" xfId="39597" xr:uid="{00000000-0005-0000-0000-0000EA970000}"/>
    <cellStyle name="Normal 11 2 6 2 6" xfId="39598" xr:uid="{00000000-0005-0000-0000-0000EB970000}"/>
    <cellStyle name="Normal 11 2 6 2 6 2" xfId="39599" xr:uid="{00000000-0005-0000-0000-0000EC970000}"/>
    <cellStyle name="Normal 11 2 6 2 6 2 2" xfId="39600" xr:uid="{00000000-0005-0000-0000-0000ED970000}"/>
    <cellStyle name="Normal 11 2 6 2 6 2 2 2" xfId="39601" xr:uid="{00000000-0005-0000-0000-0000EE970000}"/>
    <cellStyle name="Normal 11 2 6 2 6 2 3" xfId="39602" xr:uid="{00000000-0005-0000-0000-0000EF970000}"/>
    <cellStyle name="Normal 11 2 6 2 6 3" xfId="39603" xr:uid="{00000000-0005-0000-0000-0000F0970000}"/>
    <cellStyle name="Normal 11 2 6 2 6 3 2" xfId="39604" xr:uid="{00000000-0005-0000-0000-0000F1970000}"/>
    <cellStyle name="Normal 11 2 6 2 6 4" xfId="39605" xr:uid="{00000000-0005-0000-0000-0000F2970000}"/>
    <cellStyle name="Normal 11 2 6 2 7" xfId="39606" xr:uid="{00000000-0005-0000-0000-0000F3970000}"/>
    <cellStyle name="Normal 11 2 6 2 7 2" xfId="39607" xr:uid="{00000000-0005-0000-0000-0000F4970000}"/>
    <cellStyle name="Normal 11 2 6 2 7 2 2" xfId="39608" xr:uid="{00000000-0005-0000-0000-0000F5970000}"/>
    <cellStyle name="Normal 11 2 6 2 7 2 2 2" xfId="39609" xr:uid="{00000000-0005-0000-0000-0000F6970000}"/>
    <cellStyle name="Normal 11 2 6 2 7 2 3" xfId="39610" xr:uid="{00000000-0005-0000-0000-0000F7970000}"/>
    <cellStyle name="Normal 11 2 6 2 7 3" xfId="39611" xr:uid="{00000000-0005-0000-0000-0000F8970000}"/>
    <cellStyle name="Normal 11 2 6 2 7 3 2" xfId="39612" xr:uid="{00000000-0005-0000-0000-0000F9970000}"/>
    <cellStyle name="Normal 11 2 6 2 7 4" xfId="39613" xr:uid="{00000000-0005-0000-0000-0000FA970000}"/>
    <cellStyle name="Normal 11 2 6 2 8" xfId="39614" xr:uid="{00000000-0005-0000-0000-0000FB970000}"/>
    <cellStyle name="Normal 11 2 6 2 8 2" xfId="39615" xr:uid="{00000000-0005-0000-0000-0000FC970000}"/>
    <cellStyle name="Normal 11 2 6 2 8 2 2" xfId="39616" xr:uid="{00000000-0005-0000-0000-0000FD970000}"/>
    <cellStyle name="Normal 11 2 6 2 8 2 2 2" xfId="39617" xr:uid="{00000000-0005-0000-0000-0000FE970000}"/>
    <cellStyle name="Normal 11 2 6 2 8 2 3" xfId="39618" xr:uid="{00000000-0005-0000-0000-0000FF970000}"/>
    <cellStyle name="Normal 11 2 6 2 8 3" xfId="39619" xr:uid="{00000000-0005-0000-0000-000000980000}"/>
    <cellStyle name="Normal 11 2 6 2 8 3 2" xfId="39620" xr:uid="{00000000-0005-0000-0000-000001980000}"/>
    <cellStyle name="Normal 11 2 6 2 8 4" xfId="39621" xr:uid="{00000000-0005-0000-0000-000002980000}"/>
    <cellStyle name="Normal 11 2 6 2 9" xfId="39622" xr:uid="{00000000-0005-0000-0000-000003980000}"/>
    <cellStyle name="Normal 11 2 6 2 9 2" xfId="39623" xr:uid="{00000000-0005-0000-0000-000004980000}"/>
    <cellStyle name="Normal 11 2 6 2 9 2 2" xfId="39624" xr:uid="{00000000-0005-0000-0000-000005980000}"/>
    <cellStyle name="Normal 11 2 6 2 9 3" xfId="39625" xr:uid="{00000000-0005-0000-0000-000006980000}"/>
    <cellStyle name="Normal 11 2 6 3" xfId="604" xr:uid="{00000000-0005-0000-0000-000007980000}"/>
    <cellStyle name="Normal 11 2 6 3 10" xfId="39627" xr:uid="{00000000-0005-0000-0000-000008980000}"/>
    <cellStyle name="Normal 11 2 6 3 10 2" xfId="39628" xr:uid="{00000000-0005-0000-0000-000009980000}"/>
    <cellStyle name="Normal 11 2 6 3 10 2 2" xfId="39629" xr:uid="{00000000-0005-0000-0000-00000A980000}"/>
    <cellStyle name="Normal 11 2 6 3 10 3" xfId="39630" xr:uid="{00000000-0005-0000-0000-00000B980000}"/>
    <cellStyle name="Normal 11 2 6 3 11" xfId="39631" xr:uid="{00000000-0005-0000-0000-00000C980000}"/>
    <cellStyle name="Normal 11 2 6 3 11 2" xfId="39632" xr:uid="{00000000-0005-0000-0000-00000D980000}"/>
    <cellStyle name="Normal 11 2 6 3 11 2 2" xfId="39633" xr:uid="{00000000-0005-0000-0000-00000E980000}"/>
    <cellStyle name="Normal 11 2 6 3 11 3" xfId="39634" xr:uid="{00000000-0005-0000-0000-00000F980000}"/>
    <cellStyle name="Normal 11 2 6 3 12" xfId="39635" xr:uid="{00000000-0005-0000-0000-000010980000}"/>
    <cellStyle name="Normal 11 2 6 3 12 2" xfId="39636" xr:uid="{00000000-0005-0000-0000-000011980000}"/>
    <cellStyle name="Normal 11 2 6 3 13" xfId="39637" xr:uid="{00000000-0005-0000-0000-000012980000}"/>
    <cellStyle name="Normal 11 2 6 3 14" xfId="39638" xr:uid="{00000000-0005-0000-0000-000013980000}"/>
    <cellStyle name="Normal 11 2 6 3 15" xfId="39626" xr:uid="{00000000-0005-0000-0000-000014980000}"/>
    <cellStyle name="Normal 11 2 6 3 2" xfId="1046" xr:uid="{00000000-0005-0000-0000-000015980000}"/>
    <cellStyle name="Normal 11 2 6 3 2 10" xfId="39640" xr:uid="{00000000-0005-0000-0000-000016980000}"/>
    <cellStyle name="Normal 11 2 6 3 2 11" xfId="39639" xr:uid="{00000000-0005-0000-0000-000017980000}"/>
    <cellStyle name="Normal 11 2 6 3 2 2" xfId="1775" xr:uid="{00000000-0005-0000-0000-000018980000}"/>
    <cellStyle name="Normal 11 2 6 3 2 2 2" xfId="39642" xr:uid="{00000000-0005-0000-0000-000019980000}"/>
    <cellStyle name="Normal 11 2 6 3 2 2 2 2" xfId="39643" xr:uid="{00000000-0005-0000-0000-00001A980000}"/>
    <cellStyle name="Normal 11 2 6 3 2 2 2 2 2" xfId="39644" xr:uid="{00000000-0005-0000-0000-00001B980000}"/>
    <cellStyle name="Normal 11 2 6 3 2 2 2 2 2 2" xfId="39645" xr:uid="{00000000-0005-0000-0000-00001C980000}"/>
    <cellStyle name="Normal 11 2 6 3 2 2 2 2 3" xfId="39646" xr:uid="{00000000-0005-0000-0000-00001D980000}"/>
    <cellStyle name="Normal 11 2 6 3 2 2 2 3" xfId="39647" xr:uid="{00000000-0005-0000-0000-00001E980000}"/>
    <cellStyle name="Normal 11 2 6 3 2 2 2 3 2" xfId="39648" xr:uid="{00000000-0005-0000-0000-00001F980000}"/>
    <cellStyle name="Normal 11 2 6 3 2 2 2 4" xfId="39649" xr:uid="{00000000-0005-0000-0000-000020980000}"/>
    <cellStyle name="Normal 11 2 6 3 2 2 3" xfId="39650" xr:uid="{00000000-0005-0000-0000-000021980000}"/>
    <cellStyle name="Normal 11 2 6 3 2 2 3 2" xfId="39651" xr:uid="{00000000-0005-0000-0000-000022980000}"/>
    <cellStyle name="Normal 11 2 6 3 2 2 3 2 2" xfId="39652" xr:uid="{00000000-0005-0000-0000-000023980000}"/>
    <cellStyle name="Normal 11 2 6 3 2 2 3 2 2 2" xfId="39653" xr:uid="{00000000-0005-0000-0000-000024980000}"/>
    <cellStyle name="Normal 11 2 6 3 2 2 3 2 3" xfId="39654" xr:uid="{00000000-0005-0000-0000-000025980000}"/>
    <cellStyle name="Normal 11 2 6 3 2 2 3 3" xfId="39655" xr:uid="{00000000-0005-0000-0000-000026980000}"/>
    <cellStyle name="Normal 11 2 6 3 2 2 3 3 2" xfId="39656" xr:uid="{00000000-0005-0000-0000-000027980000}"/>
    <cellStyle name="Normal 11 2 6 3 2 2 3 4" xfId="39657" xr:uid="{00000000-0005-0000-0000-000028980000}"/>
    <cellStyle name="Normal 11 2 6 3 2 2 4" xfId="39658" xr:uid="{00000000-0005-0000-0000-000029980000}"/>
    <cellStyle name="Normal 11 2 6 3 2 2 4 2" xfId="39659" xr:uid="{00000000-0005-0000-0000-00002A980000}"/>
    <cellStyle name="Normal 11 2 6 3 2 2 4 2 2" xfId="39660" xr:uid="{00000000-0005-0000-0000-00002B980000}"/>
    <cellStyle name="Normal 11 2 6 3 2 2 4 3" xfId="39661" xr:uid="{00000000-0005-0000-0000-00002C980000}"/>
    <cellStyle name="Normal 11 2 6 3 2 2 5" xfId="39662" xr:uid="{00000000-0005-0000-0000-00002D980000}"/>
    <cellStyle name="Normal 11 2 6 3 2 2 5 2" xfId="39663" xr:uid="{00000000-0005-0000-0000-00002E980000}"/>
    <cellStyle name="Normal 11 2 6 3 2 2 6" xfId="39664" xr:uid="{00000000-0005-0000-0000-00002F980000}"/>
    <cellStyle name="Normal 11 2 6 3 2 2 7" xfId="39641" xr:uid="{00000000-0005-0000-0000-000030980000}"/>
    <cellStyle name="Normal 11 2 6 3 2 3" xfId="39665" xr:uid="{00000000-0005-0000-0000-000031980000}"/>
    <cellStyle name="Normal 11 2 6 3 2 3 2" xfId="39666" xr:uid="{00000000-0005-0000-0000-000032980000}"/>
    <cellStyle name="Normal 11 2 6 3 2 3 2 2" xfId="39667" xr:uid="{00000000-0005-0000-0000-000033980000}"/>
    <cellStyle name="Normal 11 2 6 3 2 3 2 2 2" xfId="39668" xr:uid="{00000000-0005-0000-0000-000034980000}"/>
    <cellStyle name="Normal 11 2 6 3 2 3 2 2 2 2" xfId="39669" xr:uid="{00000000-0005-0000-0000-000035980000}"/>
    <cellStyle name="Normal 11 2 6 3 2 3 2 2 3" xfId="39670" xr:uid="{00000000-0005-0000-0000-000036980000}"/>
    <cellStyle name="Normal 11 2 6 3 2 3 2 3" xfId="39671" xr:uid="{00000000-0005-0000-0000-000037980000}"/>
    <cellStyle name="Normal 11 2 6 3 2 3 2 3 2" xfId="39672" xr:uid="{00000000-0005-0000-0000-000038980000}"/>
    <cellStyle name="Normal 11 2 6 3 2 3 2 4" xfId="39673" xr:uid="{00000000-0005-0000-0000-000039980000}"/>
    <cellStyle name="Normal 11 2 6 3 2 3 3" xfId="39674" xr:uid="{00000000-0005-0000-0000-00003A980000}"/>
    <cellStyle name="Normal 11 2 6 3 2 3 3 2" xfId="39675" xr:uid="{00000000-0005-0000-0000-00003B980000}"/>
    <cellStyle name="Normal 11 2 6 3 2 3 3 2 2" xfId="39676" xr:uid="{00000000-0005-0000-0000-00003C980000}"/>
    <cellStyle name="Normal 11 2 6 3 2 3 3 3" xfId="39677" xr:uid="{00000000-0005-0000-0000-00003D980000}"/>
    <cellStyle name="Normal 11 2 6 3 2 3 4" xfId="39678" xr:uid="{00000000-0005-0000-0000-00003E980000}"/>
    <cellStyle name="Normal 11 2 6 3 2 3 4 2" xfId="39679" xr:uid="{00000000-0005-0000-0000-00003F980000}"/>
    <cellStyle name="Normal 11 2 6 3 2 3 5" xfId="39680" xr:uid="{00000000-0005-0000-0000-000040980000}"/>
    <cellStyle name="Normal 11 2 6 3 2 4" xfId="39681" xr:uid="{00000000-0005-0000-0000-000041980000}"/>
    <cellStyle name="Normal 11 2 6 3 2 4 2" xfId="39682" xr:uid="{00000000-0005-0000-0000-000042980000}"/>
    <cellStyle name="Normal 11 2 6 3 2 4 2 2" xfId="39683" xr:uid="{00000000-0005-0000-0000-000043980000}"/>
    <cellStyle name="Normal 11 2 6 3 2 4 2 2 2" xfId="39684" xr:uid="{00000000-0005-0000-0000-000044980000}"/>
    <cellStyle name="Normal 11 2 6 3 2 4 2 2 2 2" xfId="39685" xr:uid="{00000000-0005-0000-0000-000045980000}"/>
    <cellStyle name="Normal 11 2 6 3 2 4 2 2 3" xfId="39686" xr:uid="{00000000-0005-0000-0000-000046980000}"/>
    <cellStyle name="Normal 11 2 6 3 2 4 2 3" xfId="39687" xr:uid="{00000000-0005-0000-0000-000047980000}"/>
    <cellStyle name="Normal 11 2 6 3 2 4 2 3 2" xfId="39688" xr:uid="{00000000-0005-0000-0000-000048980000}"/>
    <cellStyle name="Normal 11 2 6 3 2 4 2 4" xfId="39689" xr:uid="{00000000-0005-0000-0000-000049980000}"/>
    <cellStyle name="Normal 11 2 6 3 2 4 3" xfId="39690" xr:uid="{00000000-0005-0000-0000-00004A980000}"/>
    <cellStyle name="Normal 11 2 6 3 2 4 3 2" xfId="39691" xr:uid="{00000000-0005-0000-0000-00004B980000}"/>
    <cellStyle name="Normal 11 2 6 3 2 4 3 2 2" xfId="39692" xr:uid="{00000000-0005-0000-0000-00004C980000}"/>
    <cellStyle name="Normal 11 2 6 3 2 4 3 3" xfId="39693" xr:uid="{00000000-0005-0000-0000-00004D980000}"/>
    <cellStyle name="Normal 11 2 6 3 2 4 4" xfId="39694" xr:uid="{00000000-0005-0000-0000-00004E980000}"/>
    <cellStyle name="Normal 11 2 6 3 2 4 4 2" xfId="39695" xr:uid="{00000000-0005-0000-0000-00004F980000}"/>
    <cellStyle name="Normal 11 2 6 3 2 4 5" xfId="39696" xr:uid="{00000000-0005-0000-0000-000050980000}"/>
    <cellStyle name="Normal 11 2 6 3 2 5" xfId="39697" xr:uid="{00000000-0005-0000-0000-000051980000}"/>
    <cellStyle name="Normal 11 2 6 3 2 5 2" xfId="39698" xr:uid="{00000000-0005-0000-0000-000052980000}"/>
    <cellStyle name="Normal 11 2 6 3 2 5 2 2" xfId="39699" xr:uid="{00000000-0005-0000-0000-000053980000}"/>
    <cellStyle name="Normal 11 2 6 3 2 5 2 2 2" xfId="39700" xr:uid="{00000000-0005-0000-0000-000054980000}"/>
    <cellStyle name="Normal 11 2 6 3 2 5 2 3" xfId="39701" xr:uid="{00000000-0005-0000-0000-000055980000}"/>
    <cellStyle name="Normal 11 2 6 3 2 5 3" xfId="39702" xr:uid="{00000000-0005-0000-0000-000056980000}"/>
    <cellStyle name="Normal 11 2 6 3 2 5 3 2" xfId="39703" xr:uid="{00000000-0005-0000-0000-000057980000}"/>
    <cellStyle name="Normal 11 2 6 3 2 5 4" xfId="39704" xr:uid="{00000000-0005-0000-0000-000058980000}"/>
    <cellStyle name="Normal 11 2 6 3 2 6" xfId="39705" xr:uid="{00000000-0005-0000-0000-000059980000}"/>
    <cellStyle name="Normal 11 2 6 3 2 6 2" xfId="39706" xr:uid="{00000000-0005-0000-0000-00005A980000}"/>
    <cellStyle name="Normal 11 2 6 3 2 6 2 2" xfId="39707" xr:uid="{00000000-0005-0000-0000-00005B980000}"/>
    <cellStyle name="Normal 11 2 6 3 2 6 2 2 2" xfId="39708" xr:uid="{00000000-0005-0000-0000-00005C980000}"/>
    <cellStyle name="Normal 11 2 6 3 2 6 2 3" xfId="39709" xr:uid="{00000000-0005-0000-0000-00005D980000}"/>
    <cellStyle name="Normal 11 2 6 3 2 6 3" xfId="39710" xr:uid="{00000000-0005-0000-0000-00005E980000}"/>
    <cellStyle name="Normal 11 2 6 3 2 6 3 2" xfId="39711" xr:uid="{00000000-0005-0000-0000-00005F980000}"/>
    <cellStyle name="Normal 11 2 6 3 2 6 4" xfId="39712" xr:uid="{00000000-0005-0000-0000-000060980000}"/>
    <cellStyle name="Normal 11 2 6 3 2 7" xfId="39713" xr:uid="{00000000-0005-0000-0000-000061980000}"/>
    <cellStyle name="Normal 11 2 6 3 2 7 2" xfId="39714" xr:uid="{00000000-0005-0000-0000-000062980000}"/>
    <cellStyle name="Normal 11 2 6 3 2 7 2 2" xfId="39715" xr:uid="{00000000-0005-0000-0000-000063980000}"/>
    <cellStyle name="Normal 11 2 6 3 2 7 2 2 2" xfId="39716" xr:uid="{00000000-0005-0000-0000-000064980000}"/>
    <cellStyle name="Normal 11 2 6 3 2 7 2 3" xfId="39717" xr:uid="{00000000-0005-0000-0000-000065980000}"/>
    <cellStyle name="Normal 11 2 6 3 2 7 3" xfId="39718" xr:uid="{00000000-0005-0000-0000-000066980000}"/>
    <cellStyle name="Normal 11 2 6 3 2 7 3 2" xfId="39719" xr:uid="{00000000-0005-0000-0000-000067980000}"/>
    <cellStyle name="Normal 11 2 6 3 2 7 4" xfId="39720" xr:uid="{00000000-0005-0000-0000-000068980000}"/>
    <cellStyle name="Normal 11 2 6 3 2 8" xfId="39721" xr:uid="{00000000-0005-0000-0000-000069980000}"/>
    <cellStyle name="Normal 11 2 6 3 2 8 2" xfId="39722" xr:uid="{00000000-0005-0000-0000-00006A980000}"/>
    <cellStyle name="Normal 11 2 6 3 2 8 2 2" xfId="39723" xr:uid="{00000000-0005-0000-0000-00006B980000}"/>
    <cellStyle name="Normal 11 2 6 3 2 8 3" xfId="39724" xr:uid="{00000000-0005-0000-0000-00006C980000}"/>
    <cellStyle name="Normal 11 2 6 3 2 9" xfId="39725" xr:uid="{00000000-0005-0000-0000-00006D980000}"/>
    <cellStyle name="Normal 11 2 6 3 2 9 2" xfId="39726" xr:uid="{00000000-0005-0000-0000-00006E980000}"/>
    <cellStyle name="Normal 11 2 6 3 3" xfId="1448" xr:uid="{00000000-0005-0000-0000-00006F980000}"/>
    <cellStyle name="Normal 11 2 6 3 3 2" xfId="39728" xr:uid="{00000000-0005-0000-0000-000070980000}"/>
    <cellStyle name="Normal 11 2 6 3 3 2 2" xfId="39729" xr:uid="{00000000-0005-0000-0000-000071980000}"/>
    <cellStyle name="Normal 11 2 6 3 3 2 2 2" xfId="39730" xr:uid="{00000000-0005-0000-0000-000072980000}"/>
    <cellStyle name="Normal 11 2 6 3 3 2 2 2 2" xfId="39731" xr:uid="{00000000-0005-0000-0000-000073980000}"/>
    <cellStyle name="Normal 11 2 6 3 3 2 2 3" xfId="39732" xr:uid="{00000000-0005-0000-0000-000074980000}"/>
    <cellStyle name="Normal 11 2 6 3 3 2 3" xfId="39733" xr:uid="{00000000-0005-0000-0000-000075980000}"/>
    <cellStyle name="Normal 11 2 6 3 3 2 3 2" xfId="39734" xr:uid="{00000000-0005-0000-0000-000076980000}"/>
    <cellStyle name="Normal 11 2 6 3 3 2 4" xfId="39735" xr:uid="{00000000-0005-0000-0000-000077980000}"/>
    <cellStyle name="Normal 11 2 6 3 3 3" xfId="39736" xr:uid="{00000000-0005-0000-0000-000078980000}"/>
    <cellStyle name="Normal 11 2 6 3 3 3 2" xfId="39737" xr:uid="{00000000-0005-0000-0000-000079980000}"/>
    <cellStyle name="Normal 11 2 6 3 3 3 2 2" xfId="39738" xr:uid="{00000000-0005-0000-0000-00007A980000}"/>
    <cellStyle name="Normal 11 2 6 3 3 3 2 2 2" xfId="39739" xr:uid="{00000000-0005-0000-0000-00007B980000}"/>
    <cellStyle name="Normal 11 2 6 3 3 3 2 3" xfId="39740" xr:uid="{00000000-0005-0000-0000-00007C980000}"/>
    <cellStyle name="Normal 11 2 6 3 3 3 3" xfId="39741" xr:uid="{00000000-0005-0000-0000-00007D980000}"/>
    <cellStyle name="Normal 11 2 6 3 3 3 3 2" xfId="39742" xr:uid="{00000000-0005-0000-0000-00007E980000}"/>
    <cellStyle name="Normal 11 2 6 3 3 3 4" xfId="39743" xr:uid="{00000000-0005-0000-0000-00007F980000}"/>
    <cellStyle name="Normal 11 2 6 3 3 4" xfId="39744" xr:uid="{00000000-0005-0000-0000-000080980000}"/>
    <cellStyle name="Normal 11 2 6 3 3 4 2" xfId="39745" xr:uid="{00000000-0005-0000-0000-000081980000}"/>
    <cellStyle name="Normal 11 2 6 3 3 4 2 2" xfId="39746" xr:uid="{00000000-0005-0000-0000-000082980000}"/>
    <cellStyle name="Normal 11 2 6 3 3 4 3" xfId="39747" xr:uid="{00000000-0005-0000-0000-000083980000}"/>
    <cellStyle name="Normal 11 2 6 3 3 5" xfId="39748" xr:uid="{00000000-0005-0000-0000-000084980000}"/>
    <cellStyle name="Normal 11 2 6 3 3 5 2" xfId="39749" xr:uid="{00000000-0005-0000-0000-000085980000}"/>
    <cellStyle name="Normal 11 2 6 3 3 6" xfId="39750" xr:uid="{00000000-0005-0000-0000-000086980000}"/>
    <cellStyle name="Normal 11 2 6 3 3 7" xfId="39727" xr:uid="{00000000-0005-0000-0000-000087980000}"/>
    <cellStyle name="Normal 11 2 6 3 4" xfId="39751" xr:uid="{00000000-0005-0000-0000-000088980000}"/>
    <cellStyle name="Normal 11 2 6 3 4 2" xfId="39752" xr:uid="{00000000-0005-0000-0000-000089980000}"/>
    <cellStyle name="Normal 11 2 6 3 4 2 2" xfId="39753" xr:uid="{00000000-0005-0000-0000-00008A980000}"/>
    <cellStyle name="Normal 11 2 6 3 4 2 2 2" xfId="39754" xr:uid="{00000000-0005-0000-0000-00008B980000}"/>
    <cellStyle name="Normal 11 2 6 3 4 2 2 2 2" xfId="39755" xr:uid="{00000000-0005-0000-0000-00008C980000}"/>
    <cellStyle name="Normal 11 2 6 3 4 2 2 3" xfId="39756" xr:uid="{00000000-0005-0000-0000-00008D980000}"/>
    <cellStyle name="Normal 11 2 6 3 4 2 3" xfId="39757" xr:uid="{00000000-0005-0000-0000-00008E980000}"/>
    <cellStyle name="Normal 11 2 6 3 4 2 3 2" xfId="39758" xr:uid="{00000000-0005-0000-0000-00008F980000}"/>
    <cellStyle name="Normal 11 2 6 3 4 2 4" xfId="39759" xr:uid="{00000000-0005-0000-0000-000090980000}"/>
    <cellStyle name="Normal 11 2 6 3 4 3" xfId="39760" xr:uid="{00000000-0005-0000-0000-000091980000}"/>
    <cellStyle name="Normal 11 2 6 3 4 3 2" xfId="39761" xr:uid="{00000000-0005-0000-0000-000092980000}"/>
    <cellStyle name="Normal 11 2 6 3 4 3 2 2" xfId="39762" xr:uid="{00000000-0005-0000-0000-000093980000}"/>
    <cellStyle name="Normal 11 2 6 3 4 3 3" xfId="39763" xr:uid="{00000000-0005-0000-0000-000094980000}"/>
    <cellStyle name="Normal 11 2 6 3 4 4" xfId="39764" xr:uid="{00000000-0005-0000-0000-000095980000}"/>
    <cellStyle name="Normal 11 2 6 3 4 4 2" xfId="39765" xr:uid="{00000000-0005-0000-0000-000096980000}"/>
    <cellStyle name="Normal 11 2 6 3 4 5" xfId="39766" xr:uid="{00000000-0005-0000-0000-000097980000}"/>
    <cellStyle name="Normal 11 2 6 3 5" xfId="39767" xr:uid="{00000000-0005-0000-0000-000098980000}"/>
    <cellStyle name="Normal 11 2 6 3 5 2" xfId="39768" xr:uid="{00000000-0005-0000-0000-000099980000}"/>
    <cellStyle name="Normal 11 2 6 3 5 2 2" xfId="39769" xr:uid="{00000000-0005-0000-0000-00009A980000}"/>
    <cellStyle name="Normal 11 2 6 3 5 2 2 2" xfId="39770" xr:uid="{00000000-0005-0000-0000-00009B980000}"/>
    <cellStyle name="Normal 11 2 6 3 5 2 2 2 2" xfId="39771" xr:uid="{00000000-0005-0000-0000-00009C980000}"/>
    <cellStyle name="Normal 11 2 6 3 5 2 2 3" xfId="39772" xr:uid="{00000000-0005-0000-0000-00009D980000}"/>
    <cellStyle name="Normal 11 2 6 3 5 2 3" xfId="39773" xr:uid="{00000000-0005-0000-0000-00009E980000}"/>
    <cellStyle name="Normal 11 2 6 3 5 2 3 2" xfId="39774" xr:uid="{00000000-0005-0000-0000-00009F980000}"/>
    <cellStyle name="Normal 11 2 6 3 5 2 4" xfId="39775" xr:uid="{00000000-0005-0000-0000-0000A0980000}"/>
    <cellStyle name="Normal 11 2 6 3 5 3" xfId="39776" xr:uid="{00000000-0005-0000-0000-0000A1980000}"/>
    <cellStyle name="Normal 11 2 6 3 5 3 2" xfId="39777" xr:uid="{00000000-0005-0000-0000-0000A2980000}"/>
    <cellStyle name="Normal 11 2 6 3 5 3 2 2" xfId="39778" xr:uid="{00000000-0005-0000-0000-0000A3980000}"/>
    <cellStyle name="Normal 11 2 6 3 5 3 3" xfId="39779" xr:uid="{00000000-0005-0000-0000-0000A4980000}"/>
    <cellStyle name="Normal 11 2 6 3 5 4" xfId="39780" xr:uid="{00000000-0005-0000-0000-0000A5980000}"/>
    <cellStyle name="Normal 11 2 6 3 5 4 2" xfId="39781" xr:uid="{00000000-0005-0000-0000-0000A6980000}"/>
    <cellStyle name="Normal 11 2 6 3 5 5" xfId="39782" xr:uid="{00000000-0005-0000-0000-0000A7980000}"/>
    <cellStyle name="Normal 11 2 6 3 6" xfId="39783" xr:uid="{00000000-0005-0000-0000-0000A8980000}"/>
    <cellStyle name="Normal 11 2 6 3 6 2" xfId="39784" xr:uid="{00000000-0005-0000-0000-0000A9980000}"/>
    <cellStyle name="Normal 11 2 6 3 6 2 2" xfId="39785" xr:uid="{00000000-0005-0000-0000-0000AA980000}"/>
    <cellStyle name="Normal 11 2 6 3 6 2 2 2" xfId="39786" xr:uid="{00000000-0005-0000-0000-0000AB980000}"/>
    <cellStyle name="Normal 11 2 6 3 6 2 3" xfId="39787" xr:uid="{00000000-0005-0000-0000-0000AC980000}"/>
    <cellStyle name="Normal 11 2 6 3 6 3" xfId="39788" xr:uid="{00000000-0005-0000-0000-0000AD980000}"/>
    <cellStyle name="Normal 11 2 6 3 6 3 2" xfId="39789" xr:uid="{00000000-0005-0000-0000-0000AE980000}"/>
    <cellStyle name="Normal 11 2 6 3 6 4" xfId="39790" xr:uid="{00000000-0005-0000-0000-0000AF980000}"/>
    <cellStyle name="Normal 11 2 6 3 7" xfId="39791" xr:uid="{00000000-0005-0000-0000-0000B0980000}"/>
    <cellStyle name="Normal 11 2 6 3 7 2" xfId="39792" xr:uid="{00000000-0005-0000-0000-0000B1980000}"/>
    <cellStyle name="Normal 11 2 6 3 7 2 2" xfId="39793" xr:uid="{00000000-0005-0000-0000-0000B2980000}"/>
    <cellStyle name="Normal 11 2 6 3 7 2 2 2" xfId="39794" xr:uid="{00000000-0005-0000-0000-0000B3980000}"/>
    <cellStyle name="Normal 11 2 6 3 7 2 3" xfId="39795" xr:uid="{00000000-0005-0000-0000-0000B4980000}"/>
    <cellStyle name="Normal 11 2 6 3 7 3" xfId="39796" xr:uid="{00000000-0005-0000-0000-0000B5980000}"/>
    <cellStyle name="Normal 11 2 6 3 7 3 2" xfId="39797" xr:uid="{00000000-0005-0000-0000-0000B6980000}"/>
    <cellStyle name="Normal 11 2 6 3 7 4" xfId="39798" xr:uid="{00000000-0005-0000-0000-0000B7980000}"/>
    <cellStyle name="Normal 11 2 6 3 8" xfId="39799" xr:uid="{00000000-0005-0000-0000-0000B8980000}"/>
    <cellStyle name="Normal 11 2 6 3 8 2" xfId="39800" xr:uid="{00000000-0005-0000-0000-0000B9980000}"/>
    <cellStyle name="Normal 11 2 6 3 8 2 2" xfId="39801" xr:uid="{00000000-0005-0000-0000-0000BA980000}"/>
    <cellStyle name="Normal 11 2 6 3 8 2 2 2" xfId="39802" xr:uid="{00000000-0005-0000-0000-0000BB980000}"/>
    <cellStyle name="Normal 11 2 6 3 8 2 3" xfId="39803" xr:uid="{00000000-0005-0000-0000-0000BC980000}"/>
    <cellStyle name="Normal 11 2 6 3 8 3" xfId="39804" xr:uid="{00000000-0005-0000-0000-0000BD980000}"/>
    <cellStyle name="Normal 11 2 6 3 8 3 2" xfId="39805" xr:uid="{00000000-0005-0000-0000-0000BE980000}"/>
    <cellStyle name="Normal 11 2 6 3 8 4" xfId="39806" xr:uid="{00000000-0005-0000-0000-0000BF980000}"/>
    <cellStyle name="Normal 11 2 6 3 9" xfId="39807" xr:uid="{00000000-0005-0000-0000-0000C0980000}"/>
    <cellStyle name="Normal 11 2 6 3 9 2" xfId="39808" xr:uid="{00000000-0005-0000-0000-0000C1980000}"/>
    <cellStyle name="Normal 11 2 6 3 9 2 2" xfId="39809" xr:uid="{00000000-0005-0000-0000-0000C2980000}"/>
    <cellStyle name="Normal 11 2 6 3 9 3" xfId="39810" xr:uid="{00000000-0005-0000-0000-0000C3980000}"/>
    <cellStyle name="Normal 11 2 6 4" xfId="1044" xr:uid="{00000000-0005-0000-0000-0000C4980000}"/>
    <cellStyle name="Normal 11 2 6 4 10" xfId="39812" xr:uid="{00000000-0005-0000-0000-0000C5980000}"/>
    <cellStyle name="Normal 11 2 6 4 11" xfId="39811" xr:uid="{00000000-0005-0000-0000-0000C6980000}"/>
    <cellStyle name="Normal 11 2 6 4 2" xfId="1773" xr:uid="{00000000-0005-0000-0000-0000C7980000}"/>
    <cellStyle name="Normal 11 2 6 4 2 2" xfId="39814" xr:uid="{00000000-0005-0000-0000-0000C8980000}"/>
    <cellStyle name="Normal 11 2 6 4 2 2 2" xfId="39815" xr:uid="{00000000-0005-0000-0000-0000C9980000}"/>
    <cellStyle name="Normal 11 2 6 4 2 2 2 2" xfId="39816" xr:uid="{00000000-0005-0000-0000-0000CA980000}"/>
    <cellStyle name="Normal 11 2 6 4 2 2 2 2 2" xfId="39817" xr:uid="{00000000-0005-0000-0000-0000CB980000}"/>
    <cellStyle name="Normal 11 2 6 4 2 2 2 3" xfId="39818" xr:uid="{00000000-0005-0000-0000-0000CC980000}"/>
    <cellStyle name="Normal 11 2 6 4 2 2 3" xfId="39819" xr:uid="{00000000-0005-0000-0000-0000CD980000}"/>
    <cellStyle name="Normal 11 2 6 4 2 2 3 2" xfId="39820" xr:uid="{00000000-0005-0000-0000-0000CE980000}"/>
    <cellStyle name="Normal 11 2 6 4 2 2 4" xfId="39821" xr:uid="{00000000-0005-0000-0000-0000CF980000}"/>
    <cellStyle name="Normal 11 2 6 4 2 3" xfId="39822" xr:uid="{00000000-0005-0000-0000-0000D0980000}"/>
    <cellStyle name="Normal 11 2 6 4 2 3 2" xfId="39823" xr:uid="{00000000-0005-0000-0000-0000D1980000}"/>
    <cellStyle name="Normal 11 2 6 4 2 3 2 2" xfId="39824" xr:uid="{00000000-0005-0000-0000-0000D2980000}"/>
    <cellStyle name="Normal 11 2 6 4 2 3 2 2 2" xfId="39825" xr:uid="{00000000-0005-0000-0000-0000D3980000}"/>
    <cellStyle name="Normal 11 2 6 4 2 3 2 3" xfId="39826" xr:uid="{00000000-0005-0000-0000-0000D4980000}"/>
    <cellStyle name="Normal 11 2 6 4 2 3 3" xfId="39827" xr:uid="{00000000-0005-0000-0000-0000D5980000}"/>
    <cellStyle name="Normal 11 2 6 4 2 3 3 2" xfId="39828" xr:uid="{00000000-0005-0000-0000-0000D6980000}"/>
    <cellStyle name="Normal 11 2 6 4 2 3 4" xfId="39829" xr:uid="{00000000-0005-0000-0000-0000D7980000}"/>
    <cellStyle name="Normal 11 2 6 4 2 4" xfId="39830" xr:uid="{00000000-0005-0000-0000-0000D8980000}"/>
    <cellStyle name="Normal 11 2 6 4 2 4 2" xfId="39831" xr:uid="{00000000-0005-0000-0000-0000D9980000}"/>
    <cellStyle name="Normal 11 2 6 4 2 4 2 2" xfId="39832" xr:uid="{00000000-0005-0000-0000-0000DA980000}"/>
    <cellStyle name="Normal 11 2 6 4 2 4 3" xfId="39833" xr:uid="{00000000-0005-0000-0000-0000DB980000}"/>
    <cellStyle name="Normal 11 2 6 4 2 5" xfId="39834" xr:uid="{00000000-0005-0000-0000-0000DC980000}"/>
    <cellStyle name="Normal 11 2 6 4 2 5 2" xfId="39835" xr:uid="{00000000-0005-0000-0000-0000DD980000}"/>
    <cellStyle name="Normal 11 2 6 4 2 6" xfId="39836" xr:uid="{00000000-0005-0000-0000-0000DE980000}"/>
    <cellStyle name="Normal 11 2 6 4 2 7" xfId="39813" xr:uid="{00000000-0005-0000-0000-0000DF980000}"/>
    <cellStyle name="Normal 11 2 6 4 3" xfId="39837" xr:uid="{00000000-0005-0000-0000-0000E0980000}"/>
    <cellStyle name="Normal 11 2 6 4 3 2" xfId="39838" xr:uid="{00000000-0005-0000-0000-0000E1980000}"/>
    <cellStyle name="Normal 11 2 6 4 3 2 2" xfId="39839" xr:uid="{00000000-0005-0000-0000-0000E2980000}"/>
    <cellStyle name="Normal 11 2 6 4 3 2 2 2" xfId="39840" xr:uid="{00000000-0005-0000-0000-0000E3980000}"/>
    <cellStyle name="Normal 11 2 6 4 3 2 2 2 2" xfId="39841" xr:uid="{00000000-0005-0000-0000-0000E4980000}"/>
    <cellStyle name="Normal 11 2 6 4 3 2 2 3" xfId="39842" xr:uid="{00000000-0005-0000-0000-0000E5980000}"/>
    <cellStyle name="Normal 11 2 6 4 3 2 3" xfId="39843" xr:uid="{00000000-0005-0000-0000-0000E6980000}"/>
    <cellStyle name="Normal 11 2 6 4 3 2 3 2" xfId="39844" xr:uid="{00000000-0005-0000-0000-0000E7980000}"/>
    <cellStyle name="Normal 11 2 6 4 3 2 4" xfId="39845" xr:uid="{00000000-0005-0000-0000-0000E8980000}"/>
    <cellStyle name="Normal 11 2 6 4 3 3" xfId="39846" xr:uid="{00000000-0005-0000-0000-0000E9980000}"/>
    <cellStyle name="Normal 11 2 6 4 3 3 2" xfId="39847" xr:uid="{00000000-0005-0000-0000-0000EA980000}"/>
    <cellStyle name="Normal 11 2 6 4 3 3 2 2" xfId="39848" xr:uid="{00000000-0005-0000-0000-0000EB980000}"/>
    <cellStyle name="Normal 11 2 6 4 3 3 3" xfId="39849" xr:uid="{00000000-0005-0000-0000-0000EC980000}"/>
    <cellStyle name="Normal 11 2 6 4 3 4" xfId="39850" xr:uid="{00000000-0005-0000-0000-0000ED980000}"/>
    <cellStyle name="Normal 11 2 6 4 3 4 2" xfId="39851" xr:uid="{00000000-0005-0000-0000-0000EE980000}"/>
    <cellStyle name="Normal 11 2 6 4 3 5" xfId="39852" xr:uid="{00000000-0005-0000-0000-0000EF980000}"/>
    <cellStyle name="Normal 11 2 6 4 4" xfId="39853" xr:uid="{00000000-0005-0000-0000-0000F0980000}"/>
    <cellStyle name="Normal 11 2 6 4 4 2" xfId="39854" xr:uid="{00000000-0005-0000-0000-0000F1980000}"/>
    <cellStyle name="Normal 11 2 6 4 4 2 2" xfId="39855" xr:uid="{00000000-0005-0000-0000-0000F2980000}"/>
    <cellStyle name="Normal 11 2 6 4 4 2 2 2" xfId="39856" xr:uid="{00000000-0005-0000-0000-0000F3980000}"/>
    <cellStyle name="Normal 11 2 6 4 4 2 2 2 2" xfId="39857" xr:uid="{00000000-0005-0000-0000-0000F4980000}"/>
    <cellStyle name="Normal 11 2 6 4 4 2 2 3" xfId="39858" xr:uid="{00000000-0005-0000-0000-0000F5980000}"/>
    <cellStyle name="Normal 11 2 6 4 4 2 3" xfId="39859" xr:uid="{00000000-0005-0000-0000-0000F6980000}"/>
    <cellStyle name="Normal 11 2 6 4 4 2 3 2" xfId="39860" xr:uid="{00000000-0005-0000-0000-0000F7980000}"/>
    <cellStyle name="Normal 11 2 6 4 4 2 4" xfId="39861" xr:uid="{00000000-0005-0000-0000-0000F8980000}"/>
    <cellStyle name="Normal 11 2 6 4 4 3" xfId="39862" xr:uid="{00000000-0005-0000-0000-0000F9980000}"/>
    <cellStyle name="Normal 11 2 6 4 4 3 2" xfId="39863" xr:uid="{00000000-0005-0000-0000-0000FA980000}"/>
    <cellStyle name="Normal 11 2 6 4 4 3 2 2" xfId="39864" xr:uid="{00000000-0005-0000-0000-0000FB980000}"/>
    <cellStyle name="Normal 11 2 6 4 4 3 3" xfId="39865" xr:uid="{00000000-0005-0000-0000-0000FC980000}"/>
    <cellStyle name="Normal 11 2 6 4 4 4" xfId="39866" xr:uid="{00000000-0005-0000-0000-0000FD980000}"/>
    <cellStyle name="Normal 11 2 6 4 4 4 2" xfId="39867" xr:uid="{00000000-0005-0000-0000-0000FE980000}"/>
    <cellStyle name="Normal 11 2 6 4 4 5" xfId="39868" xr:uid="{00000000-0005-0000-0000-0000FF980000}"/>
    <cellStyle name="Normal 11 2 6 4 5" xfId="39869" xr:uid="{00000000-0005-0000-0000-000000990000}"/>
    <cellStyle name="Normal 11 2 6 4 5 2" xfId="39870" xr:uid="{00000000-0005-0000-0000-000001990000}"/>
    <cellStyle name="Normal 11 2 6 4 5 2 2" xfId="39871" xr:uid="{00000000-0005-0000-0000-000002990000}"/>
    <cellStyle name="Normal 11 2 6 4 5 2 2 2" xfId="39872" xr:uid="{00000000-0005-0000-0000-000003990000}"/>
    <cellStyle name="Normal 11 2 6 4 5 2 3" xfId="39873" xr:uid="{00000000-0005-0000-0000-000004990000}"/>
    <cellStyle name="Normal 11 2 6 4 5 3" xfId="39874" xr:uid="{00000000-0005-0000-0000-000005990000}"/>
    <cellStyle name="Normal 11 2 6 4 5 3 2" xfId="39875" xr:uid="{00000000-0005-0000-0000-000006990000}"/>
    <cellStyle name="Normal 11 2 6 4 5 4" xfId="39876" xr:uid="{00000000-0005-0000-0000-000007990000}"/>
    <cellStyle name="Normal 11 2 6 4 6" xfId="39877" xr:uid="{00000000-0005-0000-0000-000008990000}"/>
    <cellStyle name="Normal 11 2 6 4 6 2" xfId="39878" xr:uid="{00000000-0005-0000-0000-000009990000}"/>
    <cellStyle name="Normal 11 2 6 4 6 2 2" xfId="39879" xr:uid="{00000000-0005-0000-0000-00000A990000}"/>
    <cellStyle name="Normal 11 2 6 4 6 2 2 2" xfId="39880" xr:uid="{00000000-0005-0000-0000-00000B990000}"/>
    <cellStyle name="Normal 11 2 6 4 6 2 3" xfId="39881" xr:uid="{00000000-0005-0000-0000-00000C990000}"/>
    <cellStyle name="Normal 11 2 6 4 6 3" xfId="39882" xr:uid="{00000000-0005-0000-0000-00000D990000}"/>
    <cellStyle name="Normal 11 2 6 4 6 3 2" xfId="39883" xr:uid="{00000000-0005-0000-0000-00000E990000}"/>
    <cellStyle name="Normal 11 2 6 4 6 4" xfId="39884" xr:uid="{00000000-0005-0000-0000-00000F990000}"/>
    <cellStyle name="Normal 11 2 6 4 7" xfId="39885" xr:uid="{00000000-0005-0000-0000-000010990000}"/>
    <cellStyle name="Normal 11 2 6 4 7 2" xfId="39886" xr:uid="{00000000-0005-0000-0000-000011990000}"/>
    <cellStyle name="Normal 11 2 6 4 7 2 2" xfId="39887" xr:uid="{00000000-0005-0000-0000-000012990000}"/>
    <cellStyle name="Normal 11 2 6 4 7 2 2 2" xfId="39888" xr:uid="{00000000-0005-0000-0000-000013990000}"/>
    <cellStyle name="Normal 11 2 6 4 7 2 3" xfId="39889" xr:uid="{00000000-0005-0000-0000-000014990000}"/>
    <cellStyle name="Normal 11 2 6 4 7 3" xfId="39890" xr:uid="{00000000-0005-0000-0000-000015990000}"/>
    <cellStyle name="Normal 11 2 6 4 7 3 2" xfId="39891" xr:uid="{00000000-0005-0000-0000-000016990000}"/>
    <cellStyle name="Normal 11 2 6 4 7 4" xfId="39892" xr:uid="{00000000-0005-0000-0000-000017990000}"/>
    <cellStyle name="Normal 11 2 6 4 8" xfId="39893" xr:uid="{00000000-0005-0000-0000-000018990000}"/>
    <cellStyle name="Normal 11 2 6 4 8 2" xfId="39894" xr:uid="{00000000-0005-0000-0000-000019990000}"/>
    <cellStyle name="Normal 11 2 6 4 8 2 2" xfId="39895" xr:uid="{00000000-0005-0000-0000-00001A990000}"/>
    <cellStyle name="Normal 11 2 6 4 8 3" xfId="39896" xr:uid="{00000000-0005-0000-0000-00001B990000}"/>
    <cellStyle name="Normal 11 2 6 4 9" xfId="39897" xr:uid="{00000000-0005-0000-0000-00001C990000}"/>
    <cellStyle name="Normal 11 2 6 4 9 2" xfId="39898" xr:uid="{00000000-0005-0000-0000-00001D990000}"/>
    <cellStyle name="Normal 11 2 6 5" xfId="1446" xr:uid="{00000000-0005-0000-0000-00001E990000}"/>
    <cellStyle name="Normal 11 2 6 5 2" xfId="39900" xr:uid="{00000000-0005-0000-0000-00001F990000}"/>
    <cellStyle name="Normal 11 2 6 5 2 2" xfId="39901" xr:uid="{00000000-0005-0000-0000-000020990000}"/>
    <cellStyle name="Normal 11 2 6 5 2 2 2" xfId="39902" xr:uid="{00000000-0005-0000-0000-000021990000}"/>
    <cellStyle name="Normal 11 2 6 5 2 2 2 2" xfId="39903" xr:uid="{00000000-0005-0000-0000-000022990000}"/>
    <cellStyle name="Normal 11 2 6 5 2 2 3" xfId="39904" xr:uid="{00000000-0005-0000-0000-000023990000}"/>
    <cellStyle name="Normal 11 2 6 5 2 3" xfId="39905" xr:uid="{00000000-0005-0000-0000-000024990000}"/>
    <cellStyle name="Normal 11 2 6 5 2 3 2" xfId="39906" xr:uid="{00000000-0005-0000-0000-000025990000}"/>
    <cellStyle name="Normal 11 2 6 5 2 4" xfId="39907" xr:uid="{00000000-0005-0000-0000-000026990000}"/>
    <cellStyle name="Normal 11 2 6 5 3" xfId="39908" xr:uid="{00000000-0005-0000-0000-000027990000}"/>
    <cellStyle name="Normal 11 2 6 5 3 2" xfId="39909" xr:uid="{00000000-0005-0000-0000-000028990000}"/>
    <cellStyle name="Normal 11 2 6 5 3 2 2" xfId="39910" xr:uid="{00000000-0005-0000-0000-000029990000}"/>
    <cellStyle name="Normal 11 2 6 5 3 2 2 2" xfId="39911" xr:uid="{00000000-0005-0000-0000-00002A990000}"/>
    <cellStyle name="Normal 11 2 6 5 3 2 3" xfId="39912" xr:uid="{00000000-0005-0000-0000-00002B990000}"/>
    <cellStyle name="Normal 11 2 6 5 3 3" xfId="39913" xr:uid="{00000000-0005-0000-0000-00002C990000}"/>
    <cellStyle name="Normal 11 2 6 5 3 3 2" xfId="39914" xr:uid="{00000000-0005-0000-0000-00002D990000}"/>
    <cellStyle name="Normal 11 2 6 5 3 4" xfId="39915" xr:uid="{00000000-0005-0000-0000-00002E990000}"/>
    <cellStyle name="Normal 11 2 6 5 4" xfId="39916" xr:uid="{00000000-0005-0000-0000-00002F990000}"/>
    <cellStyle name="Normal 11 2 6 5 4 2" xfId="39917" xr:uid="{00000000-0005-0000-0000-000030990000}"/>
    <cellStyle name="Normal 11 2 6 5 4 2 2" xfId="39918" xr:uid="{00000000-0005-0000-0000-000031990000}"/>
    <cellStyle name="Normal 11 2 6 5 4 3" xfId="39919" xr:uid="{00000000-0005-0000-0000-000032990000}"/>
    <cellStyle name="Normal 11 2 6 5 5" xfId="39920" xr:uid="{00000000-0005-0000-0000-000033990000}"/>
    <cellStyle name="Normal 11 2 6 5 5 2" xfId="39921" xr:uid="{00000000-0005-0000-0000-000034990000}"/>
    <cellStyle name="Normal 11 2 6 5 6" xfId="39922" xr:uid="{00000000-0005-0000-0000-000035990000}"/>
    <cellStyle name="Normal 11 2 6 5 7" xfId="39899" xr:uid="{00000000-0005-0000-0000-000036990000}"/>
    <cellStyle name="Normal 11 2 6 6" xfId="39923" xr:uid="{00000000-0005-0000-0000-000037990000}"/>
    <cellStyle name="Normal 11 2 6 6 2" xfId="39924" xr:uid="{00000000-0005-0000-0000-000038990000}"/>
    <cellStyle name="Normal 11 2 6 6 2 2" xfId="39925" xr:uid="{00000000-0005-0000-0000-000039990000}"/>
    <cellStyle name="Normal 11 2 6 6 2 2 2" xfId="39926" xr:uid="{00000000-0005-0000-0000-00003A990000}"/>
    <cellStyle name="Normal 11 2 6 6 2 2 2 2" xfId="39927" xr:uid="{00000000-0005-0000-0000-00003B990000}"/>
    <cellStyle name="Normal 11 2 6 6 2 2 3" xfId="39928" xr:uid="{00000000-0005-0000-0000-00003C990000}"/>
    <cellStyle name="Normal 11 2 6 6 2 3" xfId="39929" xr:uid="{00000000-0005-0000-0000-00003D990000}"/>
    <cellStyle name="Normal 11 2 6 6 2 3 2" xfId="39930" xr:uid="{00000000-0005-0000-0000-00003E990000}"/>
    <cellStyle name="Normal 11 2 6 6 2 4" xfId="39931" xr:uid="{00000000-0005-0000-0000-00003F990000}"/>
    <cellStyle name="Normal 11 2 6 6 3" xfId="39932" xr:uid="{00000000-0005-0000-0000-000040990000}"/>
    <cellStyle name="Normal 11 2 6 6 3 2" xfId="39933" xr:uid="{00000000-0005-0000-0000-000041990000}"/>
    <cellStyle name="Normal 11 2 6 6 3 2 2" xfId="39934" xr:uid="{00000000-0005-0000-0000-000042990000}"/>
    <cellStyle name="Normal 11 2 6 6 3 3" xfId="39935" xr:uid="{00000000-0005-0000-0000-000043990000}"/>
    <cellStyle name="Normal 11 2 6 6 4" xfId="39936" xr:uid="{00000000-0005-0000-0000-000044990000}"/>
    <cellStyle name="Normal 11 2 6 6 4 2" xfId="39937" xr:uid="{00000000-0005-0000-0000-000045990000}"/>
    <cellStyle name="Normal 11 2 6 6 5" xfId="39938" xr:uid="{00000000-0005-0000-0000-000046990000}"/>
    <cellStyle name="Normal 11 2 6 7" xfId="39939" xr:uid="{00000000-0005-0000-0000-000047990000}"/>
    <cellStyle name="Normal 11 2 6 7 2" xfId="39940" xr:uid="{00000000-0005-0000-0000-000048990000}"/>
    <cellStyle name="Normal 11 2 6 7 2 2" xfId="39941" xr:uid="{00000000-0005-0000-0000-000049990000}"/>
    <cellStyle name="Normal 11 2 6 7 2 2 2" xfId="39942" xr:uid="{00000000-0005-0000-0000-00004A990000}"/>
    <cellStyle name="Normal 11 2 6 7 2 2 2 2" xfId="39943" xr:uid="{00000000-0005-0000-0000-00004B990000}"/>
    <cellStyle name="Normal 11 2 6 7 2 2 3" xfId="39944" xr:uid="{00000000-0005-0000-0000-00004C990000}"/>
    <cellStyle name="Normal 11 2 6 7 2 3" xfId="39945" xr:uid="{00000000-0005-0000-0000-00004D990000}"/>
    <cellStyle name="Normal 11 2 6 7 2 3 2" xfId="39946" xr:uid="{00000000-0005-0000-0000-00004E990000}"/>
    <cellStyle name="Normal 11 2 6 7 2 4" xfId="39947" xr:uid="{00000000-0005-0000-0000-00004F990000}"/>
    <cellStyle name="Normal 11 2 6 7 3" xfId="39948" xr:uid="{00000000-0005-0000-0000-000050990000}"/>
    <cellStyle name="Normal 11 2 6 7 3 2" xfId="39949" xr:uid="{00000000-0005-0000-0000-000051990000}"/>
    <cellStyle name="Normal 11 2 6 7 3 2 2" xfId="39950" xr:uid="{00000000-0005-0000-0000-000052990000}"/>
    <cellStyle name="Normal 11 2 6 7 3 3" xfId="39951" xr:uid="{00000000-0005-0000-0000-000053990000}"/>
    <cellStyle name="Normal 11 2 6 7 4" xfId="39952" xr:uid="{00000000-0005-0000-0000-000054990000}"/>
    <cellStyle name="Normal 11 2 6 7 4 2" xfId="39953" xr:uid="{00000000-0005-0000-0000-000055990000}"/>
    <cellStyle name="Normal 11 2 6 7 5" xfId="39954" xr:uid="{00000000-0005-0000-0000-000056990000}"/>
    <cellStyle name="Normal 11 2 6 8" xfId="39955" xr:uid="{00000000-0005-0000-0000-000057990000}"/>
    <cellStyle name="Normal 11 2 6 8 2" xfId="39956" xr:uid="{00000000-0005-0000-0000-000058990000}"/>
    <cellStyle name="Normal 11 2 6 8 2 2" xfId="39957" xr:uid="{00000000-0005-0000-0000-000059990000}"/>
    <cellStyle name="Normal 11 2 6 8 2 2 2" xfId="39958" xr:uid="{00000000-0005-0000-0000-00005A990000}"/>
    <cellStyle name="Normal 11 2 6 8 2 3" xfId="39959" xr:uid="{00000000-0005-0000-0000-00005B990000}"/>
    <cellStyle name="Normal 11 2 6 8 3" xfId="39960" xr:uid="{00000000-0005-0000-0000-00005C990000}"/>
    <cellStyle name="Normal 11 2 6 8 3 2" xfId="39961" xr:uid="{00000000-0005-0000-0000-00005D990000}"/>
    <cellStyle name="Normal 11 2 6 8 4" xfId="39962" xr:uid="{00000000-0005-0000-0000-00005E990000}"/>
    <cellStyle name="Normal 11 2 6 9" xfId="39963" xr:uid="{00000000-0005-0000-0000-00005F990000}"/>
    <cellStyle name="Normal 11 2 6 9 2" xfId="39964" xr:uid="{00000000-0005-0000-0000-000060990000}"/>
    <cellStyle name="Normal 11 2 6 9 2 2" xfId="39965" xr:uid="{00000000-0005-0000-0000-000061990000}"/>
    <cellStyle name="Normal 11 2 6 9 2 2 2" xfId="39966" xr:uid="{00000000-0005-0000-0000-000062990000}"/>
    <cellStyle name="Normal 11 2 6 9 2 3" xfId="39967" xr:uid="{00000000-0005-0000-0000-000063990000}"/>
    <cellStyle name="Normal 11 2 6 9 3" xfId="39968" xr:uid="{00000000-0005-0000-0000-000064990000}"/>
    <cellStyle name="Normal 11 2 6 9 3 2" xfId="39969" xr:uid="{00000000-0005-0000-0000-000065990000}"/>
    <cellStyle name="Normal 11 2 6 9 4" xfId="39970" xr:uid="{00000000-0005-0000-0000-000066990000}"/>
    <cellStyle name="Normal 11 2 7" xfId="605" xr:uid="{00000000-0005-0000-0000-000067990000}"/>
    <cellStyle name="Normal 11 2 7 10" xfId="39972" xr:uid="{00000000-0005-0000-0000-000068990000}"/>
    <cellStyle name="Normal 11 2 7 10 2" xfId="39973" xr:uid="{00000000-0005-0000-0000-000069990000}"/>
    <cellStyle name="Normal 11 2 7 10 2 2" xfId="39974" xr:uid="{00000000-0005-0000-0000-00006A990000}"/>
    <cellStyle name="Normal 11 2 7 10 3" xfId="39975" xr:uid="{00000000-0005-0000-0000-00006B990000}"/>
    <cellStyle name="Normal 11 2 7 11" xfId="39976" xr:uid="{00000000-0005-0000-0000-00006C990000}"/>
    <cellStyle name="Normal 11 2 7 11 2" xfId="39977" xr:uid="{00000000-0005-0000-0000-00006D990000}"/>
    <cellStyle name="Normal 11 2 7 11 2 2" xfId="39978" xr:uid="{00000000-0005-0000-0000-00006E990000}"/>
    <cellStyle name="Normal 11 2 7 11 3" xfId="39979" xr:uid="{00000000-0005-0000-0000-00006F990000}"/>
    <cellStyle name="Normal 11 2 7 12" xfId="39980" xr:uid="{00000000-0005-0000-0000-000070990000}"/>
    <cellStyle name="Normal 11 2 7 12 2" xfId="39981" xr:uid="{00000000-0005-0000-0000-000071990000}"/>
    <cellStyle name="Normal 11 2 7 13" xfId="39982" xr:uid="{00000000-0005-0000-0000-000072990000}"/>
    <cellStyle name="Normal 11 2 7 14" xfId="39983" xr:uid="{00000000-0005-0000-0000-000073990000}"/>
    <cellStyle name="Normal 11 2 7 15" xfId="39971" xr:uid="{00000000-0005-0000-0000-000074990000}"/>
    <cellStyle name="Normal 11 2 7 2" xfId="1047" xr:uid="{00000000-0005-0000-0000-000075990000}"/>
    <cellStyle name="Normal 11 2 7 2 10" xfId="39985" xr:uid="{00000000-0005-0000-0000-000076990000}"/>
    <cellStyle name="Normal 11 2 7 2 11" xfId="39984" xr:uid="{00000000-0005-0000-0000-000077990000}"/>
    <cellStyle name="Normal 11 2 7 2 2" xfId="1776" xr:uid="{00000000-0005-0000-0000-000078990000}"/>
    <cellStyle name="Normal 11 2 7 2 2 2" xfId="39987" xr:uid="{00000000-0005-0000-0000-000079990000}"/>
    <cellStyle name="Normal 11 2 7 2 2 2 2" xfId="39988" xr:uid="{00000000-0005-0000-0000-00007A990000}"/>
    <cellStyle name="Normal 11 2 7 2 2 2 2 2" xfId="39989" xr:uid="{00000000-0005-0000-0000-00007B990000}"/>
    <cellStyle name="Normal 11 2 7 2 2 2 2 2 2" xfId="39990" xr:uid="{00000000-0005-0000-0000-00007C990000}"/>
    <cellStyle name="Normal 11 2 7 2 2 2 2 3" xfId="39991" xr:uid="{00000000-0005-0000-0000-00007D990000}"/>
    <cellStyle name="Normal 11 2 7 2 2 2 3" xfId="39992" xr:uid="{00000000-0005-0000-0000-00007E990000}"/>
    <cellStyle name="Normal 11 2 7 2 2 2 3 2" xfId="39993" xr:uid="{00000000-0005-0000-0000-00007F990000}"/>
    <cellStyle name="Normal 11 2 7 2 2 2 4" xfId="39994" xr:uid="{00000000-0005-0000-0000-000080990000}"/>
    <cellStyle name="Normal 11 2 7 2 2 3" xfId="39995" xr:uid="{00000000-0005-0000-0000-000081990000}"/>
    <cellStyle name="Normal 11 2 7 2 2 3 2" xfId="39996" xr:uid="{00000000-0005-0000-0000-000082990000}"/>
    <cellStyle name="Normal 11 2 7 2 2 3 2 2" xfId="39997" xr:uid="{00000000-0005-0000-0000-000083990000}"/>
    <cellStyle name="Normal 11 2 7 2 2 3 2 2 2" xfId="39998" xr:uid="{00000000-0005-0000-0000-000084990000}"/>
    <cellStyle name="Normal 11 2 7 2 2 3 2 3" xfId="39999" xr:uid="{00000000-0005-0000-0000-000085990000}"/>
    <cellStyle name="Normal 11 2 7 2 2 3 3" xfId="40000" xr:uid="{00000000-0005-0000-0000-000086990000}"/>
    <cellStyle name="Normal 11 2 7 2 2 3 3 2" xfId="40001" xr:uid="{00000000-0005-0000-0000-000087990000}"/>
    <cellStyle name="Normal 11 2 7 2 2 3 4" xfId="40002" xr:uid="{00000000-0005-0000-0000-000088990000}"/>
    <cellStyle name="Normal 11 2 7 2 2 4" xfId="40003" xr:uid="{00000000-0005-0000-0000-000089990000}"/>
    <cellStyle name="Normal 11 2 7 2 2 4 2" xfId="40004" xr:uid="{00000000-0005-0000-0000-00008A990000}"/>
    <cellStyle name="Normal 11 2 7 2 2 4 2 2" xfId="40005" xr:uid="{00000000-0005-0000-0000-00008B990000}"/>
    <cellStyle name="Normal 11 2 7 2 2 4 3" xfId="40006" xr:uid="{00000000-0005-0000-0000-00008C990000}"/>
    <cellStyle name="Normal 11 2 7 2 2 5" xfId="40007" xr:uid="{00000000-0005-0000-0000-00008D990000}"/>
    <cellStyle name="Normal 11 2 7 2 2 5 2" xfId="40008" xr:uid="{00000000-0005-0000-0000-00008E990000}"/>
    <cellStyle name="Normal 11 2 7 2 2 6" xfId="40009" xr:uid="{00000000-0005-0000-0000-00008F990000}"/>
    <cellStyle name="Normal 11 2 7 2 2 7" xfId="39986" xr:uid="{00000000-0005-0000-0000-000090990000}"/>
    <cellStyle name="Normal 11 2 7 2 3" xfId="40010" xr:uid="{00000000-0005-0000-0000-000091990000}"/>
    <cellStyle name="Normal 11 2 7 2 3 2" xfId="40011" xr:uid="{00000000-0005-0000-0000-000092990000}"/>
    <cellStyle name="Normal 11 2 7 2 3 2 2" xfId="40012" xr:uid="{00000000-0005-0000-0000-000093990000}"/>
    <cellStyle name="Normal 11 2 7 2 3 2 2 2" xfId="40013" xr:uid="{00000000-0005-0000-0000-000094990000}"/>
    <cellStyle name="Normal 11 2 7 2 3 2 2 2 2" xfId="40014" xr:uid="{00000000-0005-0000-0000-000095990000}"/>
    <cellStyle name="Normal 11 2 7 2 3 2 2 3" xfId="40015" xr:uid="{00000000-0005-0000-0000-000096990000}"/>
    <cellStyle name="Normal 11 2 7 2 3 2 3" xfId="40016" xr:uid="{00000000-0005-0000-0000-000097990000}"/>
    <cellStyle name="Normal 11 2 7 2 3 2 3 2" xfId="40017" xr:uid="{00000000-0005-0000-0000-000098990000}"/>
    <cellStyle name="Normal 11 2 7 2 3 2 4" xfId="40018" xr:uid="{00000000-0005-0000-0000-000099990000}"/>
    <cellStyle name="Normal 11 2 7 2 3 3" xfId="40019" xr:uid="{00000000-0005-0000-0000-00009A990000}"/>
    <cellStyle name="Normal 11 2 7 2 3 3 2" xfId="40020" xr:uid="{00000000-0005-0000-0000-00009B990000}"/>
    <cellStyle name="Normal 11 2 7 2 3 3 2 2" xfId="40021" xr:uid="{00000000-0005-0000-0000-00009C990000}"/>
    <cellStyle name="Normal 11 2 7 2 3 3 3" xfId="40022" xr:uid="{00000000-0005-0000-0000-00009D990000}"/>
    <cellStyle name="Normal 11 2 7 2 3 4" xfId="40023" xr:uid="{00000000-0005-0000-0000-00009E990000}"/>
    <cellStyle name="Normal 11 2 7 2 3 4 2" xfId="40024" xr:uid="{00000000-0005-0000-0000-00009F990000}"/>
    <cellStyle name="Normal 11 2 7 2 3 5" xfId="40025" xr:uid="{00000000-0005-0000-0000-0000A0990000}"/>
    <cellStyle name="Normal 11 2 7 2 4" xfId="40026" xr:uid="{00000000-0005-0000-0000-0000A1990000}"/>
    <cellStyle name="Normal 11 2 7 2 4 2" xfId="40027" xr:uid="{00000000-0005-0000-0000-0000A2990000}"/>
    <cellStyle name="Normal 11 2 7 2 4 2 2" xfId="40028" xr:uid="{00000000-0005-0000-0000-0000A3990000}"/>
    <cellStyle name="Normal 11 2 7 2 4 2 2 2" xfId="40029" xr:uid="{00000000-0005-0000-0000-0000A4990000}"/>
    <cellStyle name="Normal 11 2 7 2 4 2 2 2 2" xfId="40030" xr:uid="{00000000-0005-0000-0000-0000A5990000}"/>
    <cellStyle name="Normal 11 2 7 2 4 2 2 3" xfId="40031" xr:uid="{00000000-0005-0000-0000-0000A6990000}"/>
    <cellStyle name="Normal 11 2 7 2 4 2 3" xfId="40032" xr:uid="{00000000-0005-0000-0000-0000A7990000}"/>
    <cellStyle name="Normal 11 2 7 2 4 2 3 2" xfId="40033" xr:uid="{00000000-0005-0000-0000-0000A8990000}"/>
    <cellStyle name="Normal 11 2 7 2 4 2 4" xfId="40034" xr:uid="{00000000-0005-0000-0000-0000A9990000}"/>
    <cellStyle name="Normal 11 2 7 2 4 3" xfId="40035" xr:uid="{00000000-0005-0000-0000-0000AA990000}"/>
    <cellStyle name="Normal 11 2 7 2 4 3 2" xfId="40036" xr:uid="{00000000-0005-0000-0000-0000AB990000}"/>
    <cellStyle name="Normal 11 2 7 2 4 3 2 2" xfId="40037" xr:uid="{00000000-0005-0000-0000-0000AC990000}"/>
    <cellStyle name="Normal 11 2 7 2 4 3 3" xfId="40038" xr:uid="{00000000-0005-0000-0000-0000AD990000}"/>
    <cellStyle name="Normal 11 2 7 2 4 4" xfId="40039" xr:uid="{00000000-0005-0000-0000-0000AE990000}"/>
    <cellStyle name="Normal 11 2 7 2 4 4 2" xfId="40040" xr:uid="{00000000-0005-0000-0000-0000AF990000}"/>
    <cellStyle name="Normal 11 2 7 2 4 5" xfId="40041" xr:uid="{00000000-0005-0000-0000-0000B0990000}"/>
    <cellStyle name="Normal 11 2 7 2 5" xfId="40042" xr:uid="{00000000-0005-0000-0000-0000B1990000}"/>
    <cellStyle name="Normal 11 2 7 2 5 2" xfId="40043" xr:uid="{00000000-0005-0000-0000-0000B2990000}"/>
    <cellStyle name="Normal 11 2 7 2 5 2 2" xfId="40044" xr:uid="{00000000-0005-0000-0000-0000B3990000}"/>
    <cellStyle name="Normal 11 2 7 2 5 2 2 2" xfId="40045" xr:uid="{00000000-0005-0000-0000-0000B4990000}"/>
    <cellStyle name="Normal 11 2 7 2 5 2 3" xfId="40046" xr:uid="{00000000-0005-0000-0000-0000B5990000}"/>
    <cellStyle name="Normal 11 2 7 2 5 3" xfId="40047" xr:uid="{00000000-0005-0000-0000-0000B6990000}"/>
    <cellStyle name="Normal 11 2 7 2 5 3 2" xfId="40048" xr:uid="{00000000-0005-0000-0000-0000B7990000}"/>
    <cellStyle name="Normal 11 2 7 2 5 4" xfId="40049" xr:uid="{00000000-0005-0000-0000-0000B8990000}"/>
    <cellStyle name="Normal 11 2 7 2 6" xfId="40050" xr:uid="{00000000-0005-0000-0000-0000B9990000}"/>
    <cellStyle name="Normal 11 2 7 2 6 2" xfId="40051" xr:uid="{00000000-0005-0000-0000-0000BA990000}"/>
    <cellStyle name="Normal 11 2 7 2 6 2 2" xfId="40052" xr:uid="{00000000-0005-0000-0000-0000BB990000}"/>
    <cellStyle name="Normal 11 2 7 2 6 2 2 2" xfId="40053" xr:uid="{00000000-0005-0000-0000-0000BC990000}"/>
    <cellStyle name="Normal 11 2 7 2 6 2 3" xfId="40054" xr:uid="{00000000-0005-0000-0000-0000BD990000}"/>
    <cellStyle name="Normal 11 2 7 2 6 3" xfId="40055" xr:uid="{00000000-0005-0000-0000-0000BE990000}"/>
    <cellStyle name="Normal 11 2 7 2 6 3 2" xfId="40056" xr:uid="{00000000-0005-0000-0000-0000BF990000}"/>
    <cellStyle name="Normal 11 2 7 2 6 4" xfId="40057" xr:uid="{00000000-0005-0000-0000-0000C0990000}"/>
    <cellStyle name="Normal 11 2 7 2 7" xfId="40058" xr:uid="{00000000-0005-0000-0000-0000C1990000}"/>
    <cellStyle name="Normal 11 2 7 2 7 2" xfId="40059" xr:uid="{00000000-0005-0000-0000-0000C2990000}"/>
    <cellStyle name="Normal 11 2 7 2 7 2 2" xfId="40060" xr:uid="{00000000-0005-0000-0000-0000C3990000}"/>
    <cellStyle name="Normal 11 2 7 2 7 2 2 2" xfId="40061" xr:uid="{00000000-0005-0000-0000-0000C4990000}"/>
    <cellStyle name="Normal 11 2 7 2 7 2 3" xfId="40062" xr:uid="{00000000-0005-0000-0000-0000C5990000}"/>
    <cellStyle name="Normal 11 2 7 2 7 3" xfId="40063" xr:uid="{00000000-0005-0000-0000-0000C6990000}"/>
    <cellStyle name="Normal 11 2 7 2 7 3 2" xfId="40064" xr:uid="{00000000-0005-0000-0000-0000C7990000}"/>
    <cellStyle name="Normal 11 2 7 2 7 4" xfId="40065" xr:uid="{00000000-0005-0000-0000-0000C8990000}"/>
    <cellStyle name="Normal 11 2 7 2 8" xfId="40066" xr:uid="{00000000-0005-0000-0000-0000C9990000}"/>
    <cellStyle name="Normal 11 2 7 2 8 2" xfId="40067" xr:uid="{00000000-0005-0000-0000-0000CA990000}"/>
    <cellStyle name="Normal 11 2 7 2 8 2 2" xfId="40068" xr:uid="{00000000-0005-0000-0000-0000CB990000}"/>
    <cellStyle name="Normal 11 2 7 2 8 3" xfId="40069" xr:uid="{00000000-0005-0000-0000-0000CC990000}"/>
    <cellStyle name="Normal 11 2 7 2 9" xfId="40070" xr:uid="{00000000-0005-0000-0000-0000CD990000}"/>
    <cellStyle name="Normal 11 2 7 2 9 2" xfId="40071" xr:uid="{00000000-0005-0000-0000-0000CE990000}"/>
    <cellStyle name="Normal 11 2 7 3" xfId="1449" xr:uid="{00000000-0005-0000-0000-0000CF990000}"/>
    <cellStyle name="Normal 11 2 7 3 2" xfId="40073" xr:uid="{00000000-0005-0000-0000-0000D0990000}"/>
    <cellStyle name="Normal 11 2 7 3 2 2" xfId="40074" xr:uid="{00000000-0005-0000-0000-0000D1990000}"/>
    <cellStyle name="Normal 11 2 7 3 2 2 2" xfId="40075" xr:uid="{00000000-0005-0000-0000-0000D2990000}"/>
    <cellStyle name="Normal 11 2 7 3 2 2 2 2" xfId="40076" xr:uid="{00000000-0005-0000-0000-0000D3990000}"/>
    <cellStyle name="Normal 11 2 7 3 2 2 3" xfId="40077" xr:uid="{00000000-0005-0000-0000-0000D4990000}"/>
    <cellStyle name="Normal 11 2 7 3 2 3" xfId="40078" xr:uid="{00000000-0005-0000-0000-0000D5990000}"/>
    <cellStyle name="Normal 11 2 7 3 2 3 2" xfId="40079" xr:uid="{00000000-0005-0000-0000-0000D6990000}"/>
    <cellStyle name="Normal 11 2 7 3 2 4" xfId="40080" xr:uid="{00000000-0005-0000-0000-0000D7990000}"/>
    <cellStyle name="Normal 11 2 7 3 3" xfId="40081" xr:uid="{00000000-0005-0000-0000-0000D8990000}"/>
    <cellStyle name="Normal 11 2 7 3 3 2" xfId="40082" xr:uid="{00000000-0005-0000-0000-0000D9990000}"/>
    <cellStyle name="Normal 11 2 7 3 3 2 2" xfId="40083" xr:uid="{00000000-0005-0000-0000-0000DA990000}"/>
    <cellStyle name="Normal 11 2 7 3 3 2 2 2" xfId="40084" xr:uid="{00000000-0005-0000-0000-0000DB990000}"/>
    <cellStyle name="Normal 11 2 7 3 3 2 3" xfId="40085" xr:uid="{00000000-0005-0000-0000-0000DC990000}"/>
    <cellStyle name="Normal 11 2 7 3 3 3" xfId="40086" xr:uid="{00000000-0005-0000-0000-0000DD990000}"/>
    <cellStyle name="Normal 11 2 7 3 3 3 2" xfId="40087" xr:uid="{00000000-0005-0000-0000-0000DE990000}"/>
    <cellStyle name="Normal 11 2 7 3 3 4" xfId="40088" xr:uid="{00000000-0005-0000-0000-0000DF990000}"/>
    <cellStyle name="Normal 11 2 7 3 4" xfId="40089" xr:uid="{00000000-0005-0000-0000-0000E0990000}"/>
    <cellStyle name="Normal 11 2 7 3 4 2" xfId="40090" xr:uid="{00000000-0005-0000-0000-0000E1990000}"/>
    <cellStyle name="Normal 11 2 7 3 4 2 2" xfId="40091" xr:uid="{00000000-0005-0000-0000-0000E2990000}"/>
    <cellStyle name="Normal 11 2 7 3 4 3" xfId="40092" xr:uid="{00000000-0005-0000-0000-0000E3990000}"/>
    <cellStyle name="Normal 11 2 7 3 5" xfId="40093" xr:uid="{00000000-0005-0000-0000-0000E4990000}"/>
    <cellStyle name="Normal 11 2 7 3 5 2" xfId="40094" xr:uid="{00000000-0005-0000-0000-0000E5990000}"/>
    <cellStyle name="Normal 11 2 7 3 6" xfId="40095" xr:uid="{00000000-0005-0000-0000-0000E6990000}"/>
    <cellStyle name="Normal 11 2 7 3 7" xfId="40072" xr:uid="{00000000-0005-0000-0000-0000E7990000}"/>
    <cellStyle name="Normal 11 2 7 4" xfId="40096" xr:uid="{00000000-0005-0000-0000-0000E8990000}"/>
    <cellStyle name="Normal 11 2 7 4 2" xfId="40097" xr:uid="{00000000-0005-0000-0000-0000E9990000}"/>
    <cellStyle name="Normal 11 2 7 4 2 2" xfId="40098" xr:uid="{00000000-0005-0000-0000-0000EA990000}"/>
    <cellStyle name="Normal 11 2 7 4 2 2 2" xfId="40099" xr:uid="{00000000-0005-0000-0000-0000EB990000}"/>
    <cellStyle name="Normal 11 2 7 4 2 2 2 2" xfId="40100" xr:uid="{00000000-0005-0000-0000-0000EC990000}"/>
    <cellStyle name="Normal 11 2 7 4 2 2 3" xfId="40101" xr:uid="{00000000-0005-0000-0000-0000ED990000}"/>
    <cellStyle name="Normal 11 2 7 4 2 3" xfId="40102" xr:uid="{00000000-0005-0000-0000-0000EE990000}"/>
    <cellStyle name="Normal 11 2 7 4 2 3 2" xfId="40103" xr:uid="{00000000-0005-0000-0000-0000EF990000}"/>
    <cellStyle name="Normal 11 2 7 4 2 4" xfId="40104" xr:uid="{00000000-0005-0000-0000-0000F0990000}"/>
    <cellStyle name="Normal 11 2 7 4 3" xfId="40105" xr:uid="{00000000-0005-0000-0000-0000F1990000}"/>
    <cellStyle name="Normal 11 2 7 4 3 2" xfId="40106" xr:uid="{00000000-0005-0000-0000-0000F2990000}"/>
    <cellStyle name="Normal 11 2 7 4 3 2 2" xfId="40107" xr:uid="{00000000-0005-0000-0000-0000F3990000}"/>
    <cellStyle name="Normal 11 2 7 4 3 3" xfId="40108" xr:uid="{00000000-0005-0000-0000-0000F4990000}"/>
    <cellStyle name="Normal 11 2 7 4 4" xfId="40109" xr:uid="{00000000-0005-0000-0000-0000F5990000}"/>
    <cellStyle name="Normal 11 2 7 4 4 2" xfId="40110" xr:uid="{00000000-0005-0000-0000-0000F6990000}"/>
    <cellStyle name="Normal 11 2 7 4 5" xfId="40111" xr:uid="{00000000-0005-0000-0000-0000F7990000}"/>
    <cellStyle name="Normal 11 2 7 5" xfId="40112" xr:uid="{00000000-0005-0000-0000-0000F8990000}"/>
    <cellStyle name="Normal 11 2 7 5 2" xfId="40113" xr:uid="{00000000-0005-0000-0000-0000F9990000}"/>
    <cellStyle name="Normal 11 2 7 5 2 2" xfId="40114" xr:uid="{00000000-0005-0000-0000-0000FA990000}"/>
    <cellStyle name="Normal 11 2 7 5 2 2 2" xfId="40115" xr:uid="{00000000-0005-0000-0000-0000FB990000}"/>
    <cellStyle name="Normal 11 2 7 5 2 2 2 2" xfId="40116" xr:uid="{00000000-0005-0000-0000-0000FC990000}"/>
    <cellStyle name="Normal 11 2 7 5 2 2 3" xfId="40117" xr:uid="{00000000-0005-0000-0000-0000FD990000}"/>
    <cellStyle name="Normal 11 2 7 5 2 3" xfId="40118" xr:uid="{00000000-0005-0000-0000-0000FE990000}"/>
    <cellStyle name="Normal 11 2 7 5 2 3 2" xfId="40119" xr:uid="{00000000-0005-0000-0000-0000FF990000}"/>
    <cellStyle name="Normal 11 2 7 5 2 4" xfId="40120" xr:uid="{00000000-0005-0000-0000-0000009A0000}"/>
    <cellStyle name="Normal 11 2 7 5 3" xfId="40121" xr:uid="{00000000-0005-0000-0000-0000019A0000}"/>
    <cellStyle name="Normal 11 2 7 5 3 2" xfId="40122" xr:uid="{00000000-0005-0000-0000-0000029A0000}"/>
    <cellStyle name="Normal 11 2 7 5 3 2 2" xfId="40123" xr:uid="{00000000-0005-0000-0000-0000039A0000}"/>
    <cellStyle name="Normal 11 2 7 5 3 3" xfId="40124" xr:uid="{00000000-0005-0000-0000-0000049A0000}"/>
    <cellStyle name="Normal 11 2 7 5 4" xfId="40125" xr:uid="{00000000-0005-0000-0000-0000059A0000}"/>
    <cellStyle name="Normal 11 2 7 5 4 2" xfId="40126" xr:uid="{00000000-0005-0000-0000-0000069A0000}"/>
    <cellStyle name="Normal 11 2 7 5 5" xfId="40127" xr:uid="{00000000-0005-0000-0000-0000079A0000}"/>
    <cellStyle name="Normal 11 2 7 6" xfId="40128" xr:uid="{00000000-0005-0000-0000-0000089A0000}"/>
    <cellStyle name="Normal 11 2 7 6 2" xfId="40129" xr:uid="{00000000-0005-0000-0000-0000099A0000}"/>
    <cellStyle name="Normal 11 2 7 6 2 2" xfId="40130" xr:uid="{00000000-0005-0000-0000-00000A9A0000}"/>
    <cellStyle name="Normal 11 2 7 6 2 2 2" xfId="40131" xr:uid="{00000000-0005-0000-0000-00000B9A0000}"/>
    <cellStyle name="Normal 11 2 7 6 2 3" xfId="40132" xr:uid="{00000000-0005-0000-0000-00000C9A0000}"/>
    <cellStyle name="Normal 11 2 7 6 3" xfId="40133" xr:uid="{00000000-0005-0000-0000-00000D9A0000}"/>
    <cellStyle name="Normal 11 2 7 6 3 2" xfId="40134" xr:uid="{00000000-0005-0000-0000-00000E9A0000}"/>
    <cellStyle name="Normal 11 2 7 6 4" xfId="40135" xr:uid="{00000000-0005-0000-0000-00000F9A0000}"/>
    <cellStyle name="Normal 11 2 7 7" xfId="40136" xr:uid="{00000000-0005-0000-0000-0000109A0000}"/>
    <cellStyle name="Normal 11 2 7 7 2" xfId="40137" xr:uid="{00000000-0005-0000-0000-0000119A0000}"/>
    <cellStyle name="Normal 11 2 7 7 2 2" xfId="40138" xr:uid="{00000000-0005-0000-0000-0000129A0000}"/>
    <cellStyle name="Normal 11 2 7 7 2 2 2" xfId="40139" xr:uid="{00000000-0005-0000-0000-0000139A0000}"/>
    <cellStyle name="Normal 11 2 7 7 2 3" xfId="40140" xr:uid="{00000000-0005-0000-0000-0000149A0000}"/>
    <cellStyle name="Normal 11 2 7 7 3" xfId="40141" xr:uid="{00000000-0005-0000-0000-0000159A0000}"/>
    <cellStyle name="Normal 11 2 7 7 3 2" xfId="40142" xr:uid="{00000000-0005-0000-0000-0000169A0000}"/>
    <cellStyle name="Normal 11 2 7 7 4" xfId="40143" xr:uid="{00000000-0005-0000-0000-0000179A0000}"/>
    <cellStyle name="Normal 11 2 7 8" xfId="40144" xr:uid="{00000000-0005-0000-0000-0000189A0000}"/>
    <cellStyle name="Normal 11 2 7 8 2" xfId="40145" xr:uid="{00000000-0005-0000-0000-0000199A0000}"/>
    <cellStyle name="Normal 11 2 7 8 2 2" xfId="40146" xr:uid="{00000000-0005-0000-0000-00001A9A0000}"/>
    <cellStyle name="Normal 11 2 7 8 2 2 2" xfId="40147" xr:uid="{00000000-0005-0000-0000-00001B9A0000}"/>
    <cellStyle name="Normal 11 2 7 8 2 3" xfId="40148" xr:uid="{00000000-0005-0000-0000-00001C9A0000}"/>
    <cellStyle name="Normal 11 2 7 8 3" xfId="40149" xr:uid="{00000000-0005-0000-0000-00001D9A0000}"/>
    <cellStyle name="Normal 11 2 7 8 3 2" xfId="40150" xr:uid="{00000000-0005-0000-0000-00001E9A0000}"/>
    <cellStyle name="Normal 11 2 7 8 4" xfId="40151" xr:uid="{00000000-0005-0000-0000-00001F9A0000}"/>
    <cellStyle name="Normal 11 2 7 9" xfId="40152" xr:uid="{00000000-0005-0000-0000-0000209A0000}"/>
    <cellStyle name="Normal 11 2 7 9 2" xfId="40153" xr:uid="{00000000-0005-0000-0000-0000219A0000}"/>
    <cellStyle name="Normal 11 2 7 9 2 2" xfId="40154" xr:uid="{00000000-0005-0000-0000-0000229A0000}"/>
    <cellStyle name="Normal 11 2 7 9 3" xfId="40155" xr:uid="{00000000-0005-0000-0000-0000239A0000}"/>
    <cellStyle name="Normal 11 2 8" xfId="606" xr:uid="{00000000-0005-0000-0000-0000249A0000}"/>
    <cellStyle name="Normal 11 2 8 10" xfId="40157" xr:uid="{00000000-0005-0000-0000-0000259A0000}"/>
    <cellStyle name="Normal 11 2 8 10 2" xfId="40158" xr:uid="{00000000-0005-0000-0000-0000269A0000}"/>
    <cellStyle name="Normal 11 2 8 10 2 2" xfId="40159" xr:uid="{00000000-0005-0000-0000-0000279A0000}"/>
    <cellStyle name="Normal 11 2 8 10 3" xfId="40160" xr:uid="{00000000-0005-0000-0000-0000289A0000}"/>
    <cellStyle name="Normal 11 2 8 11" xfId="40161" xr:uid="{00000000-0005-0000-0000-0000299A0000}"/>
    <cellStyle name="Normal 11 2 8 11 2" xfId="40162" xr:uid="{00000000-0005-0000-0000-00002A9A0000}"/>
    <cellStyle name="Normal 11 2 8 11 2 2" xfId="40163" xr:uid="{00000000-0005-0000-0000-00002B9A0000}"/>
    <cellStyle name="Normal 11 2 8 11 3" xfId="40164" xr:uid="{00000000-0005-0000-0000-00002C9A0000}"/>
    <cellStyle name="Normal 11 2 8 12" xfId="40165" xr:uid="{00000000-0005-0000-0000-00002D9A0000}"/>
    <cellStyle name="Normal 11 2 8 12 2" xfId="40166" xr:uid="{00000000-0005-0000-0000-00002E9A0000}"/>
    <cellStyle name="Normal 11 2 8 13" xfId="40167" xr:uid="{00000000-0005-0000-0000-00002F9A0000}"/>
    <cellStyle name="Normal 11 2 8 14" xfId="40168" xr:uid="{00000000-0005-0000-0000-0000309A0000}"/>
    <cellStyle name="Normal 11 2 8 15" xfId="40156" xr:uid="{00000000-0005-0000-0000-0000319A0000}"/>
    <cellStyle name="Normal 11 2 8 2" xfId="1048" xr:uid="{00000000-0005-0000-0000-0000329A0000}"/>
    <cellStyle name="Normal 11 2 8 2 10" xfId="40170" xr:uid="{00000000-0005-0000-0000-0000339A0000}"/>
    <cellStyle name="Normal 11 2 8 2 11" xfId="40169" xr:uid="{00000000-0005-0000-0000-0000349A0000}"/>
    <cellStyle name="Normal 11 2 8 2 2" xfId="1777" xr:uid="{00000000-0005-0000-0000-0000359A0000}"/>
    <cellStyle name="Normal 11 2 8 2 2 2" xfId="40172" xr:uid="{00000000-0005-0000-0000-0000369A0000}"/>
    <cellStyle name="Normal 11 2 8 2 2 2 2" xfId="40173" xr:uid="{00000000-0005-0000-0000-0000379A0000}"/>
    <cellStyle name="Normal 11 2 8 2 2 2 2 2" xfId="40174" xr:uid="{00000000-0005-0000-0000-0000389A0000}"/>
    <cellStyle name="Normal 11 2 8 2 2 2 2 2 2" xfId="40175" xr:uid="{00000000-0005-0000-0000-0000399A0000}"/>
    <cellStyle name="Normal 11 2 8 2 2 2 2 3" xfId="40176" xr:uid="{00000000-0005-0000-0000-00003A9A0000}"/>
    <cellStyle name="Normal 11 2 8 2 2 2 3" xfId="40177" xr:uid="{00000000-0005-0000-0000-00003B9A0000}"/>
    <cellStyle name="Normal 11 2 8 2 2 2 3 2" xfId="40178" xr:uid="{00000000-0005-0000-0000-00003C9A0000}"/>
    <cellStyle name="Normal 11 2 8 2 2 2 4" xfId="40179" xr:uid="{00000000-0005-0000-0000-00003D9A0000}"/>
    <cellStyle name="Normal 11 2 8 2 2 3" xfId="40180" xr:uid="{00000000-0005-0000-0000-00003E9A0000}"/>
    <cellStyle name="Normal 11 2 8 2 2 3 2" xfId="40181" xr:uid="{00000000-0005-0000-0000-00003F9A0000}"/>
    <cellStyle name="Normal 11 2 8 2 2 3 2 2" xfId="40182" xr:uid="{00000000-0005-0000-0000-0000409A0000}"/>
    <cellStyle name="Normal 11 2 8 2 2 3 2 2 2" xfId="40183" xr:uid="{00000000-0005-0000-0000-0000419A0000}"/>
    <cellStyle name="Normal 11 2 8 2 2 3 2 3" xfId="40184" xr:uid="{00000000-0005-0000-0000-0000429A0000}"/>
    <cellStyle name="Normal 11 2 8 2 2 3 3" xfId="40185" xr:uid="{00000000-0005-0000-0000-0000439A0000}"/>
    <cellStyle name="Normal 11 2 8 2 2 3 3 2" xfId="40186" xr:uid="{00000000-0005-0000-0000-0000449A0000}"/>
    <cellStyle name="Normal 11 2 8 2 2 3 4" xfId="40187" xr:uid="{00000000-0005-0000-0000-0000459A0000}"/>
    <cellStyle name="Normal 11 2 8 2 2 4" xfId="40188" xr:uid="{00000000-0005-0000-0000-0000469A0000}"/>
    <cellStyle name="Normal 11 2 8 2 2 4 2" xfId="40189" xr:uid="{00000000-0005-0000-0000-0000479A0000}"/>
    <cellStyle name="Normal 11 2 8 2 2 4 2 2" xfId="40190" xr:uid="{00000000-0005-0000-0000-0000489A0000}"/>
    <cellStyle name="Normal 11 2 8 2 2 4 3" xfId="40191" xr:uid="{00000000-0005-0000-0000-0000499A0000}"/>
    <cellStyle name="Normal 11 2 8 2 2 5" xfId="40192" xr:uid="{00000000-0005-0000-0000-00004A9A0000}"/>
    <cellStyle name="Normal 11 2 8 2 2 5 2" xfId="40193" xr:uid="{00000000-0005-0000-0000-00004B9A0000}"/>
    <cellStyle name="Normal 11 2 8 2 2 6" xfId="40194" xr:uid="{00000000-0005-0000-0000-00004C9A0000}"/>
    <cellStyle name="Normal 11 2 8 2 2 7" xfId="40171" xr:uid="{00000000-0005-0000-0000-00004D9A0000}"/>
    <cellStyle name="Normal 11 2 8 2 3" xfId="40195" xr:uid="{00000000-0005-0000-0000-00004E9A0000}"/>
    <cellStyle name="Normal 11 2 8 2 3 2" xfId="40196" xr:uid="{00000000-0005-0000-0000-00004F9A0000}"/>
    <cellStyle name="Normal 11 2 8 2 3 2 2" xfId="40197" xr:uid="{00000000-0005-0000-0000-0000509A0000}"/>
    <cellStyle name="Normal 11 2 8 2 3 2 2 2" xfId="40198" xr:uid="{00000000-0005-0000-0000-0000519A0000}"/>
    <cellStyle name="Normal 11 2 8 2 3 2 2 2 2" xfId="40199" xr:uid="{00000000-0005-0000-0000-0000529A0000}"/>
    <cellStyle name="Normal 11 2 8 2 3 2 2 3" xfId="40200" xr:uid="{00000000-0005-0000-0000-0000539A0000}"/>
    <cellStyle name="Normal 11 2 8 2 3 2 3" xfId="40201" xr:uid="{00000000-0005-0000-0000-0000549A0000}"/>
    <cellStyle name="Normal 11 2 8 2 3 2 3 2" xfId="40202" xr:uid="{00000000-0005-0000-0000-0000559A0000}"/>
    <cellStyle name="Normal 11 2 8 2 3 2 4" xfId="40203" xr:uid="{00000000-0005-0000-0000-0000569A0000}"/>
    <cellStyle name="Normal 11 2 8 2 3 3" xfId="40204" xr:uid="{00000000-0005-0000-0000-0000579A0000}"/>
    <cellStyle name="Normal 11 2 8 2 3 3 2" xfId="40205" xr:uid="{00000000-0005-0000-0000-0000589A0000}"/>
    <cellStyle name="Normal 11 2 8 2 3 3 2 2" xfId="40206" xr:uid="{00000000-0005-0000-0000-0000599A0000}"/>
    <cellStyle name="Normal 11 2 8 2 3 3 3" xfId="40207" xr:uid="{00000000-0005-0000-0000-00005A9A0000}"/>
    <cellStyle name="Normal 11 2 8 2 3 4" xfId="40208" xr:uid="{00000000-0005-0000-0000-00005B9A0000}"/>
    <cellStyle name="Normal 11 2 8 2 3 4 2" xfId="40209" xr:uid="{00000000-0005-0000-0000-00005C9A0000}"/>
    <cellStyle name="Normal 11 2 8 2 3 5" xfId="40210" xr:uid="{00000000-0005-0000-0000-00005D9A0000}"/>
    <cellStyle name="Normal 11 2 8 2 4" xfId="40211" xr:uid="{00000000-0005-0000-0000-00005E9A0000}"/>
    <cellStyle name="Normal 11 2 8 2 4 2" xfId="40212" xr:uid="{00000000-0005-0000-0000-00005F9A0000}"/>
    <cellStyle name="Normal 11 2 8 2 4 2 2" xfId="40213" xr:uid="{00000000-0005-0000-0000-0000609A0000}"/>
    <cellStyle name="Normal 11 2 8 2 4 2 2 2" xfId="40214" xr:uid="{00000000-0005-0000-0000-0000619A0000}"/>
    <cellStyle name="Normal 11 2 8 2 4 2 2 2 2" xfId="40215" xr:uid="{00000000-0005-0000-0000-0000629A0000}"/>
    <cellStyle name="Normal 11 2 8 2 4 2 2 3" xfId="40216" xr:uid="{00000000-0005-0000-0000-0000639A0000}"/>
    <cellStyle name="Normal 11 2 8 2 4 2 3" xfId="40217" xr:uid="{00000000-0005-0000-0000-0000649A0000}"/>
    <cellStyle name="Normal 11 2 8 2 4 2 3 2" xfId="40218" xr:uid="{00000000-0005-0000-0000-0000659A0000}"/>
    <cellStyle name="Normal 11 2 8 2 4 2 4" xfId="40219" xr:uid="{00000000-0005-0000-0000-0000669A0000}"/>
    <cellStyle name="Normal 11 2 8 2 4 3" xfId="40220" xr:uid="{00000000-0005-0000-0000-0000679A0000}"/>
    <cellStyle name="Normal 11 2 8 2 4 3 2" xfId="40221" xr:uid="{00000000-0005-0000-0000-0000689A0000}"/>
    <cellStyle name="Normal 11 2 8 2 4 3 2 2" xfId="40222" xr:uid="{00000000-0005-0000-0000-0000699A0000}"/>
    <cellStyle name="Normal 11 2 8 2 4 3 3" xfId="40223" xr:uid="{00000000-0005-0000-0000-00006A9A0000}"/>
    <cellStyle name="Normal 11 2 8 2 4 4" xfId="40224" xr:uid="{00000000-0005-0000-0000-00006B9A0000}"/>
    <cellStyle name="Normal 11 2 8 2 4 4 2" xfId="40225" xr:uid="{00000000-0005-0000-0000-00006C9A0000}"/>
    <cellStyle name="Normal 11 2 8 2 4 5" xfId="40226" xr:uid="{00000000-0005-0000-0000-00006D9A0000}"/>
    <cellStyle name="Normal 11 2 8 2 5" xfId="40227" xr:uid="{00000000-0005-0000-0000-00006E9A0000}"/>
    <cellStyle name="Normal 11 2 8 2 5 2" xfId="40228" xr:uid="{00000000-0005-0000-0000-00006F9A0000}"/>
    <cellStyle name="Normal 11 2 8 2 5 2 2" xfId="40229" xr:uid="{00000000-0005-0000-0000-0000709A0000}"/>
    <cellStyle name="Normal 11 2 8 2 5 2 2 2" xfId="40230" xr:uid="{00000000-0005-0000-0000-0000719A0000}"/>
    <cellStyle name="Normal 11 2 8 2 5 2 3" xfId="40231" xr:uid="{00000000-0005-0000-0000-0000729A0000}"/>
    <cellStyle name="Normal 11 2 8 2 5 3" xfId="40232" xr:uid="{00000000-0005-0000-0000-0000739A0000}"/>
    <cellStyle name="Normal 11 2 8 2 5 3 2" xfId="40233" xr:uid="{00000000-0005-0000-0000-0000749A0000}"/>
    <cellStyle name="Normal 11 2 8 2 5 4" xfId="40234" xr:uid="{00000000-0005-0000-0000-0000759A0000}"/>
    <cellStyle name="Normal 11 2 8 2 6" xfId="40235" xr:uid="{00000000-0005-0000-0000-0000769A0000}"/>
    <cellStyle name="Normal 11 2 8 2 6 2" xfId="40236" xr:uid="{00000000-0005-0000-0000-0000779A0000}"/>
    <cellStyle name="Normal 11 2 8 2 6 2 2" xfId="40237" xr:uid="{00000000-0005-0000-0000-0000789A0000}"/>
    <cellStyle name="Normal 11 2 8 2 6 2 2 2" xfId="40238" xr:uid="{00000000-0005-0000-0000-0000799A0000}"/>
    <cellStyle name="Normal 11 2 8 2 6 2 3" xfId="40239" xr:uid="{00000000-0005-0000-0000-00007A9A0000}"/>
    <cellStyle name="Normal 11 2 8 2 6 3" xfId="40240" xr:uid="{00000000-0005-0000-0000-00007B9A0000}"/>
    <cellStyle name="Normal 11 2 8 2 6 3 2" xfId="40241" xr:uid="{00000000-0005-0000-0000-00007C9A0000}"/>
    <cellStyle name="Normal 11 2 8 2 6 4" xfId="40242" xr:uid="{00000000-0005-0000-0000-00007D9A0000}"/>
    <cellStyle name="Normal 11 2 8 2 7" xfId="40243" xr:uid="{00000000-0005-0000-0000-00007E9A0000}"/>
    <cellStyle name="Normal 11 2 8 2 7 2" xfId="40244" xr:uid="{00000000-0005-0000-0000-00007F9A0000}"/>
    <cellStyle name="Normal 11 2 8 2 7 2 2" xfId="40245" xr:uid="{00000000-0005-0000-0000-0000809A0000}"/>
    <cellStyle name="Normal 11 2 8 2 7 2 2 2" xfId="40246" xr:uid="{00000000-0005-0000-0000-0000819A0000}"/>
    <cellStyle name="Normal 11 2 8 2 7 2 3" xfId="40247" xr:uid="{00000000-0005-0000-0000-0000829A0000}"/>
    <cellStyle name="Normal 11 2 8 2 7 3" xfId="40248" xr:uid="{00000000-0005-0000-0000-0000839A0000}"/>
    <cellStyle name="Normal 11 2 8 2 7 3 2" xfId="40249" xr:uid="{00000000-0005-0000-0000-0000849A0000}"/>
    <cellStyle name="Normal 11 2 8 2 7 4" xfId="40250" xr:uid="{00000000-0005-0000-0000-0000859A0000}"/>
    <cellStyle name="Normal 11 2 8 2 8" xfId="40251" xr:uid="{00000000-0005-0000-0000-0000869A0000}"/>
    <cellStyle name="Normal 11 2 8 2 8 2" xfId="40252" xr:uid="{00000000-0005-0000-0000-0000879A0000}"/>
    <cellStyle name="Normal 11 2 8 2 8 2 2" xfId="40253" xr:uid="{00000000-0005-0000-0000-0000889A0000}"/>
    <cellStyle name="Normal 11 2 8 2 8 3" xfId="40254" xr:uid="{00000000-0005-0000-0000-0000899A0000}"/>
    <cellStyle name="Normal 11 2 8 2 9" xfId="40255" xr:uid="{00000000-0005-0000-0000-00008A9A0000}"/>
    <cellStyle name="Normal 11 2 8 2 9 2" xfId="40256" xr:uid="{00000000-0005-0000-0000-00008B9A0000}"/>
    <cellStyle name="Normal 11 2 8 3" xfId="1450" xr:uid="{00000000-0005-0000-0000-00008C9A0000}"/>
    <cellStyle name="Normal 11 2 8 3 2" xfId="40258" xr:uid="{00000000-0005-0000-0000-00008D9A0000}"/>
    <cellStyle name="Normal 11 2 8 3 2 2" xfId="40259" xr:uid="{00000000-0005-0000-0000-00008E9A0000}"/>
    <cellStyle name="Normal 11 2 8 3 2 2 2" xfId="40260" xr:uid="{00000000-0005-0000-0000-00008F9A0000}"/>
    <cellStyle name="Normal 11 2 8 3 2 2 2 2" xfId="40261" xr:uid="{00000000-0005-0000-0000-0000909A0000}"/>
    <cellStyle name="Normal 11 2 8 3 2 2 3" xfId="40262" xr:uid="{00000000-0005-0000-0000-0000919A0000}"/>
    <cellStyle name="Normal 11 2 8 3 2 3" xfId="40263" xr:uid="{00000000-0005-0000-0000-0000929A0000}"/>
    <cellStyle name="Normal 11 2 8 3 2 3 2" xfId="40264" xr:uid="{00000000-0005-0000-0000-0000939A0000}"/>
    <cellStyle name="Normal 11 2 8 3 2 4" xfId="40265" xr:uid="{00000000-0005-0000-0000-0000949A0000}"/>
    <cellStyle name="Normal 11 2 8 3 3" xfId="40266" xr:uid="{00000000-0005-0000-0000-0000959A0000}"/>
    <cellStyle name="Normal 11 2 8 3 3 2" xfId="40267" xr:uid="{00000000-0005-0000-0000-0000969A0000}"/>
    <cellStyle name="Normal 11 2 8 3 3 2 2" xfId="40268" xr:uid="{00000000-0005-0000-0000-0000979A0000}"/>
    <cellStyle name="Normal 11 2 8 3 3 2 2 2" xfId="40269" xr:uid="{00000000-0005-0000-0000-0000989A0000}"/>
    <cellStyle name="Normal 11 2 8 3 3 2 3" xfId="40270" xr:uid="{00000000-0005-0000-0000-0000999A0000}"/>
    <cellStyle name="Normal 11 2 8 3 3 3" xfId="40271" xr:uid="{00000000-0005-0000-0000-00009A9A0000}"/>
    <cellStyle name="Normal 11 2 8 3 3 3 2" xfId="40272" xr:uid="{00000000-0005-0000-0000-00009B9A0000}"/>
    <cellStyle name="Normal 11 2 8 3 3 4" xfId="40273" xr:uid="{00000000-0005-0000-0000-00009C9A0000}"/>
    <cellStyle name="Normal 11 2 8 3 4" xfId="40274" xr:uid="{00000000-0005-0000-0000-00009D9A0000}"/>
    <cellStyle name="Normal 11 2 8 3 4 2" xfId="40275" xr:uid="{00000000-0005-0000-0000-00009E9A0000}"/>
    <cellStyle name="Normal 11 2 8 3 4 2 2" xfId="40276" xr:uid="{00000000-0005-0000-0000-00009F9A0000}"/>
    <cellStyle name="Normal 11 2 8 3 4 3" xfId="40277" xr:uid="{00000000-0005-0000-0000-0000A09A0000}"/>
    <cellStyle name="Normal 11 2 8 3 5" xfId="40278" xr:uid="{00000000-0005-0000-0000-0000A19A0000}"/>
    <cellStyle name="Normal 11 2 8 3 5 2" xfId="40279" xr:uid="{00000000-0005-0000-0000-0000A29A0000}"/>
    <cellStyle name="Normal 11 2 8 3 6" xfId="40280" xr:uid="{00000000-0005-0000-0000-0000A39A0000}"/>
    <cellStyle name="Normal 11 2 8 3 7" xfId="40257" xr:uid="{00000000-0005-0000-0000-0000A49A0000}"/>
    <cellStyle name="Normal 11 2 8 4" xfId="40281" xr:uid="{00000000-0005-0000-0000-0000A59A0000}"/>
    <cellStyle name="Normal 11 2 8 4 2" xfId="40282" xr:uid="{00000000-0005-0000-0000-0000A69A0000}"/>
    <cellStyle name="Normal 11 2 8 4 2 2" xfId="40283" xr:uid="{00000000-0005-0000-0000-0000A79A0000}"/>
    <cellStyle name="Normal 11 2 8 4 2 2 2" xfId="40284" xr:uid="{00000000-0005-0000-0000-0000A89A0000}"/>
    <cellStyle name="Normal 11 2 8 4 2 2 2 2" xfId="40285" xr:uid="{00000000-0005-0000-0000-0000A99A0000}"/>
    <cellStyle name="Normal 11 2 8 4 2 2 3" xfId="40286" xr:uid="{00000000-0005-0000-0000-0000AA9A0000}"/>
    <cellStyle name="Normal 11 2 8 4 2 3" xfId="40287" xr:uid="{00000000-0005-0000-0000-0000AB9A0000}"/>
    <cellStyle name="Normal 11 2 8 4 2 3 2" xfId="40288" xr:uid="{00000000-0005-0000-0000-0000AC9A0000}"/>
    <cellStyle name="Normal 11 2 8 4 2 4" xfId="40289" xr:uid="{00000000-0005-0000-0000-0000AD9A0000}"/>
    <cellStyle name="Normal 11 2 8 4 3" xfId="40290" xr:uid="{00000000-0005-0000-0000-0000AE9A0000}"/>
    <cellStyle name="Normal 11 2 8 4 3 2" xfId="40291" xr:uid="{00000000-0005-0000-0000-0000AF9A0000}"/>
    <cellStyle name="Normal 11 2 8 4 3 2 2" xfId="40292" xr:uid="{00000000-0005-0000-0000-0000B09A0000}"/>
    <cellStyle name="Normal 11 2 8 4 3 3" xfId="40293" xr:uid="{00000000-0005-0000-0000-0000B19A0000}"/>
    <cellStyle name="Normal 11 2 8 4 4" xfId="40294" xr:uid="{00000000-0005-0000-0000-0000B29A0000}"/>
    <cellStyle name="Normal 11 2 8 4 4 2" xfId="40295" xr:uid="{00000000-0005-0000-0000-0000B39A0000}"/>
    <cellStyle name="Normal 11 2 8 4 5" xfId="40296" xr:uid="{00000000-0005-0000-0000-0000B49A0000}"/>
    <cellStyle name="Normal 11 2 8 5" xfId="40297" xr:uid="{00000000-0005-0000-0000-0000B59A0000}"/>
    <cellStyle name="Normal 11 2 8 5 2" xfId="40298" xr:uid="{00000000-0005-0000-0000-0000B69A0000}"/>
    <cellStyle name="Normal 11 2 8 5 2 2" xfId="40299" xr:uid="{00000000-0005-0000-0000-0000B79A0000}"/>
    <cellStyle name="Normal 11 2 8 5 2 2 2" xfId="40300" xr:uid="{00000000-0005-0000-0000-0000B89A0000}"/>
    <cellStyle name="Normal 11 2 8 5 2 2 2 2" xfId="40301" xr:uid="{00000000-0005-0000-0000-0000B99A0000}"/>
    <cellStyle name="Normal 11 2 8 5 2 2 3" xfId="40302" xr:uid="{00000000-0005-0000-0000-0000BA9A0000}"/>
    <cellStyle name="Normal 11 2 8 5 2 3" xfId="40303" xr:uid="{00000000-0005-0000-0000-0000BB9A0000}"/>
    <cellStyle name="Normal 11 2 8 5 2 3 2" xfId="40304" xr:uid="{00000000-0005-0000-0000-0000BC9A0000}"/>
    <cellStyle name="Normal 11 2 8 5 2 4" xfId="40305" xr:uid="{00000000-0005-0000-0000-0000BD9A0000}"/>
    <cellStyle name="Normal 11 2 8 5 3" xfId="40306" xr:uid="{00000000-0005-0000-0000-0000BE9A0000}"/>
    <cellStyle name="Normal 11 2 8 5 3 2" xfId="40307" xr:uid="{00000000-0005-0000-0000-0000BF9A0000}"/>
    <cellStyle name="Normal 11 2 8 5 3 2 2" xfId="40308" xr:uid="{00000000-0005-0000-0000-0000C09A0000}"/>
    <cellStyle name="Normal 11 2 8 5 3 3" xfId="40309" xr:uid="{00000000-0005-0000-0000-0000C19A0000}"/>
    <cellStyle name="Normal 11 2 8 5 4" xfId="40310" xr:uid="{00000000-0005-0000-0000-0000C29A0000}"/>
    <cellStyle name="Normal 11 2 8 5 4 2" xfId="40311" xr:uid="{00000000-0005-0000-0000-0000C39A0000}"/>
    <cellStyle name="Normal 11 2 8 5 5" xfId="40312" xr:uid="{00000000-0005-0000-0000-0000C49A0000}"/>
    <cellStyle name="Normal 11 2 8 6" xfId="40313" xr:uid="{00000000-0005-0000-0000-0000C59A0000}"/>
    <cellStyle name="Normal 11 2 8 6 2" xfId="40314" xr:uid="{00000000-0005-0000-0000-0000C69A0000}"/>
    <cellStyle name="Normal 11 2 8 6 2 2" xfId="40315" xr:uid="{00000000-0005-0000-0000-0000C79A0000}"/>
    <cellStyle name="Normal 11 2 8 6 2 2 2" xfId="40316" xr:uid="{00000000-0005-0000-0000-0000C89A0000}"/>
    <cellStyle name="Normal 11 2 8 6 2 3" xfId="40317" xr:uid="{00000000-0005-0000-0000-0000C99A0000}"/>
    <cellStyle name="Normal 11 2 8 6 3" xfId="40318" xr:uid="{00000000-0005-0000-0000-0000CA9A0000}"/>
    <cellStyle name="Normal 11 2 8 6 3 2" xfId="40319" xr:uid="{00000000-0005-0000-0000-0000CB9A0000}"/>
    <cellStyle name="Normal 11 2 8 6 4" xfId="40320" xr:uid="{00000000-0005-0000-0000-0000CC9A0000}"/>
    <cellStyle name="Normal 11 2 8 7" xfId="40321" xr:uid="{00000000-0005-0000-0000-0000CD9A0000}"/>
    <cellStyle name="Normal 11 2 8 7 2" xfId="40322" xr:uid="{00000000-0005-0000-0000-0000CE9A0000}"/>
    <cellStyle name="Normal 11 2 8 7 2 2" xfId="40323" xr:uid="{00000000-0005-0000-0000-0000CF9A0000}"/>
    <cellStyle name="Normal 11 2 8 7 2 2 2" xfId="40324" xr:uid="{00000000-0005-0000-0000-0000D09A0000}"/>
    <cellStyle name="Normal 11 2 8 7 2 3" xfId="40325" xr:uid="{00000000-0005-0000-0000-0000D19A0000}"/>
    <cellStyle name="Normal 11 2 8 7 3" xfId="40326" xr:uid="{00000000-0005-0000-0000-0000D29A0000}"/>
    <cellStyle name="Normal 11 2 8 7 3 2" xfId="40327" xr:uid="{00000000-0005-0000-0000-0000D39A0000}"/>
    <cellStyle name="Normal 11 2 8 7 4" xfId="40328" xr:uid="{00000000-0005-0000-0000-0000D49A0000}"/>
    <cellStyle name="Normal 11 2 8 8" xfId="40329" xr:uid="{00000000-0005-0000-0000-0000D59A0000}"/>
    <cellStyle name="Normal 11 2 8 8 2" xfId="40330" xr:uid="{00000000-0005-0000-0000-0000D69A0000}"/>
    <cellStyle name="Normal 11 2 8 8 2 2" xfId="40331" xr:uid="{00000000-0005-0000-0000-0000D79A0000}"/>
    <cellStyle name="Normal 11 2 8 8 2 2 2" xfId="40332" xr:uid="{00000000-0005-0000-0000-0000D89A0000}"/>
    <cellStyle name="Normal 11 2 8 8 2 3" xfId="40333" xr:uid="{00000000-0005-0000-0000-0000D99A0000}"/>
    <cellStyle name="Normal 11 2 8 8 3" xfId="40334" xr:uid="{00000000-0005-0000-0000-0000DA9A0000}"/>
    <cellStyle name="Normal 11 2 8 8 3 2" xfId="40335" xr:uid="{00000000-0005-0000-0000-0000DB9A0000}"/>
    <cellStyle name="Normal 11 2 8 8 4" xfId="40336" xr:uid="{00000000-0005-0000-0000-0000DC9A0000}"/>
    <cellStyle name="Normal 11 2 8 9" xfId="40337" xr:uid="{00000000-0005-0000-0000-0000DD9A0000}"/>
    <cellStyle name="Normal 11 2 8 9 2" xfId="40338" xr:uid="{00000000-0005-0000-0000-0000DE9A0000}"/>
    <cellStyle name="Normal 11 2 8 9 2 2" xfId="40339" xr:uid="{00000000-0005-0000-0000-0000DF9A0000}"/>
    <cellStyle name="Normal 11 2 8 9 3" xfId="40340" xr:uid="{00000000-0005-0000-0000-0000E09A0000}"/>
    <cellStyle name="Normal 11 2 9" xfId="977" xr:uid="{00000000-0005-0000-0000-0000E19A0000}"/>
    <cellStyle name="Normal 11 2 9 10" xfId="40342" xr:uid="{00000000-0005-0000-0000-0000E29A0000}"/>
    <cellStyle name="Normal 11 2 9 11" xfId="40341" xr:uid="{00000000-0005-0000-0000-0000E39A0000}"/>
    <cellStyle name="Normal 11 2 9 2" xfId="1706" xr:uid="{00000000-0005-0000-0000-0000E49A0000}"/>
    <cellStyle name="Normal 11 2 9 2 2" xfId="40344" xr:uid="{00000000-0005-0000-0000-0000E59A0000}"/>
    <cellStyle name="Normal 11 2 9 2 2 2" xfId="40345" xr:uid="{00000000-0005-0000-0000-0000E69A0000}"/>
    <cellStyle name="Normal 11 2 9 2 2 2 2" xfId="40346" xr:uid="{00000000-0005-0000-0000-0000E79A0000}"/>
    <cellStyle name="Normal 11 2 9 2 2 2 2 2" xfId="40347" xr:uid="{00000000-0005-0000-0000-0000E89A0000}"/>
    <cellStyle name="Normal 11 2 9 2 2 2 3" xfId="40348" xr:uid="{00000000-0005-0000-0000-0000E99A0000}"/>
    <cellStyle name="Normal 11 2 9 2 2 3" xfId="40349" xr:uid="{00000000-0005-0000-0000-0000EA9A0000}"/>
    <cellStyle name="Normal 11 2 9 2 2 3 2" xfId="40350" xr:uid="{00000000-0005-0000-0000-0000EB9A0000}"/>
    <cellStyle name="Normal 11 2 9 2 2 4" xfId="40351" xr:uid="{00000000-0005-0000-0000-0000EC9A0000}"/>
    <cellStyle name="Normal 11 2 9 2 3" xfId="40352" xr:uid="{00000000-0005-0000-0000-0000ED9A0000}"/>
    <cellStyle name="Normal 11 2 9 2 3 2" xfId="40353" xr:uid="{00000000-0005-0000-0000-0000EE9A0000}"/>
    <cellStyle name="Normal 11 2 9 2 3 2 2" xfId="40354" xr:uid="{00000000-0005-0000-0000-0000EF9A0000}"/>
    <cellStyle name="Normal 11 2 9 2 3 2 2 2" xfId="40355" xr:uid="{00000000-0005-0000-0000-0000F09A0000}"/>
    <cellStyle name="Normal 11 2 9 2 3 2 3" xfId="40356" xr:uid="{00000000-0005-0000-0000-0000F19A0000}"/>
    <cellStyle name="Normal 11 2 9 2 3 3" xfId="40357" xr:uid="{00000000-0005-0000-0000-0000F29A0000}"/>
    <cellStyle name="Normal 11 2 9 2 3 3 2" xfId="40358" xr:uid="{00000000-0005-0000-0000-0000F39A0000}"/>
    <cellStyle name="Normal 11 2 9 2 3 4" xfId="40359" xr:uid="{00000000-0005-0000-0000-0000F49A0000}"/>
    <cellStyle name="Normal 11 2 9 2 4" xfId="40360" xr:uid="{00000000-0005-0000-0000-0000F59A0000}"/>
    <cellStyle name="Normal 11 2 9 2 4 2" xfId="40361" xr:uid="{00000000-0005-0000-0000-0000F69A0000}"/>
    <cellStyle name="Normal 11 2 9 2 4 2 2" xfId="40362" xr:uid="{00000000-0005-0000-0000-0000F79A0000}"/>
    <cellStyle name="Normal 11 2 9 2 4 3" xfId="40363" xr:uid="{00000000-0005-0000-0000-0000F89A0000}"/>
    <cellStyle name="Normal 11 2 9 2 5" xfId="40364" xr:uid="{00000000-0005-0000-0000-0000F99A0000}"/>
    <cellStyle name="Normal 11 2 9 2 5 2" xfId="40365" xr:uid="{00000000-0005-0000-0000-0000FA9A0000}"/>
    <cellStyle name="Normal 11 2 9 2 6" xfId="40366" xr:uid="{00000000-0005-0000-0000-0000FB9A0000}"/>
    <cellStyle name="Normal 11 2 9 2 7" xfId="40343" xr:uid="{00000000-0005-0000-0000-0000FC9A0000}"/>
    <cellStyle name="Normal 11 2 9 3" xfId="40367" xr:uid="{00000000-0005-0000-0000-0000FD9A0000}"/>
    <cellStyle name="Normal 11 2 9 3 2" xfId="40368" xr:uid="{00000000-0005-0000-0000-0000FE9A0000}"/>
    <cellStyle name="Normal 11 2 9 3 2 2" xfId="40369" xr:uid="{00000000-0005-0000-0000-0000FF9A0000}"/>
    <cellStyle name="Normal 11 2 9 3 2 2 2" xfId="40370" xr:uid="{00000000-0005-0000-0000-0000009B0000}"/>
    <cellStyle name="Normal 11 2 9 3 2 2 2 2" xfId="40371" xr:uid="{00000000-0005-0000-0000-0000019B0000}"/>
    <cellStyle name="Normal 11 2 9 3 2 2 3" xfId="40372" xr:uid="{00000000-0005-0000-0000-0000029B0000}"/>
    <cellStyle name="Normal 11 2 9 3 2 3" xfId="40373" xr:uid="{00000000-0005-0000-0000-0000039B0000}"/>
    <cellStyle name="Normal 11 2 9 3 2 3 2" xfId="40374" xr:uid="{00000000-0005-0000-0000-0000049B0000}"/>
    <cellStyle name="Normal 11 2 9 3 2 4" xfId="40375" xr:uid="{00000000-0005-0000-0000-0000059B0000}"/>
    <cellStyle name="Normal 11 2 9 3 3" xfId="40376" xr:uid="{00000000-0005-0000-0000-0000069B0000}"/>
    <cellStyle name="Normal 11 2 9 3 3 2" xfId="40377" xr:uid="{00000000-0005-0000-0000-0000079B0000}"/>
    <cellStyle name="Normal 11 2 9 3 3 2 2" xfId="40378" xr:uid="{00000000-0005-0000-0000-0000089B0000}"/>
    <cellStyle name="Normal 11 2 9 3 3 3" xfId="40379" xr:uid="{00000000-0005-0000-0000-0000099B0000}"/>
    <cellStyle name="Normal 11 2 9 3 4" xfId="40380" xr:uid="{00000000-0005-0000-0000-00000A9B0000}"/>
    <cellStyle name="Normal 11 2 9 3 4 2" xfId="40381" xr:uid="{00000000-0005-0000-0000-00000B9B0000}"/>
    <cellStyle name="Normal 11 2 9 3 5" xfId="40382" xr:uid="{00000000-0005-0000-0000-00000C9B0000}"/>
    <cellStyle name="Normal 11 2 9 4" xfId="40383" xr:uid="{00000000-0005-0000-0000-00000D9B0000}"/>
    <cellStyle name="Normal 11 2 9 4 2" xfId="40384" xr:uid="{00000000-0005-0000-0000-00000E9B0000}"/>
    <cellStyle name="Normal 11 2 9 4 2 2" xfId="40385" xr:uid="{00000000-0005-0000-0000-00000F9B0000}"/>
    <cellStyle name="Normal 11 2 9 4 2 2 2" xfId="40386" xr:uid="{00000000-0005-0000-0000-0000109B0000}"/>
    <cellStyle name="Normal 11 2 9 4 2 2 2 2" xfId="40387" xr:uid="{00000000-0005-0000-0000-0000119B0000}"/>
    <cellStyle name="Normal 11 2 9 4 2 2 3" xfId="40388" xr:uid="{00000000-0005-0000-0000-0000129B0000}"/>
    <cellStyle name="Normal 11 2 9 4 2 3" xfId="40389" xr:uid="{00000000-0005-0000-0000-0000139B0000}"/>
    <cellStyle name="Normal 11 2 9 4 2 3 2" xfId="40390" xr:uid="{00000000-0005-0000-0000-0000149B0000}"/>
    <cellStyle name="Normal 11 2 9 4 2 4" xfId="40391" xr:uid="{00000000-0005-0000-0000-0000159B0000}"/>
    <cellStyle name="Normal 11 2 9 4 3" xfId="40392" xr:uid="{00000000-0005-0000-0000-0000169B0000}"/>
    <cellStyle name="Normal 11 2 9 4 3 2" xfId="40393" xr:uid="{00000000-0005-0000-0000-0000179B0000}"/>
    <cellStyle name="Normal 11 2 9 4 3 2 2" xfId="40394" xr:uid="{00000000-0005-0000-0000-0000189B0000}"/>
    <cellStyle name="Normal 11 2 9 4 3 3" xfId="40395" xr:uid="{00000000-0005-0000-0000-0000199B0000}"/>
    <cellStyle name="Normal 11 2 9 4 4" xfId="40396" xr:uid="{00000000-0005-0000-0000-00001A9B0000}"/>
    <cellStyle name="Normal 11 2 9 4 4 2" xfId="40397" xr:uid="{00000000-0005-0000-0000-00001B9B0000}"/>
    <cellStyle name="Normal 11 2 9 4 5" xfId="40398" xr:uid="{00000000-0005-0000-0000-00001C9B0000}"/>
    <cellStyle name="Normal 11 2 9 5" xfId="40399" xr:uid="{00000000-0005-0000-0000-00001D9B0000}"/>
    <cellStyle name="Normal 11 2 9 5 2" xfId="40400" xr:uid="{00000000-0005-0000-0000-00001E9B0000}"/>
    <cellStyle name="Normal 11 2 9 5 2 2" xfId="40401" xr:uid="{00000000-0005-0000-0000-00001F9B0000}"/>
    <cellStyle name="Normal 11 2 9 5 2 2 2" xfId="40402" xr:uid="{00000000-0005-0000-0000-0000209B0000}"/>
    <cellStyle name="Normal 11 2 9 5 2 3" xfId="40403" xr:uid="{00000000-0005-0000-0000-0000219B0000}"/>
    <cellStyle name="Normal 11 2 9 5 3" xfId="40404" xr:uid="{00000000-0005-0000-0000-0000229B0000}"/>
    <cellStyle name="Normal 11 2 9 5 3 2" xfId="40405" xr:uid="{00000000-0005-0000-0000-0000239B0000}"/>
    <cellStyle name="Normal 11 2 9 5 4" xfId="40406" xr:uid="{00000000-0005-0000-0000-0000249B0000}"/>
    <cellStyle name="Normal 11 2 9 6" xfId="40407" xr:uid="{00000000-0005-0000-0000-0000259B0000}"/>
    <cellStyle name="Normal 11 2 9 6 2" xfId="40408" xr:uid="{00000000-0005-0000-0000-0000269B0000}"/>
    <cellStyle name="Normal 11 2 9 6 2 2" xfId="40409" xr:uid="{00000000-0005-0000-0000-0000279B0000}"/>
    <cellStyle name="Normal 11 2 9 6 2 2 2" xfId="40410" xr:uid="{00000000-0005-0000-0000-0000289B0000}"/>
    <cellStyle name="Normal 11 2 9 6 2 3" xfId="40411" xr:uid="{00000000-0005-0000-0000-0000299B0000}"/>
    <cellStyle name="Normal 11 2 9 6 3" xfId="40412" xr:uid="{00000000-0005-0000-0000-00002A9B0000}"/>
    <cellStyle name="Normal 11 2 9 6 3 2" xfId="40413" xr:uid="{00000000-0005-0000-0000-00002B9B0000}"/>
    <cellStyle name="Normal 11 2 9 6 4" xfId="40414" xr:uid="{00000000-0005-0000-0000-00002C9B0000}"/>
    <cellStyle name="Normal 11 2 9 7" xfId="40415" xr:uid="{00000000-0005-0000-0000-00002D9B0000}"/>
    <cellStyle name="Normal 11 2 9 7 2" xfId="40416" xr:uid="{00000000-0005-0000-0000-00002E9B0000}"/>
    <cellStyle name="Normal 11 2 9 7 2 2" xfId="40417" xr:uid="{00000000-0005-0000-0000-00002F9B0000}"/>
    <cellStyle name="Normal 11 2 9 7 2 2 2" xfId="40418" xr:uid="{00000000-0005-0000-0000-0000309B0000}"/>
    <cellStyle name="Normal 11 2 9 7 2 3" xfId="40419" xr:uid="{00000000-0005-0000-0000-0000319B0000}"/>
    <cellStyle name="Normal 11 2 9 7 3" xfId="40420" xr:uid="{00000000-0005-0000-0000-0000329B0000}"/>
    <cellStyle name="Normal 11 2 9 7 3 2" xfId="40421" xr:uid="{00000000-0005-0000-0000-0000339B0000}"/>
    <cellStyle name="Normal 11 2 9 7 4" xfId="40422" xr:uid="{00000000-0005-0000-0000-0000349B0000}"/>
    <cellStyle name="Normal 11 2 9 8" xfId="40423" xr:uid="{00000000-0005-0000-0000-0000359B0000}"/>
    <cellStyle name="Normal 11 2 9 8 2" xfId="40424" xr:uid="{00000000-0005-0000-0000-0000369B0000}"/>
    <cellStyle name="Normal 11 2 9 8 2 2" xfId="40425" xr:uid="{00000000-0005-0000-0000-0000379B0000}"/>
    <cellStyle name="Normal 11 2 9 8 3" xfId="40426" xr:uid="{00000000-0005-0000-0000-0000389B0000}"/>
    <cellStyle name="Normal 11 2 9 9" xfId="40427" xr:uid="{00000000-0005-0000-0000-0000399B0000}"/>
    <cellStyle name="Normal 11 2 9 9 2" xfId="40428" xr:uid="{00000000-0005-0000-0000-00003A9B0000}"/>
    <cellStyle name="Normal 11 20" xfId="40429" xr:uid="{00000000-0005-0000-0000-00003B9B0000}"/>
    <cellStyle name="Normal 11 20 2" xfId="40430" xr:uid="{00000000-0005-0000-0000-00003C9B0000}"/>
    <cellStyle name="Normal 11 21" xfId="40431" xr:uid="{00000000-0005-0000-0000-00003D9B0000}"/>
    <cellStyle name="Normal 11 22" xfId="40432" xr:uid="{00000000-0005-0000-0000-00003E9B0000}"/>
    <cellStyle name="Normal 11 23" xfId="26928" xr:uid="{00000000-0005-0000-0000-00003F9B0000}"/>
    <cellStyle name="Normal 11 3" xfId="607" xr:uid="{00000000-0005-0000-0000-0000409B0000}"/>
    <cellStyle name="Normal 11 3 10" xfId="40434" xr:uid="{00000000-0005-0000-0000-0000419B0000}"/>
    <cellStyle name="Normal 11 3 10 2" xfId="40435" xr:uid="{00000000-0005-0000-0000-0000429B0000}"/>
    <cellStyle name="Normal 11 3 10 2 2" xfId="40436" xr:uid="{00000000-0005-0000-0000-0000439B0000}"/>
    <cellStyle name="Normal 11 3 10 2 2 2" xfId="40437" xr:uid="{00000000-0005-0000-0000-0000449B0000}"/>
    <cellStyle name="Normal 11 3 10 2 2 2 2" xfId="40438" xr:uid="{00000000-0005-0000-0000-0000459B0000}"/>
    <cellStyle name="Normal 11 3 10 2 2 3" xfId="40439" xr:uid="{00000000-0005-0000-0000-0000469B0000}"/>
    <cellStyle name="Normal 11 3 10 2 3" xfId="40440" xr:uid="{00000000-0005-0000-0000-0000479B0000}"/>
    <cellStyle name="Normal 11 3 10 2 3 2" xfId="40441" xr:uid="{00000000-0005-0000-0000-0000489B0000}"/>
    <cellStyle name="Normal 11 3 10 2 4" xfId="40442" xr:uid="{00000000-0005-0000-0000-0000499B0000}"/>
    <cellStyle name="Normal 11 3 10 3" xfId="40443" xr:uid="{00000000-0005-0000-0000-00004A9B0000}"/>
    <cellStyle name="Normal 11 3 10 3 2" xfId="40444" xr:uid="{00000000-0005-0000-0000-00004B9B0000}"/>
    <cellStyle name="Normal 11 3 10 3 2 2" xfId="40445" xr:uid="{00000000-0005-0000-0000-00004C9B0000}"/>
    <cellStyle name="Normal 11 3 10 3 3" xfId="40446" xr:uid="{00000000-0005-0000-0000-00004D9B0000}"/>
    <cellStyle name="Normal 11 3 10 4" xfId="40447" xr:uid="{00000000-0005-0000-0000-00004E9B0000}"/>
    <cellStyle name="Normal 11 3 10 4 2" xfId="40448" xr:uid="{00000000-0005-0000-0000-00004F9B0000}"/>
    <cellStyle name="Normal 11 3 10 5" xfId="40449" xr:uid="{00000000-0005-0000-0000-0000509B0000}"/>
    <cellStyle name="Normal 11 3 11" xfId="40450" xr:uid="{00000000-0005-0000-0000-0000519B0000}"/>
    <cellStyle name="Normal 11 3 11 2" xfId="40451" xr:uid="{00000000-0005-0000-0000-0000529B0000}"/>
    <cellStyle name="Normal 11 3 11 2 2" xfId="40452" xr:uid="{00000000-0005-0000-0000-0000539B0000}"/>
    <cellStyle name="Normal 11 3 11 2 2 2" xfId="40453" xr:uid="{00000000-0005-0000-0000-0000549B0000}"/>
    <cellStyle name="Normal 11 3 11 2 3" xfId="40454" xr:uid="{00000000-0005-0000-0000-0000559B0000}"/>
    <cellStyle name="Normal 11 3 11 3" xfId="40455" xr:uid="{00000000-0005-0000-0000-0000569B0000}"/>
    <cellStyle name="Normal 11 3 11 3 2" xfId="40456" xr:uid="{00000000-0005-0000-0000-0000579B0000}"/>
    <cellStyle name="Normal 11 3 11 4" xfId="40457" xr:uid="{00000000-0005-0000-0000-0000589B0000}"/>
    <cellStyle name="Normal 11 3 12" xfId="40458" xr:uid="{00000000-0005-0000-0000-0000599B0000}"/>
    <cellStyle name="Normal 11 3 12 2" xfId="40459" xr:uid="{00000000-0005-0000-0000-00005A9B0000}"/>
    <cellStyle name="Normal 11 3 12 2 2" xfId="40460" xr:uid="{00000000-0005-0000-0000-00005B9B0000}"/>
    <cellStyle name="Normal 11 3 12 2 2 2" xfId="40461" xr:uid="{00000000-0005-0000-0000-00005C9B0000}"/>
    <cellStyle name="Normal 11 3 12 2 3" xfId="40462" xr:uid="{00000000-0005-0000-0000-00005D9B0000}"/>
    <cellStyle name="Normal 11 3 12 3" xfId="40463" xr:uid="{00000000-0005-0000-0000-00005E9B0000}"/>
    <cellStyle name="Normal 11 3 12 3 2" xfId="40464" xr:uid="{00000000-0005-0000-0000-00005F9B0000}"/>
    <cellStyle name="Normal 11 3 12 4" xfId="40465" xr:uid="{00000000-0005-0000-0000-0000609B0000}"/>
    <cellStyle name="Normal 11 3 13" xfId="40466" xr:uid="{00000000-0005-0000-0000-0000619B0000}"/>
    <cellStyle name="Normal 11 3 13 2" xfId="40467" xr:uid="{00000000-0005-0000-0000-0000629B0000}"/>
    <cellStyle name="Normal 11 3 13 2 2" xfId="40468" xr:uid="{00000000-0005-0000-0000-0000639B0000}"/>
    <cellStyle name="Normal 11 3 13 2 2 2" xfId="40469" xr:uid="{00000000-0005-0000-0000-0000649B0000}"/>
    <cellStyle name="Normal 11 3 13 2 3" xfId="40470" xr:uid="{00000000-0005-0000-0000-0000659B0000}"/>
    <cellStyle name="Normal 11 3 13 3" xfId="40471" xr:uid="{00000000-0005-0000-0000-0000669B0000}"/>
    <cellStyle name="Normal 11 3 13 3 2" xfId="40472" xr:uid="{00000000-0005-0000-0000-0000679B0000}"/>
    <cellStyle name="Normal 11 3 13 4" xfId="40473" xr:uid="{00000000-0005-0000-0000-0000689B0000}"/>
    <cellStyle name="Normal 11 3 14" xfId="40474" xr:uid="{00000000-0005-0000-0000-0000699B0000}"/>
    <cellStyle name="Normal 11 3 14 2" xfId="40475" xr:uid="{00000000-0005-0000-0000-00006A9B0000}"/>
    <cellStyle name="Normal 11 3 14 2 2" xfId="40476" xr:uid="{00000000-0005-0000-0000-00006B9B0000}"/>
    <cellStyle name="Normal 11 3 14 3" xfId="40477" xr:uid="{00000000-0005-0000-0000-00006C9B0000}"/>
    <cellStyle name="Normal 11 3 15" xfId="40478" xr:uid="{00000000-0005-0000-0000-00006D9B0000}"/>
    <cellStyle name="Normal 11 3 15 2" xfId="40479" xr:uid="{00000000-0005-0000-0000-00006E9B0000}"/>
    <cellStyle name="Normal 11 3 15 2 2" xfId="40480" xr:uid="{00000000-0005-0000-0000-00006F9B0000}"/>
    <cellStyle name="Normal 11 3 15 3" xfId="40481" xr:uid="{00000000-0005-0000-0000-0000709B0000}"/>
    <cellStyle name="Normal 11 3 16" xfId="40482" xr:uid="{00000000-0005-0000-0000-0000719B0000}"/>
    <cellStyle name="Normal 11 3 16 2" xfId="40483" xr:uid="{00000000-0005-0000-0000-0000729B0000}"/>
    <cellStyle name="Normal 11 3 16 2 2" xfId="40484" xr:uid="{00000000-0005-0000-0000-0000739B0000}"/>
    <cellStyle name="Normal 11 3 16 3" xfId="40485" xr:uid="{00000000-0005-0000-0000-0000749B0000}"/>
    <cellStyle name="Normal 11 3 17" xfId="40486" xr:uid="{00000000-0005-0000-0000-0000759B0000}"/>
    <cellStyle name="Normal 11 3 17 2" xfId="40487" xr:uid="{00000000-0005-0000-0000-0000769B0000}"/>
    <cellStyle name="Normal 11 3 18" xfId="40488" xr:uid="{00000000-0005-0000-0000-0000779B0000}"/>
    <cellStyle name="Normal 11 3 19" xfId="40489" xr:uid="{00000000-0005-0000-0000-0000789B0000}"/>
    <cellStyle name="Normal 11 3 2" xfId="608" xr:uid="{00000000-0005-0000-0000-0000799B0000}"/>
    <cellStyle name="Normal 11 3 2 10" xfId="40491" xr:uid="{00000000-0005-0000-0000-00007A9B0000}"/>
    <cellStyle name="Normal 11 3 2 10 2" xfId="40492" xr:uid="{00000000-0005-0000-0000-00007B9B0000}"/>
    <cellStyle name="Normal 11 3 2 10 2 2" xfId="40493" xr:uid="{00000000-0005-0000-0000-00007C9B0000}"/>
    <cellStyle name="Normal 11 3 2 10 2 2 2" xfId="40494" xr:uid="{00000000-0005-0000-0000-00007D9B0000}"/>
    <cellStyle name="Normal 11 3 2 10 2 3" xfId="40495" xr:uid="{00000000-0005-0000-0000-00007E9B0000}"/>
    <cellStyle name="Normal 11 3 2 10 3" xfId="40496" xr:uid="{00000000-0005-0000-0000-00007F9B0000}"/>
    <cellStyle name="Normal 11 3 2 10 3 2" xfId="40497" xr:uid="{00000000-0005-0000-0000-0000809B0000}"/>
    <cellStyle name="Normal 11 3 2 10 4" xfId="40498" xr:uid="{00000000-0005-0000-0000-0000819B0000}"/>
    <cellStyle name="Normal 11 3 2 11" xfId="40499" xr:uid="{00000000-0005-0000-0000-0000829B0000}"/>
    <cellStyle name="Normal 11 3 2 11 2" xfId="40500" xr:uid="{00000000-0005-0000-0000-0000839B0000}"/>
    <cellStyle name="Normal 11 3 2 11 2 2" xfId="40501" xr:uid="{00000000-0005-0000-0000-0000849B0000}"/>
    <cellStyle name="Normal 11 3 2 11 2 2 2" xfId="40502" xr:uid="{00000000-0005-0000-0000-0000859B0000}"/>
    <cellStyle name="Normal 11 3 2 11 2 3" xfId="40503" xr:uid="{00000000-0005-0000-0000-0000869B0000}"/>
    <cellStyle name="Normal 11 3 2 11 3" xfId="40504" xr:uid="{00000000-0005-0000-0000-0000879B0000}"/>
    <cellStyle name="Normal 11 3 2 11 3 2" xfId="40505" xr:uid="{00000000-0005-0000-0000-0000889B0000}"/>
    <cellStyle name="Normal 11 3 2 11 4" xfId="40506" xr:uid="{00000000-0005-0000-0000-0000899B0000}"/>
    <cellStyle name="Normal 11 3 2 12" xfId="40507" xr:uid="{00000000-0005-0000-0000-00008A9B0000}"/>
    <cellStyle name="Normal 11 3 2 12 2" xfId="40508" xr:uid="{00000000-0005-0000-0000-00008B9B0000}"/>
    <cellStyle name="Normal 11 3 2 12 2 2" xfId="40509" xr:uid="{00000000-0005-0000-0000-00008C9B0000}"/>
    <cellStyle name="Normal 11 3 2 12 2 2 2" xfId="40510" xr:uid="{00000000-0005-0000-0000-00008D9B0000}"/>
    <cellStyle name="Normal 11 3 2 12 2 3" xfId="40511" xr:uid="{00000000-0005-0000-0000-00008E9B0000}"/>
    <cellStyle name="Normal 11 3 2 12 3" xfId="40512" xr:uid="{00000000-0005-0000-0000-00008F9B0000}"/>
    <cellStyle name="Normal 11 3 2 12 3 2" xfId="40513" xr:uid="{00000000-0005-0000-0000-0000909B0000}"/>
    <cellStyle name="Normal 11 3 2 12 4" xfId="40514" xr:uid="{00000000-0005-0000-0000-0000919B0000}"/>
    <cellStyle name="Normal 11 3 2 13" xfId="40515" xr:uid="{00000000-0005-0000-0000-0000929B0000}"/>
    <cellStyle name="Normal 11 3 2 13 2" xfId="40516" xr:uid="{00000000-0005-0000-0000-0000939B0000}"/>
    <cellStyle name="Normal 11 3 2 13 2 2" xfId="40517" xr:uid="{00000000-0005-0000-0000-0000949B0000}"/>
    <cellStyle name="Normal 11 3 2 13 3" xfId="40518" xr:uid="{00000000-0005-0000-0000-0000959B0000}"/>
    <cellStyle name="Normal 11 3 2 14" xfId="40519" xr:uid="{00000000-0005-0000-0000-0000969B0000}"/>
    <cellStyle name="Normal 11 3 2 14 2" xfId="40520" xr:uid="{00000000-0005-0000-0000-0000979B0000}"/>
    <cellStyle name="Normal 11 3 2 14 2 2" xfId="40521" xr:uid="{00000000-0005-0000-0000-0000989B0000}"/>
    <cellStyle name="Normal 11 3 2 14 3" xfId="40522" xr:uid="{00000000-0005-0000-0000-0000999B0000}"/>
    <cellStyle name="Normal 11 3 2 15" xfId="40523" xr:uid="{00000000-0005-0000-0000-00009A9B0000}"/>
    <cellStyle name="Normal 11 3 2 15 2" xfId="40524" xr:uid="{00000000-0005-0000-0000-00009B9B0000}"/>
    <cellStyle name="Normal 11 3 2 15 2 2" xfId="40525" xr:uid="{00000000-0005-0000-0000-00009C9B0000}"/>
    <cellStyle name="Normal 11 3 2 15 3" xfId="40526" xr:uid="{00000000-0005-0000-0000-00009D9B0000}"/>
    <cellStyle name="Normal 11 3 2 16" xfId="40527" xr:uid="{00000000-0005-0000-0000-00009E9B0000}"/>
    <cellStyle name="Normal 11 3 2 16 2" xfId="40528" xr:uid="{00000000-0005-0000-0000-00009F9B0000}"/>
    <cellStyle name="Normal 11 3 2 17" xfId="40529" xr:uid="{00000000-0005-0000-0000-0000A09B0000}"/>
    <cellStyle name="Normal 11 3 2 18" xfId="40530" xr:uid="{00000000-0005-0000-0000-0000A19B0000}"/>
    <cellStyle name="Normal 11 3 2 19" xfId="40490" xr:uid="{00000000-0005-0000-0000-0000A29B0000}"/>
    <cellStyle name="Normal 11 3 2 2" xfId="609" xr:uid="{00000000-0005-0000-0000-0000A39B0000}"/>
    <cellStyle name="Normal 11 3 2 2 10" xfId="40532" xr:uid="{00000000-0005-0000-0000-0000A49B0000}"/>
    <cellStyle name="Normal 11 3 2 2 10 2" xfId="40533" xr:uid="{00000000-0005-0000-0000-0000A59B0000}"/>
    <cellStyle name="Normal 11 3 2 2 10 2 2" xfId="40534" xr:uid="{00000000-0005-0000-0000-0000A69B0000}"/>
    <cellStyle name="Normal 11 3 2 2 10 2 2 2" xfId="40535" xr:uid="{00000000-0005-0000-0000-0000A79B0000}"/>
    <cellStyle name="Normal 11 3 2 2 10 2 3" xfId="40536" xr:uid="{00000000-0005-0000-0000-0000A89B0000}"/>
    <cellStyle name="Normal 11 3 2 2 10 3" xfId="40537" xr:uid="{00000000-0005-0000-0000-0000A99B0000}"/>
    <cellStyle name="Normal 11 3 2 2 10 3 2" xfId="40538" xr:uid="{00000000-0005-0000-0000-0000AA9B0000}"/>
    <cellStyle name="Normal 11 3 2 2 10 4" xfId="40539" xr:uid="{00000000-0005-0000-0000-0000AB9B0000}"/>
    <cellStyle name="Normal 11 3 2 2 11" xfId="40540" xr:uid="{00000000-0005-0000-0000-0000AC9B0000}"/>
    <cellStyle name="Normal 11 3 2 2 11 2" xfId="40541" xr:uid="{00000000-0005-0000-0000-0000AD9B0000}"/>
    <cellStyle name="Normal 11 3 2 2 11 2 2" xfId="40542" xr:uid="{00000000-0005-0000-0000-0000AE9B0000}"/>
    <cellStyle name="Normal 11 3 2 2 11 2 2 2" xfId="40543" xr:uid="{00000000-0005-0000-0000-0000AF9B0000}"/>
    <cellStyle name="Normal 11 3 2 2 11 2 3" xfId="40544" xr:uid="{00000000-0005-0000-0000-0000B09B0000}"/>
    <cellStyle name="Normal 11 3 2 2 11 3" xfId="40545" xr:uid="{00000000-0005-0000-0000-0000B19B0000}"/>
    <cellStyle name="Normal 11 3 2 2 11 3 2" xfId="40546" xr:uid="{00000000-0005-0000-0000-0000B29B0000}"/>
    <cellStyle name="Normal 11 3 2 2 11 4" xfId="40547" xr:uid="{00000000-0005-0000-0000-0000B39B0000}"/>
    <cellStyle name="Normal 11 3 2 2 12" xfId="40548" xr:uid="{00000000-0005-0000-0000-0000B49B0000}"/>
    <cellStyle name="Normal 11 3 2 2 12 2" xfId="40549" xr:uid="{00000000-0005-0000-0000-0000B59B0000}"/>
    <cellStyle name="Normal 11 3 2 2 12 2 2" xfId="40550" xr:uid="{00000000-0005-0000-0000-0000B69B0000}"/>
    <cellStyle name="Normal 11 3 2 2 12 3" xfId="40551" xr:uid="{00000000-0005-0000-0000-0000B79B0000}"/>
    <cellStyle name="Normal 11 3 2 2 13" xfId="40552" xr:uid="{00000000-0005-0000-0000-0000B89B0000}"/>
    <cellStyle name="Normal 11 3 2 2 13 2" xfId="40553" xr:uid="{00000000-0005-0000-0000-0000B99B0000}"/>
    <cellStyle name="Normal 11 3 2 2 13 2 2" xfId="40554" xr:uid="{00000000-0005-0000-0000-0000BA9B0000}"/>
    <cellStyle name="Normal 11 3 2 2 13 3" xfId="40555" xr:uid="{00000000-0005-0000-0000-0000BB9B0000}"/>
    <cellStyle name="Normal 11 3 2 2 14" xfId="40556" xr:uid="{00000000-0005-0000-0000-0000BC9B0000}"/>
    <cellStyle name="Normal 11 3 2 2 14 2" xfId="40557" xr:uid="{00000000-0005-0000-0000-0000BD9B0000}"/>
    <cellStyle name="Normal 11 3 2 2 14 2 2" xfId="40558" xr:uid="{00000000-0005-0000-0000-0000BE9B0000}"/>
    <cellStyle name="Normal 11 3 2 2 14 3" xfId="40559" xr:uid="{00000000-0005-0000-0000-0000BF9B0000}"/>
    <cellStyle name="Normal 11 3 2 2 15" xfId="40560" xr:uid="{00000000-0005-0000-0000-0000C09B0000}"/>
    <cellStyle name="Normal 11 3 2 2 15 2" xfId="40561" xr:uid="{00000000-0005-0000-0000-0000C19B0000}"/>
    <cellStyle name="Normal 11 3 2 2 16" xfId="40562" xr:uid="{00000000-0005-0000-0000-0000C29B0000}"/>
    <cellStyle name="Normal 11 3 2 2 17" xfId="40563" xr:uid="{00000000-0005-0000-0000-0000C39B0000}"/>
    <cellStyle name="Normal 11 3 2 2 18" xfId="40531" xr:uid="{00000000-0005-0000-0000-0000C49B0000}"/>
    <cellStyle name="Normal 11 3 2 2 2" xfId="610" xr:uid="{00000000-0005-0000-0000-0000C59B0000}"/>
    <cellStyle name="Normal 11 3 2 2 2 10" xfId="40565" xr:uid="{00000000-0005-0000-0000-0000C69B0000}"/>
    <cellStyle name="Normal 11 3 2 2 2 10 2" xfId="40566" xr:uid="{00000000-0005-0000-0000-0000C79B0000}"/>
    <cellStyle name="Normal 11 3 2 2 2 10 2 2" xfId="40567" xr:uid="{00000000-0005-0000-0000-0000C89B0000}"/>
    <cellStyle name="Normal 11 3 2 2 2 10 2 2 2" xfId="40568" xr:uid="{00000000-0005-0000-0000-0000C99B0000}"/>
    <cellStyle name="Normal 11 3 2 2 2 10 2 3" xfId="40569" xr:uid="{00000000-0005-0000-0000-0000CA9B0000}"/>
    <cellStyle name="Normal 11 3 2 2 2 10 3" xfId="40570" xr:uid="{00000000-0005-0000-0000-0000CB9B0000}"/>
    <cellStyle name="Normal 11 3 2 2 2 10 3 2" xfId="40571" xr:uid="{00000000-0005-0000-0000-0000CC9B0000}"/>
    <cellStyle name="Normal 11 3 2 2 2 10 4" xfId="40572" xr:uid="{00000000-0005-0000-0000-0000CD9B0000}"/>
    <cellStyle name="Normal 11 3 2 2 2 11" xfId="40573" xr:uid="{00000000-0005-0000-0000-0000CE9B0000}"/>
    <cellStyle name="Normal 11 3 2 2 2 11 2" xfId="40574" xr:uid="{00000000-0005-0000-0000-0000CF9B0000}"/>
    <cellStyle name="Normal 11 3 2 2 2 11 2 2" xfId="40575" xr:uid="{00000000-0005-0000-0000-0000D09B0000}"/>
    <cellStyle name="Normal 11 3 2 2 2 11 3" xfId="40576" xr:uid="{00000000-0005-0000-0000-0000D19B0000}"/>
    <cellStyle name="Normal 11 3 2 2 2 12" xfId="40577" xr:uid="{00000000-0005-0000-0000-0000D29B0000}"/>
    <cellStyle name="Normal 11 3 2 2 2 12 2" xfId="40578" xr:uid="{00000000-0005-0000-0000-0000D39B0000}"/>
    <cellStyle name="Normal 11 3 2 2 2 12 2 2" xfId="40579" xr:uid="{00000000-0005-0000-0000-0000D49B0000}"/>
    <cellStyle name="Normal 11 3 2 2 2 12 3" xfId="40580" xr:uid="{00000000-0005-0000-0000-0000D59B0000}"/>
    <cellStyle name="Normal 11 3 2 2 2 13" xfId="40581" xr:uid="{00000000-0005-0000-0000-0000D69B0000}"/>
    <cellStyle name="Normal 11 3 2 2 2 13 2" xfId="40582" xr:uid="{00000000-0005-0000-0000-0000D79B0000}"/>
    <cellStyle name="Normal 11 3 2 2 2 13 2 2" xfId="40583" xr:uid="{00000000-0005-0000-0000-0000D89B0000}"/>
    <cellStyle name="Normal 11 3 2 2 2 13 3" xfId="40584" xr:uid="{00000000-0005-0000-0000-0000D99B0000}"/>
    <cellStyle name="Normal 11 3 2 2 2 14" xfId="40585" xr:uid="{00000000-0005-0000-0000-0000DA9B0000}"/>
    <cellStyle name="Normal 11 3 2 2 2 14 2" xfId="40586" xr:uid="{00000000-0005-0000-0000-0000DB9B0000}"/>
    <cellStyle name="Normal 11 3 2 2 2 15" xfId="40587" xr:uid="{00000000-0005-0000-0000-0000DC9B0000}"/>
    <cellStyle name="Normal 11 3 2 2 2 16" xfId="40588" xr:uid="{00000000-0005-0000-0000-0000DD9B0000}"/>
    <cellStyle name="Normal 11 3 2 2 2 17" xfId="40564" xr:uid="{00000000-0005-0000-0000-0000DE9B0000}"/>
    <cellStyle name="Normal 11 3 2 2 2 2" xfId="611" xr:uid="{00000000-0005-0000-0000-0000DF9B0000}"/>
    <cellStyle name="Normal 11 3 2 2 2 2 10" xfId="40590" xr:uid="{00000000-0005-0000-0000-0000E09B0000}"/>
    <cellStyle name="Normal 11 3 2 2 2 2 10 2" xfId="40591" xr:uid="{00000000-0005-0000-0000-0000E19B0000}"/>
    <cellStyle name="Normal 11 3 2 2 2 2 10 2 2" xfId="40592" xr:uid="{00000000-0005-0000-0000-0000E29B0000}"/>
    <cellStyle name="Normal 11 3 2 2 2 2 10 3" xfId="40593" xr:uid="{00000000-0005-0000-0000-0000E39B0000}"/>
    <cellStyle name="Normal 11 3 2 2 2 2 11" xfId="40594" xr:uid="{00000000-0005-0000-0000-0000E49B0000}"/>
    <cellStyle name="Normal 11 3 2 2 2 2 11 2" xfId="40595" xr:uid="{00000000-0005-0000-0000-0000E59B0000}"/>
    <cellStyle name="Normal 11 3 2 2 2 2 11 2 2" xfId="40596" xr:uid="{00000000-0005-0000-0000-0000E69B0000}"/>
    <cellStyle name="Normal 11 3 2 2 2 2 11 3" xfId="40597" xr:uid="{00000000-0005-0000-0000-0000E79B0000}"/>
    <cellStyle name="Normal 11 3 2 2 2 2 12" xfId="40598" xr:uid="{00000000-0005-0000-0000-0000E89B0000}"/>
    <cellStyle name="Normal 11 3 2 2 2 2 12 2" xfId="40599" xr:uid="{00000000-0005-0000-0000-0000E99B0000}"/>
    <cellStyle name="Normal 11 3 2 2 2 2 13" xfId="40600" xr:uid="{00000000-0005-0000-0000-0000EA9B0000}"/>
    <cellStyle name="Normal 11 3 2 2 2 2 14" xfId="40601" xr:uid="{00000000-0005-0000-0000-0000EB9B0000}"/>
    <cellStyle name="Normal 11 3 2 2 2 2 15" xfId="40589" xr:uid="{00000000-0005-0000-0000-0000EC9B0000}"/>
    <cellStyle name="Normal 11 3 2 2 2 2 2" xfId="1053" xr:uid="{00000000-0005-0000-0000-0000ED9B0000}"/>
    <cellStyle name="Normal 11 3 2 2 2 2 2 10" xfId="40603" xr:uid="{00000000-0005-0000-0000-0000EE9B0000}"/>
    <cellStyle name="Normal 11 3 2 2 2 2 2 11" xfId="40602" xr:uid="{00000000-0005-0000-0000-0000EF9B0000}"/>
    <cellStyle name="Normal 11 3 2 2 2 2 2 2" xfId="1782" xr:uid="{00000000-0005-0000-0000-0000F09B0000}"/>
    <cellStyle name="Normal 11 3 2 2 2 2 2 2 2" xfId="40605" xr:uid="{00000000-0005-0000-0000-0000F19B0000}"/>
    <cellStyle name="Normal 11 3 2 2 2 2 2 2 2 2" xfId="40606" xr:uid="{00000000-0005-0000-0000-0000F29B0000}"/>
    <cellStyle name="Normal 11 3 2 2 2 2 2 2 2 2 2" xfId="40607" xr:uid="{00000000-0005-0000-0000-0000F39B0000}"/>
    <cellStyle name="Normal 11 3 2 2 2 2 2 2 2 2 2 2" xfId="40608" xr:uid="{00000000-0005-0000-0000-0000F49B0000}"/>
    <cellStyle name="Normal 11 3 2 2 2 2 2 2 2 2 3" xfId="40609" xr:uid="{00000000-0005-0000-0000-0000F59B0000}"/>
    <cellStyle name="Normal 11 3 2 2 2 2 2 2 2 3" xfId="40610" xr:uid="{00000000-0005-0000-0000-0000F69B0000}"/>
    <cellStyle name="Normal 11 3 2 2 2 2 2 2 2 3 2" xfId="40611" xr:uid="{00000000-0005-0000-0000-0000F79B0000}"/>
    <cellStyle name="Normal 11 3 2 2 2 2 2 2 2 4" xfId="40612" xr:uid="{00000000-0005-0000-0000-0000F89B0000}"/>
    <cellStyle name="Normal 11 3 2 2 2 2 2 2 3" xfId="40613" xr:uid="{00000000-0005-0000-0000-0000F99B0000}"/>
    <cellStyle name="Normal 11 3 2 2 2 2 2 2 3 2" xfId="40614" xr:uid="{00000000-0005-0000-0000-0000FA9B0000}"/>
    <cellStyle name="Normal 11 3 2 2 2 2 2 2 3 2 2" xfId="40615" xr:uid="{00000000-0005-0000-0000-0000FB9B0000}"/>
    <cellStyle name="Normal 11 3 2 2 2 2 2 2 3 2 2 2" xfId="40616" xr:uid="{00000000-0005-0000-0000-0000FC9B0000}"/>
    <cellStyle name="Normal 11 3 2 2 2 2 2 2 3 2 3" xfId="40617" xr:uid="{00000000-0005-0000-0000-0000FD9B0000}"/>
    <cellStyle name="Normal 11 3 2 2 2 2 2 2 3 3" xfId="40618" xr:uid="{00000000-0005-0000-0000-0000FE9B0000}"/>
    <cellStyle name="Normal 11 3 2 2 2 2 2 2 3 3 2" xfId="40619" xr:uid="{00000000-0005-0000-0000-0000FF9B0000}"/>
    <cellStyle name="Normal 11 3 2 2 2 2 2 2 3 4" xfId="40620" xr:uid="{00000000-0005-0000-0000-0000009C0000}"/>
    <cellStyle name="Normal 11 3 2 2 2 2 2 2 4" xfId="40621" xr:uid="{00000000-0005-0000-0000-0000019C0000}"/>
    <cellStyle name="Normal 11 3 2 2 2 2 2 2 4 2" xfId="40622" xr:uid="{00000000-0005-0000-0000-0000029C0000}"/>
    <cellStyle name="Normal 11 3 2 2 2 2 2 2 4 2 2" xfId="40623" xr:uid="{00000000-0005-0000-0000-0000039C0000}"/>
    <cellStyle name="Normal 11 3 2 2 2 2 2 2 4 3" xfId="40624" xr:uid="{00000000-0005-0000-0000-0000049C0000}"/>
    <cellStyle name="Normal 11 3 2 2 2 2 2 2 5" xfId="40625" xr:uid="{00000000-0005-0000-0000-0000059C0000}"/>
    <cellStyle name="Normal 11 3 2 2 2 2 2 2 5 2" xfId="40626" xr:uid="{00000000-0005-0000-0000-0000069C0000}"/>
    <cellStyle name="Normal 11 3 2 2 2 2 2 2 6" xfId="40627" xr:uid="{00000000-0005-0000-0000-0000079C0000}"/>
    <cellStyle name="Normal 11 3 2 2 2 2 2 2 7" xfId="40604" xr:uid="{00000000-0005-0000-0000-0000089C0000}"/>
    <cellStyle name="Normal 11 3 2 2 2 2 2 3" xfId="40628" xr:uid="{00000000-0005-0000-0000-0000099C0000}"/>
    <cellStyle name="Normal 11 3 2 2 2 2 2 3 2" xfId="40629" xr:uid="{00000000-0005-0000-0000-00000A9C0000}"/>
    <cellStyle name="Normal 11 3 2 2 2 2 2 3 2 2" xfId="40630" xr:uid="{00000000-0005-0000-0000-00000B9C0000}"/>
    <cellStyle name="Normal 11 3 2 2 2 2 2 3 2 2 2" xfId="40631" xr:uid="{00000000-0005-0000-0000-00000C9C0000}"/>
    <cellStyle name="Normal 11 3 2 2 2 2 2 3 2 2 2 2" xfId="40632" xr:uid="{00000000-0005-0000-0000-00000D9C0000}"/>
    <cellStyle name="Normal 11 3 2 2 2 2 2 3 2 2 3" xfId="40633" xr:uid="{00000000-0005-0000-0000-00000E9C0000}"/>
    <cellStyle name="Normal 11 3 2 2 2 2 2 3 2 3" xfId="40634" xr:uid="{00000000-0005-0000-0000-00000F9C0000}"/>
    <cellStyle name="Normal 11 3 2 2 2 2 2 3 2 3 2" xfId="40635" xr:uid="{00000000-0005-0000-0000-0000109C0000}"/>
    <cellStyle name="Normal 11 3 2 2 2 2 2 3 2 4" xfId="40636" xr:uid="{00000000-0005-0000-0000-0000119C0000}"/>
    <cellStyle name="Normal 11 3 2 2 2 2 2 3 3" xfId="40637" xr:uid="{00000000-0005-0000-0000-0000129C0000}"/>
    <cellStyle name="Normal 11 3 2 2 2 2 2 3 3 2" xfId="40638" xr:uid="{00000000-0005-0000-0000-0000139C0000}"/>
    <cellStyle name="Normal 11 3 2 2 2 2 2 3 3 2 2" xfId="40639" xr:uid="{00000000-0005-0000-0000-0000149C0000}"/>
    <cellStyle name="Normal 11 3 2 2 2 2 2 3 3 3" xfId="40640" xr:uid="{00000000-0005-0000-0000-0000159C0000}"/>
    <cellStyle name="Normal 11 3 2 2 2 2 2 3 4" xfId="40641" xr:uid="{00000000-0005-0000-0000-0000169C0000}"/>
    <cellStyle name="Normal 11 3 2 2 2 2 2 3 4 2" xfId="40642" xr:uid="{00000000-0005-0000-0000-0000179C0000}"/>
    <cellStyle name="Normal 11 3 2 2 2 2 2 3 5" xfId="40643" xr:uid="{00000000-0005-0000-0000-0000189C0000}"/>
    <cellStyle name="Normal 11 3 2 2 2 2 2 4" xfId="40644" xr:uid="{00000000-0005-0000-0000-0000199C0000}"/>
    <cellStyle name="Normal 11 3 2 2 2 2 2 4 2" xfId="40645" xr:uid="{00000000-0005-0000-0000-00001A9C0000}"/>
    <cellStyle name="Normal 11 3 2 2 2 2 2 4 2 2" xfId="40646" xr:uid="{00000000-0005-0000-0000-00001B9C0000}"/>
    <cellStyle name="Normal 11 3 2 2 2 2 2 4 2 2 2" xfId="40647" xr:uid="{00000000-0005-0000-0000-00001C9C0000}"/>
    <cellStyle name="Normal 11 3 2 2 2 2 2 4 2 2 2 2" xfId="40648" xr:uid="{00000000-0005-0000-0000-00001D9C0000}"/>
    <cellStyle name="Normal 11 3 2 2 2 2 2 4 2 2 3" xfId="40649" xr:uid="{00000000-0005-0000-0000-00001E9C0000}"/>
    <cellStyle name="Normal 11 3 2 2 2 2 2 4 2 3" xfId="40650" xr:uid="{00000000-0005-0000-0000-00001F9C0000}"/>
    <cellStyle name="Normal 11 3 2 2 2 2 2 4 2 3 2" xfId="40651" xr:uid="{00000000-0005-0000-0000-0000209C0000}"/>
    <cellStyle name="Normal 11 3 2 2 2 2 2 4 2 4" xfId="40652" xr:uid="{00000000-0005-0000-0000-0000219C0000}"/>
    <cellStyle name="Normal 11 3 2 2 2 2 2 4 3" xfId="40653" xr:uid="{00000000-0005-0000-0000-0000229C0000}"/>
    <cellStyle name="Normal 11 3 2 2 2 2 2 4 3 2" xfId="40654" xr:uid="{00000000-0005-0000-0000-0000239C0000}"/>
    <cellStyle name="Normal 11 3 2 2 2 2 2 4 3 2 2" xfId="40655" xr:uid="{00000000-0005-0000-0000-0000249C0000}"/>
    <cellStyle name="Normal 11 3 2 2 2 2 2 4 3 3" xfId="40656" xr:uid="{00000000-0005-0000-0000-0000259C0000}"/>
    <cellStyle name="Normal 11 3 2 2 2 2 2 4 4" xfId="40657" xr:uid="{00000000-0005-0000-0000-0000269C0000}"/>
    <cellStyle name="Normal 11 3 2 2 2 2 2 4 4 2" xfId="40658" xr:uid="{00000000-0005-0000-0000-0000279C0000}"/>
    <cellStyle name="Normal 11 3 2 2 2 2 2 4 5" xfId="40659" xr:uid="{00000000-0005-0000-0000-0000289C0000}"/>
    <cellStyle name="Normal 11 3 2 2 2 2 2 5" xfId="40660" xr:uid="{00000000-0005-0000-0000-0000299C0000}"/>
    <cellStyle name="Normal 11 3 2 2 2 2 2 5 2" xfId="40661" xr:uid="{00000000-0005-0000-0000-00002A9C0000}"/>
    <cellStyle name="Normal 11 3 2 2 2 2 2 5 2 2" xfId="40662" xr:uid="{00000000-0005-0000-0000-00002B9C0000}"/>
    <cellStyle name="Normal 11 3 2 2 2 2 2 5 2 2 2" xfId="40663" xr:uid="{00000000-0005-0000-0000-00002C9C0000}"/>
    <cellStyle name="Normal 11 3 2 2 2 2 2 5 2 3" xfId="40664" xr:uid="{00000000-0005-0000-0000-00002D9C0000}"/>
    <cellStyle name="Normal 11 3 2 2 2 2 2 5 3" xfId="40665" xr:uid="{00000000-0005-0000-0000-00002E9C0000}"/>
    <cellStyle name="Normal 11 3 2 2 2 2 2 5 3 2" xfId="40666" xr:uid="{00000000-0005-0000-0000-00002F9C0000}"/>
    <cellStyle name="Normal 11 3 2 2 2 2 2 5 4" xfId="40667" xr:uid="{00000000-0005-0000-0000-0000309C0000}"/>
    <cellStyle name="Normal 11 3 2 2 2 2 2 6" xfId="40668" xr:uid="{00000000-0005-0000-0000-0000319C0000}"/>
    <cellStyle name="Normal 11 3 2 2 2 2 2 6 2" xfId="40669" xr:uid="{00000000-0005-0000-0000-0000329C0000}"/>
    <cellStyle name="Normal 11 3 2 2 2 2 2 6 2 2" xfId="40670" xr:uid="{00000000-0005-0000-0000-0000339C0000}"/>
    <cellStyle name="Normal 11 3 2 2 2 2 2 6 2 2 2" xfId="40671" xr:uid="{00000000-0005-0000-0000-0000349C0000}"/>
    <cellStyle name="Normal 11 3 2 2 2 2 2 6 2 3" xfId="40672" xr:uid="{00000000-0005-0000-0000-0000359C0000}"/>
    <cellStyle name="Normal 11 3 2 2 2 2 2 6 3" xfId="40673" xr:uid="{00000000-0005-0000-0000-0000369C0000}"/>
    <cellStyle name="Normal 11 3 2 2 2 2 2 6 3 2" xfId="40674" xr:uid="{00000000-0005-0000-0000-0000379C0000}"/>
    <cellStyle name="Normal 11 3 2 2 2 2 2 6 4" xfId="40675" xr:uid="{00000000-0005-0000-0000-0000389C0000}"/>
    <cellStyle name="Normal 11 3 2 2 2 2 2 7" xfId="40676" xr:uid="{00000000-0005-0000-0000-0000399C0000}"/>
    <cellStyle name="Normal 11 3 2 2 2 2 2 7 2" xfId="40677" xr:uid="{00000000-0005-0000-0000-00003A9C0000}"/>
    <cellStyle name="Normal 11 3 2 2 2 2 2 7 2 2" xfId="40678" xr:uid="{00000000-0005-0000-0000-00003B9C0000}"/>
    <cellStyle name="Normal 11 3 2 2 2 2 2 7 2 2 2" xfId="40679" xr:uid="{00000000-0005-0000-0000-00003C9C0000}"/>
    <cellStyle name="Normal 11 3 2 2 2 2 2 7 2 3" xfId="40680" xr:uid="{00000000-0005-0000-0000-00003D9C0000}"/>
    <cellStyle name="Normal 11 3 2 2 2 2 2 7 3" xfId="40681" xr:uid="{00000000-0005-0000-0000-00003E9C0000}"/>
    <cellStyle name="Normal 11 3 2 2 2 2 2 7 3 2" xfId="40682" xr:uid="{00000000-0005-0000-0000-00003F9C0000}"/>
    <cellStyle name="Normal 11 3 2 2 2 2 2 7 4" xfId="40683" xr:uid="{00000000-0005-0000-0000-0000409C0000}"/>
    <cellStyle name="Normal 11 3 2 2 2 2 2 8" xfId="40684" xr:uid="{00000000-0005-0000-0000-0000419C0000}"/>
    <cellStyle name="Normal 11 3 2 2 2 2 2 8 2" xfId="40685" xr:uid="{00000000-0005-0000-0000-0000429C0000}"/>
    <cellStyle name="Normal 11 3 2 2 2 2 2 8 2 2" xfId="40686" xr:uid="{00000000-0005-0000-0000-0000439C0000}"/>
    <cellStyle name="Normal 11 3 2 2 2 2 2 8 3" xfId="40687" xr:uid="{00000000-0005-0000-0000-0000449C0000}"/>
    <cellStyle name="Normal 11 3 2 2 2 2 2 9" xfId="40688" xr:uid="{00000000-0005-0000-0000-0000459C0000}"/>
    <cellStyle name="Normal 11 3 2 2 2 2 2 9 2" xfId="40689" xr:uid="{00000000-0005-0000-0000-0000469C0000}"/>
    <cellStyle name="Normal 11 3 2 2 2 2 3" xfId="1455" xr:uid="{00000000-0005-0000-0000-0000479C0000}"/>
    <cellStyle name="Normal 11 3 2 2 2 2 3 2" xfId="40691" xr:uid="{00000000-0005-0000-0000-0000489C0000}"/>
    <cellStyle name="Normal 11 3 2 2 2 2 3 2 2" xfId="40692" xr:uid="{00000000-0005-0000-0000-0000499C0000}"/>
    <cellStyle name="Normal 11 3 2 2 2 2 3 2 2 2" xfId="40693" xr:uid="{00000000-0005-0000-0000-00004A9C0000}"/>
    <cellStyle name="Normal 11 3 2 2 2 2 3 2 2 2 2" xfId="40694" xr:uid="{00000000-0005-0000-0000-00004B9C0000}"/>
    <cellStyle name="Normal 11 3 2 2 2 2 3 2 2 3" xfId="40695" xr:uid="{00000000-0005-0000-0000-00004C9C0000}"/>
    <cellStyle name="Normal 11 3 2 2 2 2 3 2 3" xfId="40696" xr:uid="{00000000-0005-0000-0000-00004D9C0000}"/>
    <cellStyle name="Normal 11 3 2 2 2 2 3 2 3 2" xfId="40697" xr:uid="{00000000-0005-0000-0000-00004E9C0000}"/>
    <cellStyle name="Normal 11 3 2 2 2 2 3 2 4" xfId="40698" xr:uid="{00000000-0005-0000-0000-00004F9C0000}"/>
    <cellStyle name="Normal 11 3 2 2 2 2 3 3" xfId="40699" xr:uid="{00000000-0005-0000-0000-0000509C0000}"/>
    <cellStyle name="Normal 11 3 2 2 2 2 3 3 2" xfId="40700" xr:uid="{00000000-0005-0000-0000-0000519C0000}"/>
    <cellStyle name="Normal 11 3 2 2 2 2 3 3 2 2" xfId="40701" xr:uid="{00000000-0005-0000-0000-0000529C0000}"/>
    <cellStyle name="Normal 11 3 2 2 2 2 3 3 2 2 2" xfId="40702" xr:uid="{00000000-0005-0000-0000-0000539C0000}"/>
    <cellStyle name="Normal 11 3 2 2 2 2 3 3 2 3" xfId="40703" xr:uid="{00000000-0005-0000-0000-0000549C0000}"/>
    <cellStyle name="Normal 11 3 2 2 2 2 3 3 3" xfId="40704" xr:uid="{00000000-0005-0000-0000-0000559C0000}"/>
    <cellStyle name="Normal 11 3 2 2 2 2 3 3 3 2" xfId="40705" xr:uid="{00000000-0005-0000-0000-0000569C0000}"/>
    <cellStyle name="Normal 11 3 2 2 2 2 3 3 4" xfId="40706" xr:uid="{00000000-0005-0000-0000-0000579C0000}"/>
    <cellStyle name="Normal 11 3 2 2 2 2 3 4" xfId="40707" xr:uid="{00000000-0005-0000-0000-0000589C0000}"/>
    <cellStyle name="Normal 11 3 2 2 2 2 3 4 2" xfId="40708" xr:uid="{00000000-0005-0000-0000-0000599C0000}"/>
    <cellStyle name="Normal 11 3 2 2 2 2 3 4 2 2" xfId="40709" xr:uid="{00000000-0005-0000-0000-00005A9C0000}"/>
    <cellStyle name="Normal 11 3 2 2 2 2 3 4 3" xfId="40710" xr:uid="{00000000-0005-0000-0000-00005B9C0000}"/>
    <cellStyle name="Normal 11 3 2 2 2 2 3 5" xfId="40711" xr:uid="{00000000-0005-0000-0000-00005C9C0000}"/>
    <cellStyle name="Normal 11 3 2 2 2 2 3 5 2" xfId="40712" xr:uid="{00000000-0005-0000-0000-00005D9C0000}"/>
    <cellStyle name="Normal 11 3 2 2 2 2 3 6" xfId="40713" xr:uid="{00000000-0005-0000-0000-00005E9C0000}"/>
    <cellStyle name="Normal 11 3 2 2 2 2 3 7" xfId="40690" xr:uid="{00000000-0005-0000-0000-00005F9C0000}"/>
    <cellStyle name="Normal 11 3 2 2 2 2 4" xfId="40714" xr:uid="{00000000-0005-0000-0000-0000609C0000}"/>
    <cellStyle name="Normal 11 3 2 2 2 2 4 2" xfId="40715" xr:uid="{00000000-0005-0000-0000-0000619C0000}"/>
    <cellStyle name="Normal 11 3 2 2 2 2 4 2 2" xfId="40716" xr:uid="{00000000-0005-0000-0000-0000629C0000}"/>
    <cellStyle name="Normal 11 3 2 2 2 2 4 2 2 2" xfId="40717" xr:uid="{00000000-0005-0000-0000-0000639C0000}"/>
    <cellStyle name="Normal 11 3 2 2 2 2 4 2 2 2 2" xfId="40718" xr:uid="{00000000-0005-0000-0000-0000649C0000}"/>
    <cellStyle name="Normal 11 3 2 2 2 2 4 2 2 3" xfId="40719" xr:uid="{00000000-0005-0000-0000-0000659C0000}"/>
    <cellStyle name="Normal 11 3 2 2 2 2 4 2 3" xfId="40720" xr:uid="{00000000-0005-0000-0000-0000669C0000}"/>
    <cellStyle name="Normal 11 3 2 2 2 2 4 2 3 2" xfId="40721" xr:uid="{00000000-0005-0000-0000-0000679C0000}"/>
    <cellStyle name="Normal 11 3 2 2 2 2 4 2 4" xfId="40722" xr:uid="{00000000-0005-0000-0000-0000689C0000}"/>
    <cellStyle name="Normal 11 3 2 2 2 2 4 3" xfId="40723" xr:uid="{00000000-0005-0000-0000-0000699C0000}"/>
    <cellStyle name="Normal 11 3 2 2 2 2 4 3 2" xfId="40724" xr:uid="{00000000-0005-0000-0000-00006A9C0000}"/>
    <cellStyle name="Normal 11 3 2 2 2 2 4 3 2 2" xfId="40725" xr:uid="{00000000-0005-0000-0000-00006B9C0000}"/>
    <cellStyle name="Normal 11 3 2 2 2 2 4 3 3" xfId="40726" xr:uid="{00000000-0005-0000-0000-00006C9C0000}"/>
    <cellStyle name="Normal 11 3 2 2 2 2 4 4" xfId="40727" xr:uid="{00000000-0005-0000-0000-00006D9C0000}"/>
    <cellStyle name="Normal 11 3 2 2 2 2 4 4 2" xfId="40728" xr:uid="{00000000-0005-0000-0000-00006E9C0000}"/>
    <cellStyle name="Normal 11 3 2 2 2 2 4 5" xfId="40729" xr:uid="{00000000-0005-0000-0000-00006F9C0000}"/>
    <cellStyle name="Normal 11 3 2 2 2 2 5" xfId="40730" xr:uid="{00000000-0005-0000-0000-0000709C0000}"/>
    <cellStyle name="Normal 11 3 2 2 2 2 5 2" xfId="40731" xr:uid="{00000000-0005-0000-0000-0000719C0000}"/>
    <cellStyle name="Normal 11 3 2 2 2 2 5 2 2" xfId="40732" xr:uid="{00000000-0005-0000-0000-0000729C0000}"/>
    <cellStyle name="Normal 11 3 2 2 2 2 5 2 2 2" xfId="40733" xr:uid="{00000000-0005-0000-0000-0000739C0000}"/>
    <cellStyle name="Normal 11 3 2 2 2 2 5 2 2 2 2" xfId="40734" xr:uid="{00000000-0005-0000-0000-0000749C0000}"/>
    <cellStyle name="Normal 11 3 2 2 2 2 5 2 2 3" xfId="40735" xr:uid="{00000000-0005-0000-0000-0000759C0000}"/>
    <cellStyle name="Normal 11 3 2 2 2 2 5 2 3" xfId="40736" xr:uid="{00000000-0005-0000-0000-0000769C0000}"/>
    <cellStyle name="Normal 11 3 2 2 2 2 5 2 3 2" xfId="40737" xr:uid="{00000000-0005-0000-0000-0000779C0000}"/>
    <cellStyle name="Normal 11 3 2 2 2 2 5 2 4" xfId="40738" xr:uid="{00000000-0005-0000-0000-0000789C0000}"/>
    <cellStyle name="Normal 11 3 2 2 2 2 5 3" xfId="40739" xr:uid="{00000000-0005-0000-0000-0000799C0000}"/>
    <cellStyle name="Normal 11 3 2 2 2 2 5 3 2" xfId="40740" xr:uid="{00000000-0005-0000-0000-00007A9C0000}"/>
    <cellStyle name="Normal 11 3 2 2 2 2 5 3 2 2" xfId="40741" xr:uid="{00000000-0005-0000-0000-00007B9C0000}"/>
    <cellStyle name="Normal 11 3 2 2 2 2 5 3 3" xfId="40742" xr:uid="{00000000-0005-0000-0000-00007C9C0000}"/>
    <cellStyle name="Normal 11 3 2 2 2 2 5 4" xfId="40743" xr:uid="{00000000-0005-0000-0000-00007D9C0000}"/>
    <cellStyle name="Normal 11 3 2 2 2 2 5 4 2" xfId="40744" xr:uid="{00000000-0005-0000-0000-00007E9C0000}"/>
    <cellStyle name="Normal 11 3 2 2 2 2 5 5" xfId="40745" xr:uid="{00000000-0005-0000-0000-00007F9C0000}"/>
    <cellStyle name="Normal 11 3 2 2 2 2 6" xfId="40746" xr:uid="{00000000-0005-0000-0000-0000809C0000}"/>
    <cellStyle name="Normal 11 3 2 2 2 2 6 2" xfId="40747" xr:uid="{00000000-0005-0000-0000-0000819C0000}"/>
    <cellStyle name="Normal 11 3 2 2 2 2 6 2 2" xfId="40748" xr:uid="{00000000-0005-0000-0000-0000829C0000}"/>
    <cellStyle name="Normal 11 3 2 2 2 2 6 2 2 2" xfId="40749" xr:uid="{00000000-0005-0000-0000-0000839C0000}"/>
    <cellStyle name="Normal 11 3 2 2 2 2 6 2 3" xfId="40750" xr:uid="{00000000-0005-0000-0000-0000849C0000}"/>
    <cellStyle name="Normal 11 3 2 2 2 2 6 3" xfId="40751" xr:uid="{00000000-0005-0000-0000-0000859C0000}"/>
    <cellStyle name="Normal 11 3 2 2 2 2 6 3 2" xfId="40752" xr:uid="{00000000-0005-0000-0000-0000869C0000}"/>
    <cellStyle name="Normal 11 3 2 2 2 2 6 4" xfId="40753" xr:uid="{00000000-0005-0000-0000-0000879C0000}"/>
    <cellStyle name="Normal 11 3 2 2 2 2 7" xfId="40754" xr:uid="{00000000-0005-0000-0000-0000889C0000}"/>
    <cellStyle name="Normal 11 3 2 2 2 2 7 2" xfId="40755" xr:uid="{00000000-0005-0000-0000-0000899C0000}"/>
    <cellStyle name="Normal 11 3 2 2 2 2 7 2 2" xfId="40756" xr:uid="{00000000-0005-0000-0000-00008A9C0000}"/>
    <cellStyle name="Normal 11 3 2 2 2 2 7 2 2 2" xfId="40757" xr:uid="{00000000-0005-0000-0000-00008B9C0000}"/>
    <cellStyle name="Normal 11 3 2 2 2 2 7 2 3" xfId="40758" xr:uid="{00000000-0005-0000-0000-00008C9C0000}"/>
    <cellStyle name="Normal 11 3 2 2 2 2 7 3" xfId="40759" xr:uid="{00000000-0005-0000-0000-00008D9C0000}"/>
    <cellStyle name="Normal 11 3 2 2 2 2 7 3 2" xfId="40760" xr:uid="{00000000-0005-0000-0000-00008E9C0000}"/>
    <cellStyle name="Normal 11 3 2 2 2 2 7 4" xfId="40761" xr:uid="{00000000-0005-0000-0000-00008F9C0000}"/>
    <cellStyle name="Normal 11 3 2 2 2 2 8" xfId="40762" xr:uid="{00000000-0005-0000-0000-0000909C0000}"/>
    <cellStyle name="Normal 11 3 2 2 2 2 8 2" xfId="40763" xr:uid="{00000000-0005-0000-0000-0000919C0000}"/>
    <cellStyle name="Normal 11 3 2 2 2 2 8 2 2" xfId="40764" xr:uid="{00000000-0005-0000-0000-0000929C0000}"/>
    <cellStyle name="Normal 11 3 2 2 2 2 8 2 2 2" xfId="40765" xr:uid="{00000000-0005-0000-0000-0000939C0000}"/>
    <cellStyle name="Normal 11 3 2 2 2 2 8 2 3" xfId="40766" xr:uid="{00000000-0005-0000-0000-0000949C0000}"/>
    <cellStyle name="Normal 11 3 2 2 2 2 8 3" xfId="40767" xr:uid="{00000000-0005-0000-0000-0000959C0000}"/>
    <cellStyle name="Normal 11 3 2 2 2 2 8 3 2" xfId="40768" xr:uid="{00000000-0005-0000-0000-0000969C0000}"/>
    <cellStyle name="Normal 11 3 2 2 2 2 8 4" xfId="40769" xr:uid="{00000000-0005-0000-0000-0000979C0000}"/>
    <cellStyle name="Normal 11 3 2 2 2 2 9" xfId="40770" xr:uid="{00000000-0005-0000-0000-0000989C0000}"/>
    <cellStyle name="Normal 11 3 2 2 2 2 9 2" xfId="40771" xr:uid="{00000000-0005-0000-0000-0000999C0000}"/>
    <cellStyle name="Normal 11 3 2 2 2 2 9 2 2" xfId="40772" xr:uid="{00000000-0005-0000-0000-00009A9C0000}"/>
    <cellStyle name="Normal 11 3 2 2 2 2 9 3" xfId="40773" xr:uid="{00000000-0005-0000-0000-00009B9C0000}"/>
    <cellStyle name="Normal 11 3 2 2 2 3" xfId="612" xr:uid="{00000000-0005-0000-0000-00009C9C0000}"/>
    <cellStyle name="Normal 11 3 2 2 2 3 10" xfId="40775" xr:uid="{00000000-0005-0000-0000-00009D9C0000}"/>
    <cellStyle name="Normal 11 3 2 2 2 3 10 2" xfId="40776" xr:uid="{00000000-0005-0000-0000-00009E9C0000}"/>
    <cellStyle name="Normal 11 3 2 2 2 3 10 2 2" xfId="40777" xr:uid="{00000000-0005-0000-0000-00009F9C0000}"/>
    <cellStyle name="Normal 11 3 2 2 2 3 10 3" xfId="40778" xr:uid="{00000000-0005-0000-0000-0000A09C0000}"/>
    <cellStyle name="Normal 11 3 2 2 2 3 11" xfId="40779" xr:uid="{00000000-0005-0000-0000-0000A19C0000}"/>
    <cellStyle name="Normal 11 3 2 2 2 3 11 2" xfId="40780" xr:uid="{00000000-0005-0000-0000-0000A29C0000}"/>
    <cellStyle name="Normal 11 3 2 2 2 3 11 2 2" xfId="40781" xr:uid="{00000000-0005-0000-0000-0000A39C0000}"/>
    <cellStyle name="Normal 11 3 2 2 2 3 11 3" xfId="40782" xr:uid="{00000000-0005-0000-0000-0000A49C0000}"/>
    <cellStyle name="Normal 11 3 2 2 2 3 12" xfId="40783" xr:uid="{00000000-0005-0000-0000-0000A59C0000}"/>
    <cellStyle name="Normal 11 3 2 2 2 3 12 2" xfId="40784" xr:uid="{00000000-0005-0000-0000-0000A69C0000}"/>
    <cellStyle name="Normal 11 3 2 2 2 3 13" xfId="40785" xr:uid="{00000000-0005-0000-0000-0000A79C0000}"/>
    <cellStyle name="Normal 11 3 2 2 2 3 14" xfId="40786" xr:uid="{00000000-0005-0000-0000-0000A89C0000}"/>
    <cellStyle name="Normal 11 3 2 2 2 3 15" xfId="40774" xr:uid="{00000000-0005-0000-0000-0000A99C0000}"/>
    <cellStyle name="Normal 11 3 2 2 2 3 2" xfId="1054" xr:uid="{00000000-0005-0000-0000-0000AA9C0000}"/>
    <cellStyle name="Normal 11 3 2 2 2 3 2 10" xfId="40788" xr:uid="{00000000-0005-0000-0000-0000AB9C0000}"/>
    <cellStyle name="Normal 11 3 2 2 2 3 2 11" xfId="40787" xr:uid="{00000000-0005-0000-0000-0000AC9C0000}"/>
    <cellStyle name="Normal 11 3 2 2 2 3 2 2" xfId="1783" xr:uid="{00000000-0005-0000-0000-0000AD9C0000}"/>
    <cellStyle name="Normal 11 3 2 2 2 3 2 2 2" xfId="40790" xr:uid="{00000000-0005-0000-0000-0000AE9C0000}"/>
    <cellStyle name="Normal 11 3 2 2 2 3 2 2 2 2" xfId="40791" xr:uid="{00000000-0005-0000-0000-0000AF9C0000}"/>
    <cellStyle name="Normal 11 3 2 2 2 3 2 2 2 2 2" xfId="40792" xr:uid="{00000000-0005-0000-0000-0000B09C0000}"/>
    <cellStyle name="Normal 11 3 2 2 2 3 2 2 2 2 2 2" xfId="40793" xr:uid="{00000000-0005-0000-0000-0000B19C0000}"/>
    <cellStyle name="Normal 11 3 2 2 2 3 2 2 2 2 3" xfId="40794" xr:uid="{00000000-0005-0000-0000-0000B29C0000}"/>
    <cellStyle name="Normal 11 3 2 2 2 3 2 2 2 3" xfId="40795" xr:uid="{00000000-0005-0000-0000-0000B39C0000}"/>
    <cellStyle name="Normal 11 3 2 2 2 3 2 2 2 3 2" xfId="40796" xr:uid="{00000000-0005-0000-0000-0000B49C0000}"/>
    <cellStyle name="Normal 11 3 2 2 2 3 2 2 2 4" xfId="40797" xr:uid="{00000000-0005-0000-0000-0000B59C0000}"/>
    <cellStyle name="Normal 11 3 2 2 2 3 2 2 3" xfId="40798" xr:uid="{00000000-0005-0000-0000-0000B69C0000}"/>
    <cellStyle name="Normal 11 3 2 2 2 3 2 2 3 2" xfId="40799" xr:uid="{00000000-0005-0000-0000-0000B79C0000}"/>
    <cellStyle name="Normal 11 3 2 2 2 3 2 2 3 2 2" xfId="40800" xr:uid="{00000000-0005-0000-0000-0000B89C0000}"/>
    <cellStyle name="Normal 11 3 2 2 2 3 2 2 3 2 2 2" xfId="40801" xr:uid="{00000000-0005-0000-0000-0000B99C0000}"/>
    <cellStyle name="Normal 11 3 2 2 2 3 2 2 3 2 3" xfId="40802" xr:uid="{00000000-0005-0000-0000-0000BA9C0000}"/>
    <cellStyle name="Normal 11 3 2 2 2 3 2 2 3 3" xfId="40803" xr:uid="{00000000-0005-0000-0000-0000BB9C0000}"/>
    <cellStyle name="Normal 11 3 2 2 2 3 2 2 3 3 2" xfId="40804" xr:uid="{00000000-0005-0000-0000-0000BC9C0000}"/>
    <cellStyle name="Normal 11 3 2 2 2 3 2 2 3 4" xfId="40805" xr:uid="{00000000-0005-0000-0000-0000BD9C0000}"/>
    <cellStyle name="Normal 11 3 2 2 2 3 2 2 4" xfId="40806" xr:uid="{00000000-0005-0000-0000-0000BE9C0000}"/>
    <cellStyle name="Normal 11 3 2 2 2 3 2 2 4 2" xfId="40807" xr:uid="{00000000-0005-0000-0000-0000BF9C0000}"/>
    <cellStyle name="Normal 11 3 2 2 2 3 2 2 4 2 2" xfId="40808" xr:uid="{00000000-0005-0000-0000-0000C09C0000}"/>
    <cellStyle name="Normal 11 3 2 2 2 3 2 2 4 3" xfId="40809" xr:uid="{00000000-0005-0000-0000-0000C19C0000}"/>
    <cellStyle name="Normal 11 3 2 2 2 3 2 2 5" xfId="40810" xr:uid="{00000000-0005-0000-0000-0000C29C0000}"/>
    <cellStyle name="Normal 11 3 2 2 2 3 2 2 5 2" xfId="40811" xr:uid="{00000000-0005-0000-0000-0000C39C0000}"/>
    <cellStyle name="Normal 11 3 2 2 2 3 2 2 6" xfId="40812" xr:uid="{00000000-0005-0000-0000-0000C49C0000}"/>
    <cellStyle name="Normal 11 3 2 2 2 3 2 2 7" xfId="40789" xr:uid="{00000000-0005-0000-0000-0000C59C0000}"/>
    <cellStyle name="Normal 11 3 2 2 2 3 2 3" xfId="40813" xr:uid="{00000000-0005-0000-0000-0000C69C0000}"/>
    <cellStyle name="Normal 11 3 2 2 2 3 2 3 2" xfId="40814" xr:uid="{00000000-0005-0000-0000-0000C79C0000}"/>
    <cellStyle name="Normal 11 3 2 2 2 3 2 3 2 2" xfId="40815" xr:uid="{00000000-0005-0000-0000-0000C89C0000}"/>
    <cellStyle name="Normal 11 3 2 2 2 3 2 3 2 2 2" xfId="40816" xr:uid="{00000000-0005-0000-0000-0000C99C0000}"/>
    <cellStyle name="Normal 11 3 2 2 2 3 2 3 2 2 2 2" xfId="40817" xr:uid="{00000000-0005-0000-0000-0000CA9C0000}"/>
    <cellStyle name="Normal 11 3 2 2 2 3 2 3 2 2 3" xfId="40818" xr:uid="{00000000-0005-0000-0000-0000CB9C0000}"/>
    <cellStyle name="Normal 11 3 2 2 2 3 2 3 2 3" xfId="40819" xr:uid="{00000000-0005-0000-0000-0000CC9C0000}"/>
    <cellStyle name="Normal 11 3 2 2 2 3 2 3 2 3 2" xfId="40820" xr:uid="{00000000-0005-0000-0000-0000CD9C0000}"/>
    <cellStyle name="Normal 11 3 2 2 2 3 2 3 2 4" xfId="40821" xr:uid="{00000000-0005-0000-0000-0000CE9C0000}"/>
    <cellStyle name="Normal 11 3 2 2 2 3 2 3 3" xfId="40822" xr:uid="{00000000-0005-0000-0000-0000CF9C0000}"/>
    <cellStyle name="Normal 11 3 2 2 2 3 2 3 3 2" xfId="40823" xr:uid="{00000000-0005-0000-0000-0000D09C0000}"/>
    <cellStyle name="Normal 11 3 2 2 2 3 2 3 3 2 2" xfId="40824" xr:uid="{00000000-0005-0000-0000-0000D19C0000}"/>
    <cellStyle name="Normal 11 3 2 2 2 3 2 3 3 3" xfId="40825" xr:uid="{00000000-0005-0000-0000-0000D29C0000}"/>
    <cellStyle name="Normal 11 3 2 2 2 3 2 3 4" xfId="40826" xr:uid="{00000000-0005-0000-0000-0000D39C0000}"/>
    <cellStyle name="Normal 11 3 2 2 2 3 2 3 4 2" xfId="40827" xr:uid="{00000000-0005-0000-0000-0000D49C0000}"/>
    <cellStyle name="Normal 11 3 2 2 2 3 2 3 5" xfId="40828" xr:uid="{00000000-0005-0000-0000-0000D59C0000}"/>
    <cellStyle name="Normal 11 3 2 2 2 3 2 4" xfId="40829" xr:uid="{00000000-0005-0000-0000-0000D69C0000}"/>
    <cellStyle name="Normal 11 3 2 2 2 3 2 4 2" xfId="40830" xr:uid="{00000000-0005-0000-0000-0000D79C0000}"/>
    <cellStyle name="Normal 11 3 2 2 2 3 2 4 2 2" xfId="40831" xr:uid="{00000000-0005-0000-0000-0000D89C0000}"/>
    <cellStyle name="Normal 11 3 2 2 2 3 2 4 2 2 2" xfId="40832" xr:uid="{00000000-0005-0000-0000-0000D99C0000}"/>
    <cellStyle name="Normal 11 3 2 2 2 3 2 4 2 2 2 2" xfId="40833" xr:uid="{00000000-0005-0000-0000-0000DA9C0000}"/>
    <cellStyle name="Normal 11 3 2 2 2 3 2 4 2 2 3" xfId="40834" xr:uid="{00000000-0005-0000-0000-0000DB9C0000}"/>
    <cellStyle name="Normal 11 3 2 2 2 3 2 4 2 3" xfId="40835" xr:uid="{00000000-0005-0000-0000-0000DC9C0000}"/>
    <cellStyle name="Normal 11 3 2 2 2 3 2 4 2 3 2" xfId="40836" xr:uid="{00000000-0005-0000-0000-0000DD9C0000}"/>
    <cellStyle name="Normal 11 3 2 2 2 3 2 4 2 4" xfId="40837" xr:uid="{00000000-0005-0000-0000-0000DE9C0000}"/>
    <cellStyle name="Normal 11 3 2 2 2 3 2 4 3" xfId="40838" xr:uid="{00000000-0005-0000-0000-0000DF9C0000}"/>
    <cellStyle name="Normal 11 3 2 2 2 3 2 4 3 2" xfId="40839" xr:uid="{00000000-0005-0000-0000-0000E09C0000}"/>
    <cellStyle name="Normal 11 3 2 2 2 3 2 4 3 2 2" xfId="40840" xr:uid="{00000000-0005-0000-0000-0000E19C0000}"/>
    <cellStyle name="Normal 11 3 2 2 2 3 2 4 3 3" xfId="40841" xr:uid="{00000000-0005-0000-0000-0000E29C0000}"/>
    <cellStyle name="Normal 11 3 2 2 2 3 2 4 4" xfId="40842" xr:uid="{00000000-0005-0000-0000-0000E39C0000}"/>
    <cellStyle name="Normal 11 3 2 2 2 3 2 4 4 2" xfId="40843" xr:uid="{00000000-0005-0000-0000-0000E49C0000}"/>
    <cellStyle name="Normal 11 3 2 2 2 3 2 4 5" xfId="40844" xr:uid="{00000000-0005-0000-0000-0000E59C0000}"/>
    <cellStyle name="Normal 11 3 2 2 2 3 2 5" xfId="40845" xr:uid="{00000000-0005-0000-0000-0000E69C0000}"/>
    <cellStyle name="Normal 11 3 2 2 2 3 2 5 2" xfId="40846" xr:uid="{00000000-0005-0000-0000-0000E79C0000}"/>
    <cellStyle name="Normal 11 3 2 2 2 3 2 5 2 2" xfId="40847" xr:uid="{00000000-0005-0000-0000-0000E89C0000}"/>
    <cellStyle name="Normal 11 3 2 2 2 3 2 5 2 2 2" xfId="40848" xr:uid="{00000000-0005-0000-0000-0000E99C0000}"/>
    <cellStyle name="Normal 11 3 2 2 2 3 2 5 2 3" xfId="40849" xr:uid="{00000000-0005-0000-0000-0000EA9C0000}"/>
    <cellStyle name="Normal 11 3 2 2 2 3 2 5 3" xfId="40850" xr:uid="{00000000-0005-0000-0000-0000EB9C0000}"/>
    <cellStyle name="Normal 11 3 2 2 2 3 2 5 3 2" xfId="40851" xr:uid="{00000000-0005-0000-0000-0000EC9C0000}"/>
    <cellStyle name="Normal 11 3 2 2 2 3 2 5 4" xfId="40852" xr:uid="{00000000-0005-0000-0000-0000ED9C0000}"/>
    <cellStyle name="Normal 11 3 2 2 2 3 2 6" xfId="40853" xr:uid="{00000000-0005-0000-0000-0000EE9C0000}"/>
    <cellStyle name="Normal 11 3 2 2 2 3 2 6 2" xfId="40854" xr:uid="{00000000-0005-0000-0000-0000EF9C0000}"/>
    <cellStyle name="Normal 11 3 2 2 2 3 2 6 2 2" xfId="40855" xr:uid="{00000000-0005-0000-0000-0000F09C0000}"/>
    <cellStyle name="Normal 11 3 2 2 2 3 2 6 2 2 2" xfId="40856" xr:uid="{00000000-0005-0000-0000-0000F19C0000}"/>
    <cellStyle name="Normal 11 3 2 2 2 3 2 6 2 3" xfId="40857" xr:uid="{00000000-0005-0000-0000-0000F29C0000}"/>
    <cellStyle name="Normal 11 3 2 2 2 3 2 6 3" xfId="40858" xr:uid="{00000000-0005-0000-0000-0000F39C0000}"/>
    <cellStyle name="Normal 11 3 2 2 2 3 2 6 3 2" xfId="40859" xr:uid="{00000000-0005-0000-0000-0000F49C0000}"/>
    <cellStyle name="Normal 11 3 2 2 2 3 2 6 4" xfId="40860" xr:uid="{00000000-0005-0000-0000-0000F59C0000}"/>
    <cellStyle name="Normal 11 3 2 2 2 3 2 7" xfId="40861" xr:uid="{00000000-0005-0000-0000-0000F69C0000}"/>
    <cellStyle name="Normal 11 3 2 2 2 3 2 7 2" xfId="40862" xr:uid="{00000000-0005-0000-0000-0000F79C0000}"/>
    <cellStyle name="Normal 11 3 2 2 2 3 2 7 2 2" xfId="40863" xr:uid="{00000000-0005-0000-0000-0000F89C0000}"/>
    <cellStyle name="Normal 11 3 2 2 2 3 2 7 2 2 2" xfId="40864" xr:uid="{00000000-0005-0000-0000-0000F99C0000}"/>
    <cellStyle name="Normal 11 3 2 2 2 3 2 7 2 3" xfId="40865" xr:uid="{00000000-0005-0000-0000-0000FA9C0000}"/>
    <cellStyle name="Normal 11 3 2 2 2 3 2 7 3" xfId="40866" xr:uid="{00000000-0005-0000-0000-0000FB9C0000}"/>
    <cellStyle name="Normal 11 3 2 2 2 3 2 7 3 2" xfId="40867" xr:uid="{00000000-0005-0000-0000-0000FC9C0000}"/>
    <cellStyle name="Normal 11 3 2 2 2 3 2 7 4" xfId="40868" xr:uid="{00000000-0005-0000-0000-0000FD9C0000}"/>
    <cellStyle name="Normal 11 3 2 2 2 3 2 8" xfId="40869" xr:uid="{00000000-0005-0000-0000-0000FE9C0000}"/>
    <cellStyle name="Normal 11 3 2 2 2 3 2 8 2" xfId="40870" xr:uid="{00000000-0005-0000-0000-0000FF9C0000}"/>
    <cellStyle name="Normal 11 3 2 2 2 3 2 8 2 2" xfId="40871" xr:uid="{00000000-0005-0000-0000-0000009D0000}"/>
    <cellStyle name="Normal 11 3 2 2 2 3 2 8 3" xfId="40872" xr:uid="{00000000-0005-0000-0000-0000019D0000}"/>
    <cellStyle name="Normal 11 3 2 2 2 3 2 9" xfId="40873" xr:uid="{00000000-0005-0000-0000-0000029D0000}"/>
    <cellStyle name="Normal 11 3 2 2 2 3 2 9 2" xfId="40874" xr:uid="{00000000-0005-0000-0000-0000039D0000}"/>
    <cellStyle name="Normal 11 3 2 2 2 3 3" xfId="1456" xr:uid="{00000000-0005-0000-0000-0000049D0000}"/>
    <cellStyle name="Normal 11 3 2 2 2 3 3 2" xfId="40876" xr:uid="{00000000-0005-0000-0000-0000059D0000}"/>
    <cellStyle name="Normal 11 3 2 2 2 3 3 2 2" xfId="40877" xr:uid="{00000000-0005-0000-0000-0000069D0000}"/>
    <cellStyle name="Normal 11 3 2 2 2 3 3 2 2 2" xfId="40878" xr:uid="{00000000-0005-0000-0000-0000079D0000}"/>
    <cellStyle name="Normal 11 3 2 2 2 3 3 2 2 2 2" xfId="40879" xr:uid="{00000000-0005-0000-0000-0000089D0000}"/>
    <cellStyle name="Normal 11 3 2 2 2 3 3 2 2 3" xfId="40880" xr:uid="{00000000-0005-0000-0000-0000099D0000}"/>
    <cellStyle name="Normal 11 3 2 2 2 3 3 2 3" xfId="40881" xr:uid="{00000000-0005-0000-0000-00000A9D0000}"/>
    <cellStyle name="Normal 11 3 2 2 2 3 3 2 3 2" xfId="40882" xr:uid="{00000000-0005-0000-0000-00000B9D0000}"/>
    <cellStyle name="Normal 11 3 2 2 2 3 3 2 4" xfId="40883" xr:uid="{00000000-0005-0000-0000-00000C9D0000}"/>
    <cellStyle name="Normal 11 3 2 2 2 3 3 3" xfId="40884" xr:uid="{00000000-0005-0000-0000-00000D9D0000}"/>
    <cellStyle name="Normal 11 3 2 2 2 3 3 3 2" xfId="40885" xr:uid="{00000000-0005-0000-0000-00000E9D0000}"/>
    <cellStyle name="Normal 11 3 2 2 2 3 3 3 2 2" xfId="40886" xr:uid="{00000000-0005-0000-0000-00000F9D0000}"/>
    <cellStyle name="Normal 11 3 2 2 2 3 3 3 2 2 2" xfId="40887" xr:uid="{00000000-0005-0000-0000-0000109D0000}"/>
    <cellStyle name="Normal 11 3 2 2 2 3 3 3 2 3" xfId="40888" xr:uid="{00000000-0005-0000-0000-0000119D0000}"/>
    <cellStyle name="Normal 11 3 2 2 2 3 3 3 3" xfId="40889" xr:uid="{00000000-0005-0000-0000-0000129D0000}"/>
    <cellStyle name="Normal 11 3 2 2 2 3 3 3 3 2" xfId="40890" xr:uid="{00000000-0005-0000-0000-0000139D0000}"/>
    <cellStyle name="Normal 11 3 2 2 2 3 3 3 4" xfId="40891" xr:uid="{00000000-0005-0000-0000-0000149D0000}"/>
    <cellStyle name="Normal 11 3 2 2 2 3 3 4" xfId="40892" xr:uid="{00000000-0005-0000-0000-0000159D0000}"/>
    <cellStyle name="Normal 11 3 2 2 2 3 3 4 2" xfId="40893" xr:uid="{00000000-0005-0000-0000-0000169D0000}"/>
    <cellStyle name="Normal 11 3 2 2 2 3 3 4 2 2" xfId="40894" xr:uid="{00000000-0005-0000-0000-0000179D0000}"/>
    <cellStyle name="Normal 11 3 2 2 2 3 3 4 3" xfId="40895" xr:uid="{00000000-0005-0000-0000-0000189D0000}"/>
    <cellStyle name="Normal 11 3 2 2 2 3 3 5" xfId="40896" xr:uid="{00000000-0005-0000-0000-0000199D0000}"/>
    <cellStyle name="Normal 11 3 2 2 2 3 3 5 2" xfId="40897" xr:uid="{00000000-0005-0000-0000-00001A9D0000}"/>
    <cellStyle name="Normal 11 3 2 2 2 3 3 6" xfId="40898" xr:uid="{00000000-0005-0000-0000-00001B9D0000}"/>
    <cellStyle name="Normal 11 3 2 2 2 3 3 7" xfId="40875" xr:uid="{00000000-0005-0000-0000-00001C9D0000}"/>
    <cellStyle name="Normal 11 3 2 2 2 3 4" xfId="40899" xr:uid="{00000000-0005-0000-0000-00001D9D0000}"/>
    <cellStyle name="Normal 11 3 2 2 2 3 4 2" xfId="40900" xr:uid="{00000000-0005-0000-0000-00001E9D0000}"/>
    <cellStyle name="Normal 11 3 2 2 2 3 4 2 2" xfId="40901" xr:uid="{00000000-0005-0000-0000-00001F9D0000}"/>
    <cellStyle name="Normal 11 3 2 2 2 3 4 2 2 2" xfId="40902" xr:uid="{00000000-0005-0000-0000-0000209D0000}"/>
    <cellStyle name="Normal 11 3 2 2 2 3 4 2 2 2 2" xfId="40903" xr:uid="{00000000-0005-0000-0000-0000219D0000}"/>
    <cellStyle name="Normal 11 3 2 2 2 3 4 2 2 3" xfId="40904" xr:uid="{00000000-0005-0000-0000-0000229D0000}"/>
    <cellStyle name="Normal 11 3 2 2 2 3 4 2 3" xfId="40905" xr:uid="{00000000-0005-0000-0000-0000239D0000}"/>
    <cellStyle name="Normal 11 3 2 2 2 3 4 2 3 2" xfId="40906" xr:uid="{00000000-0005-0000-0000-0000249D0000}"/>
    <cellStyle name="Normal 11 3 2 2 2 3 4 2 4" xfId="40907" xr:uid="{00000000-0005-0000-0000-0000259D0000}"/>
    <cellStyle name="Normal 11 3 2 2 2 3 4 3" xfId="40908" xr:uid="{00000000-0005-0000-0000-0000269D0000}"/>
    <cellStyle name="Normal 11 3 2 2 2 3 4 3 2" xfId="40909" xr:uid="{00000000-0005-0000-0000-0000279D0000}"/>
    <cellStyle name="Normal 11 3 2 2 2 3 4 3 2 2" xfId="40910" xr:uid="{00000000-0005-0000-0000-0000289D0000}"/>
    <cellStyle name="Normal 11 3 2 2 2 3 4 3 3" xfId="40911" xr:uid="{00000000-0005-0000-0000-0000299D0000}"/>
    <cellStyle name="Normal 11 3 2 2 2 3 4 4" xfId="40912" xr:uid="{00000000-0005-0000-0000-00002A9D0000}"/>
    <cellStyle name="Normal 11 3 2 2 2 3 4 4 2" xfId="40913" xr:uid="{00000000-0005-0000-0000-00002B9D0000}"/>
    <cellStyle name="Normal 11 3 2 2 2 3 4 5" xfId="40914" xr:uid="{00000000-0005-0000-0000-00002C9D0000}"/>
    <cellStyle name="Normal 11 3 2 2 2 3 5" xfId="40915" xr:uid="{00000000-0005-0000-0000-00002D9D0000}"/>
    <cellStyle name="Normal 11 3 2 2 2 3 5 2" xfId="40916" xr:uid="{00000000-0005-0000-0000-00002E9D0000}"/>
    <cellStyle name="Normal 11 3 2 2 2 3 5 2 2" xfId="40917" xr:uid="{00000000-0005-0000-0000-00002F9D0000}"/>
    <cellStyle name="Normal 11 3 2 2 2 3 5 2 2 2" xfId="40918" xr:uid="{00000000-0005-0000-0000-0000309D0000}"/>
    <cellStyle name="Normal 11 3 2 2 2 3 5 2 2 2 2" xfId="40919" xr:uid="{00000000-0005-0000-0000-0000319D0000}"/>
    <cellStyle name="Normal 11 3 2 2 2 3 5 2 2 3" xfId="40920" xr:uid="{00000000-0005-0000-0000-0000329D0000}"/>
    <cellStyle name="Normal 11 3 2 2 2 3 5 2 3" xfId="40921" xr:uid="{00000000-0005-0000-0000-0000339D0000}"/>
    <cellStyle name="Normal 11 3 2 2 2 3 5 2 3 2" xfId="40922" xr:uid="{00000000-0005-0000-0000-0000349D0000}"/>
    <cellStyle name="Normal 11 3 2 2 2 3 5 2 4" xfId="40923" xr:uid="{00000000-0005-0000-0000-0000359D0000}"/>
    <cellStyle name="Normal 11 3 2 2 2 3 5 3" xfId="40924" xr:uid="{00000000-0005-0000-0000-0000369D0000}"/>
    <cellStyle name="Normal 11 3 2 2 2 3 5 3 2" xfId="40925" xr:uid="{00000000-0005-0000-0000-0000379D0000}"/>
    <cellStyle name="Normal 11 3 2 2 2 3 5 3 2 2" xfId="40926" xr:uid="{00000000-0005-0000-0000-0000389D0000}"/>
    <cellStyle name="Normal 11 3 2 2 2 3 5 3 3" xfId="40927" xr:uid="{00000000-0005-0000-0000-0000399D0000}"/>
    <cellStyle name="Normal 11 3 2 2 2 3 5 4" xfId="40928" xr:uid="{00000000-0005-0000-0000-00003A9D0000}"/>
    <cellStyle name="Normal 11 3 2 2 2 3 5 4 2" xfId="40929" xr:uid="{00000000-0005-0000-0000-00003B9D0000}"/>
    <cellStyle name="Normal 11 3 2 2 2 3 5 5" xfId="40930" xr:uid="{00000000-0005-0000-0000-00003C9D0000}"/>
    <cellStyle name="Normal 11 3 2 2 2 3 6" xfId="40931" xr:uid="{00000000-0005-0000-0000-00003D9D0000}"/>
    <cellStyle name="Normal 11 3 2 2 2 3 6 2" xfId="40932" xr:uid="{00000000-0005-0000-0000-00003E9D0000}"/>
    <cellStyle name="Normal 11 3 2 2 2 3 6 2 2" xfId="40933" xr:uid="{00000000-0005-0000-0000-00003F9D0000}"/>
    <cellStyle name="Normal 11 3 2 2 2 3 6 2 2 2" xfId="40934" xr:uid="{00000000-0005-0000-0000-0000409D0000}"/>
    <cellStyle name="Normal 11 3 2 2 2 3 6 2 3" xfId="40935" xr:uid="{00000000-0005-0000-0000-0000419D0000}"/>
    <cellStyle name="Normal 11 3 2 2 2 3 6 3" xfId="40936" xr:uid="{00000000-0005-0000-0000-0000429D0000}"/>
    <cellStyle name="Normal 11 3 2 2 2 3 6 3 2" xfId="40937" xr:uid="{00000000-0005-0000-0000-0000439D0000}"/>
    <cellStyle name="Normal 11 3 2 2 2 3 6 4" xfId="40938" xr:uid="{00000000-0005-0000-0000-0000449D0000}"/>
    <cellStyle name="Normal 11 3 2 2 2 3 7" xfId="40939" xr:uid="{00000000-0005-0000-0000-0000459D0000}"/>
    <cellStyle name="Normal 11 3 2 2 2 3 7 2" xfId="40940" xr:uid="{00000000-0005-0000-0000-0000469D0000}"/>
    <cellStyle name="Normal 11 3 2 2 2 3 7 2 2" xfId="40941" xr:uid="{00000000-0005-0000-0000-0000479D0000}"/>
    <cellStyle name="Normal 11 3 2 2 2 3 7 2 2 2" xfId="40942" xr:uid="{00000000-0005-0000-0000-0000489D0000}"/>
    <cellStyle name="Normal 11 3 2 2 2 3 7 2 3" xfId="40943" xr:uid="{00000000-0005-0000-0000-0000499D0000}"/>
    <cellStyle name="Normal 11 3 2 2 2 3 7 3" xfId="40944" xr:uid="{00000000-0005-0000-0000-00004A9D0000}"/>
    <cellStyle name="Normal 11 3 2 2 2 3 7 3 2" xfId="40945" xr:uid="{00000000-0005-0000-0000-00004B9D0000}"/>
    <cellStyle name="Normal 11 3 2 2 2 3 7 4" xfId="40946" xr:uid="{00000000-0005-0000-0000-00004C9D0000}"/>
    <cellStyle name="Normal 11 3 2 2 2 3 8" xfId="40947" xr:uid="{00000000-0005-0000-0000-00004D9D0000}"/>
    <cellStyle name="Normal 11 3 2 2 2 3 8 2" xfId="40948" xr:uid="{00000000-0005-0000-0000-00004E9D0000}"/>
    <cellStyle name="Normal 11 3 2 2 2 3 8 2 2" xfId="40949" xr:uid="{00000000-0005-0000-0000-00004F9D0000}"/>
    <cellStyle name="Normal 11 3 2 2 2 3 8 2 2 2" xfId="40950" xr:uid="{00000000-0005-0000-0000-0000509D0000}"/>
    <cellStyle name="Normal 11 3 2 2 2 3 8 2 3" xfId="40951" xr:uid="{00000000-0005-0000-0000-0000519D0000}"/>
    <cellStyle name="Normal 11 3 2 2 2 3 8 3" xfId="40952" xr:uid="{00000000-0005-0000-0000-0000529D0000}"/>
    <cellStyle name="Normal 11 3 2 2 2 3 8 3 2" xfId="40953" xr:uid="{00000000-0005-0000-0000-0000539D0000}"/>
    <cellStyle name="Normal 11 3 2 2 2 3 8 4" xfId="40954" xr:uid="{00000000-0005-0000-0000-0000549D0000}"/>
    <cellStyle name="Normal 11 3 2 2 2 3 9" xfId="40955" xr:uid="{00000000-0005-0000-0000-0000559D0000}"/>
    <cellStyle name="Normal 11 3 2 2 2 3 9 2" xfId="40956" xr:uid="{00000000-0005-0000-0000-0000569D0000}"/>
    <cellStyle name="Normal 11 3 2 2 2 3 9 2 2" xfId="40957" xr:uid="{00000000-0005-0000-0000-0000579D0000}"/>
    <cellStyle name="Normal 11 3 2 2 2 3 9 3" xfId="40958" xr:uid="{00000000-0005-0000-0000-0000589D0000}"/>
    <cellStyle name="Normal 11 3 2 2 2 4" xfId="1052" xr:uid="{00000000-0005-0000-0000-0000599D0000}"/>
    <cellStyle name="Normal 11 3 2 2 2 4 10" xfId="40960" xr:uid="{00000000-0005-0000-0000-00005A9D0000}"/>
    <cellStyle name="Normal 11 3 2 2 2 4 11" xfId="40959" xr:uid="{00000000-0005-0000-0000-00005B9D0000}"/>
    <cellStyle name="Normal 11 3 2 2 2 4 2" xfId="1781" xr:uid="{00000000-0005-0000-0000-00005C9D0000}"/>
    <cellStyle name="Normal 11 3 2 2 2 4 2 2" xfId="40962" xr:uid="{00000000-0005-0000-0000-00005D9D0000}"/>
    <cellStyle name="Normal 11 3 2 2 2 4 2 2 2" xfId="40963" xr:uid="{00000000-0005-0000-0000-00005E9D0000}"/>
    <cellStyle name="Normal 11 3 2 2 2 4 2 2 2 2" xfId="40964" xr:uid="{00000000-0005-0000-0000-00005F9D0000}"/>
    <cellStyle name="Normal 11 3 2 2 2 4 2 2 2 2 2" xfId="40965" xr:uid="{00000000-0005-0000-0000-0000609D0000}"/>
    <cellStyle name="Normal 11 3 2 2 2 4 2 2 2 3" xfId="40966" xr:uid="{00000000-0005-0000-0000-0000619D0000}"/>
    <cellStyle name="Normal 11 3 2 2 2 4 2 2 3" xfId="40967" xr:uid="{00000000-0005-0000-0000-0000629D0000}"/>
    <cellStyle name="Normal 11 3 2 2 2 4 2 2 3 2" xfId="40968" xr:uid="{00000000-0005-0000-0000-0000639D0000}"/>
    <cellStyle name="Normal 11 3 2 2 2 4 2 2 4" xfId="40969" xr:uid="{00000000-0005-0000-0000-0000649D0000}"/>
    <cellStyle name="Normal 11 3 2 2 2 4 2 3" xfId="40970" xr:uid="{00000000-0005-0000-0000-0000659D0000}"/>
    <cellStyle name="Normal 11 3 2 2 2 4 2 3 2" xfId="40971" xr:uid="{00000000-0005-0000-0000-0000669D0000}"/>
    <cellStyle name="Normal 11 3 2 2 2 4 2 3 2 2" xfId="40972" xr:uid="{00000000-0005-0000-0000-0000679D0000}"/>
    <cellStyle name="Normal 11 3 2 2 2 4 2 3 2 2 2" xfId="40973" xr:uid="{00000000-0005-0000-0000-0000689D0000}"/>
    <cellStyle name="Normal 11 3 2 2 2 4 2 3 2 3" xfId="40974" xr:uid="{00000000-0005-0000-0000-0000699D0000}"/>
    <cellStyle name="Normal 11 3 2 2 2 4 2 3 3" xfId="40975" xr:uid="{00000000-0005-0000-0000-00006A9D0000}"/>
    <cellStyle name="Normal 11 3 2 2 2 4 2 3 3 2" xfId="40976" xr:uid="{00000000-0005-0000-0000-00006B9D0000}"/>
    <cellStyle name="Normal 11 3 2 2 2 4 2 3 4" xfId="40977" xr:uid="{00000000-0005-0000-0000-00006C9D0000}"/>
    <cellStyle name="Normal 11 3 2 2 2 4 2 4" xfId="40978" xr:uid="{00000000-0005-0000-0000-00006D9D0000}"/>
    <cellStyle name="Normal 11 3 2 2 2 4 2 4 2" xfId="40979" xr:uid="{00000000-0005-0000-0000-00006E9D0000}"/>
    <cellStyle name="Normal 11 3 2 2 2 4 2 4 2 2" xfId="40980" xr:uid="{00000000-0005-0000-0000-00006F9D0000}"/>
    <cellStyle name="Normal 11 3 2 2 2 4 2 4 3" xfId="40981" xr:uid="{00000000-0005-0000-0000-0000709D0000}"/>
    <cellStyle name="Normal 11 3 2 2 2 4 2 5" xfId="40982" xr:uid="{00000000-0005-0000-0000-0000719D0000}"/>
    <cellStyle name="Normal 11 3 2 2 2 4 2 5 2" xfId="40983" xr:uid="{00000000-0005-0000-0000-0000729D0000}"/>
    <cellStyle name="Normal 11 3 2 2 2 4 2 6" xfId="40984" xr:uid="{00000000-0005-0000-0000-0000739D0000}"/>
    <cellStyle name="Normal 11 3 2 2 2 4 2 7" xfId="40961" xr:uid="{00000000-0005-0000-0000-0000749D0000}"/>
    <cellStyle name="Normal 11 3 2 2 2 4 3" xfId="40985" xr:uid="{00000000-0005-0000-0000-0000759D0000}"/>
    <cellStyle name="Normal 11 3 2 2 2 4 3 2" xfId="40986" xr:uid="{00000000-0005-0000-0000-0000769D0000}"/>
    <cellStyle name="Normal 11 3 2 2 2 4 3 2 2" xfId="40987" xr:uid="{00000000-0005-0000-0000-0000779D0000}"/>
    <cellStyle name="Normal 11 3 2 2 2 4 3 2 2 2" xfId="40988" xr:uid="{00000000-0005-0000-0000-0000789D0000}"/>
    <cellStyle name="Normal 11 3 2 2 2 4 3 2 2 2 2" xfId="40989" xr:uid="{00000000-0005-0000-0000-0000799D0000}"/>
    <cellStyle name="Normal 11 3 2 2 2 4 3 2 2 3" xfId="40990" xr:uid="{00000000-0005-0000-0000-00007A9D0000}"/>
    <cellStyle name="Normal 11 3 2 2 2 4 3 2 3" xfId="40991" xr:uid="{00000000-0005-0000-0000-00007B9D0000}"/>
    <cellStyle name="Normal 11 3 2 2 2 4 3 2 3 2" xfId="40992" xr:uid="{00000000-0005-0000-0000-00007C9D0000}"/>
    <cellStyle name="Normal 11 3 2 2 2 4 3 2 4" xfId="40993" xr:uid="{00000000-0005-0000-0000-00007D9D0000}"/>
    <cellStyle name="Normal 11 3 2 2 2 4 3 3" xfId="40994" xr:uid="{00000000-0005-0000-0000-00007E9D0000}"/>
    <cellStyle name="Normal 11 3 2 2 2 4 3 3 2" xfId="40995" xr:uid="{00000000-0005-0000-0000-00007F9D0000}"/>
    <cellStyle name="Normal 11 3 2 2 2 4 3 3 2 2" xfId="40996" xr:uid="{00000000-0005-0000-0000-0000809D0000}"/>
    <cellStyle name="Normal 11 3 2 2 2 4 3 3 3" xfId="40997" xr:uid="{00000000-0005-0000-0000-0000819D0000}"/>
    <cellStyle name="Normal 11 3 2 2 2 4 3 4" xfId="40998" xr:uid="{00000000-0005-0000-0000-0000829D0000}"/>
    <cellStyle name="Normal 11 3 2 2 2 4 3 4 2" xfId="40999" xr:uid="{00000000-0005-0000-0000-0000839D0000}"/>
    <cellStyle name="Normal 11 3 2 2 2 4 3 5" xfId="41000" xr:uid="{00000000-0005-0000-0000-0000849D0000}"/>
    <cellStyle name="Normal 11 3 2 2 2 4 4" xfId="41001" xr:uid="{00000000-0005-0000-0000-0000859D0000}"/>
    <cellStyle name="Normal 11 3 2 2 2 4 4 2" xfId="41002" xr:uid="{00000000-0005-0000-0000-0000869D0000}"/>
    <cellStyle name="Normal 11 3 2 2 2 4 4 2 2" xfId="41003" xr:uid="{00000000-0005-0000-0000-0000879D0000}"/>
    <cellStyle name="Normal 11 3 2 2 2 4 4 2 2 2" xfId="41004" xr:uid="{00000000-0005-0000-0000-0000889D0000}"/>
    <cellStyle name="Normal 11 3 2 2 2 4 4 2 2 2 2" xfId="41005" xr:uid="{00000000-0005-0000-0000-0000899D0000}"/>
    <cellStyle name="Normal 11 3 2 2 2 4 4 2 2 3" xfId="41006" xr:uid="{00000000-0005-0000-0000-00008A9D0000}"/>
    <cellStyle name="Normal 11 3 2 2 2 4 4 2 3" xfId="41007" xr:uid="{00000000-0005-0000-0000-00008B9D0000}"/>
    <cellStyle name="Normal 11 3 2 2 2 4 4 2 3 2" xfId="41008" xr:uid="{00000000-0005-0000-0000-00008C9D0000}"/>
    <cellStyle name="Normal 11 3 2 2 2 4 4 2 4" xfId="41009" xr:uid="{00000000-0005-0000-0000-00008D9D0000}"/>
    <cellStyle name="Normal 11 3 2 2 2 4 4 3" xfId="41010" xr:uid="{00000000-0005-0000-0000-00008E9D0000}"/>
    <cellStyle name="Normal 11 3 2 2 2 4 4 3 2" xfId="41011" xr:uid="{00000000-0005-0000-0000-00008F9D0000}"/>
    <cellStyle name="Normal 11 3 2 2 2 4 4 3 2 2" xfId="41012" xr:uid="{00000000-0005-0000-0000-0000909D0000}"/>
    <cellStyle name="Normal 11 3 2 2 2 4 4 3 3" xfId="41013" xr:uid="{00000000-0005-0000-0000-0000919D0000}"/>
    <cellStyle name="Normal 11 3 2 2 2 4 4 4" xfId="41014" xr:uid="{00000000-0005-0000-0000-0000929D0000}"/>
    <cellStyle name="Normal 11 3 2 2 2 4 4 4 2" xfId="41015" xr:uid="{00000000-0005-0000-0000-0000939D0000}"/>
    <cellStyle name="Normal 11 3 2 2 2 4 4 5" xfId="41016" xr:uid="{00000000-0005-0000-0000-0000949D0000}"/>
    <cellStyle name="Normal 11 3 2 2 2 4 5" xfId="41017" xr:uid="{00000000-0005-0000-0000-0000959D0000}"/>
    <cellStyle name="Normal 11 3 2 2 2 4 5 2" xfId="41018" xr:uid="{00000000-0005-0000-0000-0000969D0000}"/>
    <cellStyle name="Normal 11 3 2 2 2 4 5 2 2" xfId="41019" xr:uid="{00000000-0005-0000-0000-0000979D0000}"/>
    <cellStyle name="Normal 11 3 2 2 2 4 5 2 2 2" xfId="41020" xr:uid="{00000000-0005-0000-0000-0000989D0000}"/>
    <cellStyle name="Normal 11 3 2 2 2 4 5 2 3" xfId="41021" xr:uid="{00000000-0005-0000-0000-0000999D0000}"/>
    <cellStyle name="Normal 11 3 2 2 2 4 5 3" xfId="41022" xr:uid="{00000000-0005-0000-0000-00009A9D0000}"/>
    <cellStyle name="Normal 11 3 2 2 2 4 5 3 2" xfId="41023" xr:uid="{00000000-0005-0000-0000-00009B9D0000}"/>
    <cellStyle name="Normal 11 3 2 2 2 4 5 4" xfId="41024" xr:uid="{00000000-0005-0000-0000-00009C9D0000}"/>
    <cellStyle name="Normal 11 3 2 2 2 4 6" xfId="41025" xr:uid="{00000000-0005-0000-0000-00009D9D0000}"/>
    <cellStyle name="Normal 11 3 2 2 2 4 6 2" xfId="41026" xr:uid="{00000000-0005-0000-0000-00009E9D0000}"/>
    <cellStyle name="Normal 11 3 2 2 2 4 6 2 2" xfId="41027" xr:uid="{00000000-0005-0000-0000-00009F9D0000}"/>
    <cellStyle name="Normal 11 3 2 2 2 4 6 2 2 2" xfId="41028" xr:uid="{00000000-0005-0000-0000-0000A09D0000}"/>
    <cellStyle name="Normal 11 3 2 2 2 4 6 2 3" xfId="41029" xr:uid="{00000000-0005-0000-0000-0000A19D0000}"/>
    <cellStyle name="Normal 11 3 2 2 2 4 6 3" xfId="41030" xr:uid="{00000000-0005-0000-0000-0000A29D0000}"/>
    <cellStyle name="Normal 11 3 2 2 2 4 6 3 2" xfId="41031" xr:uid="{00000000-0005-0000-0000-0000A39D0000}"/>
    <cellStyle name="Normal 11 3 2 2 2 4 6 4" xfId="41032" xr:uid="{00000000-0005-0000-0000-0000A49D0000}"/>
    <cellStyle name="Normal 11 3 2 2 2 4 7" xfId="41033" xr:uid="{00000000-0005-0000-0000-0000A59D0000}"/>
    <cellStyle name="Normal 11 3 2 2 2 4 7 2" xfId="41034" xr:uid="{00000000-0005-0000-0000-0000A69D0000}"/>
    <cellStyle name="Normal 11 3 2 2 2 4 7 2 2" xfId="41035" xr:uid="{00000000-0005-0000-0000-0000A79D0000}"/>
    <cellStyle name="Normal 11 3 2 2 2 4 7 2 2 2" xfId="41036" xr:uid="{00000000-0005-0000-0000-0000A89D0000}"/>
    <cellStyle name="Normal 11 3 2 2 2 4 7 2 3" xfId="41037" xr:uid="{00000000-0005-0000-0000-0000A99D0000}"/>
    <cellStyle name="Normal 11 3 2 2 2 4 7 3" xfId="41038" xr:uid="{00000000-0005-0000-0000-0000AA9D0000}"/>
    <cellStyle name="Normal 11 3 2 2 2 4 7 3 2" xfId="41039" xr:uid="{00000000-0005-0000-0000-0000AB9D0000}"/>
    <cellStyle name="Normal 11 3 2 2 2 4 7 4" xfId="41040" xr:uid="{00000000-0005-0000-0000-0000AC9D0000}"/>
    <cellStyle name="Normal 11 3 2 2 2 4 8" xfId="41041" xr:uid="{00000000-0005-0000-0000-0000AD9D0000}"/>
    <cellStyle name="Normal 11 3 2 2 2 4 8 2" xfId="41042" xr:uid="{00000000-0005-0000-0000-0000AE9D0000}"/>
    <cellStyle name="Normal 11 3 2 2 2 4 8 2 2" xfId="41043" xr:uid="{00000000-0005-0000-0000-0000AF9D0000}"/>
    <cellStyle name="Normal 11 3 2 2 2 4 8 3" xfId="41044" xr:uid="{00000000-0005-0000-0000-0000B09D0000}"/>
    <cellStyle name="Normal 11 3 2 2 2 4 9" xfId="41045" xr:uid="{00000000-0005-0000-0000-0000B19D0000}"/>
    <cellStyle name="Normal 11 3 2 2 2 4 9 2" xfId="41046" xr:uid="{00000000-0005-0000-0000-0000B29D0000}"/>
    <cellStyle name="Normal 11 3 2 2 2 5" xfId="1454" xr:uid="{00000000-0005-0000-0000-0000B39D0000}"/>
    <cellStyle name="Normal 11 3 2 2 2 5 2" xfId="41048" xr:uid="{00000000-0005-0000-0000-0000B49D0000}"/>
    <cellStyle name="Normal 11 3 2 2 2 5 2 2" xfId="41049" xr:uid="{00000000-0005-0000-0000-0000B59D0000}"/>
    <cellStyle name="Normal 11 3 2 2 2 5 2 2 2" xfId="41050" xr:uid="{00000000-0005-0000-0000-0000B69D0000}"/>
    <cellStyle name="Normal 11 3 2 2 2 5 2 2 2 2" xfId="41051" xr:uid="{00000000-0005-0000-0000-0000B79D0000}"/>
    <cellStyle name="Normal 11 3 2 2 2 5 2 2 3" xfId="41052" xr:uid="{00000000-0005-0000-0000-0000B89D0000}"/>
    <cellStyle name="Normal 11 3 2 2 2 5 2 3" xfId="41053" xr:uid="{00000000-0005-0000-0000-0000B99D0000}"/>
    <cellStyle name="Normal 11 3 2 2 2 5 2 3 2" xfId="41054" xr:uid="{00000000-0005-0000-0000-0000BA9D0000}"/>
    <cellStyle name="Normal 11 3 2 2 2 5 2 4" xfId="41055" xr:uid="{00000000-0005-0000-0000-0000BB9D0000}"/>
    <cellStyle name="Normal 11 3 2 2 2 5 3" xfId="41056" xr:uid="{00000000-0005-0000-0000-0000BC9D0000}"/>
    <cellStyle name="Normal 11 3 2 2 2 5 3 2" xfId="41057" xr:uid="{00000000-0005-0000-0000-0000BD9D0000}"/>
    <cellStyle name="Normal 11 3 2 2 2 5 3 2 2" xfId="41058" xr:uid="{00000000-0005-0000-0000-0000BE9D0000}"/>
    <cellStyle name="Normal 11 3 2 2 2 5 3 2 2 2" xfId="41059" xr:uid="{00000000-0005-0000-0000-0000BF9D0000}"/>
    <cellStyle name="Normal 11 3 2 2 2 5 3 2 3" xfId="41060" xr:uid="{00000000-0005-0000-0000-0000C09D0000}"/>
    <cellStyle name="Normal 11 3 2 2 2 5 3 3" xfId="41061" xr:uid="{00000000-0005-0000-0000-0000C19D0000}"/>
    <cellStyle name="Normal 11 3 2 2 2 5 3 3 2" xfId="41062" xr:uid="{00000000-0005-0000-0000-0000C29D0000}"/>
    <cellStyle name="Normal 11 3 2 2 2 5 3 4" xfId="41063" xr:uid="{00000000-0005-0000-0000-0000C39D0000}"/>
    <cellStyle name="Normal 11 3 2 2 2 5 4" xfId="41064" xr:uid="{00000000-0005-0000-0000-0000C49D0000}"/>
    <cellStyle name="Normal 11 3 2 2 2 5 4 2" xfId="41065" xr:uid="{00000000-0005-0000-0000-0000C59D0000}"/>
    <cellStyle name="Normal 11 3 2 2 2 5 4 2 2" xfId="41066" xr:uid="{00000000-0005-0000-0000-0000C69D0000}"/>
    <cellStyle name="Normal 11 3 2 2 2 5 4 3" xfId="41067" xr:uid="{00000000-0005-0000-0000-0000C79D0000}"/>
    <cellStyle name="Normal 11 3 2 2 2 5 5" xfId="41068" xr:uid="{00000000-0005-0000-0000-0000C89D0000}"/>
    <cellStyle name="Normal 11 3 2 2 2 5 5 2" xfId="41069" xr:uid="{00000000-0005-0000-0000-0000C99D0000}"/>
    <cellStyle name="Normal 11 3 2 2 2 5 6" xfId="41070" xr:uid="{00000000-0005-0000-0000-0000CA9D0000}"/>
    <cellStyle name="Normal 11 3 2 2 2 5 7" xfId="41047" xr:uid="{00000000-0005-0000-0000-0000CB9D0000}"/>
    <cellStyle name="Normal 11 3 2 2 2 6" xfId="41071" xr:uid="{00000000-0005-0000-0000-0000CC9D0000}"/>
    <cellStyle name="Normal 11 3 2 2 2 6 2" xfId="41072" xr:uid="{00000000-0005-0000-0000-0000CD9D0000}"/>
    <cellStyle name="Normal 11 3 2 2 2 6 2 2" xfId="41073" xr:uid="{00000000-0005-0000-0000-0000CE9D0000}"/>
    <cellStyle name="Normal 11 3 2 2 2 6 2 2 2" xfId="41074" xr:uid="{00000000-0005-0000-0000-0000CF9D0000}"/>
    <cellStyle name="Normal 11 3 2 2 2 6 2 2 2 2" xfId="41075" xr:uid="{00000000-0005-0000-0000-0000D09D0000}"/>
    <cellStyle name="Normal 11 3 2 2 2 6 2 2 3" xfId="41076" xr:uid="{00000000-0005-0000-0000-0000D19D0000}"/>
    <cellStyle name="Normal 11 3 2 2 2 6 2 3" xfId="41077" xr:uid="{00000000-0005-0000-0000-0000D29D0000}"/>
    <cellStyle name="Normal 11 3 2 2 2 6 2 3 2" xfId="41078" xr:uid="{00000000-0005-0000-0000-0000D39D0000}"/>
    <cellStyle name="Normal 11 3 2 2 2 6 2 4" xfId="41079" xr:uid="{00000000-0005-0000-0000-0000D49D0000}"/>
    <cellStyle name="Normal 11 3 2 2 2 6 3" xfId="41080" xr:uid="{00000000-0005-0000-0000-0000D59D0000}"/>
    <cellStyle name="Normal 11 3 2 2 2 6 3 2" xfId="41081" xr:uid="{00000000-0005-0000-0000-0000D69D0000}"/>
    <cellStyle name="Normal 11 3 2 2 2 6 3 2 2" xfId="41082" xr:uid="{00000000-0005-0000-0000-0000D79D0000}"/>
    <cellStyle name="Normal 11 3 2 2 2 6 3 3" xfId="41083" xr:uid="{00000000-0005-0000-0000-0000D89D0000}"/>
    <cellStyle name="Normal 11 3 2 2 2 6 4" xfId="41084" xr:uid="{00000000-0005-0000-0000-0000D99D0000}"/>
    <cellStyle name="Normal 11 3 2 2 2 6 4 2" xfId="41085" xr:uid="{00000000-0005-0000-0000-0000DA9D0000}"/>
    <cellStyle name="Normal 11 3 2 2 2 6 5" xfId="41086" xr:uid="{00000000-0005-0000-0000-0000DB9D0000}"/>
    <cellStyle name="Normal 11 3 2 2 2 7" xfId="41087" xr:uid="{00000000-0005-0000-0000-0000DC9D0000}"/>
    <cellStyle name="Normal 11 3 2 2 2 7 2" xfId="41088" xr:uid="{00000000-0005-0000-0000-0000DD9D0000}"/>
    <cellStyle name="Normal 11 3 2 2 2 7 2 2" xfId="41089" xr:uid="{00000000-0005-0000-0000-0000DE9D0000}"/>
    <cellStyle name="Normal 11 3 2 2 2 7 2 2 2" xfId="41090" xr:uid="{00000000-0005-0000-0000-0000DF9D0000}"/>
    <cellStyle name="Normal 11 3 2 2 2 7 2 2 2 2" xfId="41091" xr:uid="{00000000-0005-0000-0000-0000E09D0000}"/>
    <cellStyle name="Normal 11 3 2 2 2 7 2 2 3" xfId="41092" xr:uid="{00000000-0005-0000-0000-0000E19D0000}"/>
    <cellStyle name="Normal 11 3 2 2 2 7 2 3" xfId="41093" xr:uid="{00000000-0005-0000-0000-0000E29D0000}"/>
    <cellStyle name="Normal 11 3 2 2 2 7 2 3 2" xfId="41094" xr:uid="{00000000-0005-0000-0000-0000E39D0000}"/>
    <cellStyle name="Normal 11 3 2 2 2 7 2 4" xfId="41095" xr:uid="{00000000-0005-0000-0000-0000E49D0000}"/>
    <cellStyle name="Normal 11 3 2 2 2 7 3" xfId="41096" xr:uid="{00000000-0005-0000-0000-0000E59D0000}"/>
    <cellStyle name="Normal 11 3 2 2 2 7 3 2" xfId="41097" xr:uid="{00000000-0005-0000-0000-0000E69D0000}"/>
    <cellStyle name="Normal 11 3 2 2 2 7 3 2 2" xfId="41098" xr:uid="{00000000-0005-0000-0000-0000E79D0000}"/>
    <cellStyle name="Normal 11 3 2 2 2 7 3 3" xfId="41099" xr:uid="{00000000-0005-0000-0000-0000E89D0000}"/>
    <cellStyle name="Normal 11 3 2 2 2 7 4" xfId="41100" xr:uid="{00000000-0005-0000-0000-0000E99D0000}"/>
    <cellStyle name="Normal 11 3 2 2 2 7 4 2" xfId="41101" xr:uid="{00000000-0005-0000-0000-0000EA9D0000}"/>
    <cellStyle name="Normal 11 3 2 2 2 7 5" xfId="41102" xr:uid="{00000000-0005-0000-0000-0000EB9D0000}"/>
    <cellStyle name="Normal 11 3 2 2 2 8" xfId="41103" xr:uid="{00000000-0005-0000-0000-0000EC9D0000}"/>
    <cellStyle name="Normal 11 3 2 2 2 8 2" xfId="41104" xr:uid="{00000000-0005-0000-0000-0000ED9D0000}"/>
    <cellStyle name="Normal 11 3 2 2 2 8 2 2" xfId="41105" xr:uid="{00000000-0005-0000-0000-0000EE9D0000}"/>
    <cellStyle name="Normal 11 3 2 2 2 8 2 2 2" xfId="41106" xr:uid="{00000000-0005-0000-0000-0000EF9D0000}"/>
    <cellStyle name="Normal 11 3 2 2 2 8 2 3" xfId="41107" xr:uid="{00000000-0005-0000-0000-0000F09D0000}"/>
    <cellStyle name="Normal 11 3 2 2 2 8 3" xfId="41108" xr:uid="{00000000-0005-0000-0000-0000F19D0000}"/>
    <cellStyle name="Normal 11 3 2 2 2 8 3 2" xfId="41109" xr:uid="{00000000-0005-0000-0000-0000F29D0000}"/>
    <cellStyle name="Normal 11 3 2 2 2 8 4" xfId="41110" xr:uid="{00000000-0005-0000-0000-0000F39D0000}"/>
    <cellStyle name="Normal 11 3 2 2 2 9" xfId="41111" xr:uid="{00000000-0005-0000-0000-0000F49D0000}"/>
    <cellStyle name="Normal 11 3 2 2 2 9 2" xfId="41112" xr:uid="{00000000-0005-0000-0000-0000F59D0000}"/>
    <cellStyle name="Normal 11 3 2 2 2 9 2 2" xfId="41113" xr:uid="{00000000-0005-0000-0000-0000F69D0000}"/>
    <cellStyle name="Normal 11 3 2 2 2 9 2 2 2" xfId="41114" xr:uid="{00000000-0005-0000-0000-0000F79D0000}"/>
    <cellStyle name="Normal 11 3 2 2 2 9 2 3" xfId="41115" xr:uid="{00000000-0005-0000-0000-0000F89D0000}"/>
    <cellStyle name="Normal 11 3 2 2 2 9 3" xfId="41116" xr:uid="{00000000-0005-0000-0000-0000F99D0000}"/>
    <cellStyle name="Normal 11 3 2 2 2 9 3 2" xfId="41117" xr:uid="{00000000-0005-0000-0000-0000FA9D0000}"/>
    <cellStyle name="Normal 11 3 2 2 2 9 4" xfId="41118" xr:uid="{00000000-0005-0000-0000-0000FB9D0000}"/>
    <cellStyle name="Normal 11 3 2 2 3" xfId="613" xr:uid="{00000000-0005-0000-0000-0000FC9D0000}"/>
    <cellStyle name="Normal 11 3 2 2 3 10" xfId="41120" xr:uid="{00000000-0005-0000-0000-0000FD9D0000}"/>
    <cellStyle name="Normal 11 3 2 2 3 10 2" xfId="41121" xr:uid="{00000000-0005-0000-0000-0000FE9D0000}"/>
    <cellStyle name="Normal 11 3 2 2 3 10 2 2" xfId="41122" xr:uid="{00000000-0005-0000-0000-0000FF9D0000}"/>
    <cellStyle name="Normal 11 3 2 2 3 10 3" xfId="41123" xr:uid="{00000000-0005-0000-0000-0000009E0000}"/>
    <cellStyle name="Normal 11 3 2 2 3 11" xfId="41124" xr:uid="{00000000-0005-0000-0000-0000019E0000}"/>
    <cellStyle name="Normal 11 3 2 2 3 11 2" xfId="41125" xr:uid="{00000000-0005-0000-0000-0000029E0000}"/>
    <cellStyle name="Normal 11 3 2 2 3 11 2 2" xfId="41126" xr:uid="{00000000-0005-0000-0000-0000039E0000}"/>
    <cellStyle name="Normal 11 3 2 2 3 11 3" xfId="41127" xr:uid="{00000000-0005-0000-0000-0000049E0000}"/>
    <cellStyle name="Normal 11 3 2 2 3 12" xfId="41128" xr:uid="{00000000-0005-0000-0000-0000059E0000}"/>
    <cellStyle name="Normal 11 3 2 2 3 12 2" xfId="41129" xr:uid="{00000000-0005-0000-0000-0000069E0000}"/>
    <cellStyle name="Normal 11 3 2 2 3 13" xfId="41130" xr:uid="{00000000-0005-0000-0000-0000079E0000}"/>
    <cellStyle name="Normal 11 3 2 2 3 14" xfId="41131" xr:uid="{00000000-0005-0000-0000-0000089E0000}"/>
    <cellStyle name="Normal 11 3 2 2 3 15" xfId="41119" xr:uid="{00000000-0005-0000-0000-0000099E0000}"/>
    <cellStyle name="Normal 11 3 2 2 3 2" xfId="1055" xr:uid="{00000000-0005-0000-0000-00000A9E0000}"/>
    <cellStyle name="Normal 11 3 2 2 3 2 10" xfId="41133" xr:uid="{00000000-0005-0000-0000-00000B9E0000}"/>
    <cellStyle name="Normal 11 3 2 2 3 2 11" xfId="41132" xr:uid="{00000000-0005-0000-0000-00000C9E0000}"/>
    <cellStyle name="Normal 11 3 2 2 3 2 2" xfId="1784" xr:uid="{00000000-0005-0000-0000-00000D9E0000}"/>
    <cellStyle name="Normal 11 3 2 2 3 2 2 2" xfId="41135" xr:uid="{00000000-0005-0000-0000-00000E9E0000}"/>
    <cellStyle name="Normal 11 3 2 2 3 2 2 2 2" xfId="41136" xr:uid="{00000000-0005-0000-0000-00000F9E0000}"/>
    <cellStyle name="Normal 11 3 2 2 3 2 2 2 2 2" xfId="41137" xr:uid="{00000000-0005-0000-0000-0000109E0000}"/>
    <cellStyle name="Normal 11 3 2 2 3 2 2 2 2 2 2" xfId="41138" xr:uid="{00000000-0005-0000-0000-0000119E0000}"/>
    <cellStyle name="Normal 11 3 2 2 3 2 2 2 2 3" xfId="41139" xr:uid="{00000000-0005-0000-0000-0000129E0000}"/>
    <cellStyle name="Normal 11 3 2 2 3 2 2 2 3" xfId="41140" xr:uid="{00000000-0005-0000-0000-0000139E0000}"/>
    <cellStyle name="Normal 11 3 2 2 3 2 2 2 3 2" xfId="41141" xr:uid="{00000000-0005-0000-0000-0000149E0000}"/>
    <cellStyle name="Normal 11 3 2 2 3 2 2 2 4" xfId="41142" xr:uid="{00000000-0005-0000-0000-0000159E0000}"/>
    <cellStyle name="Normal 11 3 2 2 3 2 2 3" xfId="41143" xr:uid="{00000000-0005-0000-0000-0000169E0000}"/>
    <cellStyle name="Normal 11 3 2 2 3 2 2 3 2" xfId="41144" xr:uid="{00000000-0005-0000-0000-0000179E0000}"/>
    <cellStyle name="Normal 11 3 2 2 3 2 2 3 2 2" xfId="41145" xr:uid="{00000000-0005-0000-0000-0000189E0000}"/>
    <cellStyle name="Normal 11 3 2 2 3 2 2 3 2 2 2" xfId="41146" xr:uid="{00000000-0005-0000-0000-0000199E0000}"/>
    <cellStyle name="Normal 11 3 2 2 3 2 2 3 2 3" xfId="41147" xr:uid="{00000000-0005-0000-0000-00001A9E0000}"/>
    <cellStyle name="Normal 11 3 2 2 3 2 2 3 3" xfId="41148" xr:uid="{00000000-0005-0000-0000-00001B9E0000}"/>
    <cellStyle name="Normal 11 3 2 2 3 2 2 3 3 2" xfId="41149" xr:uid="{00000000-0005-0000-0000-00001C9E0000}"/>
    <cellStyle name="Normal 11 3 2 2 3 2 2 3 4" xfId="41150" xr:uid="{00000000-0005-0000-0000-00001D9E0000}"/>
    <cellStyle name="Normal 11 3 2 2 3 2 2 4" xfId="41151" xr:uid="{00000000-0005-0000-0000-00001E9E0000}"/>
    <cellStyle name="Normal 11 3 2 2 3 2 2 4 2" xfId="41152" xr:uid="{00000000-0005-0000-0000-00001F9E0000}"/>
    <cellStyle name="Normal 11 3 2 2 3 2 2 4 2 2" xfId="41153" xr:uid="{00000000-0005-0000-0000-0000209E0000}"/>
    <cellStyle name="Normal 11 3 2 2 3 2 2 4 3" xfId="41154" xr:uid="{00000000-0005-0000-0000-0000219E0000}"/>
    <cellStyle name="Normal 11 3 2 2 3 2 2 5" xfId="41155" xr:uid="{00000000-0005-0000-0000-0000229E0000}"/>
    <cellStyle name="Normal 11 3 2 2 3 2 2 5 2" xfId="41156" xr:uid="{00000000-0005-0000-0000-0000239E0000}"/>
    <cellStyle name="Normal 11 3 2 2 3 2 2 6" xfId="41157" xr:uid="{00000000-0005-0000-0000-0000249E0000}"/>
    <cellStyle name="Normal 11 3 2 2 3 2 2 7" xfId="41134" xr:uid="{00000000-0005-0000-0000-0000259E0000}"/>
    <cellStyle name="Normal 11 3 2 2 3 2 3" xfId="41158" xr:uid="{00000000-0005-0000-0000-0000269E0000}"/>
    <cellStyle name="Normal 11 3 2 2 3 2 3 2" xfId="41159" xr:uid="{00000000-0005-0000-0000-0000279E0000}"/>
    <cellStyle name="Normal 11 3 2 2 3 2 3 2 2" xfId="41160" xr:uid="{00000000-0005-0000-0000-0000289E0000}"/>
    <cellStyle name="Normal 11 3 2 2 3 2 3 2 2 2" xfId="41161" xr:uid="{00000000-0005-0000-0000-0000299E0000}"/>
    <cellStyle name="Normal 11 3 2 2 3 2 3 2 2 2 2" xfId="41162" xr:uid="{00000000-0005-0000-0000-00002A9E0000}"/>
    <cellStyle name="Normal 11 3 2 2 3 2 3 2 2 3" xfId="41163" xr:uid="{00000000-0005-0000-0000-00002B9E0000}"/>
    <cellStyle name="Normal 11 3 2 2 3 2 3 2 3" xfId="41164" xr:uid="{00000000-0005-0000-0000-00002C9E0000}"/>
    <cellStyle name="Normal 11 3 2 2 3 2 3 2 3 2" xfId="41165" xr:uid="{00000000-0005-0000-0000-00002D9E0000}"/>
    <cellStyle name="Normal 11 3 2 2 3 2 3 2 4" xfId="41166" xr:uid="{00000000-0005-0000-0000-00002E9E0000}"/>
    <cellStyle name="Normal 11 3 2 2 3 2 3 3" xfId="41167" xr:uid="{00000000-0005-0000-0000-00002F9E0000}"/>
    <cellStyle name="Normal 11 3 2 2 3 2 3 3 2" xfId="41168" xr:uid="{00000000-0005-0000-0000-0000309E0000}"/>
    <cellStyle name="Normal 11 3 2 2 3 2 3 3 2 2" xfId="41169" xr:uid="{00000000-0005-0000-0000-0000319E0000}"/>
    <cellStyle name="Normal 11 3 2 2 3 2 3 3 3" xfId="41170" xr:uid="{00000000-0005-0000-0000-0000329E0000}"/>
    <cellStyle name="Normal 11 3 2 2 3 2 3 4" xfId="41171" xr:uid="{00000000-0005-0000-0000-0000339E0000}"/>
    <cellStyle name="Normal 11 3 2 2 3 2 3 4 2" xfId="41172" xr:uid="{00000000-0005-0000-0000-0000349E0000}"/>
    <cellStyle name="Normal 11 3 2 2 3 2 3 5" xfId="41173" xr:uid="{00000000-0005-0000-0000-0000359E0000}"/>
    <cellStyle name="Normal 11 3 2 2 3 2 4" xfId="41174" xr:uid="{00000000-0005-0000-0000-0000369E0000}"/>
    <cellStyle name="Normal 11 3 2 2 3 2 4 2" xfId="41175" xr:uid="{00000000-0005-0000-0000-0000379E0000}"/>
    <cellStyle name="Normal 11 3 2 2 3 2 4 2 2" xfId="41176" xr:uid="{00000000-0005-0000-0000-0000389E0000}"/>
    <cellStyle name="Normal 11 3 2 2 3 2 4 2 2 2" xfId="41177" xr:uid="{00000000-0005-0000-0000-0000399E0000}"/>
    <cellStyle name="Normal 11 3 2 2 3 2 4 2 2 2 2" xfId="41178" xr:uid="{00000000-0005-0000-0000-00003A9E0000}"/>
    <cellStyle name="Normal 11 3 2 2 3 2 4 2 2 3" xfId="41179" xr:uid="{00000000-0005-0000-0000-00003B9E0000}"/>
    <cellStyle name="Normal 11 3 2 2 3 2 4 2 3" xfId="41180" xr:uid="{00000000-0005-0000-0000-00003C9E0000}"/>
    <cellStyle name="Normal 11 3 2 2 3 2 4 2 3 2" xfId="41181" xr:uid="{00000000-0005-0000-0000-00003D9E0000}"/>
    <cellStyle name="Normal 11 3 2 2 3 2 4 2 4" xfId="41182" xr:uid="{00000000-0005-0000-0000-00003E9E0000}"/>
    <cellStyle name="Normal 11 3 2 2 3 2 4 3" xfId="41183" xr:uid="{00000000-0005-0000-0000-00003F9E0000}"/>
    <cellStyle name="Normal 11 3 2 2 3 2 4 3 2" xfId="41184" xr:uid="{00000000-0005-0000-0000-0000409E0000}"/>
    <cellStyle name="Normal 11 3 2 2 3 2 4 3 2 2" xfId="41185" xr:uid="{00000000-0005-0000-0000-0000419E0000}"/>
    <cellStyle name="Normal 11 3 2 2 3 2 4 3 3" xfId="41186" xr:uid="{00000000-0005-0000-0000-0000429E0000}"/>
    <cellStyle name="Normal 11 3 2 2 3 2 4 4" xfId="41187" xr:uid="{00000000-0005-0000-0000-0000439E0000}"/>
    <cellStyle name="Normal 11 3 2 2 3 2 4 4 2" xfId="41188" xr:uid="{00000000-0005-0000-0000-0000449E0000}"/>
    <cellStyle name="Normal 11 3 2 2 3 2 4 5" xfId="41189" xr:uid="{00000000-0005-0000-0000-0000459E0000}"/>
    <cellStyle name="Normal 11 3 2 2 3 2 5" xfId="41190" xr:uid="{00000000-0005-0000-0000-0000469E0000}"/>
    <cellStyle name="Normal 11 3 2 2 3 2 5 2" xfId="41191" xr:uid="{00000000-0005-0000-0000-0000479E0000}"/>
    <cellStyle name="Normal 11 3 2 2 3 2 5 2 2" xfId="41192" xr:uid="{00000000-0005-0000-0000-0000489E0000}"/>
    <cellStyle name="Normal 11 3 2 2 3 2 5 2 2 2" xfId="41193" xr:uid="{00000000-0005-0000-0000-0000499E0000}"/>
    <cellStyle name="Normal 11 3 2 2 3 2 5 2 3" xfId="41194" xr:uid="{00000000-0005-0000-0000-00004A9E0000}"/>
    <cellStyle name="Normal 11 3 2 2 3 2 5 3" xfId="41195" xr:uid="{00000000-0005-0000-0000-00004B9E0000}"/>
    <cellStyle name="Normal 11 3 2 2 3 2 5 3 2" xfId="41196" xr:uid="{00000000-0005-0000-0000-00004C9E0000}"/>
    <cellStyle name="Normal 11 3 2 2 3 2 5 4" xfId="41197" xr:uid="{00000000-0005-0000-0000-00004D9E0000}"/>
    <cellStyle name="Normal 11 3 2 2 3 2 6" xfId="41198" xr:uid="{00000000-0005-0000-0000-00004E9E0000}"/>
    <cellStyle name="Normal 11 3 2 2 3 2 6 2" xfId="41199" xr:uid="{00000000-0005-0000-0000-00004F9E0000}"/>
    <cellStyle name="Normal 11 3 2 2 3 2 6 2 2" xfId="41200" xr:uid="{00000000-0005-0000-0000-0000509E0000}"/>
    <cellStyle name="Normal 11 3 2 2 3 2 6 2 2 2" xfId="41201" xr:uid="{00000000-0005-0000-0000-0000519E0000}"/>
    <cellStyle name="Normal 11 3 2 2 3 2 6 2 3" xfId="41202" xr:uid="{00000000-0005-0000-0000-0000529E0000}"/>
    <cellStyle name="Normal 11 3 2 2 3 2 6 3" xfId="41203" xr:uid="{00000000-0005-0000-0000-0000539E0000}"/>
    <cellStyle name="Normal 11 3 2 2 3 2 6 3 2" xfId="41204" xr:uid="{00000000-0005-0000-0000-0000549E0000}"/>
    <cellStyle name="Normal 11 3 2 2 3 2 6 4" xfId="41205" xr:uid="{00000000-0005-0000-0000-0000559E0000}"/>
    <cellStyle name="Normal 11 3 2 2 3 2 7" xfId="41206" xr:uid="{00000000-0005-0000-0000-0000569E0000}"/>
    <cellStyle name="Normal 11 3 2 2 3 2 7 2" xfId="41207" xr:uid="{00000000-0005-0000-0000-0000579E0000}"/>
    <cellStyle name="Normal 11 3 2 2 3 2 7 2 2" xfId="41208" xr:uid="{00000000-0005-0000-0000-0000589E0000}"/>
    <cellStyle name="Normal 11 3 2 2 3 2 7 2 2 2" xfId="41209" xr:uid="{00000000-0005-0000-0000-0000599E0000}"/>
    <cellStyle name="Normal 11 3 2 2 3 2 7 2 3" xfId="41210" xr:uid="{00000000-0005-0000-0000-00005A9E0000}"/>
    <cellStyle name="Normal 11 3 2 2 3 2 7 3" xfId="41211" xr:uid="{00000000-0005-0000-0000-00005B9E0000}"/>
    <cellStyle name="Normal 11 3 2 2 3 2 7 3 2" xfId="41212" xr:uid="{00000000-0005-0000-0000-00005C9E0000}"/>
    <cellStyle name="Normal 11 3 2 2 3 2 7 4" xfId="41213" xr:uid="{00000000-0005-0000-0000-00005D9E0000}"/>
    <cellStyle name="Normal 11 3 2 2 3 2 8" xfId="41214" xr:uid="{00000000-0005-0000-0000-00005E9E0000}"/>
    <cellStyle name="Normal 11 3 2 2 3 2 8 2" xfId="41215" xr:uid="{00000000-0005-0000-0000-00005F9E0000}"/>
    <cellStyle name="Normal 11 3 2 2 3 2 8 2 2" xfId="41216" xr:uid="{00000000-0005-0000-0000-0000609E0000}"/>
    <cellStyle name="Normal 11 3 2 2 3 2 8 3" xfId="41217" xr:uid="{00000000-0005-0000-0000-0000619E0000}"/>
    <cellStyle name="Normal 11 3 2 2 3 2 9" xfId="41218" xr:uid="{00000000-0005-0000-0000-0000629E0000}"/>
    <cellStyle name="Normal 11 3 2 2 3 2 9 2" xfId="41219" xr:uid="{00000000-0005-0000-0000-0000639E0000}"/>
    <cellStyle name="Normal 11 3 2 2 3 3" xfId="1457" xr:uid="{00000000-0005-0000-0000-0000649E0000}"/>
    <cellStyle name="Normal 11 3 2 2 3 3 2" xfId="41221" xr:uid="{00000000-0005-0000-0000-0000659E0000}"/>
    <cellStyle name="Normal 11 3 2 2 3 3 2 2" xfId="41222" xr:uid="{00000000-0005-0000-0000-0000669E0000}"/>
    <cellStyle name="Normal 11 3 2 2 3 3 2 2 2" xfId="41223" xr:uid="{00000000-0005-0000-0000-0000679E0000}"/>
    <cellStyle name="Normal 11 3 2 2 3 3 2 2 2 2" xfId="41224" xr:uid="{00000000-0005-0000-0000-0000689E0000}"/>
    <cellStyle name="Normal 11 3 2 2 3 3 2 2 3" xfId="41225" xr:uid="{00000000-0005-0000-0000-0000699E0000}"/>
    <cellStyle name="Normal 11 3 2 2 3 3 2 3" xfId="41226" xr:uid="{00000000-0005-0000-0000-00006A9E0000}"/>
    <cellStyle name="Normal 11 3 2 2 3 3 2 3 2" xfId="41227" xr:uid="{00000000-0005-0000-0000-00006B9E0000}"/>
    <cellStyle name="Normal 11 3 2 2 3 3 2 4" xfId="41228" xr:uid="{00000000-0005-0000-0000-00006C9E0000}"/>
    <cellStyle name="Normal 11 3 2 2 3 3 3" xfId="41229" xr:uid="{00000000-0005-0000-0000-00006D9E0000}"/>
    <cellStyle name="Normal 11 3 2 2 3 3 3 2" xfId="41230" xr:uid="{00000000-0005-0000-0000-00006E9E0000}"/>
    <cellStyle name="Normal 11 3 2 2 3 3 3 2 2" xfId="41231" xr:uid="{00000000-0005-0000-0000-00006F9E0000}"/>
    <cellStyle name="Normal 11 3 2 2 3 3 3 2 2 2" xfId="41232" xr:uid="{00000000-0005-0000-0000-0000709E0000}"/>
    <cellStyle name="Normal 11 3 2 2 3 3 3 2 3" xfId="41233" xr:uid="{00000000-0005-0000-0000-0000719E0000}"/>
    <cellStyle name="Normal 11 3 2 2 3 3 3 3" xfId="41234" xr:uid="{00000000-0005-0000-0000-0000729E0000}"/>
    <cellStyle name="Normal 11 3 2 2 3 3 3 3 2" xfId="41235" xr:uid="{00000000-0005-0000-0000-0000739E0000}"/>
    <cellStyle name="Normal 11 3 2 2 3 3 3 4" xfId="41236" xr:uid="{00000000-0005-0000-0000-0000749E0000}"/>
    <cellStyle name="Normal 11 3 2 2 3 3 4" xfId="41237" xr:uid="{00000000-0005-0000-0000-0000759E0000}"/>
    <cellStyle name="Normal 11 3 2 2 3 3 4 2" xfId="41238" xr:uid="{00000000-0005-0000-0000-0000769E0000}"/>
    <cellStyle name="Normal 11 3 2 2 3 3 4 2 2" xfId="41239" xr:uid="{00000000-0005-0000-0000-0000779E0000}"/>
    <cellStyle name="Normal 11 3 2 2 3 3 4 3" xfId="41240" xr:uid="{00000000-0005-0000-0000-0000789E0000}"/>
    <cellStyle name="Normal 11 3 2 2 3 3 5" xfId="41241" xr:uid="{00000000-0005-0000-0000-0000799E0000}"/>
    <cellStyle name="Normal 11 3 2 2 3 3 5 2" xfId="41242" xr:uid="{00000000-0005-0000-0000-00007A9E0000}"/>
    <cellStyle name="Normal 11 3 2 2 3 3 6" xfId="41243" xr:uid="{00000000-0005-0000-0000-00007B9E0000}"/>
    <cellStyle name="Normal 11 3 2 2 3 3 7" xfId="41220" xr:uid="{00000000-0005-0000-0000-00007C9E0000}"/>
    <cellStyle name="Normal 11 3 2 2 3 4" xfId="41244" xr:uid="{00000000-0005-0000-0000-00007D9E0000}"/>
    <cellStyle name="Normal 11 3 2 2 3 4 2" xfId="41245" xr:uid="{00000000-0005-0000-0000-00007E9E0000}"/>
    <cellStyle name="Normal 11 3 2 2 3 4 2 2" xfId="41246" xr:uid="{00000000-0005-0000-0000-00007F9E0000}"/>
    <cellStyle name="Normal 11 3 2 2 3 4 2 2 2" xfId="41247" xr:uid="{00000000-0005-0000-0000-0000809E0000}"/>
    <cellStyle name="Normal 11 3 2 2 3 4 2 2 2 2" xfId="41248" xr:uid="{00000000-0005-0000-0000-0000819E0000}"/>
    <cellStyle name="Normal 11 3 2 2 3 4 2 2 3" xfId="41249" xr:uid="{00000000-0005-0000-0000-0000829E0000}"/>
    <cellStyle name="Normal 11 3 2 2 3 4 2 3" xfId="41250" xr:uid="{00000000-0005-0000-0000-0000839E0000}"/>
    <cellStyle name="Normal 11 3 2 2 3 4 2 3 2" xfId="41251" xr:uid="{00000000-0005-0000-0000-0000849E0000}"/>
    <cellStyle name="Normal 11 3 2 2 3 4 2 4" xfId="41252" xr:uid="{00000000-0005-0000-0000-0000859E0000}"/>
    <cellStyle name="Normal 11 3 2 2 3 4 3" xfId="41253" xr:uid="{00000000-0005-0000-0000-0000869E0000}"/>
    <cellStyle name="Normal 11 3 2 2 3 4 3 2" xfId="41254" xr:uid="{00000000-0005-0000-0000-0000879E0000}"/>
    <cellStyle name="Normal 11 3 2 2 3 4 3 2 2" xfId="41255" xr:uid="{00000000-0005-0000-0000-0000889E0000}"/>
    <cellStyle name="Normal 11 3 2 2 3 4 3 3" xfId="41256" xr:uid="{00000000-0005-0000-0000-0000899E0000}"/>
    <cellStyle name="Normal 11 3 2 2 3 4 4" xfId="41257" xr:uid="{00000000-0005-0000-0000-00008A9E0000}"/>
    <cellStyle name="Normal 11 3 2 2 3 4 4 2" xfId="41258" xr:uid="{00000000-0005-0000-0000-00008B9E0000}"/>
    <cellStyle name="Normal 11 3 2 2 3 4 5" xfId="41259" xr:uid="{00000000-0005-0000-0000-00008C9E0000}"/>
    <cellStyle name="Normal 11 3 2 2 3 5" xfId="41260" xr:uid="{00000000-0005-0000-0000-00008D9E0000}"/>
    <cellStyle name="Normal 11 3 2 2 3 5 2" xfId="41261" xr:uid="{00000000-0005-0000-0000-00008E9E0000}"/>
    <cellStyle name="Normal 11 3 2 2 3 5 2 2" xfId="41262" xr:uid="{00000000-0005-0000-0000-00008F9E0000}"/>
    <cellStyle name="Normal 11 3 2 2 3 5 2 2 2" xfId="41263" xr:uid="{00000000-0005-0000-0000-0000909E0000}"/>
    <cellStyle name="Normal 11 3 2 2 3 5 2 2 2 2" xfId="41264" xr:uid="{00000000-0005-0000-0000-0000919E0000}"/>
    <cellStyle name="Normal 11 3 2 2 3 5 2 2 3" xfId="41265" xr:uid="{00000000-0005-0000-0000-0000929E0000}"/>
    <cellStyle name="Normal 11 3 2 2 3 5 2 3" xfId="41266" xr:uid="{00000000-0005-0000-0000-0000939E0000}"/>
    <cellStyle name="Normal 11 3 2 2 3 5 2 3 2" xfId="41267" xr:uid="{00000000-0005-0000-0000-0000949E0000}"/>
    <cellStyle name="Normal 11 3 2 2 3 5 2 4" xfId="41268" xr:uid="{00000000-0005-0000-0000-0000959E0000}"/>
    <cellStyle name="Normal 11 3 2 2 3 5 3" xfId="41269" xr:uid="{00000000-0005-0000-0000-0000969E0000}"/>
    <cellStyle name="Normal 11 3 2 2 3 5 3 2" xfId="41270" xr:uid="{00000000-0005-0000-0000-0000979E0000}"/>
    <cellStyle name="Normal 11 3 2 2 3 5 3 2 2" xfId="41271" xr:uid="{00000000-0005-0000-0000-0000989E0000}"/>
    <cellStyle name="Normal 11 3 2 2 3 5 3 3" xfId="41272" xr:uid="{00000000-0005-0000-0000-0000999E0000}"/>
    <cellStyle name="Normal 11 3 2 2 3 5 4" xfId="41273" xr:uid="{00000000-0005-0000-0000-00009A9E0000}"/>
    <cellStyle name="Normal 11 3 2 2 3 5 4 2" xfId="41274" xr:uid="{00000000-0005-0000-0000-00009B9E0000}"/>
    <cellStyle name="Normal 11 3 2 2 3 5 5" xfId="41275" xr:uid="{00000000-0005-0000-0000-00009C9E0000}"/>
    <cellStyle name="Normal 11 3 2 2 3 6" xfId="41276" xr:uid="{00000000-0005-0000-0000-00009D9E0000}"/>
    <cellStyle name="Normal 11 3 2 2 3 6 2" xfId="41277" xr:uid="{00000000-0005-0000-0000-00009E9E0000}"/>
    <cellStyle name="Normal 11 3 2 2 3 6 2 2" xfId="41278" xr:uid="{00000000-0005-0000-0000-00009F9E0000}"/>
    <cellStyle name="Normal 11 3 2 2 3 6 2 2 2" xfId="41279" xr:uid="{00000000-0005-0000-0000-0000A09E0000}"/>
    <cellStyle name="Normal 11 3 2 2 3 6 2 3" xfId="41280" xr:uid="{00000000-0005-0000-0000-0000A19E0000}"/>
    <cellStyle name="Normal 11 3 2 2 3 6 3" xfId="41281" xr:uid="{00000000-0005-0000-0000-0000A29E0000}"/>
    <cellStyle name="Normal 11 3 2 2 3 6 3 2" xfId="41282" xr:uid="{00000000-0005-0000-0000-0000A39E0000}"/>
    <cellStyle name="Normal 11 3 2 2 3 6 4" xfId="41283" xr:uid="{00000000-0005-0000-0000-0000A49E0000}"/>
    <cellStyle name="Normal 11 3 2 2 3 7" xfId="41284" xr:uid="{00000000-0005-0000-0000-0000A59E0000}"/>
    <cellStyle name="Normal 11 3 2 2 3 7 2" xfId="41285" xr:uid="{00000000-0005-0000-0000-0000A69E0000}"/>
    <cellStyle name="Normal 11 3 2 2 3 7 2 2" xfId="41286" xr:uid="{00000000-0005-0000-0000-0000A79E0000}"/>
    <cellStyle name="Normal 11 3 2 2 3 7 2 2 2" xfId="41287" xr:uid="{00000000-0005-0000-0000-0000A89E0000}"/>
    <cellStyle name="Normal 11 3 2 2 3 7 2 3" xfId="41288" xr:uid="{00000000-0005-0000-0000-0000A99E0000}"/>
    <cellStyle name="Normal 11 3 2 2 3 7 3" xfId="41289" xr:uid="{00000000-0005-0000-0000-0000AA9E0000}"/>
    <cellStyle name="Normal 11 3 2 2 3 7 3 2" xfId="41290" xr:uid="{00000000-0005-0000-0000-0000AB9E0000}"/>
    <cellStyle name="Normal 11 3 2 2 3 7 4" xfId="41291" xr:uid="{00000000-0005-0000-0000-0000AC9E0000}"/>
    <cellStyle name="Normal 11 3 2 2 3 8" xfId="41292" xr:uid="{00000000-0005-0000-0000-0000AD9E0000}"/>
    <cellStyle name="Normal 11 3 2 2 3 8 2" xfId="41293" xr:uid="{00000000-0005-0000-0000-0000AE9E0000}"/>
    <cellStyle name="Normal 11 3 2 2 3 8 2 2" xfId="41294" xr:uid="{00000000-0005-0000-0000-0000AF9E0000}"/>
    <cellStyle name="Normal 11 3 2 2 3 8 2 2 2" xfId="41295" xr:uid="{00000000-0005-0000-0000-0000B09E0000}"/>
    <cellStyle name="Normal 11 3 2 2 3 8 2 3" xfId="41296" xr:uid="{00000000-0005-0000-0000-0000B19E0000}"/>
    <cellStyle name="Normal 11 3 2 2 3 8 3" xfId="41297" xr:uid="{00000000-0005-0000-0000-0000B29E0000}"/>
    <cellStyle name="Normal 11 3 2 2 3 8 3 2" xfId="41298" xr:uid="{00000000-0005-0000-0000-0000B39E0000}"/>
    <cellStyle name="Normal 11 3 2 2 3 8 4" xfId="41299" xr:uid="{00000000-0005-0000-0000-0000B49E0000}"/>
    <cellStyle name="Normal 11 3 2 2 3 9" xfId="41300" xr:uid="{00000000-0005-0000-0000-0000B59E0000}"/>
    <cellStyle name="Normal 11 3 2 2 3 9 2" xfId="41301" xr:uid="{00000000-0005-0000-0000-0000B69E0000}"/>
    <cellStyle name="Normal 11 3 2 2 3 9 2 2" xfId="41302" xr:uid="{00000000-0005-0000-0000-0000B79E0000}"/>
    <cellStyle name="Normal 11 3 2 2 3 9 3" xfId="41303" xr:uid="{00000000-0005-0000-0000-0000B89E0000}"/>
    <cellStyle name="Normal 11 3 2 2 4" xfId="614" xr:uid="{00000000-0005-0000-0000-0000B99E0000}"/>
    <cellStyle name="Normal 11 3 2 2 4 10" xfId="41305" xr:uid="{00000000-0005-0000-0000-0000BA9E0000}"/>
    <cellStyle name="Normal 11 3 2 2 4 10 2" xfId="41306" xr:uid="{00000000-0005-0000-0000-0000BB9E0000}"/>
    <cellStyle name="Normal 11 3 2 2 4 10 2 2" xfId="41307" xr:uid="{00000000-0005-0000-0000-0000BC9E0000}"/>
    <cellStyle name="Normal 11 3 2 2 4 10 3" xfId="41308" xr:uid="{00000000-0005-0000-0000-0000BD9E0000}"/>
    <cellStyle name="Normal 11 3 2 2 4 11" xfId="41309" xr:uid="{00000000-0005-0000-0000-0000BE9E0000}"/>
    <cellStyle name="Normal 11 3 2 2 4 11 2" xfId="41310" xr:uid="{00000000-0005-0000-0000-0000BF9E0000}"/>
    <cellStyle name="Normal 11 3 2 2 4 11 2 2" xfId="41311" xr:uid="{00000000-0005-0000-0000-0000C09E0000}"/>
    <cellStyle name="Normal 11 3 2 2 4 11 3" xfId="41312" xr:uid="{00000000-0005-0000-0000-0000C19E0000}"/>
    <cellStyle name="Normal 11 3 2 2 4 12" xfId="41313" xr:uid="{00000000-0005-0000-0000-0000C29E0000}"/>
    <cellStyle name="Normal 11 3 2 2 4 12 2" xfId="41314" xr:uid="{00000000-0005-0000-0000-0000C39E0000}"/>
    <cellStyle name="Normal 11 3 2 2 4 13" xfId="41315" xr:uid="{00000000-0005-0000-0000-0000C49E0000}"/>
    <cellStyle name="Normal 11 3 2 2 4 14" xfId="41316" xr:uid="{00000000-0005-0000-0000-0000C59E0000}"/>
    <cellStyle name="Normal 11 3 2 2 4 15" xfId="41304" xr:uid="{00000000-0005-0000-0000-0000C69E0000}"/>
    <cellStyle name="Normal 11 3 2 2 4 2" xfId="1056" xr:uid="{00000000-0005-0000-0000-0000C79E0000}"/>
    <cellStyle name="Normal 11 3 2 2 4 2 10" xfId="41318" xr:uid="{00000000-0005-0000-0000-0000C89E0000}"/>
    <cellStyle name="Normal 11 3 2 2 4 2 11" xfId="41317" xr:uid="{00000000-0005-0000-0000-0000C99E0000}"/>
    <cellStyle name="Normal 11 3 2 2 4 2 2" xfId="1785" xr:uid="{00000000-0005-0000-0000-0000CA9E0000}"/>
    <cellStyle name="Normal 11 3 2 2 4 2 2 2" xfId="41320" xr:uid="{00000000-0005-0000-0000-0000CB9E0000}"/>
    <cellStyle name="Normal 11 3 2 2 4 2 2 2 2" xfId="41321" xr:uid="{00000000-0005-0000-0000-0000CC9E0000}"/>
    <cellStyle name="Normal 11 3 2 2 4 2 2 2 2 2" xfId="41322" xr:uid="{00000000-0005-0000-0000-0000CD9E0000}"/>
    <cellStyle name="Normal 11 3 2 2 4 2 2 2 2 2 2" xfId="41323" xr:uid="{00000000-0005-0000-0000-0000CE9E0000}"/>
    <cellStyle name="Normal 11 3 2 2 4 2 2 2 2 3" xfId="41324" xr:uid="{00000000-0005-0000-0000-0000CF9E0000}"/>
    <cellStyle name="Normal 11 3 2 2 4 2 2 2 3" xfId="41325" xr:uid="{00000000-0005-0000-0000-0000D09E0000}"/>
    <cellStyle name="Normal 11 3 2 2 4 2 2 2 3 2" xfId="41326" xr:uid="{00000000-0005-0000-0000-0000D19E0000}"/>
    <cellStyle name="Normal 11 3 2 2 4 2 2 2 4" xfId="41327" xr:uid="{00000000-0005-0000-0000-0000D29E0000}"/>
    <cellStyle name="Normal 11 3 2 2 4 2 2 3" xfId="41328" xr:uid="{00000000-0005-0000-0000-0000D39E0000}"/>
    <cellStyle name="Normal 11 3 2 2 4 2 2 3 2" xfId="41329" xr:uid="{00000000-0005-0000-0000-0000D49E0000}"/>
    <cellStyle name="Normal 11 3 2 2 4 2 2 3 2 2" xfId="41330" xr:uid="{00000000-0005-0000-0000-0000D59E0000}"/>
    <cellStyle name="Normal 11 3 2 2 4 2 2 3 2 2 2" xfId="41331" xr:uid="{00000000-0005-0000-0000-0000D69E0000}"/>
    <cellStyle name="Normal 11 3 2 2 4 2 2 3 2 3" xfId="41332" xr:uid="{00000000-0005-0000-0000-0000D79E0000}"/>
    <cellStyle name="Normal 11 3 2 2 4 2 2 3 3" xfId="41333" xr:uid="{00000000-0005-0000-0000-0000D89E0000}"/>
    <cellStyle name="Normal 11 3 2 2 4 2 2 3 3 2" xfId="41334" xr:uid="{00000000-0005-0000-0000-0000D99E0000}"/>
    <cellStyle name="Normal 11 3 2 2 4 2 2 3 4" xfId="41335" xr:uid="{00000000-0005-0000-0000-0000DA9E0000}"/>
    <cellStyle name="Normal 11 3 2 2 4 2 2 4" xfId="41336" xr:uid="{00000000-0005-0000-0000-0000DB9E0000}"/>
    <cellStyle name="Normal 11 3 2 2 4 2 2 4 2" xfId="41337" xr:uid="{00000000-0005-0000-0000-0000DC9E0000}"/>
    <cellStyle name="Normal 11 3 2 2 4 2 2 4 2 2" xfId="41338" xr:uid="{00000000-0005-0000-0000-0000DD9E0000}"/>
    <cellStyle name="Normal 11 3 2 2 4 2 2 4 3" xfId="41339" xr:uid="{00000000-0005-0000-0000-0000DE9E0000}"/>
    <cellStyle name="Normal 11 3 2 2 4 2 2 5" xfId="41340" xr:uid="{00000000-0005-0000-0000-0000DF9E0000}"/>
    <cellStyle name="Normal 11 3 2 2 4 2 2 5 2" xfId="41341" xr:uid="{00000000-0005-0000-0000-0000E09E0000}"/>
    <cellStyle name="Normal 11 3 2 2 4 2 2 6" xfId="41342" xr:uid="{00000000-0005-0000-0000-0000E19E0000}"/>
    <cellStyle name="Normal 11 3 2 2 4 2 2 7" xfId="41319" xr:uid="{00000000-0005-0000-0000-0000E29E0000}"/>
    <cellStyle name="Normal 11 3 2 2 4 2 3" xfId="41343" xr:uid="{00000000-0005-0000-0000-0000E39E0000}"/>
    <cellStyle name="Normal 11 3 2 2 4 2 3 2" xfId="41344" xr:uid="{00000000-0005-0000-0000-0000E49E0000}"/>
    <cellStyle name="Normal 11 3 2 2 4 2 3 2 2" xfId="41345" xr:uid="{00000000-0005-0000-0000-0000E59E0000}"/>
    <cellStyle name="Normal 11 3 2 2 4 2 3 2 2 2" xfId="41346" xr:uid="{00000000-0005-0000-0000-0000E69E0000}"/>
    <cellStyle name="Normal 11 3 2 2 4 2 3 2 2 2 2" xfId="41347" xr:uid="{00000000-0005-0000-0000-0000E79E0000}"/>
    <cellStyle name="Normal 11 3 2 2 4 2 3 2 2 3" xfId="41348" xr:uid="{00000000-0005-0000-0000-0000E89E0000}"/>
    <cellStyle name="Normal 11 3 2 2 4 2 3 2 3" xfId="41349" xr:uid="{00000000-0005-0000-0000-0000E99E0000}"/>
    <cellStyle name="Normal 11 3 2 2 4 2 3 2 3 2" xfId="41350" xr:uid="{00000000-0005-0000-0000-0000EA9E0000}"/>
    <cellStyle name="Normal 11 3 2 2 4 2 3 2 4" xfId="41351" xr:uid="{00000000-0005-0000-0000-0000EB9E0000}"/>
    <cellStyle name="Normal 11 3 2 2 4 2 3 3" xfId="41352" xr:uid="{00000000-0005-0000-0000-0000EC9E0000}"/>
    <cellStyle name="Normal 11 3 2 2 4 2 3 3 2" xfId="41353" xr:uid="{00000000-0005-0000-0000-0000ED9E0000}"/>
    <cellStyle name="Normal 11 3 2 2 4 2 3 3 2 2" xfId="41354" xr:uid="{00000000-0005-0000-0000-0000EE9E0000}"/>
    <cellStyle name="Normal 11 3 2 2 4 2 3 3 3" xfId="41355" xr:uid="{00000000-0005-0000-0000-0000EF9E0000}"/>
    <cellStyle name="Normal 11 3 2 2 4 2 3 4" xfId="41356" xr:uid="{00000000-0005-0000-0000-0000F09E0000}"/>
    <cellStyle name="Normal 11 3 2 2 4 2 3 4 2" xfId="41357" xr:uid="{00000000-0005-0000-0000-0000F19E0000}"/>
    <cellStyle name="Normal 11 3 2 2 4 2 3 5" xfId="41358" xr:uid="{00000000-0005-0000-0000-0000F29E0000}"/>
    <cellStyle name="Normal 11 3 2 2 4 2 4" xfId="41359" xr:uid="{00000000-0005-0000-0000-0000F39E0000}"/>
    <cellStyle name="Normal 11 3 2 2 4 2 4 2" xfId="41360" xr:uid="{00000000-0005-0000-0000-0000F49E0000}"/>
    <cellStyle name="Normal 11 3 2 2 4 2 4 2 2" xfId="41361" xr:uid="{00000000-0005-0000-0000-0000F59E0000}"/>
    <cellStyle name="Normal 11 3 2 2 4 2 4 2 2 2" xfId="41362" xr:uid="{00000000-0005-0000-0000-0000F69E0000}"/>
    <cellStyle name="Normal 11 3 2 2 4 2 4 2 2 2 2" xfId="41363" xr:uid="{00000000-0005-0000-0000-0000F79E0000}"/>
    <cellStyle name="Normal 11 3 2 2 4 2 4 2 2 3" xfId="41364" xr:uid="{00000000-0005-0000-0000-0000F89E0000}"/>
    <cellStyle name="Normal 11 3 2 2 4 2 4 2 3" xfId="41365" xr:uid="{00000000-0005-0000-0000-0000F99E0000}"/>
    <cellStyle name="Normal 11 3 2 2 4 2 4 2 3 2" xfId="41366" xr:uid="{00000000-0005-0000-0000-0000FA9E0000}"/>
    <cellStyle name="Normal 11 3 2 2 4 2 4 2 4" xfId="41367" xr:uid="{00000000-0005-0000-0000-0000FB9E0000}"/>
    <cellStyle name="Normal 11 3 2 2 4 2 4 3" xfId="41368" xr:uid="{00000000-0005-0000-0000-0000FC9E0000}"/>
    <cellStyle name="Normal 11 3 2 2 4 2 4 3 2" xfId="41369" xr:uid="{00000000-0005-0000-0000-0000FD9E0000}"/>
    <cellStyle name="Normal 11 3 2 2 4 2 4 3 2 2" xfId="41370" xr:uid="{00000000-0005-0000-0000-0000FE9E0000}"/>
    <cellStyle name="Normal 11 3 2 2 4 2 4 3 3" xfId="41371" xr:uid="{00000000-0005-0000-0000-0000FF9E0000}"/>
    <cellStyle name="Normal 11 3 2 2 4 2 4 4" xfId="41372" xr:uid="{00000000-0005-0000-0000-0000009F0000}"/>
    <cellStyle name="Normal 11 3 2 2 4 2 4 4 2" xfId="41373" xr:uid="{00000000-0005-0000-0000-0000019F0000}"/>
    <cellStyle name="Normal 11 3 2 2 4 2 4 5" xfId="41374" xr:uid="{00000000-0005-0000-0000-0000029F0000}"/>
    <cellStyle name="Normal 11 3 2 2 4 2 5" xfId="41375" xr:uid="{00000000-0005-0000-0000-0000039F0000}"/>
    <cellStyle name="Normal 11 3 2 2 4 2 5 2" xfId="41376" xr:uid="{00000000-0005-0000-0000-0000049F0000}"/>
    <cellStyle name="Normal 11 3 2 2 4 2 5 2 2" xfId="41377" xr:uid="{00000000-0005-0000-0000-0000059F0000}"/>
    <cellStyle name="Normal 11 3 2 2 4 2 5 2 2 2" xfId="41378" xr:uid="{00000000-0005-0000-0000-0000069F0000}"/>
    <cellStyle name="Normal 11 3 2 2 4 2 5 2 3" xfId="41379" xr:uid="{00000000-0005-0000-0000-0000079F0000}"/>
    <cellStyle name="Normal 11 3 2 2 4 2 5 3" xfId="41380" xr:uid="{00000000-0005-0000-0000-0000089F0000}"/>
    <cellStyle name="Normal 11 3 2 2 4 2 5 3 2" xfId="41381" xr:uid="{00000000-0005-0000-0000-0000099F0000}"/>
    <cellStyle name="Normal 11 3 2 2 4 2 5 4" xfId="41382" xr:uid="{00000000-0005-0000-0000-00000A9F0000}"/>
    <cellStyle name="Normal 11 3 2 2 4 2 6" xfId="41383" xr:uid="{00000000-0005-0000-0000-00000B9F0000}"/>
    <cellStyle name="Normal 11 3 2 2 4 2 6 2" xfId="41384" xr:uid="{00000000-0005-0000-0000-00000C9F0000}"/>
    <cellStyle name="Normal 11 3 2 2 4 2 6 2 2" xfId="41385" xr:uid="{00000000-0005-0000-0000-00000D9F0000}"/>
    <cellStyle name="Normal 11 3 2 2 4 2 6 2 2 2" xfId="41386" xr:uid="{00000000-0005-0000-0000-00000E9F0000}"/>
    <cellStyle name="Normal 11 3 2 2 4 2 6 2 3" xfId="41387" xr:uid="{00000000-0005-0000-0000-00000F9F0000}"/>
    <cellStyle name="Normal 11 3 2 2 4 2 6 3" xfId="41388" xr:uid="{00000000-0005-0000-0000-0000109F0000}"/>
    <cellStyle name="Normal 11 3 2 2 4 2 6 3 2" xfId="41389" xr:uid="{00000000-0005-0000-0000-0000119F0000}"/>
    <cellStyle name="Normal 11 3 2 2 4 2 6 4" xfId="41390" xr:uid="{00000000-0005-0000-0000-0000129F0000}"/>
    <cellStyle name="Normal 11 3 2 2 4 2 7" xfId="41391" xr:uid="{00000000-0005-0000-0000-0000139F0000}"/>
    <cellStyle name="Normal 11 3 2 2 4 2 7 2" xfId="41392" xr:uid="{00000000-0005-0000-0000-0000149F0000}"/>
    <cellStyle name="Normal 11 3 2 2 4 2 7 2 2" xfId="41393" xr:uid="{00000000-0005-0000-0000-0000159F0000}"/>
    <cellStyle name="Normal 11 3 2 2 4 2 7 2 2 2" xfId="41394" xr:uid="{00000000-0005-0000-0000-0000169F0000}"/>
    <cellStyle name="Normal 11 3 2 2 4 2 7 2 3" xfId="41395" xr:uid="{00000000-0005-0000-0000-0000179F0000}"/>
    <cellStyle name="Normal 11 3 2 2 4 2 7 3" xfId="41396" xr:uid="{00000000-0005-0000-0000-0000189F0000}"/>
    <cellStyle name="Normal 11 3 2 2 4 2 7 3 2" xfId="41397" xr:uid="{00000000-0005-0000-0000-0000199F0000}"/>
    <cellStyle name="Normal 11 3 2 2 4 2 7 4" xfId="41398" xr:uid="{00000000-0005-0000-0000-00001A9F0000}"/>
    <cellStyle name="Normal 11 3 2 2 4 2 8" xfId="41399" xr:uid="{00000000-0005-0000-0000-00001B9F0000}"/>
    <cellStyle name="Normal 11 3 2 2 4 2 8 2" xfId="41400" xr:uid="{00000000-0005-0000-0000-00001C9F0000}"/>
    <cellStyle name="Normal 11 3 2 2 4 2 8 2 2" xfId="41401" xr:uid="{00000000-0005-0000-0000-00001D9F0000}"/>
    <cellStyle name="Normal 11 3 2 2 4 2 8 3" xfId="41402" xr:uid="{00000000-0005-0000-0000-00001E9F0000}"/>
    <cellStyle name="Normal 11 3 2 2 4 2 9" xfId="41403" xr:uid="{00000000-0005-0000-0000-00001F9F0000}"/>
    <cellStyle name="Normal 11 3 2 2 4 2 9 2" xfId="41404" xr:uid="{00000000-0005-0000-0000-0000209F0000}"/>
    <cellStyle name="Normal 11 3 2 2 4 3" xfId="1458" xr:uid="{00000000-0005-0000-0000-0000219F0000}"/>
    <cellStyle name="Normal 11 3 2 2 4 3 2" xfId="41406" xr:uid="{00000000-0005-0000-0000-0000229F0000}"/>
    <cellStyle name="Normal 11 3 2 2 4 3 2 2" xfId="41407" xr:uid="{00000000-0005-0000-0000-0000239F0000}"/>
    <cellStyle name="Normal 11 3 2 2 4 3 2 2 2" xfId="41408" xr:uid="{00000000-0005-0000-0000-0000249F0000}"/>
    <cellStyle name="Normal 11 3 2 2 4 3 2 2 2 2" xfId="41409" xr:uid="{00000000-0005-0000-0000-0000259F0000}"/>
    <cellStyle name="Normal 11 3 2 2 4 3 2 2 3" xfId="41410" xr:uid="{00000000-0005-0000-0000-0000269F0000}"/>
    <cellStyle name="Normal 11 3 2 2 4 3 2 3" xfId="41411" xr:uid="{00000000-0005-0000-0000-0000279F0000}"/>
    <cellStyle name="Normal 11 3 2 2 4 3 2 3 2" xfId="41412" xr:uid="{00000000-0005-0000-0000-0000289F0000}"/>
    <cellStyle name="Normal 11 3 2 2 4 3 2 4" xfId="41413" xr:uid="{00000000-0005-0000-0000-0000299F0000}"/>
    <cellStyle name="Normal 11 3 2 2 4 3 3" xfId="41414" xr:uid="{00000000-0005-0000-0000-00002A9F0000}"/>
    <cellStyle name="Normal 11 3 2 2 4 3 3 2" xfId="41415" xr:uid="{00000000-0005-0000-0000-00002B9F0000}"/>
    <cellStyle name="Normal 11 3 2 2 4 3 3 2 2" xfId="41416" xr:uid="{00000000-0005-0000-0000-00002C9F0000}"/>
    <cellStyle name="Normal 11 3 2 2 4 3 3 2 2 2" xfId="41417" xr:uid="{00000000-0005-0000-0000-00002D9F0000}"/>
    <cellStyle name="Normal 11 3 2 2 4 3 3 2 3" xfId="41418" xr:uid="{00000000-0005-0000-0000-00002E9F0000}"/>
    <cellStyle name="Normal 11 3 2 2 4 3 3 3" xfId="41419" xr:uid="{00000000-0005-0000-0000-00002F9F0000}"/>
    <cellStyle name="Normal 11 3 2 2 4 3 3 3 2" xfId="41420" xr:uid="{00000000-0005-0000-0000-0000309F0000}"/>
    <cellStyle name="Normal 11 3 2 2 4 3 3 4" xfId="41421" xr:uid="{00000000-0005-0000-0000-0000319F0000}"/>
    <cellStyle name="Normal 11 3 2 2 4 3 4" xfId="41422" xr:uid="{00000000-0005-0000-0000-0000329F0000}"/>
    <cellStyle name="Normal 11 3 2 2 4 3 4 2" xfId="41423" xr:uid="{00000000-0005-0000-0000-0000339F0000}"/>
    <cellStyle name="Normal 11 3 2 2 4 3 4 2 2" xfId="41424" xr:uid="{00000000-0005-0000-0000-0000349F0000}"/>
    <cellStyle name="Normal 11 3 2 2 4 3 4 3" xfId="41425" xr:uid="{00000000-0005-0000-0000-0000359F0000}"/>
    <cellStyle name="Normal 11 3 2 2 4 3 5" xfId="41426" xr:uid="{00000000-0005-0000-0000-0000369F0000}"/>
    <cellStyle name="Normal 11 3 2 2 4 3 5 2" xfId="41427" xr:uid="{00000000-0005-0000-0000-0000379F0000}"/>
    <cellStyle name="Normal 11 3 2 2 4 3 6" xfId="41428" xr:uid="{00000000-0005-0000-0000-0000389F0000}"/>
    <cellStyle name="Normal 11 3 2 2 4 3 7" xfId="41405" xr:uid="{00000000-0005-0000-0000-0000399F0000}"/>
    <cellStyle name="Normal 11 3 2 2 4 4" xfId="41429" xr:uid="{00000000-0005-0000-0000-00003A9F0000}"/>
    <cellStyle name="Normal 11 3 2 2 4 4 2" xfId="41430" xr:uid="{00000000-0005-0000-0000-00003B9F0000}"/>
    <cellStyle name="Normal 11 3 2 2 4 4 2 2" xfId="41431" xr:uid="{00000000-0005-0000-0000-00003C9F0000}"/>
    <cellStyle name="Normal 11 3 2 2 4 4 2 2 2" xfId="41432" xr:uid="{00000000-0005-0000-0000-00003D9F0000}"/>
    <cellStyle name="Normal 11 3 2 2 4 4 2 2 2 2" xfId="41433" xr:uid="{00000000-0005-0000-0000-00003E9F0000}"/>
    <cellStyle name="Normal 11 3 2 2 4 4 2 2 3" xfId="41434" xr:uid="{00000000-0005-0000-0000-00003F9F0000}"/>
    <cellStyle name="Normal 11 3 2 2 4 4 2 3" xfId="41435" xr:uid="{00000000-0005-0000-0000-0000409F0000}"/>
    <cellStyle name="Normal 11 3 2 2 4 4 2 3 2" xfId="41436" xr:uid="{00000000-0005-0000-0000-0000419F0000}"/>
    <cellStyle name="Normal 11 3 2 2 4 4 2 4" xfId="41437" xr:uid="{00000000-0005-0000-0000-0000429F0000}"/>
    <cellStyle name="Normal 11 3 2 2 4 4 3" xfId="41438" xr:uid="{00000000-0005-0000-0000-0000439F0000}"/>
    <cellStyle name="Normal 11 3 2 2 4 4 3 2" xfId="41439" xr:uid="{00000000-0005-0000-0000-0000449F0000}"/>
    <cellStyle name="Normal 11 3 2 2 4 4 3 2 2" xfId="41440" xr:uid="{00000000-0005-0000-0000-0000459F0000}"/>
    <cellStyle name="Normal 11 3 2 2 4 4 3 3" xfId="41441" xr:uid="{00000000-0005-0000-0000-0000469F0000}"/>
    <cellStyle name="Normal 11 3 2 2 4 4 4" xfId="41442" xr:uid="{00000000-0005-0000-0000-0000479F0000}"/>
    <cellStyle name="Normal 11 3 2 2 4 4 4 2" xfId="41443" xr:uid="{00000000-0005-0000-0000-0000489F0000}"/>
    <cellStyle name="Normal 11 3 2 2 4 4 5" xfId="41444" xr:uid="{00000000-0005-0000-0000-0000499F0000}"/>
    <cellStyle name="Normal 11 3 2 2 4 5" xfId="41445" xr:uid="{00000000-0005-0000-0000-00004A9F0000}"/>
    <cellStyle name="Normal 11 3 2 2 4 5 2" xfId="41446" xr:uid="{00000000-0005-0000-0000-00004B9F0000}"/>
    <cellStyle name="Normal 11 3 2 2 4 5 2 2" xfId="41447" xr:uid="{00000000-0005-0000-0000-00004C9F0000}"/>
    <cellStyle name="Normal 11 3 2 2 4 5 2 2 2" xfId="41448" xr:uid="{00000000-0005-0000-0000-00004D9F0000}"/>
    <cellStyle name="Normal 11 3 2 2 4 5 2 2 2 2" xfId="41449" xr:uid="{00000000-0005-0000-0000-00004E9F0000}"/>
    <cellStyle name="Normal 11 3 2 2 4 5 2 2 3" xfId="41450" xr:uid="{00000000-0005-0000-0000-00004F9F0000}"/>
    <cellStyle name="Normal 11 3 2 2 4 5 2 3" xfId="41451" xr:uid="{00000000-0005-0000-0000-0000509F0000}"/>
    <cellStyle name="Normal 11 3 2 2 4 5 2 3 2" xfId="41452" xr:uid="{00000000-0005-0000-0000-0000519F0000}"/>
    <cellStyle name="Normal 11 3 2 2 4 5 2 4" xfId="41453" xr:uid="{00000000-0005-0000-0000-0000529F0000}"/>
    <cellStyle name="Normal 11 3 2 2 4 5 3" xfId="41454" xr:uid="{00000000-0005-0000-0000-0000539F0000}"/>
    <cellStyle name="Normal 11 3 2 2 4 5 3 2" xfId="41455" xr:uid="{00000000-0005-0000-0000-0000549F0000}"/>
    <cellStyle name="Normal 11 3 2 2 4 5 3 2 2" xfId="41456" xr:uid="{00000000-0005-0000-0000-0000559F0000}"/>
    <cellStyle name="Normal 11 3 2 2 4 5 3 3" xfId="41457" xr:uid="{00000000-0005-0000-0000-0000569F0000}"/>
    <cellStyle name="Normal 11 3 2 2 4 5 4" xfId="41458" xr:uid="{00000000-0005-0000-0000-0000579F0000}"/>
    <cellStyle name="Normal 11 3 2 2 4 5 4 2" xfId="41459" xr:uid="{00000000-0005-0000-0000-0000589F0000}"/>
    <cellStyle name="Normal 11 3 2 2 4 5 5" xfId="41460" xr:uid="{00000000-0005-0000-0000-0000599F0000}"/>
    <cellStyle name="Normal 11 3 2 2 4 6" xfId="41461" xr:uid="{00000000-0005-0000-0000-00005A9F0000}"/>
    <cellStyle name="Normal 11 3 2 2 4 6 2" xfId="41462" xr:uid="{00000000-0005-0000-0000-00005B9F0000}"/>
    <cellStyle name="Normal 11 3 2 2 4 6 2 2" xfId="41463" xr:uid="{00000000-0005-0000-0000-00005C9F0000}"/>
    <cellStyle name="Normal 11 3 2 2 4 6 2 2 2" xfId="41464" xr:uid="{00000000-0005-0000-0000-00005D9F0000}"/>
    <cellStyle name="Normal 11 3 2 2 4 6 2 3" xfId="41465" xr:uid="{00000000-0005-0000-0000-00005E9F0000}"/>
    <cellStyle name="Normal 11 3 2 2 4 6 3" xfId="41466" xr:uid="{00000000-0005-0000-0000-00005F9F0000}"/>
    <cellStyle name="Normal 11 3 2 2 4 6 3 2" xfId="41467" xr:uid="{00000000-0005-0000-0000-0000609F0000}"/>
    <cellStyle name="Normal 11 3 2 2 4 6 4" xfId="41468" xr:uid="{00000000-0005-0000-0000-0000619F0000}"/>
    <cellStyle name="Normal 11 3 2 2 4 7" xfId="41469" xr:uid="{00000000-0005-0000-0000-0000629F0000}"/>
    <cellStyle name="Normal 11 3 2 2 4 7 2" xfId="41470" xr:uid="{00000000-0005-0000-0000-0000639F0000}"/>
    <cellStyle name="Normal 11 3 2 2 4 7 2 2" xfId="41471" xr:uid="{00000000-0005-0000-0000-0000649F0000}"/>
    <cellStyle name="Normal 11 3 2 2 4 7 2 2 2" xfId="41472" xr:uid="{00000000-0005-0000-0000-0000659F0000}"/>
    <cellStyle name="Normal 11 3 2 2 4 7 2 3" xfId="41473" xr:uid="{00000000-0005-0000-0000-0000669F0000}"/>
    <cellStyle name="Normal 11 3 2 2 4 7 3" xfId="41474" xr:uid="{00000000-0005-0000-0000-0000679F0000}"/>
    <cellStyle name="Normal 11 3 2 2 4 7 3 2" xfId="41475" xr:uid="{00000000-0005-0000-0000-0000689F0000}"/>
    <cellStyle name="Normal 11 3 2 2 4 7 4" xfId="41476" xr:uid="{00000000-0005-0000-0000-0000699F0000}"/>
    <cellStyle name="Normal 11 3 2 2 4 8" xfId="41477" xr:uid="{00000000-0005-0000-0000-00006A9F0000}"/>
    <cellStyle name="Normal 11 3 2 2 4 8 2" xfId="41478" xr:uid="{00000000-0005-0000-0000-00006B9F0000}"/>
    <cellStyle name="Normal 11 3 2 2 4 8 2 2" xfId="41479" xr:uid="{00000000-0005-0000-0000-00006C9F0000}"/>
    <cellStyle name="Normal 11 3 2 2 4 8 2 2 2" xfId="41480" xr:uid="{00000000-0005-0000-0000-00006D9F0000}"/>
    <cellStyle name="Normal 11 3 2 2 4 8 2 3" xfId="41481" xr:uid="{00000000-0005-0000-0000-00006E9F0000}"/>
    <cellStyle name="Normal 11 3 2 2 4 8 3" xfId="41482" xr:uid="{00000000-0005-0000-0000-00006F9F0000}"/>
    <cellStyle name="Normal 11 3 2 2 4 8 3 2" xfId="41483" xr:uid="{00000000-0005-0000-0000-0000709F0000}"/>
    <cellStyle name="Normal 11 3 2 2 4 8 4" xfId="41484" xr:uid="{00000000-0005-0000-0000-0000719F0000}"/>
    <cellStyle name="Normal 11 3 2 2 4 9" xfId="41485" xr:uid="{00000000-0005-0000-0000-0000729F0000}"/>
    <cellStyle name="Normal 11 3 2 2 4 9 2" xfId="41486" xr:uid="{00000000-0005-0000-0000-0000739F0000}"/>
    <cellStyle name="Normal 11 3 2 2 4 9 2 2" xfId="41487" xr:uid="{00000000-0005-0000-0000-0000749F0000}"/>
    <cellStyle name="Normal 11 3 2 2 4 9 3" xfId="41488" xr:uid="{00000000-0005-0000-0000-0000759F0000}"/>
    <cellStyle name="Normal 11 3 2 2 5" xfId="1051" xr:uid="{00000000-0005-0000-0000-0000769F0000}"/>
    <cellStyle name="Normal 11 3 2 2 5 10" xfId="41490" xr:uid="{00000000-0005-0000-0000-0000779F0000}"/>
    <cellStyle name="Normal 11 3 2 2 5 11" xfId="41489" xr:uid="{00000000-0005-0000-0000-0000789F0000}"/>
    <cellStyle name="Normal 11 3 2 2 5 2" xfId="1780" xr:uid="{00000000-0005-0000-0000-0000799F0000}"/>
    <cellStyle name="Normal 11 3 2 2 5 2 2" xfId="41492" xr:uid="{00000000-0005-0000-0000-00007A9F0000}"/>
    <cellStyle name="Normal 11 3 2 2 5 2 2 2" xfId="41493" xr:uid="{00000000-0005-0000-0000-00007B9F0000}"/>
    <cellStyle name="Normal 11 3 2 2 5 2 2 2 2" xfId="41494" xr:uid="{00000000-0005-0000-0000-00007C9F0000}"/>
    <cellStyle name="Normal 11 3 2 2 5 2 2 2 2 2" xfId="41495" xr:uid="{00000000-0005-0000-0000-00007D9F0000}"/>
    <cellStyle name="Normal 11 3 2 2 5 2 2 2 3" xfId="41496" xr:uid="{00000000-0005-0000-0000-00007E9F0000}"/>
    <cellStyle name="Normal 11 3 2 2 5 2 2 3" xfId="41497" xr:uid="{00000000-0005-0000-0000-00007F9F0000}"/>
    <cellStyle name="Normal 11 3 2 2 5 2 2 3 2" xfId="41498" xr:uid="{00000000-0005-0000-0000-0000809F0000}"/>
    <cellStyle name="Normal 11 3 2 2 5 2 2 4" xfId="41499" xr:uid="{00000000-0005-0000-0000-0000819F0000}"/>
    <cellStyle name="Normal 11 3 2 2 5 2 3" xfId="41500" xr:uid="{00000000-0005-0000-0000-0000829F0000}"/>
    <cellStyle name="Normal 11 3 2 2 5 2 3 2" xfId="41501" xr:uid="{00000000-0005-0000-0000-0000839F0000}"/>
    <cellStyle name="Normal 11 3 2 2 5 2 3 2 2" xfId="41502" xr:uid="{00000000-0005-0000-0000-0000849F0000}"/>
    <cellStyle name="Normal 11 3 2 2 5 2 3 2 2 2" xfId="41503" xr:uid="{00000000-0005-0000-0000-0000859F0000}"/>
    <cellStyle name="Normal 11 3 2 2 5 2 3 2 3" xfId="41504" xr:uid="{00000000-0005-0000-0000-0000869F0000}"/>
    <cellStyle name="Normal 11 3 2 2 5 2 3 3" xfId="41505" xr:uid="{00000000-0005-0000-0000-0000879F0000}"/>
    <cellStyle name="Normal 11 3 2 2 5 2 3 3 2" xfId="41506" xr:uid="{00000000-0005-0000-0000-0000889F0000}"/>
    <cellStyle name="Normal 11 3 2 2 5 2 3 4" xfId="41507" xr:uid="{00000000-0005-0000-0000-0000899F0000}"/>
    <cellStyle name="Normal 11 3 2 2 5 2 4" xfId="41508" xr:uid="{00000000-0005-0000-0000-00008A9F0000}"/>
    <cellStyle name="Normal 11 3 2 2 5 2 4 2" xfId="41509" xr:uid="{00000000-0005-0000-0000-00008B9F0000}"/>
    <cellStyle name="Normal 11 3 2 2 5 2 4 2 2" xfId="41510" xr:uid="{00000000-0005-0000-0000-00008C9F0000}"/>
    <cellStyle name="Normal 11 3 2 2 5 2 4 3" xfId="41511" xr:uid="{00000000-0005-0000-0000-00008D9F0000}"/>
    <cellStyle name="Normal 11 3 2 2 5 2 5" xfId="41512" xr:uid="{00000000-0005-0000-0000-00008E9F0000}"/>
    <cellStyle name="Normal 11 3 2 2 5 2 5 2" xfId="41513" xr:uid="{00000000-0005-0000-0000-00008F9F0000}"/>
    <cellStyle name="Normal 11 3 2 2 5 2 6" xfId="41514" xr:uid="{00000000-0005-0000-0000-0000909F0000}"/>
    <cellStyle name="Normal 11 3 2 2 5 2 7" xfId="41491" xr:uid="{00000000-0005-0000-0000-0000919F0000}"/>
    <cellStyle name="Normal 11 3 2 2 5 3" xfId="41515" xr:uid="{00000000-0005-0000-0000-0000929F0000}"/>
    <cellStyle name="Normal 11 3 2 2 5 3 2" xfId="41516" xr:uid="{00000000-0005-0000-0000-0000939F0000}"/>
    <cellStyle name="Normal 11 3 2 2 5 3 2 2" xfId="41517" xr:uid="{00000000-0005-0000-0000-0000949F0000}"/>
    <cellStyle name="Normal 11 3 2 2 5 3 2 2 2" xfId="41518" xr:uid="{00000000-0005-0000-0000-0000959F0000}"/>
    <cellStyle name="Normal 11 3 2 2 5 3 2 2 2 2" xfId="41519" xr:uid="{00000000-0005-0000-0000-0000969F0000}"/>
    <cellStyle name="Normal 11 3 2 2 5 3 2 2 3" xfId="41520" xr:uid="{00000000-0005-0000-0000-0000979F0000}"/>
    <cellStyle name="Normal 11 3 2 2 5 3 2 3" xfId="41521" xr:uid="{00000000-0005-0000-0000-0000989F0000}"/>
    <cellStyle name="Normal 11 3 2 2 5 3 2 3 2" xfId="41522" xr:uid="{00000000-0005-0000-0000-0000999F0000}"/>
    <cellStyle name="Normal 11 3 2 2 5 3 2 4" xfId="41523" xr:uid="{00000000-0005-0000-0000-00009A9F0000}"/>
    <cellStyle name="Normal 11 3 2 2 5 3 3" xfId="41524" xr:uid="{00000000-0005-0000-0000-00009B9F0000}"/>
    <cellStyle name="Normal 11 3 2 2 5 3 3 2" xfId="41525" xr:uid="{00000000-0005-0000-0000-00009C9F0000}"/>
    <cellStyle name="Normal 11 3 2 2 5 3 3 2 2" xfId="41526" xr:uid="{00000000-0005-0000-0000-00009D9F0000}"/>
    <cellStyle name="Normal 11 3 2 2 5 3 3 3" xfId="41527" xr:uid="{00000000-0005-0000-0000-00009E9F0000}"/>
    <cellStyle name="Normal 11 3 2 2 5 3 4" xfId="41528" xr:uid="{00000000-0005-0000-0000-00009F9F0000}"/>
    <cellStyle name="Normal 11 3 2 2 5 3 4 2" xfId="41529" xr:uid="{00000000-0005-0000-0000-0000A09F0000}"/>
    <cellStyle name="Normal 11 3 2 2 5 3 5" xfId="41530" xr:uid="{00000000-0005-0000-0000-0000A19F0000}"/>
    <cellStyle name="Normal 11 3 2 2 5 4" xfId="41531" xr:uid="{00000000-0005-0000-0000-0000A29F0000}"/>
    <cellStyle name="Normal 11 3 2 2 5 4 2" xfId="41532" xr:uid="{00000000-0005-0000-0000-0000A39F0000}"/>
    <cellStyle name="Normal 11 3 2 2 5 4 2 2" xfId="41533" xr:uid="{00000000-0005-0000-0000-0000A49F0000}"/>
    <cellStyle name="Normal 11 3 2 2 5 4 2 2 2" xfId="41534" xr:uid="{00000000-0005-0000-0000-0000A59F0000}"/>
    <cellStyle name="Normal 11 3 2 2 5 4 2 2 2 2" xfId="41535" xr:uid="{00000000-0005-0000-0000-0000A69F0000}"/>
    <cellStyle name="Normal 11 3 2 2 5 4 2 2 3" xfId="41536" xr:uid="{00000000-0005-0000-0000-0000A79F0000}"/>
    <cellStyle name="Normal 11 3 2 2 5 4 2 3" xfId="41537" xr:uid="{00000000-0005-0000-0000-0000A89F0000}"/>
    <cellStyle name="Normal 11 3 2 2 5 4 2 3 2" xfId="41538" xr:uid="{00000000-0005-0000-0000-0000A99F0000}"/>
    <cellStyle name="Normal 11 3 2 2 5 4 2 4" xfId="41539" xr:uid="{00000000-0005-0000-0000-0000AA9F0000}"/>
    <cellStyle name="Normal 11 3 2 2 5 4 3" xfId="41540" xr:uid="{00000000-0005-0000-0000-0000AB9F0000}"/>
    <cellStyle name="Normal 11 3 2 2 5 4 3 2" xfId="41541" xr:uid="{00000000-0005-0000-0000-0000AC9F0000}"/>
    <cellStyle name="Normal 11 3 2 2 5 4 3 2 2" xfId="41542" xr:uid="{00000000-0005-0000-0000-0000AD9F0000}"/>
    <cellStyle name="Normal 11 3 2 2 5 4 3 3" xfId="41543" xr:uid="{00000000-0005-0000-0000-0000AE9F0000}"/>
    <cellStyle name="Normal 11 3 2 2 5 4 4" xfId="41544" xr:uid="{00000000-0005-0000-0000-0000AF9F0000}"/>
    <cellStyle name="Normal 11 3 2 2 5 4 4 2" xfId="41545" xr:uid="{00000000-0005-0000-0000-0000B09F0000}"/>
    <cellStyle name="Normal 11 3 2 2 5 4 5" xfId="41546" xr:uid="{00000000-0005-0000-0000-0000B19F0000}"/>
    <cellStyle name="Normal 11 3 2 2 5 5" xfId="41547" xr:uid="{00000000-0005-0000-0000-0000B29F0000}"/>
    <cellStyle name="Normal 11 3 2 2 5 5 2" xfId="41548" xr:uid="{00000000-0005-0000-0000-0000B39F0000}"/>
    <cellStyle name="Normal 11 3 2 2 5 5 2 2" xfId="41549" xr:uid="{00000000-0005-0000-0000-0000B49F0000}"/>
    <cellStyle name="Normal 11 3 2 2 5 5 2 2 2" xfId="41550" xr:uid="{00000000-0005-0000-0000-0000B59F0000}"/>
    <cellStyle name="Normal 11 3 2 2 5 5 2 3" xfId="41551" xr:uid="{00000000-0005-0000-0000-0000B69F0000}"/>
    <cellStyle name="Normal 11 3 2 2 5 5 3" xfId="41552" xr:uid="{00000000-0005-0000-0000-0000B79F0000}"/>
    <cellStyle name="Normal 11 3 2 2 5 5 3 2" xfId="41553" xr:uid="{00000000-0005-0000-0000-0000B89F0000}"/>
    <cellStyle name="Normal 11 3 2 2 5 5 4" xfId="41554" xr:uid="{00000000-0005-0000-0000-0000B99F0000}"/>
    <cellStyle name="Normal 11 3 2 2 5 6" xfId="41555" xr:uid="{00000000-0005-0000-0000-0000BA9F0000}"/>
    <cellStyle name="Normal 11 3 2 2 5 6 2" xfId="41556" xr:uid="{00000000-0005-0000-0000-0000BB9F0000}"/>
    <cellStyle name="Normal 11 3 2 2 5 6 2 2" xfId="41557" xr:uid="{00000000-0005-0000-0000-0000BC9F0000}"/>
    <cellStyle name="Normal 11 3 2 2 5 6 2 2 2" xfId="41558" xr:uid="{00000000-0005-0000-0000-0000BD9F0000}"/>
    <cellStyle name="Normal 11 3 2 2 5 6 2 3" xfId="41559" xr:uid="{00000000-0005-0000-0000-0000BE9F0000}"/>
    <cellStyle name="Normal 11 3 2 2 5 6 3" xfId="41560" xr:uid="{00000000-0005-0000-0000-0000BF9F0000}"/>
    <cellStyle name="Normal 11 3 2 2 5 6 3 2" xfId="41561" xr:uid="{00000000-0005-0000-0000-0000C09F0000}"/>
    <cellStyle name="Normal 11 3 2 2 5 6 4" xfId="41562" xr:uid="{00000000-0005-0000-0000-0000C19F0000}"/>
    <cellStyle name="Normal 11 3 2 2 5 7" xfId="41563" xr:uid="{00000000-0005-0000-0000-0000C29F0000}"/>
    <cellStyle name="Normal 11 3 2 2 5 7 2" xfId="41564" xr:uid="{00000000-0005-0000-0000-0000C39F0000}"/>
    <cellStyle name="Normal 11 3 2 2 5 7 2 2" xfId="41565" xr:uid="{00000000-0005-0000-0000-0000C49F0000}"/>
    <cellStyle name="Normal 11 3 2 2 5 7 2 2 2" xfId="41566" xr:uid="{00000000-0005-0000-0000-0000C59F0000}"/>
    <cellStyle name="Normal 11 3 2 2 5 7 2 3" xfId="41567" xr:uid="{00000000-0005-0000-0000-0000C69F0000}"/>
    <cellStyle name="Normal 11 3 2 2 5 7 3" xfId="41568" xr:uid="{00000000-0005-0000-0000-0000C79F0000}"/>
    <cellStyle name="Normal 11 3 2 2 5 7 3 2" xfId="41569" xr:uid="{00000000-0005-0000-0000-0000C89F0000}"/>
    <cellStyle name="Normal 11 3 2 2 5 7 4" xfId="41570" xr:uid="{00000000-0005-0000-0000-0000C99F0000}"/>
    <cellStyle name="Normal 11 3 2 2 5 8" xfId="41571" xr:uid="{00000000-0005-0000-0000-0000CA9F0000}"/>
    <cellStyle name="Normal 11 3 2 2 5 8 2" xfId="41572" xr:uid="{00000000-0005-0000-0000-0000CB9F0000}"/>
    <cellStyle name="Normal 11 3 2 2 5 8 2 2" xfId="41573" xr:uid="{00000000-0005-0000-0000-0000CC9F0000}"/>
    <cellStyle name="Normal 11 3 2 2 5 8 3" xfId="41574" xr:uid="{00000000-0005-0000-0000-0000CD9F0000}"/>
    <cellStyle name="Normal 11 3 2 2 5 9" xfId="41575" xr:uid="{00000000-0005-0000-0000-0000CE9F0000}"/>
    <cellStyle name="Normal 11 3 2 2 5 9 2" xfId="41576" xr:uid="{00000000-0005-0000-0000-0000CF9F0000}"/>
    <cellStyle name="Normal 11 3 2 2 6" xfId="1453" xr:uid="{00000000-0005-0000-0000-0000D09F0000}"/>
    <cellStyle name="Normal 11 3 2 2 6 2" xfId="41578" xr:uid="{00000000-0005-0000-0000-0000D19F0000}"/>
    <cellStyle name="Normal 11 3 2 2 6 2 2" xfId="41579" xr:uid="{00000000-0005-0000-0000-0000D29F0000}"/>
    <cellStyle name="Normal 11 3 2 2 6 2 2 2" xfId="41580" xr:uid="{00000000-0005-0000-0000-0000D39F0000}"/>
    <cellStyle name="Normal 11 3 2 2 6 2 2 2 2" xfId="41581" xr:uid="{00000000-0005-0000-0000-0000D49F0000}"/>
    <cellStyle name="Normal 11 3 2 2 6 2 2 3" xfId="41582" xr:uid="{00000000-0005-0000-0000-0000D59F0000}"/>
    <cellStyle name="Normal 11 3 2 2 6 2 3" xfId="41583" xr:uid="{00000000-0005-0000-0000-0000D69F0000}"/>
    <cellStyle name="Normal 11 3 2 2 6 2 3 2" xfId="41584" xr:uid="{00000000-0005-0000-0000-0000D79F0000}"/>
    <cellStyle name="Normal 11 3 2 2 6 2 4" xfId="41585" xr:uid="{00000000-0005-0000-0000-0000D89F0000}"/>
    <cellStyle name="Normal 11 3 2 2 6 3" xfId="41586" xr:uid="{00000000-0005-0000-0000-0000D99F0000}"/>
    <cellStyle name="Normal 11 3 2 2 6 3 2" xfId="41587" xr:uid="{00000000-0005-0000-0000-0000DA9F0000}"/>
    <cellStyle name="Normal 11 3 2 2 6 3 2 2" xfId="41588" xr:uid="{00000000-0005-0000-0000-0000DB9F0000}"/>
    <cellStyle name="Normal 11 3 2 2 6 3 2 2 2" xfId="41589" xr:uid="{00000000-0005-0000-0000-0000DC9F0000}"/>
    <cellStyle name="Normal 11 3 2 2 6 3 2 3" xfId="41590" xr:uid="{00000000-0005-0000-0000-0000DD9F0000}"/>
    <cellStyle name="Normal 11 3 2 2 6 3 3" xfId="41591" xr:uid="{00000000-0005-0000-0000-0000DE9F0000}"/>
    <cellStyle name="Normal 11 3 2 2 6 3 3 2" xfId="41592" xr:uid="{00000000-0005-0000-0000-0000DF9F0000}"/>
    <cellStyle name="Normal 11 3 2 2 6 3 4" xfId="41593" xr:uid="{00000000-0005-0000-0000-0000E09F0000}"/>
    <cellStyle name="Normal 11 3 2 2 6 4" xfId="41594" xr:uid="{00000000-0005-0000-0000-0000E19F0000}"/>
    <cellStyle name="Normal 11 3 2 2 6 4 2" xfId="41595" xr:uid="{00000000-0005-0000-0000-0000E29F0000}"/>
    <cellStyle name="Normal 11 3 2 2 6 4 2 2" xfId="41596" xr:uid="{00000000-0005-0000-0000-0000E39F0000}"/>
    <cellStyle name="Normal 11 3 2 2 6 4 3" xfId="41597" xr:uid="{00000000-0005-0000-0000-0000E49F0000}"/>
    <cellStyle name="Normal 11 3 2 2 6 5" xfId="41598" xr:uid="{00000000-0005-0000-0000-0000E59F0000}"/>
    <cellStyle name="Normal 11 3 2 2 6 5 2" xfId="41599" xr:uid="{00000000-0005-0000-0000-0000E69F0000}"/>
    <cellStyle name="Normal 11 3 2 2 6 6" xfId="41600" xr:uid="{00000000-0005-0000-0000-0000E79F0000}"/>
    <cellStyle name="Normal 11 3 2 2 6 7" xfId="41577" xr:uid="{00000000-0005-0000-0000-0000E89F0000}"/>
    <cellStyle name="Normal 11 3 2 2 7" xfId="41601" xr:uid="{00000000-0005-0000-0000-0000E99F0000}"/>
    <cellStyle name="Normal 11 3 2 2 7 2" xfId="41602" xr:uid="{00000000-0005-0000-0000-0000EA9F0000}"/>
    <cellStyle name="Normal 11 3 2 2 7 2 2" xfId="41603" xr:uid="{00000000-0005-0000-0000-0000EB9F0000}"/>
    <cellStyle name="Normal 11 3 2 2 7 2 2 2" xfId="41604" xr:uid="{00000000-0005-0000-0000-0000EC9F0000}"/>
    <cellStyle name="Normal 11 3 2 2 7 2 2 2 2" xfId="41605" xr:uid="{00000000-0005-0000-0000-0000ED9F0000}"/>
    <cellStyle name="Normal 11 3 2 2 7 2 2 3" xfId="41606" xr:uid="{00000000-0005-0000-0000-0000EE9F0000}"/>
    <cellStyle name="Normal 11 3 2 2 7 2 3" xfId="41607" xr:uid="{00000000-0005-0000-0000-0000EF9F0000}"/>
    <cellStyle name="Normal 11 3 2 2 7 2 3 2" xfId="41608" xr:uid="{00000000-0005-0000-0000-0000F09F0000}"/>
    <cellStyle name="Normal 11 3 2 2 7 2 4" xfId="41609" xr:uid="{00000000-0005-0000-0000-0000F19F0000}"/>
    <cellStyle name="Normal 11 3 2 2 7 3" xfId="41610" xr:uid="{00000000-0005-0000-0000-0000F29F0000}"/>
    <cellStyle name="Normal 11 3 2 2 7 3 2" xfId="41611" xr:uid="{00000000-0005-0000-0000-0000F39F0000}"/>
    <cellStyle name="Normal 11 3 2 2 7 3 2 2" xfId="41612" xr:uid="{00000000-0005-0000-0000-0000F49F0000}"/>
    <cellStyle name="Normal 11 3 2 2 7 3 3" xfId="41613" xr:uid="{00000000-0005-0000-0000-0000F59F0000}"/>
    <cellStyle name="Normal 11 3 2 2 7 4" xfId="41614" xr:uid="{00000000-0005-0000-0000-0000F69F0000}"/>
    <cellStyle name="Normal 11 3 2 2 7 4 2" xfId="41615" xr:uid="{00000000-0005-0000-0000-0000F79F0000}"/>
    <cellStyle name="Normal 11 3 2 2 7 5" xfId="41616" xr:uid="{00000000-0005-0000-0000-0000F89F0000}"/>
    <cellStyle name="Normal 11 3 2 2 8" xfId="41617" xr:uid="{00000000-0005-0000-0000-0000F99F0000}"/>
    <cellStyle name="Normal 11 3 2 2 8 2" xfId="41618" xr:uid="{00000000-0005-0000-0000-0000FA9F0000}"/>
    <cellStyle name="Normal 11 3 2 2 8 2 2" xfId="41619" xr:uid="{00000000-0005-0000-0000-0000FB9F0000}"/>
    <cellStyle name="Normal 11 3 2 2 8 2 2 2" xfId="41620" xr:uid="{00000000-0005-0000-0000-0000FC9F0000}"/>
    <cellStyle name="Normal 11 3 2 2 8 2 2 2 2" xfId="41621" xr:uid="{00000000-0005-0000-0000-0000FD9F0000}"/>
    <cellStyle name="Normal 11 3 2 2 8 2 2 3" xfId="41622" xr:uid="{00000000-0005-0000-0000-0000FE9F0000}"/>
    <cellStyle name="Normal 11 3 2 2 8 2 3" xfId="41623" xr:uid="{00000000-0005-0000-0000-0000FF9F0000}"/>
    <cellStyle name="Normal 11 3 2 2 8 2 3 2" xfId="41624" xr:uid="{00000000-0005-0000-0000-000000A00000}"/>
    <cellStyle name="Normal 11 3 2 2 8 2 4" xfId="41625" xr:uid="{00000000-0005-0000-0000-000001A00000}"/>
    <cellStyle name="Normal 11 3 2 2 8 3" xfId="41626" xr:uid="{00000000-0005-0000-0000-000002A00000}"/>
    <cellStyle name="Normal 11 3 2 2 8 3 2" xfId="41627" xr:uid="{00000000-0005-0000-0000-000003A00000}"/>
    <cellStyle name="Normal 11 3 2 2 8 3 2 2" xfId="41628" xr:uid="{00000000-0005-0000-0000-000004A00000}"/>
    <cellStyle name="Normal 11 3 2 2 8 3 3" xfId="41629" xr:uid="{00000000-0005-0000-0000-000005A00000}"/>
    <cellStyle name="Normal 11 3 2 2 8 4" xfId="41630" xr:uid="{00000000-0005-0000-0000-000006A00000}"/>
    <cellStyle name="Normal 11 3 2 2 8 4 2" xfId="41631" xr:uid="{00000000-0005-0000-0000-000007A00000}"/>
    <cellStyle name="Normal 11 3 2 2 8 5" xfId="41632" xr:uid="{00000000-0005-0000-0000-000008A00000}"/>
    <cellStyle name="Normal 11 3 2 2 9" xfId="41633" xr:uid="{00000000-0005-0000-0000-000009A00000}"/>
    <cellStyle name="Normal 11 3 2 2 9 2" xfId="41634" xr:uid="{00000000-0005-0000-0000-00000AA00000}"/>
    <cellStyle name="Normal 11 3 2 2 9 2 2" xfId="41635" xr:uid="{00000000-0005-0000-0000-00000BA00000}"/>
    <cellStyle name="Normal 11 3 2 2 9 2 2 2" xfId="41636" xr:uid="{00000000-0005-0000-0000-00000CA00000}"/>
    <cellStyle name="Normal 11 3 2 2 9 2 3" xfId="41637" xr:uid="{00000000-0005-0000-0000-00000DA00000}"/>
    <cellStyle name="Normal 11 3 2 2 9 3" xfId="41638" xr:uid="{00000000-0005-0000-0000-00000EA00000}"/>
    <cellStyle name="Normal 11 3 2 2 9 3 2" xfId="41639" xr:uid="{00000000-0005-0000-0000-00000FA00000}"/>
    <cellStyle name="Normal 11 3 2 2 9 4" xfId="41640" xr:uid="{00000000-0005-0000-0000-000010A00000}"/>
    <cellStyle name="Normal 11 3 2 3" xfId="615" xr:uid="{00000000-0005-0000-0000-000011A00000}"/>
    <cellStyle name="Normal 11 3 2 3 10" xfId="41642" xr:uid="{00000000-0005-0000-0000-000012A00000}"/>
    <cellStyle name="Normal 11 3 2 3 10 2" xfId="41643" xr:uid="{00000000-0005-0000-0000-000013A00000}"/>
    <cellStyle name="Normal 11 3 2 3 10 2 2" xfId="41644" xr:uid="{00000000-0005-0000-0000-000014A00000}"/>
    <cellStyle name="Normal 11 3 2 3 10 2 2 2" xfId="41645" xr:uid="{00000000-0005-0000-0000-000015A00000}"/>
    <cellStyle name="Normal 11 3 2 3 10 2 3" xfId="41646" xr:uid="{00000000-0005-0000-0000-000016A00000}"/>
    <cellStyle name="Normal 11 3 2 3 10 3" xfId="41647" xr:uid="{00000000-0005-0000-0000-000017A00000}"/>
    <cellStyle name="Normal 11 3 2 3 10 3 2" xfId="41648" xr:uid="{00000000-0005-0000-0000-000018A00000}"/>
    <cellStyle name="Normal 11 3 2 3 10 4" xfId="41649" xr:uid="{00000000-0005-0000-0000-000019A00000}"/>
    <cellStyle name="Normal 11 3 2 3 11" xfId="41650" xr:uid="{00000000-0005-0000-0000-00001AA00000}"/>
    <cellStyle name="Normal 11 3 2 3 11 2" xfId="41651" xr:uid="{00000000-0005-0000-0000-00001BA00000}"/>
    <cellStyle name="Normal 11 3 2 3 11 2 2" xfId="41652" xr:uid="{00000000-0005-0000-0000-00001CA00000}"/>
    <cellStyle name="Normal 11 3 2 3 11 3" xfId="41653" xr:uid="{00000000-0005-0000-0000-00001DA00000}"/>
    <cellStyle name="Normal 11 3 2 3 12" xfId="41654" xr:uid="{00000000-0005-0000-0000-00001EA00000}"/>
    <cellStyle name="Normal 11 3 2 3 12 2" xfId="41655" xr:uid="{00000000-0005-0000-0000-00001FA00000}"/>
    <cellStyle name="Normal 11 3 2 3 12 2 2" xfId="41656" xr:uid="{00000000-0005-0000-0000-000020A00000}"/>
    <cellStyle name="Normal 11 3 2 3 12 3" xfId="41657" xr:uid="{00000000-0005-0000-0000-000021A00000}"/>
    <cellStyle name="Normal 11 3 2 3 13" xfId="41658" xr:uid="{00000000-0005-0000-0000-000022A00000}"/>
    <cellStyle name="Normal 11 3 2 3 13 2" xfId="41659" xr:uid="{00000000-0005-0000-0000-000023A00000}"/>
    <cellStyle name="Normal 11 3 2 3 13 2 2" xfId="41660" xr:uid="{00000000-0005-0000-0000-000024A00000}"/>
    <cellStyle name="Normal 11 3 2 3 13 3" xfId="41661" xr:uid="{00000000-0005-0000-0000-000025A00000}"/>
    <cellStyle name="Normal 11 3 2 3 14" xfId="41662" xr:uid="{00000000-0005-0000-0000-000026A00000}"/>
    <cellStyle name="Normal 11 3 2 3 14 2" xfId="41663" xr:uid="{00000000-0005-0000-0000-000027A00000}"/>
    <cellStyle name="Normal 11 3 2 3 15" xfId="41664" xr:uid="{00000000-0005-0000-0000-000028A00000}"/>
    <cellStyle name="Normal 11 3 2 3 16" xfId="41665" xr:uid="{00000000-0005-0000-0000-000029A00000}"/>
    <cellStyle name="Normal 11 3 2 3 17" xfId="41641" xr:uid="{00000000-0005-0000-0000-00002AA00000}"/>
    <cellStyle name="Normal 11 3 2 3 2" xfId="616" xr:uid="{00000000-0005-0000-0000-00002BA00000}"/>
    <cellStyle name="Normal 11 3 2 3 2 10" xfId="41667" xr:uid="{00000000-0005-0000-0000-00002CA00000}"/>
    <cellStyle name="Normal 11 3 2 3 2 10 2" xfId="41668" xr:uid="{00000000-0005-0000-0000-00002DA00000}"/>
    <cellStyle name="Normal 11 3 2 3 2 10 2 2" xfId="41669" xr:uid="{00000000-0005-0000-0000-00002EA00000}"/>
    <cellStyle name="Normal 11 3 2 3 2 10 3" xfId="41670" xr:uid="{00000000-0005-0000-0000-00002FA00000}"/>
    <cellStyle name="Normal 11 3 2 3 2 11" xfId="41671" xr:uid="{00000000-0005-0000-0000-000030A00000}"/>
    <cellStyle name="Normal 11 3 2 3 2 11 2" xfId="41672" xr:uid="{00000000-0005-0000-0000-000031A00000}"/>
    <cellStyle name="Normal 11 3 2 3 2 11 2 2" xfId="41673" xr:uid="{00000000-0005-0000-0000-000032A00000}"/>
    <cellStyle name="Normal 11 3 2 3 2 11 3" xfId="41674" xr:uid="{00000000-0005-0000-0000-000033A00000}"/>
    <cellStyle name="Normal 11 3 2 3 2 12" xfId="41675" xr:uid="{00000000-0005-0000-0000-000034A00000}"/>
    <cellStyle name="Normal 11 3 2 3 2 12 2" xfId="41676" xr:uid="{00000000-0005-0000-0000-000035A00000}"/>
    <cellStyle name="Normal 11 3 2 3 2 13" xfId="41677" xr:uid="{00000000-0005-0000-0000-000036A00000}"/>
    <cellStyle name="Normal 11 3 2 3 2 14" xfId="41678" xr:uid="{00000000-0005-0000-0000-000037A00000}"/>
    <cellStyle name="Normal 11 3 2 3 2 15" xfId="41666" xr:uid="{00000000-0005-0000-0000-000038A00000}"/>
    <cellStyle name="Normal 11 3 2 3 2 2" xfId="1058" xr:uid="{00000000-0005-0000-0000-000039A00000}"/>
    <cellStyle name="Normal 11 3 2 3 2 2 10" xfId="41680" xr:uid="{00000000-0005-0000-0000-00003AA00000}"/>
    <cellStyle name="Normal 11 3 2 3 2 2 11" xfId="41679" xr:uid="{00000000-0005-0000-0000-00003BA00000}"/>
    <cellStyle name="Normal 11 3 2 3 2 2 2" xfId="1787" xr:uid="{00000000-0005-0000-0000-00003CA00000}"/>
    <cellStyle name="Normal 11 3 2 3 2 2 2 2" xfId="41682" xr:uid="{00000000-0005-0000-0000-00003DA00000}"/>
    <cellStyle name="Normal 11 3 2 3 2 2 2 2 2" xfId="41683" xr:uid="{00000000-0005-0000-0000-00003EA00000}"/>
    <cellStyle name="Normal 11 3 2 3 2 2 2 2 2 2" xfId="41684" xr:uid="{00000000-0005-0000-0000-00003FA00000}"/>
    <cellStyle name="Normal 11 3 2 3 2 2 2 2 2 2 2" xfId="41685" xr:uid="{00000000-0005-0000-0000-000040A00000}"/>
    <cellStyle name="Normal 11 3 2 3 2 2 2 2 2 3" xfId="41686" xr:uid="{00000000-0005-0000-0000-000041A00000}"/>
    <cellStyle name="Normal 11 3 2 3 2 2 2 2 3" xfId="41687" xr:uid="{00000000-0005-0000-0000-000042A00000}"/>
    <cellStyle name="Normal 11 3 2 3 2 2 2 2 3 2" xfId="41688" xr:uid="{00000000-0005-0000-0000-000043A00000}"/>
    <cellStyle name="Normal 11 3 2 3 2 2 2 2 4" xfId="41689" xr:uid="{00000000-0005-0000-0000-000044A00000}"/>
    <cellStyle name="Normal 11 3 2 3 2 2 2 3" xfId="41690" xr:uid="{00000000-0005-0000-0000-000045A00000}"/>
    <cellStyle name="Normal 11 3 2 3 2 2 2 3 2" xfId="41691" xr:uid="{00000000-0005-0000-0000-000046A00000}"/>
    <cellStyle name="Normal 11 3 2 3 2 2 2 3 2 2" xfId="41692" xr:uid="{00000000-0005-0000-0000-000047A00000}"/>
    <cellStyle name="Normal 11 3 2 3 2 2 2 3 2 2 2" xfId="41693" xr:uid="{00000000-0005-0000-0000-000048A00000}"/>
    <cellStyle name="Normal 11 3 2 3 2 2 2 3 2 3" xfId="41694" xr:uid="{00000000-0005-0000-0000-000049A00000}"/>
    <cellStyle name="Normal 11 3 2 3 2 2 2 3 3" xfId="41695" xr:uid="{00000000-0005-0000-0000-00004AA00000}"/>
    <cellStyle name="Normal 11 3 2 3 2 2 2 3 3 2" xfId="41696" xr:uid="{00000000-0005-0000-0000-00004BA00000}"/>
    <cellStyle name="Normal 11 3 2 3 2 2 2 3 4" xfId="41697" xr:uid="{00000000-0005-0000-0000-00004CA00000}"/>
    <cellStyle name="Normal 11 3 2 3 2 2 2 4" xfId="41698" xr:uid="{00000000-0005-0000-0000-00004DA00000}"/>
    <cellStyle name="Normal 11 3 2 3 2 2 2 4 2" xfId="41699" xr:uid="{00000000-0005-0000-0000-00004EA00000}"/>
    <cellStyle name="Normal 11 3 2 3 2 2 2 4 2 2" xfId="41700" xr:uid="{00000000-0005-0000-0000-00004FA00000}"/>
    <cellStyle name="Normal 11 3 2 3 2 2 2 4 3" xfId="41701" xr:uid="{00000000-0005-0000-0000-000050A00000}"/>
    <cellStyle name="Normal 11 3 2 3 2 2 2 5" xfId="41702" xr:uid="{00000000-0005-0000-0000-000051A00000}"/>
    <cellStyle name="Normal 11 3 2 3 2 2 2 5 2" xfId="41703" xr:uid="{00000000-0005-0000-0000-000052A00000}"/>
    <cellStyle name="Normal 11 3 2 3 2 2 2 6" xfId="41704" xr:uid="{00000000-0005-0000-0000-000053A00000}"/>
    <cellStyle name="Normal 11 3 2 3 2 2 2 7" xfId="41681" xr:uid="{00000000-0005-0000-0000-000054A00000}"/>
    <cellStyle name="Normal 11 3 2 3 2 2 3" xfId="41705" xr:uid="{00000000-0005-0000-0000-000055A00000}"/>
    <cellStyle name="Normal 11 3 2 3 2 2 3 2" xfId="41706" xr:uid="{00000000-0005-0000-0000-000056A00000}"/>
    <cellStyle name="Normal 11 3 2 3 2 2 3 2 2" xfId="41707" xr:uid="{00000000-0005-0000-0000-000057A00000}"/>
    <cellStyle name="Normal 11 3 2 3 2 2 3 2 2 2" xfId="41708" xr:uid="{00000000-0005-0000-0000-000058A00000}"/>
    <cellStyle name="Normal 11 3 2 3 2 2 3 2 2 2 2" xfId="41709" xr:uid="{00000000-0005-0000-0000-000059A00000}"/>
    <cellStyle name="Normal 11 3 2 3 2 2 3 2 2 3" xfId="41710" xr:uid="{00000000-0005-0000-0000-00005AA00000}"/>
    <cellStyle name="Normal 11 3 2 3 2 2 3 2 3" xfId="41711" xr:uid="{00000000-0005-0000-0000-00005BA00000}"/>
    <cellStyle name="Normal 11 3 2 3 2 2 3 2 3 2" xfId="41712" xr:uid="{00000000-0005-0000-0000-00005CA00000}"/>
    <cellStyle name="Normal 11 3 2 3 2 2 3 2 4" xfId="41713" xr:uid="{00000000-0005-0000-0000-00005DA00000}"/>
    <cellStyle name="Normal 11 3 2 3 2 2 3 3" xfId="41714" xr:uid="{00000000-0005-0000-0000-00005EA00000}"/>
    <cellStyle name="Normal 11 3 2 3 2 2 3 3 2" xfId="41715" xr:uid="{00000000-0005-0000-0000-00005FA00000}"/>
    <cellStyle name="Normal 11 3 2 3 2 2 3 3 2 2" xfId="41716" xr:uid="{00000000-0005-0000-0000-000060A00000}"/>
    <cellStyle name="Normal 11 3 2 3 2 2 3 3 3" xfId="41717" xr:uid="{00000000-0005-0000-0000-000061A00000}"/>
    <cellStyle name="Normal 11 3 2 3 2 2 3 4" xfId="41718" xr:uid="{00000000-0005-0000-0000-000062A00000}"/>
    <cellStyle name="Normal 11 3 2 3 2 2 3 4 2" xfId="41719" xr:uid="{00000000-0005-0000-0000-000063A00000}"/>
    <cellStyle name="Normal 11 3 2 3 2 2 3 5" xfId="41720" xr:uid="{00000000-0005-0000-0000-000064A00000}"/>
    <cellStyle name="Normal 11 3 2 3 2 2 4" xfId="41721" xr:uid="{00000000-0005-0000-0000-000065A00000}"/>
    <cellStyle name="Normal 11 3 2 3 2 2 4 2" xfId="41722" xr:uid="{00000000-0005-0000-0000-000066A00000}"/>
    <cellStyle name="Normal 11 3 2 3 2 2 4 2 2" xfId="41723" xr:uid="{00000000-0005-0000-0000-000067A00000}"/>
    <cellStyle name="Normal 11 3 2 3 2 2 4 2 2 2" xfId="41724" xr:uid="{00000000-0005-0000-0000-000068A00000}"/>
    <cellStyle name="Normal 11 3 2 3 2 2 4 2 2 2 2" xfId="41725" xr:uid="{00000000-0005-0000-0000-000069A00000}"/>
    <cellStyle name="Normal 11 3 2 3 2 2 4 2 2 3" xfId="41726" xr:uid="{00000000-0005-0000-0000-00006AA00000}"/>
    <cellStyle name="Normal 11 3 2 3 2 2 4 2 3" xfId="41727" xr:uid="{00000000-0005-0000-0000-00006BA00000}"/>
    <cellStyle name="Normal 11 3 2 3 2 2 4 2 3 2" xfId="41728" xr:uid="{00000000-0005-0000-0000-00006CA00000}"/>
    <cellStyle name="Normal 11 3 2 3 2 2 4 2 4" xfId="41729" xr:uid="{00000000-0005-0000-0000-00006DA00000}"/>
    <cellStyle name="Normal 11 3 2 3 2 2 4 3" xfId="41730" xr:uid="{00000000-0005-0000-0000-00006EA00000}"/>
    <cellStyle name="Normal 11 3 2 3 2 2 4 3 2" xfId="41731" xr:uid="{00000000-0005-0000-0000-00006FA00000}"/>
    <cellStyle name="Normal 11 3 2 3 2 2 4 3 2 2" xfId="41732" xr:uid="{00000000-0005-0000-0000-000070A00000}"/>
    <cellStyle name="Normal 11 3 2 3 2 2 4 3 3" xfId="41733" xr:uid="{00000000-0005-0000-0000-000071A00000}"/>
    <cellStyle name="Normal 11 3 2 3 2 2 4 4" xfId="41734" xr:uid="{00000000-0005-0000-0000-000072A00000}"/>
    <cellStyle name="Normal 11 3 2 3 2 2 4 4 2" xfId="41735" xr:uid="{00000000-0005-0000-0000-000073A00000}"/>
    <cellStyle name="Normal 11 3 2 3 2 2 4 5" xfId="41736" xr:uid="{00000000-0005-0000-0000-000074A00000}"/>
    <cellStyle name="Normal 11 3 2 3 2 2 5" xfId="41737" xr:uid="{00000000-0005-0000-0000-000075A00000}"/>
    <cellStyle name="Normal 11 3 2 3 2 2 5 2" xfId="41738" xr:uid="{00000000-0005-0000-0000-000076A00000}"/>
    <cellStyle name="Normal 11 3 2 3 2 2 5 2 2" xfId="41739" xr:uid="{00000000-0005-0000-0000-000077A00000}"/>
    <cellStyle name="Normal 11 3 2 3 2 2 5 2 2 2" xfId="41740" xr:uid="{00000000-0005-0000-0000-000078A00000}"/>
    <cellStyle name="Normal 11 3 2 3 2 2 5 2 3" xfId="41741" xr:uid="{00000000-0005-0000-0000-000079A00000}"/>
    <cellStyle name="Normal 11 3 2 3 2 2 5 3" xfId="41742" xr:uid="{00000000-0005-0000-0000-00007AA00000}"/>
    <cellStyle name="Normal 11 3 2 3 2 2 5 3 2" xfId="41743" xr:uid="{00000000-0005-0000-0000-00007BA00000}"/>
    <cellStyle name="Normal 11 3 2 3 2 2 5 4" xfId="41744" xr:uid="{00000000-0005-0000-0000-00007CA00000}"/>
    <cellStyle name="Normal 11 3 2 3 2 2 6" xfId="41745" xr:uid="{00000000-0005-0000-0000-00007DA00000}"/>
    <cellStyle name="Normal 11 3 2 3 2 2 6 2" xfId="41746" xr:uid="{00000000-0005-0000-0000-00007EA00000}"/>
    <cellStyle name="Normal 11 3 2 3 2 2 6 2 2" xfId="41747" xr:uid="{00000000-0005-0000-0000-00007FA00000}"/>
    <cellStyle name="Normal 11 3 2 3 2 2 6 2 2 2" xfId="41748" xr:uid="{00000000-0005-0000-0000-000080A00000}"/>
    <cellStyle name="Normal 11 3 2 3 2 2 6 2 3" xfId="41749" xr:uid="{00000000-0005-0000-0000-000081A00000}"/>
    <cellStyle name="Normal 11 3 2 3 2 2 6 3" xfId="41750" xr:uid="{00000000-0005-0000-0000-000082A00000}"/>
    <cellStyle name="Normal 11 3 2 3 2 2 6 3 2" xfId="41751" xr:uid="{00000000-0005-0000-0000-000083A00000}"/>
    <cellStyle name="Normal 11 3 2 3 2 2 6 4" xfId="41752" xr:uid="{00000000-0005-0000-0000-000084A00000}"/>
    <cellStyle name="Normal 11 3 2 3 2 2 7" xfId="41753" xr:uid="{00000000-0005-0000-0000-000085A00000}"/>
    <cellStyle name="Normal 11 3 2 3 2 2 7 2" xfId="41754" xr:uid="{00000000-0005-0000-0000-000086A00000}"/>
    <cellStyle name="Normal 11 3 2 3 2 2 7 2 2" xfId="41755" xr:uid="{00000000-0005-0000-0000-000087A00000}"/>
    <cellStyle name="Normal 11 3 2 3 2 2 7 2 2 2" xfId="41756" xr:uid="{00000000-0005-0000-0000-000088A00000}"/>
    <cellStyle name="Normal 11 3 2 3 2 2 7 2 3" xfId="41757" xr:uid="{00000000-0005-0000-0000-000089A00000}"/>
    <cellStyle name="Normal 11 3 2 3 2 2 7 3" xfId="41758" xr:uid="{00000000-0005-0000-0000-00008AA00000}"/>
    <cellStyle name="Normal 11 3 2 3 2 2 7 3 2" xfId="41759" xr:uid="{00000000-0005-0000-0000-00008BA00000}"/>
    <cellStyle name="Normal 11 3 2 3 2 2 7 4" xfId="41760" xr:uid="{00000000-0005-0000-0000-00008CA00000}"/>
    <cellStyle name="Normal 11 3 2 3 2 2 8" xfId="41761" xr:uid="{00000000-0005-0000-0000-00008DA00000}"/>
    <cellStyle name="Normal 11 3 2 3 2 2 8 2" xfId="41762" xr:uid="{00000000-0005-0000-0000-00008EA00000}"/>
    <cellStyle name="Normal 11 3 2 3 2 2 8 2 2" xfId="41763" xr:uid="{00000000-0005-0000-0000-00008FA00000}"/>
    <cellStyle name="Normal 11 3 2 3 2 2 8 3" xfId="41764" xr:uid="{00000000-0005-0000-0000-000090A00000}"/>
    <cellStyle name="Normal 11 3 2 3 2 2 9" xfId="41765" xr:uid="{00000000-0005-0000-0000-000091A00000}"/>
    <cellStyle name="Normal 11 3 2 3 2 2 9 2" xfId="41766" xr:uid="{00000000-0005-0000-0000-000092A00000}"/>
    <cellStyle name="Normal 11 3 2 3 2 3" xfId="1460" xr:uid="{00000000-0005-0000-0000-000093A00000}"/>
    <cellStyle name="Normal 11 3 2 3 2 3 2" xfId="41768" xr:uid="{00000000-0005-0000-0000-000094A00000}"/>
    <cellStyle name="Normal 11 3 2 3 2 3 2 2" xfId="41769" xr:uid="{00000000-0005-0000-0000-000095A00000}"/>
    <cellStyle name="Normal 11 3 2 3 2 3 2 2 2" xfId="41770" xr:uid="{00000000-0005-0000-0000-000096A00000}"/>
    <cellStyle name="Normal 11 3 2 3 2 3 2 2 2 2" xfId="41771" xr:uid="{00000000-0005-0000-0000-000097A00000}"/>
    <cellStyle name="Normal 11 3 2 3 2 3 2 2 3" xfId="41772" xr:uid="{00000000-0005-0000-0000-000098A00000}"/>
    <cellStyle name="Normal 11 3 2 3 2 3 2 3" xfId="41773" xr:uid="{00000000-0005-0000-0000-000099A00000}"/>
    <cellStyle name="Normal 11 3 2 3 2 3 2 3 2" xfId="41774" xr:uid="{00000000-0005-0000-0000-00009AA00000}"/>
    <cellStyle name="Normal 11 3 2 3 2 3 2 4" xfId="41775" xr:uid="{00000000-0005-0000-0000-00009BA00000}"/>
    <cellStyle name="Normal 11 3 2 3 2 3 3" xfId="41776" xr:uid="{00000000-0005-0000-0000-00009CA00000}"/>
    <cellStyle name="Normal 11 3 2 3 2 3 3 2" xfId="41777" xr:uid="{00000000-0005-0000-0000-00009DA00000}"/>
    <cellStyle name="Normal 11 3 2 3 2 3 3 2 2" xfId="41778" xr:uid="{00000000-0005-0000-0000-00009EA00000}"/>
    <cellStyle name="Normal 11 3 2 3 2 3 3 2 2 2" xfId="41779" xr:uid="{00000000-0005-0000-0000-00009FA00000}"/>
    <cellStyle name="Normal 11 3 2 3 2 3 3 2 3" xfId="41780" xr:uid="{00000000-0005-0000-0000-0000A0A00000}"/>
    <cellStyle name="Normal 11 3 2 3 2 3 3 3" xfId="41781" xr:uid="{00000000-0005-0000-0000-0000A1A00000}"/>
    <cellStyle name="Normal 11 3 2 3 2 3 3 3 2" xfId="41782" xr:uid="{00000000-0005-0000-0000-0000A2A00000}"/>
    <cellStyle name="Normal 11 3 2 3 2 3 3 4" xfId="41783" xr:uid="{00000000-0005-0000-0000-0000A3A00000}"/>
    <cellStyle name="Normal 11 3 2 3 2 3 4" xfId="41784" xr:uid="{00000000-0005-0000-0000-0000A4A00000}"/>
    <cellStyle name="Normal 11 3 2 3 2 3 4 2" xfId="41785" xr:uid="{00000000-0005-0000-0000-0000A5A00000}"/>
    <cellStyle name="Normal 11 3 2 3 2 3 4 2 2" xfId="41786" xr:uid="{00000000-0005-0000-0000-0000A6A00000}"/>
    <cellStyle name="Normal 11 3 2 3 2 3 4 3" xfId="41787" xr:uid="{00000000-0005-0000-0000-0000A7A00000}"/>
    <cellStyle name="Normal 11 3 2 3 2 3 5" xfId="41788" xr:uid="{00000000-0005-0000-0000-0000A8A00000}"/>
    <cellStyle name="Normal 11 3 2 3 2 3 5 2" xfId="41789" xr:uid="{00000000-0005-0000-0000-0000A9A00000}"/>
    <cellStyle name="Normal 11 3 2 3 2 3 6" xfId="41790" xr:uid="{00000000-0005-0000-0000-0000AAA00000}"/>
    <cellStyle name="Normal 11 3 2 3 2 3 7" xfId="41767" xr:uid="{00000000-0005-0000-0000-0000ABA00000}"/>
    <cellStyle name="Normal 11 3 2 3 2 4" xfId="41791" xr:uid="{00000000-0005-0000-0000-0000ACA00000}"/>
    <cellStyle name="Normal 11 3 2 3 2 4 2" xfId="41792" xr:uid="{00000000-0005-0000-0000-0000ADA00000}"/>
    <cellStyle name="Normal 11 3 2 3 2 4 2 2" xfId="41793" xr:uid="{00000000-0005-0000-0000-0000AEA00000}"/>
    <cellStyle name="Normal 11 3 2 3 2 4 2 2 2" xfId="41794" xr:uid="{00000000-0005-0000-0000-0000AFA00000}"/>
    <cellStyle name="Normal 11 3 2 3 2 4 2 2 2 2" xfId="41795" xr:uid="{00000000-0005-0000-0000-0000B0A00000}"/>
    <cellStyle name="Normal 11 3 2 3 2 4 2 2 3" xfId="41796" xr:uid="{00000000-0005-0000-0000-0000B1A00000}"/>
    <cellStyle name="Normal 11 3 2 3 2 4 2 3" xfId="41797" xr:uid="{00000000-0005-0000-0000-0000B2A00000}"/>
    <cellStyle name="Normal 11 3 2 3 2 4 2 3 2" xfId="41798" xr:uid="{00000000-0005-0000-0000-0000B3A00000}"/>
    <cellStyle name="Normal 11 3 2 3 2 4 2 4" xfId="41799" xr:uid="{00000000-0005-0000-0000-0000B4A00000}"/>
    <cellStyle name="Normal 11 3 2 3 2 4 3" xfId="41800" xr:uid="{00000000-0005-0000-0000-0000B5A00000}"/>
    <cellStyle name="Normal 11 3 2 3 2 4 3 2" xfId="41801" xr:uid="{00000000-0005-0000-0000-0000B6A00000}"/>
    <cellStyle name="Normal 11 3 2 3 2 4 3 2 2" xfId="41802" xr:uid="{00000000-0005-0000-0000-0000B7A00000}"/>
    <cellStyle name="Normal 11 3 2 3 2 4 3 3" xfId="41803" xr:uid="{00000000-0005-0000-0000-0000B8A00000}"/>
    <cellStyle name="Normal 11 3 2 3 2 4 4" xfId="41804" xr:uid="{00000000-0005-0000-0000-0000B9A00000}"/>
    <cellStyle name="Normal 11 3 2 3 2 4 4 2" xfId="41805" xr:uid="{00000000-0005-0000-0000-0000BAA00000}"/>
    <cellStyle name="Normal 11 3 2 3 2 4 5" xfId="41806" xr:uid="{00000000-0005-0000-0000-0000BBA00000}"/>
    <cellStyle name="Normal 11 3 2 3 2 5" xfId="41807" xr:uid="{00000000-0005-0000-0000-0000BCA00000}"/>
    <cellStyle name="Normal 11 3 2 3 2 5 2" xfId="41808" xr:uid="{00000000-0005-0000-0000-0000BDA00000}"/>
    <cellStyle name="Normal 11 3 2 3 2 5 2 2" xfId="41809" xr:uid="{00000000-0005-0000-0000-0000BEA00000}"/>
    <cellStyle name="Normal 11 3 2 3 2 5 2 2 2" xfId="41810" xr:uid="{00000000-0005-0000-0000-0000BFA00000}"/>
    <cellStyle name="Normal 11 3 2 3 2 5 2 2 2 2" xfId="41811" xr:uid="{00000000-0005-0000-0000-0000C0A00000}"/>
    <cellStyle name="Normal 11 3 2 3 2 5 2 2 3" xfId="41812" xr:uid="{00000000-0005-0000-0000-0000C1A00000}"/>
    <cellStyle name="Normal 11 3 2 3 2 5 2 3" xfId="41813" xr:uid="{00000000-0005-0000-0000-0000C2A00000}"/>
    <cellStyle name="Normal 11 3 2 3 2 5 2 3 2" xfId="41814" xr:uid="{00000000-0005-0000-0000-0000C3A00000}"/>
    <cellStyle name="Normal 11 3 2 3 2 5 2 4" xfId="41815" xr:uid="{00000000-0005-0000-0000-0000C4A00000}"/>
    <cellStyle name="Normal 11 3 2 3 2 5 3" xfId="41816" xr:uid="{00000000-0005-0000-0000-0000C5A00000}"/>
    <cellStyle name="Normal 11 3 2 3 2 5 3 2" xfId="41817" xr:uid="{00000000-0005-0000-0000-0000C6A00000}"/>
    <cellStyle name="Normal 11 3 2 3 2 5 3 2 2" xfId="41818" xr:uid="{00000000-0005-0000-0000-0000C7A00000}"/>
    <cellStyle name="Normal 11 3 2 3 2 5 3 3" xfId="41819" xr:uid="{00000000-0005-0000-0000-0000C8A00000}"/>
    <cellStyle name="Normal 11 3 2 3 2 5 4" xfId="41820" xr:uid="{00000000-0005-0000-0000-0000C9A00000}"/>
    <cellStyle name="Normal 11 3 2 3 2 5 4 2" xfId="41821" xr:uid="{00000000-0005-0000-0000-0000CAA00000}"/>
    <cellStyle name="Normal 11 3 2 3 2 5 5" xfId="41822" xr:uid="{00000000-0005-0000-0000-0000CBA00000}"/>
    <cellStyle name="Normal 11 3 2 3 2 6" xfId="41823" xr:uid="{00000000-0005-0000-0000-0000CCA00000}"/>
    <cellStyle name="Normal 11 3 2 3 2 6 2" xfId="41824" xr:uid="{00000000-0005-0000-0000-0000CDA00000}"/>
    <cellStyle name="Normal 11 3 2 3 2 6 2 2" xfId="41825" xr:uid="{00000000-0005-0000-0000-0000CEA00000}"/>
    <cellStyle name="Normal 11 3 2 3 2 6 2 2 2" xfId="41826" xr:uid="{00000000-0005-0000-0000-0000CFA00000}"/>
    <cellStyle name="Normal 11 3 2 3 2 6 2 3" xfId="41827" xr:uid="{00000000-0005-0000-0000-0000D0A00000}"/>
    <cellStyle name="Normal 11 3 2 3 2 6 3" xfId="41828" xr:uid="{00000000-0005-0000-0000-0000D1A00000}"/>
    <cellStyle name="Normal 11 3 2 3 2 6 3 2" xfId="41829" xr:uid="{00000000-0005-0000-0000-0000D2A00000}"/>
    <cellStyle name="Normal 11 3 2 3 2 6 4" xfId="41830" xr:uid="{00000000-0005-0000-0000-0000D3A00000}"/>
    <cellStyle name="Normal 11 3 2 3 2 7" xfId="41831" xr:uid="{00000000-0005-0000-0000-0000D4A00000}"/>
    <cellStyle name="Normal 11 3 2 3 2 7 2" xfId="41832" xr:uid="{00000000-0005-0000-0000-0000D5A00000}"/>
    <cellStyle name="Normal 11 3 2 3 2 7 2 2" xfId="41833" xr:uid="{00000000-0005-0000-0000-0000D6A00000}"/>
    <cellStyle name="Normal 11 3 2 3 2 7 2 2 2" xfId="41834" xr:uid="{00000000-0005-0000-0000-0000D7A00000}"/>
    <cellStyle name="Normal 11 3 2 3 2 7 2 3" xfId="41835" xr:uid="{00000000-0005-0000-0000-0000D8A00000}"/>
    <cellStyle name="Normal 11 3 2 3 2 7 3" xfId="41836" xr:uid="{00000000-0005-0000-0000-0000D9A00000}"/>
    <cellStyle name="Normal 11 3 2 3 2 7 3 2" xfId="41837" xr:uid="{00000000-0005-0000-0000-0000DAA00000}"/>
    <cellStyle name="Normal 11 3 2 3 2 7 4" xfId="41838" xr:uid="{00000000-0005-0000-0000-0000DBA00000}"/>
    <cellStyle name="Normal 11 3 2 3 2 8" xfId="41839" xr:uid="{00000000-0005-0000-0000-0000DCA00000}"/>
    <cellStyle name="Normal 11 3 2 3 2 8 2" xfId="41840" xr:uid="{00000000-0005-0000-0000-0000DDA00000}"/>
    <cellStyle name="Normal 11 3 2 3 2 8 2 2" xfId="41841" xr:uid="{00000000-0005-0000-0000-0000DEA00000}"/>
    <cellStyle name="Normal 11 3 2 3 2 8 2 2 2" xfId="41842" xr:uid="{00000000-0005-0000-0000-0000DFA00000}"/>
    <cellStyle name="Normal 11 3 2 3 2 8 2 3" xfId="41843" xr:uid="{00000000-0005-0000-0000-0000E0A00000}"/>
    <cellStyle name="Normal 11 3 2 3 2 8 3" xfId="41844" xr:uid="{00000000-0005-0000-0000-0000E1A00000}"/>
    <cellStyle name="Normal 11 3 2 3 2 8 3 2" xfId="41845" xr:uid="{00000000-0005-0000-0000-0000E2A00000}"/>
    <cellStyle name="Normal 11 3 2 3 2 8 4" xfId="41846" xr:uid="{00000000-0005-0000-0000-0000E3A00000}"/>
    <cellStyle name="Normal 11 3 2 3 2 9" xfId="41847" xr:uid="{00000000-0005-0000-0000-0000E4A00000}"/>
    <cellStyle name="Normal 11 3 2 3 2 9 2" xfId="41848" xr:uid="{00000000-0005-0000-0000-0000E5A00000}"/>
    <cellStyle name="Normal 11 3 2 3 2 9 2 2" xfId="41849" xr:uid="{00000000-0005-0000-0000-0000E6A00000}"/>
    <cellStyle name="Normal 11 3 2 3 2 9 3" xfId="41850" xr:uid="{00000000-0005-0000-0000-0000E7A00000}"/>
    <cellStyle name="Normal 11 3 2 3 3" xfId="617" xr:uid="{00000000-0005-0000-0000-0000E8A00000}"/>
    <cellStyle name="Normal 11 3 2 3 3 10" xfId="41852" xr:uid="{00000000-0005-0000-0000-0000E9A00000}"/>
    <cellStyle name="Normal 11 3 2 3 3 10 2" xfId="41853" xr:uid="{00000000-0005-0000-0000-0000EAA00000}"/>
    <cellStyle name="Normal 11 3 2 3 3 10 2 2" xfId="41854" xr:uid="{00000000-0005-0000-0000-0000EBA00000}"/>
    <cellStyle name="Normal 11 3 2 3 3 10 3" xfId="41855" xr:uid="{00000000-0005-0000-0000-0000ECA00000}"/>
    <cellStyle name="Normal 11 3 2 3 3 11" xfId="41856" xr:uid="{00000000-0005-0000-0000-0000EDA00000}"/>
    <cellStyle name="Normal 11 3 2 3 3 11 2" xfId="41857" xr:uid="{00000000-0005-0000-0000-0000EEA00000}"/>
    <cellStyle name="Normal 11 3 2 3 3 11 2 2" xfId="41858" xr:uid="{00000000-0005-0000-0000-0000EFA00000}"/>
    <cellStyle name="Normal 11 3 2 3 3 11 3" xfId="41859" xr:uid="{00000000-0005-0000-0000-0000F0A00000}"/>
    <cellStyle name="Normal 11 3 2 3 3 12" xfId="41860" xr:uid="{00000000-0005-0000-0000-0000F1A00000}"/>
    <cellStyle name="Normal 11 3 2 3 3 12 2" xfId="41861" xr:uid="{00000000-0005-0000-0000-0000F2A00000}"/>
    <cellStyle name="Normal 11 3 2 3 3 13" xfId="41862" xr:uid="{00000000-0005-0000-0000-0000F3A00000}"/>
    <cellStyle name="Normal 11 3 2 3 3 14" xfId="41863" xr:uid="{00000000-0005-0000-0000-0000F4A00000}"/>
    <cellStyle name="Normal 11 3 2 3 3 15" xfId="41851" xr:uid="{00000000-0005-0000-0000-0000F5A00000}"/>
    <cellStyle name="Normal 11 3 2 3 3 2" xfId="1059" xr:uid="{00000000-0005-0000-0000-0000F6A00000}"/>
    <cellStyle name="Normal 11 3 2 3 3 2 10" xfId="41865" xr:uid="{00000000-0005-0000-0000-0000F7A00000}"/>
    <cellStyle name="Normal 11 3 2 3 3 2 11" xfId="41864" xr:uid="{00000000-0005-0000-0000-0000F8A00000}"/>
    <cellStyle name="Normal 11 3 2 3 3 2 2" xfId="1788" xr:uid="{00000000-0005-0000-0000-0000F9A00000}"/>
    <cellStyle name="Normal 11 3 2 3 3 2 2 2" xfId="41867" xr:uid="{00000000-0005-0000-0000-0000FAA00000}"/>
    <cellStyle name="Normal 11 3 2 3 3 2 2 2 2" xfId="41868" xr:uid="{00000000-0005-0000-0000-0000FBA00000}"/>
    <cellStyle name="Normal 11 3 2 3 3 2 2 2 2 2" xfId="41869" xr:uid="{00000000-0005-0000-0000-0000FCA00000}"/>
    <cellStyle name="Normal 11 3 2 3 3 2 2 2 2 2 2" xfId="41870" xr:uid="{00000000-0005-0000-0000-0000FDA00000}"/>
    <cellStyle name="Normal 11 3 2 3 3 2 2 2 2 3" xfId="41871" xr:uid="{00000000-0005-0000-0000-0000FEA00000}"/>
    <cellStyle name="Normal 11 3 2 3 3 2 2 2 3" xfId="41872" xr:uid="{00000000-0005-0000-0000-0000FFA00000}"/>
    <cellStyle name="Normal 11 3 2 3 3 2 2 2 3 2" xfId="41873" xr:uid="{00000000-0005-0000-0000-000000A10000}"/>
    <cellStyle name="Normal 11 3 2 3 3 2 2 2 4" xfId="41874" xr:uid="{00000000-0005-0000-0000-000001A10000}"/>
    <cellStyle name="Normal 11 3 2 3 3 2 2 3" xfId="41875" xr:uid="{00000000-0005-0000-0000-000002A10000}"/>
    <cellStyle name="Normal 11 3 2 3 3 2 2 3 2" xfId="41876" xr:uid="{00000000-0005-0000-0000-000003A10000}"/>
    <cellStyle name="Normal 11 3 2 3 3 2 2 3 2 2" xfId="41877" xr:uid="{00000000-0005-0000-0000-000004A10000}"/>
    <cellStyle name="Normal 11 3 2 3 3 2 2 3 2 2 2" xfId="41878" xr:uid="{00000000-0005-0000-0000-000005A10000}"/>
    <cellStyle name="Normal 11 3 2 3 3 2 2 3 2 3" xfId="41879" xr:uid="{00000000-0005-0000-0000-000006A10000}"/>
    <cellStyle name="Normal 11 3 2 3 3 2 2 3 3" xfId="41880" xr:uid="{00000000-0005-0000-0000-000007A10000}"/>
    <cellStyle name="Normal 11 3 2 3 3 2 2 3 3 2" xfId="41881" xr:uid="{00000000-0005-0000-0000-000008A10000}"/>
    <cellStyle name="Normal 11 3 2 3 3 2 2 3 4" xfId="41882" xr:uid="{00000000-0005-0000-0000-000009A10000}"/>
    <cellStyle name="Normal 11 3 2 3 3 2 2 4" xfId="41883" xr:uid="{00000000-0005-0000-0000-00000AA10000}"/>
    <cellStyle name="Normal 11 3 2 3 3 2 2 4 2" xfId="41884" xr:uid="{00000000-0005-0000-0000-00000BA10000}"/>
    <cellStyle name="Normal 11 3 2 3 3 2 2 4 2 2" xfId="41885" xr:uid="{00000000-0005-0000-0000-00000CA10000}"/>
    <cellStyle name="Normal 11 3 2 3 3 2 2 4 3" xfId="41886" xr:uid="{00000000-0005-0000-0000-00000DA10000}"/>
    <cellStyle name="Normal 11 3 2 3 3 2 2 5" xfId="41887" xr:uid="{00000000-0005-0000-0000-00000EA10000}"/>
    <cellStyle name="Normal 11 3 2 3 3 2 2 5 2" xfId="41888" xr:uid="{00000000-0005-0000-0000-00000FA10000}"/>
    <cellStyle name="Normal 11 3 2 3 3 2 2 6" xfId="41889" xr:uid="{00000000-0005-0000-0000-000010A10000}"/>
    <cellStyle name="Normal 11 3 2 3 3 2 2 7" xfId="41866" xr:uid="{00000000-0005-0000-0000-000011A10000}"/>
    <cellStyle name="Normal 11 3 2 3 3 2 3" xfId="41890" xr:uid="{00000000-0005-0000-0000-000012A10000}"/>
    <cellStyle name="Normal 11 3 2 3 3 2 3 2" xfId="41891" xr:uid="{00000000-0005-0000-0000-000013A10000}"/>
    <cellStyle name="Normal 11 3 2 3 3 2 3 2 2" xfId="41892" xr:uid="{00000000-0005-0000-0000-000014A10000}"/>
    <cellStyle name="Normal 11 3 2 3 3 2 3 2 2 2" xfId="41893" xr:uid="{00000000-0005-0000-0000-000015A10000}"/>
    <cellStyle name="Normal 11 3 2 3 3 2 3 2 2 2 2" xfId="41894" xr:uid="{00000000-0005-0000-0000-000016A10000}"/>
    <cellStyle name="Normal 11 3 2 3 3 2 3 2 2 3" xfId="41895" xr:uid="{00000000-0005-0000-0000-000017A10000}"/>
    <cellStyle name="Normal 11 3 2 3 3 2 3 2 3" xfId="41896" xr:uid="{00000000-0005-0000-0000-000018A10000}"/>
    <cellStyle name="Normal 11 3 2 3 3 2 3 2 3 2" xfId="41897" xr:uid="{00000000-0005-0000-0000-000019A10000}"/>
    <cellStyle name="Normal 11 3 2 3 3 2 3 2 4" xfId="41898" xr:uid="{00000000-0005-0000-0000-00001AA10000}"/>
    <cellStyle name="Normal 11 3 2 3 3 2 3 3" xfId="41899" xr:uid="{00000000-0005-0000-0000-00001BA10000}"/>
    <cellStyle name="Normal 11 3 2 3 3 2 3 3 2" xfId="41900" xr:uid="{00000000-0005-0000-0000-00001CA10000}"/>
    <cellStyle name="Normal 11 3 2 3 3 2 3 3 2 2" xfId="41901" xr:uid="{00000000-0005-0000-0000-00001DA10000}"/>
    <cellStyle name="Normal 11 3 2 3 3 2 3 3 3" xfId="41902" xr:uid="{00000000-0005-0000-0000-00001EA10000}"/>
    <cellStyle name="Normal 11 3 2 3 3 2 3 4" xfId="41903" xr:uid="{00000000-0005-0000-0000-00001FA10000}"/>
    <cellStyle name="Normal 11 3 2 3 3 2 3 4 2" xfId="41904" xr:uid="{00000000-0005-0000-0000-000020A10000}"/>
    <cellStyle name="Normal 11 3 2 3 3 2 3 5" xfId="41905" xr:uid="{00000000-0005-0000-0000-000021A10000}"/>
    <cellStyle name="Normal 11 3 2 3 3 2 4" xfId="41906" xr:uid="{00000000-0005-0000-0000-000022A10000}"/>
    <cellStyle name="Normal 11 3 2 3 3 2 4 2" xfId="41907" xr:uid="{00000000-0005-0000-0000-000023A10000}"/>
    <cellStyle name="Normal 11 3 2 3 3 2 4 2 2" xfId="41908" xr:uid="{00000000-0005-0000-0000-000024A10000}"/>
    <cellStyle name="Normal 11 3 2 3 3 2 4 2 2 2" xfId="41909" xr:uid="{00000000-0005-0000-0000-000025A10000}"/>
    <cellStyle name="Normal 11 3 2 3 3 2 4 2 2 2 2" xfId="41910" xr:uid="{00000000-0005-0000-0000-000026A10000}"/>
    <cellStyle name="Normal 11 3 2 3 3 2 4 2 2 3" xfId="41911" xr:uid="{00000000-0005-0000-0000-000027A10000}"/>
    <cellStyle name="Normal 11 3 2 3 3 2 4 2 3" xfId="41912" xr:uid="{00000000-0005-0000-0000-000028A10000}"/>
    <cellStyle name="Normal 11 3 2 3 3 2 4 2 3 2" xfId="41913" xr:uid="{00000000-0005-0000-0000-000029A10000}"/>
    <cellStyle name="Normal 11 3 2 3 3 2 4 2 4" xfId="41914" xr:uid="{00000000-0005-0000-0000-00002AA10000}"/>
    <cellStyle name="Normal 11 3 2 3 3 2 4 3" xfId="41915" xr:uid="{00000000-0005-0000-0000-00002BA10000}"/>
    <cellStyle name="Normal 11 3 2 3 3 2 4 3 2" xfId="41916" xr:uid="{00000000-0005-0000-0000-00002CA10000}"/>
    <cellStyle name="Normal 11 3 2 3 3 2 4 3 2 2" xfId="41917" xr:uid="{00000000-0005-0000-0000-00002DA10000}"/>
    <cellStyle name="Normal 11 3 2 3 3 2 4 3 3" xfId="41918" xr:uid="{00000000-0005-0000-0000-00002EA10000}"/>
    <cellStyle name="Normal 11 3 2 3 3 2 4 4" xfId="41919" xr:uid="{00000000-0005-0000-0000-00002FA10000}"/>
    <cellStyle name="Normal 11 3 2 3 3 2 4 4 2" xfId="41920" xr:uid="{00000000-0005-0000-0000-000030A10000}"/>
    <cellStyle name="Normal 11 3 2 3 3 2 4 5" xfId="41921" xr:uid="{00000000-0005-0000-0000-000031A10000}"/>
    <cellStyle name="Normal 11 3 2 3 3 2 5" xfId="41922" xr:uid="{00000000-0005-0000-0000-000032A10000}"/>
    <cellStyle name="Normal 11 3 2 3 3 2 5 2" xfId="41923" xr:uid="{00000000-0005-0000-0000-000033A10000}"/>
    <cellStyle name="Normal 11 3 2 3 3 2 5 2 2" xfId="41924" xr:uid="{00000000-0005-0000-0000-000034A10000}"/>
    <cellStyle name="Normal 11 3 2 3 3 2 5 2 2 2" xfId="41925" xr:uid="{00000000-0005-0000-0000-000035A10000}"/>
    <cellStyle name="Normal 11 3 2 3 3 2 5 2 3" xfId="41926" xr:uid="{00000000-0005-0000-0000-000036A10000}"/>
    <cellStyle name="Normal 11 3 2 3 3 2 5 3" xfId="41927" xr:uid="{00000000-0005-0000-0000-000037A10000}"/>
    <cellStyle name="Normal 11 3 2 3 3 2 5 3 2" xfId="41928" xr:uid="{00000000-0005-0000-0000-000038A10000}"/>
    <cellStyle name="Normal 11 3 2 3 3 2 5 4" xfId="41929" xr:uid="{00000000-0005-0000-0000-000039A10000}"/>
    <cellStyle name="Normal 11 3 2 3 3 2 6" xfId="41930" xr:uid="{00000000-0005-0000-0000-00003AA10000}"/>
    <cellStyle name="Normal 11 3 2 3 3 2 6 2" xfId="41931" xr:uid="{00000000-0005-0000-0000-00003BA10000}"/>
    <cellStyle name="Normal 11 3 2 3 3 2 6 2 2" xfId="41932" xr:uid="{00000000-0005-0000-0000-00003CA10000}"/>
    <cellStyle name="Normal 11 3 2 3 3 2 6 2 2 2" xfId="41933" xr:uid="{00000000-0005-0000-0000-00003DA10000}"/>
    <cellStyle name="Normal 11 3 2 3 3 2 6 2 3" xfId="41934" xr:uid="{00000000-0005-0000-0000-00003EA10000}"/>
    <cellStyle name="Normal 11 3 2 3 3 2 6 3" xfId="41935" xr:uid="{00000000-0005-0000-0000-00003FA10000}"/>
    <cellStyle name="Normal 11 3 2 3 3 2 6 3 2" xfId="41936" xr:uid="{00000000-0005-0000-0000-000040A10000}"/>
    <cellStyle name="Normal 11 3 2 3 3 2 6 4" xfId="41937" xr:uid="{00000000-0005-0000-0000-000041A10000}"/>
    <cellStyle name="Normal 11 3 2 3 3 2 7" xfId="41938" xr:uid="{00000000-0005-0000-0000-000042A10000}"/>
    <cellStyle name="Normal 11 3 2 3 3 2 7 2" xfId="41939" xr:uid="{00000000-0005-0000-0000-000043A10000}"/>
    <cellStyle name="Normal 11 3 2 3 3 2 7 2 2" xfId="41940" xr:uid="{00000000-0005-0000-0000-000044A10000}"/>
    <cellStyle name="Normal 11 3 2 3 3 2 7 2 2 2" xfId="41941" xr:uid="{00000000-0005-0000-0000-000045A10000}"/>
    <cellStyle name="Normal 11 3 2 3 3 2 7 2 3" xfId="41942" xr:uid="{00000000-0005-0000-0000-000046A10000}"/>
    <cellStyle name="Normal 11 3 2 3 3 2 7 3" xfId="41943" xr:uid="{00000000-0005-0000-0000-000047A10000}"/>
    <cellStyle name="Normal 11 3 2 3 3 2 7 3 2" xfId="41944" xr:uid="{00000000-0005-0000-0000-000048A10000}"/>
    <cellStyle name="Normal 11 3 2 3 3 2 7 4" xfId="41945" xr:uid="{00000000-0005-0000-0000-000049A10000}"/>
    <cellStyle name="Normal 11 3 2 3 3 2 8" xfId="41946" xr:uid="{00000000-0005-0000-0000-00004AA10000}"/>
    <cellStyle name="Normal 11 3 2 3 3 2 8 2" xfId="41947" xr:uid="{00000000-0005-0000-0000-00004BA10000}"/>
    <cellStyle name="Normal 11 3 2 3 3 2 8 2 2" xfId="41948" xr:uid="{00000000-0005-0000-0000-00004CA10000}"/>
    <cellStyle name="Normal 11 3 2 3 3 2 8 3" xfId="41949" xr:uid="{00000000-0005-0000-0000-00004DA10000}"/>
    <cellStyle name="Normal 11 3 2 3 3 2 9" xfId="41950" xr:uid="{00000000-0005-0000-0000-00004EA10000}"/>
    <cellStyle name="Normal 11 3 2 3 3 2 9 2" xfId="41951" xr:uid="{00000000-0005-0000-0000-00004FA10000}"/>
    <cellStyle name="Normal 11 3 2 3 3 3" xfId="1461" xr:uid="{00000000-0005-0000-0000-000050A10000}"/>
    <cellStyle name="Normal 11 3 2 3 3 3 2" xfId="41953" xr:uid="{00000000-0005-0000-0000-000051A10000}"/>
    <cellStyle name="Normal 11 3 2 3 3 3 2 2" xfId="41954" xr:uid="{00000000-0005-0000-0000-000052A10000}"/>
    <cellStyle name="Normal 11 3 2 3 3 3 2 2 2" xfId="41955" xr:uid="{00000000-0005-0000-0000-000053A10000}"/>
    <cellStyle name="Normal 11 3 2 3 3 3 2 2 2 2" xfId="41956" xr:uid="{00000000-0005-0000-0000-000054A10000}"/>
    <cellStyle name="Normal 11 3 2 3 3 3 2 2 3" xfId="41957" xr:uid="{00000000-0005-0000-0000-000055A10000}"/>
    <cellStyle name="Normal 11 3 2 3 3 3 2 3" xfId="41958" xr:uid="{00000000-0005-0000-0000-000056A10000}"/>
    <cellStyle name="Normal 11 3 2 3 3 3 2 3 2" xfId="41959" xr:uid="{00000000-0005-0000-0000-000057A10000}"/>
    <cellStyle name="Normal 11 3 2 3 3 3 2 4" xfId="41960" xr:uid="{00000000-0005-0000-0000-000058A10000}"/>
    <cellStyle name="Normal 11 3 2 3 3 3 3" xfId="41961" xr:uid="{00000000-0005-0000-0000-000059A10000}"/>
    <cellStyle name="Normal 11 3 2 3 3 3 3 2" xfId="41962" xr:uid="{00000000-0005-0000-0000-00005AA10000}"/>
    <cellStyle name="Normal 11 3 2 3 3 3 3 2 2" xfId="41963" xr:uid="{00000000-0005-0000-0000-00005BA10000}"/>
    <cellStyle name="Normal 11 3 2 3 3 3 3 2 2 2" xfId="41964" xr:uid="{00000000-0005-0000-0000-00005CA10000}"/>
    <cellStyle name="Normal 11 3 2 3 3 3 3 2 3" xfId="41965" xr:uid="{00000000-0005-0000-0000-00005DA10000}"/>
    <cellStyle name="Normal 11 3 2 3 3 3 3 3" xfId="41966" xr:uid="{00000000-0005-0000-0000-00005EA10000}"/>
    <cellStyle name="Normal 11 3 2 3 3 3 3 3 2" xfId="41967" xr:uid="{00000000-0005-0000-0000-00005FA10000}"/>
    <cellStyle name="Normal 11 3 2 3 3 3 3 4" xfId="41968" xr:uid="{00000000-0005-0000-0000-000060A10000}"/>
    <cellStyle name="Normal 11 3 2 3 3 3 4" xfId="41969" xr:uid="{00000000-0005-0000-0000-000061A10000}"/>
    <cellStyle name="Normal 11 3 2 3 3 3 4 2" xfId="41970" xr:uid="{00000000-0005-0000-0000-000062A10000}"/>
    <cellStyle name="Normal 11 3 2 3 3 3 4 2 2" xfId="41971" xr:uid="{00000000-0005-0000-0000-000063A10000}"/>
    <cellStyle name="Normal 11 3 2 3 3 3 4 3" xfId="41972" xr:uid="{00000000-0005-0000-0000-000064A10000}"/>
    <cellStyle name="Normal 11 3 2 3 3 3 5" xfId="41973" xr:uid="{00000000-0005-0000-0000-000065A10000}"/>
    <cellStyle name="Normal 11 3 2 3 3 3 5 2" xfId="41974" xr:uid="{00000000-0005-0000-0000-000066A10000}"/>
    <cellStyle name="Normal 11 3 2 3 3 3 6" xfId="41975" xr:uid="{00000000-0005-0000-0000-000067A10000}"/>
    <cellStyle name="Normal 11 3 2 3 3 3 7" xfId="41952" xr:uid="{00000000-0005-0000-0000-000068A10000}"/>
    <cellStyle name="Normal 11 3 2 3 3 4" xfId="41976" xr:uid="{00000000-0005-0000-0000-000069A10000}"/>
    <cellStyle name="Normal 11 3 2 3 3 4 2" xfId="41977" xr:uid="{00000000-0005-0000-0000-00006AA10000}"/>
    <cellStyle name="Normal 11 3 2 3 3 4 2 2" xfId="41978" xr:uid="{00000000-0005-0000-0000-00006BA10000}"/>
    <cellStyle name="Normal 11 3 2 3 3 4 2 2 2" xfId="41979" xr:uid="{00000000-0005-0000-0000-00006CA10000}"/>
    <cellStyle name="Normal 11 3 2 3 3 4 2 2 2 2" xfId="41980" xr:uid="{00000000-0005-0000-0000-00006DA10000}"/>
    <cellStyle name="Normal 11 3 2 3 3 4 2 2 3" xfId="41981" xr:uid="{00000000-0005-0000-0000-00006EA10000}"/>
    <cellStyle name="Normal 11 3 2 3 3 4 2 3" xfId="41982" xr:uid="{00000000-0005-0000-0000-00006FA10000}"/>
    <cellStyle name="Normal 11 3 2 3 3 4 2 3 2" xfId="41983" xr:uid="{00000000-0005-0000-0000-000070A10000}"/>
    <cellStyle name="Normal 11 3 2 3 3 4 2 4" xfId="41984" xr:uid="{00000000-0005-0000-0000-000071A10000}"/>
    <cellStyle name="Normal 11 3 2 3 3 4 3" xfId="41985" xr:uid="{00000000-0005-0000-0000-000072A10000}"/>
    <cellStyle name="Normal 11 3 2 3 3 4 3 2" xfId="41986" xr:uid="{00000000-0005-0000-0000-000073A10000}"/>
    <cellStyle name="Normal 11 3 2 3 3 4 3 2 2" xfId="41987" xr:uid="{00000000-0005-0000-0000-000074A10000}"/>
    <cellStyle name="Normal 11 3 2 3 3 4 3 3" xfId="41988" xr:uid="{00000000-0005-0000-0000-000075A10000}"/>
    <cellStyle name="Normal 11 3 2 3 3 4 4" xfId="41989" xr:uid="{00000000-0005-0000-0000-000076A10000}"/>
    <cellStyle name="Normal 11 3 2 3 3 4 4 2" xfId="41990" xr:uid="{00000000-0005-0000-0000-000077A10000}"/>
    <cellStyle name="Normal 11 3 2 3 3 4 5" xfId="41991" xr:uid="{00000000-0005-0000-0000-000078A10000}"/>
    <cellStyle name="Normal 11 3 2 3 3 5" xfId="41992" xr:uid="{00000000-0005-0000-0000-000079A10000}"/>
    <cellStyle name="Normal 11 3 2 3 3 5 2" xfId="41993" xr:uid="{00000000-0005-0000-0000-00007AA10000}"/>
    <cellStyle name="Normal 11 3 2 3 3 5 2 2" xfId="41994" xr:uid="{00000000-0005-0000-0000-00007BA10000}"/>
    <cellStyle name="Normal 11 3 2 3 3 5 2 2 2" xfId="41995" xr:uid="{00000000-0005-0000-0000-00007CA10000}"/>
    <cellStyle name="Normal 11 3 2 3 3 5 2 2 2 2" xfId="41996" xr:uid="{00000000-0005-0000-0000-00007DA10000}"/>
    <cellStyle name="Normal 11 3 2 3 3 5 2 2 3" xfId="41997" xr:uid="{00000000-0005-0000-0000-00007EA10000}"/>
    <cellStyle name="Normal 11 3 2 3 3 5 2 3" xfId="41998" xr:uid="{00000000-0005-0000-0000-00007FA10000}"/>
    <cellStyle name="Normal 11 3 2 3 3 5 2 3 2" xfId="41999" xr:uid="{00000000-0005-0000-0000-000080A10000}"/>
    <cellStyle name="Normal 11 3 2 3 3 5 2 4" xfId="42000" xr:uid="{00000000-0005-0000-0000-000081A10000}"/>
    <cellStyle name="Normal 11 3 2 3 3 5 3" xfId="42001" xr:uid="{00000000-0005-0000-0000-000082A10000}"/>
    <cellStyle name="Normal 11 3 2 3 3 5 3 2" xfId="42002" xr:uid="{00000000-0005-0000-0000-000083A10000}"/>
    <cellStyle name="Normal 11 3 2 3 3 5 3 2 2" xfId="42003" xr:uid="{00000000-0005-0000-0000-000084A10000}"/>
    <cellStyle name="Normal 11 3 2 3 3 5 3 3" xfId="42004" xr:uid="{00000000-0005-0000-0000-000085A10000}"/>
    <cellStyle name="Normal 11 3 2 3 3 5 4" xfId="42005" xr:uid="{00000000-0005-0000-0000-000086A10000}"/>
    <cellStyle name="Normal 11 3 2 3 3 5 4 2" xfId="42006" xr:uid="{00000000-0005-0000-0000-000087A10000}"/>
    <cellStyle name="Normal 11 3 2 3 3 5 5" xfId="42007" xr:uid="{00000000-0005-0000-0000-000088A10000}"/>
    <cellStyle name="Normal 11 3 2 3 3 6" xfId="42008" xr:uid="{00000000-0005-0000-0000-000089A10000}"/>
    <cellStyle name="Normal 11 3 2 3 3 6 2" xfId="42009" xr:uid="{00000000-0005-0000-0000-00008AA10000}"/>
    <cellStyle name="Normal 11 3 2 3 3 6 2 2" xfId="42010" xr:uid="{00000000-0005-0000-0000-00008BA10000}"/>
    <cellStyle name="Normal 11 3 2 3 3 6 2 2 2" xfId="42011" xr:uid="{00000000-0005-0000-0000-00008CA10000}"/>
    <cellStyle name="Normal 11 3 2 3 3 6 2 3" xfId="42012" xr:uid="{00000000-0005-0000-0000-00008DA10000}"/>
    <cellStyle name="Normal 11 3 2 3 3 6 3" xfId="42013" xr:uid="{00000000-0005-0000-0000-00008EA10000}"/>
    <cellStyle name="Normal 11 3 2 3 3 6 3 2" xfId="42014" xr:uid="{00000000-0005-0000-0000-00008FA10000}"/>
    <cellStyle name="Normal 11 3 2 3 3 6 4" xfId="42015" xr:uid="{00000000-0005-0000-0000-000090A10000}"/>
    <cellStyle name="Normal 11 3 2 3 3 7" xfId="42016" xr:uid="{00000000-0005-0000-0000-000091A10000}"/>
    <cellStyle name="Normal 11 3 2 3 3 7 2" xfId="42017" xr:uid="{00000000-0005-0000-0000-000092A10000}"/>
    <cellStyle name="Normal 11 3 2 3 3 7 2 2" xfId="42018" xr:uid="{00000000-0005-0000-0000-000093A10000}"/>
    <cellStyle name="Normal 11 3 2 3 3 7 2 2 2" xfId="42019" xr:uid="{00000000-0005-0000-0000-000094A10000}"/>
    <cellStyle name="Normal 11 3 2 3 3 7 2 3" xfId="42020" xr:uid="{00000000-0005-0000-0000-000095A10000}"/>
    <cellStyle name="Normal 11 3 2 3 3 7 3" xfId="42021" xr:uid="{00000000-0005-0000-0000-000096A10000}"/>
    <cellStyle name="Normal 11 3 2 3 3 7 3 2" xfId="42022" xr:uid="{00000000-0005-0000-0000-000097A10000}"/>
    <cellStyle name="Normal 11 3 2 3 3 7 4" xfId="42023" xr:uid="{00000000-0005-0000-0000-000098A10000}"/>
    <cellStyle name="Normal 11 3 2 3 3 8" xfId="42024" xr:uid="{00000000-0005-0000-0000-000099A10000}"/>
    <cellStyle name="Normal 11 3 2 3 3 8 2" xfId="42025" xr:uid="{00000000-0005-0000-0000-00009AA10000}"/>
    <cellStyle name="Normal 11 3 2 3 3 8 2 2" xfId="42026" xr:uid="{00000000-0005-0000-0000-00009BA10000}"/>
    <cellStyle name="Normal 11 3 2 3 3 8 2 2 2" xfId="42027" xr:uid="{00000000-0005-0000-0000-00009CA10000}"/>
    <cellStyle name="Normal 11 3 2 3 3 8 2 3" xfId="42028" xr:uid="{00000000-0005-0000-0000-00009DA10000}"/>
    <cellStyle name="Normal 11 3 2 3 3 8 3" xfId="42029" xr:uid="{00000000-0005-0000-0000-00009EA10000}"/>
    <cellStyle name="Normal 11 3 2 3 3 8 3 2" xfId="42030" xr:uid="{00000000-0005-0000-0000-00009FA10000}"/>
    <cellStyle name="Normal 11 3 2 3 3 8 4" xfId="42031" xr:uid="{00000000-0005-0000-0000-0000A0A10000}"/>
    <cellStyle name="Normal 11 3 2 3 3 9" xfId="42032" xr:uid="{00000000-0005-0000-0000-0000A1A10000}"/>
    <cellStyle name="Normal 11 3 2 3 3 9 2" xfId="42033" xr:uid="{00000000-0005-0000-0000-0000A2A10000}"/>
    <cellStyle name="Normal 11 3 2 3 3 9 2 2" xfId="42034" xr:uid="{00000000-0005-0000-0000-0000A3A10000}"/>
    <cellStyle name="Normal 11 3 2 3 3 9 3" xfId="42035" xr:uid="{00000000-0005-0000-0000-0000A4A10000}"/>
    <cellStyle name="Normal 11 3 2 3 4" xfId="1057" xr:uid="{00000000-0005-0000-0000-0000A5A10000}"/>
    <cellStyle name="Normal 11 3 2 3 4 10" xfId="42037" xr:uid="{00000000-0005-0000-0000-0000A6A10000}"/>
    <cellStyle name="Normal 11 3 2 3 4 11" xfId="42036" xr:uid="{00000000-0005-0000-0000-0000A7A10000}"/>
    <cellStyle name="Normal 11 3 2 3 4 2" xfId="1786" xr:uid="{00000000-0005-0000-0000-0000A8A10000}"/>
    <cellStyle name="Normal 11 3 2 3 4 2 2" xfId="42039" xr:uid="{00000000-0005-0000-0000-0000A9A10000}"/>
    <cellStyle name="Normal 11 3 2 3 4 2 2 2" xfId="42040" xr:uid="{00000000-0005-0000-0000-0000AAA10000}"/>
    <cellStyle name="Normal 11 3 2 3 4 2 2 2 2" xfId="42041" xr:uid="{00000000-0005-0000-0000-0000ABA10000}"/>
    <cellStyle name="Normal 11 3 2 3 4 2 2 2 2 2" xfId="42042" xr:uid="{00000000-0005-0000-0000-0000ACA10000}"/>
    <cellStyle name="Normal 11 3 2 3 4 2 2 2 3" xfId="42043" xr:uid="{00000000-0005-0000-0000-0000ADA10000}"/>
    <cellStyle name="Normal 11 3 2 3 4 2 2 3" xfId="42044" xr:uid="{00000000-0005-0000-0000-0000AEA10000}"/>
    <cellStyle name="Normal 11 3 2 3 4 2 2 3 2" xfId="42045" xr:uid="{00000000-0005-0000-0000-0000AFA10000}"/>
    <cellStyle name="Normal 11 3 2 3 4 2 2 4" xfId="42046" xr:uid="{00000000-0005-0000-0000-0000B0A10000}"/>
    <cellStyle name="Normal 11 3 2 3 4 2 3" xfId="42047" xr:uid="{00000000-0005-0000-0000-0000B1A10000}"/>
    <cellStyle name="Normal 11 3 2 3 4 2 3 2" xfId="42048" xr:uid="{00000000-0005-0000-0000-0000B2A10000}"/>
    <cellStyle name="Normal 11 3 2 3 4 2 3 2 2" xfId="42049" xr:uid="{00000000-0005-0000-0000-0000B3A10000}"/>
    <cellStyle name="Normal 11 3 2 3 4 2 3 2 2 2" xfId="42050" xr:uid="{00000000-0005-0000-0000-0000B4A10000}"/>
    <cellStyle name="Normal 11 3 2 3 4 2 3 2 3" xfId="42051" xr:uid="{00000000-0005-0000-0000-0000B5A10000}"/>
    <cellStyle name="Normal 11 3 2 3 4 2 3 3" xfId="42052" xr:uid="{00000000-0005-0000-0000-0000B6A10000}"/>
    <cellStyle name="Normal 11 3 2 3 4 2 3 3 2" xfId="42053" xr:uid="{00000000-0005-0000-0000-0000B7A10000}"/>
    <cellStyle name="Normal 11 3 2 3 4 2 3 4" xfId="42054" xr:uid="{00000000-0005-0000-0000-0000B8A10000}"/>
    <cellStyle name="Normal 11 3 2 3 4 2 4" xfId="42055" xr:uid="{00000000-0005-0000-0000-0000B9A10000}"/>
    <cellStyle name="Normal 11 3 2 3 4 2 4 2" xfId="42056" xr:uid="{00000000-0005-0000-0000-0000BAA10000}"/>
    <cellStyle name="Normal 11 3 2 3 4 2 4 2 2" xfId="42057" xr:uid="{00000000-0005-0000-0000-0000BBA10000}"/>
    <cellStyle name="Normal 11 3 2 3 4 2 4 3" xfId="42058" xr:uid="{00000000-0005-0000-0000-0000BCA10000}"/>
    <cellStyle name="Normal 11 3 2 3 4 2 5" xfId="42059" xr:uid="{00000000-0005-0000-0000-0000BDA10000}"/>
    <cellStyle name="Normal 11 3 2 3 4 2 5 2" xfId="42060" xr:uid="{00000000-0005-0000-0000-0000BEA10000}"/>
    <cellStyle name="Normal 11 3 2 3 4 2 6" xfId="42061" xr:uid="{00000000-0005-0000-0000-0000BFA10000}"/>
    <cellStyle name="Normal 11 3 2 3 4 2 7" xfId="42038" xr:uid="{00000000-0005-0000-0000-0000C0A10000}"/>
    <cellStyle name="Normal 11 3 2 3 4 3" xfId="42062" xr:uid="{00000000-0005-0000-0000-0000C1A10000}"/>
    <cellStyle name="Normal 11 3 2 3 4 3 2" xfId="42063" xr:uid="{00000000-0005-0000-0000-0000C2A10000}"/>
    <cellStyle name="Normal 11 3 2 3 4 3 2 2" xfId="42064" xr:uid="{00000000-0005-0000-0000-0000C3A10000}"/>
    <cellStyle name="Normal 11 3 2 3 4 3 2 2 2" xfId="42065" xr:uid="{00000000-0005-0000-0000-0000C4A10000}"/>
    <cellStyle name="Normal 11 3 2 3 4 3 2 2 2 2" xfId="42066" xr:uid="{00000000-0005-0000-0000-0000C5A10000}"/>
    <cellStyle name="Normal 11 3 2 3 4 3 2 2 3" xfId="42067" xr:uid="{00000000-0005-0000-0000-0000C6A10000}"/>
    <cellStyle name="Normal 11 3 2 3 4 3 2 3" xfId="42068" xr:uid="{00000000-0005-0000-0000-0000C7A10000}"/>
    <cellStyle name="Normal 11 3 2 3 4 3 2 3 2" xfId="42069" xr:uid="{00000000-0005-0000-0000-0000C8A10000}"/>
    <cellStyle name="Normal 11 3 2 3 4 3 2 4" xfId="42070" xr:uid="{00000000-0005-0000-0000-0000C9A10000}"/>
    <cellStyle name="Normal 11 3 2 3 4 3 3" xfId="42071" xr:uid="{00000000-0005-0000-0000-0000CAA10000}"/>
    <cellStyle name="Normal 11 3 2 3 4 3 3 2" xfId="42072" xr:uid="{00000000-0005-0000-0000-0000CBA10000}"/>
    <cellStyle name="Normal 11 3 2 3 4 3 3 2 2" xfId="42073" xr:uid="{00000000-0005-0000-0000-0000CCA10000}"/>
    <cellStyle name="Normal 11 3 2 3 4 3 3 3" xfId="42074" xr:uid="{00000000-0005-0000-0000-0000CDA10000}"/>
    <cellStyle name="Normal 11 3 2 3 4 3 4" xfId="42075" xr:uid="{00000000-0005-0000-0000-0000CEA10000}"/>
    <cellStyle name="Normal 11 3 2 3 4 3 4 2" xfId="42076" xr:uid="{00000000-0005-0000-0000-0000CFA10000}"/>
    <cellStyle name="Normal 11 3 2 3 4 3 5" xfId="42077" xr:uid="{00000000-0005-0000-0000-0000D0A10000}"/>
    <cellStyle name="Normal 11 3 2 3 4 4" xfId="42078" xr:uid="{00000000-0005-0000-0000-0000D1A10000}"/>
    <cellStyle name="Normal 11 3 2 3 4 4 2" xfId="42079" xr:uid="{00000000-0005-0000-0000-0000D2A10000}"/>
    <cellStyle name="Normal 11 3 2 3 4 4 2 2" xfId="42080" xr:uid="{00000000-0005-0000-0000-0000D3A10000}"/>
    <cellStyle name="Normal 11 3 2 3 4 4 2 2 2" xfId="42081" xr:uid="{00000000-0005-0000-0000-0000D4A10000}"/>
    <cellStyle name="Normal 11 3 2 3 4 4 2 2 2 2" xfId="42082" xr:uid="{00000000-0005-0000-0000-0000D5A10000}"/>
    <cellStyle name="Normal 11 3 2 3 4 4 2 2 3" xfId="42083" xr:uid="{00000000-0005-0000-0000-0000D6A10000}"/>
    <cellStyle name="Normal 11 3 2 3 4 4 2 3" xfId="42084" xr:uid="{00000000-0005-0000-0000-0000D7A10000}"/>
    <cellStyle name="Normal 11 3 2 3 4 4 2 3 2" xfId="42085" xr:uid="{00000000-0005-0000-0000-0000D8A10000}"/>
    <cellStyle name="Normal 11 3 2 3 4 4 2 4" xfId="42086" xr:uid="{00000000-0005-0000-0000-0000D9A10000}"/>
    <cellStyle name="Normal 11 3 2 3 4 4 3" xfId="42087" xr:uid="{00000000-0005-0000-0000-0000DAA10000}"/>
    <cellStyle name="Normal 11 3 2 3 4 4 3 2" xfId="42088" xr:uid="{00000000-0005-0000-0000-0000DBA10000}"/>
    <cellStyle name="Normal 11 3 2 3 4 4 3 2 2" xfId="42089" xr:uid="{00000000-0005-0000-0000-0000DCA10000}"/>
    <cellStyle name="Normal 11 3 2 3 4 4 3 3" xfId="42090" xr:uid="{00000000-0005-0000-0000-0000DDA10000}"/>
    <cellStyle name="Normal 11 3 2 3 4 4 4" xfId="42091" xr:uid="{00000000-0005-0000-0000-0000DEA10000}"/>
    <cellStyle name="Normal 11 3 2 3 4 4 4 2" xfId="42092" xr:uid="{00000000-0005-0000-0000-0000DFA10000}"/>
    <cellStyle name="Normal 11 3 2 3 4 4 5" xfId="42093" xr:uid="{00000000-0005-0000-0000-0000E0A10000}"/>
    <cellStyle name="Normal 11 3 2 3 4 5" xfId="42094" xr:uid="{00000000-0005-0000-0000-0000E1A10000}"/>
    <cellStyle name="Normal 11 3 2 3 4 5 2" xfId="42095" xr:uid="{00000000-0005-0000-0000-0000E2A10000}"/>
    <cellStyle name="Normal 11 3 2 3 4 5 2 2" xfId="42096" xr:uid="{00000000-0005-0000-0000-0000E3A10000}"/>
    <cellStyle name="Normal 11 3 2 3 4 5 2 2 2" xfId="42097" xr:uid="{00000000-0005-0000-0000-0000E4A10000}"/>
    <cellStyle name="Normal 11 3 2 3 4 5 2 3" xfId="42098" xr:uid="{00000000-0005-0000-0000-0000E5A10000}"/>
    <cellStyle name="Normal 11 3 2 3 4 5 3" xfId="42099" xr:uid="{00000000-0005-0000-0000-0000E6A10000}"/>
    <cellStyle name="Normal 11 3 2 3 4 5 3 2" xfId="42100" xr:uid="{00000000-0005-0000-0000-0000E7A10000}"/>
    <cellStyle name="Normal 11 3 2 3 4 5 4" xfId="42101" xr:uid="{00000000-0005-0000-0000-0000E8A10000}"/>
    <cellStyle name="Normal 11 3 2 3 4 6" xfId="42102" xr:uid="{00000000-0005-0000-0000-0000E9A10000}"/>
    <cellStyle name="Normal 11 3 2 3 4 6 2" xfId="42103" xr:uid="{00000000-0005-0000-0000-0000EAA10000}"/>
    <cellStyle name="Normal 11 3 2 3 4 6 2 2" xfId="42104" xr:uid="{00000000-0005-0000-0000-0000EBA10000}"/>
    <cellStyle name="Normal 11 3 2 3 4 6 2 2 2" xfId="42105" xr:uid="{00000000-0005-0000-0000-0000ECA10000}"/>
    <cellStyle name="Normal 11 3 2 3 4 6 2 3" xfId="42106" xr:uid="{00000000-0005-0000-0000-0000EDA10000}"/>
    <cellStyle name="Normal 11 3 2 3 4 6 3" xfId="42107" xr:uid="{00000000-0005-0000-0000-0000EEA10000}"/>
    <cellStyle name="Normal 11 3 2 3 4 6 3 2" xfId="42108" xr:uid="{00000000-0005-0000-0000-0000EFA10000}"/>
    <cellStyle name="Normal 11 3 2 3 4 6 4" xfId="42109" xr:uid="{00000000-0005-0000-0000-0000F0A10000}"/>
    <cellStyle name="Normal 11 3 2 3 4 7" xfId="42110" xr:uid="{00000000-0005-0000-0000-0000F1A10000}"/>
    <cellStyle name="Normal 11 3 2 3 4 7 2" xfId="42111" xr:uid="{00000000-0005-0000-0000-0000F2A10000}"/>
    <cellStyle name="Normal 11 3 2 3 4 7 2 2" xfId="42112" xr:uid="{00000000-0005-0000-0000-0000F3A10000}"/>
    <cellStyle name="Normal 11 3 2 3 4 7 2 2 2" xfId="42113" xr:uid="{00000000-0005-0000-0000-0000F4A10000}"/>
    <cellStyle name="Normal 11 3 2 3 4 7 2 3" xfId="42114" xr:uid="{00000000-0005-0000-0000-0000F5A10000}"/>
    <cellStyle name="Normal 11 3 2 3 4 7 3" xfId="42115" xr:uid="{00000000-0005-0000-0000-0000F6A10000}"/>
    <cellStyle name="Normal 11 3 2 3 4 7 3 2" xfId="42116" xr:uid="{00000000-0005-0000-0000-0000F7A10000}"/>
    <cellStyle name="Normal 11 3 2 3 4 7 4" xfId="42117" xr:uid="{00000000-0005-0000-0000-0000F8A10000}"/>
    <cellStyle name="Normal 11 3 2 3 4 8" xfId="42118" xr:uid="{00000000-0005-0000-0000-0000F9A10000}"/>
    <cellStyle name="Normal 11 3 2 3 4 8 2" xfId="42119" xr:uid="{00000000-0005-0000-0000-0000FAA10000}"/>
    <cellStyle name="Normal 11 3 2 3 4 8 2 2" xfId="42120" xr:uid="{00000000-0005-0000-0000-0000FBA10000}"/>
    <cellStyle name="Normal 11 3 2 3 4 8 3" xfId="42121" xr:uid="{00000000-0005-0000-0000-0000FCA10000}"/>
    <cellStyle name="Normal 11 3 2 3 4 9" xfId="42122" xr:uid="{00000000-0005-0000-0000-0000FDA10000}"/>
    <cellStyle name="Normal 11 3 2 3 4 9 2" xfId="42123" xr:uid="{00000000-0005-0000-0000-0000FEA10000}"/>
    <cellStyle name="Normal 11 3 2 3 5" xfId="1459" xr:uid="{00000000-0005-0000-0000-0000FFA10000}"/>
    <cellStyle name="Normal 11 3 2 3 5 2" xfId="42125" xr:uid="{00000000-0005-0000-0000-000000A20000}"/>
    <cellStyle name="Normal 11 3 2 3 5 2 2" xfId="42126" xr:uid="{00000000-0005-0000-0000-000001A20000}"/>
    <cellStyle name="Normal 11 3 2 3 5 2 2 2" xfId="42127" xr:uid="{00000000-0005-0000-0000-000002A20000}"/>
    <cellStyle name="Normal 11 3 2 3 5 2 2 2 2" xfId="42128" xr:uid="{00000000-0005-0000-0000-000003A20000}"/>
    <cellStyle name="Normal 11 3 2 3 5 2 2 3" xfId="42129" xr:uid="{00000000-0005-0000-0000-000004A20000}"/>
    <cellStyle name="Normal 11 3 2 3 5 2 3" xfId="42130" xr:uid="{00000000-0005-0000-0000-000005A20000}"/>
    <cellStyle name="Normal 11 3 2 3 5 2 3 2" xfId="42131" xr:uid="{00000000-0005-0000-0000-000006A20000}"/>
    <cellStyle name="Normal 11 3 2 3 5 2 4" xfId="42132" xr:uid="{00000000-0005-0000-0000-000007A20000}"/>
    <cellStyle name="Normal 11 3 2 3 5 3" xfId="42133" xr:uid="{00000000-0005-0000-0000-000008A20000}"/>
    <cellStyle name="Normal 11 3 2 3 5 3 2" xfId="42134" xr:uid="{00000000-0005-0000-0000-000009A20000}"/>
    <cellStyle name="Normal 11 3 2 3 5 3 2 2" xfId="42135" xr:uid="{00000000-0005-0000-0000-00000AA20000}"/>
    <cellStyle name="Normal 11 3 2 3 5 3 2 2 2" xfId="42136" xr:uid="{00000000-0005-0000-0000-00000BA20000}"/>
    <cellStyle name="Normal 11 3 2 3 5 3 2 3" xfId="42137" xr:uid="{00000000-0005-0000-0000-00000CA20000}"/>
    <cellStyle name="Normal 11 3 2 3 5 3 3" xfId="42138" xr:uid="{00000000-0005-0000-0000-00000DA20000}"/>
    <cellStyle name="Normal 11 3 2 3 5 3 3 2" xfId="42139" xr:uid="{00000000-0005-0000-0000-00000EA20000}"/>
    <cellStyle name="Normal 11 3 2 3 5 3 4" xfId="42140" xr:uid="{00000000-0005-0000-0000-00000FA20000}"/>
    <cellStyle name="Normal 11 3 2 3 5 4" xfId="42141" xr:uid="{00000000-0005-0000-0000-000010A20000}"/>
    <cellStyle name="Normal 11 3 2 3 5 4 2" xfId="42142" xr:uid="{00000000-0005-0000-0000-000011A20000}"/>
    <cellStyle name="Normal 11 3 2 3 5 4 2 2" xfId="42143" xr:uid="{00000000-0005-0000-0000-000012A20000}"/>
    <cellStyle name="Normal 11 3 2 3 5 4 3" xfId="42144" xr:uid="{00000000-0005-0000-0000-000013A20000}"/>
    <cellStyle name="Normal 11 3 2 3 5 5" xfId="42145" xr:uid="{00000000-0005-0000-0000-000014A20000}"/>
    <cellStyle name="Normal 11 3 2 3 5 5 2" xfId="42146" xr:uid="{00000000-0005-0000-0000-000015A20000}"/>
    <cellStyle name="Normal 11 3 2 3 5 6" xfId="42147" xr:uid="{00000000-0005-0000-0000-000016A20000}"/>
    <cellStyle name="Normal 11 3 2 3 5 7" xfId="42124" xr:uid="{00000000-0005-0000-0000-000017A20000}"/>
    <cellStyle name="Normal 11 3 2 3 6" xfId="42148" xr:uid="{00000000-0005-0000-0000-000018A20000}"/>
    <cellStyle name="Normal 11 3 2 3 6 2" xfId="42149" xr:uid="{00000000-0005-0000-0000-000019A20000}"/>
    <cellStyle name="Normal 11 3 2 3 6 2 2" xfId="42150" xr:uid="{00000000-0005-0000-0000-00001AA20000}"/>
    <cellStyle name="Normal 11 3 2 3 6 2 2 2" xfId="42151" xr:uid="{00000000-0005-0000-0000-00001BA20000}"/>
    <cellStyle name="Normal 11 3 2 3 6 2 2 2 2" xfId="42152" xr:uid="{00000000-0005-0000-0000-00001CA20000}"/>
    <cellStyle name="Normal 11 3 2 3 6 2 2 3" xfId="42153" xr:uid="{00000000-0005-0000-0000-00001DA20000}"/>
    <cellStyle name="Normal 11 3 2 3 6 2 3" xfId="42154" xr:uid="{00000000-0005-0000-0000-00001EA20000}"/>
    <cellStyle name="Normal 11 3 2 3 6 2 3 2" xfId="42155" xr:uid="{00000000-0005-0000-0000-00001FA20000}"/>
    <cellStyle name="Normal 11 3 2 3 6 2 4" xfId="42156" xr:uid="{00000000-0005-0000-0000-000020A20000}"/>
    <cellStyle name="Normal 11 3 2 3 6 3" xfId="42157" xr:uid="{00000000-0005-0000-0000-000021A20000}"/>
    <cellStyle name="Normal 11 3 2 3 6 3 2" xfId="42158" xr:uid="{00000000-0005-0000-0000-000022A20000}"/>
    <cellStyle name="Normal 11 3 2 3 6 3 2 2" xfId="42159" xr:uid="{00000000-0005-0000-0000-000023A20000}"/>
    <cellStyle name="Normal 11 3 2 3 6 3 3" xfId="42160" xr:uid="{00000000-0005-0000-0000-000024A20000}"/>
    <cellStyle name="Normal 11 3 2 3 6 4" xfId="42161" xr:uid="{00000000-0005-0000-0000-000025A20000}"/>
    <cellStyle name="Normal 11 3 2 3 6 4 2" xfId="42162" xr:uid="{00000000-0005-0000-0000-000026A20000}"/>
    <cellStyle name="Normal 11 3 2 3 6 5" xfId="42163" xr:uid="{00000000-0005-0000-0000-000027A20000}"/>
    <cellStyle name="Normal 11 3 2 3 7" xfId="42164" xr:uid="{00000000-0005-0000-0000-000028A20000}"/>
    <cellStyle name="Normal 11 3 2 3 7 2" xfId="42165" xr:uid="{00000000-0005-0000-0000-000029A20000}"/>
    <cellStyle name="Normal 11 3 2 3 7 2 2" xfId="42166" xr:uid="{00000000-0005-0000-0000-00002AA20000}"/>
    <cellStyle name="Normal 11 3 2 3 7 2 2 2" xfId="42167" xr:uid="{00000000-0005-0000-0000-00002BA20000}"/>
    <cellStyle name="Normal 11 3 2 3 7 2 2 2 2" xfId="42168" xr:uid="{00000000-0005-0000-0000-00002CA20000}"/>
    <cellStyle name="Normal 11 3 2 3 7 2 2 3" xfId="42169" xr:uid="{00000000-0005-0000-0000-00002DA20000}"/>
    <cellStyle name="Normal 11 3 2 3 7 2 3" xfId="42170" xr:uid="{00000000-0005-0000-0000-00002EA20000}"/>
    <cellStyle name="Normal 11 3 2 3 7 2 3 2" xfId="42171" xr:uid="{00000000-0005-0000-0000-00002FA20000}"/>
    <cellStyle name="Normal 11 3 2 3 7 2 4" xfId="42172" xr:uid="{00000000-0005-0000-0000-000030A20000}"/>
    <cellStyle name="Normal 11 3 2 3 7 3" xfId="42173" xr:uid="{00000000-0005-0000-0000-000031A20000}"/>
    <cellStyle name="Normal 11 3 2 3 7 3 2" xfId="42174" xr:uid="{00000000-0005-0000-0000-000032A20000}"/>
    <cellStyle name="Normal 11 3 2 3 7 3 2 2" xfId="42175" xr:uid="{00000000-0005-0000-0000-000033A20000}"/>
    <cellStyle name="Normal 11 3 2 3 7 3 3" xfId="42176" xr:uid="{00000000-0005-0000-0000-000034A20000}"/>
    <cellStyle name="Normal 11 3 2 3 7 4" xfId="42177" xr:uid="{00000000-0005-0000-0000-000035A20000}"/>
    <cellStyle name="Normal 11 3 2 3 7 4 2" xfId="42178" xr:uid="{00000000-0005-0000-0000-000036A20000}"/>
    <cellStyle name="Normal 11 3 2 3 7 5" xfId="42179" xr:uid="{00000000-0005-0000-0000-000037A20000}"/>
    <cellStyle name="Normal 11 3 2 3 8" xfId="42180" xr:uid="{00000000-0005-0000-0000-000038A20000}"/>
    <cellStyle name="Normal 11 3 2 3 8 2" xfId="42181" xr:uid="{00000000-0005-0000-0000-000039A20000}"/>
    <cellStyle name="Normal 11 3 2 3 8 2 2" xfId="42182" xr:uid="{00000000-0005-0000-0000-00003AA20000}"/>
    <cellStyle name="Normal 11 3 2 3 8 2 2 2" xfId="42183" xr:uid="{00000000-0005-0000-0000-00003BA20000}"/>
    <cellStyle name="Normal 11 3 2 3 8 2 3" xfId="42184" xr:uid="{00000000-0005-0000-0000-00003CA20000}"/>
    <cellStyle name="Normal 11 3 2 3 8 3" xfId="42185" xr:uid="{00000000-0005-0000-0000-00003DA20000}"/>
    <cellStyle name="Normal 11 3 2 3 8 3 2" xfId="42186" xr:uid="{00000000-0005-0000-0000-00003EA20000}"/>
    <cellStyle name="Normal 11 3 2 3 8 4" xfId="42187" xr:uid="{00000000-0005-0000-0000-00003FA20000}"/>
    <cellStyle name="Normal 11 3 2 3 9" xfId="42188" xr:uid="{00000000-0005-0000-0000-000040A20000}"/>
    <cellStyle name="Normal 11 3 2 3 9 2" xfId="42189" xr:uid="{00000000-0005-0000-0000-000041A20000}"/>
    <cellStyle name="Normal 11 3 2 3 9 2 2" xfId="42190" xr:uid="{00000000-0005-0000-0000-000042A20000}"/>
    <cellStyle name="Normal 11 3 2 3 9 2 2 2" xfId="42191" xr:uid="{00000000-0005-0000-0000-000043A20000}"/>
    <cellStyle name="Normal 11 3 2 3 9 2 3" xfId="42192" xr:uid="{00000000-0005-0000-0000-000044A20000}"/>
    <cellStyle name="Normal 11 3 2 3 9 3" xfId="42193" xr:uid="{00000000-0005-0000-0000-000045A20000}"/>
    <cellStyle name="Normal 11 3 2 3 9 3 2" xfId="42194" xr:uid="{00000000-0005-0000-0000-000046A20000}"/>
    <cellStyle name="Normal 11 3 2 3 9 4" xfId="42195" xr:uid="{00000000-0005-0000-0000-000047A20000}"/>
    <cellStyle name="Normal 11 3 2 4" xfId="618" xr:uid="{00000000-0005-0000-0000-000048A20000}"/>
    <cellStyle name="Normal 11 3 2 4 10" xfId="42197" xr:uid="{00000000-0005-0000-0000-000049A20000}"/>
    <cellStyle name="Normal 11 3 2 4 10 2" xfId="42198" xr:uid="{00000000-0005-0000-0000-00004AA20000}"/>
    <cellStyle name="Normal 11 3 2 4 10 2 2" xfId="42199" xr:uid="{00000000-0005-0000-0000-00004BA20000}"/>
    <cellStyle name="Normal 11 3 2 4 10 3" xfId="42200" xr:uid="{00000000-0005-0000-0000-00004CA20000}"/>
    <cellStyle name="Normal 11 3 2 4 11" xfId="42201" xr:uid="{00000000-0005-0000-0000-00004DA20000}"/>
    <cellStyle name="Normal 11 3 2 4 11 2" xfId="42202" xr:uid="{00000000-0005-0000-0000-00004EA20000}"/>
    <cellStyle name="Normal 11 3 2 4 11 2 2" xfId="42203" xr:uid="{00000000-0005-0000-0000-00004FA20000}"/>
    <cellStyle name="Normal 11 3 2 4 11 3" xfId="42204" xr:uid="{00000000-0005-0000-0000-000050A20000}"/>
    <cellStyle name="Normal 11 3 2 4 12" xfId="42205" xr:uid="{00000000-0005-0000-0000-000051A20000}"/>
    <cellStyle name="Normal 11 3 2 4 12 2" xfId="42206" xr:uid="{00000000-0005-0000-0000-000052A20000}"/>
    <cellStyle name="Normal 11 3 2 4 13" xfId="42207" xr:uid="{00000000-0005-0000-0000-000053A20000}"/>
    <cellStyle name="Normal 11 3 2 4 14" xfId="42208" xr:uid="{00000000-0005-0000-0000-000054A20000}"/>
    <cellStyle name="Normal 11 3 2 4 15" xfId="42196" xr:uid="{00000000-0005-0000-0000-000055A20000}"/>
    <cellStyle name="Normal 11 3 2 4 2" xfId="1060" xr:uid="{00000000-0005-0000-0000-000056A20000}"/>
    <cellStyle name="Normal 11 3 2 4 2 10" xfId="42210" xr:uid="{00000000-0005-0000-0000-000057A20000}"/>
    <cellStyle name="Normal 11 3 2 4 2 11" xfId="42209" xr:uid="{00000000-0005-0000-0000-000058A20000}"/>
    <cellStyle name="Normal 11 3 2 4 2 2" xfId="1789" xr:uid="{00000000-0005-0000-0000-000059A20000}"/>
    <cellStyle name="Normal 11 3 2 4 2 2 2" xfId="42212" xr:uid="{00000000-0005-0000-0000-00005AA20000}"/>
    <cellStyle name="Normal 11 3 2 4 2 2 2 2" xfId="42213" xr:uid="{00000000-0005-0000-0000-00005BA20000}"/>
    <cellStyle name="Normal 11 3 2 4 2 2 2 2 2" xfId="42214" xr:uid="{00000000-0005-0000-0000-00005CA20000}"/>
    <cellStyle name="Normal 11 3 2 4 2 2 2 2 2 2" xfId="42215" xr:uid="{00000000-0005-0000-0000-00005DA20000}"/>
    <cellStyle name="Normal 11 3 2 4 2 2 2 2 3" xfId="42216" xr:uid="{00000000-0005-0000-0000-00005EA20000}"/>
    <cellStyle name="Normal 11 3 2 4 2 2 2 3" xfId="42217" xr:uid="{00000000-0005-0000-0000-00005FA20000}"/>
    <cellStyle name="Normal 11 3 2 4 2 2 2 3 2" xfId="42218" xr:uid="{00000000-0005-0000-0000-000060A20000}"/>
    <cellStyle name="Normal 11 3 2 4 2 2 2 4" xfId="42219" xr:uid="{00000000-0005-0000-0000-000061A20000}"/>
    <cellStyle name="Normal 11 3 2 4 2 2 3" xfId="42220" xr:uid="{00000000-0005-0000-0000-000062A20000}"/>
    <cellStyle name="Normal 11 3 2 4 2 2 3 2" xfId="42221" xr:uid="{00000000-0005-0000-0000-000063A20000}"/>
    <cellStyle name="Normal 11 3 2 4 2 2 3 2 2" xfId="42222" xr:uid="{00000000-0005-0000-0000-000064A20000}"/>
    <cellStyle name="Normal 11 3 2 4 2 2 3 2 2 2" xfId="42223" xr:uid="{00000000-0005-0000-0000-000065A20000}"/>
    <cellStyle name="Normal 11 3 2 4 2 2 3 2 3" xfId="42224" xr:uid="{00000000-0005-0000-0000-000066A20000}"/>
    <cellStyle name="Normal 11 3 2 4 2 2 3 3" xfId="42225" xr:uid="{00000000-0005-0000-0000-000067A20000}"/>
    <cellStyle name="Normal 11 3 2 4 2 2 3 3 2" xfId="42226" xr:uid="{00000000-0005-0000-0000-000068A20000}"/>
    <cellStyle name="Normal 11 3 2 4 2 2 3 4" xfId="42227" xr:uid="{00000000-0005-0000-0000-000069A20000}"/>
    <cellStyle name="Normal 11 3 2 4 2 2 4" xfId="42228" xr:uid="{00000000-0005-0000-0000-00006AA20000}"/>
    <cellStyle name="Normal 11 3 2 4 2 2 4 2" xfId="42229" xr:uid="{00000000-0005-0000-0000-00006BA20000}"/>
    <cellStyle name="Normal 11 3 2 4 2 2 4 2 2" xfId="42230" xr:uid="{00000000-0005-0000-0000-00006CA20000}"/>
    <cellStyle name="Normal 11 3 2 4 2 2 4 3" xfId="42231" xr:uid="{00000000-0005-0000-0000-00006DA20000}"/>
    <cellStyle name="Normal 11 3 2 4 2 2 5" xfId="42232" xr:uid="{00000000-0005-0000-0000-00006EA20000}"/>
    <cellStyle name="Normal 11 3 2 4 2 2 5 2" xfId="42233" xr:uid="{00000000-0005-0000-0000-00006FA20000}"/>
    <cellStyle name="Normal 11 3 2 4 2 2 6" xfId="42234" xr:uid="{00000000-0005-0000-0000-000070A20000}"/>
    <cellStyle name="Normal 11 3 2 4 2 2 7" xfId="42211" xr:uid="{00000000-0005-0000-0000-000071A20000}"/>
    <cellStyle name="Normal 11 3 2 4 2 3" xfId="42235" xr:uid="{00000000-0005-0000-0000-000072A20000}"/>
    <cellStyle name="Normal 11 3 2 4 2 3 2" xfId="42236" xr:uid="{00000000-0005-0000-0000-000073A20000}"/>
    <cellStyle name="Normal 11 3 2 4 2 3 2 2" xfId="42237" xr:uid="{00000000-0005-0000-0000-000074A20000}"/>
    <cellStyle name="Normal 11 3 2 4 2 3 2 2 2" xfId="42238" xr:uid="{00000000-0005-0000-0000-000075A20000}"/>
    <cellStyle name="Normal 11 3 2 4 2 3 2 2 2 2" xfId="42239" xr:uid="{00000000-0005-0000-0000-000076A20000}"/>
    <cellStyle name="Normal 11 3 2 4 2 3 2 2 3" xfId="42240" xr:uid="{00000000-0005-0000-0000-000077A20000}"/>
    <cellStyle name="Normal 11 3 2 4 2 3 2 3" xfId="42241" xr:uid="{00000000-0005-0000-0000-000078A20000}"/>
    <cellStyle name="Normal 11 3 2 4 2 3 2 3 2" xfId="42242" xr:uid="{00000000-0005-0000-0000-000079A20000}"/>
    <cellStyle name="Normal 11 3 2 4 2 3 2 4" xfId="42243" xr:uid="{00000000-0005-0000-0000-00007AA20000}"/>
    <cellStyle name="Normal 11 3 2 4 2 3 3" xfId="42244" xr:uid="{00000000-0005-0000-0000-00007BA20000}"/>
    <cellStyle name="Normal 11 3 2 4 2 3 3 2" xfId="42245" xr:uid="{00000000-0005-0000-0000-00007CA20000}"/>
    <cellStyle name="Normal 11 3 2 4 2 3 3 2 2" xfId="42246" xr:uid="{00000000-0005-0000-0000-00007DA20000}"/>
    <cellStyle name="Normal 11 3 2 4 2 3 3 3" xfId="42247" xr:uid="{00000000-0005-0000-0000-00007EA20000}"/>
    <cellStyle name="Normal 11 3 2 4 2 3 4" xfId="42248" xr:uid="{00000000-0005-0000-0000-00007FA20000}"/>
    <cellStyle name="Normal 11 3 2 4 2 3 4 2" xfId="42249" xr:uid="{00000000-0005-0000-0000-000080A20000}"/>
    <cellStyle name="Normal 11 3 2 4 2 3 5" xfId="42250" xr:uid="{00000000-0005-0000-0000-000081A20000}"/>
    <cellStyle name="Normal 11 3 2 4 2 4" xfId="42251" xr:uid="{00000000-0005-0000-0000-000082A20000}"/>
    <cellStyle name="Normal 11 3 2 4 2 4 2" xfId="42252" xr:uid="{00000000-0005-0000-0000-000083A20000}"/>
    <cellStyle name="Normal 11 3 2 4 2 4 2 2" xfId="42253" xr:uid="{00000000-0005-0000-0000-000084A20000}"/>
    <cellStyle name="Normal 11 3 2 4 2 4 2 2 2" xfId="42254" xr:uid="{00000000-0005-0000-0000-000085A20000}"/>
    <cellStyle name="Normal 11 3 2 4 2 4 2 2 2 2" xfId="42255" xr:uid="{00000000-0005-0000-0000-000086A20000}"/>
    <cellStyle name="Normal 11 3 2 4 2 4 2 2 3" xfId="42256" xr:uid="{00000000-0005-0000-0000-000087A20000}"/>
    <cellStyle name="Normal 11 3 2 4 2 4 2 3" xfId="42257" xr:uid="{00000000-0005-0000-0000-000088A20000}"/>
    <cellStyle name="Normal 11 3 2 4 2 4 2 3 2" xfId="42258" xr:uid="{00000000-0005-0000-0000-000089A20000}"/>
    <cellStyle name="Normal 11 3 2 4 2 4 2 4" xfId="42259" xr:uid="{00000000-0005-0000-0000-00008AA20000}"/>
    <cellStyle name="Normal 11 3 2 4 2 4 3" xfId="42260" xr:uid="{00000000-0005-0000-0000-00008BA20000}"/>
    <cellStyle name="Normal 11 3 2 4 2 4 3 2" xfId="42261" xr:uid="{00000000-0005-0000-0000-00008CA20000}"/>
    <cellStyle name="Normal 11 3 2 4 2 4 3 2 2" xfId="42262" xr:uid="{00000000-0005-0000-0000-00008DA20000}"/>
    <cellStyle name="Normal 11 3 2 4 2 4 3 3" xfId="42263" xr:uid="{00000000-0005-0000-0000-00008EA20000}"/>
    <cellStyle name="Normal 11 3 2 4 2 4 4" xfId="42264" xr:uid="{00000000-0005-0000-0000-00008FA20000}"/>
    <cellStyle name="Normal 11 3 2 4 2 4 4 2" xfId="42265" xr:uid="{00000000-0005-0000-0000-000090A20000}"/>
    <cellStyle name="Normal 11 3 2 4 2 4 5" xfId="42266" xr:uid="{00000000-0005-0000-0000-000091A20000}"/>
    <cellStyle name="Normal 11 3 2 4 2 5" xfId="42267" xr:uid="{00000000-0005-0000-0000-000092A20000}"/>
    <cellStyle name="Normal 11 3 2 4 2 5 2" xfId="42268" xr:uid="{00000000-0005-0000-0000-000093A20000}"/>
    <cellStyle name="Normal 11 3 2 4 2 5 2 2" xfId="42269" xr:uid="{00000000-0005-0000-0000-000094A20000}"/>
    <cellStyle name="Normal 11 3 2 4 2 5 2 2 2" xfId="42270" xr:uid="{00000000-0005-0000-0000-000095A20000}"/>
    <cellStyle name="Normal 11 3 2 4 2 5 2 3" xfId="42271" xr:uid="{00000000-0005-0000-0000-000096A20000}"/>
    <cellStyle name="Normal 11 3 2 4 2 5 3" xfId="42272" xr:uid="{00000000-0005-0000-0000-000097A20000}"/>
    <cellStyle name="Normal 11 3 2 4 2 5 3 2" xfId="42273" xr:uid="{00000000-0005-0000-0000-000098A20000}"/>
    <cellStyle name="Normal 11 3 2 4 2 5 4" xfId="42274" xr:uid="{00000000-0005-0000-0000-000099A20000}"/>
    <cellStyle name="Normal 11 3 2 4 2 6" xfId="42275" xr:uid="{00000000-0005-0000-0000-00009AA20000}"/>
    <cellStyle name="Normal 11 3 2 4 2 6 2" xfId="42276" xr:uid="{00000000-0005-0000-0000-00009BA20000}"/>
    <cellStyle name="Normal 11 3 2 4 2 6 2 2" xfId="42277" xr:uid="{00000000-0005-0000-0000-00009CA20000}"/>
    <cellStyle name="Normal 11 3 2 4 2 6 2 2 2" xfId="42278" xr:uid="{00000000-0005-0000-0000-00009DA20000}"/>
    <cellStyle name="Normal 11 3 2 4 2 6 2 3" xfId="42279" xr:uid="{00000000-0005-0000-0000-00009EA20000}"/>
    <cellStyle name="Normal 11 3 2 4 2 6 3" xfId="42280" xr:uid="{00000000-0005-0000-0000-00009FA20000}"/>
    <cellStyle name="Normal 11 3 2 4 2 6 3 2" xfId="42281" xr:uid="{00000000-0005-0000-0000-0000A0A20000}"/>
    <cellStyle name="Normal 11 3 2 4 2 6 4" xfId="42282" xr:uid="{00000000-0005-0000-0000-0000A1A20000}"/>
    <cellStyle name="Normal 11 3 2 4 2 7" xfId="42283" xr:uid="{00000000-0005-0000-0000-0000A2A20000}"/>
    <cellStyle name="Normal 11 3 2 4 2 7 2" xfId="42284" xr:uid="{00000000-0005-0000-0000-0000A3A20000}"/>
    <cellStyle name="Normal 11 3 2 4 2 7 2 2" xfId="42285" xr:uid="{00000000-0005-0000-0000-0000A4A20000}"/>
    <cellStyle name="Normal 11 3 2 4 2 7 2 2 2" xfId="42286" xr:uid="{00000000-0005-0000-0000-0000A5A20000}"/>
    <cellStyle name="Normal 11 3 2 4 2 7 2 3" xfId="42287" xr:uid="{00000000-0005-0000-0000-0000A6A20000}"/>
    <cellStyle name="Normal 11 3 2 4 2 7 3" xfId="42288" xr:uid="{00000000-0005-0000-0000-0000A7A20000}"/>
    <cellStyle name="Normal 11 3 2 4 2 7 3 2" xfId="42289" xr:uid="{00000000-0005-0000-0000-0000A8A20000}"/>
    <cellStyle name="Normal 11 3 2 4 2 7 4" xfId="42290" xr:uid="{00000000-0005-0000-0000-0000A9A20000}"/>
    <cellStyle name="Normal 11 3 2 4 2 8" xfId="42291" xr:uid="{00000000-0005-0000-0000-0000AAA20000}"/>
    <cellStyle name="Normal 11 3 2 4 2 8 2" xfId="42292" xr:uid="{00000000-0005-0000-0000-0000ABA20000}"/>
    <cellStyle name="Normal 11 3 2 4 2 8 2 2" xfId="42293" xr:uid="{00000000-0005-0000-0000-0000ACA20000}"/>
    <cellStyle name="Normal 11 3 2 4 2 8 3" xfId="42294" xr:uid="{00000000-0005-0000-0000-0000ADA20000}"/>
    <cellStyle name="Normal 11 3 2 4 2 9" xfId="42295" xr:uid="{00000000-0005-0000-0000-0000AEA20000}"/>
    <cellStyle name="Normal 11 3 2 4 2 9 2" xfId="42296" xr:uid="{00000000-0005-0000-0000-0000AFA20000}"/>
    <cellStyle name="Normal 11 3 2 4 3" xfId="1462" xr:uid="{00000000-0005-0000-0000-0000B0A20000}"/>
    <cellStyle name="Normal 11 3 2 4 3 2" xfId="42298" xr:uid="{00000000-0005-0000-0000-0000B1A20000}"/>
    <cellStyle name="Normal 11 3 2 4 3 2 2" xfId="42299" xr:uid="{00000000-0005-0000-0000-0000B2A20000}"/>
    <cellStyle name="Normal 11 3 2 4 3 2 2 2" xfId="42300" xr:uid="{00000000-0005-0000-0000-0000B3A20000}"/>
    <cellStyle name="Normal 11 3 2 4 3 2 2 2 2" xfId="42301" xr:uid="{00000000-0005-0000-0000-0000B4A20000}"/>
    <cellStyle name="Normal 11 3 2 4 3 2 2 3" xfId="42302" xr:uid="{00000000-0005-0000-0000-0000B5A20000}"/>
    <cellStyle name="Normal 11 3 2 4 3 2 3" xfId="42303" xr:uid="{00000000-0005-0000-0000-0000B6A20000}"/>
    <cellStyle name="Normal 11 3 2 4 3 2 3 2" xfId="42304" xr:uid="{00000000-0005-0000-0000-0000B7A20000}"/>
    <cellStyle name="Normal 11 3 2 4 3 2 4" xfId="42305" xr:uid="{00000000-0005-0000-0000-0000B8A20000}"/>
    <cellStyle name="Normal 11 3 2 4 3 3" xfId="42306" xr:uid="{00000000-0005-0000-0000-0000B9A20000}"/>
    <cellStyle name="Normal 11 3 2 4 3 3 2" xfId="42307" xr:uid="{00000000-0005-0000-0000-0000BAA20000}"/>
    <cellStyle name="Normal 11 3 2 4 3 3 2 2" xfId="42308" xr:uid="{00000000-0005-0000-0000-0000BBA20000}"/>
    <cellStyle name="Normal 11 3 2 4 3 3 2 2 2" xfId="42309" xr:uid="{00000000-0005-0000-0000-0000BCA20000}"/>
    <cellStyle name="Normal 11 3 2 4 3 3 2 3" xfId="42310" xr:uid="{00000000-0005-0000-0000-0000BDA20000}"/>
    <cellStyle name="Normal 11 3 2 4 3 3 3" xfId="42311" xr:uid="{00000000-0005-0000-0000-0000BEA20000}"/>
    <cellStyle name="Normal 11 3 2 4 3 3 3 2" xfId="42312" xr:uid="{00000000-0005-0000-0000-0000BFA20000}"/>
    <cellStyle name="Normal 11 3 2 4 3 3 4" xfId="42313" xr:uid="{00000000-0005-0000-0000-0000C0A20000}"/>
    <cellStyle name="Normal 11 3 2 4 3 4" xfId="42314" xr:uid="{00000000-0005-0000-0000-0000C1A20000}"/>
    <cellStyle name="Normal 11 3 2 4 3 4 2" xfId="42315" xr:uid="{00000000-0005-0000-0000-0000C2A20000}"/>
    <cellStyle name="Normal 11 3 2 4 3 4 2 2" xfId="42316" xr:uid="{00000000-0005-0000-0000-0000C3A20000}"/>
    <cellStyle name="Normal 11 3 2 4 3 4 3" xfId="42317" xr:uid="{00000000-0005-0000-0000-0000C4A20000}"/>
    <cellStyle name="Normal 11 3 2 4 3 5" xfId="42318" xr:uid="{00000000-0005-0000-0000-0000C5A20000}"/>
    <cellStyle name="Normal 11 3 2 4 3 5 2" xfId="42319" xr:uid="{00000000-0005-0000-0000-0000C6A20000}"/>
    <cellStyle name="Normal 11 3 2 4 3 6" xfId="42320" xr:uid="{00000000-0005-0000-0000-0000C7A20000}"/>
    <cellStyle name="Normal 11 3 2 4 3 7" xfId="42297" xr:uid="{00000000-0005-0000-0000-0000C8A20000}"/>
    <cellStyle name="Normal 11 3 2 4 4" xfId="42321" xr:uid="{00000000-0005-0000-0000-0000C9A20000}"/>
    <cellStyle name="Normal 11 3 2 4 4 2" xfId="42322" xr:uid="{00000000-0005-0000-0000-0000CAA20000}"/>
    <cellStyle name="Normal 11 3 2 4 4 2 2" xfId="42323" xr:uid="{00000000-0005-0000-0000-0000CBA20000}"/>
    <cellStyle name="Normal 11 3 2 4 4 2 2 2" xfId="42324" xr:uid="{00000000-0005-0000-0000-0000CCA20000}"/>
    <cellStyle name="Normal 11 3 2 4 4 2 2 2 2" xfId="42325" xr:uid="{00000000-0005-0000-0000-0000CDA20000}"/>
    <cellStyle name="Normal 11 3 2 4 4 2 2 3" xfId="42326" xr:uid="{00000000-0005-0000-0000-0000CEA20000}"/>
    <cellStyle name="Normal 11 3 2 4 4 2 3" xfId="42327" xr:uid="{00000000-0005-0000-0000-0000CFA20000}"/>
    <cellStyle name="Normal 11 3 2 4 4 2 3 2" xfId="42328" xr:uid="{00000000-0005-0000-0000-0000D0A20000}"/>
    <cellStyle name="Normal 11 3 2 4 4 2 4" xfId="42329" xr:uid="{00000000-0005-0000-0000-0000D1A20000}"/>
    <cellStyle name="Normal 11 3 2 4 4 3" xfId="42330" xr:uid="{00000000-0005-0000-0000-0000D2A20000}"/>
    <cellStyle name="Normal 11 3 2 4 4 3 2" xfId="42331" xr:uid="{00000000-0005-0000-0000-0000D3A20000}"/>
    <cellStyle name="Normal 11 3 2 4 4 3 2 2" xfId="42332" xr:uid="{00000000-0005-0000-0000-0000D4A20000}"/>
    <cellStyle name="Normal 11 3 2 4 4 3 3" xfId="42333" xr:uid="{00000000-0005-0000-0000-0000D5A20000}"/>
    <cellStyle name="Normal 11 3 2 4 4 4" xfId="42334" xr:uid="{00000000-0005-0000-0000-0000D6A20000}"/>
    <cellStyle name="Normal 11 3 2 4 4 4 2" xfId="42335" xr:uid="{00000000-0005-0000-0000-0000D7A20000}"/>
    <cellStyle name="Normal 11 3 2 4 4 5" xfId="42336" xr:uid="{00000000-0005-0000-0000-0000D8A20000}"/>
    <cellStyle name="Normal 11 3 2 4 5" xfId="42337" xr:uid="{00000000-0005-0000-0000-0000D9A20000}"/>
    <cellStyle name="Normal 11 3 2 4 5 2" xfId="42338" xr:uid="{00000000-0005-0000-0000-0000DAA20000}"/>
    <cellStyle name="Normal 11 3 2 4 5 2 2" xfId="42339" xr:uid="{00000000-0005-0000-0000-0000DBA20000}"/>
    <cellStyle name="Normal 11 3 2 4 5 2 2 2" xfId="42340" xr:uid="{00000000-0005-0000-0000-0000DCA20000}"/>
    <cellStyle name="Normal 11 3 2 4 5 2 2 2 2" xfId="42341" xr:uid="{00000000-0005-0000-0000-0000DDA20000}"/>
    <cellStyle name="Normal 11 3 2 4 5 2 2 3" xfId="42342" xr:uid="{00000000-0005-0000-0000-0000DEA20000}"/>
    <cellStyle name="Normal 11 3 2 4 5 2 3" xfId="42343" xr:uid="{00000000-0005-0000-0000-0000DFA20000}"/>
    <cellStyle name="Normal 11 3 2 4 5 2 3 2" xfId="42344" xr:uid="{00000000-0005-0000-0000-0000E0A20000}"/>
    <cellStyle name="Normal 11 3 2 4 5 2 4" xfId="42345" xr:uid="{00000000-0005-0000-0000-0000E1A20000}"/>
    <cellStyle name="Normal 11 3 2 4 5 3" xfId="42346" xr:uid="{00000000-0005-0000-0000-0000E2A20000}"/>
    <cellStyle name="Normal 11 3 2 4 5 3 2" xfId="42347" xr:uid="{00000000-0005-0000-0000-0000E3A20000}"/>
    <cellStyle name="Normal 11 3 2 4 5 3 2 2" xfId="42348" xr:uid="{00000000-0005-0000-0000-0000E4A20000}"/>
    <cellStyle name="Normal 11 3 2 4 5 3 3" xfId="42349" xr:uid="{00000000-0005-0000-0000-0000E5A20000}"/>
    <cellStyle name="Normal 11 3 2 4 5 4" xfId="42350" xr:uid="{00000000-0005-0000-0000-0000E6A20000}"/>
    <cellStyle name="Normal 11 3 2 4 5 4 2" xfId="42351" xr:uid="{00000000-0005-0000-0000-0000E7A20000}"/>
    <cellStyle name="Normal 11 3 2 4 5 5" xfId="42352" xr:uid="{00000000-0005-0000-0000-0000E8A20000}"/>
    <cellStyle name="Normal 11 3 2 4 6" xfId="42353" xr:uid="{00000000-0005-0000-0000-0000E9A20000}"/>
    <cellStyle name="Normal 11 3 2 4 6 2" xfId="42354" xr:uid="{00000000-0005-0000-0000-0000EAA20000}"/>
    <cellStyle name="Normal 11 3 2 4 6 2 2" xfId="42355" xr:uid="{00000000-0005-0000-0000-0000EBA20000}"/>
    <cellStyle name="Normal 11 3 2 4 6 2 2 2" xfId="42356" xr:uid="{00000000-0005-0000-0000-0000ECA20000}"/>
    <cellStyle name="Normal 11 3 2 4 6 2 3" xfId="42357" xr:uid="{00000000-0005-0000-0000-0000EDA20000}"/>
    <cellStyle name="Normal 11 3 2 4 6 3" xfId="42358" xr:uid="{00000000-0005-0000-0000-0000EEA20000}"/>
    <cellStyle name="Normal 11 3 2 4 6 3 2" xfId="42359" xr:uid="{00000000-0005-0000-0000-0000EFA20000}"/>
    <cellStyle name="Normal 11 3 2 4 6 4" xfId="42360" xr:uid="{00000000-0005-0000-0000-0000F0A20000}"/>
    <cellStyle name="Normal 11 3 2 4 7" xfId="42361" xr:uid="{00000000-0005-0000-0000-0000F1A20000}"/>
    <cellStyle name="Normal 11 3 2 4 7 2" xfId="42362" xr:uid="{00000000-0005-0000-0000-0000F2A20000}"/>
    <cellStyle name="Normal 11 3 2 4 7 2 2" xfId="42363" xr:uid="{00000000-0005-0000-0000-0000F3A20000}"/>
    <cellStyle name="Normal 11 3 2 4 7 2 2 2" xfId="42364" xr:uid="{00000000-0005-0000-0000-0000F4A20000}"/>
    <cellStyle name="Normal 11 3 2 4 7 2 3" xfId="42365" xr:uid="{00000000-0005-0000-0000-0000F5A20000}"/>
    <cellStyle name="Normal 11 3 2 4 7 3" xfId="42366" xr:uid="{00000000-0005-0000-0000-0000F6A20000}"/>
    <cellStyle name="Normal 11 3 2 4 7 3 2" xfId="42367" xr:uid="{00000000-0005-0000-0000-0000F7A20000}"/>
    <cellStyle name="Normal 11 3 2 4 7 4" xfId="42368" xr:uid="{00000000-0005-0000-0000-0000F8A20000}"/>
    <cellStyle name="Normal 11 3 2 4 8" xfId="42369" xr:uid="{00000000-0005-0000-0000-0000F9A20000}"/>
    <cellStyle name="Normal 11 3 2 4 8 2" xfId="42370" xr:uid="{00000000-0005-0000-0000-0000FAA20000}"/>
    <cellStyle name="Normal 11 3 2 4 8 2 2" xfId="42371" xr:uid="{00000000-0005-0000-0000-0000FBA20000}"/>
    <cellStyle name="Normal 11 3 2 4 8 2 2 2" xfId="42372" xr:uid="{00000000-0005-0000-0000-0000FCA20000}"/>
    <cellStyle name="Normal 11 3 2 4 8 2 3" xfId="42373" xr:uid="{00000000-0005-0000-0000-0000FDA20000}"/>
    <cellStyle name="Normal 11 3 2 4 8 3" xfId="42374" xr:uid="{00000000-0005-0000-0000-0000FEA20000}"/>
    <cellStyle name="Normal 11 3 2 4 8 3 2" xfId="42375" xr:uid="{00000000-0005-0000-0000-0000FFA20000}"/>
    <cellStyle name="Normal 11 3 2 4 8 4" xfId="42376" xr:uid="{00000000-0005-0000-0000-000000A30000}"/>
    <cellStyle name="Normal 11 3 2 4 9" xfId="42377" xr:uid="{00000000-0005-0000-0000-000001A30000}"/>
    <cellStyle name="Normal 11 3 2 4 9 2" xfId="42378" xr:uid="{00000000-0005-0000-0000-000002A30000}"/>
    <cellStyle name="Normal 11 3 2 4 9 2 2" xfId="42379" xr:uid="{00000000-0005-0000-0000-000003A30000}"/>
    <cellStyle name="Normal 11 3 2 4 9 3" xfId="42380" xr:uid="{00000000-0005-0000-0000-000004A30000}"/>
    <cellStyle name="Normal 11 3 2 5" xfId="619" xr:uid="{00000000-0005-0000-0000-000005A30000}"/>
    <cellStyle name="Normal 11 3 2 5 10" xfId="42382" xr:uid="{00000000-0005-0000-0000-000006A30000}"/>
    <cellStyle name="Normal 11 3 2 5 10 2" xfId="42383" xr:uid="{00000000-0005-0000-0000-000007A30000}"/>
    <cellStyle name="Normal 11 3 2 5 10 2 2" xfId="42384" xr:uid="{00000000-0005-0000-0000-000008A30000}"/>
    <cellStyle name="Normal 11 3 2 5 10 3" xfId="42385" xr:uid="{00000000-0005-0000-0000-000009A30000}"/>
    <cellStyle name="Normal 11 3 2 5 11" xfId="42386" xr:uid="{00000000-0005-0000-0000-00000AA30000}"/>
    <cellStyle name="Normal 11 3 2 5 11 2" xfId="42387" xr:uid="{00000000-0005-0000-0000-00000BA30000}"/>
    <cellStyle name="Normal 11 3 2 5 11 2 2" xfId="42388" xr:uid="{00000000-0005-0000-0000-00000CA30000}"/>
    <cellStyle name="Normal 11 3 2 5 11 3" xfId="42389" xr:uid="{00000000-0005-0000-0000-00000DA30000}"/>
    <cellStyle name="Normal 11 3 2 5 12" xfId="42390" xr:uid="{00000000-0005-0000-0000-00000EA30000}"/>
    <cellStyle name="Normal 11 3 2 5 12 2" xfId="42391" xr:uid="{00000000-0005-0000-0000-00000FA30000}"/>
    <cellStyle name="Normal 11 3 2 5 13" xfId="42392" xr:uid="{00000000-0005-0000-0000-000010A30000}"/>
    <cellStyle name="Normal 11 3 2 5 14" xfId="42393" xr:uid="{00000000-0005-0000-0000-000011A30000}"/>
    <cellStyle name="Normal 11 3 2 5 15" xfId="42381" xr:uid="{00000000-0005-0000-0000-000012A30000}"/>
    <cellStyle name="Normal 11 3 2 5 2" xfId="1061" xr:uid="{00000000-0005-0000-0000-000013A30000}"/>
    <cellStyle name="Normal 11 3 2 5 2 10" xfId="42395" xr:uid="{00000000-0005-0000-0000-000014A30000}"/>
    <cellStyle name="Normal 11 3 2 5 2 11" xfId="42394" xr:uid="{00000000-0005-0000-0000-000015A30000}"/>
    <cellStyle name="Normal 11 3 2 5 2 2" xfId="1790" xr:uid="{00000000-0005-0000-0000-000016A30000}"/>
    <cellStyle name="Normal 11 3 2 5 2 2 2" xfId="42397" xr:uid="{00000000-0005-0000-0000-000017A30000}"/>
    <cellStyle name="Normal 11 3 2 5 2 2 2 2" xfId="42398" xr:uid="{00000000-0005-0000-0000-000018A30000}"/>
    <cellStyle name="Normal 11 3 2 5 2 2 2 2 2" xfId="42399" xr:uid="{00000000-0005-0000-0000-000019A30000}"/>
    <cellStyle name="Normal 11 3 2 5 2 2 2 2 2 2" xfId="42400" xr:uid="{00000000-0005-0000-0000-00001AA30000}"/>
    <cellStyle name="Normal 11 3 2 5 2 2 2 2 3" xfId="42401" xr:uid="{00000000-0005-0000-0000-00001BA30000}"/>
    <cellStyle name="Normal 11 3 2 5 2 2 2 3" xfId="42402" xr:uid="{00000000-0005-0000-0000-00001CA30000}"/>
    <cellStyle name="Normal 11 3 2 5 2 2 2 3 2" xfId="42403" xr:uid="{00000000-0005-0000-0000-00001DA30000}"/>
    <cellStyle name="Normal 11 3 2 5 2 2 2 4" xfId="42404" xr:uid="{00000000-0005-0000-0000-00001EA30000}"/>
    <cellStyle name="Normal 11 3 2 5 2 2 3" xfId="42405" xr:uid="{00000000-0005-0000-0000-00001FA30000}"/>
    <cellStyle name="Normal 11 3 2 5 2 2 3 2" xfId="42406" xr:uid="{00000000-0005-0000-0000-000020A30000}"/>
    <cellStyle name="Normal 11 3 2 5 2 2 3 2 2" xfId="42407" xr:uid="{00000000-0005-0000-0000-000021A30000}"/>
    <cellStyle name="Normal 11 3 2 5 2 2 3 2 2 2" xfId="42408" xr:uid="{00000000-0005-0000-0000-000022A30000}"/>
    <cellStyle name="Normal 11 3 2 5 2 2 3 2 3" xfId="42409" xr:uid="{00000000-0005-0000-0000-000023A30000}"/>
    <cellStyle name="Normal 11 3 2 5 2 2 3 3" xfId="42410" xr:uid="{00000000-0005-0000-0000-000024A30000}"/>
    <cellStyle name="Normal 11 3 2 5 2 2 3 3 2" xfId="42411" xr:uid="{00000000-0005-0000-0000-000025A30000}"/>
    <cellStyle name="Normal 11 3 2 5 2 2 3 4" xfId="42412" xr:uid="{00000000-0005-0000-0000-000026A30000}"/>
    <cellStyle name="Normal 11 3 2 5 2 2 4" xfId="42413" xr:uid="{00000000-0005-0000-0000-000027A30000}"/>
    <cellStyle name="Normal 11 3 2 5 2 2 4 2" xfId="42414" xr:uid="{00000000-0005-0000-0000-000028A30000}"/>
    <cellStyle name="Normal 11 3 2 5 2 2 4 2 2" xfId="42415" xr:uid="{00000000-0005-0000-0000-000029A30000}"/>
    <cellStyle name="Normal 11 3 2 5 2 2 4 3" xfId="42416" xr:uid="{00000000-0005-0000-0000-00002AA30000}"/>
    <cellStyle name="Normal 11 3 2 5 2 2 5" xfId="42417" xr:uid="{00000000-0005-0000-0000-00002BA30000}"/>
    <cellStyle name="Normal 11 3 2 5 2 2 5 2" xfId="42418" xr:uid="{00000000-0005-0000-0000-00002CA30000}"/>
    <cellStyle name="Normal 11 3 2 5 2 2 6" xfId="42419" xr:uid="{00000000-0005-0000-0000-00002DA30000}"/>
    <cellStyle name="Normal 11 3 2 5 2 2 7" xfId="42396" xr:uid="{00000000-0005-0000-0000-00002EA30000}"/>
    <cellStyle name="Normal 11 3 2 5 2 3" xfId="42420" xr:uid="{00000000-0005-0000-0000-00002FA30000}"/>
    <cellStyle name="Normal 11 3 2 5 2 3 2" xfId="42421" xr:uid="{00000000-0005-0000-0000-000030A30000}"/>
    <cellStyle name="Normal 11 3 2 5 2 3 2 2" xfId="42422" xr:uid="{00000000-0005-0000-0000-000031A30000}"/>
    <cellStyle name="Normal 11 3 2 5 2 3 2 2 2" xfId="42423" xr:uid="{00000000-0005-0000-0000-000032A30000}"/>
    <cellStyle name="Normal 11 3 2 5 2 3 2 2 2 2" xfId="42424" xr:uid="{00000000-0005-0000-0000-000033A30000}"/>
    <cellStyle name="Normal 11 3 2 5 2 3 2 2 3" xfId="42425" xr:uid="{00000000-0005-0000-0000-000034A30000}"/>
    <cellStyle name="Normal 11 3 2 5 2 3 2 3" xfId="42426" xr:uid="{00000000-0005-0000-0000-000035A30000}"/>
    <cellStyle name="Normal 11 3 2 5 2 3 2 3 2" xfId="42427" xr:uid="{00000000-0005-0000-0000-000036A30000}"/>
    <cellStyle name="Normal 11 3 2 5 2 3 2 4" xfId="42428" xr:uid="{00000000-0005-0000-0000-000037A30000}"/>
    <cellStyle name="Normal 11 3 2 5 2 3 3" xfId="42429" xr:uid="{00000000-0005-0000-0000-000038A30000}"/>
    <cellStyle name="Normal 11 3 2 5 2 3 3 2" xfId="42430" xr:uid="{00000000-0005-0000-0000-000039A30000}"/>
    <cellStyle name="Normal 11 3 2 5 2 3 3 2 2" xfId="42431" xr:uid="{00000000-0005-0000-0000-00003AA30000}"/>
    <cellStyle name="Normal 11 3 2 5 2 3 3 3" xfId="42432" xr:uid="{00000000-0005-0000-0000-00003BA30000}"/>
    <cellStyle name="Normal 11 3 2 5 2 3 4" xfId="42433" xr:uid="{00000000-0005-0000-0000-00003CA30000}"/>
    <cellStyle name="Normal 11 3 2 5 2 3 4 2" xfId="42434" xr:uid="{00000000-0005-0000-0000-00003DA30000}"/>
    <cellStyle name="Normal 11 3 2 5 2 3 5" xfId="42435" xr:uid="{00000000-0005-0000-0000-00003EA30000}"/>
    <cellStyle name="Normal 11 3 2 5 2 4" xfId="42436" xr:uid="{00000000-0005-0000-0000-00003FA30000}"/>
    <cellStyle name="Normal 11 3 2 5 2 4 2" xfId="42437" xr:uid="{00000000-0005-0000-0000-000040A30000}"/>
    <cellStyle name="Normal 11 3 2 5 2 4 2 2" xfId="42438" xr:uid="{00000000-0005-0000-0000-000041A30000}"/>
    <cellStyle name="Normal 11 3 2 5 2 4 2 2 2" xfId="42439" xr:uid="{00000000-0005-0000-0000-000042A30000}"/>
    <cellStyle name="Normal 11 3 2 5 2 4 2 2 2 2" xfId="42440" xr:uid="{00000000-0005-0000-0000-000043A30000}"/>
    <cellStyle name="Normal 11 3 2 5 2 4 2 2 3" xfId="42441" xr:uid="{00000000-0005-0000-0000-000044A30000}"/>
    <cellStyle name="Normal 11 3 2 5 2 4 2 3" xfId="42442" xr:uid="{00000000-0005-0000-0000-000045A30000}"/>
    <cellStyle name="Normal 11 3 2 5 2 4 2 3 2" xfId="42443" xr:uid="{00000000-0005-0000-0000-000046A30000}"/>
    <cellStyle name="Normal 11 3 2 5 2 4 2 4" xfId="42444" xr:uid="{00000000-0005-0000-0000-000047A30000}"/>
    <cellStyle name="Normal 11 3 2 5 2 4 3" xfId="42445" xr:uid="{00000000-0005-0000-0000-000048A30000}"/>
    <cellStyle name="Normal 11 3 2 5 2 4 3 2" xfId="42446" xr:uid="{00000000-0005-0000-0000-000049A30000}"/>
    <cellStyle name="Normal 11 3 2 5 2 4 3 2 2" xfId="42447" xr:uid="{00000000-0005-0000-0000-00004AA30000}"/>
    <cellStyle name="Normal 11 3 2 5 2 4 3 3" xfId="42448" xr:uid="{00000000-0005-0000-0000-00004BA30000}"/>
    <cellStyle name="Normal 11 3 2 5 2 4 4" xfId="42449" xr:uid="{00000000-0005-0000-0000-00004CA30000}"/>
    <cellStyle name="Normal 11 3 2 5 2 4 4 2" xfId="42450" xr:uid="{00000000-0005-0000-0000-00004DA30000}"/>
    <cellStyle name="Normal 11 3 2 5 2 4 5" xfId="42451" xr:uid="{00000000-0005-0000-0000-00004EA30000}"/>
    <cellStyle name="Normal 11 3 2 5 2 5" xfId="42452" xr:uid="{00000000-0005-0000-0000-00004FA30000}"/>
    <cellStyle name="Normal 11 3 2 5 2 5 2" xfId="42453" xr:uid="{00000000-0005-0000-0000-000050A30000}"/>
    <cellStyle name="Normal 11 3 2 5 2 5 2 2" xfId="42454" xr:uid="{00000000-0005-0000-0000-000051A30000}"/>
    <cellStyle name="Normal 11 3 2 5 2 5 2 2 2" xfId="42455" xr:uid="{00000000-0005-0000-0000-000052A30000}"/>
    <cellStyle name="Normal 11 3 2 5 2 5 2 3" xfId="42456" xr:uid="{00000000-0005-0000-0000-000053A30000}"/>
    <cellStyle name="Normal 11 3 2 5 2 5 3" xfId="42457" xr:uid="{00000000-0005-0000-0000-000054A30000}"/>
    <cellStyle name="Normal 11 3 2 5 2 5 3 2" xfId="42458" xr:uid="{00000000-0005-0000-0000-000055A30000}"/>
    <cellStyle name="Normal 11 3 2 5 2 5 4" xfId="42459" xr:uid="{00000000-0005-0000-0000-000056A30000}"/>
    <cellStyle name="Normal 11 3 2 5 2 6" xfId="42460" xr:uid="{00000000-0005-0000-0000-000057A30000}"/>
    <cellStyle name="Normal 11 3 2 5 2 6 2" xfId="42461" xr:uid="{00000000-0005-0000-0000-000058A30000}"/>
    <cellStyle name="Normal 11 3 2 5 2 6 2 2" xfId="42462" xr:uid="{00000000-0005-0000-0000-000059A30000}"/>
    <cellStyle name="Normal 11 3 2 5 2 6 2 2 2" xfId="42463" xr:uid="{00000000-0005-0000-0000-00005AA30000}"/>
    <cellStyle name="Normal 11 3 2 5 2 6 2 3" xfId="42464" xr:uid="{00000000-0005-0000-0000-00005BA30000}"/>
    <cellStyle name="Normal 11 3 2 5 2 6 3" xfId="42465" xr:uid="{00000000-0005-0000-0000-00005CA30000}"/>
    <cellStyle name="Normal 11 3 2 5 2 6 3 2" xfId="42466" xr:uid="{00000000-0005-0000-0000-00005DA30000}"/>
    <cellStyle name="Normal 11 3 2 5 2 6 4" xfId="42467" xr:uid="{00000000-0005-0000-0000-00005EA30000}"/>
    <cellStyle name="Normal 11 3 2 5 2 7" xfId="42468" xr:uid="{00000000-0005-0000-0000-00005FA30000}"/>
    <cellStyle name="Normal 11 3 2 5 2 7 2" xfId="42469" xr:uid="{00000000-0005-0000-0000-000060A30000}"/>
    <cellStyle name="Normal 11 3 2 5 2 7 2 2" xfId="42470" xr:uid="{00000000-0005-0000-0000-000061A30000}"/>
    <cellStyle name="Normal 11 3 2 5 2 7 2 2 2" xfId="42471" xr:uid="{00000000-0005-0000-0000-000062A30000}"/>
    <cellStyle name="Normal 11 3 2 5 2 7 2 3" xfId="42472" xr:uid="{00000000-0005-0000-0000-000063A30000}"/>
    <cellStyle name="Normal 11 3 2 5 2 7 3" xfId="42473" xr:uid="{00000000-0005-0000-0000-000064A30000}"/>
    <cellStyle name="Normal 11 3 2 5 2 7 3 2" xfId="42474" xr:uid="{00000000-0005-0000-0000-000065A30000}"/>
    <cellStyle name="Normal 11 3 2 5 2 7 4" xfId="42475" xr:uid="{00000000-0005-0000-0000-000066A30000}"/>
    <cellStyle name="Normal 11 3 2 5 2 8" xfId="42476" xr:uid="{00000000-0005-0000-0000-000067A30000}"/>
    <cellStyle name="Normal 11 3 2 5 2 8 2" xfId="42477" xr:uid="{00000000-0005-0000-0000-000068A30000}"/>
    <cellStyle name="Normal 11 3 2 5 2 8 2 2" xfId="42478" xr:uid="{00000000-0005-0000-0000-000069A30000}"/>
    <cellStyle name="Normal 11 3 2 5 2 8 3" xfId="42479" xr:uid="{00000000-0005-0000-0000-00006AA30000}"/>
    <cellStyle name="Normal 11 3 2 5 2 9" xfId="42480" xr:uid="{00000000-0005-0000-0000-00006BA30000}"/>
    <cellStyle name="Normal 11 3 2 5 2 9 2" xfId="42481" xr:uid="{00000000-0005-0000-0000-00006CA30000}"/>
    <cellStyle name="Normal 11 3 2 5 3" xfId="1463" xr:uid="{00000000-0005-0000-0000-00006DA30000}"/>
    <cellStyle name="Normal 11 3 2 5 3 2" xfId="42483" xr:uid="{00000000-0005-0000-0000-00006EA30000}"/>
    <cellStyle name="Normal 11 3 2 5 3 2 2" xfId="42484" xr:uid="{00000000-0005-0000-0000-00006FA30000}"/>
    <cellStyle name="Normal 11 3 2 5 3 2 2 2" xfId="42485" xr:uid="{00000000-0005-0000-0000-000070A30000}"/>
    <cellStyle name="Normal 11 3 2 5 3 2 2 2 2" xfId="42486" xr:uid="{00000000-0005-0000-0000-000071A30000}"/>
    <cellStyle name="Normal 11 3 2 5 3 2 2 3" xfId="42487" xr:uid="{00000000-0005-0000-0000-000072A30000}"/>
    <cellStyle name="Normal 11 3 2 5 3 2 3" xfId="42488" xr:uid="{00000000-0005-0000-0000-000073A30000}"/>
    <cellStyle name="Normal 11 3 2 5 3 2 3 2" xfId="42489" xr:uid="{00000000-0005-0000-0000-000074A30000}"/>
    <cellStyle name="Normal 11 3 2 5 3 2 4" xfId="42490" xr:uid="{00000000-0005-0000-0000-000075A30000}"/>
    <cellStyle name="Normal 11 3 2 5 3 3" xfId="42491" xr:uid="{00000000-0005-0000-0000-000076A30000}"/>
    <cellStyle name="Normal 11 3 2 5 3 3 2" xfId="42492" xr:uid="{00000000-0005-0000-0000-000077A30000}"/>
    <cellStyle name="Normal 11 3 2 5 3 3 2 2" xfId="42493" xr:uid="{00000000-0005-0000-0000-000078A30000}"/>
    <cellStyle name="Normal 11 3 2 5 3 3 2 2 2" xfId="42494" xr:uid="{00000000-0005-0000-0000-000079A30000}"/>
    <cellStyle name="Normal 11 3 2 5 3 3 2 3" xfId="42495" xr:uid="{00000000-0005-0000-0000-00007AA30000}"/>
    <cellStyle name="Normal 11 3 2 5 3 3 3" xfId="42496" xr:uid="{00000000-0005-0000-0000-00007BA30000}"/>
    <cellStyle name="Normal 11 3 2 5 3 3 3 2" xfId="42497" xr:uid="{00000000-0005-0000-0000-00007CA30000}"/>
    <cellStyle name="Normal 11 3 2 5 3 3 4" xfId="42498" xr:uid="{00000000-0005-0000-0000-00007DA30000}"/>
    <cellStyle name="Normal 11 3 2 5 3 4" xfId="42499" xr:uid="{00000000-0005-0000-0000-00007EA30000}"/>
    <cellStyle name="Normal 11 3 2 5 3 4 2" xfId="42500" xr:uid="{00000000-0005-0000-0000-00007FA30000}"/>
    <cellStyle name="Normal 11 3 2 5 3 4 2 2" xfId="42501" xr:uid="{00000000-0005-0000-0000-000080A30000}"/>
    <cellStyle name="Normal 11 3 2 5 3 4 3" xfId="42502" xr:uid="{00000000-0005-0000-0000-000081A30000}"/>
    <cellStyle name="Normal 11 3 2 5 3 5" xfId="42503" xr:uid="{00000000-0005-0000-0000-000082A30000}"/>
    <cellStyle name="Normal 11 3 2 5 3 5 2" xfId="42504" xr:uid="{00000000-0005-0000-0000-000083A30000}"/>
    <cellStyle name="Normal 11 3 2 5 3 6" xfId="42505" xr:uid="{00000000-0005-0000-0000-000084A30000}"/>
    <cellStyle name="Normal 11 3 2 5 3 7" xfId="42482" xr:uid="{00000000-0005-0000-0000-000085A30000}"/>
    <cellStyle name="Normal 11 3 2 5 4" xfId="42506" xr:uid="{00000000-0005-0000-0000-000086A30000}"/>
    <cellStyle name="Normal 11 3 2 5 4 2" xfId="42507" xr:uid="{00000000-0005-0000-0000-000087A30000}"/>
    <cellStyle name="Normal 11 3 2 5 4 2 2" xfId="42508" xr:uid="{00000000-0005-0000-0000-000088A30000}"/>
    <cellStyle name="Normal 11 3 2 5 4 2 2 2" xfId="42509" xr:uid="{00000000-0005-0000-0000-000089A30000}"/>
    <cellStyle name="Normal 11 3 2 5 4 2 2 2 2" xfId="42510" xr:uid="{00000000-0005-0000-0000-00008AA30000}"/>
    <cellStyle name="Normal 11 3 2 5 4 2 2 3" xfId="42511" xr:uid="{00000000-0005-0000-0000-00008BA30000}"/>
    <cellStyle name="Normal 11 3 2 5 4 2 3" xfId="42512" xr:uid="{00000000-0005-0000-0000-00008CA30000}"/>
    <cellStyle name="Normal 11 3 2 5 4 2 3 2" xfId="42513" xr:uid="{00000000-0005-0000-0000-00008DA30000}"/>
    <cellStyle name="Normal 11 3 2 5 4 2 4" xfId="42514" xr:uid="{00000000-0005-0000-0000-00008EA30000}"/>
    <cellStyle name="Normal 11 3 2 5 4 3" xfId="42515" xr:uid="{00000000-0005-0000-0000-00008FA30000}"/>
    <cellStyle name="Normal 11 3 2 5 4 3 2" xfId="42516" xr:uid="{00000000-0005-0000-0000-000090A30000}"/>
    <cellStyle name="Normal 11 3 2 5 4 3 2 2" xfId="42517" xr:uid="{00000000-0005-0000-0000-000091A30000}"/>
    <cellStyle name="Normal 11 3 2 5 4 3 3" xfId="42518" xr:uid="{00000000-0005-0000-0000-000092A30000}"/>
    <cellStyle name="Normal 11 3 2 5 4 4" xfId="42519" xr:uid="{00000000-0005-0000-0000-000093A30000}"/>
    <cellStyle name="Normal 11 3 2 5 4 4 2" xfId="42520" xr:uid="{00000000-0005-0000-0000-000094A30000}"/>
    <cellStyle name="Normal 11 3 2 5 4 5" xfId="42521" xr:uid="{00000000-0005-0000-0000-000095A30000}"/>
    <cellStyle name="Normal 11 3 2 5 5" xfId="42522" xr:uid="{00000000-0005-0000-0000-000096A30000}"/>
    <cellStyle name="Normal 11 3 2 5 5 2" xfId="42523" xr:uid="{00000000-0005-0000-0000-000097A30000}"/>
    <cellStyle name="Normal 11 3 2 5 5 2 2" xfId="42524" xr:uid="{00000000-0005-0000-0000-000098A30000}"/>
    <cellStyle name="Normal 11 3 2 5 5 2 2 2" xfId="42525" xr:uid="{00000000-0005-0000-0000-000099A30000}"/>
    <cellStyle name="Normal 11 3 2 5 5 2 2 2 2" xfId="42526" xr:uid="{00000000-0005-0000-0000-00009AA30000}"/>
    <cellStyle name="Normal 11 3 2 5 5 2 2 3" xfId="42527" xr:uid="{00000000-0005-0000-0000-00009BA30000}"/>
    <cellStyle name="Normal 11 3 2 5 5 2 3" xfId="42528" xr:uid="{00000000-0005-0000-0000-00009CA30000}"/>
    <cellStyle name="Normal 11 3 2 5 5 2 3 2" xfId="42529" xr:uid="{00000000-0005-0000-0000-00009DA30000}"/>
    <cellStyle name="Normal 11 3 2 5 5 2 4" xfId="42530" xr:uid="{00000000-0005-0000-0000-00009EA30000}"/>
    <cellStyle name="Normal 11 3 2 5 5 3" xfId="42531" xr:uid="{00000000-0005-0000-0000-00009FA30000}"/>
    <cellStyle name="Normal 11 3 2 5 5 3 2" xfId="42532" xr:uid="{00000000-0005-0000-0000-0000A0A30000}"/>
    <cellStyle name="Normal 11 3 2 5 5 3 2 2" xfId="42533" xr:uid="{00000000-0005-0000-0000-0000A1A30000}"/>
    <cellStyle name="Normal 11 3 2 5 5 3 3" xfId="42534" xr:uid="{00000000-0005-0000-0000-0000A2A30000}"/>
    <cellStyle name="Normal 11 3 2 5 5 4" xfId="42535" xr:uid="{00000000-0005-0000-0000-0000A3A30000}"/>
    <cellStyle name="Normal 11 3 2 5 5 4 2" xfId="42536" xr:uid="{00000000-0005-0000-0000-0000A4A30000}"/>
    <cellStyle name="Normal 11 3 2 5 5 5" xfId="42537" xr:uid="{00000000-0005-0000-0000-0000A5A30000}"/>
    <cellStyle name="Normal 11 3 2 5 6" xfId="42538" xr:uid="{00000000-0005-0000-0000-0000A6A30000}"/>
    <cellStyle name="Normal 11 3 2 5 6 2" xfId="42539" xr:uid="{00000000-0005-0000-0000-0000A7A30000}"/>
    <cellStyle name="Normal 11 3 2 5 6 2 2" xfId="42540" xr:uid="{00000000-0005-0000-0000-0000A8A30000}"/>
    <cellStyle name="Normal 11 3 2 5 6 2 2 2" xfId="42541" xr:uid="{00000000-0005-0000-0000-0000A9A30000}"/>
    <cellStyle name="Normal 11 3 2 5 6 2 3" xfId="42542" xr:uid="{00000000-0005-0000-0000-0000AAA30000}"/>
    <cellStyle name="Normal 11 3 2 5 6 3" xfId="42543" xr:uid="{00000000-0005-0000-0000-0000ABA30000}"/>
    <cellStyle name="Normal 11 3 2 5 6 3 2" xfId="42544" xr:uid="{00000000-0005-0000-0000-0000ACA30000}"/>
    <cellStyle name="Normal 11 3 2 5 6 4" xfId="42545" xr:uid="{00000000-0005-0000-0000-0000ADA30000}"/>
    <cellStyle name="Normal 11 3 2 5 7" xfId="42546" xr:uid="{00000000-0005-0000-0000-0000AEA30000}"/>
    <cellStyle name="Normal 11 3 2 5 7 2" xfId="42547" xr:uid="{00000000-0005-0000-0000-0000AFA30000}"/>
    <cellStyle name="Normal 11 3 2 5 7 2 2" xfId="42548" xr:uid="{00000000-0005-0000-0000-0000B0A30000}"/>
    <cellStyle name="Normal 11 3 2 5 7 2 2 2" xfId="42549" xr:uid="{00000000-0005-0000-0000-0000B1A30000}"/>
    <cellStyle name="Normal 11 3 2 5 7 2 3" xfId="42550" xr:uid="{00000000-0005-0000-0000-0000B2A30000}"/>
    <cellStyle name="Normal 11 3 2 5 7 3" xfId="42551" xr:uid="{00000000-0005-0000-0000-0000B3A30000}"/>
    <cellStyle name="Normal 11 3 2 5 7 3 2" xfId="42552" xr:uid="{00000000-0005-0000-0000-0000B4A30000}"/>
    <cellStyle name="Normal 11 3 2 5 7 4" xfId="42553" xr:uid="{00000000-0005-0000-0000-0000B5A30000}"/>
    <cellStyle name="Normal 11 3 2 5 8" xfId="42554" xr:uid="{00000000-0005-0000-0000-0000B6A30000}"/>
    <cellStyle name="Normal 11 3 2 5 8 2" xfId="42555" xr:uid="{00000000-0005-0000-0000-0000B7A30000}"/>
    <cellStyle name="Normal 11 3 2 5 8 2 2" xfId="42556" xr:uid="{00000000-0005-0000-0000-0000B8A30000}"/>
    <cellStyle name="Normal 11 3 2 5 8 2 2 2" xfId="42557" xr:uid="{00000000-0005-0000-0000-0000B9A30000}"/>
    <cellStyle name="Normal 11 3 2 5 8 2 3" xfId="42558" xr:uid="{00000000-0005-0000-0000-0000BAA30000}"/>
    <cellStyle name="Normal 11 3 2 5 8 3" xfId="42559" xr:uid="{00000000-0005-0000-0000-0000BBA30000}"/>
    <cellStyle name="Normal 11 3 2 5 8 3 2" xfId="42560" xr:uid="{00000000-0005-0000-0000-0000BCA30000}"/>
    <cellStyle name="Normal 11 3 2 5 8 4" xfId="42561" xr:uid="{00000000-0005-0000-0000-0000BDA30000}"/>
    <cellStyle name="Normal 11 3 2 5 9" xfId="42562" xr:uid="{00000000-0005-0000-0000-0000BEA30000}"/>
    <cellStyle name="Normal 11 3 2 5 9 2" xfId="42563" xr:uid="{00000000-0005-0000-0000-0000BFA30000}"/>
    <cellStyle name="Normal 11 3 2 5 9 2 2" xfId="42564" xr:uid="{00000000-0005-0000-0000-0000C0A30000}"/>
    <cellStyle name="Normal 11 3 2 5 9 3" xfId="42565" xr:uid="{00000000-0005-0000-0000-0000C1A30000}"/>
    <cellStyle name="Normal 11 3 2 6" xfId="1050" xr:uid="{00000000-0005-0000-0000-0000C2A30000}"/>
    <cellStyle name="Normal 11 3 2 6 10" xfId="42567" xr:uid="{00000000-0005-0000-0000-0000C3A30000}"/>
    <cellStyle name="Normal 11 3 2 6 11" xfId="42566" xr:uid="{00000000-0005-0000-0000-0000C4A30000}"/>
    <cellStyle name="Normal 11 3 2 6 2" xfId="1779" xr:uid="{00000000-0005-0000-0000-0000C5A30000}"/>
    <cellStyle name="Normal 11 3 2 6 2 2" xfId="42569" xr:uid="{00000000-0005-0000-0000-0000C6A30000}"/>
    <cellStyle name="Normal 11 3 2 6 2 2 2" xfId="42570" xr:uid="{00000000-0005-0000-0000-0000C7A30000}"/>
    <cellStyle name="Normal 11 3 2 6 2 2 2 2" xfId="42571" xr:uid="{00000000-0005-0000-0000-0000C8A30000}"/>
    <cellStyle name="Normal 11 3 2 6 2 2 2 2 2" xfId="42572" xr:uid="{00000000-0005-0000-0000-0000C9A30000}"/>
    <cellStyle name="Normal 11 3 2 6 2 2 2 3" xfId="42573" xr:uid="{00000000-0005-0000-0000-0000CAA30000}"/>
    <cellStyle name="Normal 11 3 2 6 2 2 3" xfId="42574" xr:uid="{00000000-0005-0000-0000-0000CBA30000}"/>
    <cellStyle name="Normal 11 3 2 6 2 2 3 2" xfId="42575" xr:uid="{00000000-0005-0000-0000-0000CCA30000}"/>
    <cellStyle name="Normal 11 3 2 6 2 2 4" xfId="42576" xr:uid="{00000000-0005-0000-0000-0000CDA30000}"/>
    <cellStyle name="Normal 11 3 2 6 2 3" xfId="42577" xr:uid="{00000000-0005-0000-0000-0000CEA30000}"/>
    <cellStyle name="Normal 11 3 2 6 2 3 2" xfId="42578" xr:uid="{00000000-0005-0000-0000-0000CFA30000}"/>
    <cellStyle name="Normal 11 3 2 6 2 3 2 2" xfId="42579" xr:uid="{00000000-0005-0000-0000-0000D0A30000}"/>
    <cellStyle name="Normal 11 3 2 6 2 3 2 2 2" xfId="42580" xr:uid="{00000000-0005-0000-0000-0000D1A30000}"/>
    <cellStyle name="Normal 11 3 2 6 2 3 2 3" xfId="42581" xr:uid="{00000000-0005-0000-0000-0000D2A30000}"/>
    <cellStyle name="Normal 11 3 2 6 2 3 3" xfId="42582" xr:uid="{00000000-0005-0000-0000-0000D3A30000}"/>
    <cellStyle name="Normal 11 3 2 6 2 3 3 2" xfId="42583" xr:uid="{00000000-0005-0000-0000-0000D4A30000}"/>
    <cellStyle name="Normal 11 3 2 6 2 3 4" xfId="42584" xr:uid="{00000000-0005-0000-0000-0000D5A30000}"/>
    <cellStyle name="Normal 11 3 2 6 2 4" xfId="42585" xr:uid="{00000000-0005-0000-0000-0000D6A30000}"/>
    <cellStyle name="Normal 11 3 2 6 2 4 2" xfId="42586" xr:uid="{00000000-0005-0000-0000-0000D7A30000}"/>
    <cellStyle name="Normal 11 3 2 6 2 4 2 2" xfId="42587" xr:uid="{00000000-0005-0000-0000-0000D8A30000}"/>
    <cellStyle name="Normal 11 3 2 6 2 4 3" xfId="42588" xr:uid="{00000000-0005-0000-0000-0000D9A30000}"/>
    <cellStyle name="Normal 11 3 2 6 2 5" xfId="42589" xr:uid="{00000000-0005-0000-0000-0000DAA30000}"/>
    <cellStyle name="Normal 11 3 2 6 2 5 2" xfId="42590" xr:uid="{00000000-0005-0000-0000-0000DBA30000}"/>
    <cellStyle name="Normal 11 3 2 6 2 6" xfId="42591" xr:uid="{00000000-0005-0000-0000-0000DCA30000}"/>
    <cellStyle name="Normal 11 3 2 6 2 7" xfId="42568" xr:uid="{00000000-0005-0000-0000-0000DDA30000}"/>
    <cellStyle name="Normal 11 3 2 6 3" xfId="42592" xr:uid="{00000000-0005-0000-0000-0000DEA30000}"/>
    <cellStyle name="Normal 11 3 2 6 3 2" xfId="42593" xr:uid="{00000000-0005-0000-0000-0000DFA30000}"/>
    <cellStyle name="Normal 11 3 2 6 3 2 2" xfId="42594" xr:uid="{00000000-0005-0000-0000-0000E0A30000}"/>
    <cellStyle name="Normal 11 3 2 6 3 2 2 2" xfId="42595" xr:uid="{00000000-0005-0000-0000-0000E1A30000}"/>
    <cellStyle name="Normal 11 3 2 6 3 2 2 2 2" xfId="42596" xr:uid="{00000000-0005-0000-0000-0000E2A30000}"/>
    <cellStyle name="Normal 11 3 2 6 3 2 2 3" xfId="42597" xr:uid="{00000000-0005-0000-0000-0000E3A30000}"/>
    <cellStyle name="Normal 11 3 2 6 3 2 3" xfId="42598" xr:uid="{00000000-0005-0000-0000-0000E4A30000}"/>
    <cellStyle name="Normal 11 3 2 6 3 2 3 2" xfId="42599" xr:uid="{00000000-0005-0000-0000-0000E5A30000}"/>
    <cellStyle name="Normal 11 3 2 6 3 2 4" xfId="42600" xr:uid="{00000000-0005-0000-0000-0000E6A30000}"/>
    <cellStyle name="Normal 11 3 2 6 3 3" xfId="42601" xr:uid="{00000000-0005-0000-0000-0000E7A30000}"/>
    <cellStyle name="Normal 11 3 2 6 3 3 2" xfId="42602" xr:uid="{00000000-0005-0000-0000-0000E8A30000}"/>
    <cellStyle name="Normal 11 3 2 6 3 3 2 2" xfId="42603" xr:uid="{00000000-0005-0000-0000-0000E9A30000}"/>
    <cellStyle name="Normal 11 3 2 6 3 3 3" xfId="42604" xr:uid="{00000000-0005-0000-0000-0000EAA30000}"/>
    <cellStyle name="Normal 11 3 2 6 3 4" xfId="42605" xr:uid="{00000000-0005-0000-0000-0000EBA30000}"/>
    <cellStyle name="Normal 11 3 2 6 3 4 2" xfId="42606" xr:uid="{00000000-0005-0000-0000-0000ECA30000}"/>
    <cellStyle name="Normal 11 3 2 6 3 5" xfId="42607" xr:uid="{00000000-0005-0000-0000-0000EDA30000}"/>
    <cellStyle name="Normal 11 3 2 6 4" xfId="42608" xr:uid="{00000000-0005-0000-0000-0000EEA30000}"/>
    <cellStyle name="Normal 11 3 2 6 4 2" xfId="42609" xr:uid="{00000000-0005-0000-0000-0000EFA30000}"/>
    <cellStyle name="Normal 11 3 2 6 4 2 2" xfId="42610" xr:uid="{00000000-0005-0000-0000-0000F0A30000}"/>
    <cellStyle name="Normal 11 3 2 6 4 2 2 2" xfId="42611" xr:uid="{00000000-0005-0000-0000-0000F1A30000}"/>
    <cellStyle name="Normal 11 3 2 6 4 2 2 2 2" xfId="42612" xr:uid="{00000000-0005-0000-0000-0000F2A30000}"/>
    <cellStyle name="Normal 11 3 2 6 4 2 2 3" xfId="42613" xr:uid="{00000000-0005-0000-0000-0000F3A30000}"/>
    <cellStyle name="Normal 11 3 2 6 4 2 3" xfId="42614" xr:uid="{00000000-0005-0000-0000-0000F4A30000}"/>
    <cellStyle name="Normal 11 3 2 6 4 2 3 2" xfId="42615" xr:uid="{00000000-0005-0000-0000-0000F5A30000}"/>
    <cellStyle name="Normal 11 3 2 6 4 2 4" xfId="42616" xr:uid="{00000000-0005-0000-0000-0000F6A30000}"/>
    <cellStyle name="Normal 11 3 2 6 4 3" xfId="42617" xr:uid="{00000000-0005-0000-0000-0000F7A30000}"/>
    <cellStyle name="Normal 11 3 2 6 4 3 2" xfId="42618" xr:uid="{00000000-0005-0000-0000-0000F8A30000}"/>
    <cellStyle name="Normal 11 3 2 6 4 3 2 2" xfId="42619" xr:uid="{00000000-0005-0000-0000-0000F9A30000}"/>
    <cellStyle name="Normal 11 3 2 6 4 3 3" xfId="42620" xr:uid="{00000000-0005-0000-0000-0000FAA30000}"/>
    <cellStyle name="Normal 11 3 2 6 4 4" xfId="42621" xr:uid="{00000000-0005-0000-0000-0000FBA30000}"/>
    <cellStyle name="Normal 11 3 2 6 4 4 2" xfId="42622" xr:uid="{00000000-0005-0000-0000-0000FCA30000}"/>
    <cellStyle name="Normal 11 3 2 6 4 5" xfId="42623" xr:uid="{00000000-0005-0000-0000-0000FDA30000}"/>
    <cellStyle name="Normal 11 3 2 6 5" xfId="42624" xr:uid="{00000000-0005-0000-0000-0000FEA30000}"/>
    <cellStyle name="Normal 11 3 2 6 5 2" xfId="42625" xr:uid="{00000000-0005-0000-0000-0000FFA30000}"/>
    <cellStyle name="Normal 11 3 2 6 5 2 2" xfId="42626" xr:uid="{00000000-0005-0000-0000-000000A40000}"/>
    <cellStyle name="Normal 11 3 2 6 5 2 2 2" xfId="42627" xr:uid="{00000000-0005-0000-0000-000001A40000}"/>
    <cellStyle name="Normal 11 3 2 6 5 2 3" xfId="42628" xr:uid="{00000000-0005-0000-0000-000002A40000}"/>
    <cellStyle name="Normal 11 3 2 6 5 3" xfId="42629" xr:uid="{00000000-0005-0000-0000-000003A40000}"/>
    <cellStyle name="Normal 11 3 2 6 5 3 2" xfId="42630" xr:uid="{00000000-0005-0000-0000-000004A40000}"/>
    <cellStyle name="Normal 11 3 2 6 5 4" xfId="42631" xr:uid="{00000000-0005-0000-0000-000005A40000}"/>
    <cellStyle name="Normal 11 3 2 6 6" xfId="42632" xr:uid="{00000000-0005-0000-0000-000006A40000}"/>
    <cellStyle name="Normal 11 3 2 6 6 2" xfId="42633" xr:uid="{00000000-0005-0000-0000-000007A40000}"/>
    <cellStyle name="Normal 11 3 2 6 6 2 2" xfId="42634" xr:uid="{00000000-0005-0000-0000-000008A40000}"/>
    <cellStyle name="Normal 11 3 2 6 6 2 2 2" xfId="42635" xr:uid="{00000000-0005-0000-0000-000009A40000}"/>
    <cellStyle name="Normal 11 3 2 6 6 2 3" xfId="42636" xr:uid="{00000000-0005-0000-0000-00000AA40000}"/>
    <cellStyle name="Normal 11 3 2 6 6 3" xfId="42637" xr:uid="{00000000-0005-0000-0000-00000BA40000}"/>
    <cellStyle name="Normal 11 3 2 6 6 3 2" xfId="42638" xr:uid="{00000000-0005-0000-0000-00000CA40000}"/>
    <cellStyle name="Normal 11 3 2 6 6 4" xfId="42639" xr:uid="{00000000-0005-0000-0000-00000DA40000}"/>
    <cellStyle name="Normal 11 3 2 6 7" xfId="42640" xr:uid="{00000000-0005-0000-0000-00000EA40000}"/>
    <cellStyle name="Normal 11 3 2 6 7 2" xfId="42641" xr:uid="{00000000-0005-0000-0000-00000FA40000}"/>
    <cellStyle name="Normal 11 3 2 6 7 2 2" xfId="42642" xr:uid="{00000000-0005-0000-0000-000010A40000}"/>
    <cellStyle name="Normal 11 3 2 6 7 2 2 2" xfId="42643" xr:uid="{00000000-0005-0000-0000-000011A40000}"/>
    <cellStyle name="Normal 11 3 2 6 7 2 3" xfId="42644" xr:uid="{00000000-0005-0000-0000-000012A40000}"/>
    <cellStyle name="Normal 11 3 2 6 7 3" xfId="42645" xr:uid="{00000000-0005-0000-0000-000013A40000}"/>
    <cellStyle name="Normal 11 3 2 6 7 3 2" xfId="42646" xr:uid="{00000000-0005-0000-0000-000014A40000}"/>
    <cellStyle name="Normal 11 3 2 6 7 4" xfId="42647" xr:uid="{00000000-0005-0000-0000-000015A40000}"/>
    <cellStyle name="Normal 11 3 2 6 8" xfId="42648" xr:uid="{00000000-0005-0000-0000-000016A40000}"/>
    <cellStyle name="Normal 11 3 2 6 8 2" xfId="42649" xr:uid="{00000000-0005-0000-0000-000017A40000}"/>
    <cellStyle name="Normal 11 3 2 6 8 2 2" xfId="42650" xr:uid="{00000000-0005-0000-0000-000018A40000}"/>
    <cellStyle name="Normal 11 3 2 6 8 3" xfId="42651" xr:uid="{00000000-0005-0000-0000-000019A40000}"/>
    <cellStyle name="Normal 11 3 2 6 9" xfId="42652" xr:uid="{00000000-0005-0000-0000-00001AA40000}"/>
    <cellStyle name="Normal 11 3 2 6 9 2" xfId="42653" xr:uid="{00000000-0005-0000-0000-00001BA40000}"/>
    <cellStyle name="Normal 11 3 2 7" xfId="1452" xr:uid="{00000000-0005-0000-0000-00001CA40000}"/>
    <cellStyle name="Normal 11 3 2 7 2" xfId="42655" xr:uid="{00000000-0005-0000-0000-00001DA40000}"/>
    <cellStyle name="Normal 11 3 2 7 2 2" xfId="42656" xr:uid="{00000000-0005-0000-0000-00001EA40000}"/>
    <cellStyle name="Normal 11 3 2 7 2 2 2" xfId="42657" xr:uid="{00000000-0005-0000-0000-00001FA40000}"/>
    <cellStyle name="Normal 11 3 2 7 2 2 2 2" xfId="42658" xr:uid="{00000000-0005-0000-0000-000020A40000}"/>
    <cellStyle name="Normal 11 3 2 7 2 2 3" xfId="42659" xr:uid="{00000000-0005-0000-0000-000021A40000}"/>
    <cellStyle name="Normal 11 3 2 7 2 3" xfId="42660" xr:uid="{00000000-0005-0000-0000-000022A40000}"/>
    <cellStyle name="Normal 11 3 2 7 2 3 2" xfId="42661" xr:uid="{00000000-0005-0000-0000-000023A40000}"/>
    <cellStyle name="Normal 11 3 2 7 2 4" xfId="42662" xr:uid="{00000000-0005-0000-0000-000024A40000}"/>
    <cellStyle name="Normal 11 3 2 7 3" xfId="42663" xr:uid="{00000000-0005-0000-0000-000025A40000}"/>
    <cellStyle name="Normal 11 3 2 7 3 2" xfId="42664" xr:uid="{00000000-0005-0000-0000-000026A40000}"/>
    <cellStyle name="Normal 11 3 2 7 3 2 2" xfId="42665" xr:uid="{00000000-0005-0000-0000-000027A40000}"/>
    <cellStyle name="Normal 11 3 2 7 3 2 2 2" xfId="42666" xr:uid="{00000000-0005-0000-0000-000028A40000}"/>
    <cellStyle name="Normal 11 3 2 7 3 2 3" xfId="42667" xr:uid="{00000000-0005-0000-0000-000029A40000}"/>
    <cellStyle name="Normal 11 3 2 7 3 3" xfId="42668" xr:uid="{00000000-0005-0000-0000-00002AA40000}"/>
    <cellStyle name="Normal 11 3 2 7 3 3 2" xfId="42669" xr:uid="{00000000-0005-0000-0000-00002BA40000}"/>
    <cellStyle name="Normal 11 3 2 7 3 4" xfId="42670" xr:uid="{00000000-0005-0000-0000-00002CA40000}"/>
    <cellStyle name="Normal 11 3 2 7 4" xfId="42671" xr:uid="{00000000-0005-0000-0000-00002DA40000}"/>
    <cellStyle name="Normal 11 3 2 7 4 2" xfId="42672" xr:uid="{00000000-0005-0000-0000-00002EA40000}"/>
    <cellStyle name="Normal 11 3 2 7 4 2 2" xfId="42673" xr:uid="{00000000-0005-0000-0000-00002FA40000}"/>
    <cellStyle name="Normal 11 3 2 7 4 3" xfId="42674" xr:uid="{00000000-0005-0000-0000-000030A40000}"/>
    <cellStyle name="Normal 11 3 2 7 5" xfId="42675" xr:uid="{00000000-0005-0000-0000-000031A40000}"/>
    <cellStyle name="Normal 11 3 2 7 5 2" xfId="42676" xr:uid="{00000000-0005-0000-0000-000032A40000}"/>
    <cellStyle name="Normal 11 3 2 7 6" xfId="42677" xr:uid="{00000000-0005-0000-0000-000033A40000}"/>
    <cellStyle name="Normal 11 3 2 7 7" xfId="42654" xr:uid="{00000000-0005-0000-0000-000034A40000}"/>
    <cellStyle name="Normal 11 3 2 8" xfId="42678" xr:uid="{00000000-0005-0000-0000-000035A40000}"/>
    <cellStyle name="Normal 11 3 2 8 2" xfId="42679" xr:uid="{00000000-0005-0000-0000-000036A40000}"/>
    <cellStyle name="Normal 11 3 2 8 2 2" xfId="42680" xr:uid="{00000000-0005-0000-0000-000037A40000}"/>
    <cellStyle name="Normal 11 3 2 8 2 2 2" xfId="42681" xr:uid="{00000000-0005-0000-0000-000038A40000}"/>
    <cellStyle name="Normal 11 3 2 8 2 2 2 2" xfId="42682" xr:uid="{00000000-0005-0000-0000-000039A40000}"/>
    <cellStyle name="Normal 11 3 2 8 2 2 3" xfId="42683" xr:uid="{00000000-0005-0000-0000-00003AA40000}"/>
    <cellStyle name="Normal 11 3 2 8 2 3" xfId="42684" xr:uid="{00000000-0005-0000-0000-00003BA40000}"/>
    <cellStyle name="Normal 11 3 2 8 2 3 2" xfId="42685" xr:uid="{00000000-0005-0000-0000-00003CA40000}"/>
    <cellStyle name="Normal 11 3 2 8 2 4" xfId="42686" xr:uid="{00000000-0005-0000-0000-00003DA40000}"/>
    <cellStyle name="Normal 11 3 2 8 3" xfId="42687" xr:uid="{00000000-0005-0000-0000-00003EA40000}"/>
    <cellStyle name="Normal 11 3 2 8 3 2" xfId="42688" xr:uid="{00000000-0005-0000-0000-00003FA40000}"/>
    <cellStyle name="Normal 11 3 2 8 3 2 2" xfId="42689" xr:uid="{00000000-0005-0000-0000-000040A40000}"/>
    <cellStyle name="Normal 11 3 2 8 3 3" xfId="42690" xr:uid="{00000000-0005-0000-0000-000041A40000}"/>
    <cellStyle name="Normal 11 3 2 8 4" xfId="42691" xr:uid="{00000000-0005-0000-0000-000042A40000}"/>
    <cellStyle name="Normal 11 3 2 8 4 2" xfId="42692" xr:uid="{00000000-0005-0000-0000-000043A40000}"/>
    <cellStyle name="Normal 11 3 2 8 5" xfId="42693" xr:uid="{00000000-0005-0000-0000-000044A40000}"/>
    <cellStyle name="Normal 11 3 2 9" xfId="42694" xr:uid="{00000000-0005-0000-0000-000045A40000}"/>
    <cellStyle name="Normal 11 3 2 9 2" xfId="42695" xr:uid="{00000000-0005-0000-0000-000046A40000}"/>
    <cellStyle name="Normal 11 3 2 9 2 2" xfId="42696" xr:uid="{00000000-0005-0000-0000-000047A40000}"/>
    <cellStyle name="Normal 11 3 2 9 2 2 2" xfId="42697" xr:uid="{00000000-0005-0000-0000-000048A40000}"/>
    <cellStyle name="Normal 11 3 2 9 2 2 2 2" xfId="42698" xr:uid="{00000000-0005-0000-0000-000049A40000}"/>
    <cellStyle name="Normal 11 3 2 9 2 2 3" xfId="42699" xr:uid="{00000000-0005-0000-0000-00004AA40000}"/>
    <cellStyle name="Normal 11 3 2 9 2 3" xfId="42700" xr:uid="{00000000-0005-0000-0000-00004BA40000}"/>
    <cellStyle name="Normal 11 3 2 9 2 3 2" xfId="42701" xr:uid="{00000000-0005-0000-0000-00004CA40000}"/>
    <cellStyle name="Normal 11 3 2 9 2 4" xfId="42702" xr:uid="{00000000-0005-0000-0000-00004DA40000}"/>
    <cellStyle name="Normal 11 3 2 9 3" xfId="42703" xr:uid="{00000000-0005-0000-0000-00004EA40000}"/>
    <cellStyle name="Normal 11 3 2 9 3 2" xfId="42704" xr:uid="{00000000-0005-0000-0000-00004FA40000}"/>
    <cellStyle name="Normal 11 3 2 9 3 2 2" xfId="42705" xr:uid="{00000000-0005-0000-0000-000050A40000}"/>
    <cellStyle name="Normal 11 3 2 9 3 3" xfId="42706" xr:uid="{00000000-0005-0000-0000-000051A40000}"/>
    <cellStyle name="Normal 11 3 2 9 4" xfId="42707" xr:uid="{00000000-0005-0000-0000-000052A40000}"/>
    <cellStyle name="Normal 11 3 2 9 4 2" xfId="42708" xr:uid="{00000000-0005-0000-0000-000053A40000}"/>
    <cellStyle name="Normal 11 3 2 9 5" xfId="42709" xr:uid="{00000000-0005-0000-0000-000054A40000}"/>
    <cellStyle name="Normal 11 3 20" xfId="40433" xr:uid="{00000000-0005-0000-0000-000055A40000}"/>
    <cellStyle name="Normal 11 3 3" xfId="620" xr:uid="{00000000-0005-0000-0000-000056A40000}"/>
    <cellStyle name="Normal 11 3 3 10" xfId="42711" xr:uid="{00000000-0005-0000-0000-000057A40000}"/>
    <cellStyle name="Normal 11 3 3 10 2" xfId="42712" xr:uid="{00000000-0005-0000-0000-000058A40000}"/>
    <cellStyle name="Normal 11 3 3 10 2 2" xfId="42713" xr:uid="{00000000-0005-0000-0000-000059A40000}"/>
    <cellStyle name="Normal 11 3 3 10 2 2 2" xfId="42714" xr:uid="{00000000-0005-0000-0000-00005AA40000}"/>
    <cellStyle name="Normal 11 3 3 10 2 3" xfId="42715" xr:uid="{00000000-0005-0000-0000-00005BA40000}"/>
    <cellStyle name="Normal 11 3 3 10 3" xfId="42716" xr:uid="{00000000-0005-0000-0000-00005CA40000}"/>
    <cellStyle name="Normal 11 3 3 10 3 2" xfId="42717" xr:uid="{00000000-0005-0000-0000-00005DA40000}"/>
    <cellStyle name="Normal 11 3 3 10 4" xfId="42718" xr:uid="{00000000-0005-0000-0000-00005EA40000}"/>
    <cellStyle name="Normal 11 3 3 11" xfId="42719" xr:uid="{00000000-0005-0000-0000-00005FA40000}"/>
    <cellStyle name="Normal 11 3 3 11 2" xfId="42720" xr:uid="{00000000-0005-0000-0000-000060A40000}"/>
    <cellStyle name="Normal 11 3 3 11 2 2" xfId="42721" xr:uid="{00000000-0005-0000-0000-000061A40000}"/>
    <cellStyle name="Normal 11 3 3 11 2 2 2" xfId="42722" xr:uid="{00000000-0005-0000-0000-000062A40000}"/>
    <cellStyle name="Normal 11 3 3 11 2 3" xfId="42723" xr:uid="{00000000-0005-0000-0000-000063A40000}"/>
    <cellStyle name="Normal 11 3 3 11 3" xfId="42724" xr:uid="{00000000-0005-0000-0000-000064A40000}"/>
    <cellStyle name="Normal 11 3 3 11 3 2" xfId="42725" xr:uid="{00000000-0005-0000-0000-000065A40000}"/>
    <cellStyle name="Normal 11 3 3 11 4" xfId="42726" xr:uid="{00000000-0005-0000-0000-000066A40000}"/>
    <cellStyle name="Normal 11 3 3 12" xfId="42727" xr:uid="{00000000-0005-0000-0000-000067A40000}"/>
    <cellStyle name="Normal 11 3 3 12 2" xfId="42728" xr:uid="{00000000-0005-0000-0000-000068A40000}"/>
    <cellStyle name="Normal 11 3 3 12 2 2" xfId="42729" xr:uid="{00000000-0005-0000-0000-000069A40000}"/>
    <cellStyle name="Normal 11 3 3 12 3" xfId="42730" xr:uid="{00000000-0005-0000-0000-00006AA40000}"/>
    <cellStyle name="Normal 11 3 3 13" xfId="42731" xr:uid="{00000000-0005-0000-0000-00006BA40000}"/>
    <cellStyle name="Normal 11 3 3 13 2" xfId="42732" xr:uid="{00000000-0005-0000-0000-00006CA40000}"/>
    <cellStyle name="Normal 11 3 3 13 2 2" xfId="42733" xr:uid="{00000000-0005-0000-0000-00006DA40000}"/>
    <cellStyle name="Normal 11 3 3 13 3" xfId="42734" xr:uid="{00000000-0005-0000-0000-00006EA40000}"/>
    <cellStyle name="Normal 11 3 3 14" xfId="42735" xr:uid="{00000000-0005-0000-0000-00006FA40000}"/>
    <cellStyle name="Normal 11 3 3 14 2" xfId="42736" xr:uid="{00000000-0005-0000-0000-000070A40000}"/>
    <cellStyle name="Normal 11 3 3 14 2 2" xfId="42737" xr:uid="{00000000-0005-0000-0000-000071A40000}"/>
    <cellStyle name="Normal 11 3 3 14 3" xfId="42738" xr:uid="{00000000-0005-0000-0000-000072A40000}"/>
    <cellStyle name="Normal 11 3 3 15" xfId="42739" xr:uid="{00000000-0005-0000-0000-000073A40000}"/>
    <cellStyle name="Normal 11 3 3 15 2" xfId="42740" xr:uid="{00000000-0005-0000-0000-000074A40000}"/>
    <cellStyle name="Normal 11 3 3 16" xfId="42741" xr:uid="{00000000-0005-0000-0000-000075A40000}"/>
    <cellStyle name="Normal 11 3 3 17" xfId="42742" xr:uid="{00000000-0005-0000-0000-000076A40000}"/>
    <cellStyle name="Normal 11 3 3 18" xfId="42710" xr:uid="{00000000-0005-0000-0000-000077A40000}"/>
    <cellStyle name="Normal 11 3 3 2" xfId="621" xr:uid="{00000000-0005-0000-0000-000078A40000}"/>
    <cellStyle name="Normal 11 3 3 2 10" xfId="42744" xr:uid="{00000000-0005-0000-0000-000079A40000}"/>
    <cellStyle name="Normal 11 3 3 2 10 2" xfId="42745" xr:uid="{00000000-0005-0000-0000-00007AA40000}"/>
    <cellStyle name="Normal 11 3 3 2 10 2 2" xfId="42746" xr:uid="{00000000-0005-0000-0000-00007BA40000}"/>
    <cellStyle name="Normal 11 3 3 2 10 2 2 2" xfId="42747" xr:uid="{00000000-0005-0000-0000-00007CA40000}"/>
    <cellStyle name="Normal 11 3 3 2 10 2 3" xfId="42748" xr:uid="{00000000-0005-0000-0000-00007DA40000}"/>
    <cellStyle name="Normal 11 3 3 2 10 3" xfId="42749" xr:uid="{00000000-0005-0000-0000-00007EA40000}"/>
    <cellStyle name="Normal 11 3 3 2 10 3 2" xfId="42750" xr:uid="{00000000-0005-0000-0000-00007FA40000}"/>
    <cellStyle name="Normal 11 3 3 2 10 4" xfId="42751" xr:uid="{00000000-0005-0000-0000-000080A40000}"/>
    <cellStyle name="Normal 11 3 3 2 11" xfId="42752" xr:uid="{00000000-0005-0000-0000-000081A40000}"/>
    <cellStyle name="Normal 11 3 3 2 11 2" xfId="42753" xr:uid="{00000000-0005-0000-0000-000082A40000}"/>
    <cellStyle name="Normal 11 3 3 2 11 2 2" xfId="42754" xr:uid="{00000000-0005-0000-0000-000083A40000}"/>
    <cellStyle name="Normal 11 3 3 2 11 3" xfId="42755" xr:uid="{00000000-0005-0000-0000-000084A40000}"/>
    <cellStyle name="Normal 11 3 3 2 12" xfId="42756" xr:uid="{00000000-0005-0000-0000-000085A40000}"/>
    <cellStyle name="Normal 11 3 3 2 12 2" xfId="42757" xr:uid="{00000000-0005-0000-0000-000086A40000}"/>
    <cellStyle name="Normal 11 3 3 2 12 2 2" xfId="42758" xr:uid="{00000000-0005-0000-0000-000087A40000}"/>
    <cellStyle name="Normal 11 3 3 2 12 3" xfId="42759" xr:uid="{00000000-0005-0000-0000-000088A40000}"/>
    <cellStyle name="Normal 11 3 3 2 13" xfId="42760" xr:uid="{00000000-0005-0000-0000-000089A40000}"/>
    <cellStyle name="Normal 11 3 3 2 13 2" xfId="42761" xr:uid="{00000000-0005-0000-0000-00008AA40000}"/>
    <cellStyle name="Normal 11 3 3 2 13 2 2" xfId="42762" xr:uid="{00000000-0005-0000-0000-00008BA40000}"/>
    <cellStyle name="Normal 11 3 3 2 13 3" xfId="42763" xr:uid="{00000000-0005-0000-0000-00008CA40000}"/>
    <cellStyle name="Normal 11 3 3 2 14" xfId="42764" xr:uid="{00000000-0005-0000-0000-00008DA40000}"/>
    <cellStyle name="Normal 11 3 3 2 14 2" xfId="42765" xr:uid="{00000000-0005-0000-0000-00008EA40000}"/>
    <cellStyle name="Normal 11 3 3 2 15" xfId="42766" xr:uid="{00000000-0005-0000-0000-00008FA40000}"/>
    <cellStyle name="Normal 11 3 3 2 16" xfId="42767" xr:uid="{00000000-0005-0000-0000-000090A40000}"/>
    <cellStyle name="Normal 11 3 3 2 17" xfId="42743" xr:uid="{00000000-0005-0000-0000-000091A40000}"/>
    <cellStyle name="Normal 11 3 3 2 2" xfId="622" xr:uid="{00000000-0005-0000-0000-000092A40000}"/>
    <cellStyle name="Normal 11 3 3 2 2 10" xfId="42769" xr:uid="{00000000-0005-0000-0000-000093A40000}"/>
    <cellStyle name="Normal 11 3 3 2 2 10 2" xfId="42770" xr:uid="{00000000-0005-0000-0000-000094A40000}"/>
    <cellStyle name="Normal 11 3 3 2 2 10 2 2" xfId="42771" xr:uid="{00000000-0005-0000-0000-000095A40000}"/>
    <cellStyle name="Normal 11 3 3 2 2 10 3" xfId="42772" xr:uid="{00000000-0005-0000-0000-000096A40000}"/>
    <cellStyle name="Normal 11 3 3 2 2 11" xfId="42773" xr:uid="{00000000-0005-0000-0000-000097A40000}"/>
    <cellStyle name="Normal 11 3 3 2 2 11 2" xfId="42774" xr:uid="{00000000-0005-0000-0000-000098A40000}"/>
    <cellStyle name="Normal 11 3 3 2 2 11 2 2" xfId="42775" xr:uid="{00000000-0005-0000-0000-000099A40000}"/>
    <cellStyle name="Normal 11 3 3 2 2 11 3" xfId="42776" xr:uid="{00000000-0005-0000-0000-00009AA40000}"/>
    <cellStyle name="Normal 11 3 3 2 2 12" xfId="42777" xr:uid="{00000000-0005-0000-0000-00009BA40000}"/>
    <cellStyle name="Normal 11 3 3 2 2 12 2" xfId="42778" xr:uid="{00000000-0005-0000-0000-00009CA40000}"/>
    <cellStyle name="Normal 11 3 3 2 2 13" xfId="42779" xr:uid="{00000000-0005-0000-0000-00009DA40000}"/>
    <cellStyle name="Normal 11 3 3 2 2 14" xfId="42780" xr:uid="{00000000-0005-0000-0000-00009EA40000}"/>
    <cellStyle name="Normal 11 3 3 2 2 15" xfId="42768" xr:uid="{00000000-0005-0000-0000-00009FA40000}"/>
    <cellStyle name="Normal 11 3 3 2 2 2" xfId="1064" xr:uid="{00000000-0005-0000-0000-0000A0A40000}"/>
    <cellStyle name="Normal 11 3 3 2 2 2 10" xfId="42782" xr:uid="{00000000-0005-0000-0000-0000A1A40000}"/>
    <cellStyle name="Normal 11 3 3 2 2 2 11" xfId="42781" xr:uid="{00000000-0005-0000-0000-0000A2A40000}"/>
    <cellStyle name="Normal 11 3 3 2 2 2 2" xfId="1793" xr:uid="{00000000-0005-0000-0000-0000A3A40000}"/>
    <cellStyle name="Normal 11 3 3 2 2 2 2 2" xfId="42784" xr:uid="{00000000-0005-0000-0000-0000A4A40000}"/>
    <cellStyle name="Normal 11 3 3 2 2 2 2 2 2" xfId="42785" xr:uid="{00000000-0005-0000-0000-0000A5A40000}"/>
    <cellStyle name="Normal 11 3 3 2 2 2 2 2 2 2" xfId="42786" xr:uid="{00000000-0005-0000-0000-0000A6A40000}"/>
    <cellStyle name="Normal 11 3 3 2 2 2 2 2 2 2 2" xfId="42787" xr:uid="{00000000-0005-0000-0000-0000A7A40000}"/>
    <cellStyle name="Normal 11 3 3 2 2 2 2 2 2 3" xfId="42788" xr:uid="{00000000-0005-0000-0000-0000A8A40000}"/>
    <cellStyle name="Normal 11 3 3 2 2 2 2 2 3" xfId="42789" xr:uid="{00000000-0005-0000-0000-0000A9A40000}"/>
    <cellStyle name="Normal 11 3 3 2 2 2 2 2 3 2" xfId="42790" xr:uid="{00000000-0005-0000-0000-0000AAA40000}"/>
    <cellStyle name="Normal 11 3 3 2 2 2 2 2 4" xfId="42791" xr:uid="{00000000-0005-0000-0000-0000ABA40000}"/>
    <cellStyle name="Normal 11 3 3 2 2 2 2 3" xfId="42792" xr:uid="{00000000-0005-0000-0000-0000ACA40000}"/>
    <cellStyle name="Normal 11 3 3 2 2 2 2 3 2" xfId="42793" xr:uid="{00000000-0005-0000-0000-0000ADA40000}"/>
    <cellStyle name="Normal 11 3 3 2 2 2 2 3 2 2" xfId="42794" xr:uid="{00000000-0005-0000-0000-0000AEA40000}"/>
    <cellStyle name="Normal 11 3 3 2 2 2 2 3 2 2 2" xfId="42795" xr:uid="{00000000-0005-0000-0000-0000AFA40000}"/>
    <cellStyle name="Normal 11 3 3 2 2 2 2 3 2 3" xfId="42796" xr:uid="{00000000-0005-0000-0000-0000B0A40000}"/>
    <cellStyle name="Normal 11 3 3 2 2 2 2 3 3" xfId="42797" xr:uid="{00000000-0005-0000-0000-0000B1A40000}"/>
    <cellStyle name="Normal 11 3 3 2 2 2 2 3 3 2" xfId="42798" xr:uid="{00000000-0005-0000-0000-0000B2A40000}"/>
    <cellStyle name="Normal 11 3 3 2 2 2 2 3 4" xfId="42799" xr:uid="{00000000-0005-0000-0000-0000B3A40000}"/>
    <cellStyle name="Normal 11 3 3 2 2 2 2 4" xfId="42800" xr:uid="{00000000-0005-0000-0000-0000B4A40000}"/>
    <cellStyle name="Normal 11 3 3 2 2 2 2 4 2" xfId="42801" xr:uid="{00000000-0005-0000-0000-0000B5A40000}"/>
    <cellStyle name="Normal 11 3 3 2 2 2 2 4 2 2" xfId="42802" xr:uid="{00000000-0005-0000-0000-0000B6A40000}"/>
    <cellStyle name="Normal 11 3 3 2 2 2 2 4 3" xfId="42803" xr:uid="{00000000-0005-0000-0000-0000B7A40000}"/>
    <cellStyle name="Normal 11 3 3 2 2 2 2 5" xfId="42804" xr:uid="{00000000-0005-0000-0000-0000B8A40000}"/>
    <cellStyle name="Normal 11 3 3 2 2 2 2 5 2" xfId="42805" xr:uid="{00000000-0005-0000-0000-0000B9A40000}"/>
    <cellStyle name="Normal 11 3 3 2 2 2 2 6" xfId="42806" xr:uid="{00000000-0005-0000-0000-0000BAA40000}"/>
    <cellStyle name="Normal 11 3 3 2 2 2 2 7" xfId="42783" xr:uid="{00000000-0005-0000-0000-0000BBA40000}"/>
    <cellStyle name="Normal 11 3 3 2 2 2 3" xfId="42807" xr:uid="{00000000-0005-0000-0000-0000BCA40000}"/>
    <cellStyle name="Normal 11 3 3 2 2 2 3 2" xfId="42808" xr:uid="{00000000-0005-0000-0000-0000BDA40000}"/>
    <cellStyle name="Normal 11 3 3 2 2 2 3 2 2" xfId="42809" xr:uid="{00000000-0005-0000-0000-0000BEA40000}"/>
    <cellStyle name="Normal 11 3 3 2 2 2 3 2 2 2" xfId="42810" xr:uid="{00000000-0005-0000-0000-0000BFA40000}"/>
    <cellStyle name="Normal 11 3 3 2 2 2 3 2 2 2 2" xfId="42811" xr:uid="{00000000-0005-0000-0000-0000C0A40000}"/>
    <cellStyle name="Normal 11 3 3 2 2 2 3 2 2 3" xfId="42812" xr:uid="{00000000-0005-0000-0000-0000C1A40000}"/>
    <cellStyle name="Normal 11 3 3 2 2 2 3 2 3" xfId="42813" xr:uid="{00000000-0005-0000-0000-0000C2A40000}"/>
    <cellStyle name="Normal 11 3 3 2 2 2 3 2 3 2" xfId="42814" xr:uid="{00000000-0005-0000-0000-0000C3A40000}"/>
    <cellStyle name="Normal 11 3 3 2 2 2 3 2 4" xfId="42815" xr:uid="{00000000-0005-0000-0000-0000C4A40000}"/>
    <cellStyle name="Normal 11 3 3 2 2 2 3 3" xfId="42816" xr:uid="{00000000-0005-0000-0000-0000C5A40000}"/>
    <cellStyle name="Normal 11 3 3 2 2 2 3 3 2" xfId="42817" xr:uid="{00000000-0005-0000-0000-0000C6A40000}"/>
    <cellStyle name="Normal 11 3 3 2 2 2 3 3 2 2" xfId="42818" xr:uid="{00000000-0005-0000-0000-0000C7A40000}"/>
    <cellStyle name="Normal 11 3 3 2 2 2 3 3 3" xfId="42819" xr:uid="{00000000-0005-0000-0000-0000C8A40000}"/>
    <cellStyle name="Normal 11 3 3 2 2 2 3 4" xfId="42820" xr:uid="{00000000-0005-0000-0000-0000C9A40000}"/>
    <cellStyle name="Normal 11 3 3 2 2 2 3 4 2" xfId="42821" xr:uid="{00000000-0005-0000-0000-0000CAA40000}"/>
    <cellStyle name="Normal 11 3 3 2 2 2 3 5" xfId="42822" xr:uid="{00000000-0005-0000-0000-0000CBA40000}"/>
    <cellStyle name="Normal 11 3 3 2 2 2 4" xfId="42823" xr:uid="{00000000-0005-0000-0000-0000CCA40000}"/>
    <cellStyle name="Normal 11 3 3 2 2 2 4 2" xfId="42824" xr:uid="{00000000-0005-0000-0000-0000CDA40000}"/>
    <cellStyle name="Normal 11 3 3 2 2 2 4 2 2" xfId="42825" xr:uid="{00000000-0005-0000-0000-0000CEA40000}"/>
    <cellStyle name="Normal 11 3 3 2 2 2 4 2 2 2" xfId="42826" xr:uid="{00000000-0005-0000-0000-0000CFA40000}"/>
    <cellStyle name="Normal 11 3 3 2 2 2 4 2 2 2 2" xfId="42827" xr:uid="{00000000-0005-0000-0000-0000D0A40000}"/>
    <cellStyle name="Normal 11 3 3 2 2 2 4 2 2 3" xfId="42828" xr:uid="{00000000-0005-0000-0000-0000D1A40000}"/>
    <cellStyle name="Normal 11 3 3 2 2 2 4 2 3" xfId="42829" xr:uid="{00000000-0005-0000-0000-0000D2A40000}"/>
    <cellStyle name="Normal 11 3 3 2 2 2 4 2 3 2" xfId="42830" xr:uid="{00000000-0005-0000-0000-0000D3A40000}"/>
    <cellStyle name="Normal 11 3 3 2 2 2 4 2 4" xfId="42831" xr:uid="{00000000-0005-0000-0000-0000D4A40000}"/>
    <cellStyle name="Normal 11 3 3 2 2 2 4 3" xfId="42832" xr:uid="{00000000-0005-0000-0000-0000D5A40000}"/>
    <cellStyle name="Normal 11 3 3 2 2 2 4 3 2" xfId="42833" xr:uid="{00000000-0005-0000-0000-0000D6A40000}"/>
    <cellStyle name="Normal 11 3 3 2 2 2 4 3 2 2" xfId="42834" xr:uid="{00000000-0005-0000-0000-0000D7A40000}"/>
    <cellStyle name="Normal 11 3 3 2 2 2 4 3 3" xfId="42835" xr:uid="{00000000-0005-0000-0000-0000D8A40000}"/>
    <cellStyle name="Normal 11 3 3 2 2 2 4 4" xfId="42836" xr:uid="{00000000-0005-0000-0000-0000D9A40000}"/>
    <cellStyle name="Normal 11 3 3 2 2 2 4 4 2" xfId="42837" xr:uid="{00000000-0005-0000-0000-0000DAA40000}"/>
    <cellStyle name="Normal 11 3 3 2 2 2 4 5" xfId="42838" xr:uid="{00000000-0005-0000-0000-0000DBA40000}"/>
    <cellStyle name="Normal 11 3 3 2 2 2 5" xfId="42839" xr:uid="{00000000-0005-0000-0000-0000DCA40000}"/>
    <cellStyle name="Normal 11 3 3 2 2 2 5 2" xfId="42840" xr:uid="{00000000-0005-0000-0000-0000DDA40000}"/>
    <cellStyle name="Normal 11 3 3 2 2 2 5 2 2" xfId="42841" xr:uid="{00000000-0005-0000-0000-0000DEA40000}"/>
    <cellStyle name="Normal 11 3 3 2 2 2 5 2 2 2" xfId="42842" xr:uid="{00000000-0005-0000-0000-0000DFA40000}"/>
    <cellStyle name="Normal 11 3 3 2 2 2 5 2 3" xfId="42843" xr:uid="{00000000-0005-0000-0000-0000E0A40000}"/>
    <cellStyle name="Normal 11 3 3 2 2 2 5 3" xfId="42844" xr:uid="{00000000-0005-0000-0000-0000E1A40000}"/>
    <cellStyle name="Normal 11 3 3 2 2 2 5 3 2" xfId="42845" xr:uid="{00000000-0005-0000-0000-0000E2A40000}"/>
    <cellStyle name="Normal 11 3 3 2 2 2 5 4" xfId="42846" xr:uid="{00000000-0005-0000-0000-0000E3A40000}"/>
    <cellStyle name="Normal 11 3 3 2 2 2 6" xfId="42847" xr:uid="{00000000-0005-0000-0000-0000E4A40000}"/>
    <cellStyle name="Normal 11 3 3 2 2 2 6 2" xfId="42848" xr:uid="{00000000-0005-0000-0000-0000E5A40000}"/>
    <cellStyle name="Normal 11 3 3 2 2 2 6 2 2" xfId="42849" xr:uid="{00000000-0005-0000-0000-0000E6A40000}"/>
    <cellStyle name="Normal 11 3 3 2 2 2 6 2 2 2" xfId="42850" xr:uid="{00000000-0005-0000-0000-0000E7A40000}"/>
    <cellStyle name="Normal 11 3 3 2 2 2 6 2 3" xfId="42851" xr:uid="{00000000-0005-0000-0000-0000E8A40000}"/>
    <cellStyle name="Normal 11 3 3 2 2 2 6 3" xfId="42852" xr:uid="{00000000-0005-0000-0000-0000E9A40000}"/>
    <cellStyle name="Normal 11 3 3 2 2 2 6 3 2" xfId="42853" xr:uid="{00000000-0005-0000-0000-0000EAA40000}"/>
    <cellStyle name="Normal 11 3 3 2 2 2 6 4" xfId="42854" xr:uid="{00000000-0005-0000-0000-0000EBA40000}"/>
    <cellStyle name="Normal 11 3 3 2 2 2 7" xfId="42855" xr:uid="{00000000-0005-0000-0000-0000ECA40000}"/>
    <cellStyle name="Normal 11 3 3 2 2 2 7 2" xfId="42856" xr:uid="{00000000-0005-0000-0000-0000EDA40000}"/>
    <cellStyle name="Normal 11 3 3 2 2 2 7 2 2" xfId="42857" xr:uid="{00000000-0005-0000-0000-0000EEA40000}"/>
    <cellStyle name="Normal 11 3 3 2 2 2 7 2 2 2" xfId="42858" xr:uid="{00000000-0005-0000-0000-0000EFA40000}"/>
    <cellStyle name="Normal 11 3 3 2 2 2 7 2 3" xfId="42859" xr:uid="{00000000-0005-0000-0000-0000F0A40000}"/>
    <cellStyle name="Normal 11 3 3 2 2 2 7 3" xfId="42860" xr:uid="{00000000-0005-0000-0000-0000F1A40000}"/>
    <cellStyle name="Normal 11 3 3 2 2 2 7 3 2" xfId="42861" xr:uid="{00000000-0005-0000-0000-0000F2A40000}"/>
    <cellStyle name="Normal 11 3 3 2 2 2 7 4" xfId="42862" xr:uid="{00000000-0005-0000-0000-0000F3A40000}"/>
    <cellStyle name="Normal 11 3 3 2 2 2 8" xfId="42863" xr:uid="{00000000-0005-0000-0000-0000F4A40000}"/>
    <cellStyle name="Normal 11 3 3 2 2 2 8 2" xfId="42864" xr:uid="{00000000-0005-0000-0000-0000F5A40000}"/>
    <cellStyle name="Normal 11 3 3 2 2 2 8 2 2" xfId="42865" xr:uid="{00000000-0005-0000-0000-0000F6A40000}"/>
    <cellStyle name="Normal 11 3 3 2 2 2 8 3" xfId="42866" xr:uid="{00000000-0005-0000-0000-0000F7A40000}"/>
    <cellStyle name="Normal 11 3 3 2 2 2 9" xfId="42867" xr:uid="{00000000-0005-0000-0000-0000F8A40000}"/>
    <cellStyle name="Normal 11 3 3 2 2 2 9 2" xfId="42868" xr:uid="{00000000-0005-0000-0000-0000F9A40000}"/>
    <cellStyle name="Normal 11 3 3 2 2 3" xfId="1466" xr:uid="{00000000-0005-0000-0000-0000FAA40000}"/>
    <cellStyle name="Normal 11 3 3 2 2 3 2" xfId="42870" xr:uid="{00000000-0005-0000-0000-0000FBA40000}"/>
    <cellStyle name="Normal 11 3 3 2 2 3 2 2" xfId="42871" xr:uid="{00000000-0005-0000-0000-0000FCA40000}"/>
    <cellStyle name="Normal 11 3 3 2 2 3 2 2 2" xfId="42872" xr:uid="{00000000-0005-0000-0000-0000FDA40000}"/>
    <cellStyle name="Normal 11 3 3 2 2 3 2 2 2 2" xfId="42873" xr:uid="{00000000-0005-0000-0000-0000FEA40000}"/>
    <cellStyle name="Normal 11 3 3 2 2 3 2 2 3" xfId="42874" xr:uid="{00000000-0005-0000-0000-0000FFA40000}"/>
    <cellStyle name="Normal 11 3 3 2 2 3 2 3" xfId="42875" xr:uid="{00000000-0005-0000-0000-000000A50000}"/>
    <cellStyle name="Normal 11 3 3 2 2 3 2 3 2" xfId="42876" xr:uid="{00000000-0005-0000-0000-000001A50000}"/>
    <cellStyle name="Normal 11 3 3 2 2 3 2 4" xfId="42877" xr:uid="{00000000-0005-0000-0000-000002A50000}"/>
    <cellStyle name="Normal 11 3 3 2 2 3 3" xfId="42878" xr:uid="{00000000-0005-0000-0000-000003A50000}"/>
    <cellStyle name="Normal 11 3 3 2 2 3 3 2" xfId="42879" xr:uid="{00000000-0005-0000-0000-000004A50000}"/>
    <cellStyle name="Normal 11 3 3 2 2 3 3 2 2" xfId="42880" xr:uid="{00000000-0005-0000-0000-000005A50000}"/>
    <cellStyle name="Normal 11 3 3 2 2 3 3 2 2 2" xfId="42881" xr:uid="{00000000-0005-0000-0000-000006A50000}"/>
    <cellStyle name="Normal 11 3 3 2 2 3 3 2 3" xfId="42882" xr:uid="{00000000-0005-0000-0000-000007A50000}"/>
    <cellStyle name="Normal 11 3 3 2 2 3 3 3" xfId="42883" xr:uid="{00000000-0005-0000-0000-000008A50000}"/>
    <cellStyle name="Normal 11 3 3 2 2 3 3 3 2" xfId="42884" xr:uid="{00000000-0005-0000-0000-000009A50000}"/>
    <cellStyle name="Normal 11 3 3 2 2 3 3 4" xfId="42885" xr:uid="{00000000-0005-0000-0000-00000AA50000}"/>
    <cellStyle name="Normal 11 3 3 2 2 3 4" xfId="42886" xr:uid="{00000000-0005-0000-0000-00000BA50000}"/>
    <cellStyle name="Normal 11 3 3 2 2 3 4 2" xfId="42887" xr:uid="{00000000-0005-0000-0000-00000CA50000}"/>
    <cellStyle name="Normal 11 3 3 2 2 3 4 2 2" xfId="42888" xr:uid="{00000000-0005-0000-0000-00000DA50000}"/>
    <cellStyle name="Normal 11 3 3 2 2 3 4 3" xfId="42889" xr:uid="{00000000-0005-0000-0000-00000EA50000}"/>
    <cellStyle name="Normal 11 3 3 2 2 3 5" xfId="42890" xr:uid="{00000000-0005-0000-0000-00000FA50000}"/>
    <cellStyle name="Normal 11 3 3 2 2 3 5 2" xfId="42891" xr:uid="{00000000-0005-0000-0000-000010A50000}"/>
    <cellStyle name="Normal 11 3 3 2 2 3 6" xfId="42892" xr:uid="{00000000-0005-0000-0000-000011A50000}"/>
    <cellStyle name="Normal 11 3 3 2 2 3 7" xfId="42869" xr:uid="{00000000-0005-0000-0000-000012A50000}"/>
    <cellStyle name="Normal 11 3 3 2 2 4" xfId="42893" xr:uid="{00000000-0005-0000-0000-000013A50000}"/>
    <cellStyle name="Normal 11 3 3 2 2 4 2" xfId="42894" xr:uid="{00000000-0005-0000-0000-000014A50000}"/>
    <cellStyle name="Normal 11 3 3 2 2 4 2 2" xfId="42895" xr:uid="{00000000-0005-0000-0000-000015A50000}"/>
    <cellStyle name="Normal 11 3 3 2 2 4 2 2 2" xfId="42896" xr:uid="{00000000-0005-0000-0000-000016A50000}"/>
    <cellStyle name="Normal 11 3 3 2 2 4 2 2 2 2" xfId="42897" xr:uid="{00000000-0005-0000-0000-000017A50000}"/>
    <cellStyle name="Normal 11 3 3 2 2 4 2 2 3" xfId="42898" xr:uid="{00000000-0005-0000-0000-000018A50000}"/>
    <cellStyle name="Normal 11 3 3 2 2 4 2 3" xfId="42899" xr:uid="{00000000-0005-0000-0000-000019A50000}"/>
    <cellStyle name="Normal 11 3 3 2 2 4 2 3 2" xfId="42900" xr:uid="{00000000-0005-0000-0000-00001AA50000}"/>
    <cellStyle name="Normal 11 3 3 2 2 4 2 4" xfId="42901" xr:uid="{00000000-0005-0000-0000-00001BA50000}"/>
    <cellStyle name="Normal 11 3 3 2 2 4 3" xfId="42902" xr:uid="{00000000-0005-0000-0000-00001CA50000}"/>
    <cellStyle name="Normal 11 3 3 2 2 4 3 2" xfId="42903" xr:uid="{00000000-0005-0000-0000-00001DA50000}"/>
    <cellStyle name="Normal 11 3 3 2 2 4 3 2 2" xfId="42904" xr:uid="{00000000-0005-0000-0000-00001EA50000}"/>
    <cellStyle name="Normal 11 3 3 2 2 4 3 3" xfId="42905" xr:uid="{00000000-0005-0000-0000-00001FA50000}"/>
    <cellStyle name="Normal 11 3 3 2 2 4 4" xfId="42906" xr:uid="{00000000-0005-0000-0000-000020A50000}"/>
    <cellStyle name="Normal 11 3 3 2 2 4 4 2" xfId="42907" xr:uid="{00000000-0005-0000-0000-000021A50000}"/>
    <cellStyle name="Normal 11 3 3 2 2 4 5" xfId="42908" xr:uid="{00000000-0005-0000-0000-000022A50000}"/>
    <cellStyle name="Normal 11 3 3 2 2 5" xfId="42909" xr:uid="{00000000-0005-0000-0000-000023A50000}"/>
    <cellStyle name="Normal 11 3 3 2 2 5 2" xfId="42910" xr:uid="{00000000-0005-0000-0000-000024A50000}"/>
    <cellStyle name="Normal 11 3 3 2 2 5 2 2" xfId="42911" xr:uid="{00000000-0005-0000-0000-000025A50000}"/>
    <cellStyle name="Normal 11 3 3 2 2 5 2 2 2" xfId="42912" xr:uid="{00000000-0005-0000-0000-000026A50000}"/>
    <cellStyle name="Normal 11 3 3 2 2 5 2 2 2 2" xfId="42913" xr:uid="{00000000-0005-0000-0000-000027A50000}"/>
    <cellStyle name="Normal 11 3 3 2 2 5 2 2 3" xfId="42914" xr:uid="{00000000-0005-0000-0000-000028A50000}"/>
    <cellStyle name="Normal 11 3 3 2 2 5 2 3" xfId="42915" xr:uid="{00000000-0005-0000-0000-000029A50000}"/>
    <cellStyle name="Normal 11 3 3 2 2 5 2 3 2" xfId="42916" xr:uid="{00000000-0005-0000-0000-00002AA50000}"/>
    <cellStyle name="Normal 11 3 3 2 2 5 2 4" xfId="42917" xr:uid="{00000000-0005-0000-0000-00002BA50000}"/>
    <cellStyle name="Normal 11 3 3 2 2 5 3" xfId="42918" xr:uid="{00000000-0005-0000-0000-00002CA50000}"/>
    <cellStyle name="Normal 11 3 3 2 2 5 3 2" xfId="42919" xr:uid="{00000000-0005-0000-0000-00002DA50000}"/>
    <cellStyle name="Normal 11 3 3 2 2 5 3 2 2" xfId="42920" xr:uid="{00000000-0005-0000-0000-00002EA50000}"/>
    <cellStyle name="Normal 11 3 3 2 2 5 3 3" xfId="42921" xr:uid="{00000000-0005-0000-0000-00002FA50000}"/>
    <cellStyle name="Normal 11 3 3 2 2 5 4" xfId="42922" xr:uid="{00000000-0005-0000-0000-000030A50000}"/>
    <cellStyle name="Normal 11 3 3 2 2 5 4 2" xfId="42923" xr:uid="{00000000-0005-0000-0000-000031A50000}"/>
    <cellStyle name="Normal 11 3 3 2 2 5 5" xfId="42924" xr:uid="{00000000-0005-0000-0000-000032A50000}"/>
    <cellStyle name="Normal 11 3 3 2 2 6" xfId="42925" xr:uid="{00000000-0005-0000-0000-000033A50000}"/>
    <cellStyle name="Normal 11 3 3 2 2 6 2" xfId="42926" xr:uid="{00000000-0005-0000-0000-000034A50000}"/>
    <cellStyle name="Normal 11 3 3 2 2 6 2 2" xfId="42927" xr:uid="{00000000-0005-0000-0000-000035A50000}"/>
    <cellStyle name="Normal 11 3 3 2 2 6 2 2 2" xfId="42928" xr:uid="{00000000-0005-0000-0000-000036A50000}"/>
    <cellStyle name="Normal 11 3 3 2 2 6 2 3" xfId="42929" xr:uid="{00000000-0005-0000-0000-000037A50000}"/>
    <cellStyle name="Normal 11 3 3 2 2 6 3" xfId="42930" xr:uid="{00000000-0005-0000-0000-000038A50000}"/>
    <cellStyle name="Normal 11 3 3 2 2 6 3 2" xfId="42931" xr:uid="{00000000-0005-0000-0000-000039A50000}"/>
    <cellStyle name="Normal 11 3 3 2 2 6 4" xfId="42932" xr:uid="{00000000-0005-0000-0000-00003AA50000}"/>
    <cellStyle name="Normal 11 3 3 2 2 7" xfId="42933" xr:uid="{00000000-0005-0000-0000-00003BA50000}"/>
    <cellStyle name="Normal 11 3 3 2 2 7 2" xfId="42934" xr:uid="{00000000-0005-0000-0000-00003CA50000}"/>
    <cellStyle name="Normal 11 3 3 2 2 7 2 2" xfId="42935" xr:uid="{00000000-0005-0000-0000-00003DA50000}"/>
    <cellStyle name="Normal 11 3 3 2 2 7 2 2 2" xfId="42936" xr:uid="{00000000-0005-0000-0000-00003EA50000}"/>
    <cellStyle name="Normal 11 3 3 2 2 7 2 3" xfId="42937" xr:uid="{00000000-0005-0000-0000-00003FA50000}"/>
    <cellStyle name="Normal 11 3 3 2 2 7 3" xfId="42938" xr:uid="{00000000-0005-0000-0000-000040A50000}"/>
    <cellStyle name="Normal 11 3 3 2 2 7 3 2" xfId="42939" xr:uid="{00000000-0005-0000-0000-000041A50000}"/>
    <cellStyle name="Normal 11 3 3 2 2 7 4" xfId="42940" xr:uid="{00000000-0005-0000-0000-000042A50000}"/>
    <cellStyle name="Normal 11 3 3 2 2 8" xfId="42941" xr:uid="{00000000-0005-0000-0000-000043A50000}"/>
    <cellStyle name="Normal 11 3 3 2 2 8 2" xfId="42942" xr:uid="{00000000-0005-0000-0000-000044A50000}"/>
    <cellStyle name="Normal 11 3 3 2 2 8 2 2" xfId="42943" xr:uid="{00000000-0005-0000-0000-000045A50000}"/>
    <cellStyle name="Normal 11 3 3 2 2 8 2 2 2" xfId="42944" xr:uid="{00000000-0005-0000-0000-000046A50000}"/>
    <cellStyle name="Normal 11 3 3 2 2 8 2 3" xfId="42945" xr:uid="{00000000-0005-0000-0000-000047A50000}"/>
    <cellStyle name="Normal 11 3 3 2 2 8 3" xfId="42946" xr:uid="{00000000-0005-0000-0000-000048A50000}"/>
    <cellStyle name="Normal 11 3 3 2 2 8 3 2" xfId="42947" xr:uid="{00000000-0005-0000-0000-000049A50000}"/>
    <cellStyle name="Normal 11 3 3 2 2 8 4" xfId="42948" xr:uid="{00000000-0005-0000-0000-00004AA50000}"/>
    <cellStyle name="Normal 11 3 3 2 2 9" xfId="42949" xr:uid="{00000000-0005-0000-0000-00004BA50000}"/>
    <cellStyle name="Normal 11 3 3 2 2 9 2" xfId="42950" xr:uid="{00000000-0005-0000-0000-00004CA50000}"/>
    <cellStyle name="Normal 11 3 3 2 2 9 2 2" xfId="42951" xr:uid="{00000000-0005-0000-0000-00004DA50000}"/>
    <cellStyle name="Normal 11 3 3 2 2 9 3" xfId="42952" xr:uid="{00000000-0005-0000-0000-00004EA50000}"/>
    <cellStyle name="Normal 11 3 3 2 3" xfId="623" xr:uid="{00000000-0005-0000-0000-00004FA50000}"/>
    <cellStyle name="Normal 11 3 3 2 3 10" xfId="42954" xr:uid="{00000000-0005-0000-0000-000050A50000}"/>
    <cellStyle name="Normal 11 3 3 2 3 10 2" xfId="42955" xr:uid="{00000000-0005-0000-0000-000051A50000}"/>
    <cellStyle name="Normal 11 3 3 2 3 10 2 2" xfId="42956" xr:uid="{00000000-0005-0000-0000-000052A50000}"/>
    <cellStyle name="Normal 11 3 3 2 3 10 3" xfId="42957" xr:uid="{00000000-0005-0000-0000-000053A50000}"/>
    <cellStyle name="Normal 11 3 3 2 3 11" xfId="42958" xr:uid="{00000000-0005-0000-0000-000054A50000}"/>
    <cellStyle name="Normal 11 3 3 2 3 11 2" xfId="42959" xr:uid="{00000000-0005-0000-0000-000055A50000}"/>
    <cellStyle name="Normal 11 3 3 2 3 11 2 2" xfId="42960" xr:uid="{00000000-0005-0000-0000-000056A50000}"/>
    <cellStyle name="Normal 11 3 3 2 3 11 3" xfId="42961" xr:uid="{00000000-0005-0000-0000-000057A50000}"/>
    <cellStyle name="Normal 11 3 3 2 3 12" xfId="42962" xr:uid="{00000000-0005-0000-0000-000058A50000}"/>
    <cellStyle name="Normal 11 3 3 2 3 12 2" xfId="42963" xr:uid="{00000000-0005-0000-0000-000059A50000}"/>
    <cellStyle name="Normal 11 3 3 2 3 13" xfId="42964" xr:uid="{00000000-0005-0000-0000-00005AA50000}"/>
    <cellStyle name="Normal 11 3 3 2 3 14" xfId="42965" xr:uid="{00000000-0005-0000-0000-00005BA50000}"/>
    <cellStyle name="Normal 11 3 3 2 3 15" xfId="42953" xr:uid="{00000000-0005-0000-0000-00005CA50000}"/>
    <cellStyle name="Normal 11 3 3 2 3 2" xfId="1065" xr:uid="{00000000-0005-0000-0000-00005DA50000}"/>
    <cellStyle name="Normal 11 3 3 2 3 2 10" xfId="42967" xr:uid="{00000000-0005-0000-0000-00005EA50000}"/>
    <cellStyle name="Normal 11 3 3 2 3 2 11" xfId="42966" xr:uid="{00000000-0005-0000-0000-00005FA50000}"/>
    <cellStyle name="Normal 11 3 3 2 3 2 2" xfId="1794" xr:uid="{00000000-0005-0000-0000-000060A50000}"/>
    <cellStyle name="Normal 11 3 3 2 3 2 2 2" xfId="42969" xr:uid="{00000000-0005-0000-0000-000061A50000}"/>
    <cellStyle name="Normal 11 3 3 2 3 2 2 2 2" xfId="42970" xr:uid="{00000000-0005-0000-0000-000062A50000}"/>
    <cellStyle name="Normal 11 3 3 2 3 2 2 2 2 2" xfId="42971" xr:uid="{00000000-0005-0000-0000-000063A50000}"/>
    <cellStyle name="Normal 11 3 3 2 3 2 2 2 2 2 2" xfId="42972" xr:uid="{00000000-0005-0000-0000-000064A50000}"/>
    <cellStyle name="Normal 11 3 3 2 3 2 2 2 2 3" xfId="42973" xr:uid="{00000000-0005-0000-0000-000065A50000}"/>
    <cellStyle name="Normal 11 3 3 2 3 2 2 2 3" xfId="42974" xr:uid="{00000000-0005-0000-0000-000066A50000}"/>
    <cellStyle name="Normal 11 3 3 2 3 2 2 2 3 2" xfId="42975" xr:uid="{00000000-0005-0000-0000-000067A50000}"/>
    <cellStyle name="Normal 11 3 3 2 3 2 2 2 4" xfId="42976" xr:uid="{00000000-0005-0000-0000-000068A50000}"/>
    <cellStyle name="Normal 11 3 3 2 3 2 2 3" xfId="42977" xr:uid="{00000000-0005-0000-0000-000069A50000}"/>
    <cellStyle name="Normal 11 3 3 2 3 2 2 3 2" xfId="42978" xr:uid="{00000000-0005-0000-0000-00006AA50000}"/>
    <cellStyle name="Normal 11 3 3 2 3 2 2 3 2 2" xfId="42979" xr:uid="{00000000-0005-0000-0000-00006BA50000}"/>
    <cellStyle name="Normal 11 3 3 2 3 2 2 3 2 2 2" xfId="42980" xr:uid="{00000000-0005-0000-0000-00006CA50000}"/>
    <cellStyle name="Normal 11 3 3 2 3 2 2 3 2 3" xfId="42981" xr:uid="{00000000-0005-0000-0000-00006DA50000}"/>
    <cellStyle name="Normal 11 3 3 2 3 2 2 3 3" xfId="42982" xr:uid="{00000000-0005-0000-0000-00006EA50000}"/>
    <cellStyle name="Normal 11 3 3 2 3 2 2 3 3 2" xfId="42983" xr:uid="{00000000-0005-0000-0000-00006FA50000}"/>
    <cellStyle name="Normal 11 3 3 2 3 2 2 3 4" xfId="42984" xr:uid="{00000000-0005-0000-0000-000070A50000}"/>
    <cellStyle name="Normal 11 3 3 2 3 2 2 4" xfId="42985" xr:uid="{00000000-0005-0000-0000-000071A50000}"/>
    <cellStyle name="Normal 11 3 3 2 3 2 2 4 2" xfId="42986" xr:uid="{00000000-0005-0000-0000-000072A50000}"/>
    <cellStyle name="Normal 11 3 3 2 3 2 2 4 2 2" xfId="42987" xr:uid="{00000000-0005-0000-0000-000073A50000}"/>
    <cellStyle name="Normal 11 3 3 2 3 2 2 4 3" xfId="42988" xr:uid="{00000000-0005-0000-0000-000074A50000}"/>
    <cellStyle name="Normal 11 3 3 2 3 2 2 5" xfId="42989" xr:uid="{00000000-0005-0000-0000-000075A50000}"/>
    <cellStyle name="Normal 11 3 3 2 3 2 2 5 2" xfId="42990" xr:uid="{00000000-0005-0000-0000-000076A50000}"/>
    <cellStyle name="Normal 11 3 3 2 3 2 2 6" xfId="42991" xr:uid="{00000000-0005-0000-0000-000077A50000}"/>
    <cellStyle name="Normal 11 3 3 2 3 2 2 7" xfId="42968" xr:uid="{00000000-0005-0000-0000-000078A50000}"/>
    <cellStyle name="Normal 11 3 3 2 3 2 3" xfId="42992" xr:uid="{00000000-0005-0000-0000-000079A50000}"/>
    <cellStyle name="Normal 11 3 3 2 3 2 3 2" xfId="42993" xr:uid="{00000000-0005-0000-0000-00007AA50000}"/>
    <cellStyle name="Normal 11 3 3 2 3 2 3 2 2" xfId="42994" xr:uid="{00000000-0005-0000-0000-00007BA50000}"/>
    <cellStyle name="Normal 11 3 3 2 3 2 3 2 2 2" xfId="42995" xr:uid="{00000000-0005-0000-0000-00007CA50000}"/>
    <cellStyle name="Normal 11 3 3 2 3 2 3 2 2 2 2" xfId="42996" xr:uid="{00000000-0005-0000-0000-00007DA50000}"/>
    <cellStyle name="Normal 11 3 3 2 3 2 3 2 2 3" xfId="42997" xr:uid="{00000000-0005-0000-0000-00007EA50000}"/>
    <cellStyle name="Normal 11 3 3 2 3 2 3 2 3" xfId="42998" xr:uid="{00000000-0005-0000-0000-00007FA50000}"/>
    <cellStyle name="Normal 11 3 3 2 3 2 3 2 3 2" xfId="42999" xr:uid="{00000000-0005-0000-0000-000080A50000}"/>
    <cellStyle name="Normal 11 3 3 2 3 2 3 2 4" xfId="43000" xr:uid="{00000000-0005-0000-0000-000081A50000}"/>
    <cellStyle name="Normal 11 3 3 2 3 2 3 3" xfId="43001" xr:uid="{00000000-0005-0000-0000-000082A50000}"/>
    <cellStyle name="Normal 11 3 3 2 3 2 3 3 2" xfId="43002" xr:uid="{00000000-0005-0000-0000-000083A50000}"/>
    <cellStyle name="Normal 11 3 3 2 3 2 3 3 2 2" xfId="43003" xr:uid="{00000000-0005-0000-0000-000084A50000}"/>
    <cellStyle name="Normal 11 3 3 2 3 2 3 3 3" xfId="43004" xr:uid="{00000000-0005-0000-0000-000085A50000}"/>
    <cellStyle name="Normal 11 3 3 2 3 2 3 4" xfId="43005" xr:uid="{00000000-0005-0000-0000-000086A50000}"/>
    <cellStyle name="Normal 11 3 3 2 3 2 3 4 2" xfId="43006" xr:uid="{00000000-0005-0000-0000-000087A50000}"/>
    <cellStyle name="Normal 11 3 3 2 3 2 3 5" xfId="43007" xr:uid="{00000000-0005-0000-0000-000088A50000}"/>
    <cellStyle name="Normal 11 3 3 2 3 2 4" xfId="43008" xr:uid="{00000000-0005-0000-0000-000089A50000}"/>
    <cellStyle name="Normal 11 3 3 2 3 2 4 2" xfId="43009" xr:uid="{00000000-0005-0000-0000-00008AA50000}"/>
    <cellStyle name="Normal 11 3 3 2 3 2 4 2 2" xfId="43010" xr:uid="{00000000-0005-0000-0000-00008BA50000}"/>
    <cellStyle name="Normal 11 3 3 2 3 2 4 2 2 2" xfId="43011" xr:uid="{00000000-0005-0000-0000-00008CA50000}"/>
    <cellStyle name="Normal 11 3 3 2 3 2 4 2 2 2 2" xfId="43012" xr:uid="{00000000-0005-0000-0000-00008DA50000}"/>
    <cellStyle name="Normal 11 3 3 2 3 2 4 2 2 3" xfId="43013" xr:uid="{00000000-0005-0000-0000-00008EA50000}"/>
    <cellStyle name="Normal 11 3 3 2 3 2 4 2 3" xfId="43014" xr:uid="{00000000-0005-0000-0000-00008FA50000}"/>
    <cellStyle name="Normal 11 3 3 2 3 2 4 2 3 2" xfId="43015" xr:uid="{00000000-0005-0000-0000-000090A50000}"/>
    <cellStyle name="Normal 11 3 3 2 3 2 4 2 4" xfId="43016" xr:uid="{00000000-0005-0000-0000-000091A50000}"/>
    <cellStyle name="Normal 11 3 3 2 3 2 4 3" xfId="43017" xr:uid="{00000000-0005-0000-0000-000092A50000}"/>
    <cellStyle name="Normal 11 3 3 2 3 2 4 3 2" xfId="43018" xr:uid="{00000000-0005-0000-0000-000093A50000}"/>
    <cellStyle name="Normal 11 3 3 2 3 2 4 3 2 2" xfId="43019" xr:uid="{00000000-0005-0000-0000-000094A50000}"/>
    <cellStyle name="Normal 11 3 3 2 3 2 4 3 3" xfId="43020" xr:uid="{00000000-0005-0000-0000-000095A50000}"/>
    <cellStyle name="Normal 11 3 3 2 3 2 4 4" xfId="43021" xr:uid="{00000000-0005-0000-0000-000096A50000}"/>
    <cellStyle name="Normal 11 3 3 2 3 2 4 4 2" xfId="43022" xr:uid="{00000000-0005-0000-0000-000097A50000}"/>
    <cellStyle name="Normal 11 3 3 2 3 2 4 5" xfId="43023" xr:uid="{00000000-0005-0000-0000-000098A50000}"/>
    <cellStyle name="Normal 11 3 3 2 3 2 5" xfId="43024" xr:uid="{00000000-0005-0000-0000-000099A50000}"/>
    <cellStyle name="Normal 11 3 3 2 3 2 5 2" xfId="43025" xr:uid="{00000000-0005-0000-0000-00009AA50000}"/>
    <cellStyle name="Normal 11 3 3 2 3 2 5 2 2" xfId="43026" xr:uid="{00000000-0005-0000-0000-00009BA50000}"/>
    <cellStyle name="Normal 11 3 3 2 3 2 5 2 2 2" xfId="43027" xr:uid="{00000000-0005-0000-0000-00009CA50000}"/>
    <cellStyle name="Normal 11 3 3 2 3 2 5 2 3" xfId="43028" xr:uid="{00000000-0005-0000-0000-00009DA50000}"/>
    <cellStyle name="Normal 11 3 3 2 3 2 5 3" xfId="43029" xr:uid="{00000000-0005-0000-0000-00009EA50000}"/>
    <cellStyle name="Normal 11 3 3 2 3 2 5 3 2" xfId="43030" xr:uid="{00000000-0005-0000-0000-00009FA50000}"/>
    <cellStyle name="Normal 11 3 3 2 3 2 5 4" xfId="43031" xr:uid="{00000000-0005-0000-0000-0000A0A50000}"/>
    <cellStyle name="Normal 11 3 3 2 3 2 6" xfId="43032" xr:uid="{00000000-0005-0000-0000-0000A1A50000}"/>
    <cellStyle name="Normal 11 3 3 2 3 2 6 2" xfId="43033" xr:uid="{00000000-0005-0000-0000-0000A2A50000}"/>
    <cellStyle name="Normal 11 3 3 2 3 2 6 2 2" xfId="43034" xr:uid="{00000000-0005-0000-0000-0000A3A50000}"/>
    <cellStyle name="Normal 11 3 3 2 3 2 6 2 2 2" xfId="43035" xr:uid="{00000000-0005-0000-0000-0000A4A50000}"/>
    <cellStyle name="Normal 11 3 3 2 3 2 6 2 3" xfId="43036" xr:uid="{00000000-0005-0000-0000-0000A5A50000}"/>
    <cellStyle name="Normal 11 3 3 2 3 2 6 3" xfId="43037" xr:uid="{00000000-0005-0000-0000-0000A6A50000}"/>
    <cellStyle name="Normal 11 3 3 2 3 2 6 3 2" xfId="43038" xr:uid="{00000000-0005-0000-0000-0000A7A50000}"/>
    <cellStyle name="Normal 11 3 3 2 3 2 6 4" xfId="43039" xr:uid="{00000000-0005-0000-0000-0000A8A50000}"/>
    <cellStyle name="Normal 11 3 3 2 3 2 7" xfId="43040" xr:uid="{00000000-0005-0000-0000-0000A9A50000}"/>
    <cellStyle name="Normal 11 3 3 2 3 2 7 2" xfId="43041" xr:uid="{00000000-0005-0000-0000-0000AAA50000}"/>
    <cellStyle name="Normal 11 3 3 2 3 2 7 2 2" xfId="43042" xr:uid="{00000000-0005-0000-0000-0000ABA50000}"/>
    <cellStyle name="Normal 11 3 3 2 3 2 7 2 2 2" xfId="43043" xr:uid="{00000000-0005-0000-0000-0000ACA50000}"/>
    <cellStyle name="Normal 11 3 3 2 3 2 7 2 3" xfId="43044" xr:uid="{00000000-0005-0000-0000-0000ADA50000}"/>
    <cellStyle name="Normal 11 3 3 2 3 2 7 3" xfId="43045" xr:uid="{00000000-0005-0000-0000-0000AEA50000}"/>
    <cellStyle name="Normal 11 3 3 2 3 2 7 3 2" xfId="43046" xr:uid="{00000000-0005-0000-0000-0000AFA50000}"/>
    <cellStyle name="Normal 11 3 3 2 3 2 7 4" xfId="43047" xr:uid="{00000000-0005-0000-0000-0000B0A50000}"/>
    <cellStyle name="Normal 11 3 3 2 3 2 8" xfId="43048" xr:uid="{00000000-0005-0000-0000-0000B1A50000}"/>
    <cellStyle name="Normal 11 3 3 2 3 2 8 2" xfId="43049" xr:uid="{00000000-0005-0000-0000-0000B2A50000}"/>
    <cellStyle name="Normal 11 3 3 2 3 2 8 2 2" xfId="43050" xr:uid="{00000000-0005-0000-0000-0000B3A50000}"/>
    <cellStyle name="Normal 11 3 3 2 3 2 8 3" xfId="43051" xr:uid="{00000000-0005-0000-0000-0000B4A50000}"/>
    <cellStyle name="Normal 11 3 3 2 3 2 9" xfId="43052" xr:uid="{00000000-0005-0000-0000-0000B5A50000}"/>
    <cellStyle name="Normal 11 3 3 2 3 2 9 2" xfId="43053" xr:uid="{00000000-0005-0000-0000-0000B6A50000}"/>
    <cellStyle name="Normal 11 3 3 2 3 3" xfId="1467" xr:uid="{00000000-0005-0000-0000-0000B7A50000}"/>
    <cellStyle name="Normal 11 3 3 2 3 3 2" xfId="43055" xr:uid="{00000000-0005-0000-0000-0000B8A50000}"/>
    <cellStyle name="Normal 11 3 3 2 3 3 2 2" xfId="43056" xr:uid="{00000000-0005-0000-0000-0000B9A50000}"/>
    <cellStyle name="Normal 11 3 3 2 3 3 2 2 2" xfId="43057" xr:uid="{00000000-0005-0000-0000-0000BAA50000}"/>
    <cellStyle name="Normal 11 3 3 2 3 3 2 2 2 2" xfId="43058" xr:uid="{00000000-0005-0000-0000-0000BBA50000}"/>
    <cellStyle name="Normal 11 3 3 2 3 3 2 2 3" xfId="43059" xr:uid="{00000000-0005-0000-0000-0000BCA50000}"/>
    <cellStyle name="Normal 11 3 3 2 3 3 2 3" xfId="43060" xr:uid="{00000000-0005-0000-0000-0000BDA50000}"/>
    <cellStyle name="Normal 11 3 3 2 3 3 2 3 2" xfId="43061" xr:uid="{00000000-0005-0000-0000-0000BEA50000}"/>
    <cellStyle name="Normal 11 3 3 2 3 3 2 4" xfId="43062" xr:uid="{00000000-0005-0000-0000-0000BFA50000}"/>
    <cellStyle name="Normal 11 3 3 2 3 3 3" xfId="43063" xr:uid="{00000000-0005-0000-0000-0000C0A50000}"/>
    <cellStyle name="Normal 11 3 3 2 3 3 3 2" xfId="43064" xr:uid="{00000000-0005-0000-0000-0000C1A50000}"/>
    <cellStyle name="Normal 11 3 3 2 3 3 3 2 2" xfId="43065" xr:uid="{00000000-0005-0000-0000-0000C2A50000}"/>
    <cellStyle name="Normal 11 3 3 2 3 3 3 2 2 2" xfId="43066" xr:uid="{00000000-0005-0000-0000-0000C3A50000}"/>
    <cellStyle name="Normal 11 3 3 2 3 3 3 2 3" xfId="43067" xr:uid="{00000000-0005-0000-0000-0000C4A50000}"/>
    <cellStyle name="Normal 11 3 3 2 3 3 3 3" xfId="43068" xr:uid="{00000000-0005-0000-0000-0000C5A50000}"/>
    <cellStyle name="Normal 11 3 3 2 3 3 3 3 2" xfId="43069" xr:uid="{00000000-0005-0000-0000-0000C6A50000}"/>
    <cellStyle name="Normal 11 3 3 2 3 3 3 4" xfId="43070" xr:uid="{00000000-0005-0000-0000-0000C7A50000}"/>
    <cellStyle name="Normal 11 3 3 2 3 3 4" xfId="43071" xr:uid="{00000000-0005-0000-0000-0000C8A50000}"/>
    <cellStyle name="Normal 11 3 3 2 3 3 4 2" xfId="43072" xr:uid="{00000000-0005-0000-0000-0000C9A50000}"/>
    <cellStyle name="Normal 11 3 3 2 3 3 4 2 2" xfId="43073" xr:uid="{00000000-0005-0000-0000-0000CAA50000}"/>
    <cellStyle name="Normal 11 3 3 2 3 3 4 3" xfId="43074" xr:uid="{00000000-0005-0000-0000-0000CBA50000}"/>
    <cellStyle name="Normal 11 3 3 2 3 3 5" xfId="43075" xr:uid="{00000000-0005-0000-0000-0000CCA50000}"/>
    <cellStyle name="Normal 11 3 3 2 3 3 5 2" xfId="43076" xr:uid="{00000000-0005-0000-0000-0000CDA50000}"/>
    <cellStyle name="Normal 11 3 3 2 3 3 6" xfId="43077" xr:uid="{00000000-0005-0000-0000-0000CEA50000}"/>
    <cellStyle name="Normal 11 3 3 2 3 3 7" xfId="43054" xr:uid="{00000000-0005-0000-0000-0000CFA50000}"/>
    <cellStyle name="Normal 11 3 3 2 3 4" xfId="43078" xr:uid="{00000000-0005-0000-0000-0000D0A50000}"/>
    <cellStyle name="Normal 11 3 3 2 3 4 2" xfId="43079" xr:uid="{00000000-0005-0000-0000-0000D1A50000}"/>
    <cellStyle name="Normal 11 3 3 2 3 4 2 2" xfId="43080" xr:uid="{00000000-0005-0000-0000-0000D2A50000}"/>
    <cellStyle name="Normal 11 3 3 2 3 4 2 2 2" xfId="43081" xr:uid="{00000000-0005-0000-0000-0000D3A50000}"/>
    <cellStyle name="Normal 11 3 3 2 3 4 2 2 2 2" xfId="43082" xr:uid="{00000000-0005-0000-0000-0000D4A50000}"/>
    <cellStyle name="Normal 11 3 3 2 3 4 2 2 3" xfId="43083" xr:uid="{00000000-0005-0000-0000-0000D5A50000}"/>
    <cellStyle name="Normal 11 3 3 2 3 4 2 3" xfId="43084" xr:uid="{00000000-0005-0000-0000-0000D6A50000}"/>
    <cellStyle name="Normal 11 3 3 2 3 4 2 3 2" xfId="43085" xr:uid="{00000000-0005-0000-0000-0000D7A50000}"/>
    <cellStyle name="Normal 11 3 3 2 3 4 2 4" xfId="43086" xr:uid="{00000000-0005-0000-0000-0000D8A50000}"/>
    <cellStyle name="Normal 11 3 3 2 3 4 3" xfId="43087" xr:uid="{00000000-0005-0000-0000-0000D9A50000}"/>
    <cellStyle name="Normal 11 3 3 2 3 4 3 2" xfId="43088" xr:uid="{00000000-0005-0000-0000-0000DAA50000}"/>
    <cellStyle name="Normal 11 3 3 2 3 4 3 2 2" xfId="43089" xr:uid="{00000000-0005-0000-0000-0000DBA50000}"/>
    <cellStyle name="Normal 11 3 3 2 3 4 3 3" xfId="43090" xr:uid="{00000000-0005-0000-0000-0000DCA50000}"/>
    <cellStyle name="Normal 11 3 3 2 3 4 4" xfId="43091" xr:uid="{00000000-0005-0000-0000-0000DDA50000}"/>
    <cellStyle name="Normal 11 3 3 2 3 4 4 2" xfId="43092" xr:uid="{00000000-0005-0000-0000-0000DEA50000}"/>
    <cellStyle name="Normal 11 3 3 2 3 4 5" xfId="43093" xr:uid="{00000000-0005-0000-0000-0000DFA50000}"/>
    <cellStyle name="Normal 11 3 3 2 3 5" xfId="43094" xr:uid="{00000000-0005-0000-0000-0000E0A50000}"/>
    <cellStyle name="Normal 11 3 3 2 3 5 2" xfId="43095" xr:uid="{00000000-0005-0000-0000-0000E1A50000}"/>
    <cellStyle name="Normal 11 3 3 2 3 5 2 2" xfId="43096" xr:uid="{00000000-0005-0000-0000-0000E2A50000}"/>
    <cellStyle name="Normal 11 3 3 2 3 5 2 2 2" xfId="43097" xr:uid="{00000000-0005-0000-0000-0000E3A50000}"/>
    <cellStyle name="Normal 11 3 3 2 3 5 2 2 2 2" xfId="43098" xr:uid="{00000000-0005-0000-0000-0000E4A50000}"/>
    <cellStyle name="Normal 11 3 3 2 3 5 2 2 3" xfId="43099" xr:uid="{00000000-0005-0000-0000-0000E5A50000}"/>
    <cellStyle name="Normal 11 3 3 2 3 5 2 3" xfId="43100" xr:uid="{00000000-0005-0000-0000-0000E6A50000}"/>
    <cellStyle name="Normal 11 3 3 2 3 5 2 3 2" xfId="43101" xr:uid="{00000000-0005-0000-0000-0000E7A50000}"/>
    <cellStyle name="Normal 11 3 3 2 3 5 2 4" xfId="43102" xr:uid="{00000000-0005-0000-0000-0000E8A50000}"/>
    <cellStyle name="Normal 11 3 3 2 3 5 3" xfId="43103" xr:uid="{00000000-0005-0000-0000-0000E9A50000}"/>
    <cellStyle name="Normal 11 3 3 2 3 5 3 2" xfId="43104" xr:uid="{00000000-0005-0000-0000-0000EAA50000}"/>
    <cellStyle name="Normal 11 3 3 2 3 5 3 2 2" xfId="43105" xr:uid="{00000000-0005-0000-0000-0000EBA50000}"/>
    <cellStyle name="Normal 11 3 3 2 3 5 3 3" xfId="43106" xr:uid="{00000000-0005-0000-0000-0000ECA50000}"/>
    <cellStyle name="Normal 11 3 3 2 3 5 4" xfId="43107" xr:uid="{00000000-0005-0000-0000-0000EDA50000}"/>
    <cellStyle name="Normal 11 3 3 2 3 5 4 2" xfId="43108" xr:uid="{00000000-0005-0000-0000-0000EEA50000}"/>
    <cellStyle name="Normal 11 3 3 2 3 5 5" xfId="43109" xr:uid="{00000000-0005-0000-0000-0000EFA50000}"/>
    <cellStyle name="Normal 11 3 3 2 3 6" xfId="43110" xr:uid="{00000000-0005-0000-0000-0000F0A50000}"/>
    <cellStyle name="Normal 11 3 3 2 3 6 2" xfId="43111" xr:uid="{00000000-0005-0000-0000-0000F1A50000}"/>
    <cellStyle name="Normal 11 3 3 2 3 6 2 2" xfId="43112" xr:uid="{00000000-0005-0000-0000-0000F2A50000}"/>
    <cellStyle name="Normal 11 3 3 2 3 6 2 2 2" xfId="43113" xr:uid="{00000000-0005-0000-0000-0000F3A50000}"/>
    <cellStyle name="Normal 11 3 3 2 3 6 2 3" xfId="43114" xr:uid="{00000000-0005-0000-0000-0000F4A50000}"/>
    <cellStyle name="Normal 11 3 3 2 3 6 3" xfId="43115" xr:uid="{00000000-0005-0000-0000-0000F5A50000}"/>
    <cellStyle name="Normal 11 3 3 2 3 6 3 2" xfId="43116" xr:uid="{00000000-0005-0000-0000-0000F6A50000}"/>
    <cellStyle name="Normal 11 3 3 2 3 6 4" xfId="43117" xr:uid="{00000000-0005-0000-0000-0000F7A50000}"/>
    <cellStyle name="Normal 11 3 3 2 3 7" xfId="43118" xr:uid="{00000000-0005-0000-0000-0000F8A50000}"/>
    <cellStyle name="Normal 11 3 3 2 3 7 2" xfId="43119" xr:uid="{00000000-0005-0000-0000-0000F9A50000}"/>
    <cellStyle name="Normal 11 3 3 2 3 7 2 2" xfId="43120" xr:uid="{00000000-0005-0000-0000-0000FAA50000}"/>
    <cellStyle name="Normal 11 3 3 2 3 7 2 2 2" xfId="43121" xr:uid="{00000000-0005-0000-0000-0000FBA50000}"/>
    <cellStyle name="Normal 11 3 3 2 3 7 2 3" xfId="43122" xr:uid="{00000000-0005-0000-0000-0000FCA50000}"/>
    <cellStyle name="Normal 11 3 3 2 3 7 3" xfId="43123" xr:uid="{00000000-0005-0000-0000-0000FDA50000}"/>
    <cellStyle name="Normal 11 3 3 2 3 7 3 2" xfId="43124" xr:uid="{00000000-0005-0000-0000-0000FEA50000}"/>
    <cellStyle name="Normal 11 3 3 2 3 7 4" xfId="43125" xr:uid="{00000000-0005-0000-0000-0000FFA50000}"/>
    <cellStyle name="Normal 11 3 3 2 3 8" xfId="43126" xr:uid="{00000000-0005-0000-0000-000000A60000}"/>
    <cellStyle name="Normal 11 3 3 2 3 8 2" xfId="43127" xr:uid="{00000000-0005-0000-0000-000001A60000}"/>
    <cellStyle name="Normal 11 3 3 2 3 8 2 2" xfId="43128" xr:uid="{00000000-0005-0000-0000-000002A60000}"/>
    <cellStyle name="Normal 11 3 3 2 3 8 2 2 2" xfId="43129" xr:uid="{00000000-0005-0000-0000-000003A60000}"/>
    <cellStyle name="Normal 11 3 3 2 3 8 2 3" xfId="43130" xr:uid="{00000000-0005-0000-0000-000004A60000}"/>
    <cellStyle name="Normal 11 3 3 2 3 8 3" xfId="43131" xr:uid="{00000000-0005-0000-0000-000005A60000}"/>
    <cellStyle name="Normal 11 3 3 2 3 8 3 2" xfId="43132" xr:uid="{00000000-0005-0000-0000-000006A60000}"/>
    <cellStyle name="Normal 11 3 3 2 3 8 4" xfId="43133" xr:uid="{00000000-0005-0000-0000-000007A60000}"/>
    <cellStyle name="Normal 11 3 3 2 3 9" xfId="43134" xr:uid="{00000000-0005-0000-0000-000008A60000}"/>
    <cellStyle name="Normal 11 3 3 2 3 9 2" xfId="43135" xr:uid="{00000000-0005-0000-0000-000009A60000}"/>
    <cellStyle name="Normal 11 3 3 2 3 9 2 2" xfId="43136" xr:uid="{00000000-0005-0000-0000-00000AA60000}"/>
    <cellStyle name="Normal 11 3 3 2 3 9 3" xfId="43137" xr:uid="{00000000-0005-0000-0000-00000BA60000}"/>
    <cellStyle name="Normal 11 3 3 2 4" xfId="1063" xr:uid="{00000000-0005-0000-0000-00000CA60000}"/>
    <cellStyle name="Normal 11 3 3 2 4 10" xfId="43139" xr:uid="{00000000-0005-0000-0000-00000DA60000}"/>
    <cellStyle name="Normal 11 3 3 2 4 11" xfId="43138" xr:uid="{00000000-0005-0000-0000-00000EA60000}"/>
    <cellStyle name="Normal 11 3 3 2 4 2" xfId="1792" xr:uid="{00000000-0005-0000-0000-00000FA60000}"/>
    <cellStyle name="Normal 11 3 3 2 4 2 2" xfId="43141" xr:uid="{00000000-0005-0000-0000-000010A60000}"/>
    <cellStyle name="Normal 11 3 3 2 4 2 2 2" xfId="43142" xr:uid="{00000000-0005-0000-0000-000011A60000}"/>
    <cellStyle name="Normal 11 3 3 2 4 2 2 2 2" xfId="43143" xr:uid="{00000000-0005-0000-0000-000012A60000}"/>
    <cellStyle name="Normal 11 3 3 2 4 2 2 2 2 2" xfId="43144" xr:uid="{00000000-0005-0000-0000-000013A60000}"/>
    <cellStyle name="Normal 11 3 3 2 4 2 2 2 3" xfId="43145" xr:uid="{00000000-0005-0000-0000-000014A60000}"/>
    <cellStyle name="Normal 11 3 3 2 4 2 2 3" xfId="43146" xr:uid="{00000000-0005-0000-0000-000015A60000}"/>
    <cellStyle name="Normal 11 3 3 2 4 2 2 3 2" xfId="43147" xr:uid="{00000000-0005-0000-0000-000016A60000}"/>
    <cellStyle name="Normal 11 3 3 2 4 2 2 4" xfId="43148" xr:uid="{00000000-0005-0000-0000-000017A60000}"/>
    <cellStyle name="Normal 11 3 3 2 4 2 3" xfId="43149" xr:uid="{00000000-0005-0000-0000-000018A60000}"/>
    <cellStyle name="Normal 11 3 3 2 4 2 3 2" xfId="43150" xr:uid="{00000000-0005-0000-0000-000019A60000}"/>
    <cellStyle name="Normal 11 3 3 2 4 2 3 2 2" xfId="43151" xr:uid="{00000000-0005-0000-0000-00001AA60000}"/>
    <cellStyle name="Normal 11 3 3 2 4 2 3 2 2 2" xfId="43152" xr:uid="{00000000-0005-0000-0000-00001BA60000}"/>
    <cellStyle name="Normal 11 3 3 2 4 2 3 2 3" xfId="43153" xr:uid="{00000000-0005-0000-0000-00001CA60000}"/>
    <cellStyle name="Normal 11 3 3 2 4 2 3 3" xfId="43154" xr:uid="{00000000-0005-0000-0000-00001DA60000}"/>
    <cellStyle name="Normal 11 3 3 2 4 2 3 3 2" xfId="43155" xr:uid="{00000000-0005-0000-0000-00001EA60000}"/>
    <cellStyle name="Normal 11 3 3 2 4 2 3 4" xfId="43156" xr:uid="{00000000-0005-0000-0000-00001FA60000}"/>
    <cellStyle name="Normal 11 3 3 2 4 2 4" xfId="43157" xr:uid="{00000000-0005-0000-0000-000020A60000}"/>
    <cellStyle name="Normal 11 3 3 2 4 2 4 2" xfId="43158" xr:uid="{00000000-0005-0000-0000-000021A60000}"/>
    <cellStyle name="Normal 11 3 3 2 4 2 4 2 2" xfId="43159" xr:uid="{00000000-0005-0000-0000-000022A60000}"/>
    <cellStyle name="Normal 11 3 3 2 4 2 4 3" xfId="43160" xr:uid="{00000000-0005-0000-0000-000023A60000}"/>
    <cellStyle name="Normal 11 3 3 2 4 2 5" xfId="43161" xr:uid="{00000000-0005-0000-0000-000024A60000}"/>
    <cellStyle name="Normal 11 3 3 2 4 2 5 2" xfId="43162" xr:uid="{00000000-0005-0000-0000-000025A60000}"/>
    <cellStyle name="Normal 11 3 3 2 4 2 6" xfId="43163" xr:uid="{00000000-0005-0000-0000-000026A60000}"/>
    <cellStyle name="Normal 11 3 3 2 4 2 7" xfId="43140" xr:uid="{00000000-0005-0000-0000-000027A60000}"/>
    <cellStyle name="Normal 11 3 3 2 4 3" xfId="43164" xr:uid="{00000000-0005-0000-0000-000028A60000}"/>
    <cellStyle name="Normal 11 3 3 2 4 3 2" xfId="43165" xr:uid="{00000000-0005-0000-0000-000029A60000}"/>
    <cellStyle name="Normal 11 3 3 2 4 3 2 2" xfId="43166" xr:uid="{00000000-0005-0000-0000-00002AA60000}"/>
    <cellStyle name="Normal 11 3 3 2 4 3 2 2 2" xfId="43167" xr:uid="{00000000-0005-0000-0000-00002BA60000}"/>
    <cellStyle name="Normal 11 3 3 2 4 3 2 2 2 2" xfId="43168" xr:uid="{00000000-0005-0000-0000-00002CA60000}"/>
    <cellStyle name="Normal 11 3 3 2 4 3 2 2 3" xfId="43169" xr:uid="{00000000-0005-0000-0000-00002DA60000}"/>
    <cellStyle name="Normal 11 3 3 2 4 3 2 3" xfId="43170" xr:uid="{00000000-0005-0000-0000-00002EA60000}"/>
    <cellStyle name="Normal 11 3 3 2 4 3 2 3 2" xfId="43171" xr:uid="{00000000-0005-0000-0000-00002FA60000}"/>
    <cellStyle name="Normal 11 3 3 2 4 3 2 4" xfId="43172" xr:uid="{00000000-0005-0000-0000-000030A60000}"/>
    <cellStyle name="Normal 11 3 3 2 4 3 3" xfId="43173" xr:uid="{00000000-0005-0000-0000-000031A60000}"/>
    <cellStyle name="Normal 11 3 3 2 4 3 3 2" xfId="43174" xr:uid="{00000000-0005-0000-0000-000032A60000}"/>
    <cellStyle name="Normal 11 3 3 2 4 3 3 2 2" xfId="43175" xr:uid="{00000000-0005-0000-0000-000033A60000}"/>
    <cellStyle name="Normal 11 3 3 2 4 3 3 3" xfId="43176" xr:uid="{00000000-0005-0000-0000-000034A60000}"/>
    <cellStyle name="Normal 11 3 3 2 4 3 4" xfId="43177" xr:uid="{00000000-0005-0000-0000-000035A60000}"/>
    <cellStyle name="Normal 11 3 3 2 4 3 4 2" xfId="43178" xr:uid="{00000000-0005-0000-0000-000036A60000}"/>
    <cellStyle name="Normal 11 3 3 2 4 3 5" xfId="43179" xr:uid="{00000000-0005-0000-0000-000037A60000}"/>
    <cellStyle name="Normal 11 3 3 2 4 4" xfId="43180" xr:uid="{00000000-0005-0000-0000-000038A60000}"/>
    <cellStyle name="Normal 11 3 3 2 4 4 2" xfId="43181" xr:uid="{00000000-0005-0000-0000-000039A60000}"/>
    <cellStyle name="Normal 11 3 3 2 4 4 2 2" xfId="43182" xr:uid="{00000000-0005-0000-0000-00003AA60000}"/>
    <cellStyle name="Normal 11 3 3 2 4 4 2 2 2" xfId="43183" xr:uid="{00000000-0005-0000-0000-00003BA60000}"/>
    <cellStyle name="Normal 11 3 3 2 4 4 2 2 2 2" xfId="43184" xr:uid="{00000000-0005-0000-0000-00003CA60000}"/>
    <cellStyle name="Normal 11 3 3 2 4 4 2 2 3" xfId="43185" xr:uid="{00000000-0005-0000-0000-00003DA60000}"/>
    <cellStyle name="Normal 11 3 3 2 4 4 2 3" xfId="43186" xr:uid="{00000000-0005-0000-0000-00003EA60000}"/>
    <cellStyle name="Normal 11 3 3 2 4 4 2 3 2" xfId="43187" xr:uid="{00000000-0005-0000-0000-00003FA60000}"/>
    <cellStyle name="Normal 11 3 3 2 4 4 2 4" xfId="43188" xr:uid="{00000000-0005-0000-0000-000040A60000}"/>
    <cellStyle name="Normal 11 3 3 2 4 4 3" xfId="43189" xr:uid="{00000000-0005-0000-0000-000041A60000}"/>
    <cellStyle name="Normal 11 3 3 2 4 4 3 2" xfId="43190" xr:uid="{00000000-0005-0000-0000-000042A60000}"/>
    <cellStyle name="Normal 11 3 3 2 4 4 3 2 2" xfId="43191" xr:uid="{00000000-0005-0000-0000-000043A60000}"/>
    <cellStyle name="Normal 11 3 3 2 4 4 3 3" xfId="43192" xr:uid="{00000000-0005-0000-0000-000044A60000}"/>
    <cellStyle name="Normal 11 3 3 2 4 4 4" xfId="43193" xr:uid="{00000000-0005-0000-0000-000045A60000}"/>
    <cellStyle name="Normal 11 3 3 2 4 4 4 2" xfId="43194" xr:uid="{00000000-0005-0000-0000-000046A60000}"/>
    <cellStyle name="Normal 11 3 3 2 4 4 5" xfId="43195" xr:uid="{00000000-0005-0000-0000-000047A60000}"/>
    <cellStyle name="Normal 11 3 3 2 4 5" xfId="43196" xr:uid="{00000000-0005-0000-0000-000048A60000}"/>
    <cellStyle name="Normal 11 3 3 2 4 5 2" xfId="43197" xr:uid="{00000000-0005-0000-0000-000049A60000}"/>
    <cellStyle name="Normal 11 3 3 2 4 5 2 2" xfId="43198" xr:uid="{00000000-0005-0000-0000-00004AA60000}"/>
    <cellStyle name="Normal 11 3 3 2 4 5 2 2 2" xfId="43199" xr:uid="{00000000-0005-0000-0000-00004BA60000}"/>
    <cellStyle name="Normal 11 3 3 2 4 5 2 3" xfId="43200" xr:uid="{00000000-0005-0000-0000-00004CA60000}"/>
    <cellStyle name="Normal 11 3 3 2 4 5 3" xfId="43201" xr:uid="{00000000-0005-0000-0000-00004DA60000}"/>
    <cellStyle name="Normal 11 3 3 2 4 5 3 2" xfId="43202" xr:uid="{00000000-0005-0000-0000-00004EA60000}"/>
    <cellStyle name="Normal 11 3 3 2 4 5 4" xfId="43203" xr:uid="{00000000-0005-0000-0000-00004FA60000}"/>
    <cellStyle name="Normal 11 3 3 2 4 6" xfId="43204" xr:uid="{00000000-0005-0000-0000-000050A60000}"/>
    <cellStyle name="Normal 11 3 3 2 4 6 2" xfId="43205" xr:uid="{00000000-0005-0000-0000-000051A60000}"/>
    <cellStyle name="Normal 11 3 3 2 4 6 2 2" xfId="43206" xr:uid="{00000000-0005-0000-0000-000052A60000}"/>
    <cellStyle name="Normal 11 3 3 2 4 6 2 2 2" xfId="43207" xr:uid="{00000000-0005-0000-0000-000053A60000}"/>
    <cellStyle name="Normal 11 3 3 2 4 6 2 3" xfId="43208" xr:uid="{00000000-0005-0000-0000-000054A60000}"/>
    <cellStyle name="Normal 11 3 3 2 4 6 3" xfId="43209" xr:uid="{00000000-0005-0000-0000-000055A60000}"/>
    <cellStyle name="Normal 11 3 3 2 4 6 3 2" xfId="43210" xr:uid="{00000000-0005-0000-0000-000056A60000}"/>
    <cellStyle name="Normal 11 3 3 2 4 6 4" xfId="43211" xr:uid="{00000000-0005-0000-0000-000057A60000}"/>
    <cellStyle name="Normal 11 3 3 2 4 7" xfId="43212" xr:uid="{00000000-0005-0000-0000-000058A60000}"/>
    <cellStyle name="Normal 11 3 3 2 4 7 2" xfId="43213" xr:uid="{00000000-0005-0000-0000-000059A60000}"/>
    <cellStyle name="Normal 11 3 3 2 4 7 2 2" xfId="43214" xr:uid="{00000000-0005-0000-0000-00005AA60000}"/>
    <cellStyle name="Normal 11 3 3 2 4 7 2 2 2" xfId="43215" xr:uid="{00000000-0005-0000-0000-00005BA60000}"/>
    <cellStyle name="Normal 11 3 3 2 4 7 2 3" xfId="43216" xr:uid="{00000000-0005-0000-0000-00005CA60000}"/>
    <cellStyle name="Normal 11 3 3 2 4 7 3" xfId="43217" xr:uid="{00000000-0005-0000-0000-00005DA60000}"/>
    <cellStyle name="Normal 11 3 3 2 4 7 3 2" xfId="43218" xr:uid="{00000000-0005-0000-0000-00005EA60000}"/>
    <cellStyle name="Normal 11 3 3 2 4 7 4" xfId="43219" xr:uid="{00000000-0005-0000-0000-00005FA60000}"/>
    <cellStyle name="Normal 11 3 3 2 4 8" xfId="43220" xr:uid="{00000000-0005-0000-0000-000060A60000}"/>
    <cellStyle name="Normal 11 3 3 2 4 8 2" xfId="43221" xr:uid="{00000000-0005-0000-0000-000061A60000}"/>
    <cellStyle name="Normal 11 3 3 2 4 8 2 2" xfId="43222" xr:uid="{00000000-0005-0000-0000-000062A60000}"/>
    <cellStyle name="Normal 11 3 3 2 4 8 3" xfId="43223" xr:uid="{00000000-0005-0000-0000-000063A60000}"/>
    <cellStyle name="Normal 11 3 3 2 4 9" xfId="43224" xr:uid="{00000000-0005-0000-0000-000064A60000}"/>
    <cellStyle name="Normal 11 3 3 2 4 9 2" xfId="43225" xr:uid="{00000000-0005-0000-0000-000065A60000}"/>
    <cellStyle name="Normal 11 3 3 2 5" xfId="1465" xr:uid="{00000000-0005-0000-0000-000066A60000}"/>
    <cellStyle name="Normal 11 3 3 2 5 2" xfId="43227" xr:uid="{00000000-0005-0000-0000-000067A60000}"/>
    <cellStyle name="Normal 11 3 3 2 5 2 2" xfId="43228" xr:uid="{00000000-0005-0000-0000-000068A60000}"/>
    <cellStyle name="Normal 11 3 3 2 5 2 2 2" xfId="43229" xr:uid="{00000000-0005-0000-0000-000069A60000}"/>
    <cellStyle name="Normal 11 3 3 2 5 2 2 2 2" xfId="43230" xr:uid="{00000000-0005-0000-0000-00006AA60000}"/>
    <cellStyle name="Normal 11 3 3 2 5 2 2 3" xfId="43231" xr:uid="{00000000-0005-0000-0000-00006BA60000}"/>
    <cellStyle name="Normal 11 3 3 2 5 2 3" xfId="43232" xr:uid="{00000000-0005-0000-0000-00006CA60000}"/>
    <cellStyle name="Normal 11 3 3 2 5 2 3 2" xfId="43233" xr:uid="{00000000-0005-0000-0000-00006DA60000}"/>
    <cellStyle name="Normal 11 3 3 2 5 2 4" xfId="43234" xr:uid="{00000000-0005-0000-0000-00006EA60000}"/>
    <cellStyle name="Normal 11 3 3 2 5 3" xfId="43235" xr:uid="{00000000-0005-0000-0000-00006FA60000}"/>
    <cellStyle name="Normal 11 3 3 2 5 3 2" xfId="43236" xr:uid="{00000000-0005-0000-0000-000070A60000}"/>
    <cellStyle name="Normal 11 3 3 2 5 3 2 2" xfId="43237" xr:uid="{00000000-0005-0000-0000-000071A60000}"/>
    <cellStyle name="Normal 11 3 3 2 5 3 2 2 2" xfId="43238" xr:uid="{00000000-0005-0000-0000-000072A60000}"/>
    <cellStyle name="Normal 11 3 3 2 5 3 2 3" xfId="43239" xr:uid="{00000000-0005-0000-0000-000073A60000}"/>
    <cellStyle name="Normal 11 3 3 2 5 3 3" xfId="43240" xr:uid="{00000000-0005-0000-0000-000074A60000}"/>
    <cellStyle name="Normal 11 3 3 2 5 3 3 2" xfId="43241" xr:uid="{00000000-0005-0000-0000-000075A60000}"/>
    <cellStyle name="Normal 11 3 3 2 5 3 4" xfId="43242" xr:uid="{00000000-0005-0000-0000-000076A60000}"/>
    <cellStyle name="Normal 11 3 3 2 5 4" xfId="43243" xr:uid="{00000000-0005-0000-0000-000077A60000}"/>
    <cellStyle name="Normal 11 3 3 2 5 4 2" xfId="43244" xr:uid="{00000000-0005-0000-0000-000078A60000}"/>
    <cellStyle name="Normal 11 3 3 2 5 4 2 2" xfId="43245" xr:uid="{00000000-0005-0000-0000-000079A60000}"/>
    <cellStyle name="Normal 11 3 3 2 5 4 3" xfId="43246" xr:uid="{00000000-0005-0000-0000-00007AA60000}"/>
    <cellStyle name="Normal 11 3 3 2 5 5" xfId="43247" xr:uid="{00000000-0005-0000-0000-00007BA60000}"/>
    <cellStyle name="Normal 11 3 3 2 5 5 2" xfId="43248" xr:uid="{00000000-0005-0000-0000-00007CA60000}"/>
    <cellStyle name="Normal 11 3 3 2 5 6" xfId="43249" xr:uid="{00000000-0005-0000-0000-00007DA60000}"/>
    <cellStyle name="Normal 11 3 3 2 5 7" xfId="43226" xr:uid="{00000000-0005-0000-0000-00007EA60000}"/>
    <cellStyle name="Normal 11 3 3 2 6" xfId="43250" xr:uid="{00000000-0005-0000-0000-00007FA60000}"/>
    <cellStyle name="Normal 11 3 3 2 6 2" xfId="43251" xr:uid="{00000000-0005-0000-0000-000080A60000}"/>
    <cellStyle name="Normal 11 3 3 2 6 2 2" xfId="43252" xr:uid="{00000000-0005-0000-0000-000081A60000}"/>
    <cellStyle name="Normal 11 3 3 2 6 2 2 2" xfId="43253" xr:uid="{00000000-0005-0000-0000-000082A60000}"/>
    <cellStyle name="Normal 11 3 3 2 6 2 2 2 2" xfId="43254" xr:uid="{00000000-0005-0000-0000-000083A60000}"/>
    <cellStyle name="Normal 11 3 3 2 6 2 2 3" xfId="43255" xr:uid="{00000000-0005-0000-0000-000084A60000}"/>
    <cellStyle name="Normal 11 3 3 2 6 2 3" xfId="43256" xr:uid="{00000000-0005-0000-0000-000085A60000}"/>
    <cellStyle name="Normal 11 3 3 2 6 2 3 2" xfId="43257" xr:uid="{00000000-0005-0000-0000-000086A60000}"/>
    <cellStyle name="Normal 11 3 3 2 6 2 4" xfId="43258" xr:uid="{00000000-0005-0000-0000-000087A60000}"/>
    <cellStyle name="Normal 11 3 3 2 6 3" xfId="43259" xr:uid="{00000000-0005-0000-0000-000088A60000}"/>
    <cellStyle name="Normal 11 3 3 2 6 3 2" xfId="43260" xr:uid="{00000000-0005-0000-0000-000089A60000}"/>
    <cellStyle name="Normal 11 3 3 2 6 3 2 2" xfId="43261" xr:uid="{00000000-0005-0000-0000-00008AA60000}"/>
    <cellStyle name="Normal 11 3 3 2 6 3 3" xfId="43262" xr:uid="{00000000-0005-0000-0000-00008BA60000}"/>
    <cellStyle name="Normal 11 3 3 2 6 4" xfId="43263" xr:uid="{00000000-0005-0000-0000-00008CA60000}"/>
    <cellStyle name="Normal 11 3 3 2 6 4 2" xfId="43264" xr:uid="{00000000-0005-0000-0000-00008DA60000}"/>
    <cellStyle name="Normal 11 3 3 2 6 5" xfId="43265" xr:uid="{00000000-0005-0000-0000-00008EA60000}"/>
    <cellStyle name="Normal 11 3 3 2 7" xfId="43266" xr:uid="{00000000-0005-0000-0000-00008FA60000}"/>
    <cellStyle name="Normal 11 3 3 2 7 2" xfId="43267" xr:uid="{00000000-0005-0000-0000-000090A60000}"/>
    <cellStyle name="Normal 11 3 3 2 7 2 2" xfId="43268" xr:uid="{00000000-0005-0000-0000-000091A60000}"/>
    <cellStyle name="Normal 11 3 3 2 7 2 2 2" xfId="43269" xr:uid="{00000000-0005-0000-0000-000092A60000}"/>
    <cellStyle name="Normal 11 3 3 2 7 2 2 2 2" xfId="43270" xr:uid="{00000000-0005-0000-0000-000093A60000}"/>
    <cellStyle name="Normal 11 3 3 2 7 2 2 3" xfId="43271" xr:uid="{00000000-0005-0000-0000-000094A60000}"/>
    <cellStyle name="Normal 11 3 3 2 7 2 3" xfId="43272" xr:uid="{00000000-0005-0000-0000-000095A60000}"/>
    <cellStyle name="Normal 11 3 3 2 7 2 3 2" xfId="43273" xr:uid="{00000000-0005-0000-0000-000096A60000}"/>
    <cellStyle name="Normal 11 3 3 2 7 2 4" xfId="43274" xr:uid="{00000000-0005-0000-0000-000097A60000}"/>
    <cellStyle name="Normal 11 3 3 2 7 3" xfId="43275" xr:uid="{00000000-0005-0000-0000-000098A60000}"/>
    <cellStyle name="Normal 11 3 3 2 7 3 2" xfId="43276" xr:uid="{00000000-0005-0000-0000-000099A60000}"/>
    <cellStyle name="Normal 11 3 3 2 7 3 2 2" xfId="43277" xr:uid="{00000000-0005-0000-0000-00009AA60000}"/>
    <cellStyle name="Normal 11 3 3 2 7 3 3" xfId="43278" xr:uid="{00000000-0005-0000-0000-00009BA60000}"/>
    <cellStyle name="Normal 11 3 3 2 7 4" xfId="43279" xr:uid="{00000000-0005-0000-0000-00009CA60000}"/>
    <cellStyle name="Normal 11 3 3 2 7 4 2" xfId="43280" xr:uid="{00000000-0005-0000-0000-00009DA60000}"/>
    <cellStyle name="Normal 11 3 3 2 7 5" xfId="43281" xr:uid="{00000000-0005-0000-0000-00009EA60000}"/>
    <cellStyle name="Normal 11 3 3 2 8" xfId="43282" xr:uid="{00000000-0005-0000-0000-00009FA60000}"/>
    <cellStyle name="Normal 11 3 3 2 8 2" xfId="43283" xr:uid="{00000000-0005-0000-0000-0000A0A60000}"/>
    <cellStyle name="Normal 11 3 3 2 8 2 2" xfId="43284" xr:uid="{00000000-0005-0000-0000-0000A1A60000}"/>
    <cellStyle name="Normal 11 3 3 2 8 2 2 2" xfId="43285" xr:uid="{00000000-0005-0000-0000-0000A2A60000}"/>
    <cellStyle name="Normal 11 3 3 2 8 2 3" xfId="43286" xr:uid="{00000000-0005-0000-0000-0000A3A60000}"/>
    <cellStyle name="Normal 11 3 3 2 8 3" xfId="43287" xr:uid="{00000000-0005-0000-0000-0000A4A60000}"/>
    <cellStyle name="Normal 11 3 3 2 8 3 2" xfId="43288" xr:uid="{00000000-0005-0000-0000-0000A5A60000}"/>
    <cellStyle name="Normal 11 3 3 2 8 4" xfId="43289" xr:uid="{00000000-0005-0000-0000-0000A6A60000}"/>
    <cellStyle name="Normal 11 3 3 2 9" xfId="43290" xr:uid="{00000000-0005-0000-0000-0000A7A60000}"/>
    <cellStyle name="Normal 11 3 3 2 9 2" xfId="43291" xr:uid="{00000000-0005-0000-0000-0000A8A60000}"/>
    <cellStyle name="Normal 11 3 3 2 9 2 2" xfId="43292" xr:uid="{00000000-0005-0000-0000-0000A9A60000}"/>
    <cellStyle name="Normal 11 3 3 2 9 2 2 2" xfId="43293" xr:uid="{00000000-0005-0000-0000-0000AAA60000}"/>
    <cellStyle name="Normal 11 3 3 2 9 2 3" xfId="43294" xr:uid="{00000000-0005-0000-0000-0000ABA60000}"/>
    <cellStyle name="Normal 11 3 3 2 9 3" xfId="43295" xr:uid="{00000000-0005-0000-0000-0000ACA60000}"/>
    <cellStyle name="Normal 11 3 3 2 9 3 2" xfId="43296" xr:uid="{00000000-0005-0000-0000-0000ADA60000}"/>
    <cellStyle name="Normal 11 3 3 2 9 4" xfId="43297" xr:uid="{00000000-0005-0000-0000-0000AEA60000}"/>
    <cellStyle name="Normal 11 3 3 3" xfId="624" xr:uid="{00000000-0005-0000-0000-0000AFA60000}"/>
    <cellStyle name="Normal 11 3 3 3 10" xfId="43299" xr:uid="{00000000-0005-0000-0000-0000B0A60000}"/>
    <cellStyle name="Normal 11 3 3 3 10 2" xfId="43300" xr:uid="{00000000-0005-0000-0000-0000B1A60000}"/>
    <cellStyle name="Normal 11 3 3 3 10 2 2" xfId="43301" xr:uid="{00000000-0005-0000-0000-0000B2A60000}"/>
    <cellStyle name="Normal 11 3 3 3 10 3" xfId="43302" xr:uid="{00000000-0005-0000-0000-0000B3A60000}"/>
    <cellStyle name="Normal 11 3 3 3 11" xfId="43303" xr:uid="{00000000-0005-0000-0000-0000B4A60000}"/>
    <cellStyle name="Normal 11 3 3 3 11 2" xfId="43304" xr:uid="{00000000-0005-0000-0000-0000B5A60000}"/>
    <cellStyle name="Normal 11 3 3 3 11 2 2" xfId="43305" xr:uid="{00000000-0005-0000-0000-0000B6A60000}"/>
    <cellStyle name="Normal 11 3 3 3 11 3" xfId="43306" xr:uid="{00000000-0005-0000-0000-0000B7A60000}"/>
    <cellStyle name="Normal 11 3 3 3 12" xfId="43307" xr:uid="{00000000-0005-0000-0000-0000B8A60000}"/>
    <cellStyle name="Normal 11 3 3 3 12 2" xfId="43308" xr:uid="{00000000-0005-0000-0000-0000B9A60000}"/>
    <cellStyle name="Normal 11 3 3 3 13" xfId="43309" xr:uid="{00000000-0005-0000-0000-0000BAA60000}"/>
    <cellStyle name="Normal 11 3 3 3 14" xfId="43310" xr:uid="{00000000-0005-0000-0000-0000BBA60000}"/>
    <cellStyle name="Normal 11 3 3 3 15" xfId="43298" xr:uid="{00000000-0005-0000-0000-0000BCA60000}"/>
    <cellStyle name="Normal 11 3 3 3 2" xfId="1066" xr:uid="{00000000-0005-0000-0000-0000BDA60000}"/>
    <cellStyle name="Normal 11 3 3 3 2 10" xfId="43312" xr:uid="{00000000-0005-0000-0000-0000BEA60000}"/>
    <cellStyle name="Normal 11 3 3 3 2 11" xfId="43311" xr:uid="{00000000-0005-0000-0000-0000BFA60000}"/>
    <cellStyle name="Normal 11 3 3 3 2 2" xfId="1795" xr:uid="{00000000-0005-0000-0000-0000C0A60000}"/>
    <cellStyle name="Normal 11 3 3 3 2 2 2" xfId="43314" xr:uid="{00000000-0005-0000-0000-0000C1A60000}"/>
    <cellStyle name="Normal 11 3 3 3 2 2 2 2" xfId="43315" xr:uid="{00000000-0005-0000-0000-0000C2A60000}"/>
    <cellStyle name="Normal 11 3 3 3 2 2 2 2 2" xfId="43316" xr:uid="{00000000-0005-0000-0000-0000C3A60000}"/>
    <cellStyle name="Normal 11 3 3 3 2 2 2 2 2 2" xfId="43317" xr:uid="{00000000-0005-0000-0000-0000C4A60000}"/>
    <cellStyle name="Normal 11 3 3 3 2 2 2 2 3" xfId="43318" xr:uid="{00000000-0005-0000-0000-0000C5A60000}"/>
    <cellStyle name="Normal 11 3 3 3 2 2 2 3" xfId="43319" xr:uid="{00000000-0005-0000-0000-0000C6A60000}"/>
    <cellStyle name="Normal 11 3 3 3 2 2 2 3 2" xfId="43320" xr:uid="{00000000-0005-0000-0000-0000C7A60000}"/>
    <cellStyle name="Normal 11 3 3 3 2 2 2 4" xfId="43321" xr:uid="{00000000-0005-0000-0000-0000C8A60000}"/>
    <cellStyle name="Normal 11 3 3 3 2 2 3" xfId="43322" xr:uid="{00000000-0005-0000-0000-0000C9A60000}"/>
    <cellStyle name="Normal 11 3 3 3 2 2 3 2" xfId="43323" xr:uid="{00000000-0005-0000-0000-0000CAA60000}"/>
    <cellStyle name="Normal 11 3 3 3 2 2 3 2 2" xfId="43324" xr:uid="{00000000-0005-0000-0000-0000CBA60000}"/>
    <cellStyle name="Normal 11 3 3 3 2 2 3 2 2 2" xfId="43325" xr:uid="{00000000-0005-0000-0000-0000CCA60000}"/>
    <cellStyle name="Normal 11 3 3 3 2 2 3 2 3" xfId="43326" xr:uid="{00000000-0005-0000-0000-0000CDA60000}"/>
    <cellStyle name="Normal 11 3 3 3 2 2 3 3" xfId="43327" xr:uid="{00000000-0005-0000-0000-0000CEA60000}"/>
    <cellStyle name="Normal 11 3 3 3 2 2 3 3 2" xfId="43328" xr:uid="{00000000-0005-0000-0000-0000CFA60000}"/>
    <cellStyle name="Normal 11 3 3 3 2 2 3 4" xfId="43329" xr:uid="{00000000-0005-0000-0000-0000D0A60000}"/>
    <cellStyle name="Normal 11 3 3 3 2 2 4" xfId="43330" xr:uid="{00000000-0005-0000-0000-0000D1A60000}"/>
    <cellStyle name="Normal 11 3 3 3 2 2 4 2" xfId="43331" xr:uid="{00000000-0005-0000-0000-0000D2A60000}"/>
    <cellStyle name="Normal 11 3 3 3 2 2 4 2 2" xfId="43332" xr:uid="{00000000-0005-0000-0000-0000D3A60000}"/>
    <cellStyle name="Normal 11 3 3 3 2 2 4 3" xfId="43333" xr:uid="{00000000-0005-0000-0000-0000D4A60000}"/>
    <cellStyle name="Normal 11 3 3 3 2 2 5" xfId="43334" xr:uid="{00000000-0005-0000-0000-0000D5A60000}"/>
    <cellStyle name="Normal 11 3 3 3 2 2 5 2" xfId="43335" xr:uid="{00000000-0005-0000-0000-0000D6A60000}"/>
    <cellStyle name="Normal 11 3 3 3 2 2 6" xfId="43336" xr:uid="{00000000-0005-0000-0000-0000D7A60000}"/>
    <cellStyle name="Normal 11 3 3 3 2 2 7" xfId="43313" xr:uid="{00000000-0005-0000-0000-0000D8A60000}"/>
    <cellStyle name="Normal 11 3 3 3 2 3" xfId="43337" xr:uid="{00000000-0005-0000-0000-0000D9A60000}"/>
    <cellStyle name="Normal 11 3 3 3 2 3 2" xfId="43338" xr:uid="{00000000-0005-0000-0000-0000DAA60000}"/>
    <cellStyle name="Normal 11 3 3 3 2 3 2 2" xfId="43339" xr:uid="{00000000-0005-0000-0000-0000DBA60000}"/>
    <cellStyle name="Normal 11 3 3 3 2 3 2 2 2" xfId="43340" xr:uid="{00000000-0005-0000-0000-0000DCA60000}"/>
    <cellStyle name="Normal 11 3 3 3 2 3 2 2 2 2" xfId="43341" xr:uid="{00000000-0005-0000-0000-0000DDA60000}"/>
    <cellStyle name="Normal 11 3 3 3 2 3 2 2 3" xfId="43342" xr:uid="{00000000-0005-0000-0000-0000DEA60000}"/>
    <cellStyle name="Normal 11 3 3 3 2 3 2 3" xfId="43343" xr:uid="{00000000-0005-0000-0000-0000DFA60000}"/>
    <cellStyle name="Normal 11 3 3 3 2 3 2 3 2" xfId="43344" xr:uid="{00000000-0005-0000-0000-0000E0A60000}"/>
    <cellStyle name="Normal 11 3 3 3 2 3 2 4" xfId="43345" xr:uid="{00000000-0005-0000-0000-0000E1A60000}"/>
    <cellStyle name="Normal 11 3 3 3 2 3 3" xfId="43346" xr:uid="{00000000-0005-0000-0000-0000E2A60000}"/>
    <cellStyle name="Normal 11 3 3 3 2 3 3 2" xfId="43347" xr:uid="{00000000-0005-0000-0000-0000E3A60000}"/>
    <cellStyle name="Normal 11 3 3 3 2 3 3 2 2" xfId="43348" xr:uid="{00000000-0005-0000-0000-0000E4A60000}"/>
    <cellStyle name="Normal 11 3 3 3 2 3 3 3" xfId="43349" xr:uid="{00000000-0005-0000-0000-0000E5A60000}"/>
    <cellStyle name="Normal 11 3 3 3 2 3 4" xfId="43350" xr:uid="{00000000-0005-0000-0000-0000E6A60000}"/>
    <cellStyle name="Normal 11 3 3 3 2 3 4 2" xfId="43351" xr:uid="{00000000-0005-0000-0000-0000E7A60000}"/>
    <cellStyle name="Normal 11 3 3 3 2 3 5" xfId="43352" xr:uid="{00000000-0005-0000-0000-0000E8A60000}"/>
    <cellStyle name="Normal 11 3 3 3 2 4" xfId="43353" xr:uid="{00000000-0005-0000-0000-0000E9A60000}"/>
    <cellStyle name="Normal 11 3 3 3 2 4 2" xfId="43354" xr:uid="{00000000-0005-0000-0000-0000EAA60000}"/>
    <cellStyle name="Normal 11 3 3 3 2 4 2 2" xfId="43355" xr:uid="{00000000-0005-0000-0000-0000EBA60000}"/>
    <cellStyle name="Normal 11 3 3 3 2 4 2 2 2" xfId="43356" xr:uid="{00000000-0005-0000-0000-0000ECA60000}"/>
    <cellStyle name="Normal 11 3 3 3 2 4 2 2 2 2" xfId="43357" xr:uid="{00000000-0005-0000-0000-0000EDA60000}"/>
    <cellStyle name="Normal 11 3 3 3 2 4 2 2 3" xfId="43358" xr:uid="{00000000-0005-0000-0000-0000EEA60000}"/>
    <cellStyle name="Normal 11 3 3 3 2 4 2 3" xfId="43359" xr:uid="{00000000-0005-0000-0000-0000EFA60000}"/>
    <cellStyle name="Normal 11 3 3 3 2 4 2 3 2" xfId="43360" xr:uid="{00000000-0005-0000-0000-0000F0A60000}"/>
    <cellStyle name="Normal 11 3 3 3 2 4 2 4" xfId="43361" xr:uid="{00000000-0005-0000-0000-0000F1A60000}"/>
    <cellStyle name="Normal 11 3 3 3 2 4 3" xfId="43362" xr:uid="{00000000-0005-0000-0000-0000F2A60000}"/>
    <cellStyle name="Normal 11 3 3 3 2 4 3 2" xfId="43363" xr:uid="{00000000-0005-0000-0000-0000F3A60000}"/>
    <cellStyle name="Normal 11 3 3 3 2 4 3 2 2" xfId="43364" xr:uid="{00000000-0005-0000-0000-0000F4A60000}"/>
    <cellStyle name="Normal 11 3 3 3 2 4 3 3" xfId="43365" xr:uid="{00000000-0005-0000-0000-0000F5A60000}"/>
    <cellStyle name="Normal 11 3 3 3 2 4 4" xfId="43366" xr:uid="{00000000-0005-0000-0000-0000F6A60000}"/>
    <cellStyle name="Normal 11 3 3 3 2 4 4 2" xfId="43367" xr:uid="{00000000-0005-0000-0000-0000F7A60000}"/>
    <cellStyle name="Normal 11 3 3 3 2 4 5" xfId="43368" xr:uid="{00000000-0005-0000-0000-0000F8A60000}"/>
    <cellStyle name="Normal 11 3 3 3 2 5" xfId="43369" xr:uid="{00000000-0005-0000-0000-0000F9A60000}"/>
    <cellStyle name="Normal 11 3 3 3 2 5 2" xfId="43370" xr:uid="{00000000-0005-0000-0000-0000FAA60000}"/>
    <cellStyle name="Normal 11 3 3 3 2 5 2 2" xfId="43371" xr:uid="{00000000-0005-0000-0000-0000FBA60000}"/>
    <cellStyle name="Normal 11 3 3 3 2 5 2 2 2" xfId="43372" xr:uid="{00000000-0005-0000-0000-0000FCA60000}"/>
    <cellStyle name="Normal 11 3 3 3 2 5 2 3" xfId="43373" xr:uid="{00000000-0005-0000-0000-0000FDA60000}"/>
    <cellStyle name="Normal 11 3 3 3 2 5 3" xfId="43374" xr:uid="{00000000-0005-0000-0000-0000FEA60000}"/>
    <cellStyle name="Normal 11 3 3 3 2 5 3 2" xfId="43375" xr:uid="{00000000-0005-0000-0000-0000FFA60000}"/>
    <cellStyle name="Normal 11 3 3 3 2 5 4" xfId="43376" xr:uid="{00000000-0005-0000-0000-000000A70000}"/>
    <cellStyle name="Normal 11 3 3 3 2 6" xfId="43377" xr:uid="{00000000-0005-0000-0000-000001A70000}"/>
    <cellStyle name="Normal 11 3 3 3 2 6 2" xfId="43378" xr:uid="{00000000-0005-0000-0000-000002A70000}"/>
    <cellStyle name="Normal 11 3 3 3 2 6 2 2" xfId="43379" xr:uid="{00000000-0005-0000-0000-000003A70000}"/>
    <cellStyle name="Normal 11 3 3 3 2 6 2 2 2" xfId="43380" xr:uid="{00000000-0005-0000-0000-000004A70000}"/>
    <cellStyle name="Normal 11 3 3 3 2 6 2 3" xfId="43381" xr:uid="{00000000-0005-0000-0000-000005A70000}"/>
    <cellStyle name="Normal 11 3 3 3 2 6 3" xfId="43382" xr:uid="{00000000-0005-0000-0000-000006A70000}"/>
    <cellStyle name="Normal 11 3 3 3 2 6 3 2" xfId="43383" xr:uid="{00000000-0005-0000-0000-000007A70000}"/>
    <cellStyle name="Normal 11 3 3 3 2 6 4" xfId="43384" xr:uid="{00000000-0005-0000-0000-000008A70000}"/>
    <cellStyle name="Normal 11 3 3 3 2 7" xfId="43385" xr:uid="{00000000-0005-0000-0000-000009A70000}"/>
    <cellStyle name="Normal 11 3 3 3 2 7 2" xfId="43386" xr:uid="{00000000-0005-0000-0000-00000AA70000}"/>
    <cellStyle name="Normal 11 3 3 3 2 7 2 2" xfId="43387" xr:uid="{00000000-0005-0000-0000-00000BA70000}"/>
    <cellStyle name="Normal 11 3 3 3 2 7 2 2 2" xfId="43388" xr:uid="{00000000-0005-0000-0000-00000CA70000}"/>
    <cellStyle name="Normal 11 3 3 3 2 7 2 3" xfId="43389" xr:uid="{00000000-0005-0000-0000-00000DA70000}"/>
    <cellStyle name="Normal 11 3 3 3 2 7 3" xfId="43390" xr:uid="{00000000-0005-0000-0000-00000EA70000}"/>
    <cellStyle name="Normal 11 3 3 3 2 7 3 2" xfId="43391" xr:uid="{00000000-0005-0000-0000-00000FA70000}"/>
    <cellStyle name="Normal 11 3 3 3 2 7 4" xfId="43392" xr:uid="{00000000-0005-0000-0000-000010A70000}"/>
    <cellStyle name="Normal 11 3 3 3 2 8" xfId="43393" xr:uid="{00000000-0005-0000-0000-000011A70000}"/>
    <cellStyle name="Normal 11 3 3 3 2 8 2" xfId="43394" xr:uid="{00000000-0005-0000-0000-000012A70000}"/>
    <cellStyle name="Normal 11 3 3 3 2 8 2 2" xfId="43395" xr:uid="{00000000-0005-0000-0000-000013A70000}"/>
    <cellStyle name="Normal 11 3 3 3 2 8 3" xfId="43396" xr:uid="{00000000-0005-0000-0000-000014A70000}"/>
    <cellStyle name="Normal 11 3 3 3 2 9" xfId="43397" xr:uid="{00000000-0005-0000-0000-000015A70000}"/>
    <cellStyle name="Normal 11 3 3 3 2 9 2" xfId="43398" xr:uid="{00000000-0005-0000-0000-000016A70000}"/>
    <cellStyle name="Normal 11 3 3 3 3" xfId="1468" xr:uid="{00000000-0005-0000-0000-000017A70000}"/>
    <cellStyle name="Normal 11 3 3 3 3 2" xfId="43400" xr:uid="{00000000-0005-0000-0000-000018A70000}"/>
    <cellStyle name="Normal 11 3 3 3 3 2 2" xfId="43401" xr:uid="{00000000-0005-0000-0000-000019A70000}"/>
    <cellStyle name="Normal 11 3 3 3 3 2 2 2" xfId="43402" xr:uid="{00000000-0005-0000-0000-00001AA70000}"/>
    <cellStyle name="Normal 11 3 3 3 3 2 2 2 2" xfId="43403" xr:uid="{00000000-0005-0000-0000-00001BA70000}"/>
    <cellStyle name="Normal 11 3 3 3 3 2 2 3" xfId="43404" xr:uid="{00000000-0005-0000-0000-00001CA70000}"/>
    <cellStyle name="Normal 11 3 3 3 3 2 3" xfId="43405" xr:uid="{00000000-0005-0000-0000-00001DA70000}"/>
    <cellStyle name="Normal 11 3 3 3 3 2 3 2" xfId="43406" xr:uid="{00000000-0005-0000-0000-00001EA70000}"/>
    <cellStyle name="Normal 11 3 3 3 3 2 4" xfId="43407" xr:uid="{00000000-0005-0000-0000-00001FA70000}"/>
    <cellStyle name="Normal 11 3 3 3 3 3" xfId="43408" xr:uid="{00000000-0005-0000-0000-000020A70000}"/>
    <cellStyle name="Normal 11 3 3 3 3 3 2" xfId="43409" xr:uid="{00000000-0005-0000-0000-000021A70000}"/>
    <cellStyle name="Normal 11 3 3 3 3 3 2 2" xfId="43410" xr:uid="{00000000-0005-0000-0000-000022A70000}"/>
    <cellStyle name="Normal 11 3 3 3 3 3 2 2 2" xfId="43411" xr:uid="{00000000-0005-0000-0000-000023A70000}"/>
    <cellStyle name="Normal 11 3 3 3 3 3 2 3" xfId="43412" xr:uid="{00000000-0005-0000-0000-000024A70000}"/>
    <cellStyle name="Normal 11 3 3 3 3 3 3" xfId="43413" xr:uid="{00000000-0005-0000-0000-000025A70000}"/>
    <cellStyle name="Normal 11 3 3 3 3 3 3 2" xfId="43414" xr:uid="{00000000-0005-0000-0000-000026A70000}"/>
    <cellStyle name="Normal 11 3 3 3 3 3 4" xfId="43415" xr:uid="{00000000-0005-0000-0000-000027A70000}"/>
    <cellStyle name="Normal 11 3 3 3 3 4" xfId="43416" xr:uid="{00000000-0005-0000-0000-000028A70000}"/>
    <cellStyle name="Normal 11 3 3 3 3 4 2" xfId="43417" xr:uid="{00000000-0005-0000-0000-000029A70000}"/>
    <cellStyle name="Normal 11 3 3 3 3 4 2 2" xfId="43418" xr:uid="{00000000-0005-0000-0000-00002AA70000}"/>
    <cellStyle name="Normal 11 3 3 3 3 4 3" xfId="43419" xr:uid="{00000000-0005-0000-0000-00002BA70000}"/>
    <cellStyle name="Normal 11 3 3 3 3 5" xfId="43420" xr:uid="{00000000-0005-0000-0000-00002CA70000}"/>
    <cellStyle name="Normal 11 3 3 3 3 5 2" xfId="43421" xr:uid="{00000000-0005-0000-0000-00002DA70000}"/>
    <cellStyle name="Normal 11 3 3 3 3 6" xfId="43422" xr:uid="{00000000-0005-0000-0000-00002EA70000}"/>
    <cellStyle name="Normal 11 3 3 3 3 7" xfId="43399" xr:uid="{00000000-0005-0000-0000-00002FA70000}"/>
    <cellStyle name="Normal 11 3 3 3 4" xfId="43423" xr:uid="{00000000-0005-0000-0000-000030A70000}"/>
    <cellStyle name="Normal 11 3 3 3 4 2" xfId="43424" xr:uid="{00000000-0005-0000-0000-000031A70000}"/>
    <cellStyle name="Normal 11 3 3 3 4 2 2" xfId="43425" xr:uid="{00000000-0005-0000-0000-000032A70000}"/>
    <cellStyle name="Normal 11 3 3 3 4 2 2 2" xfId="43426" xr:uid="{00000000-0005-0000-0000-000033A70000}"/>
    <cellStyle name="Normal 11 3 3 3 4 2 2 2 2" xfId="43427" xr:uid="{00000000-0005-0000-0000-000034A70000}"/>
    <cellStyle name="Normal 11 3 3 3 4 2 2 3" xfId="43428" xr:uid="{00000000-0005-0000-0000-000035A70000}"/>
    <cellStyle name="Normal 11 3 3 3 4 2 3" xfId="43429" xr:uid="{00000000-0005-0000-0000-000036A70000}"/>
    <cellStyle name="Normal 11 3 3 3 4 2 3 2" xfId="43430" xr:uid="{00000000-0005-0000-0000-000037A70000}"/>
    <cellStyle name="Normal 11 3 3 3 4 2 4" xfId="43431" xr:uid="{00000000-0005-0000-0000-000038A70000}"/>
    <cellStyle name="Normal 11 3 3 3 4 3" xfId="43432" xr:uid="{00000000-0005-0000-0000-000039A70000}"/>
    <cellStyle name="Normal 11 3 3 3 4 3 2" xfId="43433" xr:uid="{00000000-0005-0000-0000-00003AA70000}"/>
    <cellStyle name="Normal 11 3 3 3 4 3 2 2" xfId="43434" xr:uid="{00000000-0005-0000-0000-00003BA70000}"/>
    <cellStyle name="Normal 11 3 3 3 4 3 3" xfId="43435" xr:uid="{00000000-0005-0000-0000-00003CA70000}"/>
    <cellStyle name="Normal 11 3 3 3 4 4" xfId="43436" xr:uid="{00000000-0005-0000-0000-00003DA70000}"/>
    <cellStyle name="Normal 11 3 3 3 4 4 2" xfId="43437" xr:uid="{00000000-0005-0000-0000-00003EA70000}"/>
    <cellStyle name="Normal 11 3 3 3 4 5" xfId="43438" xr:uid="{00000000-0005-0000-0000-00003FA70000}"/>
    <cellStyle name="Normal 11 3 3 3 5" xfId="43439" xr:uid="{00000000-0005-0000-0000-000040A70000}"/>
    <cellStyle name="Normal 11 3 3 3 5 2" xfId="43440" xr:uid="{00000000-0005-0000-0000-000041A70000}"/>
    <cellStyle name="Normal 11 3 3 3 5 2 2" xfId="43441" xr:uid="{00000000-0005-0000-0000-000042A70000}"/>
    <cellStyle name="Normal 11 3 3 3 5 2 2 2" xfId="43442" xr:uid="{00000000-0005-0000-0000-000043A70000}"/>
    <cellStyle name="Normal 11 3 3 3 5 2 2 2 2" xfId="43443" xr:uid="{00000000-0005-0000-0000-000044A70000}"/>
    <cellStyle name="Normal 11 3 3 3 5 2 2 3" xfId="43444" xr:uid="{00000000-0005-0000-0000-000045A70000}"/>
    <cellStyle name="Normal 11 3 3 3 5 2 3" xfId="43445" xr:uid="{00000000-0005-0000-0000-000046A70000}"/>
    <cellStyle name="Normal 11 3 3 3 5 2 3 2" xfId="43446" xr:uid="{00000000-0005-0000-0000-000047A70000}"/>
    <cellStyle name="Normal 11 3 3 3 5 2 4" xfId="43447" xr:uid="{00000000-0005-0000-0000-000048A70000}"/>
    <cellStyle name="Normal 11 3 3 3 5 3" xfId="43448" xr:uid="{00000000-0005-0000-0000-000049A70000}"/>
    <cellStyle name="Normal 11 3 3 3 5 3 2" xfId="43449" xr:uid="{00000000-0005-0000-0000-00004AA70000}"/>
    <cellStyle name="Normal 11 3 3 3 5 3 2 2" xfId="43450" xr:uid="{00000000-0005-0000-0000-00004BA70000}"/>
    <cellStyle name="Normal 11 3 3 3 5 3 3" xfId="43451" xr:uid="{00000000-0005-0000-0000-00004CA70000}"/>
    <cellStyle name="Normal 11 3 3 3 5 4" xfId="43452" xr:uid="{00000000-0005-0000-0000-00004DA70000}"/>
    <cellStyle name="Normal 11 3 3 3 5 4 2" xfId="43453" xr:uid="{00000000-0005-0000-0000-00004EA70000}"/>
    <cellStyle name="Normal 11 3 3 3 5 5" xfId="43454" xr:uid="{00000000-0005-0000-0000-00004FA70000}"/>
    <cellStyle name="Normal 11 3 3 3 6" xfId="43455" xr:uid="{00000000-0005-0000-0000-000050A70000}"/>
    <cellStyle name="Normal 11 3 3 3 6 2" xfId="43456" xr:uid="{00000000-0005-0000-0000-000051A70000}"/>
    <cellStyle name="Normal 11 3 3 3 6 2 2" xfId="43457" xr:uid="{00000000-0005-0000-0000-000052A70000}"/>
    <cellStyle name="Normal 11 3 3 3 6 2 2 2" xfId="43458" xr:uid="{00000000-0005-0000-0000-000053A70000}"/>
    <cellStyle name="Normal 11 3 3 3 6 2 3" xfId="43459" xr:uid="{00000000-0005-0000-0000-000054A70000}"/>
    <cellStyle name="Normal 11 3 3 3 6 3" xfId="43460" xr:uid="{00000000-0005-0000-0000-000055A70000}"/>
    <cellStyle name="Normal 11 3 3 3 6 3 2" xfId="43461" xr:uid="{00000000-0005-0000-0000-000056A70000}"/>
    <cellStyle name="Normal 11 3 3 3 6 4" xfId="43462" xr:uid="{00000000-0005-0000-0000-000057A70000}"/>
    <cellStyle name="Normal 11 3 3 3 7" xfId="43463" xr:uid="{00000000-0005-0000-0000-000058A70000}"/>
    <cellStyle name="Normal 11 3 3 3 7 2" xfId="43464" xr:uid="{00000000-0005-0000-0000-000059A70000}"/>
    <cellStyle name="Normal 11 3 3 3 7 2 2" xfId="43465" xr:uid="{00000000-0005-0000-0000-00005AA70000}"/>
    <cellStyle name="Normal 11 3 3 3 7 2 2 2" xfId="43466" xr:uid="{00000000-0005-0000-0000-00005BA70000}"/>
    <cellStyle name="Normal 11 3 3 3 7 2 3" xfId="43467" xr:uid="{00000000-0005-0000-0000-00005CA70000}"/>
    <cellStyle name="Normal 11 3 3 3 7 3" xfId="43468" xr:uid="{00000000-0005-0000-0000-00005DA70000}"/>
    <cellStyle name="Normal 11 3 3 3 7 3 2" xfId="43469" xr:uid="{00000000-0005-0000-0000-00005EA70000}"/>
    <cellStyle name="Normal 11 3 3 3 7 4" xfId="43470" xr:uid="{00000000-0005-0000-0000-00005FA70000}"/>
    <cellStyle name="Normal 11 3 3 3 8" xfId="43471" xr:uid="{00000000-0005-0000-0000-000060A70000}"/>
    <cellStyle name="Normal 11 3 3 3 8 2" xfId="43472" xr:uid="{00000000-0005-0000-0000-000061A70000}"/>
    <cellStyle name="Normal 11 3 3 3 8 2 2" xfId="43473" xr:uid="{00000000-0005-0000-0000-000062A70000}"/>
    <cellStyle name="Normal 11 3 3 3 8 2 2 2" xfId="43474" xr:uid="{00000000-0005-0000-0000-000063A70000}"/>
    <cellStyle name="Normal 11 3 3 3 8 2 3" xfId="43475" xr:uid="{00000000-0005-0000-0000-000064A70000}"/>
    <cellStyle name="Normal 11 3 3 3 8 3" xfId="43476" xr:uid="{00000000-0005-0000-0000-000065A70000}"/>
    <cellStyle name="Normal 11 3 3 3 8 3 2" xfId="43477" xr:uid="{00000000-0005-0000-0000-000066A70000}"/>
    <cellStyle name="Normal 11 3 3 3 8 4" xfId="43478" xr:uid="{00000000-0005-0000-0000-000067A70000}"/>
    <cellStyle name="Normal 11 3 3 3 9" xfId="43479" xr:uid="{00000000-0005-0000-0000-000068A70000}"/>
    <cellStyle name="Normal 11 3 3 3 9 2" xfId="43480" xr:uid="{00000000-0005-0000-0000-000069A70000}"/>
    <cellStyle name="Normal 11 3 3 3 9 2 2" xfId="43481" xr:uid="{00000000-0005-0000-0000-00006AA70000}"/>
    <cellStyle name="Normal 11 3 3 3 9 3" xfId="43482" xr:uid="{00000000-0005-0000-0000-00006BA70000}"/>
    <cellStyle name="Normal 11 3 3 4" xfId="625" xr:uid="{00000000-0005-0000-0000-00006CA70000}"/>
    <cellStyle name="Normal 11 3 3 4 10" xfId="43484" xr:uid="{00000000-0005-0000-0000-00006DA70000}"/>
    <cellStyle name="Normal 11 3 3 4 10 2" xfId="43485" xr:uid="{00000000-0005-0000-0000-00006EA70000}"/>
    <cellStyle name="Normal 11 3 3 4 10 2 2" xfId="43486" xr:uid="{00000000-0005-0000-0000-00006FA70000}"/>
    <cellStyle name="Normal 11 3 3 4 10 3" xfId="43487" xr:uid="{00000000-0005-0000-0000-000070A70000}"/>
    <cellStyle name="Normal 11 3 3 4 11" xfId="43488" xr:uid="{00000000-0005-0000-0000-000071A70000}"/>
    <cellStyle name="Normal 11 3 3 4 11 2" xfId="43489" xr:uid="{00000000-0005-0000-0000-000072A70000}"/>
    <cellStyle name="Normal 11 3 3 4 11 2 2" xfId="43490" xr:uid="{00000000-0005-0000-0000-000073A70000}"/>
    <cellStyle name="Normal 11 3 3 4 11 3" xfId="43491" xr:uid="{00000000-0005-0000-0000-000074A70000}"/>
    <cellStyle name="Normal 11 3 3 4 12" xfId="43492" xr:uid="{00000000-0005-0000-0000-000075A70000}"/>
    <cellStyle name="Normal 11 3 3 4 12 2" xfId="43493" xr:uid="{00000000-0005-0000-0000-000076A70000}"/>
    <cellStyle name="Normal 11 3 3 4 13" xfId="43494" xr:uid="{00000000-0005-0000-0000-000077A70000}"/>
    <cellStyle name="Normal 11 3 3 4 14" xfId="43495" xr:uid="{00000000-0005-0000-0000-000078A70000}"/>
    <cellStyle name="Normal 11 3 3 4 15" xfId="43483" xr:uid="{00000000-0005-0000-0000-000079A70000}"/>
    <cellStyle name="Normal 11 3 3 4 2" xfId="1067" xr:uid="{00000000-0005-0000-0000-00007AA70000}"/>
    <cellStyle name="Normal 11 3 3 4 2 10" xfId="43497" xr:uid="{00000000-0005-0000-0000-00007BA70000}"/>
    <cellStyle name="Normal 11 3 3 4 2 11" xfId="43496" xr:uid="{00000000-0005-0000-0000-00007CA70000}"/>
    <cellStyle name="Normal 11 3 3 4 2 2" xfId="1796" xr:uid="{00000000-0005-0000-0000-00007DA70000}"/>
    <cellStyle name="Normal 11 3 3 4 2 2 2" xfId="43499" xr:uid="{00000000-0005-0000-0000-00007EA70000}"/>
    <cellStyle name="Normal 11 3 3 4 2 2 2 2" xfId="43500" xr:uid="{00000000-0005-0000-0000-00007FA70000}"/>
    <cellStyle name="Normal 11 3 3 4 2 2 2 2 2" xfId="43501" xr:uid="{00000000-0005-0000-0000-000080A70000}"/>
    <cellStyle name="Normal 11 3 3 4 2 2 2 2 2 2" xfId="43502" xr:uid="{00000000-0005-0000-0000-000081A70000}"/>
    <cellStyle name="Normal 11 3 3 4 2 2 2 2 3" xfId="43503" xr:uid="{00000000-0005-0000-0000-000082A70000}"/>
    <cellStyle name="Normal 11 3 3 4 2 2 2 3" xfId="43504" xr:uid="{00000000-0005-0000-0000-000083A70000}"/>
    <cellStyle name="Normal 11 3 3 4 2 2 2 3 2" xfId="43505" xr:uid="{00000000-0005-0000-0000-000084A70000}"/>
    <cellStyle name="Normal 11 3 3 4 2 2 2 4" xfId="43506" xr:uid="{00000000-0005-0000-0000-000085A70000}"/>
    <cellStyle name="Normal 11 3 3 4 2 2 3" xfId="43507" xr:uid="{00000000-0005-0000-0000-000086A70000}"/>
    <cellStyle name="Normal 11 3 3 4 2 2 3 2" xfId="43508" xr:uid="{00000000-0005-0000-0000-000087A70000}"/>
    <cellStyle name="Normal 11 3 3 4 2 2 3 2 2" xfId="43509" xr:uid="{00000000-0005-0000-0000-000088A70000}"/>
    <cellStyle name="Normal 11 3 3 4 2 2 3 2 2 2" xfId="43510" xr:uid="{00000000-0005-0000-0000-000089A70000}"/>
    <cellStyle name="Normal 11 3 3 4 2 2 3 2 3" xfId="43511" xr:uid="{00000000-0005-0000-0000-00008AA70000}"/>
    <cellStyle name="Normal 11 3 3 4 2 2 3 3" xfId="43512" xr:uid="{00000000-0005-0000-0000-00008BA70000}"/>
    <cellStyle name="Normal 11 3 3 4 2 2 3 3 2" xfId="43513" xr:uid="{00000000-0005-0000-0000-00008CA70000}"/>
    <cellStyle name="Normal 11 3 3 4 2 2 3 4" xfId="43514" xr:uid="{00000000-0005-0000-0000-00008DA70000}"/>
    <cellStyle name="Normal 11 3 3 4 2 2 4" xfId="43515" xr:uid="{00000000-0005-0000-0000-00008EA70000}"/>
    <cellStyle name="Normal 11 3 3 4 2 2 4 2" xfId="43516" xr:uid="{00000000-0005-0000-0000-00008FA70000}"/>
    <cellStyle name="Normal 11 3 3 4 2 2 4 2 2" xfId="43517" xr:uid="{00000000-0005-0000-0000-000090A70000}"/>
    <cellStyle name="Normal 11 3 3 4 2 2 4 3" xfId="43518" xr:uid="{00000000-0005-0000-0000-000091A70000}"/>
    <cellStyle name="Normal 11 3 3 4 2 2 5" xfId="43519" xr:uid="{00000000-0005-0000-0000-000092A70000}"/>
    <cellStyle name="Normal 11 3 3 4 2 2 5 2" xfId="43520" xr:uid="{00000000-0005-0000-0000-000093A70000}"/>
    <cellStyle name="Normal 11 3 3 4 2 2 6" xfId="43521" xr:uid="{00000000-0005-0000-0000-000094A70000}"/>
    <cellStyle name="Normal 11 3 3 4 2 2 7" xfId="43498" xr:uid="{00000000-0005-0000-0000-000095A70000}"/>
    <cellStyle name="Normal 11 3 3 4 2 3" xfId="43522" xr:uid="{00000000-0005-0000-0000-000096A70000}"/>
    <cellStyle name="Normal 11 3 3 4 2 3 2" xfId="43523" xr:uid="{00000000-0005-0000-0000-000097A70000}"/>
    <cellStyle name="Normal 11 3 3 4 2 3 2 2" xfId="43524" xr:uid="{00000000-0005-0000-0000-000098A70000}"/>
    <cellStyle name="Normal 11 3 3 4 2 3 2 2 2" xfId="43525" xr:uid="{00000000-0005-0000-0000-000099A70000}"/>
    <cellStyle name="Normal 11 3 3 4 2 3 2 2 2 2" xfId="43526" xr:uid="{00000000-0005-0000-0000-00009AA70000}"/>
    <cellStyle name="Normal 11 3 3 4 2 3 2 2 3" xfId="43527" xr:uid="{00000000-0005-0000-0000-00009BA70000}"/>
    <cellStyle name="Normal 11 3 3 4 2 3 2 3" xfId="43528" xr:uid="{00000000-0005-0000-0000-00009CA70000}"/>
    <cellStyle name="Normal 11 3 3 4 2 3 2 3 2" xfId="43529" xr:uid="{00000000-0005-0000-0000-00009DA70000}"/>
    <cellStyle name="Normal 11 3 3 4 2 3 2 4" xfId="43530" xr:uid="{00000000-0005-0000-0000-00009EA70000}"/>
    <cellStyle name="Normal 11 3 3 4 2 3 3" xfId="43531" xr:uid="{00000000-0005-0000-0000-00009FA70000}"/>
    <cellStyle name="Normal 11 3 3 4 2 3 3 2" xfId="43532" xr:uid="{00000000-0005-0000-0000-0000A0A70000}"/>
    <cellStyle name="Normal 11 3 3 4 2 3 3 2 2" xfId="43533" xr:uid="{00000000-0005-0000-0000-0000A1A70000}"/>
    <cellStyle name="Normal 11 3 3 4 2 3 3 3" xfId="43534" xr:uid="{00000000-0005-0000-0000-0000A2A70000}"/>
    <cellStyle name="Normal 11 3 3 4 2 3 4" xfId="43535" xr:uid="{00000000-0005-0000-0000-0000A3A70000}"/>
    <cellStyle name="Normal 11 3 3 4 2 3 4 2" xfId="43536" xr:uid="{00000000-0005-0000-0000-0000A4A70000}"/>
    <cellStyle name="Normal 11 3 3 4 2 3 5" xfId="43537" xr:uid="{00000000-0005-0000-0000-0000A5A70000}"/>
    <cellStyle name="Normal 11 3 3 4 2 4" xfId="43538" xr:uid="{00000000-0005-0000-0000-0000A6A70000}"/>
    <cellStyle name="Normal 11 3 3 4 2 4 2" xfId="43539" xr:uid="{00000000-0005-0000-0000-0000A7A70000}"/>
    <cellStyle name="Normal 11 3 3 4 2 4 2 2" xfId="43540" xr:uid="{00000000-0005-0000-0000-0000A8A70000}"/>
    <cellStyle name="Normal 11 3 3 4 2 4 2 2 2" xfId="43541" xr:uid="{00000000-0005-0000-0000-0000A9A70000}"/>
    <cellStyle name="Normal 11 3 3 4 2 4 2 2 2 2" xfId="43542" xr:uid="{00000000-0005-0000-0000-0000AAA70000}"/>
    <cellStyle name="Normal 11 3 3 4 2 4 2 2 3" xfId="43543" xr:uid="{00000000-0005-0000-0000-0000ABA70000}"/>
    <cellStyle name="Normal 11 3 3 4 2 4 2 3" xfId="43544" xr:uid="{00000000-0005-0000-0000-0000ACA70000}"/>
    <cellStyle name="Normal 11 3 3 4 2 4 2 3 2" xfId="43545" xr:uid="{00000000-0005-0000-0000-0000ADA70000}"/>
    <cellStyle name="Normal 11 3 3 4 2 4 2 4" xfId="43546" xr:uid="{00000000-0005-0000-0000-0000AEA70000}"/>
    <cellStyle name="Normal 11 3 3 4 2 4 3" xfId="43547" xr:uid="{00000000-0005-0000-0000-0000AFA70000}"/>
    <cellStyle name="Normal 11 3 3 4 2 4 3 2" xfId="43548" xr:uid="{00000000-0005-0000-0000-0000B0A70000}"/>
    <cellStyle name="Normal 11 3 3 4 2 4 3 2 2" xfId="43549" xr:uid="{00000000-0005-0000-0000-0000B1A70000}"/>
    <cellStyle name="Normal 11 3 3 4 2 4 3 3" xfId="43550" xr:uid="{00000000-0005-0000-0000-0000B2A70000}"/>
    <cellStyle name="Normal 11 3 3 4 2 4 4" xfId="43551" xr:uid="{00000000-0005-0000-0000-0000B3A70000}"/>
    <cellStyle name="Normal 11 3 3 4 2 4 4 2" xfId="43552" xr:uid="{00000000-0005-0000-0000-0000B4A70000}"/>
    <cellStyle name="Normal 11 3 3 4 2 4 5" xfId="43553" xr:uid="{00000000-0005-0000-0000-0000B5A70000}"/>
    <cellStyle name="Normal 11 3 3 4 2 5" xfId="43554" xr:uid="{00000000-0005-0000-0000-0000B6A70000}"/>
    <cellStyle name="Normal 11 3 3 4 2 5 2" xfId="43555" xr:uid="{00000000-0005-0000-0000-0000B7A70000}"/>
    <cellStyle name="Normal 11 3 3 4 2 5 2 2" xfId="43556" xr:uid="{00000000-0005-0000-0000-0000B8A70000}"/>
    <cellStyle name="Normal 11 3 3 4 2 5 2 2 2" xfId="43557" xr:uid="{00000000-0005-0000-0000-0000B9A70000}"/>
    <cellStyle name="Normal 11 3 3 4 2 5 2 3" xfId="43558" xr:uid="{00000000-0005-0000-0000-0000BAA70000}"/>
    <cellStyle name="Normal 11 3 3 4 2 5 3" xfId="43559" xr:uid="{00000000-0005-0000-0000-0000BBA70000}"/>
    <cellStyle name="Normal 11 3 3 4 2 5 3 2" xfId="43560" xr:uid="{00000000-0005-0000-0000-0000BCA70000}"/>
    <cellStyle name="Normal 11 3 3 4 2 5 4" xfId="43561" xr:uid="{00000000-0005-0000-0000-0000BDA70000}"/>
    <cellStyle name="Normal 11 3 3 4 2 6" xfId="43562" xr:uid="{00000000-0005-0000-0000-0000BEA70000}"/>
    <cellStyle name="Normal 11 3 3 4 2 6 2" xfId="43563" xr:uid="{00000000-0005-0000-0000-0000BFA70000}"/>
    <cellStyle name="Normal 11 3 3 4 2 6 2 2" xfId="43564" xr:uid="{00000000-0005-0000-0000-0000C0A70000}"/>
    <cellStyle name="Normal 11 3 3 4 2 6 2 2 2" xfId="43565" xr:uid="{00000000-0005-0000-0000-0000C1A70000}"/>
    <cellStyle name="Normal 11 3 3 4 2 6 2 3" xfId="43566" xr:uid="{00000000-0005-0000-0000-0000C2A70000}"/>
    <cellStyle name="Normal 11 3 3 4 2 6 3" xfId="43567" xr:uid="{00000000-0005-0000-0000-0000C3A70000}"/>
    <cellStyle name="Normal 11 3 3 4 2 6 3 2" xfId="43568" xr:uid="{00000000-0005-0000-0000-0000C4A70000}"/>
    <cellStyle name="Normal 11 3 3 4 2 6 4" xfId="43569" xr:uid="{00000000-0005-0000-0000-0000C5A70000}"/>
    <cellStyle name="Normal 11 3 3 4 2 7" xfId="43570" xr:uid="{00000000-0005-0000-0000-0000C6A70000}"/>
    <cellStyle name="Normal 11 3 3 4 2 7 2" xfId="43571" xr:uid="{00000000-0005-0000-0000-0000C7A70000}"/>
    <cellStyle name="Normal 11 3 3 4 2 7 2 2" xfId="43572" xr:uid="{00000000-0005-0000-0000-0000C8A70000}"/>
    <cellStyle name="Normal 11 3 3 4 2 7 2 2 2" xfId="43573" xr:uid="{00000000-0005-0000-0000-0000C9A70000}"/>
    <cellStyle name="Normal 11 3 3 4 2 7 2 3" xfId="43574" xr:uid="{00000000-0005-0000-0000-0000CAA70000}"/>
    <cellStyle name="Normal 11 3 3 4 2 7 3" xfId="43575" xr:uid="{00000000-0005-0000-0000-0000CBA70000}"/>
    <cellStyle name="Normal 11 3 3 4 2 7 3 2" xfId="43576" xr:uid="{00000000-0005-0000-0000-0000CCA70000}"/>
    <cellStyle name="Normal 11 3 3 4 2 7 4" xfId="43577" xr:uid="{00000000-0005-0000-0000-0000CDA70000}"/>
    <cellStyle name="Normal 11 3 3 4 2 8" xfId="43578" xr:uid="{00000000-0005-0000-0000-0000CEA70000}"/>
    <cellStyle name="Normal 11 3 3 4 2 8 2" xfId="43579" xr:uid="{00000000-0005-0000-0000-0000CFA70000}"/>
    <cellStyle name="Normal 11 3 3 4 2 8 2 2" xfId="43580" xr:uid="{00000000-0005-0000-0000-0000D0A70000}"/>
    <cellStyle name="Normal 11 3 3 4 2 8 3" xfId="43581" xr:uid="{00000000-0005-0000-0000-0000D1A70000}"/>
    <cellStyle name="Normal 11 3 3 4 2 9" xfId="43582" xr:uid="{00000000-0005-0000-0000-0000D2A70000}"/>
    <cellStyle name="Normal 11 3 3 4 2 9 2" xfId="43583" xr:uid="{00000000-0005-0000-0000-0000D3A70000}"/>
    <cellStyle name="Normal 11 3 3 4 3" xfId="1469" xr:uid="{00000000-0005-0000-0000-0000D4A70000}"/>
    <cellStyle name="Normal 11 3 3 4 3 2" xfId="43585" xr:uid="{00000000-0005-0000-0000-0000D5A70000}"/>
    <cellStyle name="Normal 11 3 3 4 3 2 2" xfId="43586" xr:uid="{00000000-0005-0000-0000-0000D6A70000}"/>
    <cellStyle name="Normal 11 3 3 4 3 2 2 2" xfId="43587" xr:uid="{00000000-0005-0000-0000-0000D7A70000}"/>
    <cellStyle name="Normal 11 3 3 4 3 2 2 2 2" xfId="43588" xr:uid="{00000000-0005-0000-0000-0000D8A70000}"/>
    <cellStyle name="Normal 11 3 3 4 3 2 2 3" xfId="43589" xr:uid="{00000000-0005-0000-0000-0000D9A70000}"/>
    <cellStyle name="Normal 11 3 3 4 3 2 3" xfId="43590" xr:uid="{00000000-0005-0000-0000-0000DAA70000}"/>
    <cellStyle name="Normal 11 3 3 4 3 2 3 2" xfId="43591" xr:uid="{00000000-0005-0000-0000-0000DBA70000}"/>
    <cellStyle name="Normal 11 3 3 4 3 2 4" xfId="43592" xr:uid="{00000000-0005-0000-0000-0000DCA70000}"/>
    <cellStyle name="Normal 11 3 3 4 3 3" xfId="43593" xr:uid="{00000000-0005-0000-0000-0000DDA70000}"/>
    <cellStyle name="Normal 11 3 3 4 3 3 2" xfId="43594" xr:uid="{00000000-0005-0000-0000-0000DEA70000}"/>
    <cellStyle name="Normal 11 3 3 4 3 3 2 2" xfId="43595" xr:uid="{00000000-0005-0000-0000-0000DFA70000}"/>
    <cellStyle name="Normal 11 3 3 4 3 3 2 2 2" xfId="43596" xr:uid="{00000000-0005-0000-0000-0000E0A70000}"/>
    <cellStyle name="Normal 11 3 3 4 3 3 2 3" xfId="43597" xr:uid="{00000000-0005-0000-0000-0000E1A70000}"/>
    <cellStyle name="Normal 11 3 3 4 3 3 3" xfId="43598" xr:uid="{00000000-0005-0000-0000-0000E2A70000}"/>
    <cellStyle name="Normal 11 3 3 4 3 3 3 2" xfId="43599" xr:uid="{00000000-0005-0000-0000-0000E3A70000}"/>
    <cellStyle name="Normal 11 3 3 4 3 3 4" xfId="43600" xr:uid="{00000000-0005-0000-0000-0000E4A70000}"/>
    <cellStyle name="Normal 11 3 3 4 3 4" xfId="43601" xr:uid="{00000000-0005-0000-0000-0000E5A70000}"/>
    <cellStyle name="Normal 11 3 3 4 3 4 2" xfId="43602" xr:uid="{00000000-0005-0000-0000-0000E6A70000}"/>
    <cellStyle name="Normal 11 3 3 4 3 4 2 2" xfId="43603" xr:uid="{00000000-0005-0000-0000-0000E7A70000}"/>
    <cellStyle name="Normal 11 3 3 4 3 4 3" xfId="43604" xr:uid="{00000000-0005-0000-0000-0000E8A70000}"/>
    <cellStyle name="Normal 11 3 3 4 3 5" xfId="43605" xr:uid="{00000000-0005-0000-0000-0000E9A70000}"/>
    <cellStyle name="Normal 11 3 3 4 3 5 2" xfId="43606" xr:uid="{00000000-0005-0000-0000-0000EAA70000}"/>
    <cellStyle name="Normal 11 3 3 4 3 6" xfId="43607" xr:uid="{00000000-0005-0000-0000-0000EBA70000}"/>
    <cellStyle name="Normal 11 3 3 4 3 7" xfId="43584" xr:uid="{00000000-0005-0000-0000-0000ECA70000}"/>
    <cellStyle name="Normal 11 3 3 4 4" xfId="43608" xr:uid="{00000000-0005-0000-0000-0000EDA70000}"/>
    <cellStyle name="Normal 11 3 3 4 4 2" xfId="43609" xr:uid="{00000000-0005-0000-0000-0000EEA70000}"/>
    <cellStyle name="Normal 11 3 3 4 4 2 2" xfId="43610" xr:uid="{00000000-0005-0000-0000-0000EFA70000}"/>
    <cellStyle name="Normal 11 3 3 4 4 2 2 2" xfId="43611" xr:uid="{00000000-0005-0000-0000-0000F0A70000}"/>
    <cellStyle name="Normal 11 3 3 4 4 2 2 2 2" xfId="43612" xr:uid="{00000000-0005-0000-0000-0000F1A70000}"/>
    <cellStyle name="Normal 11 3 3 4 4 2 2 3" xfId="43613" xr:uid="{00000000-0005-0000-0000-0000F2A70000}"/>
    <cellStyle name="Normal 11 3 3 4 4 2 3" xfId="43614" xr:uid="{00000000-0005-0000-0000-0000F3A70000}"/>
    <cellStyle name="Normal 11 3 3 4 4 2 3 2" xfId="43615" xr:uid="{00000000-0005-0000-0000-0000F4A70000}"/>
    <cellStyle name="Normal 11 3 3 4 4 2 4" xfId="43616" xr:uid="{00000000-0005-0000-0000-0000F5A70000}"/>
    <cellStyle name="Normal 11 3 3 4 4 3" xfId="43617" xr:uid="{00000000-0005-0000-0000-0000F6A70000}"/>
    <cellStyle name="Normal 11 3 3 4 4 3 2" xfId="43618" xr:uid="{00000000-0005-0000-0000-0000F7A70000}"/>
    <cellStyle name="Normal 11 3 3 4 4 3 2 2" xfId="43619" xr:uid="{00000000-0005-0000-0000-0000F8A70000}"/>
    <cellStyle name="Normal 11 3 3 4 4 3 3" xfId="43620" xr:uid="{00000000-0005-0000-0000-0000F9A70000}"/>
    <cellStyle name="Normal 11 3 3 4 4 4" xfId="43621" xr:uid="{00000000-0005-0000-0000-0000FAA70000}"/>
    <cellStyle name="Normal 11 3 3 4 4 4 2" xfId="43622" xr:uid="{00000000-0005-0000-0000-0000FBA70000}"/>
    <cellStyle name="Normal 11 3 3 4 4 5" xfId="43623" xr:uid="{00000000-0005-0000-0000-0000FCA70000}"/>
    <cellStyle name="Normal 11 3 3 4 5" xfId="43624" xr:uid="{00000000-0005-0000-0000-0000FDA70000}"/>
    <cellStyle name="Normal 11 3 3 4 5 2" xfId="43625" xr:uid="{00000000-0005-0000-0000-0000FEA70000}"/>
    <cellStyle name="Normal 11 3 3 4 5 2 2" xfId="43626" xr:uid="{00000000-0005-0000-0000-0000FFA70000}"/>
    <cellStyle name="Normal 11 3 3 4 5 2 2 2" xfId="43627" xr:uid="{00000000-0005-0000-0000-000000A80000}"/>
    <cellStyle name="Normal 11 3 3 4 5 2 2 2 2" xfId="43628" xr:uid="{00000000-0005-0000-0000-000001A80000}"/>
    <cellStyle name="Normal 11 3 3 4 5 2 2 3" xfId="43629" xr:uid="{00000000-0005-0000-0000-000002A80000}"/>
    <cellStyle name="Normal 11 3 3 4 5 2 3" xfId="43630" xr:uid="{00000000-0005-0000-0000-000003A80000}"/>
    <cellStyle name="Normal 11 3 3 4 5 2 3 2" xfId="43631" xr:uid="{00000000-0005-0000-0000-000004A80000}"/>
    <cellStyle name="Normal 11 3 3 4 5 2 4" xfId="43632" xr:uid="{00000000-0005-0000-0000-000005A80000}"/>
    <cellStyle name="Normal 11 3 3 4 5 3" xfId="43633" xr:uid="{00000000-0005-0000-0000-000006A80000}"/>
    <cellStyle name="Normal 11 3 3 4 5 3 2" xfId="43634" xr:uid="{00000000-0005-0000-0000-000007A80000}"/>
    <cellStyle name="Normal 11 3 3 4 5 3 2 2" xfId="43635" xr:uid="{00000000-0005-0000-0000-000008A80000}"/>
    <cellStyle name="Normal 11 3 3 4 5 3 3" xfId="43636" xr:uid="{00000000-0005-0000-0000-000009A80000}"/>
    <cellStyle name="Normal 11 3 3 4 5 4" xfId="43637" xr:uid="{00000000-0005-0000-0000-00000AA80000}"/>
    <cellStyle name="Normal 11 3 3 4 5 4 2" xfId="43638" xr:uid="{00000000-0005-0000-0000-00000BA80000}"/>
    <cellStyle name="Normal 11 3 3 4 5 5" xfId="43639" xr:uid="{00000000-0005-0000-0000-00000CA80000}"/>
    <cellStyle name="Normal 11 3 3 4 6" xfId="43640" xr:uid="{00000000-0005-0000-0000-00000DA80000}"/>
    <cellStyle name="Normal 11 3 3 4 6 2" xfId="43641" xr:uid="{00000000-0005-0000-0000-00000EA80000}"/>
    <cellStyle name="Normal 11 3 3 4 6 2 2" xfId="43642" xr:uid="{00000000-0005-0000-0000-00000FA80000}"/>
    <cellStyle name="Normal 11 3 3 4 6 2 2 2" xfId="43643" xr:uid="{00000000-0005-0000-0000-000010A80000}"/>
    <cellStyle name="Normal 11 3 3 4 6 2 3" xfId="43644" xr:uid="{00000000-0005-0000-0000-000011A80000}"/>
    <cellStyle name="Normal 11 3 3 4 6 3" xfId="43645" xr:uid="{00000000-0005-0000-0000-000012A80000}"/>
    <cellStyle name="Normal 11 3 3 4 6 3 2" xfId="43646" xr:uid="{00000000-0005-0000-0000-000013A80000}"/>
    <cellStyle name="Normal 11 3 3 4 6 4" xfId="43647" xr:uid="{00000000-0005-0000-0000-000014A80000}"/>
    <cellStyle name="Normal 11 3 3 4 7" xfId="43648" xr:uid="{00000000-0005-0000-0000-000015A80000}"/>
    <cellStyle name="Normal 11 3 3 4 7 2" xfId="43649" xr:uid="{00000000-0005-0000-0000-000016A80000}"/>
    <cellStyle name="Normal 11 3 3 4 7 2 2" xfId="43650" xr:uid="{00000000-0005-0000-0000-000017A80000}"/>
    <cellStyle name="Normal 11 3 3 4 7 2 2 2" xfId="43651" xr:uid="{00000000-0005-0000-0000-000018A80000}"/>
    <cellStyle name="Normal 11 3 3 4 7 2 3" xfId="43652" xr:uid="{00000000-0005-0000-0000-000019A80000}"/>
    <cellStyle name="Normal 11 3 3 4 7 3" xfId="43653" xr:uid="{00000000-0005-0000-0000-00001AA80000}"/>
    <cellStyle name="Normal 11 3 3 4 7 3 2" xfId="43654" xr:uid="{00000000-0005-0000-0000-00001BA80000}"/>
    <cellStyle name="Normal 11 3 3 4 7 4" xfId="43655" xr:uid="{00000000-0005-0000-0000-00001CA80000}"/>
    <cellStyle name="Normal 11 3 3 4 8" xfId="43656" xr:uid="{00000000-0005-0000-0000-00001DA80000}"/>
    <cellStyle name="Normal 11 3 3 4 8 2" xfId="43657" xr:uid="{00000000-0005-0000-0000-00001EA80000}"/>
    <cellStyle name="Normal 11 3 3 4 8 2 2" xfId="43658" xr:uid="{00000000-0005-0000-0000-00001FA80000}"/>
    <cellStyle name="Normal 11 3 3 4 8 2 2 2" xfId="43659" xr:uid="{00000000-0005-0000-0000-000020A80000}"/>
    <cellStyle name="Normal 11 3 3 4 8 2 3" xfId="43660" xr:uid="{00000000-0005-0000-0000-000021A80000}"/>
    <cellStyle name="Normal 11 3 3 4 8 3" xfId="43661" xr:uid="{00000000-0005-0000-0000-000022A80000}"/>
    <cellStyle name="Normal 11 3 3 4 8 3 2" xfId="43662" xr:uid="{00000000-0005-0000-0000-000023A80000}"/>
    <cellStyle name="Normal 11 3 3 4 8 4" xfId="43663" xr:uid="{00000000-0005-0000-0000-000024A80000}"/>
    <cellStyle name="Normal 11 3 3 4 9" xfId="43664" xr:uid="{00000000-0005-0000-0000-000025A80000}"/>
    <cellStyle name="Normal 11 3 3 4 9 2" xfId="43665" xr:uid="{00000000-0005-0000-0000-000026A80000}"/>
    <cellStyle name="Normal 11 3 3 4 9 2 2" xfId="43666" xr:uid="{00000000-0005-0000-0000-000027A80000}"/>
    <cellStyle name="Normal 11 3 3 4 9 3" xfId="43667" xr:uid="{00000000-0005-0000-0000-000028A80000}"/>
    <cellStyle name="Normal 11 3 3 5" xfId="1062" xr:uid="{00000000-0005-0000-0000-000029A80000}"/>
    <cellStyle name="Normal 11 3 3 5 10" xfId="43669" xr:uid="{00000000-0005-0000-0000-00002AA80000}"/>
    <cellStyle name="Normal 11 3 3 5 11" xfId="43668" xr:uid="{00000000-0005-0000-0000-00002BA80000}"/>
    <cellStyle name="Normal 11 3 3 5 2" xfId="1791" xr:uid="{00000000-0005-0000-0000-00002CA80000}"/>
    <cellStyle name="Normal 11 3 3 5 2 2" xfId="43671" xr:uid="{00000000-0005-0000-0000-00002DA80000}"/>
    <cellStyle name="Normal 11 3 3 5 2 2 2" xfId="43672" xr:uid="{00000000-0005-0000-0000-00002EA80000}"/>
    <cellStyle name="Normal 11 3 3 5 2 2 2 2" xfId="43673" xr:uid="{00000000-0005-0000-0000-00002FA80000}"/>
    <cellStyle name="Normal 11 3 3 5 2 2 2 2 2" xfId="43674" xr:uid="{00000000-0005-0000-0000-000030A80000}"/>
    <cellStyle name="Normal 11 3 3 5 2 2 2 3" xfId="43675" xr:uid="{00000000-0005-0000-0000-000031A80000}"/>
    <cellStyle name="Normal 11 3 3 5 2 2 3" xfId="43676" xr:uid="{00000000-0005-0000-0000-000032A80000}"/>
    <cellStyle name="Normal 11 3 3 5 2 2 3 2" xfId="43677" xr:uid="{00000000-0005-0000-0000-000033A80000}"/>
    <cellStyle name="Normal 11 3 3 5 2 2 4" xfId="43678" xr:uid="{00000000-0005-0000-0000-000034A80000}"/>
    <cellStyle name="Normal 11 3 3 5 2 3" xfId="43679" xr:uid="{00000000-0005-0000-0000-000035A80000}"/>
    <cellStyle name="Normal 11 3 3 5 2 3 2" xfId="43680" xr:uid="{00000000-0005-0000-0000-000036A80000}"/>
    <cellStyle name="Normal 11 3 3 5 2 3 2 2" xfId="43681" xr:uid="{00000000-0005-0000-0000-000037A80000}"/>
    <cellStyle name="Normal 11 3 3 5 2 3 2 2 2" xfId="43682" xr:uid="{00000000-0005-0000-0000-000038A80000}"/>
    <cellStyle name="Normal 11 3 3 5 2 3 2 3" xfId="43683" xr:uid="{00000000-0005-0000-0000-000039A80000}"/>
    <cellStyle name="Normal 11 3 3 5 2 3 3" xfId="43684" xr:uid="{00000000-0005-0000-0000-00003AA80000}"/>
    <cellStyle name="Normal 11 3 3 5 2 3 3 2" xfId="43685" xr:uid="{00000000-0005-0000-0000-00003BA80000}"/>
    <cellStyle name="Normal 11 3 3 5 2 3 4" xfId="43686" xr:uid="{00000000-0005-0000-0000-00003CA80000}"/>
    <cellStyle name="Normal 11 3 3 5 2 4" xfId="43687" xr:uid="{00000000-0005-0000-0000-00003DA80000}"/>
    <cellStyle name="Normal 11 3 3 5 2 4 2" xfId="43688" xr:uid="{00000000-0005-0000-0000-00003EA80000}"/>
    <cellStyle name="Normal 11 3 3 5 2 4 2 2" xfId="43689" xr:uid="{00000000-0005-0000-0000-00003FA80000}"/>
    <cellStyle name="Normal 11 3 3 5 2 4 3" xfId="43690" xr:uid="{00000000-0005-0000-0000-000040A80000}"/>
    <cellStyle name="Normal 11 3 3 5 2 5" xfId="43691" xr:uid="{00000000-0005-0000-0000-000041A80000}"/>
    <cellStyle name="Normal 11 3 3 5 2 5 2" xfId="43692" xr:uid="{00000000-0005-0000-0000-000042A80000}"/>
    <cellStyle name="Normal 11 3 3 5 2 6" xfId="43693" xr:uid="{00000000-0005-0000-0000-000043A80000}"/>
    <cellStyle name="Normal 11 3 3 5 2 7" xfId="43670" xr:uid="{00000000-0005-0000-0000-000044A80000}"/>
    <cellStyle name="Normal 11 3 3 5 3" xfId="43694" xr:uid="{00000000-0005-0000-0000-000045A80000}"/>
    <cellStyle name="Normal 11 3 3 5 3 2" xfId="43695" xr:uid="{00000000-0005-0000-0000-000046A80000}"/>
    <cellStyle name="Normal 11 3 3 5 3 2 2" xfId="43696" xr:uid="{00000000-0005-0000-0000-000047A80000}"/>
    <cellStyle name="Normal 11 3 3 5 3 2 2 2" xfId="43697" xr:uid="{00000000-0005-0000-0000-000048A80000}"/>
    <cellStyle name="Normal 11 3 3 5 3 2 2 2 2" xfId="43698" xr:uid="{00000000-0005-0000-0000-000049A80000}"/>
    <cellStyle name="Normal 11 3 3 5 3 2 2 3" xfId="43699" xr:uid="{00000000-0005-0000-0000-00004AA80000}"/>
    <cellStyle name="Normal 11 3 3 5 3 2 3" xfId="43700" xr:uid="{00000000-0005-0000-0000-00004BA80000}"/>
    <cellStyle name="Normal 11 3 3 5 3 2 3 2" xfId="43701" xr:uid="{00000000-0005-0000-0000-00004CA80000}"/>
    <cellStyle name="Normal 11 3 3 5 3 2 4" xfId="43702" xr:uid="{00000000-0005-0000-0000-00004DA80000}"/>
    <cellStyle name="Normal 11 3 3 5 3 3" xfId="43703" xr:uid="{00000000-0005-0000-0000-00004EA80000}"/>
    <cellStyle name="Normal 11 3 3 5 3 3 2" xfId="43704" xr:uid="{00000000-0005-0000-0000-00004FA80000}"/>
    <cellStyle name="Normal 11 3 3 5 3 3 2 2" xfId="43705" xr:uid="{00000000-0005-0000-0000-000050A80000}"/>
    <cellStyle name="Normal 11 3 3 5 3 3 3" xfId="43706" xr:uid="{00000000-0005-0000-0000-000051A80000}"/>
    <cellStyle name="Normal 11 3 3 5 3 4" xfId="43707" xr:uid="{00000000-0005-0000-0000-000052A80000}"/>
    <cellStyle name="Normal 11 3 3 5 3 4 2" xfId="43708" xr:uid="{00000000-0005-0000-0000-000053A80000}"/>
    <cellStyle name="Normal 11 3 3 5 3 5" xfId="43709" xr:uid="{00000000-0005-0000-0000-000054A80000}"/>
    <cellStyle name="Normal 11 3 3 5 4" xfId="43710" xr:uid="{00000000-0005-0000-0000-000055A80000}"/>
    <cellStyle name="Normal 11 3 3 5 4 2" xfId="43711" xr:uid="{00000000-0005-0000-0000-000056A80000}"/>
    <cellStyle name="Normal 11 3 3 5 4 2 2" xfId="43712" xr:uid="{00000000-0005-0000-0000-000057A80000}"/>
    <cellStyle name="Normal 11 3 3 5 4 2 2 2" xfId="43713" xr:uid="{00000000-0005-0000-0000-000058A80000}"/>
    <cellStyle name="Normal 11 3 3 5 4 2 2 2 2" xfId="43714" xr:uid="{00000000-0005-0000-0000-000059A80000}"/>
    <cellStyle name="Normal 11 3 3 5 4 2 2 3" xfId="43715" xr:uid="{00000000-0005-0000-0000-00005AA80000}"/>
    <cellStyle name="Normal 11 3 3 5 4 2 3" xfId="43716" xr:uid="{00000000-0005-0000-0000-00005BA80000}"/>
    <cellStyle name="Normal 11 3 3 5 4 2 3 2" xfId="43717" xr:uid="{00000000-0005-0000-0000-00005CA80000}"/>
    <cellStyle name="Normal 11 3 3 5 4 2 4" xfId="43718" xr:uid="{00000000-0005-0000-0000-00005DA80000}"/>
    <cellStyle name="Normal 11 3 3 5 4 3" xfId="43719" xr:uid="{00000000-0005-0000-0000-00005EA80000}"/>
    <cellStyle name="Normal 11 3 3 5 4 3 2" xfId="43720" xr:uid="{00000000-0005-0000-0000-00005FA80000}"/>
    <cellStyle name="Normal 11 3 3 5 4 3 2 2" xfId="43721" xr:uid="{00000000-0005-0000-0000-000060A80000}"/>
    <cellStyle name="Normal 11 3 3 5 4 3 3" xfId="43722" xr:uid="{00000000-0005-0000-0000-000061A80000}"/>
    <cellStyle name="Normal 11 3 3 5 4 4" xfId="43723" xr:uid="{00000000-0005-0000-0000-000062A80000}"/>
    <cellStyle name="Normal 11 3 3 5 4 4 2" xfId="43724" xr:uid="{00000000-0005-0000-0000-000063A80000}"/>
    <cellStyle name="Normal 11 3 3 5 4 5" xfId="43725" xr:uid="{00000000-0005-0000-0000-000064A80000}"/>
    <cellStyle name="Normal 11 3 3 5 5" xfId="43726" xr:uid="{00000000-0005-0000-0000-000065A80000}"/>
    <cellStyle name="Normal 11 3 3 5 5 2" xfId="43727" xr:uid="{00000000-0005-0000-0000-000066A80000}"/>
    <cellStyle name="Normal 11 3 3 5 5 2 2" xfId="43728" xr:uid="{00000000-0005-0000-0000-000067A80000}"/>
    <cellStyle name="Normal 11 3 3 5 5 2 2 2" xfId="43729" xr:uid="{00000000-0005-0000-0000-000068A80000}"/>
    <cellStyle name="Normal 11 3 3 5 5 2 3" xfId="43730" xr:uid="{00000000-0005-0000-0000-000069A80000}"/>
    <cellStyle name="Normal 11 3 3 5 5 3" xfId="43731" xr:uid="{00000000-0005-0000-0000-00006AA80000}"/>
    <cellStyle name="Normal 11 3 3 5 5 3 2" xfId="43732" xr:uid="{00000000-0005-0000-0000-00006BA80000}"/>
    <cellStyle name="Normal 11 3 3 5 5 4" xfId="43733" xr:uid="{00000000-0005-0000-0000-00006CA80000}"/>
    <cellStyle name="Normal 11 3 3 5 6" xfId="43734" xr:uid="{00000000-0005-0000-0000-00006DA80000}"/>
    <cellStyle name="Normal 11 3 3 5 6 2" xfId="43735" xr:uid="{00000000-0005-0000-0000-00006EA80000}"/>
    <cellStyle name="Normal 11 3 3 5 6 2 2" xfId="43736" xr:uid="{00000000-0005-0000-0000-00006FA80000}"/>
    <cellStyle name="Normal 11 3 3 5 6 2 2 2" xfId="43737" xr:uid="{00000000-0005-0000-0000-000070A80000}"/>
    <cellStyle name="Normal 11 3 3 5 6 2 3" xfId="43738" xr:uid="{00000000-0005-0000-0000-000071A80000}"/>
    <cellStyle name="Normal 11 3 3 5 6 3" xfId="43739" xr:uid="{00000000-0005-0000-0000-000072A80000}"/>
    <cellStyle name="Normal 11 3 3 5 6 3 2" xfId="43740" xr:uid="{00000000-0005-0000-0000-000073A80000}"/>
    <cellStyle name="Normal 11 3 3 5 6 4" xfId="43741" xr:uid="{00000000-0005-0000-0000-000074A80000}"/>
    <cellStyle name="Normal 11 3 3 5 7" xfId="43742" xr:uid="{00000000-0005-0000-0000-000075A80000}"/>
    <cellStyle name="Normal 11 3 3 5 7 2" xfId="43743" xr:uid="{00000000-0005-0000-0000-000076A80000}"/>
    <cellStyle name="Normal 11 3 3 5 7 2 2" xfId="43744" xr:uid="{00000000-0005-0000-0000-000077A80000}"/>
    <cellStyle name="Normal 11 3 3 5 7 2 2 2" xfId="43745" xr:uid="{00000000-0005-0000-0000-000078A80000}"/>
    <cellStyle name="Normal 11 3 3 5 7 2 3" xfId="43746" xr:uid="{00000000-0005-0000-0000-000079A80000}"/>
    <cellStyle name="Normal 11 3 3 5 7 3" xfId="43747" xr:uid="{00000000-0005-0000-0000-00007AA80000}"/>
    <cellStyle name="Normal 11 3 3 5 7 3 2" xfId="43748" xr:uid="{00000000-0005-0000-0000-00007BA80000}"/>
    <cellStyle name="Normal 11 3 3 5 7 4" xfId="43749" xr:uid="{00000000-0005-0000-0000-00007CA80000}"/>
    <cellStyle name="Normal 11 3 3 5 8" xfId="43750" xr:uid="{00000000-0005-0000-0000-00007DA80000}"/>
    <cellStyle name="Normal 11 3 3 5 8 2" xfId="43751" xr:uid="{00000000-0005-0000-0000-00007EA80000}"/>
    <cellStyle name="Normal 11 3 3 5 8 2 2" xfId="43752" xr:uid="{00000000-0005-0000-0000-00007FA80000}"/>
    <cellStyle name="Normal 11 3 3 5 8 3" xfId="43753" xr:uid="{00000000-0005-0000-0000-000080A80000}"/>
    <cellStyle name="Normal 11 3 3 5 9" xfId="43754" xr:uid="{00000000-0005-0000-0000-000081A80000}"/>
    <cellStyle name="Normal 11 3 3 5 9 2" xfId="43755" xr:uid="{00000000-0005-0000-0000-000082A80000}"/>
    <cellStyle name="Normal 11 3 3 6" xfId="1464" xr:uid="{00000000-0005-0000-0000-000083A80000}"/>
    <cellStyle name="Normal 11 3 3 6 2" xfId="43757" xr:uid="{00000000-0005-0000-0000-000084A80000}"/>
    <cellStyle name="Normal 11 3 3 6 2 2" xfId="43758" xr:uid="{00000000-0005-0000-0000-000085A80000}"/>
    <cellStyle name="Normal 11 3 3 6 2 2 2" xfId="43759" xr:uid="{00000000-0005-0000-0000-000086A80000}"/>
    <cellStyle name="Normal 11 3 3 6 2 2 2 2" xfId="43760" xr:uid="{00000000-0005-0000-0000-000087A80000}"/>
    <cellStyle name="Normal 11 3 3 6 2 2 3" xfId="43761" xr:uid="{00000000-0005-0000-0000-000088A80000}"/>
    <cellStyle name="Normal 11 3 3 6 2 3" xfId="43762" xr:uid="{00000000-0005-0000-0000-000089A80000}"/>
    <cellStyle name="Normal 11 3 3 6 2 3 2" xfId="43763" xr:uid="{00000000-0005-0000-0000-00008AA80000}"/>
    <cellStyle name="Normal 11 3 3 6 2 4" xfId="43764" xr:uid="{00000000-0005-0000-0000-00008BA80000}"/>
    <cellStyle name="Normal 11 3 3 6 3" xfId="43765" xr:uid="{00000000-0005-0000-0000-00008CA80000}"/>
    <cellStyle name="Normal 11 3 3 6 3 2" xfId="43766" xr:uid="{00000000-0005-0000-0000-00008DA80000}"/>
    <cellStyle name="Normal 11 3 3 6 3 2 2" xfId="43767" xr:uid="{00000000-0005-0000-0000-00008EA80000}"/>
    <cellStyle name="Normal 11 3 3 6 3 2 2 2" xfId="43768" xr:uid="{00000000-0005-0000-0000-00008FA80000}"/>
    <cellStyle name="Normal 11 3 3 6 3 2 3" xfId="43769" xr:uid="{00000000-0005-0000-0000-000090A80000}"/>
    <cellStyle name="Normal 11 3 3 6 3 3" xfId="43770" xr:uid="{00000000-0005-0000-0000-000091A80000}"/>
    <cellStyle name="Normal 11 3 3 6 3 3 2" xfId="43771" xr:uid="{00000000-0005-0000-0000-000092A80000}"/>
    <cellStyle name="Normal 11 3 3 6 3 4" xfId="43772" xr:uid="{00000000-0005-0000-0000-000093A80000}"/>
    <cellStyle name="Normal 11 3 3 6 4" xfId="43773" xr:uid="{00000000-0005-0000-0000-000094A80000}"/>
    <cellStyle name="Normal 11 3 3 6 4 2" xfId="43774" xr:uid="{00000000-0005-0000-0000-000095A80000}"/>
    <cellStyle name="Normal 11 3 3 6 4 2 2" xfId="43775" xr:uid="{00000000-0005-0000-0000-000096A80000}"/>
    <cellStyle name="Normal 11 3 3 6 4 3" xfId="43776" xr:uid="{00000000-0005-0000-0000-000097A80000}"/>
    <cellStyle name="Normal 11 3 3 6 5" xfId="43777" xr:uid="{00000000-0005-0000-0000-000098A80000}"/>
    <cellStyle name="Normal 11 3 3 6 5 2" xfId="43778" xr:uid="{00000000-0005-0000-0000-000099A80000}"/>
    <cellStyle name="Normal 11 3 3 6 6" xfId="43779" xr:uid="{00000000-0005-0000-0000-00009AA80000}"/>
    <cellStyle name="Normal 11 3 3 6 7" xfId="43756" xr:uid="{00000000-0005-0000-0000-00009BA80000}"/>
    <cellStyle name="Normal 11 3 3 7" xfId="43780" xr:uid="{00000000-0005-0000-0000-00009CA80000}"/>
    <cellStyle name="Normal 11 3 3 7 2" xfId="43781" xr:uid="{00000000-0005-0000-0000-00009DA80000}"/>
    <cellStyle name="Normal 11 3 3 7 2 2" xfId="43782" xr:uid="{00000000-0005-0000-0000-00009EA80000}"/>
    <cellStyle name="Normal 11 3 3 7 2 2 2" xfId="43783" xr:uid="{00000000-0005-0000-0000-00009FA80000}"/>
    <cellStyle name="Normal 11 3 3 7 2 2 2 2" xfId="43784" xr:uid="{00000000-0005-0000-0000-0000A0A80000}"/>
    <cellStyle name="Normal 11 3 3 7 2 2 3" xfId="43785" xr:uid="{00000000-0005-0000-0000-0000A1A80000}"/>
    <cellStyle name="Normal 11 3 3 7 2 3" xfId="43786" xr:uid="{00000000-0005-0000-0000-0000A2A80000}"/>
    <cellStyle name="Normal 11 3 3 7 2 3 2" xfId="43787" xr:uid="{00000000-0005-0000-0000-0000A3A80000}"/>
    <cellStyle name="Normal 11 3 3 7 2 4" xfId="43788" xr:uid="{00000000-0005-0000-0000-0000A4A80000}"/>
    <cellStyle name="Normal 11 3 3 7 3" xfId="43789" xr:uid="{00000000-0005-0000-0000-0000A5A80000}"/>
    <cellStyle name="Normal 11 3 3 7 3 2" xfId="43790" xr:uid="{00000000-0005-0000-0000-0000A6A80000}"/>
    <cellStyle name="Normal 11 3 3 7 3 2 2" xfId="43791" xr:uid="{00000000-0005-0000-0000-0000A7A80000}"/>
    <cellStyle name="Normal 11 3 3 7 3 3" xfId="43792" xr:uid="{00000000-0005-0000-0000-0000A8A80000}"/>
    <cellStyle name="Normal 11 3 3 7 4" xfId="43793" xr:uid="{00000000-0005-0000-0000-0000A9A80000}"/>
    <cellStyle name="Normal 11 3 3 7 4 2" xfId="43794" xr:uid="{00000000-0005-0000-0000-0000AAA80000}"/>
    <cellStyle name="Normal 11 3 3 7 5" xfId="43795" xr:uid="{00000000-0005-0000-0000-0000ABA80000}"/>
    <cellStyle name="Normal 11 3 3 8" xfId="43796" xr:uid="{00000000-0005-0000-0000-0000ACA80000}"/>
    <cellStyle name="Normal 11 3 3 8 2" xfId="43797" xr:uid="{00000000-0005-0000-0000-0000ADA80000}"/>
    <cellStyle name="Normal 11 3 3 8 2 2" xfId="43798" xr:uid="{00000000-0005-0000-0000-0000AEA80000}"/>
    <cellStyle name="Normal 11 3 3 8 2 2 2" xfId="43799" xr:uid="{00000000-0005-0000-0000-0000AFA80000}"/>
    <cellStyle name="Normal 11 3 3 8 2 2 2 2" xfId="43800" xr:uid="{00000000-0005-0000-0000-0000B0A80000}"/>
    <cellStyle name="Normal 11 3 3 8 2 2 3" xfId="43801" xr:uid="{00000000-0005-0000-0000-0000B1A80000}"/>
    <cellStyle name="Normal 11 3 3 8 2 3" xfId="43802" xr:uid="{00000000-0005-0000-0000-0000B2A80000}"/>
    <cellStyle name="Normal 11 3 3 8 2 3 2" xfId="43803" xr:uid="{00000000-0005-0000-0000-0000B3A80000}"/>
    <cellStyle name="Normal 11 3 3 8 2 4" xfId="43804" xr:uid="{00000000-0005-0000-0000-0000B4A80000}"/>
    <cellStyle name="Normal 11 3 3 8 3" xfId="43805" xr:uid="{00000000-0005-0000-0000-0000B5A80000}"/>
    <cellStyle name="Normal 11 3 3 8 3 2" xfId="43806" xr:uid="{00000000-0005-0000-0000-0000B6A80000}"/>
    <cellStyle name="Normal 11 3 3 8 3 2 2" xfId="43807" xr:uid="{00000000-0005-0000-0000-0000B7A80000}"/>
    <cellStyle name="Normal 11 3 3 8 3 3" xfId="43808" xr:uid="{00000000-0005-0000-0000-0000B8A80000}"/>
    <cellStyle name="Normal 11 3 3 8 4" xfId="43809" xr:uid="{00000000-0005-0000-0000-0000B9A80000}"/>
    <cellStyle name="Normal 11 3 3 8 4 2" xfId="43810" xr:uid="{00000000-0005-0000-0000-0000BAA80000}"/>
    <cellStyle name="Normal 11 3 3 8 5" xfId="43811" xr:uid="{00000000-0005-0000-0000-0000BBA80000}"/>
    <cellStyle name="Normal 11 3 3 9" xfId="43812" xr:uid="{00000000-0005-0000-0000-0000BCA80000}"/>
    <cellStyle name="Normal 11 3 3 9 2" xfId="43813" xr:uid="{00000000-0005-0000-0000-0000BDA80000}"/>
    <cellStyle name="Normal 11 3 3 9 2 2" xfId="43814" xr:uid="{00000000-0005-0000-0000-0000BEA80000}"/>
    <cellStyle name="Normal 11 3 3 9 2 2 2" xfId="43815" xr:uid="{00000000-0005-0000-0000-0000BFA80000}"/>
    <cellStyle name="Normal 11 3 3 9 2 3" xfId="43816" xr:uid="{00000000-0005-0000-0000-0000C0A80000}"/>
    <cellStyle name="Normal 11 3 3 9 3" xfId="43817" xr:uid="{00000000-0005-0000-0000-0000C1A80000}"/>
    <cellStyle name="Normal 11 3 3 9 3 2" xfId="43818" xr:uid="{00000000-0005-0000-0000-0000C2A80000}"/>
    <cellStyle name="Normal 11 3 3 9 4" xfId="43819" xr:uid="{00000000-0005-0000-0000-0000C3A80000}"/>
    <cellStyle name="Normal 11 3 4" xfId="626" xr:uid="{00000000-0005-0000-0000-0000C4A80000}"/>
    <cellStyle name="Normal 11 3 4 10" xfId="43821" xr:uid="{00000000-0005-0000-0000-0000C5A80000}"/>
    <cellStyle name="Normal 11 3 4 10 2" xfId="43822" xr:uid="{00000000-0005-0000-0000-0000C6A80000}"/>
    <cellStyle name="Normal 11 3 4 10 2 2" xfId="43823" xr:uid="{00000000-0005-0000-0000-0000C7A80000}"/>
    <cellStyle name="Normal 11 3 4 10 2 2 2" xfId="43824" xr:uid="{00000000-0005-0000-0000-0000C8A80000}"/>
    <cellStyle name="Normal 11 3 4 10 2 3" xfId="43825" xr:uid="{00000000-0005-0000-0000-0000C9A80000}"/>
    <cellStyle name="Normal 11 3 4 10 3" xfId="43826" xr:uid="{00000000-0005-0000-0000-0000CAA80000}"/>
    <cellStyle name="Normal 11 3 4 10 3 2" xfId="43827" xr:uid="{00000000-0005-0000-0000-0000CBA80000}"/>
    <cellStyle name="Normal 11 3 4 10 4" xfId="43828" xr:uid="{00000000-0005-0000-0000-0000CCA80000}"/>
    <cellStyle name="Normal 11 3 4 11" xfId="43829" xr:uid="{00000000-0005-0000-0000-0000CDA80000}"/>
    <cellStyle name="Normal 11 3 4 11 2" xfId="43830" xr:uid="{00000000-0005-0000-0000-0000CEA80000}"/>
    <cellStyle name="Normal 11 3 4 11 2 2" xfId="43831" xr:uid="{00000000-0005-0000-0000-0000CFA80000}"/>
    <cellStyle name="Normal 11 3 4 11 3" xfId="43832" xr:uid="{00000000-0005-0000-0000-0000D0A80000}"/>
    <cellStyle name="Normal 11 3 4 12" xfId="43833" xr:uid="{00000000-0005-0000-0000-0000D1A80000}"/>
    <cellStyle name="Normal 11 3 4 12 2" xfId="43834" xr:uid="{00000000-0005-0000-0000-0000D2A80000}"/>
    <cellStyle name="Normal 11 3 4 12 2 2" xfId="43835" xr:uid="{00000000-0005-0000-0000-0000D3A80000}"/>
    <cellStyle name="Normal 11 3 4 12 3" xfId="43836" xr:uid="{00000000-0005-0000-0000-0000D4A80000}"/>
    <cellStyle name="Normal 11 3 4 13" xfId="43837" xr:uid="{00000000-0005-0000-0000-0000D5A80000}"/>
    <cellStyle name="Normal 11 3 4 13 2" xfId="43838" xr:uid="{00000000-0005-0000-0000-0000D6A80000}"/>
    <cellStyle name="Normal 11 3 4 13 2 2" xfId="43839" xr:uid="{00000000-0005-0000-0000-0000D7A80000}"/>
    <cellStyle name="Normal 11 3 4 13 3" xfId="43840" xr:uid="{00000000-0005-0000-0000-0000D8A80000}"/>
    <cellStyle name="Normal 11 3 4 14" xfId="43841" xr:uid="{00000000-0005-0000-0000-0000D9A80000}"/>
    <cellStyle name="Normal 11 3 4 14 2" xfId="43842" xr:uid="{00000000-0005-0000-0000-0000DAA80000}"/>
    <cellStyle name="Normal 11 3 4 15" xfId="43843" xr:uid="{00000000-0005-0000-0000-0000DBA80000}"/>
    <cellStyle name="Normal 11 3 4 16" xfId="43844" xr:uid="{00000000-0005-0000-0000-0000DCA80000}"/>
    <cellStyle name="Normal 11 3 4 17" xfId="43820" xr:uid="{00000000-0005-0000-0000-0000DDA80000}"/>
    <cellStyle name="Normal 11 3 4 2" xfId="627" xr:uid="{00000000-0005-0000-0000-0000DEA80000}"/>
    <cellStyle name="Normal 11 3 4 2 10" xfId="43846" xr:uid="{00000000-0005-0000-0000-0000DFA80000}"/>
    <cellStyle name="Normal 11 3 4 2 10 2" xfId="43847" xr:uid="{00000000-0005-0000-0000-0000E0A80000}"/>
    <cellStyle name="Normal 11 3 4 2 10 2 2" xfId="43848" xr:uid="{00000000-0005-0000-0000-0000E1A80000}"/>
    <cellStyle name="Normal 11 3 4 2 10 3" xfId="43849" xr:uid="{00000000-0005-0000-0000-0000E2A80000}"/>
    <cellStyle name="Normal 11 3 4 2 11" xfId="43850" xr:uid="{00000000-0005-0000-0000-0000E3A80000}"/>
    <cellStyle name="Normal 11 3 4 2 11 2" xfId="43851" xr:uid="{00000000-0005-0000-0000-0000E4A80000}"/>
    <cellStyle name="Normal 11 3 4 2 11 2 2" xfId="43852" xr:uid="{00000000-0005-0000-0000-0000E5A80000}"/>
    <cellStyle name="Normal 11 3 4 2 11 3" xfId="43853" xr:uid="{00000000-0005-0000-0000-0000E6A80000}"/>
    <cellStyle name="Normal 11 3 4 2 12" xfId="43854" xr:uid="{00000000-0005-0000-0000-0000E7A80000}"/>
    <cellStyle name="Normal 11 3 4 2 12 2" xfId="43855" xr:uid="{00000000-0005-0000-0000-0000E8A80000}"/>
    <cellStyle name="Normal 11 3 4 2 13" xfId="43856" xr:uid="{00000000-0005-0000-0000-0000E9A80000}"/>
    <cellStyle name="Normal 11 3 4 2 14" xfId="43857" xr:uid="{00000000-0005-0000-0000-0000EAA80000}"/>
    <cellStyle name="Normal 11 3 4 2 15" xfId="43845" xr:uid="{00000000-0005-0000-0000-0000EBA80000}"/>
    <cellStyle name="Normal 11 3 4 2 2" xfId="1069" xr:uid="{00000000-0005-0000-0000-0000ECA80000}"/>
    <cellStyle name="Normal 11 3 4 2 2 10" xfId="43859" xr:uid="{00000000-0005-0000-0000-0000EDA80000}"/>
    <cellStyle name="Normal 11 3 4 2 2 11" xfId="43858" xr:uid="{00000000-0005-0000-0000-0000EEA80000}"/>
    <cellStyle name="Normal 11 3 4 2 2 2" xfId="1798" xr:uid="{00000000-0005-0000-0000-0000EFA80000}"/>
    <cellStyle name="Normal 11 3 4 2 2 2 2" xfId="43861" xr:uid="{00000000-0005-0000-0000-0000F0A80000}"/>
    <cellStyle name="Normal 11 3 4 2 2 2 2 2" xfId="43862" xr:uid="{00000000-0005-0000-0000-0000F1A80000}"/>
    <cellStyle name="Normal 11 3 4 2 2 2 2 2 2" xfId="43863" xr:uid="{00000000-0005-0000-0000-0000F2A80000}"/>
    <cellStyle name="Normal 11 3 4 2 2 2 2 2 2 2" xfId="43864" xr:uid="{00000000-0005-0000-0000-0000F3A80000}"/>
    <cellStyle name="Normal 11 3 4 2 2 2 2 2 3" xfId="43865" xr:uid="{00000000-0005-0000-0000-0000F4A80000}"/>
    <cellStyle name="Normal 11 3 4 2 2 2 2 3" xfId="43866" xr:uid="{00000000-0005-0000-0000-0000F5A80000}"/>
    <cellStyle name="Normal 11 3 4 2 2 2 2 3 2" xfId="43867" xr:uid="{00000000-0005-0000-0000-0000F6A80000}"/>
    <cellStyle name="Normal 11 3 4 2 2 2 2 4" xfId="43868" xr:uid="{00000000-0005-0000-0000-0000F7A80000}"/>
    <cellStyle name="Normal 11 3 4 2 2 2 3" xfId="43869" xr:uid="{00000000-0005-0000-0000-0000F8A80000}"/>
    <cellStyle name="Normal 11 3 4 2 2 2 3 2" xfId="43870" xr:uid="{00000000-0005-0000-0000-0000F9A80000}"/>
    <cellStyle name="Normal 11 3 4 2 2 2 3 2 2" xfId="43871" xr:uid="{00000000-0005-0000-0000-0000FAA80000}"/>
    <cellStyle name="Normal 11 3 4 2 2 2 3 2 2 2" xfId="43872" xr:uid="{00000000-0005-0000-0000-0000FBA80000}"/>
    <cellStyle name="Normal 11 3 4 2 2 2 3 2 3" xfId="43873" xr:uid="{00000000-0005-0000-0000-0000FCA80000}"/>
    <cellStyle name="Normal 11 3 4 2 2 2 3 3" xfId="43874" xr:uid="{00000000-0005-0000-0000-0000FDA80000}"/>
    <cellStyle name="Normal 11 3 4 2 2 2 3 3 2" xfId="43875" xr:uid="{00000000-0005-0000-0000-0000FEA80000}"/>
    <cellStyle name="Normal 11 3 4 2 2 2 3 4" xfId="43876" xr:uid="{00000000-0005-0000-0000-0000FFA80000}"/>
    <cellStyle name="Normal 11 3 4 2 2 2 4" xfId="43877" xr:uid="{00000000-0005-0000-0000-000000A90000}"/>
    <cellStyle name="Normal 11 3 4 2 2 2 4 2" xfId="43878" xr:uid="{00000000-0005-0000-0000-000001A90000}"/>
    <cellStyle name="Normal 11 3 4 2 2 2 4 2 2" xfId="43879" xr:uid="{00000000-0005-0000-0000-000002A90000}"/>
    <cellStyle name="Normal 11 3 4 2 2 2 4 3" xfId="43880" xr:uid="{00000000-0005-0000-0000-000003A90000}"/>
    <cellStyle name="Normal 11 3 4 2 2 2 5" xfId="43881" xr:uid="{00000000-0005-0000-0000-000004A90000}"/>
    <cellStyle name="Normal 11 3 4 2 2 2 5 2" xfId="43882" xr:uid="{00000000-0005-0000-0000-000005A90000}"/>
    <cellStyle name="Normal 11 3 4 2 2 2 6" xfId="43883" xr:uid="{00000000-0005-0000-0000-000006A90000}"/>
    <cellStyle name="Normal 11 3 4 2 2 2 7" xfId="43860" xr:uid="{00000000-0005-0000-0000-000007A90000}"/>
    <cellStyle name="Normal 11 3 4 2 2 3" xfId="43884" xr:uid="{00000000-0005-0000-0000-000008A90000}"/>
    <cellStyle name="Normal 11 3 4 2 2 3 2" xfId="43885" xr:uid="{00000000-0005-0000-0000-000009A90000}"/>
    <cellStyle name="Normal 11 3 4 2 2 3 2 2" xfId="43886" xr:uid="{00000000-0005-0000-0000-00000AA90000}"/>
    <cellStyle name="Normal 11 3 4 2 2 3 2 2 2" xfId="43887" xr:uid="{00000000-0005-0000-0000-00000BA90000}"/>
    <cellStyle name="Normal 11 3 4 2 2 3 2 2 2 2" xfId="43888" xr:uid="{00000000-0005-0000-0000-00000CA90000}"/>
    <cellStyle name="Normal 11 3 4 2 2 3 2 2 3" xfId="43889" xr:uid="{00000000-0005-0000-0000-00000DA90000}"/>
    <cellStyle name="Normal 11 3 4 2 2 3 2 3" xfId="43890" xr:uid="{00000000-0005-0000-0000-00000EA90000}"/>
    <cellStyle name="Normal 11 3 4 2 2 3 2 3 2" xfId="43891" xr:uid="{00000000-0005-0000-0000-00000FA90000}"/>
    <cellStyle name="Normal 11 3 4 2 2 3 2 4" xfId="43892" xr:uid="{00000000-0005-0000-0000-000010A90000}"/>
    <cellStyle name="Normal 11 3 4 2 2 3 3" xfId="43893" xr:uid="{00000000-0005-0000-0000-000011A90000}"/>
    <cellStyle name="Normal 11 3 4 2 2 3 3 2" xfId="43894" xr:uid="{00000000-0005-0000-0000-000012A90000}"/>
    <cellStyle name="Normal 11 3 4 2 2 3 3 2 2" xfId="43895" xr:uid="{00000000-0005-0000-0000-000013A90000}"/>
    <cellStyle name="Normal 11 3 4 2 2 3 3 3" xfId="43896" xr:uid="{00000000-0005-0000-0000-000014A90000}"/>
    <cellStyle name="Normal 11 3 4 2 2 3 4" xfId="43897" xr:uid="{00000000-0005-0000-0000-000015A90000}"/>
    <cellStyle name="Normal 11 3 4 2 2 3 4 2" xfId="43898" xr:uid="{00000000-0005-0000-0000-000016A90000}"/>
    <cellStyle name="Normal 11 3 4 2 2 3 5" xfId="43899" xr:uid="{00000000-0005-0000-0000-000017A90000}"/>
    <cellStyle name="Normal 11 3 4 2 2 4" xfId="43900" xr:uid="{00000000-0005-0000-0000-000018A90000}"/>
    <cellStyle name="Normal 11 3 4 2 2 4 2" xfId="43901" xr:uid="{00000000-0005-0000-0000-000019A90000}"/>
    <cellStyle name="Normal 11 3 4 2 2 4 2 2" xfId="43902" xr:uid="{00000000-0005-0000-0000-00001AA90000}"/>
    <cellStyle name="Normal 11 3 4 2 2 4 2 2 2" xfId="43903" xr:uid="{00000000-0005-0000-0000-00001BA90000}"/>
    <cellStyle name="Normal 11 3 4 2 2 4 2 2 2 2" xfId="43904" xr:uid="{00000000-0005-0000-0000-00001CA90000}"/>
    <cellStyle name="Normal 11 3 4 2 2 4 2 2 3" xfId="43905" xr:uid="{00000000-0005-0000-0000-00001DA90000}"/>
    <cellStyle name="Normal 11 3 4 2 2 4 2 3" xfId="43906" xr:uid="{00000000-0005-0000-0000-00001EA90000}"/>
    <cellStyle name="Normal 11 3 4 2 2 4 2 3 2" xfId="43907" xr:uid="{00000000-0005-0000-0000-00001FA90000}"/>
    <cellStyle name="Normal 11 3 4 2 2 4 2 4" xfId="43908" xr:uid="{00000000-0005-0000-0000-000020A90000}"/>
    <cellStyle name="Normal 11 3 4 2 2 4 3" xfId="43909" xr:uid="{00000000-0005-0000-0000-000021A90000}"/>
    <cellStyle name="Normal 11 3 4 2 2 4 3 2" xfId="43910" xr:uid="{00000000-0005-0000-0000-000022A90000}"/>
    <cellStyle name="Normal 11 3 4 2 2 4 3 2 2" xfId="43911" xr:uid="{00000000-0005-0000-0000-000023A90000}"/>
    <cellStyle name="Normal 11 3 4 2 2 4 3 3" xfId="43912" xr:uid="{00000000-0005-0000-0000-000024A90000}"/>
    <cellStyle name="Normal 11 3 4 2 2 4 4" xfId="43913" xr:uid="{00000000-0005-0000-0000-000025A90000}"/>
    <cellStyle name="Normal 11 3 4 2 2 4 4 2" xfId="43914" xr:uid="{00000000-0005-0000-0000-000026A90000}"/>
    <cellStyle name="Normal 11 3 4 2 2 4 5" xfId="43915" xr:uid="{00000000-0005-0000-0000-000027A90000}"/>
    <cellStyle name="Normal 11 3 4 2 2 5" xfId="43916" xr:uid="{00000000-0005-0000-0000-000028A90000}"/>
    <cellStyle name="Normal 11 3 4 2 2 5 2" xfId="43917" xr:uid="{00000000-0005-0000-0000-000029A90000}"/>
    <cellStyle name="Normal 11 3 4 2 2 5 2 2" xfId="43918" xr:uid="{00000000-0005-0000-0000-00002AA90000}"/>
    <cellStyle name="Normal 11 3 4 2 2 5 2 2 2" xfId="43919" xr:uid="{00000000-0005-0000-0000-00002BA90000}"/>
    <cellStyle name="Normal 11 3 4 2 2 5 2 3" xfId="43920" xr:uid="{00000000-0005-0000-0000-00002CA90000}"/>
    <cellStyle name="Normal 11 3 4 2 2 5 3" xfId="43921" xr:uid="{00000000-0005-0000-0000-00002DA90000}"/>
    <cellStyle name="Normal 11 3 4 2 2 5 3 2" xfId="43922" xr:uid="{00000000-0005-0000-0000-00002EA90000}"/>
    <cellStyle name="Normal 11 3 4 2 2 5 4" xfId="43923" xr:uid="{00000000-0005-0000-0000-00002FA90000}"/>
    <cellStyle name="Normal 11 3 4 2 2 6" xfId="43924" xr:uid="{00000000-0005-0000-0000-000030A90000}"/>
    <cellStyle name="Normal 11 3 4 2 2 6 2" xfId="43925" xr:uid="{00000000-0005-0000-0000-000031A90000}"/>
    <cellStyle name="Normal 11 3 4 2 2 6 2 2" xfId="43926" xr:uid="{00000000-0005-0000-0000-000032A90000}"/>
    <cellStyle name="Normal 11 3 4 2 2 6 2 2 2" xfId="43927" xr:uid="{00000000-0005-0000-0000-000033A90000}"/>
    <cellStyle name="Normal 11 3 4 2 2 6 2 3" xfId="43928" xr:uid="{00000000-0005-0000-0000-000034A90000}"/>
    <cellStyle name="Normal 11 3 4 2 2 6 3" xfId="43929" xr:uid="{00000000-0005-0000-0000-000035A90000}"/>
    <cellStyle name="Normal 11 3 4 2 2 6 3 2" xfId="43930" xr:uid="{00000000-0005-0000-0000-000036A90000}"/>
    <cellStyle name="Normal 11 3 4 2 2 6 4" xfId="43931" xr:uid="{00000000-0005-0000-0000-000037A90000}"/>
    <cellStyle name="Normal 11 3 4 2 2 7" xfId="43932" xr:uid="{00000000-0005-0000-0000-000038A90000}"/>
    <cellStyle name="Normal 11 3 4 2 2 7 2" xfId="43933" xr:uid="{00000000-0005-0000-0000-000039A90000}"/>
    <cellStyle name="Normal 11 3 4 2 2 7 2 2" xfId="43934" xr:uid="{00000000-0005-0000-0000-00003AA90000}"/>
    <cellStyle name="Normal 11 3 4 2 2 7 2 2 2" xfId="43935" xr:uid="{00000000-0005-0000-0000-00003BA90000}"/>
    <cellStyle name="Normal 11 3 4 2 2 7 2 3" xfId="43936" xr:uid="{00000000-0005-0000-0000-00003CA90000}"/>
    <cellStyle name="Normal 11 3 4 2 2 7 3" xfId="43937" xr:uid="{00000000-0005-0000-0000-00003DA90000}"/>
    <cellStyle name="Normal 11 3 4 2 2 7 3 2" xfId="43938" xr:uid="{00000000-0005-0000-0000-00003EA90000}"/>
    <cellStyle name="Normal 11 3 4 2 2 7 4" xfId="43939" xr:uid="{00000000-0005-0000-0000-00003FA90000}"/>
    <cellStyle name="Normal 11 3 4 2 2 8" xfId="43940" xr:uid="{00000000-0005-0000-0000-000040A90000}"/>
    <cellStyle name="Normal 11 3 4 2 2 8 2" xfId="43941" xr:uid="{00000000-0005-0000-0000-000041A90000}"/>
    <cellStyle name="Normal 11 3 4 2 2 8 2 2" xfId="43942" xr:uid="{00000000-0005-0000-0000-000042A90000}"/>
    <cellStyle name="Normal 11 3 4 2 2 8 3" xfId="43943" xr:uid="{00000000-0005-0000-0000-000043A90000}"/>
    <cellStyle name="Normal 11 3 4 2 2 9" xfId="43944" xr:uid="{00000000-0005-0000-0000-000044A90000}"/>
    <cellStyle name="Normal 11 3 4 2 2 9 2" xfId="43945" xr:uid="{00000000-0005-0000-0000-000045A90000}"/>
    <cellStyle name="Normal 11 3 4 2 3" xfId="1471" xr:uid="{00000000-0005-0000-0000-000046A90000}"/>
    <cellStyle name="Normal 11 3 4 2 3 2" xfId="43947" xr:uid="{00000000-0005-0000-0000-000047A90000}"/>
    <cellStyle name="Normal 11 3 4 2 3 2 2" xfId="43948" xr:uid="{00000000-0005-0000-0000-000048A90000}"/>
    <cellStyle name="Normal 11 3 4 2 3 2 2 2" xfId="43949" xr:uid="{00000000-0005-0000-0000-000049A90000}"/>
    <cellStyle name="Normal 11 3 4 2 3 2 2 2 2" xfId="43950" xr:uid="{00000000-0005-0000-0000-00004AA90000}"/>
    <cellStyle name="Normal 11 3 4 2 3 2 2 3" xfId="43951" xr:uid="{00000000-0005-0000-0000-00004BA90000}"/>
    <cellStyle name="Normal 11 3 4 2 3 2 3" xfId="43952" xr:uid="{00000000-0005-0000-0000-00004CA90000}"/>
    <cellStyle name="Normal 11 3 4 2 3 2 3 2" xfId="43953" xr:uid="{00000000-0005-0000-0000-00004DA90000}"/>
    <cellStyle name="Normal 11 3 4 2 3 2 4" xfId="43954" xr:uid="{00000000-0005-0000-0000-00004EA90000}"/>
    <cellStyle name="Normal 11 3 4 2 3 3" xfId="43955" xr:uid="{00000000-0005-0000-0000-00004FA90000}"/>
    <cellStyle name="Normal 11 3 4 2 3 3 2" xfId="43956" xr:uid="{00000000-0005-0000-0000-000050A90000}"/>
    <cellStyle name="Normal 11 3 4 2 3 3 2 2" xfId="43957" xr:uid="{00000000-0005-0000-0000-000051A90000}"/>
    <cellStyle name="Normal 11 3 4 2 3 3 2 2 2" xfId="43958" xr:uid="{00000000-0005-0000-0000-000052A90000}"/>
    <cellStyle name="Normal 11 3 4 2 3 3 2 3" xfId="43959" xr:uid="{00000000-0005-0000-0000-000053A90000}"/>
    <cellStyle name="Normal 11 3 4 2 3 3 3" xfId="43960" xr:uid="{00000000-0005-0000-0000-000054A90000}"/>
    <cellStyle name="Normal 11 3 4 2 3 3 3 2" xfId="43961" xr:uid="{00000000-0005-0000-0000-000055A90000}"/>
    <cellStyle name="Normal 11 3 4 2 3 3 4" xfId="43962" xr:uid="{00000000-0005-0000-0000-000056A90000}"/>
    <cellStyle name="Normal 11 3 4 2 3 4" xfId="43963" xr:uid="{00000000-0005-0000-0000-000057A90000}"/>
    <cellStyle name="Normal 11 3 4 2 3 4 2" xfId="43964" xr:uid="{00000000-0005-0000-0000-000058A90000}"/>
    <cellStyle name="Normal 11 3 4 2 3 4 2 2" xfId="43965" xr:uid="{00000000-0005-0000-0000-000059A90000}"/>
    <cellStyle name="Normal 11 3 4 2 3 4 3" xfId="43966" xr:uid="{00000000-0005-0000-0000-00005AA90000}"/>
    <cellStyle name="Normal 11 3 4 2 3 5" xfId="43967" xr:uid="{00000000-0005-0000-0000-00005BA90000}"/>
    <cellStyle name="Normal 11 3 4 2 3 5 2" xfId="43968" xr:uid="{00000000-0005-0000-0000-00005CA90000}"/>
    <cellStyle name="Normal 11 3 4 2 3 6" xfId="43969" xr:uid="{00000000-0005-0000-0000-00005DA90000}"/>
    <cellStyle name="Normal 11 3 4 2 3 7" xfId="43946" xr:uid="{00000000-0005-0000-0000-00005EA90000}"/>
    <cellStyle name="Normal 11 3 4 2 4" xfId="43970" xr:uid="{00000000-0005-0000-0000-00005FA90000}"/>
    <cellStyle name="Normal 11 3 4 2 4 2" xfId="43971" xr:uid="{00000000-0005-0000-0000-000060A90000}"/>
    <cellStyle name="Normal 11 3 4 2 4 2 2" xfId="43972" xr:uid="{00000000-0005-0000-0000-000061A90000}"/>
    <cellStyle name="Normal 11 3 4 2 4 2 2 2" xfId="43973" xr:uid="{00000000-0005-0000-0000-000062A90000}"/>
    <cellStyle name="Normal 11 3 4 2 4 2 2 2 2" xfId="43974" xr:uid="{00000000-0005-0000-0000-000063A90000}"/>
    <cellStyle name="Normal 11 3 4 2 4 2 2 3" xfId="43975" xr:uid="{00000000-0005-0000-0000-000064A90000}"/>
    <cellStyle name="Normal 11 3 4 2 4 2 3" xfId="43976" xr:uid="{00000000-0005-0000-0000-000065A90000}"/>
    <cellStyle name="Normal 11 3 4 2 4 2 3 2" xfId="43977" xr:uid="{00000000-0005-0000-0000-000066A90000}"/>
    <cellStyle name="Normal 11 3 4 2 4 2 4" xfId="43978" xr:uid="{00000000-0005-0000-0000-000067A90000}"/>
    <cellStyle name="Normal 11 3 4 2 4 3" xfId="43979" xr:uid="{00000000-0005-0000-0000-000068A90000}"/>
    <cellStyle name="Normal 11 3 4 2 4 3 2" xfId="43980" xr:uid="{00000000-0005-0000-0000-000069A90000}"/>
    <cellStyle name="Normal 11 3 4 2 4 3 2 2" xfId="43981" xr:uid="{00000000-0005-0000-0000-00006AA90000}"/>
    <cellStyle name="Normal 11 3 4 2 4 3 3" xfId="43982" xr:uid="{00000000-0005-0000-0000-00006BA90000}"/>
    <cellStyle name="Normal 11 3 4 2 4 4" xfId="43983" xr:uid="{00000000-0005-0000-0000-00006CA90000}"/>
    <cellStyle name="Normal 11 3 4 2 4 4 2" xfId="43984" xr:uid="{00000000-0005-0000-0000-00006DA90000}"/>
    <cellStyle name="Normal 11 3 4 2 4 5" xfId="43985" xr:uid="{00000000-0005-0000-0000-00006EA90000}"/>
    <cellStyle name="Normal 11 3 4 2 5" xfId="43986" xr:uid="{00000000-0005-0000-0000-00006FA90000}"/>
    <cellStyle name="Normal 11 3 4 2 5 2" xfId="43987" xr:uid="{00000000-0005-0000-0000-000070A90000}"/>
    <cellStyle name="Normal 11 3 4 2 5 2 2" xfId="43988" xr:uid="{00000000-0005-0000-0000-000071A90000}"/>
    <cellStyle name="Normal 11 3 4 2 5 2 2 2" xfId="43989" xr:uid="{00000000-0005-0000-0000-000072A90000}"/>
    <cellStyle name="Normal 11 3 4 2 5 2 2 2 2" xfId="43990" xr:uid="{00000000-0005-0000-0000-000073A90000}"/>
    <cellStyle name="Normal 11 3 4 2 5 2 2 3" xfId="43991" xr:uid="{00000000-0005-0000-0000-000074A90000}"/>
    <cellStyle name="Normal 11 3 4 2 5 2 3" xfId="43992" xr:uid="{00000000-0005-0000-0000-000075A90000}"/>
    <cellStyle name="Normal 11 3 4 2 5 2 3 2" xfId="43993" xr:uid="{00000000-0005-0000-0000-000076A90000}"/>
    <cellStyle name="Normal 11 3 4 2 5 2 4" xfId="43994" xr:uid="{00000000-0005-0000-0000-000077A90000}"/>
    <cellStyle name="Normal 11 3 4 2 5 3" xfId="43995" xr:uid="{00000000-0005-0000-0000-000078A90000}"/>
    <cellStyle name="Normal 11 3 4 2 5 3 2" xfId="43996" xr:uid="{00000000-0005-0000-0000-000079A90000}"/>
    <cellStyle name="Normal 11 3 4 2 5 3 2 2" xfId="43997" xr:uid="{00000000-0005-0000-0000-00007AA90000}"/>
    <cellStyle name="Normal 11 3 4 2 5 3 3" xfId="43998" xr:uid="{00000000-0005-0000-0000-00007BA90000}"/>
    <cellStyle name="Normal 11 3 4 2 5 4" xfId="43999" xr:uid="{00000000-0005-0000-0000-00007CA90000}"/>
    <cellStyle name="Normal 11 3 4 2 5 4 2" xfId="44000" xr:uid="{00000000-0005-0000-0000-00007DA90000}"/>
    <cellStyle name="Normal 11 3 4 2 5 5" xfId="44001" xr:uid="{00000000-0005-0000-0000-00007EA90000}"/>
    <cellStyle name="Normal 11 3 4 2 6" xfId="44002" xr:uid="{00000000-0005-0000-0000-00007FA90000}"/>
    <cellStyle name="Normal 11 3 4 2 6 2" xfId="44003" xr:uid="{00000000-0005-0000-0000-000080A90000}"/>
    <cellStyle name="Normal 11 3 4 2 6 2 2" xfId="44004" xr:uid="{00000000-0005-0000-0000-000081A90000}"/>
    <cellStyle name="Normal 11 3 4 2 6 2 2 2" xfId="44005" xr:uid="{00000000-0005-0000-0000-000082A90000}"/>
    <cellStyle name="Normal 11 3 4 2 6 2 3" xfId="44006" xr:uid="{00000000-0005-0000-0000-000083A90000}"/>
    <cellStyle name="Normal 11 3 4 2 6 3" xfId="44007" xr:uid="{00000000-0005-0000-0000-000084A90000}"/>
    <cellStyle name="Normal 11 3 4 2 6 3 2" xfId="44008" xr:uid="{00000000-0005-0000-0000-000085A90000}"/>
    <cellStyle name="Normal 11 3 4 2 6 4" xfId="44009" xr:uid="{00000000-0005-0000-0000-000086A90000}"/>
    <cellStyle name="Normal 11 3 4 2 7" xfId="44010" xr:uid="{00000000-0005-0000-0000-000087A90000}"/>
    <cellStyle name="Normal 11 3 4 2 7 2" xfId="44011" xr:uid="{00000000-0005-0000-0000-000088A90000}"/>
    <cellStyle name="Normal 11 3 4 2 7 2 2" xfId="44012" xr:uid="{00000000-0005-0000-0000-000089A90000}"/>
    <cellStyle name="Normal 11 3 4 2 7 2 2 2" xfId="44013" xr:uid="{00000000-0005-0000-0000-00008AA90000}"/>
    <cellStyle name="Normal 11 3 4 2 7 2 3" xfId="44014" xr:uid="{00000000-0005-0000-0000-00008BA90000}"/>
    <cellStyle name="Normal 11 3 4 2 7 3" xfId="44015" xr:uid="{00000000-0005-0000-0000-00008CA90000}"/>
    <cellStyle name="Normal 11 3 4 2 7 3 2" xfId="44016" xr:uid="{00000000-0005-0000-0000-00008DA90000}"/>
    <cellStyle name="Normal 11 3 4 2 7 4" xfId="44017" xr:uid="{00000000-0005-0000-0000-00008EA90000}"/>
    <cellStyle name="Normal 11 3 4 2 8" xfId="44018" xr:uid="{00000000-0005-0000-0000-00008FA90000}"/>
    <cellStyle name="Normal 11 3 4 2 8 2" xfId="44019" xr:uid="{00000000-0005-0000-0000-000090A90000}"/>
    <cellStyle name="Normal 11 3 4 2 8 2 2" xfId="44020" xr:uid="{00000000-0005-0000-0000-000091A90000}"/>
    <cellStyle name="Normal 11 3 4 2 8 2 2 2" xfId="44021" xr:uid="{00000000-0005-0000-0000-000092A90000}"/>
    <cellStyle name="Normal 11 3 4 2 8 2 3" xfId="44022" xr:uid="{00000000-0005-0000-0000-000093A90000}"/>
    <cellStyle name="Normal 11 3 4 2 8 3" xfId="44023" xr:uid="{00000000-0005-0000-0000-000094A90000}"/>
    <cellStyle name="Normal 11 3 4 2 8 3 2" xfId="44024" xr:uid="{00000000-0005-0000-0000-000095A90000}"/>
    <cellStyle name="Normal 11 3 4 2 8 4" xfId="44025" xr:uid="{00000000-0005-0000-0000-000096A90000}"/>
    <cellStyle name="Normal 11 3 4 2 9" xfId="44026" xr:uid="{00000000-0005-0000-0000-000097A90000}"/>
    <cellStyle name="Normal 11 3 4 2 9 2" xfId="44027" xr:uid="{00000000-0005-0000-0000-000098A90000}"/>
    <cellStyle name="Normal 11 3 4 2 9 2 2" xfId="44028" xr:uid="{00000000-0005-0000-0000-000099A90000}"/>
    <cellStyle name="Normal 11 3 4 2 9 3" xfId="44029" xr:uid="{00000000-0005-0000-0000-00009AA90000}"/>
    <cellStyle name="Normal 11 3 4 3" xfId="628" xr:uid="{00000000-0005-0000-0000-00009BA90000}"/>
    <cellStyle name="Normal 11 3 4 3 10" xfId="44031" xr:uid="{00000000-0005-0000-0000-00009CA90000}"/>
    <cellStyle name="Normal 11 3 4 3 10 2" xfId="44032" xr:uid="{00000000-0005-0000-0000-00009DA90000}"/>
    <cellStyle name="Normal 11 3 4 3 10 2 2" xfId="44033" xr:uid="{00000000-0005-0000-0000-00009EA90000}"/>
    <cellStyle name="Normal 11 3 4 3 10 3" xfId="44034" xr:uid="{00000000-0005-0000-0000-00009FA90000}"/>
    <cellStyle name="Normal 11 3 4 3 11" xfId="44035" xr:uid="{00000000-0005-0000-0000-0000A0A90000}"/>
    <cellStyle name="Normal 11 3 4 3 11 2" xfId="44036" xr:uid="{00000000-0005-0000-0000-0000A1A90000}"/>
    <cellStyle name="Normal 11 3 4 3 11 2 2" xfId="44037" xr:uid="{00000000-0005-0000-0000-0000A2A90000}"/>
    <cellStyle name="Normal 11 3 4 3 11 3" xfId="44038" xr:uid="{00000000-0005-0000-0000-0000A3A90000}"/>
    <cellStyle name="Normal 11 3 4 3 12" xfId="44039" xr:uid="{00000000-0005-0000-0000-0000A4A90000}"/>
    <cellStyle name="Normal 11 3 4 3 12 2" xfId="44040" xr:uid="{00000000-0005-0000-0000-0000A5A90000}"/>
    <cellStyle name="Normal 11 3 4 3 13" xfId="44041" xr:uid="{00000000-0005-0000-0000-0000A6A90000}"/>
    <cellStyle name="Normal 11 3 4 3 14" xfId="44042" xr:uid="{00000000-0005-0000-0000-0000A7A90000}"/>
    <cellStyle name="Normal 11 3 4 3 15" xfId="44030" xr:uid="{00000000-0005-0000-0000-0000A8A90000}"/>
    <cellStyle name="Normal 11 3 4 3 2" xfId="1070" xr:uid="{00000000-0005-0000-0000-0000A9A90000}"/>
    <cellStyle name="Normal 11 3 4 3 2 10" xfId="44044" xr:uid="{00000000-0005-0000-0000-0000AAA90000}"/>
    <cellStyle name="Normal 11 3 4 3 2 11" xfId="44043" xr:uid="{00000000-0005-0000-0000-0000ABA90000}"/>
    <cellStyle name="Normal 11 3 4 3 2 2" xfId="1799" xr:uid="{00000000-0005-0000-0000-0000ACA90000}"/>
    <cellStyle name="Normal 11 3 4 3 2 2 2" xfId="44046" xr:uid="{00000000-0005-0000-0000-0000ADA90000}"/>
    <cellStyle name="Normal 11 3 4 3 2 2 2 2" xfId="44047" xr:uid="{00000000-0005-0000-0000-0000AEA90000}"/>
    <cellStyle name="Normal 11 3 4 3 2 2 2 2 2" xfId="44048" xr:uid="{00000000-0005-0000-0000-0000AFA90000}"/>
    <cellStyle name="Normal 11 3 4 3 2 2 2 2 2 2" xfId="44049" xr:uid="{00000000-0005-0000-0000-0000B0A90000}"/>
    <cellStyle name="Normal 11 3 4 3 2 2 2 2 3" xfId="44050" xr:uid="{00000000-0005-0000-0000-0000B1A90000}"/>
    <cellStyle name="Normal 11 3 4 3 2 2 2 3" xfId="44051" xr:uid="{00000000-0005-0000-0000-0000B2A90000}"/>
    <cellStyle name="Normal 11 3 4 3 2 2 2 3 2" xfId="44052" xr:uid="{00000000-0005-0000-0000-0000B3A90000}"/>
    <cellStyle name="Normal 11 3 4 3 2 2 2 4" xfId="44053" xr:uid="{00000000-0005-0000-0000-0000B4A90000}"/>
    <cellStyle name="Normal 11 3 4 3 2 2 3" xfId="44054" xr:uid="{00000000-0005-0000-0000-0000B5A90000}"/>
    <cellStyle name="Normal 11 3 4 3 2 2 3 2" xfId="44055" xr:uid="{00000000-0005-0000-0000-0000B6A90000}"/>
    <cellStyle name="Normal 11 3 4 3 2 2 3 2 2" xfId="44056" xr:uid="{00000000-0005-0000-0000-0000B7A90000}"/>
    <cellStyle name="Normal 11 3 4 3 2 2 3 2 2 2" xfId="44057" xr:uid="{00000000-0005-0000-0000-0000B8A90000}"/>
    <cellStyle name="Normal 11 3 4 3 2 2 3 2 3" xfId="44058" xr:uid="{00000000-0005-0000-0000-0000B9A90000}"/>
    <cellStyle name="Normal 11 3 4 3 2 2 3 3" xfId="44059" xr:uid="{00000000-0005-0000-0000-0000BAA90000}"/>
    <cellStyle name="Normal 11 3 4 3 2 2 3 3 2" xfId="44060" xr:uid="{00000000-0005-0000-0000-0000BBA90000}"/>
    <cellStyle name="Normal 11 3 4 3 2 2 3 4" xfId="44061" xr:uid="{00000000-0005-0000-0000-0000BCA90000}"/>
    <cellStyle name="Normal 11 3 4 3 2 2 4" xfId="44062" xr:uid="{00000000-0005-0000-0000-0000BDA90000}"/>
    <cellStyle name="Normal 11 3 4 3 2 2 4 2" xfId="44063" xr:uid="{00000000-0005-0000-0000-0000BEA90000}"/>
    <cellStyle name="Normal 11 3 4 3 2 2 4 2 2" xfId="44064" xr:uid="{00000000-0005-0000-0000-0000BFA90000}"/>
    <cellStyle name="Normal 11 3 4 3 2 2 4 3" xfId="44065" xr:uid="{00000000-0005-0000-0000-0000C0A90000}"/>
    <cellStyle name="Normal 11 3 4 3 2 2 5" xfId="44066" xr:uid="{00000000-0005-0000-0000-0000C1A90000}"/>
    <cellStyle name="Normal 11 3 4 3 2 2 5 2" xfId="44067" xr:uid="{00000000-0005-0000-0000-0000C2A90000}"/>
    <cellStyle name="Normal 11 3 4 3 2 2 6" xfId="44068" xr:uid="{00000000-0005-0000-0000-0000C3A90000}"/>
    <cellStyle name="Normal 11 3 4 3 2 2 7" xfId="44045" xr:uid="{00000000-0005-0000-0000-0000C4A90000}"/>
    <cellStyle name="Normal 11 3 4 3 2 3" xfId="44069" xr:uid="{00000000-0005-0000-0000-0000C5A90000}"/>
    <cellStyle name="Normal 11 3 4 3 2 3 2" xfId="44070" xr:uid="{00000000-0005-0000-0000-0000C6A90000}"/>
    <cellStyle name="Normal 11 3 4 3 2 3 2 2" xfId="44071" xr:uid="{00000000-0005-0000-0000-0000C7A90000}"/>
    <cellStyle name="Normal 11 3 4 3 2 3 2 2 2" xfId="44072" xr:uid="{00000000-0005-0000-0000-0000C8A90000}"/>
    <cellStyle name="Normal 11 3 4 3 2 3 2 2 2 2" xfId="44073" xr:uid="{00000000-0005-0000-0000-0000C9A90000}"/>
    <cellStyle name="Normal 11 3 4 3 2 3 2 2 3" xfId="44074" xr:uid="{00000000-0005-0000-0000-0000CAA90000}"/>
    <cellStyle name="Normal 11 3 4 3 2 3 2 3" xfId="44075" xr:uid="{00000000-0005-0000-0000-0000CBA90000}"/>
    <cellStyle name="Normal 11 3 4 3 2 3 2 3 2" xfId="44076" xr:uid="{00000000-0005-0000-0000-0000CCA90000}"/>
    <cellStyle name="Normal 11 3 4 3 2 3 2 4" xfId="44077" xr:uid="{00000000-0005-0000-0000-0000CDA90000}"/>
    <cellStyle name="Normal 11 3 4 3 2 3 3" xfId="44078" xr:uid="{00000000-0005-0000-0000-0000CEA90000}"/>
    <cellStyle name="Normal 11 3 4 3 2 3 3 2" xfId="44079" xr:uid="{00000000-0005-0000-0000-0000CFA90000}"/>
    <cellStyle name="Normal 11 3 4 3 2 3 3 2 2" xfId="44080" xr:uid="{00000000-0005-0000-0000-0000D0A90000}"/>
    <cellStyle name="Normal 11 3 4 3 2 3 3 3" xfId="44081" xr:uid="{00000000-0005-0000-0000-0000D1A90000}"/>
    <cellStyle name="Normal 11 3 4 3 2 3 4" xfId="44082" xr:uid="{00000000-0005-0000-0000-0000D2A90000}"/>
    <cellStyle name="Normal 11 3 4 3 2 3 4 2" xfId="44083" xr:uid="{00000000-0005-0000-0000-0000D3A90000}"/>
    <cellStyle name="Normal 11 3 4 3 2 3 5" xfId="44084" xr:uid="{00000000-0005-0000-0000-0000D4A90000}"/>
    <cellStyle name="Normal 11 3 4 3 2 4" xfId="44085" xr:uid="{00000000-0005-0000-0000-0000D5A90000}"/>
    <cellStyle name="Normal 11 3 4 3 2 4 2" xfId="44086" xr:uid="{00000000-0005-0000-0000-0000D6A90000}"/>
    <cellStyle name="Normal 11 3 4 3 2 4 2 2" xfId="44087" xr:uid="{00000000-0005-0000-0000-0000D7A90000}"/>
    <cellStyle name="Normal 11 3 4 3 2 4 2 2 2" xfId="44088" xr:uid="{00000000-0005-0000-0000-0000D8A90000}"/>
    <cellStyle name="Normal 11 3 4 3 2 4 2 2 2 2" xfId="44089" xr:uid="{00000000-0005-0000-0000-0000D9A90000}"/>
    <cellStyle name="Normal 11 3 4 3 2 4 2 2 3" xfId="44090" xr:uid="{00000000-0005-0000-0000-0000DAA90000}"/>
    <cellStyle name="Normal 11 3 4 3 2 4 2 3" xfId="44091" xr:uid="{00000000-0005-0000-0000-0000DBA90000}"/>
    <cellStyle name="Normal 11 3 4 3 2 4 2 3 2" xfId="44092" xr:uid="{00000000-0005-0000-0000-0000DCA90000}"/>
    <cellStyle name="Normal 11 3 4 3 2 4 2 4" xfId="44093" xr:uid="{00000000-0005-0000-0000-0000DDA90000}"/>
    <cellStyle name="Normal 11 3 4 3 2 4 3" xfId="44094" xr:uid="{00000000-0005-0000-0000-0000DEA90000}"/>
    <cellStyle name="Normal 11 3 4 3 2 4 3 2" xfId="44095" xr:uid="{00000000-0005-0000-0000-0000DFA90000}"/>
    <cellStyle name="Normal 11 3 4 3 2 4 3 2 2" xfId="44096" xr:uid="{00000000-0005-0000-0000-0000E0A90000}"/>
    <cellStyle name="Normal 11 3 4 3 2 4 3 3" xfId="44097" xr:uid="{00000000-0005-0000-0000-0000E1A90000}"/>
    <cellStyle name="Normal 11 3 4 3 2 4 4" xfId="44098" xr:uid="{00000000-0005-0000-0000-0000E2A90000}"/>
    <cellStyle name="Normal 11 3 4 3 2 4 4 2" xfId="44099" xr:uid="{00000000-0005-0000-0000-0000E3A90000}"/>
    <cellStyle name="Normal 11 3 4 3 2 4 5" xfId="44100" xr:uid="{00000000-0005-0000-0000-0000E4A90000}"/>
    <cellStyle name="Normal 11 3 4 3 2 5" xfId="44101" xr:uid="{00000000-0005-0000-0000-0000E5A90000}"/>
    <cellStyle name="Normal 11 3 4 3 2 5 2" xfId="44102" xr:uid="{00000000-0005-0000-0000-0000E6A90000}"/>
    <cellStyle name="Normal 11 3 4 3 2 5 2 2" xfId="44103" xr:uid="{00000000-0005-0000-0000-0000E7A90000}"/>
    <cellStyle name="Normal 11 3 4 3 2 5 2 2 2" xfId="44104" xr:uid="{00000000-0005-0000-0000-0000E8A90000}"/>
    <cellStyle name="Normal 11 3 4 3 2 5 2 3" xfId="44105" xr:uid="{00000000-0005-0000-0000-0000E9A90000}"/>
    <cellStyle name="Normal 11 3 4 3 2 5 3" xfId="44106" xr:uid="{00000000-0005-0000-0000-0000EAA90000}"/>
    <cellStyle name="Normal 11 3 4 3 2 5 3 2" xfId="44107" xr:uid="{00000000-0005-0000-0000-0000EBA90000}"/>
    <cellStyle name="Normal 11 3 4 3 2 5 4" xfId="44108" xr:uid="{00000000-0005-0000-0000-0000ECA90000}"/>
    <cellStyle name="Normal 11 3 4 3 2 6" xfId="44109" xr:uid="{00000000-0005-0000-0000-0000EDA90000}"/>
    <cellStyle name="Normal 11 3 4 3 2 6 2" xfId="44110" xr:uid="{00000000-0005-0000-0000-0000EEA90000}"/>
    <cellStyle name="Normal 11 3 4 3 2 6 2 2" xfId="44111" xr:uid="{00000000-0005-0000-0000-0000EFA90000}"/>
    <cellStyle name="Normal 11 3 4 3 2 6 2 2 2" xfId="44112" xr:uid="{00000000-0005-0000-0000-0000F0A90000}"/>
    <cellStyle name="Normal 11 3 4 3 2 6 2 3" xfId="44113" xr:uid="{00000000-0005-0000-0000-0000F1A90000}"/>
    <cellStyle name="Normal 11 3 4 3 2 6 3" xfId="44114" xr:uid="{00000000-0005-0000-0000-0000F2A90000}"/>
    <cellStyle name="Normal 11 3 4 3 2 6 3 2" xfId="44115" xr:uid="{00000000-0005-0000-0000-0000F3A90000}"/>
    <cellStyle name="Normal 11 3 4 3 2 6 4" xfId="44116" xr:uid="{00000000-0005-0000-0000-0000F4A90000}"/>
    <cellStyle name="Normal 11 3 4 3 2 7" xfId="44117" xr:uid="{00000000-0005-0000-0000-0000F5A90000}"/>
    <cellStyle name="Normal 11 3 4 3 2 7 2" xfId="44118" xr:uid="{00000000-0005-0000-0000-0000F6A90000}"/>
    <cellStyle name="Normal 11 3 4 3 2 7 2 2" xfId="44119" xr:uid="{00000000-0005-0000-0000-0000F7A90000}"/>
    <cellStyle name="Normal 11 3 4 3 2 7 2 2 2" xfId="44120" xr:uid="{00000000-0005-0000-0000-0000F8A90000}"/>
    <cellStyle name="Normal 11 3 4 3 2 7 2 3" xfId="44121" xr:uid="{00000000-0005-0000-0000-0000F9A90000}"/>
    <cellStyle name="Normal 11 3 4 3 2 7 3" xfId="44122" xr:uid="{00000000-0005-0000-0000-0000FAA90000}"/>
    <cellStyle name="Normal 11 3 4 3 2 7 3 2" xfId="44123" xr:uid="{00000000-0005-0000-0000-0000FBA90000}"/>
    <cellStyle name="Normal 11 3 4 3 2 7 4" xfId="44124" xr:uid="{00000000-0005-0000-0000-0000FCA90000}"/>
    <cellStyle name="Normal 11 3 4 3 2 8" xfId="44125" xr:uid="{00000000-0005-0000-0000-0000FDA90000}"/>
    <cellStyle name="Normal 11 3 4 3 2 8 2" xfId="44126" xr:uid="{00000000-0005-0000-0000-0000FEA90000}"/>
    <cellStyle name="Normal 11 3 4 3 2 8 2 2" xfId="44127" xr:uid="{00000000-0005-0000-0000-0000FFA90000}"/>
    <cellStyle name="Normal 11 3 4 3 2 8 3" xfId="44128" xr:uid="{00000000-0005-0000-0000-000000AA0000}"/>
    <cellStyle name="Normal 11 3 4 3 2 9" xfId="44129" xr:uid="{00000000-0005-0000-0000-000001AA0000}"/>
    <cellStyle name="Normal 11 3 4 3 2 9 2" xfId="44130" xr:uid="{00000000-0005-0000-0000-000002AA0000}"/>
    <cellStyle name="Normal 11 3 4 3 3" xfId="1472" xr:uid="{00000000-0005-0000-0000-000003AA0000}"/>
    <cellStyle name="Normal 11 3 4 3 3 2" xfId="44132" xr:uid="{00000000-0005-0000-0000-000004AA0000}"/>
    <cellStyle name="Normal 11 3 4 3 3 2 2" xfId="44133" xr:uid="{00000000-0005-0000-0000-000005AA0000}"/>
    <cellStyle name="Normal 11 3 4 3 3 2 2 2" xfId="44134" xr:uid="{00000000-0005-0000-0000-000006AA0000}"/>
    <cellStyle name="Normal 11 3 4 3 3 2 2 2 2" xfId="44135" xr:uid="{00000000-0005-0000-0000-000007AA0000}"/>
    <cellStyle name="Normal 11 3 4 3 3 2 2 3" xfId="44136" xr:uid="{00000000-0005-0000-0000-000008AA0000}"/>
    <cellStyle name="Normal 11 3 4 3 3 2 3" xfId="44137" xr:uid="{00000000-0005-0000-0000-000009AA0000}"/>
    <cellStyle name="Normal 11 3 4 3 3 2 3 2" xfId="44138" xr:uid="{00000000-0005-0000-0000-00000AAA0000}"/>
    <cellStyle name="Normal 11 3 4 3 3 2 4" xfId="44139" xr:uid="{00000000-0005-0000-0000-00000BAA0000}"/>
    <cellStyle name="Normal 11 3 4 3 3 3" xfId="44140" xr:uid="{00000000-0005-0000-0000-00000CAA0000}"/>
    <cellStyle name="Normal 11 3 4 3 3 3 2" xfId="44141" xr:uid="{00000000-0005-0000-0000-00000DAA0000}"/>
    <cellStyle name="Normal 11 3 4 3 3 3 2 2" xfId="44142" xr:uid="{00000000-0005-0000-0000-00000EAA0000}"/>
    <cellStyle name="Normal 11 3 4 3 3 3 2 2 2" xfId="44143" xr:uid="{00000000-0005-0000-0000-00000FAA0000}"/>
    <cellStyle name="Normal 11 3 4 3 3 3 2 3" xfId="44144" xr:uid="{00000000-0005-0000-0000-000010AA0000}"/>
    <cellStyle name="Normal 11 3 4 3 3 3 3" xfId="44145" xr:uid="{00000000-0005-0000-0000-000011AA0000}"/>
    <cellStyle name="Normal 11 3 4 3 3 3 3 2" xfId="44146" xr:uid="{00000000-0005-0000-0000-000012AA0000}"/>
    <cellStyle name="Normal 11 3 4 3 3 3 4" xfId="44147" xr:uid="{00000000-0005-0000-0000-000013AA0000}"/>
    <cellStyle name="Normal 11 3 4 3 3 4" xfId="44148" xr:uid="{00000000-0005-0000-0000-000014AA0000}"/>
    <cellStyle name="Normal 11 3 4 3 3 4 2" xfId="44149" xr:uid="{00000000-0005-0000-0000-000015AA0000}"/>
    <cellStyle name="Normal 11 3 4 3 3 4 2 2" xfId="44150" xr:uid="{00000000-0005-0000-0000-000016AA0000}"/>
    <cellStyle name="Normal 11 3 4 3 3 4 3" xfId="44151" xr:uid="{00000000-0005-0000-0000-000017AA0000}"/>
    <cellStyle name="Normal 11 3 4 3 3 5" xfId="44152" xr:uid="{00000000-0005-0000-0000-000018AA0000}"/>
    <cellStyle name="Normal 11 3 4 3 3 5 2" xfId="44153" xr:uid="{00000000-0005-0000-0000-000019AA0000}"/>
    <cellStyle name="Normal 11 3 4 3 3 6" xfId="44154" xr:uid="{00000000-0005-0000-0000-00001AAA0000}"/>
    <cellStyle name="Normal 11 3 4 3 3 7" xfId="44131" xr:uid="{00000000-0005-0000-0000-00001BAA0000}"/>
    <cellStyle name="Normal 11 3 4 3 4" xfId="44155" xr:uid="{00000000-0005-0000-0000-00001CAA0000}"/>
    <cellStyle name="Normal 11 3 4 3 4 2" xfId="44156" xr:uid="{00000000-0005-0000-0000-00001DAA0000}"/>
    <cellStyle name="Normal 11 3 4 3 4 2 2" xfId="44157" xr:uid="{00000000-0005-0000-0000-00001EAA0000}"/>
    <cellStyle name="Normal 11 3 4 3 4 2 2 2" xfId="44158" xr:uid="{00000000-0005-0000-0000-00001FAA0000}"/>
    <cellStyle name="Normal 11 3 4 3 4 2 2 2 2" xfId="44159" xr:uid="{00000000-0005-0000-0000-000020AA0000}"/>
    <cellStyle name="Normal 11 3 4 3 4 2 2 3" xfId="44160" xr:uid="{00000000-0005-0000-0000-000021AA0000}"/>
    <cellStyle name="Normal 11 3 4 3 4 2 3" xfId="44161" xr:uid="{00000000-0005-0000-0000-000022AA0000}"/>
    <cellStyle name="Normal 11 3 4 3 4 2 3 2" xfId="44162" xr:uid="{00000000-0005-0000-0000-000023AA0000}"/>
    <cellStyle name="Normal 11 3 4 3 4 2 4" xfId="44163" xr:uid="{00000000-0005-0000-0000-000024AA0000}"/>
    <cellStyle name="Normal 11 3 4 3 4 3" xfId="44164" xr:uid="{00000000-0005-0000-0000-000025AA0000}"/>
    <cellStyle name="Normal 11 3 4 3 4 3 2" xfId="44165" xr:uid="{00000000-0005-0000-0000-000026AA0000}"/>
    <cellStyle name="Normal 11 3 4 3 4 3 2 2" xfId="44166" xr:uid="{00000000-0005-0000-0000-000027AA0000}"/>
    <cellStyle name="Normal 11 3 4 3 4 3 3" xfId="44167" xr:uid="{00000000-0005-0000-0000-000028AA0000}"/>
    <cellStyle name="Normal 11 3 4 3 4 4" xfId="44168" xr:uid="{00000000-0005-0000-0000-000029AA0000}"/>
    <cellStyle name="Normal 11 3 4 3 4 4 2" xfId="44169" xr:uid="{00000000-0005-0000-0000-00002AAA0000}"/>
    <cellStyle name="Normal 11 3 4 3 4 5" xfId="44170" xr:uid="{00000000-0005-0000-0000-00002BAA0000}"/>
    <cellStyle name="Normal 11 3 4 3 5" xfId="44171" xr:uid="{00000000-0005-0000-0000-00002CAA0000}"/>
    <cellStyle name="Normal 11 3 4 3 5 2" xfId="44172" xr:uid="{00000000-0005-0000-0000-00002DAA0000}"/>
    <cellStyle name="Normal 11 3 4 3 5 2 2" xfId="44173" xr:uid="{00000000-0005-0000-0000-00002EAA0000}"/>
    <cellStyle name="Normal 11 3 4 3 5 2 2 2" xfId="44174" xr:uid="{00000000-0005-0000-0000-00002FAA0000}"/>
    <cellStyle name="Normal 11 3 4 3 5 2 2 2 2" xfId="44175" xr:uid="{00000000-0005-0000-0000-000030AA0000}"/>
    <cellStyle name="Normal 11 3 4 3 5 2 2 3" xfId="44176" xr:uid="{00000000-0005-0000-0000-000031AA0000}"/>
    <cellStyle name="Normal 11 3 4 3 5 2 3" xfId="44177" xr:uid="{00000000-0005-0000-0000-000032AA0000}"/>
    <cellStyle name="Normal 11 3 4 3 5 2 3 2" xfId="44178" xr:uid="{00000000-0005-0000-0000-000033AA0000}"/>
    <cellStyle name="Normal 11 3 4 3 5 2 4" xfId="44179" xr:uid="{00000000-0005-0000-0000-000034AA0000}"/>
    <cellStyle name="Normal 11 3 4 3 5 3" xfId="44180" xr:uid="{00000000-0005-0000-0000-000035AA0000}"/>
    <cellStyle name="Normal 11 3 4 3 5 3 2" xfId="44181" xr:uid="{00000000-0005-0000-0000-000036AA0000}"/>
    <cellStyle name="Normal 11 3 4 3 5 3 2 2" xfId="44182" xr:uid="{00000000-0005-0000-0000-000037AA0000}"/>
    <cellStyle name="Normal 11 3 4 3 5 3 3" xfId="44183" xr:uid="{00000000-0005-0000-0000-000038AA0000}"/>
    <cellStyle name="Normal 11 3 4 3 5 4" xfId="44184" xr:uid="{00000000-0005-0000-0000-000039AA0000}"/>
    <cellStyle name="Normal 11 3 4 3 5 4 2" xfId="44185" xr:uid="{00000000-0005-0000-0000-00003AAA0000}"/>
    <cellStyle name="Normal 11 3 4 3 5 5" xfId="44186" xr:uid="{00000000-0005-0000-0000-00003BAA0000}"/>
    <cellStyle name="Normal 11 3 4 3 6" xfId="44187" xr:uid="{00000000-0005-0000-0000-00003CAA0000}"/>
    <cellStyle name="Normal 11 3 4 3 6 2" xfId="44188" xr:uid="{00000000-0005-0000-0000-00003DAA0000}"/>
    <cellStyle name="Normal 11 3 4 3 6 2 2" xfId="44189" xr:uid="{00000000-0005-0000-0000-00003EAA0000}"/>
    <cellStyle name="Normal 11 3 4 3 6 2 2 2" xfId="44190" xr:uid="{00000000-0005-0000-0000-00003FAA0000}"/>
    <cellStyle name="Normal 11 3 4 3 6 2 3" xfId="44191" xr:uid="{00000000-0005-0000-0000-000040AA0000}"/>
    <cellStyle name="Normal 11 3 4 3 6 3" xfId="44192" xr:uid="{00000000-0005-0000-0000-000041AA0000}"/>
    <cellStyle name="Normal 11 3 4 3 6 3 2" xfId="44193" xr:uid="{00000000-0005-0000-0000-000042AA0000}"/>
    <cellStyle name="Normal 11 3 4 3 6 4" xfId="44194" xr:uid="{00000000-0005-0000-0000-000043AA0000}"/>
    <cellStyle name="Normal 11 3 4 3 7" xfId="44195" xr:uid="{00000000-0005-0000-0000-000044AA0000}"/>
    <cellStyle name="Normal 11 3 4 3 7 2" xfId="44196" xr:uid="{00000000-0005-0000-0000-000045AA0000}"/>
    <cellStyle name="Normal 11 3 4 3 7 2 2" xfId="44197" xr:uid="{00000000-0005-0000-0000-000046AA0000}"/>
    <cellStyle name="Normal 11 3 4 3 7 2 2 2" xfId="44198" xr:uid="{00000000-0005-0000-0000-000047AA0000}"/>
    <cellStyle name="Normal 11 3 4 3 7 2 3" xfId="44199" xr:uid="{00000000-0005-0000-0000-000048AA0000}"/>
    <cellStyle name="Normal 11 3 4 3 7 3" xfId="44200" xr:uid="{00000000-0005-0000-0000-000049AA0000}"/>
    <cellStyle name="Normal 11 3 4 3 7 3 2" xfId="44201" xr:uid="{00000000-0005-0000-0000-00004AAA0000}"/>
    <cellStyle name="Normal 11 3 4 3 7 4" xfId="44202" xr:uid="{00000000-0005-0000-0000-00004BAA0000}"/>
    <cellStyle name="Normal 11 3 4 3 8" xfId="44203" xr:uid="{00000000-0005-0000-0000-00004CAA0000}"/>
    <cellStyle name="Normal 11 3 4 3 8 2" xfId="44204" xr:uid="{00000000-0005-0000-0000-00004DAA0000}"/>
    <cellStyle name="Normal 11 3 4 3 8 2 2" xfId="44205" xr:uid="{00000000-0005-0000-0000-00004EAA0000}"/>
    <cellStyle name="Normal 11 3 4 3 8 2 2 2" xfId="44206" xr:uid="{00000000-0005-0000-0000-00004FAA0000}"/>
    <cellStyle name="Normal 11 3 4 3 8 2 3" xfId="44207" xr:uid="{00000000-0005-0000-0000-000050AA0000}"/>
    <cellStyle name="Normal 11 3 4 3 8 3" xfId="44208" xr:uid="{00000000-0005-0000-0000-000051AA0000}"/>
    <cellStyle name="Normal 11 3 4 3 8 3 2" xfId="44209" xr:uid="{00000000-0005-0000-0000-000052AA0000}"/>
    <cellStyle name="Normal 11 3 4 3 8 4" xfId="44210" xr:uid="{00000000-0005-0000-0000-000053AA0000}"/>
    <cellStyle name="Normal 11 3 4 3 9" xfId="44211" xr:uid="{00000000-0005-0000-0000-000054AA0000}"/>
    <cellStyle name="Normal 11 3 4 3 9 2" xfId="44212" xr:uid="{00000000-0005-0000-0000-000055AA0000}"/>
    <cellStyle name="Normal 11 3 4 3 9 2 2" xfId="44213" xr:uid="{00000000-0005-0000-0000-000056AA0000}"/>
    <cellStyle name="Normal 11 3 4 3 9 3" xfId="44214" xr:uid="{00000000-0005-0000-0000-000057AA0000}"/>
    <cellStyle name="Normal 11 3 4 4" xfId="1068" xr:uid="{00000000-0005-0000-0000-000058AA0000}"/>
    <cellStyle name="Normal 11 3 4 4 10" xfId="44216" xr:uid="{00000000-0005-0000-0000-000059AA0000}"/>
    <cellStyle name="Normal 11 3 4 4 11" xfId="44215" xr:uid="{00000000-0005-0000-0000-00005AAA0000}"/>
    <cellStyle name="Normal 11 3 4 4 2" xfId="1797" xr:uid="{00000000-0005-0000-0000-00005BAA0000}"/>
    <cellStyle name="Normal 11 3 4 4 2 2" xfId="44218" xr:uid="{00000000-0005-0000-0000-00005CAA0000}"/>
    <cellStyle name="Normal 11 3 4 4 2 2 2" xfId="44219" xr:uid="{00000000-0005-0000-0000-00005DAA0000}"/>
    <cellStyle name="Normal 11 3 4 4 2 2 2 2" xfId="44220" xr:uid="{00000000-0005-0000-0000-00005EAA0000}"/>
    <cellStyle name="Normal 11 3 4 4 2 2 2 2 2" xfId="44221" xr:uid="{00000000-0005-0000-0000-00005FAA0000}"/>
    <cellStyle name="Normal 11 3 4 4 2 2 2 3" xfId="44222" xr:uid="{00000000-0005-0000-0000-000060AA0000}"/>
    <cellStyle name="Normal 11 3 4 4 2 2 3" xfId="44223" xr:uid="{00000000-0005-0000-0000-000061AA0000}"/>
    <cellStyle name="Normal 11 3 4 4 2 2 3 2" xfId="44224" xr:uid="{00000000-0005-0000-0000-000062AA0000}"/>
    <cellStyle name="Normal 11 3 4 4 2 2 4" xfId="44225" xr:uid="{00000000-0005-0000-0000-000063AA0000}"/>
    <cellStyle name="Normal 11 3 4 4 2 3" xfId="44226" xr:uid="{00000000-0005-0000-0000-000064AA0000}"/>
    <cellStyle name="Normal 11 3 4 4 2 3 2" xfId="44227" xr:uid="{00000000-0005-0000-0000-000065AA0000}"/>
    <cellStyle name="Normal 11 3 4 4 2 3 2 2" xfId="44228" xr:uid="{00000000-0005-0000-0000-000066AA0000}"/>
    <cellStyle name="Normal 11 3 4 4 2 3 2 2 2" xfId="44229" xr:uid="{00000000-0005-0000-0000-000067AA0000}"/>
    <cellStyle name="Normal 11 3 4 4 2 3 2 3" xfId="44230" xr:uid="{00000000-0005-0000-0000-000068AA0000}"/>
    <cellStyle name="Normal 11 3 4 4 2 3 3" xfId="44231" xr:uid="{00000000-0005-0000-0000-000069AA0000}"/>
    <cellStyle name="Normal 11 3 4 4 2 3 3 2" xfId="44232" xr:uid="{00000000-0005-0000-0000-00006AAA0000}"/>
    <cellStyle name="Normal 11 3 4 4 2 3 4" xfId="44233" xr:uid="{00000000-0005-0000-0000-00006BAA0000}"/>
    <cellStyle name="Normal 11 3 4 4 2 4" xfId="44234" xr:uid="{00000000-0005-0000-0000-00006CAA0000}"/>
    <cellStyle name="Normal 11 3 4 4 2 4 2" xfId="44235" xr:uid="{00000000-0005-0000-0000-00006DAA0000}"/>
    <cellStyle name="Normal 11 3 4 4 2 4 2 2" xfId="44236" xr:uid="{00000000-0005-0000-0000-00006EAA0000}"/>
    <cellStyle name="Normal 11 3 4 4 2 4 3" xfId="44237" xr:uid="{00000000-0005-0000-0000-00006FAA0000}"/>
    <cellStyle name="Normal 11 3 4 4 2 5" xfId="44238" xr:uid="{00000000-0005-0000-0000-000070AA0000}"/>
    <cellStyle name="Normal 11 3 4 4 2 5 2" xfId="44239" xr:uid="{00000000-0005-0000-0000-000071AA0000}"/>
    <cellStyle name="Normal 11 3 4 4 2 6" xfId="44240" xr:uid="{00000000-0005-0000-0000-000072AA0000}"/>
    <cellStyle name="Normal 11 3 4 4 2 7" xfId="44217" xr:uid="{00000000-0005-0000-0000-000073AA0000}"/>
    <cellStyle name="Normal 11 3 4 4 3" xfId="44241" xr:uid="{00000000-0005-0000-0000-000074AA0000}"/>
    <cellStyle name="Normal 11 3 4 4 3 2" xfId="44242" xr:uid="{00000000-0005-0000-0000-000075AA0000}"/>
    <cellStyle name="Normal 11 3 4 4 3 2 2" xfId="44243" xr:uid="{00000000-0005-0000-0000-000076AA0000}"/>
    <cellStyle name="Normal 11 3 4 4 3 2 2 2" xfId="44244" xr:uid="{00000000-0005-0000-0000-000077AA0000}"/>
    <cellStyle name="Normal 11 3 4 4 3 2 2 2 2" xfId="44245" xr:uid="{00000000-0005-0000-0000-000078AA0000}"/>
    <cellStyle name="Normal 11 3 4 4 3 2 2 3" xfId="44246" xr:uid="{00000000-0005-0000-0000-000079AA0000}"/>
    <cellStyle name="Normal 11 3 4 4 3 2 3" xfId="44247" xr:uid="{00000000-0005-0000-0000-00007AAA0000}"/>
    <cellStyle name="Normal 11 3 4 4 3 2 3 2" xfId="44248" xr:uid="{00000000-0005-0000-0000-00007BAA0000}"/>
    <cellStyle name="Normal 11 3 4 4 3 2 4" xfId="44249" xr:uid="{00000000-0005-0000-0000-00007CAA0000}"/>
    <cellStyle name="Normal 11 3 4 4 3 3" xfId="44250" xr:uid="{00000000-0005-0000-0000-00007DAA0000}"/>
    <cellStyle name="Normal 11 3 4 4 3 3 2" xfId="44251" xr:uid="{00000000-0005-0000-0000-00007EAA0000}"/>
    <cellStyle name="Normal 11 3 4 4 3 3 2 2" xfId="44252" xr:uid="{00000000-0005-0000-0000-00007FAA0000}"/>
    <cellStyle name="Normal 11 3 4 4 3 3 3" xfId="44253" xr:uid="{00000000-0005-0000-0000-000080AA0000}"/>
    <cellStyle name="Normal 11 3 4 4 3 4" xfId="44254" xr:uid="{00000000-0005-0000-0000-000081AA0000}"/>
    <cellStyle name="Normal 11 3 4 4 3 4 2" xfId="44255" xr:uid="{00000000-0005-0000-0000-000082AA0000}"/>
    <cellStyle name="Normal 11 3 4 4 3 5" xfId="44256" xr:uid="{00000000-0005-0000-0000-000083AA0000}"/>
    <cellStyle name="Normal 11 3 4 4 4" xfId="44257" xr:uid="{00000000-0005-0000-0000-000084AA0000}"/>
    <cellStyle name="Normal 11 3 4 4 4 2" xfId="44258" xr:uid="{00000000-0005-0000-0000-000085AA0000}"/>
    <cellStyle name="Normal 11 3 4 4 4 2 2" xfId="44259" xr:uid="{00000000-0005-0000-0000-000086AA0000}"/>
    <cellStyle name="Normal 11 3 4 4 4 2 2 2" xfId="44260" xr:uid="{00000000-0005-0000-0000-000087AA0000}"/>
    <cellStyle name="Normal 11 3 4 4 4 2 2 2 2" xfId="44261" xr:uid="{00000000-0005-0000-0000-000088AA0000}"/>
    <cellStyle name="Normal 11 3 4 4 4 2 2 3" xfId="44262" xr:uid="{00000000-0005-0000-0000-000089AA0000}"/>
    <cellStyle name="Normal 11 3 4 4 4 2 3" xfId="44263" xr:uid="{00000000-0005-0000-0000-00008AAA0000}"/>
    <cellStyle name="Normal 11 3 4 4 4 2 3 2" xfId="44264" xr:uid="{00000000-0005-0000-0000-00008BAA0000}"/>
    <cellStyle name="Normal 11 3 4 4 4 2 4" xfId="44265" xr:uid="{00000000-0005-0000-0000-00008CAA0000}"/>
    <cellStyle name="Normal 11 3 4 4 4 3" xfId="44266" xr:uid="{00000000-0005-0000-0000-00008DAA0000}"/>
    <cellStyle name="Normal 11 3 4 4 4 3 2" xfId="44267" xr:uid="{00000000-0005-0000-0000-00008EAA0000}"/>
    <cellStyle name="Normal 11 3 4 4 4 3 2 2" xfId="44268" xr:uid="{00000000-0005-0000-0000-00008FAA0000}"/>
    <cellStyle name="Normal 11 3 4 4 4 3 3" xfId="44269" xr:uid="{00000000-0005-0000-0000-000090AA0000}"/>
    <cellStyle name="Normal 11 3 4 4 4 4" xfId="44270" xr:uid="{00000000-0005-0000-0000-000091AA0000}"/>
    <cellStyle name="Normal 11 3 4 4 4 4 2" xfId="44271" xr:uid="{00000000-0005-0000-0000-000092AA0000}"/>
    <cellStyle name="Normal 11 3 4 4 4 5" xfId="44272" xr:uid="{00000000-0005-0000-0000-000093AA0000}"/>
    <cellStyle name="Normal 11 3 4 4 5" xfId="44273" xr:uid="{00000000-0005-0000-0000-000094AA0000}"/>
    <cellStyle name="Normal 11 3 4 4 5 2" xfId="44274" xr:uid="{00000000-0005-0000-0000-000095AA0000}"/>
    <cellStyle name="Normal 11 3 4 4 5 2 2" xfId="44275" xr:uid="{00000000-0005-0000-0000-000096AA0000}"/>
    <cellStyle name="Normal 11 3 4 4 5 2 2 2" xfId="44276" xr:uid="{00000000-0005-0000-0000-000097AA0000}"/>
    <cellStyle name="Normal 11 3 4 4 5 2 3" xfId="44277" xr:uid="{00000000-0005-0000-0000-000098AA0000}"/>
    <cellStyle name="Normal 11 3 4 4 5 3" xfId="44278" xr:uid="{00000000-0005-0000-0000-000099AA0000}"/>
    <cellStyle name="Normal 11 3 4 4 5 3 2" xfId="44279" xr:uid="{00000000-0005-0000-0000-00009AAA0000}"/>
    <cellStyle name="Normal 11 3 4 4 5 4" xfId="44280" xr:uid="{00000000-0005-0000-0000-00009BAA0000}"/>
    <cellStyle name="Normal 11 3 4 4 6" xfId="44281" xr:uid="{00000000-0005-0000-0000-00009CAA0000}"/>
    <cellStyle name="Normal 11 3 4 4 6 2" xfId="44282" xr:uid="{00000000-0005-0000-0000-00009DAA0000}"/>
    <cellStyle name="Normal 11 3 4 4 6 2 2" xfId="44283" xr:uid="{00000000-0005-0000-0000-00009EAA0000}"/>
    <cellStyle name="Normal 11 3 4 4 6 2 2 2" xfId="44284" xr:uid="{00000000-0005-0000-0000-00009FAA0000}"/>
    <cellStyle name="Normal 11 3 4 4 6 2 3" xfId="44285" xr:uid="{00000000-0005-0000-0000-0000A0AA0000}"/>
    <cellStyle name="Normal 11 3 4 4 6 3" xfId="44286" xr:uid="{00000000-0005-0000-0000-0000A1AA0000}"/>
    <cellStyle name="Normal 11 3 4 4 6 3 2" xfId="44287" xr:uid="{00000000-0005-0000-0000-0000A2AA0000}"/>
    <cellStyle name="Normal 11 3 4 4 6 4" xfId="44288" xr:uid="{00000000-0005-0000-0000-0000A3AA0000}"/>
    <cellStyle name="Normal 11 3 4 4 7" xfId="44289" xr:uid="{00000000-0005-0000-0000-0000A4AA0000}"/>
    <cellStyle name="Normal 11 3 4 4 7 2" xfId="44290" xr:uid="{00000000-0005-0000-0000-0000A5AA0000}"/>
    <cellStyle name="Normal 11 3 4 4 7 2 2" xfId="44291" xr:uid="{00000000-0005-0000-0000-0000A6AA0000}"/>
    <cellStyle name="Normal 11 3 4 4 7 2 2 2" xfId="44292" xr:uid="{00000000-0005-0000-0000-0000A7AA0000}"/>
    <cellStyle name="Normal 11 3 4 4 7 2 3" xfId="44293" xr:uid="{00000000-0005-0000-0000-0000A8AA0000}"/>
    <cellStyle name="Normal 11 3 4 4 7 3" xfId="44294" xr:uid="{00000000-0005-0000-0000-0000A9AA0000}"/>
    <cellStyle name="Normal 11 3 4 4 7 3 2" xfId="44295" xr:uid="{00000000-0005-0000-0000-0000AAAA0000}"/>
    <cellStyle name="Normal 11 3 4 4 7 4" xfId="44296" xr:uid="{00000000-0005-0000-0000-0000ABAA0000}"/>
    <cellStyle name="Normal 11 3 4 4 8" xfId="44297" xr:uid="{00000000-0005-0000-0000-0000ACAA0000}"/>
    <cellStyle name="Normal 11 3 4 4 8 2" xfId="44298" xr:uid="{00000000-0005-0000-0000-0000ADAA0000}"/>
    <cellStyle name="Normal 11 3 4 4 8 2 2" xfId="44299" xr:uid="{00000000-0005-0000-0000-0000AEAA0000}"/>
    <cellStyle name="Normal 11 3 4 4 8 3" xfId="44300" xr:uid="{00000000-0005-0000-0000-0000AFAA0000}"/>
    <cellStyle name="Normal 11 3 4 4 9" xfId="44301" xr:uid="{00000000-0005-0000-0000-0000B0AA0000}"/>
    <cellStyle name="Normal 11 3 4 4 9 2" xfId="44302" xr:uid="{00000000-0005-0000-0000-0000B1AA0000}"/>
    <cellStyle name="Normal 11 3 4 5" xfId="1470" xr:uid="{00000000-0005-0000-0000-0000B2AA0000}"/>
    <cellStyle name="Normal 11 3 4 5 2" xfId="44304" xr:uid="{00000000-0005-0000-0000-0000B3AA0000}"/>
    <cellStyle name="Normal 11 3 4 5 2 2" xfId="44305" xr:uid="{00000000-0005-0000-0000-0000B4AA0000}"/>
    <cellStyle name="Normal 11 3 4 5 2 2 2" xfId="44306" xr:uid="{00000000-0005-0000-0000-0000B5AA0000}"/>
    <cellStyle name="Normal 11 3 4 5 2 2 2 2" xfId="44307" xr:uid="{00000000-0005-0000-0000-0000B6AA0000}"/>
    <cellStyle name="Normal 11 3 4 5 2 2 3" xfId="44308" xr:uid="{00000000-0005-0000-0000-0000B7AA0000}"/>
    <cellStyle name="Normal 11 3 4 5 2 3" xfId="44309" xr:uid="{00000000-0005-0000-0000-0000B8AA0000}"/>
    <cellStyle name="Normal 11 3 4 5 2 3 2" xfId="44310" xr:uid="{00000000-0005-0000-0000-0000B9AA0000}"/>
    <cellStyle name="Normal 11 3 4 5 2 4" xfId="44311" xr:uid="{00000000-0005-0000-0000-0000BAAA0000}"/>
    <cellStyle name="Normal 11 3 4 5 3" xfId="44312" xr:uid="{00000000-0005-0000-0000-0000BBAA0000}"/>
    <cellStyle name="Normal 11 3 4 5 3 2" xfId="44313" xr:uid="{00000000-0005-0000-0000-0000BCAA0000}"/>
    <cellStyle name="Normal 11 3 4 5 3 2 2" xfId="44314" xr:uid="{00000000-0005-0000-0000-0000BDAA0000}"/>
    <cellStyle name="Normal 11 3 4 5 3 2 2 2" xfId="44315" xr:uid="{00000000-0005-0000-0000-0000BEAA0000}"/>
    <cellStyle name="Normal 11 3 4 5 3 2 3" xfId="44316" xr:uid="{00000000-0005-0000-0000-0000BFAA0000}"/>
    <cellStyle name="Normal 11 3 4 5 3 3" xfId="44317" xr:uid="{00000000-0005-0000-0000-0000C0AA0000}"/>
    <cellStyle name="Normal 11 3 4 5 3 3 2" xfId="44318" xr:uid="{00000000-0005-0000-0000-0000C1AA0000}"/>
    <cellStyle name="Normal 11 3 4 5 3 4" xfId="44319" xr:uid="{00000000-0005-0000-0000-0000C2AA0000}"/>
    <cellStyle name="Normal 11 3 4 5 4" xfId="44320" xr:uid="{00000000-0005-0000-0000-0000C3AA0000}"/>
    <cellStyle name="Normal 11 3 4 5 4 2" xfId="44321" xr:uid="{00000000-0005-0000-0000-0000C4AA0000}"/>
    <cellStyle name="Normal 11 3 4 5 4 2 2" xfId="44322" xr:uid="{00000000-0005-0000-0000-0000C5AA0000}"/>
    <cellStyle name="Normal 11 3 4 5 4 3" xfId="44323" xr:uid="{00000000-0005-0000-0000-0000C6AA0000}"/>
    <cellStyle name="Normal 11 3 4 5 5" xfId="44324" xr:uid="{00000000-0005-0000-0000-0000C7AA0000}"/>
    <cellStyle name="Normal 11 3 4 5 5 2" xfId="44325" xr:uid="{00000000-0005-0000-0000-0000C8AA0000}"/>
    <cellStyle name="Normal 11 3 4 5 6" xfId="44326" xr:uid="{00000000-0005-0000-0000-0000C9AA0000}"/>
    <cellStyle name="Normal 11 3 4 5 7" xfId="44303" xr:uid="{00000000-0005-0000-0000-0000CAAA0000}"/>
    <cellStyle name="Normal 11 3 4 6" xfId="44327" xr:uid="{00000000-0005-0000-0000-0000CBAA0000}"/>
    <cellStyle name="Normal 11 3 4 6 2" xfId="44328" xr:uid="{00000000-0005-0000-0000-0000CCAA0000}"/>
    <cellStyle name="Normal 11 3 4 6 2 2" xfId="44329" xr:uid="{00000000-0005-0000-0000-0000CDAA0000}"/>
    <cellStyle name="Normal 11 3 4 6 2 2 2" xfId="44330" xr:uid="{00000000-0005-0000-0000-0000CEAA0000}"/>
    <cellStyle name="Normal 11 3 4 6 2 2 2 2" xfId="44331" xr:uid="{00000000-0005-0000-0000-0000CFAA0000}"/>
    <cellStyle name="Normal 11 3 4 6 2 2 3" xfId="44332" xr:uid="{00000000-0005-0000-0000-0000D0AA0000}"/>
    <cellStyle name="Normal 11 3 4 6 2 3" xfId="44333" xr:uid="{00000000-0005-0000-0000-0000D1AA0000}"/>
    <cellStyle name="Normal 11 3 4 6 2 3 2" xfId="44334" xr:uid="{00000000-0005-0000-0000-0000D2AA0000}"/>
    <cellStyle name="Normal 11 3 4 6 2 4" xfId="44335" xr:uid="{00000000-0005-0000-0000-0000D3AA0000}"/>
    <cellStyle name="Normal 11 3 4 6 3" xfId="44336" xr:uid="{00000000-0005-0000-0000-0000D4AA0000}"/>
    <cellStyle name="Normal 11 3 4 6 3 2" xfId="44337" xr:uid="{00000000-0005-0000-0000-0000D5AA0000}"/>
    <cellStyle name="Normal 11 3 4 6 3 2 2" xfId="44338" xr:uid="{00000000-0005-0000-0000-0000D6AA0000}"/>
    <cellStyle name="Normal 11 3 4 6 3 3" xfId="44339" xr:uid="{00000000-0005-0000-0000-0000D7AA0000}"/>
    <cellStyle name="Normal 11 3 4 6 4" xfId="44340" xr:uid="{00000000-0005-0000-0000-0000D8AA0000}"/>
    <cellStyle name="Normal 11 3 4 6 4 2" xfId="44341" xr:uid="{00000000-0005-0000-0000-0000D9AA0000}"/>
    <cellStyle name="Normal 11 3 4 6 5" xfId="44342" xr:uid="{00000000-0005-0000-0000-0000DAAA0000}"/>
    <cellStyle name="Normal 11 3 4 7" xfId="44343" xr:uid="{00000000-0005-0000-0000-0000DBAA0000}"/>
    <cellStyle name="Normal 11 3 4 7 2" xfId="44344" xr:uid="{00000000-0005-0000-0000-0000DCAA0000}"/>
    <cellStyle name="Normal 11 3 4 7 2 2" xfId="44345" xr:uid="{00000000-0005-0000-0000-0000DDAA0000}"/>
    <cellStyle name="Normal 11 3 4 7 2 2 2" xfId="44346" xr:uid="{00000000-0005-0000-0000-0000DEAA0000}"/>
    <cellStyle name="Normal 11 3 4 7 2 2 2 2" xfId="44347" xr:uid="{00000000-0005-0000-0000-0000DFAA0000}"/>
    <cellStyle name="Normal 11 3 4 7 2 2 3" xfId="44348" xr:uid="{00000000-0005-0000-0000-0000E0AA0000}"/>
    <cellStyle name="Normal 11 3 4 7 2 3" xfId="44349" xr:uid="{00000000-0005-0000-0000-0000E1AA0000}"/>
    <cellStyle name="Normal 11 3 4 7 2 3 2" xfId="44350" xr:uid="{00000000-0005-0000-0000-0000E2AA0000}"/>
    <cellStyle name="Normal 11 3 4 7 2 4" xfId="44351" xr:uid="{00000000-0005-0000-0000-0000E3AA0000}"/>
    <cellStyle name="Normal 11 3 4 7 3" xfId="44352" xr:uid="{00000000-0005-0000-0000-0000E4AA0000}"/>
    <cellStyle name="Normal 11 3 4 7 3 2" xfId="44353" xr:uid="{00000000-0005-0000-0000-0000E5AA0000}"/>
    <cellStyle name="Normal 11 3 4 7 3 2 2" xfId="44354" xr:uid="{00000000-0005-0000-0000-0000E6AA0000}"/>
    <cellStyle name="Normal 11 3 4 7 3 3" xfId="44355" xr:uid="{00000000-0005-0000-0000-0000E7AA0000}"/>
    <cellStyle name="Normal 11 3 4 7 4" xfId="44356" xr:uid="{00000000-0005-0000-0000-0000E8AA0000}"/>
    <cellStyle name="Normal 11 3 4 7 4 2" xfId="44357" xr:uid="{00000000-0005-0000-0000-0000E9AA0000}"/>
    <cellStyle name="Normal 11 3 4 7 5" xfId="44358" xr:uid="{00000000-0005-0000-0000-0000EAAA0000}"/>
    <cellStyle name="Normal 11 3 4 8" xfId="44359" xr:uid="{00000000-0005-0000-0000-0000EBAA0000}"/>
    <cellStyle name="Normal 11 3 4 8 2" xfId="44360" xr:uid="{00000000-0005-0000-0000-0000ECAA0000}"/>
    <cellStyle name="Normal 11 3 4 8 2 2" xfId="44361" xr:uid="{00000000-0005-0000-0000-0000EDAA0000}"/>
    <cellStyle name="Normal 11 3 4 8 2 2 2" xfId="44362" xr:uid="{00000000-0005-0000-0000-0000EEAA0000}"/>
    <cellStyle name="Normal 11 3 4 8 2 3" xfId="44363" xr:uid="{00000000-0005-0000-0000-0000EFAA0000}"/>
    <cellStyle name="Normal 11 3 4 8 3" xfId="44364" xr:uid="{00000000-0005-0000-0000-0000F0AA0000}"/>
    <cellStyle name="Normal 11 3 4 8 3 2" xfId="44365" xr:uid="{00000000-0005-0000-0000-0000F1AA0000}"/>
    <cellStyle name="Normal 11 3 4 8 4" xfId="44366" xr:uid="{00000000-0005-0000-0000-0000F2AA0000}"/>
    <cellStyle name="Normal 11 3 4 9" xfId="44367" xr:uid="{00000000-0005-0000-0000-0000F3AA0000}"/>
    <cellStyle name="Normal 11 3 4 9 2" xfId="44368" xr:uid="{00000000-0005-0000-0000-0000F4AA0000}"/>
    <cellStyle name="Normal 11 3 4 9 2 2" xfId="44369" xr:uid="{00000000-0005-0000-0000-0000F5AA0000}"/>
    <cellStyle name="Normal 11 3 4 9 2 2 2" xfId="44370" xr:uid="{00000000-0005-0000-0000-0000F6AA0000}"/>
    <cellStyle name="Normal 11 3 4 9 2 3" xfId="44371" xr:uid="{00000000-0005-0000-0000-0000F7AA0000}"/>
    <cellStyle name="Normal 11 3 4 9 3" xfId="44372" xr:uid="{00000000-0005-0000-0000-0000F8AA0000}"/>
    <cellStyle name="Normal 11 3 4 9 3 2" xfId="44373" xr:uid="{00000000-0005-0000-0000-0000F9AA0000}"/>
    <cellStyle name="Normal 11 3 4 9 4" xfId="44374" xr:uid="{00000000-0005-0000-0000-0000FAAA0000}"/>
    <cellStyle name="Normal 11 3 5" xfId="629" xr:uid="{00000000-0005-0000-0000-0000FBAA0000}"/>
    <cellStyle name="Normal 11 3 5 10" xfId="44376" xr:uid="{00000000-0005-0000-0000-0000FCAA0000}"/>
    <cellStyle name="Normal 11 3 5 10 2" xfId="44377" xr:uid="{00000000-0005-0000-0000-0000FDAA0000}"/>
    <cellStyle name="Normal 11 3 5 10 2 2" xfId="44378" xr:uid="{00000000-0005-0000-0000-0000FEAA0000}"/>
    <cellStyle name="Normal 11 3 5 10 3" xfId="44379" xr:uid="{00000000-0005-0000-0000-0000FFAA0000}"/>
    <cellStyle name="Normal 11 3 5 11" xfId="44380" xr:uid="{00000000-0005-0000-0000-000000AB0000}"/>
    <cellStyle name="Normal 11 3 5 11 2" xfId="44381" xr:uid="{00000000-0005-0000-0000-000001AB0000}"/>
    <cellStyle name="Normal 11 3 5 11 2 2" xfId="44382" xr:uid="{00000000-0005-0000-0000-000002AB0000}"/>
    <cellStyle name="Normal 11 3 5 11 3" xfId="44383" xr:uid="{00000000-0005-0000-0000-000003AB0000}"/>
    <cellStyle name="Normal 11 3 5 12" xfId="44384" xr:uid="{00000000-0005-0000-0000-000004AB0000}"/>
    <cellStyle name="Normal 11 3 5 12 2" xfId="44385" xr:uid="{00000000-0005-0000-0000-000005AB0000}"/>
    <cellStyle name="Normal 11 3 5 13" xfId="44386" xr:uid="{00000000-0005-0000-0000-000006AB0000}"/>
    <cellStyle name="Normal 11 3 5 14" xfId="44387" xr:uid="{00000000-0005-0000-0000-000007AB0000}"/>
    <cellStyle name="Normal 11 3 5 15" xfId="44375" xr:uid="{00000000-0005-0000-0000-000008AB0000}"/>
    <cellStyle name="Normal 11 3 5 2" xfId="1071" xr:uid="{00000000-0005-0000-0000-000009AB0000}"/>
    <cellStyle name="Normal 11 3 5 2 10" xfId="44389" xr:uid="{00000000-0005-0000-0000-00000AAB0000}"/>
    <cellStyle name="Normal 11 3 5 2 11" xfId="44388" xr:uid="{00000000-0005-0000-0000-00000BAB0000}"/>
    <cellStyle name="Normal 11 3 5 2 2" xfId="1800" xr:uid="{00000000-0005-0000-0000-00000CAB0000}"/>
    <cellStyle name="Normal 11 3 5 2 2 2" xfId="44391" xr:uid="{00000000-0005-0000-0000-00000DAB0000}"/>
    <cellStyle name="Normal 11 3 5 2 2 2 2" xfId="44392" xr:uid="{00000000-0005-0000-0000-00000EAB0000}"/>
    <cellStyle name="Normal 11 3 5 2 2 2 2 2" xfId="44393" xr:uid="{00000000-0005-0000-0000-00000FAB0000}"/>
    <cellStyle name="Normal 11 3 5 2 2 2 2 2 2" xfId="44394" xr:uid="{00000000-0005-0000-0000-000010AB0000}"/>
    <cellStyle name="Normal 11 3 5 2 2 2 2 3" xfId="44395" xr:uid="{00000000-0005-0000-0000-000011AB0000}"/>
    <cellStyle name="Normal 11 3 5 2 2 2 3" xfId="44396" xr:uid="{00000000-0005-0000-0000-000012AB0000}"/>
    <cellStyle name="Normal 11 3 5 2 2 2 3 2" xfId="44397" xr:uid="{00000000-0005-0000-0000-000013AB0000}"/>
    <cellStyle name="Normal 11 3 5 2 2 2 4" xfId="44398" xr:uid="{00000000-0005-0000-0000-000014AB0000}"/>
    <cellStyle name="Normal 11 3 5 2 2 3" xfId="44399" xr:uid="{00000000-0005-0000-0000-000015AB0000}"/>
    <cellStyle name="Normal 11 3 5 2 2 3 2" xfId="44400" xr:uid="{00000000-0005-0000-0000-000016AB0000}"/>
    <cellStyle name="Normal 11 3 5 2 2 3 2 2" xfId="44401" xr:uid="{00000000-0005-0000-0000-000017AB0000}"/>
    <cellStyle name="Normal 11 3 5 2 2 3 2 2 2" xfId="44402" xr:uid="{00000000-0005-0000-0000-000018AB0000}"/>
    <cellStyle name="Normal 11 3 5 2 2 3 2 3" xfId="44403" xr:uid="{00000000-0005-0000-0000-000019AB0000}"/>
    <cellStyle name="Normal 11 3 5 2 2 3 3" xfId="44404" xr:uid="{00000000-0005-0000-0000-00001AAB0000}"/>
    <cellStyle name="Normal 11 3 5 2 2 3 3 2" xfId="44405" xr:uid="{00000000-0005-0000-0000-00001BAB0000}"/>
    <cellStyle name="Normal 11 3 5 2 2 3 4" xfId="44406" xr:uid="{00000000-0005-0000-0000-00001CAB0000}"/>
    <cellStyle name="Normal 11 3 5 2 2 4" xfId="44407" xr:uid="{00000000-0005-0000-0000-00001DAB0000}"/>
    <cellStyle name="Normal 11 3 5 2 2 4 2" xfId="44408" xr:uid="{00000000-0005-0000-0000-00001EAB0000}"/>
    <cellStyle name="Normal 11 3 5 2 2 4 2 2" xfId="44409" xr:uid="{00000000-0005-0000-0000-00001FAB0000}"/>
    <cellStyle name="Normal 11 3 5 2 2 4 3" xfId="44410" xr:uid="{00000000-0005-0000-0000-000020AB0000}"/>
    <cellStyle name="Normal 11 3 5 2 2 5" xfId="44411" xr:uid="{00000000-0005-0000-0000-000021AB0000}"/>
    <cellStyle name="Normal 11 3 5 2 2 5 2" xfId="44412" xr:uid="{00000000-0005-0000-0000-000022AB0000}"/>
    <cellStyle name="Normal 11 3 5 2 2 6" xfId="44413" xr:uid="{00000000-0005-0000-0000-000023AB0000}"/>
    <cellStyle name="Normal 11 3 5 2 2 7" xfId="44390" xr:uid="{00000000-0005-0000-0000-000024AB0000}"/>
    <cellStyle name="Normal 11 3 5 2 3" xfId="44414" xr:uid="{00000000-0005-0000-0000-000025AB0000}"/>
    <cellStyle name="Normal 11 3 5 2 3 2" xfId="44415" xr:uid="{00000000-0005-0000-0000-000026AB0000}"/>
    <cellStyle name="Normal 11 3 5 2 3 2 2" xfId="44416" xr:uid="{00000000-0005-0000-0000-000027AB0000}"/>
    <cellStyle name="Normal 11 3 5 2 3 2 2 2" xfId="44417" xr:uid="{00000000-0005-0000-0000-000028AB0000}"/>
    <cellStyle name="Normal 11 3 5 2 3 2 2 2 2" xfId="44418" xr:uid="{00000000-0005-0000-0000-000029AB0000}"/>
    <cellStyle name="Normal 11 3 5 2 3 2 2 3" xfId="44419" xr:uid="{00000000-0005-0000-0000-00002AAB0000}"/>
    <cellStyle name="Normal 11 3 5 2 3 2 3" xfId="44420" xr:uid="{00000000-0005-0000-0000-00002BAB0000}"/>
    <cellStyle name="Normal 11 3 5 2 3 2 3 2" xfId="44421" xr:uid="{00000000-0005-0000-0000-00002CAB0000}"/>
    <cellStyle name="Normal 11 3 5 2 3 2 4" xfId="44422" xr:uid="{00000000-0005-0000-0000-00002DAB0000}"/>
    <cellStyle name="Normal 11 3 5 2 3 3" xfId="44423" xr:uid="{00000000-0005-0000-0000-00002EAB0000}"/>
    <cellStyle name="Normal 11 3 5 2 3 3 2" xfId="44424" xr:uid="{00000000-0005-0000-0000-00002FAB0000}"/>
    <cellStyle name="Normal 11 3 5 2 3 3 2 2" xfId="44425" xr:uid="{00000000-0005-0000-0000-000030AB0000}"/>
    <cellStyle name="Normal 11 3 5 2 3 3 3" xfId="44426" xr:uid="{00000000-0005-0000-0000-000031AB0000}"/>
    <cellStyle name="Normal 11 3 5 2 3 4" xfId="44427" xr:uid="{00000000-0005-0000-0000-000032AB0000}"/>
    <cellStyle name="Normal 11 3 5 2 3 4 2" xfId="44428" xr:uid="{00000000-0005-0000-0000-000033AB0000}"/>
    <cellStyle name="Normal 11 3 5 2 3 5" xfId="44429" xr:uid="{00000000-0005-0000-0000-000034AB0000}"/>
    <cellStyle name="Normal 11 3 5 2 4" xfId="44430" xr:uid="{00000000-0005-0000-0000-000035AB0000}"/>
    <cellStyle name="Normal 11 3 5 2 4 2" xfId="44431" xr:uid="{00000000-0005-0000-0000-000036AB0000}"/>
    <cellStyle name="Normal 11 3 5 2 4 2 2" xfId="44432" xr:uid="{00000000-0005-0000-0000-000037AB0000}"/>
    <cellStyle name="Normal 11 3 5 2 4 2 2 2" xfId="44433" xr:uid="{00000000-0005-0000-0000-000038AB0000}"/>
    <cellStyle name="Normal 11 3 5 2 4 2 2 2 2" xfId="44434" xr:uid="{00000000-0005-0000-0000-000039AB0000}"/>
    <cellStyle name="Normal 11 3 5 2 4 2 2 3" xfId="44435" xr:uid="{00000000-0005-0000-0000-00003AAB0000}"/>
    <cellStyle name="Normal 11 3 5 2 4 2 3" xfId="44436" xr:uid="{00000000-0005-0000-0000-00003BAB0000}"/>
    <cellStyle name="Normal 11 3 5 2 4 2 3 2" xfId="44437" xr:uid="{00000000-0005-0000-0000-00003CAB0000}"/>
    <cellStyle name="Normal 11 3 5 2 4 2 4" xfId="44438" xr:uid="{00000000-0005-0000-0000-00003DAB0000}"/>
    <cellStyle name="Normal 11 3 5 2 4 3" xfId="44439" xr:uid="{00000000-0005-0000-0000-00003EAB0000}"/>
    <cellStyle name="Normal 11 3 5 2 4 3 2" xfId="44440" xr:uid="{00000000-0005-0000-0000-00003FAB0000}"/>
    <cellStyle name="Normal 11 3 5 2 4 3 2 2" xfId="44441" xr:uid="{00000000-0005-0000-0000-000040AB0000}"/>
    <cellStyle name="Normal 11 3 5 2 4 3 3" xfId="44442" xr:uid="{00000000-0005-0000-0000-000041AB0000}"/>
    <cellStyle name="Normal 11 3 5 2 4 4" xfId="44443" xr:uid="{00000000-0005-0000-0000-000042AB0000}"/>
    <cellStyle name="Normal 11 3 5 2 4 4 2" xfId="44444" xr:uid="{00000000-0005-0000-0000-000043AB0000}"/>
    <cellStyle name="Normal 11 3 5 2 4 5" xfId="44445" xr:uid="{00000000-0005-0000-0000-000044AB0000}"/>
    <cellStyle name="Normal 11 3 5 2 5" xfId="44446" xr:uid="{00000000-0005-0000-0000-000045AB0000}"/>
    <cellStyle name="Normal 11 3 5 2 5 2" xfId="44447" xr:uid="{00000000-0005-0000-0000-000046AB0000}"/>
    <cellStyle name="Normal 11 3 5 2 5 2 2" xfId="44448" xr:uid="{00000000-0005-0000-0000-000047AB0000}"/>
    <cellStyle name="Normal 11 3 5 2 5 2 2 2" xfId="44449" xr:uid="{00000000-0005-0000-0000-000048AB0000}"/>
    <cellStyle name="Normal 11 3 5 2 5 2 3" xfId="44450" xr:uid="{00000000-0005-0000-0000-000049AB0000}"/>
    <cellStyle name="Normal 11 3 5 2 5 3" xfId="44451" xr:uid="{00000000-0005-0000-0000-00004AAB0000}"/>
    <cellStyle name="Normal 11 3 5 2 5 3 2" xfId="44452" xr:uid="{00000000-0005-0000-0000-00004BAB0000}"/>
    <cellStyle name="Normal 11 3 5 2 5 4" xfId="44453" xr:uid="{00000000-0005-0000-0000-00004CAB0000}"/>
    <cellStyle name="Normal 11 3 5 2 6" xfId="44454" xr:uid="{00000000-0005-0000-0000-00004DAB0000}"/>
    <cellStyle name="Normal 11 3 5 2 6 2" xfId="44455" xr:uid="{00000000-0005-0000-0000-00004EAB0000}"/>
    <cellStyle name="Normal 11 3 5 2 6 2 2" xfId="44456" xr:uid="{00000000-0005-0000-0000-00004FAB0000}"/>
    <cellStyle name="Normal 11 3 5 2 6 2 2 2" xfId="44457" xr:uid="{00000000-0005-0000-0000-000050AB0000}"/>
    <cellStyle name="Normal 11 3 5 2 6 2 3" xfId="44458" xr:uid="{00000000-0005-0000-0000-000051AB0000}"/>
    <cellStyle name="Normal 11 3 5 2 6 3" xfId="44459" xr:uid="{00000000-0005-0000-0000-000052AB0000}"/>
    <cellStyle name="Normal 11 3 5 2 6 3 2" xfId="44460" xr:uid="{00000000-0005-0000-0000-000053AB0000}"/>
    <cellStyle name="Normal 11 3 5 2 6 4" xfId="44461" xr:uid="{00000000-0005-0000-0000-000054AB0000}"/>
    <cellStyle name="Normal 11 3 5 2 7" xfId="44462" xr:uid="{00000000-0005-0000-0000-000055AB0000}"/>
    <cellStyle name="Normal 11 3 5 2 7 2" xfId="44463" xr:uid="{00000000-0005-0000-0000-000056AB0000}"/>
    <cellStyle name="Normal 11 3 5 2 7 2 2" xfId="44464" xr:uid="{00000000-0005-0000-0000-000057AB0000}"/>
    <cellStyle name="Normal 11 3 5 2 7 2 2 2" xfId="44465" xr:uid="{00000000-0005-0000-0000-000058AB0000}"/>
    <cellStyle name="Normal 11 3 5 2 7 2 3" xfId="44466" xr:uid="{00000000-0005-0000-0000-000059AB0000}"/>
    <cellStyle name="Normal 11 3 5 2 7 3" xfId="44467" xr:uid="{00000000-0005-0000-0000-00005AAB0000}"/>
    <cellStyle name="Normal 11 3 5 2 7 3 2" xfId="44468" xr:uid="{00000000-0005-0000-0000-00005BAB0000}"/>
    <cellStyle name="Normal 11 3 5 2 7 4" xfId="44469" xr:uid="{00000000-0005-0000-0000-00005CAB0000}"/>
    <cellStyle name="Normal 11 3 5 2 8" xfId="44470" xr:uid="{00000000-0005-0000-0000-00005DAB0000}"/>
    <cellStyle name="Normal 11 3 5 2 8 2" xfId="44471" xr:uid="{00000000-0005-0000-0000-00005EAB0000}"/>
    <cellStyle name="Normal 11 3 5 2 8 2 2" xfId="44472" xr:uid="{00000000-0005-0000-0000-00005FAB0000}"/>
    <cellStyle name="Normal 11 3 5 2 8 3" xfId="44473" xr:uid="{00000000-0005-0000-0000-000060AB0000}"/>
    <cellStyle name="Normal 11 3 5 2 9" xfId="44474" xr:uid="{00000000-0005-0000-0000-000061AB0000}"/>
    <cellStyle name="Normal 11 3 5 2 9 2" xfId="44475" xr:uid="{00000000-0005-0000-0000-000062AB0000}"/>
    <cellStyle name="Normal 11 3 5 3" xfId="1473" xr:uid="{00000000-0005-0000-0000-000063AB0000}"/>
    <cellStyle name="Normal 11 3 5 3 2" xfId="44477" xr:uid="{00000000-0005-0000-0000-000064AB0000}"/>
    <cellStyle name="Normal 11 3 5 3 2 2" xfId="44478" xr:uid="{00000000-0005-0000-0000-000065AB0000}"/>
    <cellStyle name="Normal 11 3 5 3 2 2 2" xfId="44479" xr:uid="{00000000-0005-0000-0000-000066AB0000}"/>
    <cellStyle name="Normal 11 3 5 3 2 2 2 2" xfId="44480" xr:uid="{00000000-0005-0000-0000-000067AB0000}"/>
    <cellStyle name="Normal 11 3 5 3 2 2 3" xfId="44481" xr:uid="{00000000-0005-0000-0000-000068AB0000}"/>
    <cellStyle name="Normal 11 3 5 3 2 3" xfId="44482" xr:uid="{00000000-0005-0000-0000-000069AB0000}"/>
    <cellStyle name="Normal 11 3 5 3 2 3 2" xfId="44483" xr:uid="{00000000-0005-0000-0000-00006AAB0000}"/>
    <cellStyle name="Normal 11 3 5 3 2 4" xfId="44484" xr:uid="{00000000-0005-0000-0000-00006BAB0000}"/>
    <cellStyle name="Normal 11 3 5 3 3" xfId="44485" xr:uid="{00000000-0005-0000-0000-00006CAB0000}"/>
    <cellStyle name="Normal 11 3 5 3 3 2" xfId="44486" xr:uid="{00000000-0005-0000-0000-00006DAB0000}"/>
    <cellStyle name="Normal 11 3 5 3 3 2 2" xfId="44487" xr:uid="{00000000-0005-0000-0000-00006EAB0000}"/>
    <cellStyle name="Normal 11 3 5 3 3 2 2 2" xfId="44488" xr:uid="{00000000-0005-0000-0000-00006FAB0000}"/>
    <cellStyle name="Normal 11 3 5 3 3 2 3" xfId="44489" xr:uid="{00000000-0005-0000-0000-000070AB0000}"/>
    <cellStyle name="Normal 11 3 5 3 3 3" xfId="44490" xr:uid="{00000000-0005-0000-0000-000071AB0000}"/>
    <cellStyle name="Normal 11 3 5 3 3 3 2" xfId="44491" xr:uid="{00000000-0005-0000-0000-000072AB0000}"/>
    <cellStyle name="Normal 11 3 5 3 3 4" xfId="44492" xr:uid="{00000000-0005-0000-0000-000073AB0000}"/>
    <cellStyle name="Normal 11 3 5 3 4" xfId="44493" xr:uid="{00000000-0005-0000-0000-000074AB0000}"/>
    <cellStyle name="Normal 11 3 5 3 4 2" xfId="44494" xr:uid="{00000000-0005-0000-0000-000075AB0000}"/>
    <cellStyle name="Normal 11 3 5 3 4 2 2" xfId="44495" xr:uid="{00000000-0005-0000-0000-000076AB0000}"/>
    <cellStyle name="Normal 11 3 5 3 4 3" xfId="44496" xr:uid="{00000000-0005-0000-0000-000077AB0000}"/>
    <cellStyle name="Normal 11 3 5 3 5" xfId="44497" xr:uid="{00000000-0005-0000-0000-000078AB0000}"/>
    <cellStyle name="Normal 11 3 5 3 5 2" xfId="44498" xr:uid="{00000000-0005-0000-0000-000079AB0000}"/>
    <cellStyle name="Normal 11 3 5 3 6" xfId="44499" xr:uid="{00000000-0005-0000-0000-00007AAB0000}"/>
    <cellStyle name="Normal 11 3 5 3 7" xfId="44476" xr:uid="{00000000-0005-0000-0000-00007BAB0000}"/>
    <cellStyle name="Normal 11 3 5 4" xfId="44500" xr:uid="{00000000-0005-0000-0000-00007CAB0000}"/>
    <cellStyle name="Normal 11 3 5 4 2" xfId="44501" xr:uid="{00000000-0005-0000-0000-00007DAB0000}"/>
    <cellStyle name="Normal 11 3 5 4 2 2" xfId="44502" xr:uid="{00000000-0005-0000-0000-00007EAB0000}"/>
    <cellStyle name="Normal 11 3 5 4 2 2 2" xfId="44503" xr:uid="{00000000-0005-0000-0000-00007FAB0000}"/>
    <cellStyle name="Normal 11 3 5 4 2 2 2 2" xfId="44504" xr:uid="{00000000-0005-0000-0000-000080AB0000}"/>
    <cellStyle name="Normal 11 3 5 4 2 2 3" xfId="44505" xr:uid="{00000000-0005-0000-0000-000081AB0000}"/>
    <cellStyle name="Normal 11 3 5 4 2 3" xfId="44506" xr:uid="{00000000-0005-0000-0000-000082AB0000}"/>
    <cellStyle name="Normal 11 3 5 4 2 3 2" xfId="44507" xr:uid="{00000000-0005-0000-0000-000083AB0000}"/>
    <cellStyle name="Normal 11 3 5 4 2 4" xfId="44508" xr:uid="{00000000-0005-0000-0000-000084AB0000}"/>
    <cellStyle name="Normal 11 3 5 4 3" xfId="44509" xr:uid="{00000000-0005-0000-0000-000085AB0000}"/>
    <cellStyle name="Normal 11 3 5 4 3 2" xfId="44510" xr:uid="{00000000-0005-0000-0000-000086AB0000}"/>
    <cellStyle name="Normal 11 3 5 4 3 2 2" xfId="44511" xr:uid="{00000000-0005-0000-0000-000087AB0000}"/>
    <cellStyle name="Normal 11 3 5 4 3 3" xfId="44512" xr:uid="{00000000-0005-0000-0000-000088AB0000}"/>
    <cellStyle name="Normal 11 3 5 4 4" xfId="44513" xr:uid="{00000000-0005-0000-0000-000089AB0000}"/>
    <cellStyle name="Normal 11 3 5 4 4 2" xfId="44514" xr:uid="{00000000-0005-0000-0000-00008AAB0000}"/>
    <cellStyle name="Normal 11 3 5 4 5" xfId="44515" xr:uid="{00000000-0005-0000-0000-00008BAB0000}"/>
    <cellStyle name="Normal 11 3 5 5" xfId="44516" xr:uid="{00000000-0005-0000-0000-00008CAB0000}"/>
    <cellStyle name="Normal 11 3 5 5 2" xfId="44517" xr:uid="{00000000-0005-0000-0000-00008DAB0000}"/>
    <cellStyle name="Normal 11 3 5 5 2 2" xfId="44518" xr:uid="{00000000-0005-0000-0000-00008EAB0000}"/>
    <cellStyle name="Normal 11 3 5 5 2 2 2" xfId="44519" xr:uid="{00000000-0005-0000-0000-00008FAB0000}"/>
    <cellStyle name="Normal 11 3 5 5 2 2 2 2" xfId="44520" xr:uid="{00000000-0005-0000-0000-000090AB0000}"/>
    <cellStyle name="Normal 11 3 5 5 2 2 3" xfId="44521" xr:uid="{00000000-0005-0000-0000-000091AB0000}"/>
    <cellStyle name="Normal 11 3 5 5 2 3" xfId="44522" xr:uid="{00000000-0005-0000-0000-000092AB0000}"/>
    <cellStyle name="Normal 11 3 5 5 2 3 2" xfId="44523" xr:uid="{00000000-0005-0000-0000-000093AB0000}"/>
    <cellStyle name="Normal 11 3 5 5 2 4" xfId="44524" xr:uid="{00000000-0005-0000-0000-000094AB0000}"/>
    <cellStyle name="Normal 11 3 5 5 3" xfId="44525" xr:uid="{00000000-0005-0000-0000-000095AB0000}"/>
    <cellStyle name="Normal 11 3 5 5 3 2" xfId="44526" xr:uid="{00000000-0005-0000-0000-000096AB0000}"/>
    <cellStyle name="Normal 11 3 5 5 3 2 2" xfId="44527" xr:uid="{00000000-0005-0000-0000-000097AB0000}"/>
    <cellStyle name="Normal 11 3 5 5 3 3" xfId="44528" xr:uid="{00000000-0005-0000-0000-000098AB0000}"/>
    <cellStyle name="Normal 11 3 5 5 4" xfId="44529" xr:uid="{00000000-0005-0000-0000-000099AB0000}"/>
    <cellStyle name="Normal 11 3 5 5 4 2" xfId="44530" xr:uid="{00000000-0005-0000-0000-00009AAB0000}"/>
    <cellStyle name="Normal 11 3 5 5 5" xfId="44531" xr:uid="{00000000-0005-0000-0000-00009BAB0000}"/>
    <cellStyle name="Normal 11 3 5 6" xfId="44532" xr:uid="{00000000-0005-0000-0000-00009CAB0000}"/>
    <cellStyle name="Normal 11 3 5 6 2" xfId="44533" xr:uid="{00000000-0005-0000-0000-00009DAB0000}"/>
    <cellStyle name="Normal 11 3 5 6 2 2" xfId="44534" xr:uid="{00000000-0005-0000-0000-00009EAB0000}"/>
    <cellStyle name="Normal 11 3 5 6 2 2 2" xfId="44535" xr:uid="{00000000-0005-0000-0000-00009FAB0000}"/>
    <cellStyle name="Normal 11 3 5 6 2 3" xfId="44536" xr:uid="{00000000-0005-0000-0000-0000A0AB0000}"/>
    <cellStyle name="Normal 11 3 5 6 3" xfId="44537" xr:uid="{00000000-0005-0000-0000-0000A1AB0000}"/>
    <cellStyle name="Normal 11 3 5 6 3 2" xfId="44538" xr:uid="{00000000-0005-0000-0000-0000A2AB0000}"/>
    <cellStyle name="Normal 11 3 5 6 4" xfId="44539" xr:uid="{00000000-0005-0000-0000-0000A3AB0000}"/>
    <cellStyle name="Normal 11 3 5 7" xfId="44540" xr:uid="{00000000-0005-0000-0000-0000A4AB0000}"/>
    <cellStyle name="Normal 11 3 5 7 2" xfId="44541" xr:uid="{00000000-0005-0000-0000-0000A5AB0000}"/>
    <cellStyle name="Normal 11 3 5 7 2 2" xfId="44542" xr:uid="{00000000-0005-0000-0000-0000A6AB0000}"/>
    <cellStyle name="Normal 11 3 5 7 2 2 2" xfId="44543" xr:uid="{00000000-0005-0000-0000-0000A7AB0000}"/>
    <cellStyle name="Normal 11 3 5 7 2 3" xfId="44544" xr:uid="{00000000-0005-0000-0000-0000A8AB0000}"/>
    <cellStyle name="Normal 11 3 5 7 3" xfId="44545" xr:uid="{00000000-0005-0000-0000-0000A9AB0000}"/>
    <cellStyle name="Normal 11 3 5 7 3 2" xfId="44546" xr:uid="{00000000-0005-0000-0000-0000AAAB0000}"/>
    <cellStyle name="Normal 11 3 5 7 4" xfId="44547" xr:uid="{00000000-0005-0000-0000-0000ABAB0000}"/>
    <cellStyle name="Normal 11 3 5 8" xfId="44548" xr:uid="{00000000-0005-0000-0000-0000ACAB0000}"/>
    <cellStyle name="Normal 11 3 5 8 2" xfId="44549" xr:uid="{00000000-0005-0000-0000-0000ADAB0000}"/>
    <cellStyle name="Normal 11 3 5 8 2 2" xfId="44550" xr:uid="{00000000-0005-0000-0000-0000AEAB0000}"/>
    <cellStyle name="Normal 11 3 5 8 2 2 2" xfId="44551" xr:uid="{00000000-0005-0000-0000-0000AFAB0000}"/>
    <cellStyle name="Normal 11 3 5 8 2 3" xfId="44552" xr:uid="{00000000-0005-0000-0000-0000B0AB0000}"/>
    <cellStyle name="Normal 11 3 5 8 3" xfId="44553" xr:uid="{00000000-0005-0000-0000-0000B1AB0000}"/>
    <cellStyle name="Normal 11 3 5 8 3 2" xfId="44554" xr:uid="{00000000-0005-0000-0000-0000B2AB0000}"/>
    <cellStyle name="Normal 11 3 5 8 4" xfId="44555" xr:uid="{00000000-0005-0000-0000-0000B3AB0000}"/>
    <cellStyle name="Normal 11 3 5 9" xfId="44556" xr:uid="{00000000-0005-0000-0000-0000B4AB0000}"/>
    <cellStyle name="Normal 11 3 5 9 2" xfId="44557" xr:uid="{00000000-0005-0000-0000-0000B5AB0000}"/>
    <cellStyle name="Normal 11 3 5 9 2 2" xfId="44558" xr:uid="{00000000-0005-0000-0000-0000B6AB0000}"/>
    <cellStyle name="Normal 11 3 5 9 3" xfId="44559" xr:uid="{00000000-0005-0000-0000-0000B7AB0000}"/>
    <cellStyle name="Normal 11 3 6" xfId="630" xr:uid="{00000000-0005-0000-0000-0000B8AB0000}"/>
    <cellStyle name="Normal 11 3 6 10" xfId="44561" xr:uid="{00000000-0005-0000-0000-0000B9AB0000}"/>
    <cellStyle name="Normal 11 3 6 10 2" xfId="44562" xr:uid="{00000000-0005-0000-0000-0000BAAB0000}"/>
    <cellStyle name="Normal 11 3 6 10 2 2" xfId="44563" xr:uid="{00000000-0005-0000-0000-0000BBAB0000}"/>
    <cellStyle name="Normal 11 3 6 10 3" xfId="44564" xr:uid="{00000000-0005-0000-0000-0000BCAB0000}"/>
    <cellStyle name="Normal 11 3 6 11" xfId="44565" xr:uid="{00000000-0005-0000-0000-0000BDAB0000}"/>
    <cellStyle name="Normal 11 3 6 11 2" xfId="44566" xr:uid="{00000000-0005-0000-0000-0000BEAB0000}"/>
    <cellStyle name="Normal 11 3 6 11 2 2" xfId="44567" xr:uid="{00000000-0005-0000-0000-0000BFAB0000}"/>
    <cellStyle name="Normal 11 3 6 11 3" xfId="44568" xr:uid="{00000000-0005-0000-0000-0000C0AB0000}"/>
    <cellStyle name="Normal 11 3 6 12" xfId="44569" xr:uid="{00000000-0005-0000-0000-0000C1AB0000}"/>
    <cellStyle name="Normal 11 3 6 12 2" xfId="44570" xr:uid="{00000000-0005-0000-0000-0000C2AB0000}"/>
    <cellStyle name="Normal 11 3 6 13" xfId="44571" xr:uid="{00000000-0005-0000-0000-0000C3AB0000}"/>
    <cellStyle name="Normal 11 3 6 14" xfId="44572" xr:uid="{00000000-0005-0000-0000-0000C4AB0000}"/>
    <cellStyle name="Normal 11 3 6 15" xfId="44560" xr:uid="{00000000-0005-0000-0000-0000C5AB0000}"/>
    <cellStyle name="Normal 11 3 6 2" xfId="1072" xr:uid="{00000000-0005-0000-0000-0000C6AB0000}"/>
    <cellStyle name="Normal 11 3 6 2 10" xfId="44574" xr:uid="{00000000-0005-0000-0000-0000C7AB0000}"/>
    <cellStyle name="Normal 11 3 6 2 11" xfId="44573" xr:uid="{00000000-0005-0000-0000-0000C8AB0000}"/>
    <cellStyle name="Normal 11 3 6 2 2" xfId="1801" xr:uid="{00000000-0005-0000-0000-0000C9AB0000}"/>
    <cellStyle name="Normal 11 3 6 2 2 2" xfId="44576" xr:uid="{00000000-0005-0000-0000-0000CAAB0000}"/>
    <cellStyle name="Normal 11 3 6 2 2 2 2" xfId="44577" xr:uid="{00000000-0005-0000-0000-0000CBAB0000}"/>
    <cellStyle name="Normal 11 3 6 2 2 2 2 2" xfId="44578" xr:uid="{00000000-0005-0000-0000-0000CCAB0000}"/>
    <cellStyle name="Normal 11 3 6 2 2 2 2 2 2" xfId="44579" xr:uid="{00000000-0005-0000-0000-0000CDAB0000}"/>
    <cellStyle name="Normal 11 3 6 2 2 2 2 3" xfId="44580" xr:uid="{00000000-0005-0000-0000-0000CEAB0000}"/>
    <cellStyle name="Normal 11 3 6 2 2 2 3" xfId="44581" xr:uid="{00000000-0005-0000-0000-0000CFAB0000}"/>
    <cellStyle name="Normal 11 3 6 2 2 2 3 2" xfId="44582" xr:uid="{00000000-0005-0000-0000-0000D0AB0000}"/>
    <cellStyle name="Normal 11 3 6 2 2 2 4" xfId="44583" xr:uid="{00000000-0005-0000-0000-0000D1AB0000}"/>
    <cellStyle name="Normal 11 3 6 2 2 3" xfId="44584" xr:uid="{00000000-0005-0000-0000-0000D2AB0000}"/>
    <cellStyle name="Normal 11 3 6 2 2 3 2" xfId="44585" xr:uid="{00000000-0005-0000-0000-0000D3AB0000}"/>
    <cellStyle name="Normal 11 3 6 2 2 3 2 2" xfId="44586" xr:uid="{00000000-0005-0000-0000-0000D4AB0000}"/>
    <cellStyle name="Normal 11 3 6 2 2 3 2 2 2" xfId="44587" xr:uid="{00000000-0005-0000-0000-0000D5AB0000}"/>
    <cellStyle name="Normal 11 3 6 2 2 3 2 3" xfId="44588" xr:uid="{00000000-0005-0000-0000-0000D6AB0000}"/>
    <cellStyle name="Normal 11 3 6 2 2 3 3" xfId="44589" xr:uid="{00000000-0005-0000-0000-0000D7AB0000}"/>
    <cellStyle name="Normal 11 3 6 2 2 3 3 2" xfId="44590" xr:uid="{00000000-0005-0000-0000-0000D8AB0000}"/>
    <cellStyle name="Normal 11 3 6 2 2 3 4" xfId="44591" xr:uid="{00000000-0005-0000-0000-0000D9AB0000}"/>
    <cellStyle name="Normal 11 3 6 2 2 4" xfId="44592" xr:uid="{00000000-0005-0000-0000-0000DAAB0000}"/>
    <cellStyle name="Normal 11 3 6 2 2 4 2" xfId="44593" xr:uid="{00000000-0005-0000-0000-0000DBAB0000}"/>
    <cellStyle name="Normal 11 3 6 2 2 4 2 2" xfId="44594" xr:uid="{00000000-0005-0000-0000-0000DCAB0000}"/>
    <cellStyle name="Normal 11 3 6 2 2 4 3" xfId="44595" xr:uid="{00000000-0005-0000-0000-0000DDAB0000}"/>
    <cellStyle name="Normal 11 3 6 2 2 5" xfId="44596" xr:uid="{00000000-0005-0000-0000-0000DEAB0000}"/>
    <cellStyle name="Normal 11 3 6 2 2 5 2" xfId="44597" xr:uid="{00000000-0005-0000-0000-0000DFAB0000}"/>
    <cellStyle name="Normal 11 3 6 2 2 6" xfId="44598" xr:uid="{00000000-0005-0000-0000-0000E0AB0000}"/>
    <cellStyle name="Normal 11 3 6 2 2 7" xfId="44575" xr:uid="{00000000-0005-0000-0000-0000E1AB0000}"/>
    <cellStyle name="Normal 11 3 6 2 3" xfId="44599" xr:uid="{00000000-0005-0000-0000-0000E2AB0000}"/>
    <cellStyle name="Normal 11 3 6 2 3 2" xfId="44600" xr:uid="{00000000-0005-0000-0000-0000E3AB0000}"/>
    <cellStyle name="Normal 11 3 6 2 3 2 2" xfId="44601" xr:uid="{00000000-0005-0000-0000-0000E4AB0000}"/>
    <cellStyle name="Normal 11 3 6 2 3 2 2 2" xfId="44602" xr:uid="{00000000-0005-0000-0000-0000E5AB0000}"/>
    <cellStyle name="Normal 11 3 6 2 3 2 2 2 2" xfId="44603" xr:uid="{00000000-0005-0000-0000-0000E6AB0000}"/>
    <cellStyle name="Normal 11 3 6 2 3 2 2 3" xfId="44604" xr:uid="{00000000-0005-0000-0000-0000E7AB0000}"/>
    <cellStyle name="Normal 11 3 6 2 3 2 3" xfId="44605" xr:uid="{00000000-0005-0000-0000-0000E8AB0000}"/>
    <cellStyle name="Normal 11 3 6 2 3 2 3 2" xfId="44606" xr:uid="{00000000-0005-0000-0000-0000E9AB0000}"/>
    <cellStyle name="Normal 11 3 6 2 3 2 4" xfId="44607" xr:uid="{00000000-0005-0000-0000-0000EAAB0000}"/>
    <cellStyle name="Normal 11 3 6 2 3 3" xfId="44608" xr:uid="{00000000-0005-0000-0000-0000EBAB0000}"/>
    <cellStyle name="Normal 11 3 6 2 3 3 2" xfId="44609" xr:uid="{00000000-0005-0000-0000-0000ECAB0000}"/>
    <cellStyle name="Normal 11 3 6 2 3 3 2 2" xfId="44610" xr:uid="{00000000-0005-0000-0000-0000EDAB0000}"/>
    <cellStyle name="Normal 11 3 6 2 3 3 3" xfId="44611" xr:uid="{00000000-0005-0000-0000-0000EEAB0000}"/>
    <cellStyle name="Normal 11 3 6 2 3 4" xfId="44612" xr:uid="{00000000-0005-0000-0000-0000EFAB0000}"/>
    <cellStyle name="Normal 11 3 6 2 3 4 2" xfId="44613" xr:uid="{00000000-0005-0000-0000-0000F0AB0000}"/>
    <cellStyle name="Normal 11 3 6 2 3 5" xfId="44614" xr:uid="{00000000-0005-0000-0000-0000F1AB0000}"/>
    <cellStyle name="Normal 11 3 6 2 4" xfId="44615" xr:uid="{00000000-0005-0000-0000-0000F2AB0000}"/>
    <cellStyle name="Normal 11 3 6 2 4 2" xfId="44616" xr:uid="{00000000-0005-0000-0000-0000F3AB0000}"/>
    <cellStyle name="Normal 11 3 6 2 4 2 2" xfId="44617" xr:uid="{00000000-0005-0000-0000-0000F4AB0000}"/>
    <cellStyle name="Normal 11 3 6 2 4 2 2 2" xfId="44618" xr:uid="{00000000-0005-0000-0000-0000F5AB0000}"/>
    <cellStyle name="Normal 11 3 6 2 4 2 2 2 2" xfId="44619" xr:uid="{00000000-0005-0000-0000-0000F6AB0000}"/>
    <cellStyle name="Normal 11 3 6 2 4 2 2 3" xfId="44620" xr:uid="{00000000-0005-0000-0000-0000F7AB0000}"/>
    <cellStyle name="Normal 11 3 6 2 4 2 3" xfId="44621" xr:uid="{00000000-0005-0000-0000-0000F8AB0000}"/>
    <cellStyle name="Normal 11 3 6 2 4 2 3 2" xfId="44622" xr:uid="{00000000-0005-0000-0000-0000F9AB0000}"/>
    <cellStyle name="Normal 11 3 6 2 4 2 4" xfId="44623" xr:uid="{00000000-0005-0000-0000-0000FAAB0000}"/>
    <cellStyle name="Normal 11 3 6 2 4 3" xfId="44624" xr:uid="{00000000-0005-0000-0000-0000FBAB0000}"/>
    <cellStyle name="Normal 11 3 6 2 4 3 2" xfId="44625" xr:uid="{00000000-0005-0000-0000-0000FCAB0000}"/>
    <cellStyle name="Normal 11 3 6 2 4 3 2 2" xfId="44626" xr:uid="{00000000-0005-0000-0000-0000FDAB0000}"/>
    <cellStyle name="Normal 11 3 6 2 4 3 3" xfId="44627" xr:uid="{00000000-0005-0000-0000-0000FEAB0000}"/>
    <cellStyle name="Normal 11 3 6 2 4 4" xfId="44628" xr:uid="{00000000-0005-0000-0000-0000FFAB0000}"/>
    <cellStyle name="Normal 11 3 6 2 4 4 2" xfId="44629" xr:uid="{00000000-0005-0000-0000-000000AC0000}"/>
    <cellStyle name="Normal 11 3 6 2 4 5" xfId="44630" xr:uid="{00000000-0005-0000-0000-000001AC0000}"/>
    <cellStyle name="Normal 11 3 6 2 5" xfId="44631" xr:uid="{00000000-0005-0000-0000-000002AC0000}"/>
    <cellStyle name="Normal 11 3 6 2 5 2" xfId="44632" xr:uid="{00000000-0005-0000-0000-000003AC0000}"/>
    <cellStyle name="Normal 11 3 6 2 5 2 2" xfId="44633" xr:uid="{00000000-0005-0000-0000-000004AC0000}"/>
    <cellStyle name="Normal 11 3 6 2 5 2 2 2" xfId="44634" xr:uid="{00000000-0005-0000-0000-000005AC0000}"/>
    <cellStyle name="Normal 11 3 6 2 5 2 3" xfId="44635" xr:uid="{00000000-0005-0000-0000-000006AC0000}"/>
    <cellStyle name="Normal 11 3 6 2 5 3" xfId="44636" xr:uid="{00000000-0005-0000-0000-000007AC0000}"/>
    <cellStyle name="Normal 11 3 6 2 5 3 2" xfId="44637" xr:uid="{00000000-0005-0000-0000-000008AC0000}"/>
    <cellStyle name="Normal 11 3 6 2 5 4" xfId="44638" xr:uid="{00000000-0005-0000-0000-000009AC0000}"/>
    <cellStyle name="Normal 11 3 6 2 6" xfId="44639" xr:uid="{00000000-0005-0000-0000-00000AAC0000}"/>
    <cellStyle name="Normal 11 3 6 2 6 2" xfId="44640" xr:uid="{00000000-0005-0000-0000-00000BAC0000}"/>
    <cellStyle name="Normal 11 3 6 2 6 2 2" xfId="44641" xr:uid="{00000000-0005-0000-0000-00000CAC0000}"/>
    <cellStyle name="Normal 11 3 6 2 6 2 2 2" xfId="44642" xr:uid="{00000000-0005-0000-0000-00000DAC0000}"/>
    <cellStyle name="Normal 11 3 6 2 6 2 3" xfId="44643" xr:uid="{00000000-0005-0000-0000-00000EAC0000}"/>
    <cellStyle name="Normal 11 3 6 2 6 3" xfId="44644" xr:uid="{00000000-0005-0000-0000-00000FAC0000}"/>
    <cellStyle name="Normal 11 3 6 2 6 3 2" xfId="44645" xr:uid="{00000000-0005-0000-0000-000010AC0000}"/>
    <cellStyle name="Normal 11 3 6 2 6 4" xfId="44646" xr:uid="{00000000-0005-0000-0000-000011AC0000}"/>
    <cellStyle name="Normal 11 3 6 2 7" xfId="44647" xr:uid="{00000000-0005-0000-0000-000012AC0000}"/>
    <cellStyle name="Normal 11 3 6 2 7 2" xfId="44648" xr:uid="{00000000-0005-0000-0000-000013AC0000}"/>
    <cellStyle name="Normal 11 3 6 2 7 2 2" xfId="44649" xr:uid="{00000000-0005-0000-0000-000014AC0000}"/>
    <cellStyle name="Normal 11 3 6 2 7 2 2 2" xfId="44650" xr:uid="{00000000-0005-0000-0000-000015AC0000}"/>
    <cellStyle name="Normal 11 3 6 2 7 2 3" xfId="44651" xr:uid="{00000000-0005-0000-0000-000016AC0000}"/>
    <cellStyle name="Normal 11 3 6 2 7 3" xfId="44652" xr:uid="{00000000-0005-0000-0000-000017AC0000}"/>
    <cellStyle name="Normal 11 3 6 2 7 3 2" xfId="44653" xr:uid="{00000000-0005-0000-0000-000018AC0000}"/>
    <cellStyle name="Normal 11 3 6 2 7 4" xfId="44654" xr:uid="{00000000-0005-0000-0000-000019AC0000}"/>
    <cellStyle name="Normal 11 3 6 2 8" xfId="44655" xr:uid="{00000000-0005-0000-0000-00001AAC0000}"/>
    <cellStyle name="Normal 11 3 6 2 8 2" xfId="44656" xr:uid="{00000000-0005-0000-0000-00001BAC0000}"/>
    <cellStyle name="Normal 11 3 6 2 8 2 2" xfId="44657" xr:uid="{00000000-0005-0000-0000-00001CAC0000}"/>
    <cellStyle name="Normal 11 3 6 2 8 3" xfId="44658" xr:uid="{00000000-0005-0000-0000-00001DAC0000}"/>
    <cellStyle name="Normal 11 3 6 2 9" xfId="44659" xr:uid="{00000000-0005-0000-0000-00001EAC0000}"/>
    <cellStyle name="Normal 11 3 6 2 9 2" xfId="44660" xr:uid="{00000000-0005-0000-0000-00001FAC0000}"/>
    <cellStyle name="Normal 11 3 6 3" xfId="1474" xr:uid="{00000000-0005-0000-0000-000020AC0000}"/>
    <cellStyle name="Normal 11 3 6 3 2" xfId="44662" xr:uid="{00000000-0005-0000-0000-000021AC0000}"/>
    <cellStyle name="Normal 11 3 6 3 2 2" xfId="44663" xr:uid="{00000000-0005-0000-0000-000022AC0000}"/>
    <cellStyle name="Normal 11 3 6 3 2 2 2" xfId="44664" xr:uid="{00000000-0005-0000-0000-000023AC0000}"/>
    <cellStyle name="Normal 11 3 6 3 2 2 2 2" xfId="44665" xr:uid="{00000000-0005-0000-0000-000024AC0000}"/>
    <cellStyle name="Normal 11 3 6 3 2 2 3" xfId="44666" xr:uid="{00000000-0005-0000-0000-000025AC0000}"/>
    <cellStyle name="Normal 11 3 6 3 2 3" xfId="44667" xr:uid="{00000000-0005-0000-0000-000026AC0000}"/>
    <cellStyle name="Normal 11 3 6 3 2 3 2" xfId="44668" xr:uid="{00000000-0005-0000-0000-000027AC0000}"/>
    <cellStyle name="Normal 11 3 6 3 2 4" xfId="44669" xr:uid="{00000000-0005-0000-0000-000028AC0000}"/>
    <cellStyle name="Normal 11 3 6 3 3" xfId="44670" xr:uid="{00000000-0005-0000-0000-000029AC0000}"/>
    <cellStyle name="Normal 11 3 6 3 3 2" xfId="44671" xr:uid="{00000000-0005-0000-0000-00002AAC0000}"/>
    <cellStyle name="Normal 11 3 6 3 3 2 2" xfId="44672" xr:uid="{00000000-0005-0000-0000-00002BAC0000}"/>
    <cellStyle name="Normal 11 3 6 3 3 2 2 2" xfId="44673" xr:uid="{00000000-0005-0000-0000-00002CAC0000}"/>
    <cellStyle name="Normal 11 3 6 3 3 2 3" xfId="44674" xr:uid="{00000000-0005-0000-0000-00002DAC0000}"/>
    <cellStyle name="Normal 11 3 6 3 3 3" xfId="44675" xr:uid="{00000000-0005-0000-0000-00002EAC0000}"/>
    <cellStyle name="Normal 11 3 6 3 3 3 2" xfId="44676" xr:uid="{00000000-0005-0000-0000-00002FAC0000}"/>
    <cellStyle name="Normal 11 3 6 3 3 4" xfId="44677" xr:uid="{00000000-0005-0000-0000-000030AC0000}"/>
    <cellStyle name="Normal 11 3 6 3 4" xfId="44678" xr:uid="{00000000-0005-0000-0000-000031AC0000}"/>
    <cellStyle name="Normal 11 3 6 3 4 2" xfId="44679" xr:uid="{00000000-0005-0000-0000-000032AC0000}"/>
    <cellStyle name="Normal 11 3 6 3 4 2 2" xfId="44680" xr:uid="{00000000-0005-0000-0000-000033AC0000}"/>
    <cellStyle name="Normal 11 3 6 3 4 3" xfId="44681" xr:uid="{00000000-0005-0000-0000-000034AC0000}"/>
    <cellStyle name="Normal 11 3 6 3 5" xfId="44682" xr:uid="{00000000-0005-0000-0000-000035AC0000}"/>
    <cellStyle name="Normal 11 3 6 3 5 2" xfId="44683" xr:uid="{00000000-0005-0000-0000-000036AC0000}"/>
    <cellStyle name="Normal 11 3 6 3 6" xfId="44684" xr:uid="{00000000-0005-0000-0000-000037AC0000}"/>
    <cellStyle name="Normal 11 3 6 3 7" xfId="44661" xr:uid="{00000000-0005-0000-0000-000038AC0000}"/>
    <cellStyle name="Normal 11 3 6 4" xfId="44685" xr:uid="{00000000-0005-0000-0000-000039AC0000}"/>
    <cellStyle name="Normal 11 3 6 4 2" xfId="44686" xr:uid="{00000000-0005-0000-0000-00003AAC0000}"/>
    <cellStyle name="Normal 11 3 6 4 2 2" xfId="44687" xr:uid="{00000000-0005-0000-0000-00003BAC0000}"/>
    <cellStyle name="Normal 11 3 6 4 2 2 2" xfId="44688" xr:uid="{00000000-0005-0000-0000-00003CAC0000}"/>
    <cellStyle name="Normal 11 3 6 4 2 2 2 2" xfId="44689" xr:uid="{00000000-0005-0000-0000-00003DAC0000}"/>
    <cellStyle name="Normal 11 3 6 4 2 2 3" xfId="44690" xr:uid="{00000000-0005-0000-0000-00003EAC0000}"/>
    <cellStyle name="Normal 11 3 6 4 2 3" xfId="44691" xr:uid="{00000000-0005-0000-0000-00003FAC0000}"/>
    <cellStyle name="Normal 11 3 6 4 2 3 2" xfId="44692" xr:uid="{00000000-0005-0000-0000-000040AC0000}"/>
    <cellStyle name="Normal 11 3 6 4 2 4" xfId="44693" xr:uid="{00000000-0005-0000-0000-000041AC0000}"/>
    <cellStyle name="Normal 11 3 6 4 3" xfId="44694" xr:uid="{00000000-0005-0000-0000-000042AC0000}"/>
    <cellStyle name="Normal 11 3 6 4 3 2" xfId="44695" xr:uid="{00000000-0005-0000-0000-000043AC0000}"/>
    <cellStyle name="Normal 11 3 6 4 3 2 2" xfId="44696" xr:uid="{00000000-0005-0000-0000-000044AC0000}"/>
    <cellStyle name="Normal 11 3 6 4 3 3" xfId="44697" xr:uid="{00000000-0005-0000-0000-000045AC0000}"/>
    <cellStyle name="Normal 11 3 6 4 4" xfId="44698" xr:uid="{00000000-0005-0000-0000-000046AC0000}"/>
    <cellStyle name="Normal 11 3 6 4 4 2" xfId="44699" xr:uid="{00000000-0005-0000-0000-000047AC0000}"/>
    <cellStyle name="Normal 11 3 6 4 5" xfId="44700" xr:uid="{00000000-0005-0000-0000-000048AC0000}"/>
    <cellStyle name="Normal 11 3 6 5" xfId="44701" xr:uid="{00000000-0005-0000-0000-000049AC0000}"/>
    <cellStyle name="Normal 11 3 6 5 2" xfId="44702" xr:uid="{00000000-0005-0000-0000-00004AAC0000}"/>
    <cellStyle name="Normal 11 3 6 5 2 2" xfId="44703" xr:uid="{00000000-0005-0000-0000-00004BAC0000}"/>
    <cellStyle name="Normal 11 3 6 5 2 2 2" xfId="44704" xr:uid="{00000000-0005-0000-0000-00004CAC0000}"/>
    <cellStyle name="Normal 11 3 6 5 2 2 2 2" xfId="44705" xr:uid="{00000000-0005-0000-0000-00004DAC0000}"/>
    <cellStyle name="Normal 11 3 6 5 2 2 3" xfId="44706" xr:uid="{00000000-0005-0000-0000-00004EAC0000}"/>
    <cellStyle name="Normal 11 3 6 5 2 3" xfId="44707" xr:uid="{00000000-0005-0000-0000-00004FAC0000}"/>
    <cellStyle name="Normal 11 3 6 5 2 3 2" xfId="44708" xr:uid="{00000000-0005-0000-0000-000050AC0000}"/>
    <cellStyle name="Normal 11 3 6 5 2 4" xfId="44709" xr:uid="{00000000-0005-0000-0000-000051AC0000}"/>
    <cellStyle name="Normal 11 3 6 5 3" xfId="44710" xr:uid="{00000000-0005-0000-0000-000052AC0000}"/>
    <cellStyle name="Normal 11 3 6 5 3 2" xfId="44711" xr:uid="{00000000-0005-0000-0000-000053AC0000}"/>
    <cellStyle name="Normal 11 3 6 5 3 2 2" xfId="44712" xr:uid="{00000000-0005-0000-0000-000054AC0000}"/>
    <cellStyle name="Normal 11 3 6 5 3 3" xfId="44713" xr:uid="{00000000-0005-0000-0000-000055AC0000}"/>
    <cellStyle name="Normal 11 3 6 5 4" xfId="44714" xr:uid="{00000000-0005-0000-0000-000056AC0000}"/>
    <cellStyle name="Normal 11 3 6 5 4 2" xfId="44715" xr:uid="{00000000-0005-0000-0000-000057AC0000}"/>
    <cellStyle name="Normal 11 3 6 5 5" xfId="44716" xr:uid="{00000000-0005-0000-0000-000058AC0000}"/>
    <cellStyle name="Normal 11 3 6 6" xfId="44717" xr:uid="{00000000-0005-0000-0000-000059AC0000}"/>
    <cellStyle name="Normal 11 3 6 6 2" xfId="44718" xr:uid="{00000000-0005-0000-0000-00005AAC0000}"/>
    <cellStyle name="Normal 11 3 6 6 2 2" xfId="44719" xr:uid="{00000000-0005-0000-0000-00005BAC0000}"/>
    <cellStyle name="Normal 11 3 6 6 2 2 2" xfId="44720" xr:uid="{00000000-0005-0000-0000-00005CAC0000}"/>
    <cellStyle name="Normal 11 3 6 6 2 3" xfId="44721" xr:uid="{00000000-0005-0000-0000-00005DAC0000}"/>
    <cellStyle name="Normal 11 3 6 6 3" xfId="44722" xr:uid="{00000000-0005-0000-0000-00005EAC0000}"/>
    <cellStyle name="Normal 11 3 6 6 3 2" xfId="44723" xr:uid="{00000000-0005-0000-0000-00005FAC0000}"/>
    <cellStyle name="Normal 11 3 6 6 4" xfId="44724" xr:uid="{00000000-0005-0000-0000-000060AC0000}"/>
    <cellStyle name="Normal 11 3 6 7" xfId="44725" xr:uid="{00000000-0005-0000-0000-000061AC0000}"/>
    <cellStyle name="Normal 11 3 6 7 2" xfId="44726" xr:uid="{00000000-0005-0000-0000-000062AC0000}"/>
    <cellStyle name="Normal 11 3 6 7 2 2" xfId="44727" xr:uid="{00000000-0005-0000-0000-000063AC0000}"/>
    <cellStyle name="Normal 11 3 6 7 2 2 2" xfId="44728" xr:uid="{00000000-0005-0000-0000-000064AC0000}"/>
    <cellStyle name="Normal 11 3 6 7 2 3" xfId="44729" xr:uid="{00000000-0005-0000-0000-000065AC0000}"/>
    <cellStyle name="Normal 11 3 6 7 3" xfId="44730" xr:uid="{00000000-0005-0000-0000-000066AC0000}"/>
    <cellStyle name="Normal 11 3 6 7 3 2" xfId="44731" xr:uid="{00000000-0005-0000-0000-000067AC0000}"/>
    <cellStyle name="Normal 11 3 6 7 4" xfId="44732" xr:uid="{00000000-0005-0000-0000-000068AC0000}"/>
    <cellStyle name="Normal 11 3 6 8" xfId="44733" xr:uid="{00000000-0005-0000-0000-000069AC0000}"/>
    <cellStyle name="Normal 11 3 6 8 2" xfId="44734" xr:uid="{00000000-0005-0000-0000-00006AAC0000}"/>
    <cellStyle name="Normal 11 3 6 8 2 2" xfId="44735" xr:uid="{00000000-0005-0000-0000-00006BAC0000}"/>
    <cellStyle name="Normal 11 3 6 8 2 2 2" xfId="44736" xr:uid="{00000000-0005-0000-0000-00006CAC0000}"/>
    <cellStyle name="Normal 11 3 6 8 2 3" xfId="44737" xr:uid="{00000000-0005-0000-0000-00006DAC0000}"/>
    <cellStyle name="Normal 11 3 6 8 3" xfId="44738" xr:uid="{00000000-0005-0000-0000-00006EAC0000}"/>
    <cellStyle name="Normal 11 3 6 8 3 2" xfId="44739" xr:uid="{00000000-0005-0000-0000-00006FAC0000}"/>
    <cellStyle name="Normal 11 3 6 8 4" xfId="44740" xr:uid="{00000000-0005-0000-0000-000070AC0000}"/>
    <cellStyle name="Normal 11 3 6 9" xfId="44741" xr:uid="{00000000-0005-0000-0000-000071AC0000}"/>
    <cellStyle name="Normal 11 3 6 9 2" xfId="44742" xr:uid="{00000000-0005-0000-0000-000072AC0000}"/>
    <cellStyle name="Normal 11 3 6 9 2 2" xfId="44743" xr:uid="{00000000-0005-0000-0000-000073AC0000}"/>
    <cellStyle name="Normal 11 3 6 9 3" xfId="44744" xr:uid="{00000000-0005-0000-0000-000074AC0000}"/>
    <cellStyle name="Normal 11 3 7" xfId="1049" xr:uid="{00000000-0005-0000-0000-000075AC0000}"/>
    <cellStyle name="Normal 11 3 7 10" xfId="44746" xr:uid="{00000000-0005-0000-0000-000076AC0000}"/>
    <cellStyle name="Normal 11 3 7 11" xfId="44745" xr:uid="{00000000-0005-0000-0000-000077AC0000}"/>
    <cellStyle name="Normal 11 3 7 2" xfId="1778" xr:uid="{00000000-0005-0000-0000-000078AC0000}"/>
    <cellStyle name="Normal 11 3 7 2 2" xfId="44748" xr:uid="{00000000-0005-0000-0000-000079AC0000}"/>
    <cellStyle name="Normal 11 3 7 2 2 2" xfId="44749" xr:uid="{00000000-0005-0000-0000-00007AAC0000}"/>
    <cellStyle name="Normal 11 3 7 2 2 2 2" xfId="44750" xr:uid="{00000000-0005-0000-0000-00007BAC0000}"/>
    <cellStyle name="Normal 11 3 7 2 2 2 2 2" xfId="44751" xr:uid="{00000000-0005-0000-0000-00007CAC0000}"/>
    <cellStyle name="Normal 11 3 7 2 2 2 3" xfId="44752" xr:uid="{00000000-0005-0000-0000-00007DAC0000}"/>
    <cellStyle name="Normal 11 3 7 2 2 3" xfId="44753" xr:uid="{00000000-0005-0000-0000-00007EAC0000}"/>
    <cellStyle name="Normal 11 3 7 2 2 3 2" xfId="44754" xr:uid="{00000000-0005-0000-0000-00007FAC0000}"/>
    <cellStyle name="Normal 11 3 7 2 2 4" xfId="44755" xr:uid="{00000000-0005-0000-0000-000080AC0000}"/>
    <cellStyle name="Normal 11 3 7 2 3" xfId="44756" xr:uid="{00000000-0005-0000-0000-000081AC0000}"/>
    <cellStyle name="Normal 11 3 7 2 3 2" xfId="44757" xr:uid="{00000000-0005-0000-0000-000082AC0000}"/>
    <cellStyle name="Normal 11 3 7 2 3 2 2" xfId="44758" xr:uid="{00000000-0005-0000-0000-000083AC0000}"/>
    <cellStyle name="Normal 11 3 7 2 3 2 2 2" xfId="44759" xr:uid="{00000000-0005-0000-0000-000084AC0000}"/>
    <cellStyle name="Normal 11 3 7 2 3 2 3" xfId="44760" xr:uid="{00000000-0005-0000-0000-000085AC0000}"/>
    <cellStyle name="Normal 11 3 7 2 3 3" xfId="44761" xr:uid="{00000000-0005-0000-0000-000086AC0000}"/>
    <cellStyle name="Normal 11 3 7 2 3 3 2" xfId="44762" xr:uid="{00000000-0005-0000-0000-000087AC0000}"/>
    <cellStyle name="Normal 11 3 7 2 3 4" xfId="44763" xr:uid="{00000000-0005-0000-0000-000088AC0000}"/>
    <cellStyle name="Normal 11 3 7 2 4" xfId="44764" xr:uid="{00000000-0005-0000-0000-000089AC0000}"/>
    <cellStyle name="Normal 11 3 7 2 4 2" xfId="44765" xr:uid="{00000000-0005-0000-0000-00008AAC0000}"/>
    <cellStyle name="Normal 11 3 7 2 4 2 2" xfId="44766" xr:uid="{00000000-0005-0000-0000-00008BAC0000}"/>
    <cellStyle name="Normal 11 3 7 2 4 3" xfId="44767" xr:uid="{00000000-0005-0000-0000-00008CAC0000}"/>
    <cellStyle name="Normal 11 3 7 2 5" xfId="44768" xr:uid="{00000000-0005-0000-0000-00008DAC0000}"/>
    <cellStyle name="Normal 11 3 7 2 5 2" xfId="44769" xr:uid="{00000000-0005-0000-0000-00008EAC0000}"/>
    <cellStyle name="Normal 11 3 7 2 6" xfId="44770" xr:uid="{00000000-0005-0000-0000-00008FAC0000}"/>
    <cellStyle name="Normal 11 3 7 2 7" xfId="44747" xr:uid="{00000000-0005-0000-0000-000090AC0000}"/>
    <cellStyle name="Normal 11 3 7 3" xfId="44771" xr:uid="{00000000-0005-0000-0000-000091AC0000}"/>
    <cellStyle name="Normal 11 3 7 3 2" xfId="44772" xr:uid="{00000000-0005-0000-0000-000092AC0000}"/>
    <cellStyle name="Normal 11 3 7 3 2 2" xfId="44773" xr:uid="{00000000-0005-0000-0000-000093AC0000}"/>
    <cellStyle name="Normal 11 3 7 3 2 2 2" xfId="44774" xr:uid="{00000000-0005-0000-0000-000094AC0000}"/>
    <cellStyle name="Normal 11 3 7 3 2 2 2 2" xfId="44775" xr:uid="{00000000-0005-0000-0000-000095AC0000}"/>
    <cellStyle name="Normal 11 3 7 3 2 2 3" xfId="44776" xr:uid="{00000000-0005-0000-0000-000096AC0000}"/>
    <cellStyle name="Normal 11 3 7 3 2 3" xfId="44777" xr:uid="{00000000-0005-0000-0000-000097AC0000}"/>
    <cellStyle name="Normal 11 3 7 3 2 3 2" xfId="44778" xr:uid="{00000000-0005-0000-0000-000098AC0000}"/>
    <cellStyle name="Normal 11 3 7 3 2 4" xfId="44779" xr:uid="{00000000-0005-0000-0000-000099AC0000}"/>
    <cellStyle name="Normal 11 3 7 3 3" xfId="44780" xr:uid="{00000000-0005-0000-0000-00009AAC0000}"/>
    <cellStyle name="Normal 11 3 7 3 3 2" xfId="44781" xr:uid="{00000000-0005-0000-0000-00009BAC0000}"/>
    <cellStyle name="Normal 11 3 7 3 3 2 2" xfId="44782" xr:uid="{00000000-0005-0000-0000-00009CAC0000}"/>
    <cellStyle name="Normal 11 3 7 3 3 3" xfId="44783" xr:uid="{00000000-0005-0000-0000-00009DAC0000}"/>
    <cellStyle name="Normal 11 3 7 3 4" xfId="44784" xr:uid="{00000000-0005-0000-0000-00009EAC0000}"/>
    <cellStyle name="Normal 11 3 7 3 4 2" xfId="44785" xr:uid="{00000000-0005-0000-0000-00009FAC0000}"/>
    <cellStyle name="Normal 11 3 7 3 5" xfId="44786" xr:uid="{00000000-0005-0000-0000-0000A0AC0000}"/>
    <cellStyle name="Normal 11 3 7 4" xfId="44787" xr:uid="{00000000-0005-0000-0000-0000A1AC0000}"/>
    <cellStyle name="Normal 11 3 7 4 2" xfId="44788" xr:uid="{00000000-0005-0000-0000-0000A2AC0000}"/>
    <cellStyle name="Normal 11 3 7 4 2 2" xfId="44789" xr:uid="{00000000-0005-0000-0000-0000A3AC0000}"/>
    <cellStyle name="Normal 11 3 7 4 2 2 2" xfId="44790" xr:uid="{00000000-0005-0000-0000-0000A4AC0000}"/>
    <cellStyle name="Normal 11 3 7 4 2 2 2 2" xfId="44791" xr:uid="{00000000-0005-0000-0000-0000A5AC0000}"/>
    <cellStyle name="Normal 11 3 7 4 2 2 3" xfId="44792" xr:uid="{00000000-0005-0000-0000-0000A6AC0000}"/>
    <cellStyle name="Normal 11 3 7 4 2 3" xfId="44793" xr:uid="{00000000-0005-0000-0000-0000A7AC0000}"/>
    <cellStyle name="Normal 11 3 7 4 2 3 2" xfId="44794" xr:uid="{00000000-0005-0000-0000-0000A8AC0000}"/>
    <cellStyle name="Normal 11 3 7 4 2 4" xfId="44795" xr:uid="{00000000-0005-0000-0000-0000A9AC0000}"/>
    <cellStyle name="Normal 11 3 7 4 3" xfId="44796" xr:uid="{00000000-0005-0000-0000-0000AAAC0000}"/>
    <cellStyle name="Normal 11 3 7 4 3 2" xfId="44797" xr:uid="{00000000-0005-0000-0000-0000ABAC0000}"/>
    <cellStyle name="Normal 11 3 7 4 3 2 2" xfId="44798" xr:uid="{00000000-0005-0000-0000-0000ACAC0000}"/>
    <cellStyle name="Normal 11 3 7 4 3 3" xfId="44799" xr:uid="{00000000-0005-0000-0000-0000ADAC0000}"/>
    <cellStyle name="Normal 11 3 7 4 4" xfId="44800" xr:uid="{00000000-0005-0000-0000-0000AEAC0000}"/>
    <cellStyle name="Normal 11 3 7 4 4 2" xfId="44801" xr:uid="{00000000-0005-0000-0000-0000AFAC0000}"/>
    <cellStyle name="Normal 11 3 7 4 5" xfId="44802" xr:uid="{00000000-0005-0000-0000-0000B0AC0000}"/>
    <cellStyle name="Normal 11 3 7 5" xfId="44803" xr:uid="{00000000-0005-0000-0000-0000B1AC0000}"/>
    <cellStyle name="Normal 11 3 7 5 2" xfId="44804" xr:uid="{00000000-0005-0000-0000-0000B2AC0000}"/>
    <cellStyle name="Normal 11 3 7 5 2 2" xfId="44805" xr:uid="{00000000-0005-0000-0000-0000B3AC0000}"/>
    <cellStyle name="Normal 11 3 7 5 2 2 2" xfId="44806" xr:uid="{00000000-0005-0000-0000-0000B4AC0000}"/>
    <cellStyle name="Normal 11 3 7 5 2 3" xfId="44807" xr:uid="{00000000-0005-0000-0000-0000B5AC0000}"/>
    <cellStyle name="Normal 11 3 7 5 3" xfId="44808" xr:uid="{00000000-0005-0000-0000-0000B6AC0000}"/>
    <cellStyle name="Normal 11 3 7 5 3 2" xfId="44809" xr:uid="{00000000-0005-0000-0000-0000B7AC0000}"/>
    <cellStyle name="Normal 11 3 7 5 4" xfId="44810" xr:uid="{00000000-0005-0000-0000-0000B8AC0000}"/>
    <cellStyle name="Normal 11 3 7 6" xfId="44811" xr:uid="{00000000-0005-0000-0000-0000B9AC0000}"/>
    <cellStyle name="Normal 11 3 7 6 2" xfId="44812" xr:uid="{00000000-0005-0000-0000-0000BAAC0000}"/>
    <cellStyle name="Normal 11 3 7 6 2 2" xfId="44813" xr:uid="{00000000-0005-0000-0000-0000BBAC0000}"/>
    <cellStyle name="Normal 11 3 7 6 2 2 2" xfId="44814" xr:uid="{00000000-0005-0000-0000-0000BCAC0000}"/>
    <cellStyle name="Normal 11 3 7 6 2 3" xfId="44815" xr:uid="{00000000-0005-0000-0000-0000BDAC0000}"/>
    <cellStyle name="Normal 11 3 7 6 3" xfId="44816" xr:uid="{00000000-0005-0000-0000-0000BEAC0000}"/>
    <cellStyle name="Normal 11 3 7 6 3 2" xfId="44817" xr:uid="{00000000-0005-0000-0000-0000BFAC0000}"/>
    <cellStyle name="Normal 11 3 7 6 4" xfId="44818" xr:uid="{00000000-0005-0000-0000-0000C0AC0000}"/>
    <cellStyle name="Normal 11 3 7 7" xfId="44819" xr:uid="{00000000-0005-0000-0000-0000C1AC0000}"/>
    <cellStyle name="Normal 11 3 7 7 2" xfId="44820" xr:uid="{00000000-0005-0000-0000-0000C2AC0000}"/>
    <cellStyle name="Normal 11 3 7 7 2 2" xfId="44821" xr:uid="{00000000-0005-0000-0000-0000C3AC0000}"/>
    <cellStyle name="Normal 11 3 7 7 2 2 2" xfId="44822" xr:uid="{00000000-0005-0000-0000-0000C4AC0000}"/>
    <cellStyle name="Normal 11 3 7 7 2 3" xfId="44823" xr:uid="{00000000-0005-0000-0000-0000C5AC0000}"/>
    <cellStyle name="Normal 11 3 7 7 3" xfId="44824" xr:uid="{00000000-0005-0000-0000-0000C6AC0000}"/>
    <cellStyle name="Normal 11 3 7 7 3 2" xfId="44825" xr:uid="{00000000-0005-0000-0000-0000C7AC0000}"/>
    <cellStyle name="Normal 11 3 7 7 4" xfId="44826" xr:uid="{00000000-0005-0000-0000-0000C8AC0000}"/>
    <cellStyle name="Normal 11 3 7 8" xfId="44827" xr:uid="{00000000-0005-0000-0000-0000C9AC0000}"/>
    <cellStyle name="Normal 11 3 7 8 2" xfId="44828" xr:uid="{00000000-0005-0000-0000-0000CAAC0000}"/>
    <cellStyle name="Normal 11 3 7 8 2 2" xfId="44829" xr:uid="{00000000-0005-0000-0000-0000CBAC0000}"/>
    <cellStyle name="Normal 11 3 7 8 3" xfId="44830" xr:uid="{00000000-0005-0000-0000-0000CCAC0000}"/>
    <cellStyle name="Normal 11 3 7 9" xfId="44831" xr:uid="{00000000-0005-0000-0000-0000CDAC0000}"/>
    <cellStyle name="Normal 11 3 7 9 2" xfId="44832" xr:uid="{00000000-0005-0000-0000-0000CEAC0000}"/>
    <cellStyle name="Normal 11 3 8" xfId="1451" xr:uid="{00000000-0005-0000-0000-0000CFAC0000}"/>
    <cellStyle name="Normal 11 3 8 2" xfId="44834" xr:uid="{00000000-0005-0000-0000-0000D0AC0000}"/>
    <cellStyle name="Normal 11 3 8 2 2" xfId="44835" xr:uid="{00000000-0005-0000-0000-0000D1AC0000}"/>
    <cellStyle name="Normal 11 3 8 2 2 2" xfId="44836" xr:uid="{00000000-0005-0000-0000-0000D2AC0000}"/>
    <cellStyle name="Normal 11 3 8 2 2 2 2" xfId="44837" xr:uid="{00000000-0005-0000-0000-0000D3AC0000}"/>
    <cellStyle name="Normal 11 3 8 2 2 3" xfId="44838" xr:uid="{00000000-0005-0000-0000-0000D4AC0000}"/>
    <cellStyle name="Normal 11 3 8 2 3" xfId="44839" xr:uid="{00000000-0005-0000-0000-0000D5AC0000}"/>
    <cellStyle name="Normal 11 3 8 2 3 2" xfId="44840" xr:uid="{00000000-0005-0000-0000-0000D6AC0000}"/>
    <cellStyle name="Normal 11 3 8 2 4" xfId="44841" xr:uid="{00000000-0005-0000-0000-0000D7AC0000}"/>
    <cellStyle name="Normal 11 3 8 3" xfId="44842" xr:uid="{00000000-0005-0000-0000-0000D8AC0000}"/>
    <cellStyle name="Normal 11 3 8 3 2" xfId="44843" xr:uid="{00000000-0005-0000-0000-0000D9AC0000}"/>
    <cellStyle name="Normal 11 3 8 3 2 2" xfId="44844" xr:uid="{00000000-0005-0000-0000-0000DAAC0000}"/>
    <cellStyle name="Normal 11 3 8 3 2 2 2" xfId="44845" xr:uid="{00000000-0005-0000-0000-0000DBAC0000}"/>
    <cellStyle name="Normal 11 3 8 3 2 3" xfId="44846" xr:uid="{00000000-0005-0000-0000-0000DCAC0000}"/>
    <cellStyle name="Normal 11 3 8 3 3" xfId="44847" xr:uid="{00000000-0005-0000-0000-0000DDAC0000}"/>
    <cellStyle name="Normal 11 3 8 3 3 2" xfId="44848" xr:uid="{00000000-0005-0000-0000-0000DEAC0000}"/>
    <cellStyle name="Normal 11 3 8 3 4" xfId="44849" xr:uid="{00000000-0005-0000-0000-0000DFAC0000}"/>
    <cellStyle name="Normal 11 3 8 4" xfId="44850" xr:uid="{00000000-0005-0000-0000-0000E0AC0000}"/>
    <cellStyle name="Normal 11 3 8 4 2" xfId="44851" xr:uid="{00000000-0005-0000-0000-0000E1AC0000}"/>
    <cellStyle name="Normal 11 3 8 4 2 2" xfId="44852" xr:uid="{00000000-0005-0000-0000-0000E2AC0000}"/>
    <cellStyle name="Normal 11 3 8 4 3" xfId="44853" xr:uid="{00000000-0005-0000-0000-0000E3AC0000}"/>
    <cellStyle name="Normal 11 3 8 5" xfId="44854" xr:uid="{00000000-0005-0000-0000-0000E4AC0000}"/>
    <cellStyle name="Normal 11 3 8 5 2" xfId="44855" xr:uid="{00000000-0005-0000-0000-0000E5AC0000}"/>
    <cellStyle name="Normal 11 3 8 6" xfId="44856" xr:uid="{00000000-0005-0000-0000-0000E6AC0000}"/>
    <cellStyle name="Normal 11 3 8 7" xfId="44833" xr:uid="{00000000-0005-0000-0000-0000E7AC0000}"/>
    <cellStyle name="Normal 11 3 9" xfId="44857" xr:uid="{00000000-0005-0000-0000-0000E8AC0000}"/>
    <cellStyle name="Normal 11 3 9 2" xfId="44858" xr:uid="{00000000-0005-0000-0000-0000E9AC0000}"/>
    <cellStyle name="Normal 11 3 9 2 2" xfId="44859" xr:uid="{00000000-0005-0000-0000-0000EAAC0000}"/>
    <cellStyle name="Normal 11 3 9 2 2 2" xfId="44860" xr:uid="{00000000-0005-0000-0000-0000EBAC0000}"/>
    <cellStyle name="Normal 11 3 9 2 2 2 2" xfId="44861" xr:uid="{00000000-0005-0000-0000-0000ECAC0000}"/>
    <cellStyle name="Normal 11 3 9 2 2 3" xfId="44862" xr:uid="{00000000-0005-0000-0000-0000EDAC0000}"/>
    <cellStyle name="Normal 11 3 9 2 3" xfId="44863" xr:uid="{00000000-0005-0000-0000-0000EEAC0000}"/>
    <cellStyle name="Normal 11 3 9 2 3 2" xfId="44864" xr:uid="{00000000-0005-0000-0000-0000EFAC0000}"/>
    <cellStyle name="Normal 11 3 9 2 4" xfId="44865" xr:uid="{00000000-0005-0000-0000-0000F0AC0000}"/>
    <cellStyle name="Normal 11 3 9 3" xfId="44866" xr:uid="{00000000-0005-0000-0000-0000F1AC0000}"/>
    <cellStyle name="Normal 11 3 9 3 2" xfId="44867" xr:uid="{00000000-0005-0000-0000-0000F2AC0000}"/>
    <cellStyle name="Normal 11 3 9 3 2 2" xfId="44868" xr:uid="{00000000-0005-0000-0000-0000F3AC0000}"/>
    <cellStyle name="Normal 11 3 9 3 3" xfId="44869" xr:uid="{00000000-0005-0000-0000-0000F4AC0000}"/>
    <cellStyle name="Normal 11 3 9 4" xfId="44870" xr:uid="{00000000-0005-0000-0000-0000F5AC0000}"/>
    <cellStyle name="Normal 11 3 9 4 2" xfId="44871" xr:uid="{00000000-0005-0000-0000-0000F6AC0000}"/>
    <cellStyle name="Normal 11 3 9 5" xfId="44872" xr:uid="{00000000-0005-0000-0000-0000F7AC0000}"/>
    <cellStyle name="Normal 11 4" xfId="631" xr:uid="{00000000-0005-0000-0000-0000F8AC0000}"/>
    <cellStyle name="Normal 11 4 10" xfId="44874" xr:uid="{00000000-0005-0000-0000-0000F9AC0000}"/>
    <cellStyle name="Normal 11 4 10 2" xfId="44875" xr:uid="{00000000-0005-0000-0000-0000FAAC0000}"/>
    <cellStyle name="Normal 11 4 10 2 2" xfId="44876" xr:uid="{00000000-0005-0000-0000-0000FBAC0000}"/>
    <cellStyle name="Normal 11 4 10 2 2 2" xfId="44877" xr:uid="{00000000-0005-0000-0000-0000FCAC0000}"/>
    <cellStyle name="Normal 11 4 10 2 2 2 2" xfId="44878" xr:uid="{00000000-0005-0000-0000-0000FDAC0000}"/>
    <cellStyle name="Normal 11 4 10 2 2 3" xfId="44879" xr:uid="{00000000-0005-0000-0000-0000FEAC0000}"/>
    <cellStyle name="Normal 11 4 10 2 3" xfId="44880" xr:uid="{00000000-0005-0000-0000-0000FFAC0000}"/>
    <cellStyle name="Normal 11 4 10 2 3 2" xfId="44881" xr:uid="{00000000-0005-0000-0000-000000AD0000}"/>
    <cellStyle name="Normal 11 4 10 2 4" xfId="44882" xr:uid="{00000000-0005-0000-0000-000001AD0000}"/>
    <cellStyle name="Normal 11 4 10 3" xfId="44883" xr:uid="{00000000-0005-0000-0000-000002AD0000}"/>
    <cellStyle name="Normal 11 4 10 3 2" xfId="44884" xr:uid="{00000000-0005-0000-0000-000003AD0000}"/>
    <cellStyle name="Normal 11 4 10 3 2 2" xfId="44885" xr:uid="{00000000-0005-0000-0000-000004AD0000}"/>
    <cellStyle name="Normal 11 4 10 3 3" xfId="44886" xr:uid="{00000000-0005-0000-0000-000005AD0000}"/>
    <cellStyle name="Normal 11 4 10 4" xfId="44887" xr:uid="{00000000-0005-0000-0000-000006AD0000}"/>
    <cellStyle name="Normal 11 4 10 4 2" xfId="44888" xr:uid="{00000000-0005-0000-0000-000007AD0000}"/>
    <cellStyle name="Normal 11 4 10 5" xfId="44889" xr:uid="{00000000-0005-0000-0000-000008AD0000}"/>
    <cellStyle name="Normal 11 4 11" xfId="44890" xr:uid="{00000000-0005-0000-0000-000009AD0000}"/>
    <cellStyle name="Normal 11 4 11 2" xfId="44891" xr:uid="{00000000-0005-0000-0000-00000AAD0000}"/>
    <cellStyle name="Normal 11 4 11 2 2" xfId="44892" xr:uid="{00000000-0005-0000-0000-00000BAD0000}"/>
    <cellStyle name="Normal 11 4 11 2 2 2" xfId="44893" xr:uid="{00000000-0005-0000-0000-00000CAD0000}"/>
    <cellStyle name="Normal 11 4 11 2 3" xfId="44894" xr:uid="{00000000-0005-0000-0000-00000DAD0000}"/>
    <cellStyle name="Normal 11 4 11 3" xfId="44895" xr:uid="{00000000-0005-0000-0000-00000EAD0000}"/>
    <cellStyle name="Normal 11 4 11 3 2" xfId="44896" xr:uid="{00000000-0005-0000-0000-00000FAD0000}"/>
    <cellStyle name="Normal 11 4 11 4" xfId="44897" xr:uid="{00000000-0005-0000-0000-000010AD0000}"/>
    <cellStyle name="Normal 11 4 12" xfId="44898" xr:uid="{00000000-0005-0000-0000-000011AD0000}"/>
    <cellStyle name="Normal 11 4 12 2" xfId="44899" xr:uid="{00000000-0005-0000-0000-000012AD0000}"/>
    <cellStyle name="Normal 11 4 12 2 2" xfId="44900" xr:uid="{00000000-0005-0000-0000-000013AD0000}"/>
    <cellStyle name="Normal 11 4 12 2 2 2" xfId="44901" xr:uid="{00000000-0005-0000-0000-000014AD0000}"/>
    <cellStyle name="Normal 11 4 12 2 3" xfId="44902" xr:uid="{00000000-0005-0000-0000-000015AD0000}"/>
    <cellStyle name="Normal 11 4 12 3" xfId="44903" xr:uid="{00000000-0005-0000-0000-000016AD0000}"/>
    <cellStyle name="Normal 11 4 12 3 2" xfId="44904" xr:uid="{00000000-0005-0000-0000-000017AD0000}"/>
    <cellStyle name="Normal 11 4 12 4" xfId="44905" xr:uid="{00000000-0005-0000-0000-000018AD0000}"/>
    <cellStyle name="Normal 11 4 13" xfId="44906" xr:uid="{00000000-0005-0000-0000-000019AD0000}"/>
    <cellStyle name="Normal 11 4 13 2" xfId="44907" xr:uid="{00000000-0005-0000-0000-00001AAD0000}"/>
    <cellStyle name="Normal 11 4 13 2 2" xfId="44908" xr:uid="{00000000-0005-0000-0000-00001BAD0000}"/>
    <cellStyle name="Normal 11 4 13 2 2 2" xfId="44909" xr:uid="{00000000-0005-0000-0000-00001CAD0000}"/>
    <cellStyle name="Normal 11 4 13 2 3" xfId="44910" xr:uid="{00000000-0005-0000-0000-00001DAD0000}"/>
    <cellStyle name="Normal 11 4 13 3" xfId="44911" xr:uid="{00000000-0005-0000-0000-00001EAD0000}"/>
    <cellStyle name="Normal 11 4 13 3 2" xfId="44912" xr:uid="{00000000-0005-0000-0000-00001FAD0000}"/>
    <cellStyle name="Normal 11 4 13 4" xfId="44913" xr:uid="{00000000-0005-0000-0000-000020AD0000}"/>
    <cellStyle name="Normal 11 4 14" xfId="44914" xr:uid="{00000000-0005-0000-0000-000021AD0000}"/>
    <cellStyle name="Normal 11 4 14 2" xfId="44915" xr:uid="{00000000-0005-0000-0000-000022AD0000}"/>
    <cellStyle name="Normal 11 4 14 2 2" xfId="44916" xr:uid="{00000000-0005-0000-0000-000023AD0000}"/>
    <cellStyle name="Normal 11 4 14 3" xfId="44917" xr:uid="{00000000-0005-0000-0000-000024AD0000}"/>
    <cellStyle name="Normal 11 4 15" xfId="44918" xr:uid="{00000000-0005-0000-0000-000025AD0000}"/>
    <cellStyle name="Normal 11 4 15 2" xfId="44919" xr:uid="{00000000-0005-0000-0000-000026AD0000}"/>
    <cellStyle name="Normal 11 4 15 2 2" xfId="44920" xr:uid="{00000000-0005-0000-0000-000027AD0000}"/>
    <cellStyle name="Normal 11 4 15 3" xfId="44921" xr:uid="{00000000-0005-0000-0000-000028AD0000}"/>
    <cellStyle name="Normal 11 4 16" xfId="44922" xr:uid="{00000000-0005-0000-0000-000029AD0000}"/>
    <cellStyle name="Normal 11 4 16 2" xfId="44923" xr:uid="{00000000-0005-0000-0000-00002AAD0000}"/>
    <cellStyle name="Normal 11 4 16 2 2" xfId="44924" xr:uid="{00000000-0005-0000-0000-00002BAD0000}"/>
    <cellStyle name="Normal 11 4 16 3" xfId="44925" xr:uid="{00000000-0005-0000-0000-00002CAD0000}"/>
    <cellStyle name="Normal 11 4 17" xfId="44926" xr:uid="{00000000-0005-0000-0000-00002DAD0000}"/>
    <cellStyle name="Normal 11 4 17 2" xfId="44927" xr:uid="{00000000-0005-0000-0000-00002EAD0000}"/>
    <cellStyle name="Normal 11 4 18" xfId="44928" xr:uid="{00000000-0005-0000-0000-00002FAD0000}"/>
    <cellStyle name="Normal 11 4 19" xfId="44929" xr:uid="{00000000-0005-0000-0000-000030AD0000}"/>
    <cellStyle name="Normal 11 4 2" xfId="632" xr:uid="{00000000-0005-0000-0000-000031AD0000}"/>
    <cellStyle name="Normal 11 4 2 10" xfId="44931" xr:uid="{00000000-0005-0000-0000-000032AD0000}"/>
    <cellStyle name="Normal 11 4 2 10 2" xfId="44932" xr:uid="{00000000-0005-0000-0000-000033AD0000}"/>
    <cellStyle name="Normal 11 4 2 10 2 2" xfId="44933" xr:uid="{00000000-0005-0000-0000-000034AD0000}"/>
    <cellStyle name="Normal 11 4 2 10 2 2 2" xfId="44934" xr:uid="{00000000-0005-0000-0000-000035AD0000}"/>
    <cellStyle name="Normal 11 4 2 10 2 3" xfId="44935" xr:uid="{00000000-0005-0000-0000-000036AD0000}"/>
    <cellStyle name="Normal 11 4 2 10 3" xfId="44936" xr:uid="{00000000-0005-0000-0000-000037AD0000}"/>
    <cellStyle name="Normal 11 4 2 10 3 2" xfId="44937" xr:uid="{00000000-0005-0000-0000-000038AD0000}"/>
    <cellStyle name="Normal 11 4 2 10 4" xfId="44938" xr:uid="{00000000-0005-0000-0000-000039AD0000}"/>
    <cellStyle name="Normal 11 4 2 11" xfId="44939" xr:uid="{00000000-0005-0000-0000-00003AAD0000}"/>
    <cellStyle name="Normal 11 4 2 11 2" xfId="44940" xr:uid="{00000000-0005-0000-0000-00003BAD0000}"/>
    <cellStyle name="Normal 11 4 2 11 2 2" xfId="44941" xr:uid="{00000000-0005-0000-0000-00003CAD0000}"/>
    <cellStyle name="Normal 11 4 2 11 2 2 2" xfId="44942" xr:uid="{00000000-0005-0000-0000-00003DAD0000}"/>
    <cellStyle name="Normal 11 4 2 11 2 3" xfId="44943" xr:uid="{00000000-0005-0000-0000-00003EAD0000}"/>
    <cellStyle name="Normal 11 4 2 11 3" xfId="44944" xr:uid="{00000000-0005-0000-0000-00003FAD0000}"/>
    <cellStyle name="Normal 11 4 2 11 3 2" xfId="44945" xr:uid="{00000000-0005-0000-0000-000040AD0000}"/>
    <cellStyle name="Normal 11 4 2 11 4" xfId="44946" xr:uid="{00000000-0005-0000-0000-000041AD0000}"/>
    <cellStyle name="Normal 11 4 2 12" xfId="44947" xr:uid="{00000000-0005-0000-0000-000042AD0000}"/>
    <cellStyle name="Normal 11 4 2 12 2" xfId="44948" xr:uid="{00000000-0005-0000-0000-000043AD0000}"/>
    <cellStyle name="Normal 11 4 2 12 2 2" xfId="44949" xr:uid="{00000000-0005-0000-0000-000044AD0000}"/>
    <cellStyle name="Normal 11 4 2 12 2 2 2" xfId="44950" xr:uid="{00000000-0005-0000-0000-000045AD0000}"/>
    <cellStyle name="Normal 11 4 2 12 2 3" xfId="44951" xr:uid="{00000000-0005-0000-0000-000046AD0000}"/>
    <cellStyle name="Normal 11 4 2 12 3" xfId="44952" xr:uid="{00000000-0005-0000-0000-000047AD0000}"/>
    <cellStyle name="Normal 11 4 2 12 3 2" xfId="44953" xr:uid="{00000000-0005-0000-0000-000048AD0000}"/>
    <cellStyle name="Normal 11 4 2 12 4" xfId="44954" xr:uid="{00000000-0005-0000-0000-000049AD0000}"/>
    <cellStyle name="Normal 11 4 2 13" xfId="44955" xr:uid="{00000000-0005-0000-0000-00004AAD0000}"/>
    <cellStyle name="Normal 11 4 2 13 2" xfId="44956" xr:uid="{00000000-0005-0000-0000-00004BAD0000}"/>
    <cellStyle name="Normal 11 4 2 13 2 2" xfId="44957" xr:uid="{00000000-0005-0000-0000-00004CAD0000}"/>
    <cellStyle name="Normal 11 4 2 13 3" xfId="44958" xr:uid="{00000000-0005-0000-0000-00004DAD0000}"/>
    <cellStyle name="Normal 11 4 2 14" xfId="44959" xr:uid="{00000000-0005-0000-0000-00004EAD0000}"/>
    <cellStyle name="Normal 11 4 2 14 2" xfId="44960" xr:uid="{00000000-0005-0000-0000-00004FAD0000}"/>
    <cellStyle name="Normal 11 4 2 14 2 2" xfId="44961" xr:uid="{00000000-0005-0000-0000-000050AD0000}"/>
    <cellStyle name="Normal 11 4 2 14 3" xfId="44962" xr:uid="{00000000-0005-0000-0000-000051AD0000}"/>
    <cellStyle name="Normal 11 4 2 15" xfId="44963" xr:uid="{00000000-0005-0000-0000-000052AD0000}"/>
    <cellStyle name="Normal 11 4 2 15 2" xfId="44964" xr:uid="{00000000-0005-0000-0000-000053AD0000}"/>
    <cellStyle name="Normal 11 4 2 15 2 2" xfId="44965" xr:uid="{00000000-0005-0000-0000-000054AD0000}"/>
    <cellStyle name="Normal 11 4 2 15 3" xfId="44966" xr:uid="{00000000-0005-0000-0000-000055AD0000}"/>
    <cellStyle name="Normal 11 4 2 16" xfId="44967" xr:uid="{00000000-0005-0000-0000-000056AD0000}"/>
    <cellStyle name="Normal 11 4 2 16 2" xfId="44968" xr:uid="{00000000-0005-0000-0000-000057AD0000}"/>
    <cellStyle name="Normal 11 4 2 17" xfId="44969" xr:uid="{00000000-0005-0000-0000-000058AD0000}"/>
    <cellStyle name="Normal 11 4 2 18" xfId="44970" xr:uid="{00000000-0005-0000-0000-000059AD0000}"/>
    <cellStyle name="Normal 11 4 2 19" xfId="44930" xr:uid="{00000000-0005-0000-0000-00005AAD0000}"/>
    <cellStyle name="Normal 11 4 2 2" xfId="633" xr:uid="{00000000-0005-0000-0000-00005BAD0000}"/>
    <cellStyle name="Normal 11 4 2 2 10" xfId="44972" xr:uid="{00000000-0005-0000-0000-00005CAD0000}"/>
    <cellStyle name="Normal 11 4 2 2 10 2" xfId="44973" xr:uid="{00000000-0005-0000-0000-00005DAD0000}"/>
    <cellStyle name="Normal 11 4 2 2 10 2 2" xfId="44974" xr:uid="{00000000-0005-0000-0000-00005EAD0000}"/>
    <cellStyle name="Normal 11 4 2 2 10 2 2 2" xfId="44975" xr:uid="{00000000-0005-0000-0000-00005FAD0000}"/>
    <cellStyle name="Normal 11 4 2 2 10 2 3" xfId="44976" xr:uid="{00000000-0005-0000-0000-000060AD0000}"/>
    <cellStyle name="Normal 11 4 2 2 10 3" xfId="44977" xr:uid="{00000000-0005-0000-0000-000061AD0000}"/>
    <cellStyle name="Normal 11 4 2 2 10 3 2" xfId="44978" xr:uid="{00000000-0005-0000-0000-000062AD0000}"/>
    <cellStyle name="Normal 11 4 2 2 10 4" xfId="44979" xr:uid="{00000000-0005-0000-0000-000063AD0000}"/>
    <cellStyle name="Normal 11 4 2 2 11" xfId="44980" xr:uid="{00000000-0005-0000-0000-000064AD0000}"/>
    <cellStyle name="Normal 11 4 2 2 11 2" xfId="44981" xr:uid="{00000000-0005-0000-0000-000065AD0000}"/>
    <cellStyle name="Normal 11 4 2 2 11 2 2" xfId="44982" xr:uid="{00000000-0005-0000-0000-000066AD0000}"/>
    <cellStyle name="Normal 11 4 2 2 11 2 2 2" xfId="44983" xr:uid="{00000000-0005-0000-0000-000067AD0000}"/>
    <cellStyle name="Normal 11 4 2 2 11 2 3" xfId="44984" xr:uid="{00000000-0005-0000-0000-000068AD0000}"/>
    <cellStyle name="Normal 11 4 2 2 11 3" xfId="44985" xr:uid="{00000000-0005-0000-0000-000069AD0000}"/>
    <cellStyle name="Normal 11 4 2 2 11 3 2" xfId="44986" xr:uid="{00000000-0005-0000-0000-00006AAD0000}"/>
    <cellStyle name="Normal 11 4 2 2 11 4" xfId="44987" xr:uid="{00000000-0005-0000-0000-00006BAD0000}"/>
    <cellStyle name="Normal 11 4 2 2 12" xfId="44988" xr:uid="{00000000-0005-0000-0000-00006CAD0000}"/>
    <cellStyle name="Normal 11 4 2 2 12 2" xfId="44989" xr:uid="{00000000-0005-0000-0000-00006DAD0000}"/>
    <cellStyle name="Normal 11 4 2 2 12 2 2" xfId="44990" xr:uid="{00000000-0005-0000-0000-00006EAD0000}"/>
    <cellStyle name="Normal 11 4 2 2 12 3" xfId="44991" xr:uid="{00000000-0005-0000-0000-00006FAD0000}"/>
    <cellStyle name="Normal 11 4 2 2 13" xfId="44992" xr:uid="{00000000-0005-0000-0000-000070AD0000}"/>
    <cellStyle name="Normal 11 4 2 2 13 2" xfId="44993" xr:uid="{00000000-0005-0000-0000-000071AD0000}"/>
    <cellStyle name="Normal 11 4 2 2 13 2 2" xfId="44994" xr:uid="{00000000-0005-0000-0000-000072AD0000}"/>
    <cellStyle name="Normal 11 4 2 2 13 3" xfId="44995" xr:uid="{00000000-0005-0000-0000-000073AD0000}"/>
    <cellStyle name="Normal 11 4 2 2 14" xfId="44996" xr:uid="{00000000-0005-0000-0000-000074AD0000}"/>
    <cellStyle name="Normal 11 4 2 2 14 2" xfId="44997" xr:uid="{00000000-0005-0000-0000-000075AD0000}"/>
    <cellStyle name="Normal 11 4 2 2 14 2 2" xfId="44998" xr:uid="{00000000-0005-0000-0000-000076AD0000}"/>
    <cellStyle name="Normal 11 4 2 2 14 3" xfId="44999" xr:uid="{00000000-0005-0000-0000-000077AD0000}"/>
    <cellStyle name="Normal 11 4 2 2 15" xfId="45000" xr:uid="{00000000-0005-0000-0000-000078AD0000}"/>
    <cellStyle name="Normal 11 4 2 2 15 2" xfId="45001" xr:uid="{00000000-0005-0000-0000-000079AD0000}"/>
    <cellStyle name="Normal 11 4 2 2 16" xfId="45002" xr:uid="{00000000-0005-0000-0000-00007AAD0000}"/>
    <cellStyle name="Normal 11 4 2 2 17" xfId="45003" xr:uid="{00000000-0005-0000-0000-00007BAD0000}"/>
    <cellStyle name="Normal 11 4 2 2 18" xfId="44971" xr:uid="{00000000-0005-0000-0000-00007CAD0000}"/>
    <cellStyle name="Normal 11 4 2 2 2" xfId="634" xr:uid="{00000000-0005-0000-0000-00007DAD0000}"/>
    <cellStyle name="Normal 11 4 2 2 2 10" xfId="45005" xr:uid="{00000000-0005-0000-0000-00007EAD0000}"/>
    <cellStyle name="Normal 11 4 2 2 2 10 2" xfId="45006" xr:uid="{00000000-0005-0000-0000-00007FAD0000}"/>
    <cellStyle name="Normal 11 4 2 2 2 10 2 2" xfId="45007" xr:uid="{00000000-0005-0000-0000-000080AD0000}"/>
    <cellStyle name="Normal 11 4 2 2 2 10 2 2 2" xfId="45008" xr:uid="{00000000-0005-0000-0000-000081AD0000}"/>
    <cellStyle name="Normal 11 4 2 2 2 10 2 3" xfId="45009" xr:uid="{00000000-0005-0000-0000-000082AD0000}"/>
    <cellStyle name="Normal 11 4 2 2 2 10 3" xfId="45010" xr:uid="{00000000-0005-0000-0000-000083AD0000}"/>
    <cellStyle name="Normal 11 4 2 2 2 10 3 2" xfId="45011" xr:uid="{00000000-0005-0000-0000-000084AD0000}"/>
    <cellStyle name="Normal 11 4 2 2 2 10 4" xfId="45012" xr:uid="{00000000-0005-0000-0000-000085AD0000}"/>
    <cellStyle name="Normal 11 4 2 2 2 11" xfId="45013" xr:uid="{00000000-0005-0000-0000-000086AD0000}"/>
    <cellStyle name="Normal 11 4 2 2 2 11 2" xfId="45014" xr:uid="{00000000-0005-0000-0000-000087AD0000}"/>
    <cellStyle name="Normal 11 4 2 2 2 11 2 2" xfId="45015" xr:uid="{00000000-0005-0000-0000-000088AD0000}"/>
    <cellStyle name="Normal 11 4 2 2 2 11 3" xfId="45016" xr:uid="{00000000-0005-0000-0000-000089AD0000}"/>
    <cellStyle name="Normal 11 4 2 2 2 12" xfId="45017" xr:uid="{00000000-0005-0000-0000-00008AAD0000}"/>
    <cellStyle name="Normal 11 4 2 2 2 12 2" xfId="45018" xr:uid="{00000000-0005-0000-0000-00008BAD0000}"/>
    <cellStyle name="Normal 11 4 2 2 2 12 2 2" xfId="45019" xr:uid="{00000000-0005-0000-0000-00008CAD0000}"/>
    <cellStyle name="Normal 11 4 2 2 2 12 3" xfId="45020" xr:uid="{00000000-0005-0000-0000-00008DAD0000}"/>
    <cellStyle name="Normal 11 4 2 2 2 13" xfId="45021" xr:uid="{00000000-0005-0000-0000-00008EAD0000}"/>
    <cellStyle name="Normal 11 4 2 2 2 13 2" xfId="45022" xr:uid="{00000000-0005-0000-0000-00008FAD0000}"/>
    <cellStyle name="Normal 11 4 2 2 2 13 2 2" xfId="45023" xr:uid="{00000000-0005-0000-0000-000090AD0000}"/>
    <cellStyle name="Normal 11 4 2 2 2 13 3" xfId="45024" xr:uid="{00000000-0005-0000-0000-000091AD0000}"/>
    <cellStyle name="Normal 11 4 2 2 2 14" xfId="45025" xr:uid="{00000000-0005-0000-0000-000092AD0000}"/>
    <cellStyle name="Normal 11 4 2 2 2 14 2" xfId="45026" xr:uid="{00000000-0005-0000-0000-000093AD0000}"/>
    <cellStyle name="Normal 11 4 2 2 2 15" xfId="45027" xr:uid="{00000000-0005-0000-0000-000094AD0000}"/>
    <cellStyle name="Normal 11 4 2 2 2 16" xfId="45028" xr:uid="{00000000-0005-0000-0000-000095AD0000}"/>
    <cellStyle name="Normal 11 4 2 2 2 17" xfId="45004" xr:uid="{00000000-0005-0000-0000-000096AD0000}"/>
    <cellStyle name="Normal 11 4 2 2 2 2" xfId="635" xr:uid="{00000000-0005-0000-0000-000097AD0000}"/>
    <cellStyle name="Normal 11 4 2 2 2 2 10" xfId="45030" xr:uid="{00000000-0005-0000-0000-000098AD0000}"/>
    <cellStyle name="Normal 11 4 2 2 2 2 10 2" xfId="45031" xr:uid="{00000000-0005-0000-0000-000099AD0000}"/>
    <cellStyle name="Normal 11 4 2 2 2 2 10 2 2" xfId="45032" xr:uid="{00000000-0005-0000-0000-00009AAD0000}"/>
    <cellStyle name="Normal 11 4 2 2 2 2 10 3" xfId="45033" xr:uid="{00000000-0005-0000-0000-00009BAD0000}"/>
    <cellStyle name="Normal 11 4 2 2 2 2 11" xfId="45034" xr:uid="{00000000-0005-0000-0000-00009CAD0000}"/>
    <cellStyle name="Normal 11 4 2 2 2 2 11 2" xfId="45035" xr:uid="{00000000-0005-0000-0000-00009DAD0000}"/>
    <cellStyle name="Normal 11 4 2 2 2 2 11 2 2" xfId="45036" xr:uid="{00000000-0005-0000-0000-00009EAD0000}"/>
    <cellStyle name="Normal 11 4 2 2 2 2 11 3" xfId="45037" xr:uid="{00000000-0005-0000-0000-00009FAD0000}"/>
    <cellStyle name="Normal 11 4 2 2 2 2 12" xfId="45038" xr:uid="{00000000-0005-0000-0000-0000A0AD0000}"/>
    <cellStyle name="Normal 11 4 2 2 2 2 12 2" xfId="45039" xr:uid="{00000000-0005-0000-0000-0000A1AD0000}"/>
    <cellStyle name="Normal 11 4 2 2 2 2 13" xfId="45040" xr:uid="{00000000-0005-0000-0000-0000A2AD0000}"/>
    <cellStyle name="Normal 11 4 2 2 2 2 14" xfId="45041" xr:uid="{00000000-0005-0000-0000-0000A3AD0000}"/>
    <cellStyle name="Normal 11 4 2 2 2 2 15" xfId="45029" xr:uid="{00000000-0005-0000-0000-0000A4AD0000}"/>
    <cellStyle name="Normal 11 4 2 2 2 2 2" xfId="1077" xr:uid="{00000000-0005-0000-0000-0000A5AD0000}"/>
    <cellStyle name="Normal 11 4 2 2 2 2 2 10" xfId="45043" xr:uid="{00000000-0005-0000-0000-0000A6AD0000}"/>
    <cellStyle name="Normal 11 4 2 2 2 2 2 11" xfId="45042" xr:uid="{00000000-0005-0000-0000-0000A7AD0000}"/>
    <cellStyle name="Normal 11 4 2 2 2 2 2 2" xfId="1806" xr:uid="{00000000-0005-0000-0000-0000A8AD0000}"/>
    <cellStyle name="Normal 11 4 2 2 2 2 2 2 2" xfId="45045" xr:uid="{00000000-0005-0000-0000-0000A9AD0000}"/>
    <cellStyle name="Normal 11 4 2 2 2 2 2 2 2 2" xfId="45046" xr:uid="{00000000-0005-0000-0000-0000AAAD0000}"/>
    <cellStyle name="Normal 11 4 2 2 2 2 2 2 2 2 2" xfId="45047" xr:uid="{00000000-0005-0000-0000-0000ABAD0000}"/>
    <cellStyle name="Normal 11 4 2 2 2 2 2 2 2 2 2 2" xfId="45048" xr:uid="{00000000-0005-0000-0000-0000ACAD0000}"/>
    <cellStyle name="Normal 11 4 2 2 2 2 2 2 2 2 3" xfId="45049" xr:uid="{00000000-0005-0000-0000-0000ADAD0000}"/>
    <cellStyle name="Normal 11 4 2 2 2 2 2 2 2 3" xfId="45050" xr:uid="{00000000-0005-0000-0000-0000AEAD0000}"/>
    <cellStyle name="Normal 11 4 2 2 2 2 2 2 2 3 2" xfId="45051" xr:uid="{00000000-0005-0000-0000-0000AFAD0000}"/>
    <cellStyle name="Normal 11 4 2 2 2 2 2 2 2 4" xfId="45052" xr:uid="{00000000-0005-0000-0000-0000B0AD0000}"/>
    <cellStyle name="Normal 11 4 2 2 2 2 2 2 3" xfId="45053" xr:uid="{00000000-0005-0000-0000-0000B1AD0000}"/>
    <cellStyle name="Normal 11 4 2 2 2 2 2 2 3 2" xfId="45054" xr:uid="{00000000-0005-0000-0000-0000B2AD0000}"/>
    <cellStyle name="Normal 11 4 2 2 2 2 2 2 3 2 2" xfId="45055" xr:uid="{00000000-0005-0000-0000-0000B3AD0000}"/>
    <cellStyle name="Normal 11 4 2 2 2 2 2 2 3 2 2 2" xfId="45056" xr:uid="{00000000-0005-0000-0000-0000B4AD0000}"/>
    <cellStyle name="Normal 11 4 2 2 2 2 2 2 3 2 3" xfId="45057" xr:uid="{00000000-0005-0000-0000-0000B5AD0000}"/>
    <cellStyle name="Normal 11 4 2 2 2 2 2 2 3 3" xfId="45058" xr:uid="{00000000-0005-0000-0000-0000B6AD0000}"/>
    <cellStyle name="Normal 11 4 2 2 2 2 2 2 3 3 2" xfId="45059" xr:uid="{00000000-0005-0000-0000-0000B7AD0000}"/>
    <cellStyle name="Normal 11 4 2 2 2 2 2 2 3 4" xfId="45060" xr:uid="{00000000-0005-0000-0000-0000B8AD0000}"/>
    <cellStyle name="Normal 11 4 2 2 2 2 2 2 4" xfId="45061" xr:uid="{00000000-0005-0000-0000-0000B9AD0000}"/>
    <cellStyle name="Normal 11 4 2 2 2 2 2 2 4 2" xfId="45062" xr:uid="{00000000-0005-0000-0000-0000BAAD0000}"/>
    <cellStyle name="Normal 11 4 2 2 2 2 2 2 4 2 2" xfId="45063" xr:uid="{00000000-0005-0000-0000-0000BBAD0000}"/>
    <cellStyle name="Normal 11 4 2 2 2 2 2 2 4 3" xfId="45064" xr:uid="{00000000-0005-0000-0000-0000BCAD0000}"/>
    <cellStyle name="Normal 11 4 2 2 2 2 2 2 5" xfId="45065" xr:uid="{00000000-0005-0000-0000-0000BDAD0000}"/>
    <cellStyle name="Normal 11 4 2 2 2 2 2 2 5 2" xfId="45066" xr:uid="{00000000-0005-0000-0000-0000BEAD0000}"/>
    <cellStyle name="Normal 11 4 2 2 2 2 2 2 6" xfId="45067" xr:uid="{00000000-0005-0000-0000-0000BFAD0000}"/>
    <cellStyle name="Normal 11 4 2 2 2 2 2 2 7" xfId="45044" xr:uid="{00000000-0005-0000-0000-0000C0AD0000}"/>
    <cellStyle name="Normal 11 4 2 2 2 2 2 3" xfId="45068" xr:uid="{00000000-0005-0000-0000-0000C1AD0000}"/>
    <cellStyle name="Normal 11 4 2 2 2 2 2 3 2" xfId="45069" xr:uid="{00000000-0005-0000-0000-0000C2AD0000}"/>
    <cellStyle name="Normal 11 4 2 2 2 2 2 3 2 2" xfId="45070" xr:uid="{00000000-0005-0000-0000-0000C3AD0000}"/>
    <cellStyle name="Normal 11 4 2 2 2 2 2 3 2 2 2" xfId="45071" xr:uid="{00000000-0005-0000-0000-0000C4AD0000}"/>
    <cellStyle name="Normal 11 4 2 2 2 2 2 3 2 2 2 2" xfId="45072" xr:uid="{00000000-0005-0000-0000-0000C5AD0000}"/>
    <cellStyle name="Normal 11 4 2 2 2 2 2 3 2 2 3" xfId="45073" xr:uid="{00000000-0005-0000-0000-0000C6AD0000}"/>
    <cellStyle name="Normal 11 4 2 2 2 2 2 3 2 3" xfId="45074" xr:uid="{00000000-0005-0000-0000-0000C7AD0000}"/>
    <cellStyle name="Normal 11 4 2 2 2 2 2 3 2 3 2" xfId="45075" xr:uid="{00000000-0005-0000-0000-0000C8AD0000}"/>
    <cellStyle name="Normal 11 4 2 2 2 2 2 3 2 4" xfId="45076" xr:uid="{00000000-0005-0000-0000-0000C9AD0000}"/>
    <cellStyle name="Normal 11 4 2 2 2 2 2 3 3" xfId="45077" xr:uid="{00000000-0005-0000-0000-0000CAAD0000}"/>
    <cellStyle name="Normal 11 4 2 2 2 2 2 3 3 2" xfId="45078" xr:uid="{00000000-0005-0000-0000-0000CBAD0000}"/>
    <cellStyle name="Normal 11 4 2 2 2 2 2 3 3 2 2" xfId="45079" xr:uid="{00000000-0005-0000-0000-0000CCAD0000}"/>
    <cellStyle name="Normal 11 4 2 2 2 2 2 3 3 3" xfId="45080" xr:uid="{00000000-0005-0000-0000-0000CDAD0000}"/>
    <cellStyle name="Normal 11 4 2 2 2 2 2 3 4" xfId="45081" xr:uid="{00000000-0005-0000-0000-0000CEAD0000}"/>
    <cellStyle name="Normal 11 4 2 2 2 2 2 3 4 2" xfId="45082" xr:uid="{00000000-0005-0000-0000-0000CFAD0000}"/>
    <cellStyle name="Normal 11 4 2 2 2 2 2 3 5" xfId="45083" xr:uid="{00000000-0005-0000-0000-0000D0AD0000}"/>
    <cellStyle name="Normal 11 4 2 2 2 2 2 4" xfId="45084" xr:uid="{00000000-0005-0000-0000-0000D1AD0000}"/>
    <cellStyle name="Normal 11 4 2 2 2 2 2 4 2" xfId="45085" xr:uid="{00000000-0005-0000-0000-0000D2AD0000}"/>
    <cellStyle name="Normal 11 4 2 2 2 2 2 4 2 2" xfId="45086" xr:uid="{00000000-0005-0000-0000-0000D3AD0000}"/>
    <cellStyle name="Normal 11 4 2 2 2 2 2 4 2 2 2" xfId="45087" xr:uid="{00000000-0005-0000-0000-0000D4AD0000}"/>
    <cellStyle name="Normal 11 4 2 2 2 2 2 4 2 2 2 2" xfId="45088" xr:uid="{00000000-0005-0000-0000-0000D5AD0000}"/>
    <cellStyle name="Normal 11 4 2 2 2 2 2 4 2 2 3" xfId="45089" xr:uid="{00000000-0005-0000-0000-0000D6AD0000}"/>
    <cellStyle name="Normal 11 4 2 2 2 2 2 4 2 3" xfId="45090" xr:uid="{00000000-0005-0000-0000-0000D7AD0000}"/>
    <cellStyle name="Normal 11 4 2 2 2 2 2 4 2 3 2" xfId="45091" xr:uid="{00000000-0005-0000-0000-0000D8AD0000}"/>
    <cellStyle name="Normal 11 4 2 2 2 2 2 4 2 4" xfId="45092" xr:uid="{00000000-0005-0000-0000-0000D9AD0000}"/>
    <cellStyle name="Normal 11 4 2 2 2 2 2 4 3" xfId="45093" xr:uid="{00000000-0005-0000-0000-0000DAAD0000}"/>
    <cellStyle name="Normal 11 4 2 2 2 2 2 4 3 2" xfId="45094" xr:uid="{00000000-0005-0000-0000-0000DBAD0000}"/>
    <cellStyle name="Normal 11 4 2 2 2 2 2 4 3 2 2" xfId="45095" xr:uid="{00000000-0005-0000-0000-0000DCAD0000}"/>
    <cellStyle name="Normal 11 4 2 2 2 2 2 4 3 3" xfId="45096" xr:uid="{00000000-0005-0000-0000-0000DDAD0000}"/>
    <cellStyle name="Normal 11 4 2 2 2 2 2 4 4" xfId="45097" xr:uid="{00000000-0005-0000-0000-0000DEAD0000}"/>
    <cellStyle name="Normal 11 4 2 2 2 2 2 4 4 2" xfId="45098" xr:uid="{00000000-0005-0000-0000-0000DFAD0000}"/>
    <cellStyle name="Normal 11 4 2 2 2 2 2 4 5" xfId="45099" xr:uid="{00000000-0005-0000-0000-0000E0AD0000}"/>
    <cellStyle name="Normal 11 4 2 2 2 2 2 5" xfId="45100" xr:uid="{00000000-0005-0000-0000-0000E1AD0000}"/>
    <cellStyle name="Normal 11 4 2 2 2 2 2 5 2" xfId="45101" xr:uid="{00000000-0005-0000-0000-0000E2AD0000}"/>
    <cellStyle name="Normal 11 4 2 2 2 2 2 5 2 2" xfId="45102" xr:uid="{00000000-0005-0000-0000-0000E3AD0000}"/>
    <cellStyle name="Normal 11 4 2 2 2 2 2 5 2 2 2" xfId="45103" xr:uid="{00000000-0005-0000-0000-0000E4AD0000}"/>
    <cellStyle name="Normal 11 4 2 2 2 2 2 5 2 3" xfId="45104" xr:uid="{00000000-0005-0000-0000-0000E5AD0000}"/>
    <cellStyle name="Normal 11 4 2 2 2 2 2 5 3" xfId="45105" xr:uid="{00000000-0005-0000-0000-0000E6AD0000}"/>
    <cellStyle name="Normal 11 4 2 2 2 2 2 5 3 2" xfId="45106" xr:uid="{00000000-0005-0000-0000-0000E7AD0000}"/>
    <cellStyle name="Normal 11 4 2 2 2 2 2 5 4" xfId="45107" xr:uid="{00000000-0005-0000-0000-0000E8AD0000}"/>
    <cellStyle name="Normal 11 4 2 2 2 2 2 6" xfId="45108" xr:uid="{00000000-0005-0000-0000-0000E9AD0000}"/>
    <cellStyle name="Normal 11 4 2 2 2 2 2 6 2" xfId="45109" xr:uid="{00000000-0005-0000-0000-0000EAAD0000}"/>
    <cellStyle name="Normal 11 4 2 2 2 2 2 6 2 2" xfId="45110" xr:uid="{00000000-0005-0000-0000-0000EBAD0000}"/>
    <cellStyle name="Normal 11 4 2 2 2 2 2 6 2 2 2" xfId="45111" xr:uid="{00000000-0005-0000-0000-0000ECAD0000}"/>
    <cellStyle name="Normal 11 4 2 2 2 2 2 6 2 3" xfId="45112" xr:uid="{00000000-0005-0000-0000-0000EDAD0000}"/>
    <cellStyle name="Normal 11 4 2 2 2 2 2 6 3" xfId="45113" xr:uid="{00000000-0005-0000-0000-0000EEAD0000}"/>
    <cellStyle name="Normal 11 4 2 2 2 2 2 6 3 2" xfId="45114" xr:uid="{00000000-0005-0000-0000-0000EFAD0000}"/>
    <cellStyle name="Normal 11 4 2 2 2 2 2 6 4" xfId="45115" xr:uid="{00000000-0005-0000-0000-0000F0AD0000}"/>
    <cellStyle name="Normal 11 4 2 2 2 2 2 7" xfId="45116" xr:uid="{00000000-0005-0000-0000-0000F1AD0000}"/>
    <cellStyle name="Normal 11 4 2 2 2 2 2 7 2" xfId="45117" xr:uid="{00000000-0005-0000-0000-0000F2AD0000}"/>
    <cellStyle name="Normal 11 4 2 2 2 2 2 7 2 2" xfId="45118" xr:uid="{00000000-0005-0000-0000-0000F3AD0000}"/>
    <cellStyle name="Normal 11 4 2 2 2 2 2 7 2 2 2" xfId="45119" xr:uid="{00000000-0005-0000-0000-0000F4AD0000}"/>
    <cellStyle name="Normal 11 4 2 2 2 2 2 7 2 3" xfId="45120" xr:uid="{00000000-0005-0000-0000-0000F5AD0000}"/>
    <cellStyle name="Normal 11 4 2 2 2 2 2 7 3" xfId="45121" xr:uid="{00000000-0005-0000-0000-0000F6AD0000}"/>
    <cellStyle name="Normal 11 4 2 2 2 2 2 7 3 2" xfId="45122" xr:uid="{00000000-0005-0000-0000-0000F7AD0000}"/>
    <cellStyle name="Normal 11 4 2 2 2 2 2 7 4" xfId="45123" xr:uid="{00000000-0005-0000-0000-0000F8AD0000}"/>
    <cellStyle name="Normal 11 4 2 2 2 2 2 8" xfId="45124" xr:uid="{00000000-0005-0000-0000-0000F9AD0000}"/>
    <cellStyle name="Normal 11 4 2 2 2 2 2 8 2" xfId="45125" xr:uid="{00000000-0005-0000-0000-0000FAAD0000}"/>
    <cellStyle name="Normal 11 4 2 2 2 2 2 8 2 2" xfId="45126" xr:uid="{00000000-0005-0000-0000-0000FBAD0000}"/>
    <cellStyle name="Normal 11 4 2 2 2 2 2 8 3" xfId="45127" xr:uid="{00000000-0005-0000-0000-0000FCAD0000}"/>
    <cellStyle name="Normal 11 4 2 2 2 2 2 9" xfId="45128" xr:uid="{00000000-0005-0000-0000-0000FDAD0000}"/>
    <cellStyle name="Normal 11 4 2 2 2 2 2 9 2" xfId="45129" xr:uid="{00000000-0005-0000-0000-0000FEAD0000}"/>
    <cellStyle name="Normal 11 4 2 2 2 2 3" xfId="1479" xr:uid="{00000000-0005-0000-0000-0000FFAD0000}"/>
    <cellStyle name="Normal 11 4 2 2 2 2 3 2" xfId="45131" xr:uid="{00000000-0005-0000-0000-000000AE0000}"/>
    <cellStyle name="Normal 11 4 2 2 2 2 3 2 2" xfId="45132" xr:uid="{00000000-0005-0000-0000-000001AE0000}"/>
    <cellStyle name="Normal 11 4 2 2 2 2 3 2 2 2" xfId="45133" xr:uid="{00000000-0005-0000-0000-000002AE0000}"/>
    <cellStyle name="Normal 11 4 2 2 2 2 3 2 2 2 2" xfId="45134" xr:uid="{00000000-0005-0000-0000-000003AE0000}"/>
    <cellStyle name="Normal 11 4 2 2 2 2 3 2 2 3" xfId="45135" xr:uid="{00000000-0005-0000-0000-000004AE0000}"/>
    <cellStyle name="Normal 11 4 2 2 2 2 3 2 3" xfId="45136" xr:uid="{00000000-0005-0000-0000-000005AE0000}"/>
    <cellStyle name="Normal 11 4 2 2 2 2 3 2 3 2" xfId="45137" xr:uid="{00000000-0005-0000-0000-000006AE0000}"/>
    <cellStyle name="Normal 11 4 2 2 2 2 3 2 4" xfId="45138" xr:uid="{00000000-0005-0000-0000-000007AE0000}"/>
    <cellStyle name="Normal 11 4 2 2 2 2 3 3" xfId="45139" xr:uid="{00000000-0005-0000-0000-000008AE0000}"/>
    <cellStyle name="Normal 11 4 2 2 2 2 3 3 2" xfId="45140" xr:uid="{00000000-0005-0000-0000-000009AE0000}"/>
    <cellStyle name="Normal 11 4 2 2 2 2 3 3 2 2" xfId="45141" xr:uid="{00000000-0005-0000-0000-00000AAE0000}"/>
    <cellStyle name="Normal 11 4 2 2 2 2 3 3 2 2 2" xfId="45142" xr:uid="{00000000-0005-0000-0000-00000BAE0000}"/>
    <cellStyle name="Normal 11 4 2 2 2 2 3 3 2 3" xfId="45143" xr:uid="{00000000-0005-0000-0000-00000CAE0000}"/>
    <cellStyle name="Normal 11 4 2 2 2 2 3 3 3" xfId="45144" xr:uid="{00000000-0005-0000-0000-00000DAE0000}"/>
    <cellStyle name="Normal 11 4 2 2 2 2 3 3 3 2" xfId="45145" xr:uid="{00000000-0005-0000-0000-00000EAE0000}"/>
    <cellStyle name="Normal 11 4 2 2 2 2 3 3 4" xfId="45146" xr:uid="{00000000-0005-0000-0000-00000FAE0000}"/>
    <cellStyle name="Normal 11 4 2 2 2 2 3 4" xfId="45147" xr:uid="{00000000-0005-0000-0000-000010AE0000}"/>
    <cellStyle name="Normal 11 4 2 2 2 2 3 4 2" xfId="45148" xr:uid="{00000000-0005-0000-0000-000011AE0000}"/>
    <cellStyle name="Normal 11 4 2 2 2 2 3 4 2 2" xfId="45149" xr:uid="{00000000-0005-0000-0000-000012AE0000}"/>
    <cellStyle name="Normal 11 4 2 2 2 2 3 4 3" xfId="45150" xr:uid="{00000000-0005-0000-0000-000013AE0000}"/>
    <cellStyle name="Normal 11 4 2 2 2 2 3 5" xfId="45151" xr:uid="{00000000-0005-0000-0000-000014AE0000}"/>
    <cellStyle name="Normal 11 4 2 2 2 2 3 5 2" xfId="45152" xr:uid="{00000000-0005-0000-0000-000015AE0000}"/>
    <cellStyle name="Normal 11 4 2 2 2 2 3 6" xfId="45153" xr:uid="{00000000-0005-0000-0000-000016AE0000}"/>
    <cellStyle name="Normal 11 4 2 2 2 2 3 7" xfId="45130" xr:uid="{00000000-0005-0000-0000-000017AE0000}"/>
    <cellStyle name="Normal 11 4 2 2 2 2 4" xfId="45154" xr:uid="{00000000-0005-0000-0000-000018AE0000}"/>
    <cellStyle name="Normal 11 4 2 2 2 2 4 2" xfId="45155" xr:uid="{00000000-0005-0000-0000-000019AE0000}"/>
    <cellStyle name="Normal 11 4 2 2 2 2 4 2 2" xfId="45156" xr:uid="{00000000-0005-0000-0000-00001AAE0000}"/>
    <cellStyle name="Normal 11 4 2 2 2 2 4 2 2 2" xfId="45157" xr:uid="{00000000-0005-0000-0000-00001BAE0000}"/>
    <cellStyle name="Normal 11 4 2 2 2 2 4 2 2 2 2" xfId="45158" xr:uid="{00000000-0005-0000-0000-00001CAE0000}"/>
    <cellStyle name="Normal 11 4 2 2 2 2 4 2 2 3" xfId="45159" xr:uid="{00000000-0005-0000-0000-00001DAE0000}"/>
    <cellStyle name="Normal 11 4 2 2 2 2 4 2 3" xfId="45160" xr:uid="{00000000-0005-0000-0000-00001EAE0000}"/>
    <cellStyle name="Normal 11 4 2 2 2 2 4 2 3 2" xfId="45161" xr:uid="{00000000-0005-0000-0000-00001FAE0000}"/>
    <cellStyle name="Normal 11 4 2 2 2 2 4 2 4" xfId="45162" xr:uid="{00000000-0005-0000-0000-000020AE0000}"/>
    <cellStyle name="Normal 11 4 2 2 2 2 4 3" xfId="45163" xr:uid="{00000000-0005-0000-0000-000021AE0000}"/>
    <cellStyle name="Normal 11 4 2 2 2 2 4 3 2" xfId="45164" xr:uid="{00000000-0005-0000-0000-000022AE0000}"/>
    <cellStyle name="Normal 11 4 2 2 2 2 4 3 2 2" xfId="45165" xr:uid="{00000000-0005-0000-0000-000023AE0000}"/>
    <cellStyle name="Normal 11 4 2 2 2 2 4 3 3" xfId="45166" xr:uid="{00000000-0005-0000-0000-000024AE0000}"/>
    <cellStyle name="Normal 11 4 2 2 2 2 4 4" xfId="45167" xr:uid="{00000000-0005-0000-0000-000025AE0000}"/>
    <cellStyle name="Normal 11 4 2 2 2 2 4 4 2" xfId="45168" xr:uid="{00000000-0005-0000-0000-000026AE0000}"/>
    <cellStyle name="Normal 11 4 2 2 2 2 4 5" xfId="45169" xr:uid="{00000000-0005-0000-0000-000027AE0000}"/>
    <cellStyle name="Normal 11 4 2 2 2 2 5" xfId="45170" xr:uid="{00000000-0005-0000-0000-000028AE0000}"/>
    <cellStyle name="Normal 11 4 2 2 2 2 5 2" xfId="45171" xr:uid="{00000000-0005-0000-0000-000029AE0000}"/>
    <cellStyle name="Normal 11 4 2 2 2 2 5 2 2" xfId="45172" xr:uid="{00000000-0005-0000-0000-00002AAE0000}"/>
    <cellStyle name="Normal 11 4 2 2 2 2 5 2 2 2" xfId="45173" xr:uid="{00000000-0005-0000-0000-00002BAE0000}"/>
    <cellStyle name="Normal 11 4 2 2 2 2 5 2 2 2 2" xfId="45174" xr:uid="{00000000-0005-0000-0000-00002CAE0000}"/>
    <cellStyle name="Normal 11 4 2 2 2 2 5 2 2 3" xfId="45175" xr:uid="{00000000-0005-0000-0000-00002DAE0000}"/>
    <cellStyle name="Normal 11 4 2 2 2 2 5 2 3" xfId="45176" xr:uid="{00000000-0005-0000-0000-00002EAE0000}"/>
    <cellStyle name="Normal 11 4 2 2 2 2 5 2 3 2" xfId="45177" xr:uid="{00000000-0005-0000-0000-00002FAE0000}"/>
    <cellStyle name="Normal 11 4 2 2 2 2 5 2 4" xfId="45178" xr:uid="{00000000-0005-0000-0000-000030AE0000}"/>
    <cellStyle name="Normal 11 4 2 2 2 2 5 3" xfId="45179" xr:uid="{00000000-0005-0000-0000-000031AE0000}"/>
    <cellStyle name="Normal 11 4 2 2 2 2 5 3 2" xfId="45180" xr:uid="{00000000-0005-0000-0000-000032AE0000}"/>
    <cellStyle name="Normal 11 4 2 2 2 2 5 3 2 2" xfId="45181" xr:uid="{00000000-0005-0000-0000-000033AE0000}"/>
    <cellStyle name="Normal 11 4 2 2 2 2 5 3 3" xfId="45182" xr:uid="{00000000-0005-0000-0000-000034AE0000}"/>
    <cellStyle name="Normal 11 4 2 2 2 2 5 4" xfId="45183" xr:uid="{00000000-0005-0000-0000-000035AE0000}"/>
    <cellStyle name="Normal 11 4 2 2 2 2 5 4 2" xfId="45184" xr:uid="{00000000-0005-0000-0000-000036AE0000}"/>
    <cellStyle name="Normal 11 4 2 2 2 2 5 5" xfId="45185" xr:uid="{00000000-0005-0000-0000-000037AE0000}"/>
    <cellStyle name="Normal 11 4 2 2 2 2 6" xfId="45186" xr:uid="{00000000-0005-0000-0000-000038AE0000}"/>
    <cellStyle name="Normal 11 4 2 2 2 2 6 2" xfId="45187" xr:uid="{00000000-0005-0000-0000-000039AE0000}"/>
    <cellStyle name="Normal 11 4 2 2 2 2 6 2 2" xfId="45188" xr:uid="{00000000-0005-0000-0000-00003AAE0000}"/>
    <cellStyle name="Normal 11 4 2 2 2 2 6 2 2 2" xfId="45189" xr:uid="{00000000-0005-0000-0000-00003BAE0000}"/>
    <cellStyle name="Normal 11 4 2 2 2 2 6 2 3" xfId="45190" xr:uid="{00000000-0005-0000-0000-00003CAE0000}"/>
    <cellStyle name="Normal 11 4 2 2 2 2 6 3" xfId="45191" xr:uid="{00000000-0005-0000-0000-00003DAE0000}"/>
    <cellStyle name="Normal 11 4 2 2 2 2 6 3 2" xfId="45192" xr:uid="{00000000-0005-0000-0000-00003EAE0000}"/>
    <cellStyle name="Normal 11 4 2 2 2 2 6 4" xfId="45193" xr:uid="{00000000-0005-0000-0000-00003FAE0000}"/>
    <cellStyle name="Normal 11 4 2 2 2 2 7" xfId="45194" xr:uid="{00000000-0005-0000-0000-000040AE0000}"/>
    <cellStyle name="Normal 11 4 2 2 2 2 7 2" xfId="45195" xr:uid="{00000000-0005-0000-0000-000041AE0000}"/>
    <cellStyle name="Normal 11 4 2 2 2 2 7 2 2" xfId="45196" xr:uid="{00000000-0005-0000-0000-000042AE0000}"/>
    <cellStyle name="Normal 11 4 2 2 2 2 7 2 2 2" xfId="45197" xr:uid="{00000000-0005-0000-0000-000043AE0000}"/>
    <cellStyle name="Normal 11 4 2 2 2 2 7 2 3" xfId="45198" xr:uid="{00000000-0005-0000-0000-000044AE0000}"/>
    <cellStyle name="Normal 11 4 2 2 2 2 7 3" xfId="45199" xr:uid="{00000000-0005-0000-0000-000045AE0000}"/>
    <cellStyle name="Normal 11 4 2 2 2 2 7 3 2" xfId="45200" xr:uid="{00000000-0005-0000-0000-000046AE0000}"/>
    <cellStyle name="Normal 11 4 2 2 2 2 7 4" xfId="45201" xr:uid="{00000000-0005-0000-0000-000047AE0000}"/>
    <cellStyle name="Normal 11 4 2 2 2 2 8" xfId="45202" xr:uid="{00000000-0005-0000-0000-000048AE0000}"/>
    <cellStyle name="Normal 11 4 2 2 2 2 8 2" xfId="45203" xr:uid="{00000000-0005-0000-0000-000049AE0000}"/>
    <cellStyle name="Normal 11 4 2 2 2 2 8 2 2" xfId="45204" xr:uid="{00000000-0005-0000-0000-00004AAE0000}"/>
    <cellStyle name="Normal 11 4 2 2 2 2 8 2 2 2" xfId="45205" xr:uid="{00000000-0005-0000-0000-00004BAE0000}"/>
    <cellStyle name="Normal 11 4 2 2 2 2 8 2 3" xfId="45206" xr:uid="{00000000-0005-0000-0000-00004CAE0000}"/>
    <cellStyle name="Normal 11 4 2 2 2 2 8 3" xfId="45207" xr:uid="{00000000-0005-0000-0000-00004DAE0000}"/>
    <cellStyle name="Normal 11 4 2 2 2 2 8 3 2" xfId="45208" xr:uid="{00000000-0005-0000-0000-00004EAE0000}"/>
    <cellStyle name="Normal 11 4 2 2 2 2 8 4" xfId="45209" xr:uid="{00000000-0005-0000-0000-00004FAE0000}"/>
    <cellStyle name="Normal 11 4 2 2 2 2 9" xfId="45210" xr:uid="{00000000-0005-0000-0000-000050AE0000}"/>
    <cellStyle name="Normal 11 4 2 2 2 2 9 2" xfId="45211" xr:uid="{00000000-0005-0000-0000-000051AE0000}"/>
    <cellStyle name="Normal 11 4 2 2 2 2 9 2 2" xfId="45212" xr:uid="{00000000-0005-0000-0000-000052AE0000}"/>
    <cellStyle name="Normal 11 4 2 2 2 2 9 3" xfId="45213" xr:uid="{00000000-0005-0000-0000-000053AE0000}"/>
    <cellStyle name="Normal 11 4 2 2 2 3" xfId="636" xr:uid="{00000000-0005-0000-0000-000054AE0000}"/>
    <cellStyle name="Normal 11 4 2 2 2 3 10" xfId="45215" xr:uid="{00000000-0005-0000-0000-000055AE0000}"/>
    <cellStyle name="Normal 11 4 2 2 2 3 10 2" xfId="45216" xr:uid="{00000000-0005-0000-0000-000056AE0000}"/>
    <cellStyle name="Normal 11 4 2 2 2 3 10 2 2" xfId="45217" xr:uid="{00000000-0005-0000-0000-000057AE0000}"/>
    <cellStyle name="Normal 11 4 2 2 2 3 10 3" xfId="45218" xr:uid="{00000000-0005-0000-0000-000058AE0000}"/>
    <cellStyle name="Normal 11 4 2 2 2 3 11" xfId="45219" xr:uid="{00000000-0005-0000-0000-000059AE0000}"/>
    <cellStyle name="Normal 11 4 2 2 2 3 11 2" xfId="45220" xr:uid="{00000000-0005-0000-0000-00005AAE0000}"/>
    <cellStyle name="Normal 11 4 2 2 2 3 11 2 2" xfId="45221" xr:uid="{00000000-0005-0000-0000-00005BAE0000}"/>
    <cellStyle name="Normal 11 4 2 2 2 3 11 3" xfId="45222" xr:uid="{00000000-0005-0000-0000-00005CAE0000}"/>
    <cellStyle name="Normal 11 4 2 2 2 3 12" xfId="45223" xr:uid="{00000000-0005-0000-0000-00005DAE0000}"/>
    <cellStyle name="Normal 11 4 2 2 2 3 12 2" xfId="45224" xr:uid="{00000000-0005-0000-0000-00005EAE0000}"/>
    <cellStyle name="Normal 11 4 2 2 2 3 13" xfId="45225" xr:uid="{00000000-0005-0000-0000-00005FAE0000}"/>
    <cellStyle name="Normal 11 4 2 2 2 3 14" xfId="45226" xr:uid="{00000000-0005-0000-0000-000060AE0000}"/>
    <cellStyle name="Normal 11 4 2 2 2 3 15" xfId="45214" xr:uid="{00000000-0005-0000-0000-000061AE0000}"/>
    <cellStyle name="Normal 11 4 2 2 2 3 2" xfId="1078" xr:uid="{00000000-0005-0000-0000-000062AE0000}"/>
    <cellStyle name="Normal 11 4 2 2 2 3 2 10" xfId="45228" xr:uid="{00000000-0005-0000-0000-000063AE0000}"/>
    <cellStyle name="Normal 11 4 2 2 2 3 2 11" xfId="45227" xr:uid="{00000000-0005-0000-0000-000064AE0000}"/>
    <cellStyle name="Normal 11 4 2 2 2 3 2 2" xfId="1807" xr:uid="{00000000-0005-0000-0000-000065AE0000}"/>
    <cellStyle name="Normal 11 4 2 2 2 3 2 2 2" xfId="45230" xr:uid="{00000000-0005-0000-0000-000066AE0000}"/>
    <cellStyle name="Normal 11 4 2 2 2 3 2 2 2 2" xfId="45231" xr:uid="{00000000-0005-0000-0000-000067AE0000}"/>
    <cellStyle name="Normal 11 4 2 2 2 3 2 2 2 2 2" xfId="45232" xr:uid="{00000000-0005-0000-0000-000068AE0000}"/>
    <cellStyle name="Normal 11 4 2 2 2 3 2 2 2 2 2 2" xfId="45233" xr:uid="{00000000-0005-0000-0000-000069AE0000}"/>
    <cellStyle name="Normal 11 4 2 2 2 3 2 2 2 2 3" xfId="45234" xr:uid="{00000000-0005-0000-0000-00006AAE0000}"/>
    <cellStyle name="Normal 11 4 2 2 2 3 2 2 2 3" xfId="45235" xr:uid="{00000000-0005-0000-0000-00006BAE0000}"/>
    <cellStyle name="Normal 11 4 2 2 2 3 2 2 2 3 2" xfId="45236" xr:uid="{00000000-0005-0000-0000-00006CAE0000}"/>
    <cellStyle name="Normal 11 4 2 2 2 3 2 2 2 4" xfId="45237" xr:uid="{00000000-0005-0000-0000-00006DAE0000}"/>
    <cellStyle name="Normal 11 4 2 2 2 3 2 2 3" xfId="45238" xr:uid="{00000000-0005-0000-0000-00006EAE0000}"/>
    <cellStyle name="Normal 11 4 2 2 2 3 2 2 3 2" xfId="45239" xr:uid="{00000000-0005-0000-0000-00006FAE0000}"/>
    <cellStyle name="Normal 11 4 2 2 2 3 2 2 3 2 2" xfId="45240" xr:uid="{00000000-0005-0000-0000-000070AE0000}"/>
    <cellStyle name="Normal 11 4 2 2 2 3 2 2 3 2 2 2" xfId="45241" xr:uid="{00000000-0005-0000-0000-000071AE0000}"/>
    <cellStyle name="Normal 11 4 2 2 2 3 2 2 3 2 3" xfId="45242" xr:uid="{00000000-0005-0000-0000-000072AE0000}"/>
    <cellStyle name="Normal 11 4 2 2 2 3 2 2 3 3" xfId="45243" xr:uid="{00000000-0005-0000-0000-000073AE0000}"/>
    <cellStyle name="Normal 11 4 2 2 2 3 2 2 3 3 2" xfId="45244" xr:uid="{00000000-0005-0000-0000-000074AE0000}"/>
    <cellStyle name="Normal 11 4 2 2 2 3 2 2 3 4" xfId="45245" xr:uid="{00000000-0005-0000-0000-000075AE0000}"/>
    <cellStyle name="Normal 11 4 2 2 2 3 2 2 4" xfId="45246" xr:uid="{00000000-0005-0000-0000-000076AE0000}"/>
    <cellStyle name="Normal 11 4 2 2 2 3 2 2 4 2" xfId="45247" xr:uid="{00000000-0005-0000-0000-000077AE0000}"/>
    <cellStyle name="Normal 11 4 2 2 2 3 2 2 4 2 2" xfId="45248" xr:uid="{00000000-0005-0000-0000-000078AE0000}"/>
    <cellStyle name="Normal 11 4 2 2 2 3 2 2 4 3" xfId="45249" xr:uid="{00000000-0005-0000-0000-000079AE0000}"/>
    <cellStyle name="Normal 11 4 2 2 2 3 2 2 5" xfId="45250" xr:uid="{00000000-0005-0000-0000-00007AAE0000}"/>
    <cellStyle name="Normal 11 4 2 2 2 3 2 2 5 2" xfId="45251" xr:uid="{00000000-0005-0000-0000-00007BAE0000}"/>
    <cellStyle name="Normal 11 4 2 2 2 3 2 2 6" xfId="45252" xr:uid="{00000000-0005-0000-0000-00007CAE0000}"/>
    <cellStyle name="Normal 11 4 2 2 2 3 2 2 7" xfId="45229" xr:uid="{00000000-0005-0000-0000-00007DAE0000}"/>
    <cellStyle name="Normal 11 4 2 2 2 3 2 3" xfId="45253" xr:uid="{00000000-0005-0000-0000-00007EAE0000}"/>
    <cellStyle name="Normal 11 4 2 2 2 3 2 3 2" xfId="45254" xr:uid="{00000000-0005-0000-0000-00007FAE0000}"/>
    <cellStyle name="Normal 11 4 2 2 2 3 2 3 2 2" xfId="45255" xr:uid="{00000000-0005-0000-0000-000080AE0000}"/>
    <cellStyle name="Normal 11 4 2 2 2 3 2 3 2 2 2" xfId="45256" xr:uid="{00000000-0005-0000-0000-000081AE0000}"/>
    <cellStyle name="Normal 11 4 2 2 2 3 2 3 2 2 2 2" xfId="45257" xr:uid="{00000000-0005-0000-0000-000082AE0000}"/>
    <cellStyle name="Normal 11 4 2 2 2 3 2 3 2 2 3" xfId="45258" xr:uid="{00000000-0005-0000-0000-000083AE0000}"/>
    <cellStyle name="Normal 11 4 2 2 2 3 2 3 2 3" xfId="45259" xr:uid="{00000000-0005-0000-0000-000084AE0000}"/>
    <cellStyle name="Normal 11 4 2 2 2 3 2 3 2 3 2" xfId="45260" xr:uid="{00000000-0005-0000-0000-000085AE0000}"/>
    <cellStyle name="Normal 11 4 2 2 2 3 2 3 2 4" xfId="45261" xr:uid="{00000000-0005-0000-0000-000086AE0000}"/>
    <cellStyle name="Normal 11 4 2 2 2 3 2 3 3" xfId="45262" xr:uid="{00000000-0005-0000-0000-000087AE0000}"/>
    <cellStyle name="Normal 11 4 2 2 2 3 2 3 3 2" xfId="45263" xr:uid="{00000000-0005-0000-0000-000088AE0000}"/>
    <cellStyle name="Normal 11 4 2 2 2 3 2 3 3 2 2" xfId="45264" xr:uid="{00000000-0005-0000-0000-000089AE0000}"/>
    <cellStyle name="Normal 11 4 2 2 2 3 2 3 3 3" xfId="45265" xr:uid="{00000000-0005-0000-0000-00008AAE0000}"/>
    <cellStyle name="Normal 11 4 2 2 2 3 2 3 4" xfId="45266" xr:uid="{00000000-0005-0000-0000-00008BAE0000}"/>
    <cellStyle name="Normal 11 4 2 2 2 3 2 3 4 2" xfId="45267" xr:uid="{00000000-0005-0000-0000-00008CAE0000}"/>
    <cellStyle name="Normal 11 4 2 2 2 3 2 3 5" xfId="45268" xr:uid="{00000000-0005-0000-0000-00008DAE0000}"/>
    <cellStyle name="Normal 11 4 2 2 2 3 2 4" xfId="45269" xr:uid="{00000000-0005-0000-0000-00008EAE0000}"/>
    <cellStyle name="Normal 11 4 2 2 2 3 2 4 2" xfId="45270" xr:uid="{00000000-0005-0000-0000-00008FAE0000}"/>
    <cellStyle name="Normal 11 4 2 2 2 3 2 4 2 2" xfId="45271" xr:uid="{00000000-0005-0000-0000-000090AE0000}"/>
    <cellStyle name="Normal 11 4 2 2 2 3 2 4 2 2 2" xfId="45272" xr:uid="{00000000-0005-0000-0000-000091AE0000}"/>
    <cellStyle name="Normal 11 4 2 2 2 3 2 4 2 2 2 2" xfId="45273" xr:uid="{00000000-0005-0000-0000-000092AE0000}"/>
    <cellStyle name="Normal 11 4 2 2 2 3 2 4 2 2 3" xfId="45274" xr:uid="{00000000-0005-0000-0000-000093AE0000}"/>
    <cellStyle name="Normal 11 4 2 2 2 3 2 4 2 3" xfId="45275" xr:uid="{00000000-0005-0000-0000-000094AE0000}"/>
    <cellStyle name="Normal 11 4 2 2 2 3 2 4 2 3 2" xfId="45276" xr:uid="{00000000-0005-0000-0000-000095AE0000}"/>
    <cellStyle name="Normal 11 4 2 2 2 3 2 4 2 4" xfId="45277" xr:uid="{00000000-0005-0000-0000-000096AE0000}"/>
    <cellStyle name="Normal 11 4 2 2 2 3 2 4 3" xfId="45278" xr:uid="{00000000-0005-0000-0000-000097AE0000}"/>
    <cellStyle name="Normal 11 4 2 2 2 3 2 4 3 2" xfId="45279" xr:uid="{00000000-0005-0000-0000-000098AE0000}"/>
    <cellStyle name="Normal 11 4 2 2 2 3 2 4 3 2 2" xfId="45280" xr:uid="{00000000-0005-0000-0000-000099AE0000}"/>
    <cellStyle name="Normal 11 4 2 2 2 3 2 4 3 3" xfId="45281" xr:uid="{00000000-0005-0000-0000-00009AAE0000}"/>
    <cellStyle name="Normal 11 4 2 2 2 3 2 4 4" xfId="45282" xr:uid="{00000000-0005-0000-0000-00009BAE0000}"/>
    <cellStyle name="Normal 11 4 2 2 2 3 2 4 4 2" xfId="45283" xr:uid="{00000000-0005-0000-0000-00009CAE0000}"/>
    <cellStyle name="Normal 11 4 2 2 2 3 2 4 5" xfId="45284" xr:uid="{00000000-0005-0000-0000-00009DAE0000}"/>
    <cellStyle name="Normal 11 4 2 2 2 3 2 5" xfId="45285" xr:uid="{00000000-0005-0000-0000-00009EAE0000}"/>
    <cellStyle name="Normal 11 4 2 2 2 3 2 5 2" xfId="45286" xr:uid="{00000000-0005-0000-0000-00009FAE0000}"/>
    <cellStyle name="Normal 11 4 2 2 2 3 2 5 2 2" xfId="45287" xr:uid="{00000000-0005-0000-0000-0000A0AE0000}"/>
    <cellStyle name="Normal 11 4 2 2 2 3 2 5 2 2 2" xfId="45288" xr:uid="{00000000-0005-0000-0000-0000A1AE0000}"/>
    <cellStyle name="Normal 11 4 2 2 2 3 2 5 2 3" xfId="45289" xr:uid="{00000000-0005-0000-0000-0000A2AE0000}"/>
    <cellStyle name="Normal 11 4 2 2 2 3 2 5 3" xfId="45290" xr:uid="{00000000-0005-0000-0000-0000A3AE0000}"/>
    <cellStyle name="Normal 11 4 2 2 2 3 2 5 3 2" xfId="45291" xr:uid="{00000000-0005-0000-0000-0000A4AE0000}"/>
    <cellStyle name="Normal 11 4 2 2 2 3 2 5 4" xfId="45292" xr:uid="{00000000-0005-0000-0000-0000A5AE0000}"/>
    <cellStyle name="Normal 11 4 2 2 2 3 2 6" xfId="45293" xr:uid="{00000000-0005-0000-0000-0000A6AE0000}"/>
    <cellStyle name="Normal 11 4 2 2 2 3 2 6 2" xfId="45294" xr:uid="{00000000-0005-0000-0000-0000A7AE0000}"/>
    <cellStyle name="Normal 11 4 2 2 2 3 2 6 2 2" xfId="45295" xr:uid="{00000000-0005-0000-0000-0000A8AE0000}"/>
    <cellStyle name="Normal 11 4 2 2 2 3 2 6 2 2 2" xfId="45296" xr:uid="{00000000-0005-0000-0000-0000A9AE0000}"/>
    <cellStyle name="Normal 11 4 2 2 2 3 2 6 2 3" xfId="45297" xr:uid="{00000000-0005-0000-0000-0000AAAE0000}"/>
    <cellStyle name="Normal 11 4 2 2 2 3 2 6 3" xfId="45298" xr:uid="{00000000-0005-0000-0000-0000ABAE0000}"/>
    <cellStyle name="Normal 11 4 2 2 2 3 2 6 3 2" xfId="45299" xr:uid="{00000000-0005-0000-0000-0000ACAE0000}"/>
    <cellStyle name="Normal 11 4 2 2 2 3 2 6 4" xfId="45300" xr:uid="{00000000-0005-0000-0000-0000ADAE0000}"/>
    <cellStyle name="Normal 11 4 2 2 2 3 2 7" xfId="45301" xr:uid="{00000000-0005-0000-0000-0000AEAE0000}"/>
    <cellStyle name="Normal 11 4 2 2 2 3 2 7 2" xfId="45302" xr:uid="{00000000-0005-0000-0000-0000AFAE0000}"/>
    <cellStyle name="Normal 11 4 2 2 2 3 2 7 2 2" xfId="45303" xr:uid="{00000000-0005-0000-0000-0000B0AE0000}"/>
    <cellStyle name="Normal 11 4 2 2 2 3 2 7 2 2 2" xfId="45304" xr:uid="{00000000-0005-0000-0000-0000B1AE0000}"/>
    <cellStyle name="Normal 11 4 2 2 2 3 2 7 2 3" xfId="45305" xr:uid="{00000000-0005-0000-0000-0000B2AE0000}"/>
    <cellStyle name="Normal 11 4 2 2 2 3 2 7 3" xfId="45306" xr:uid="{00000000-0005-0000-0000-0000B3AE0000}"/>
    <cellStyle name="Normal 11 4 2 2 2 3 2 7 3 2" xfId="45307" xr:uid="{00000000-0005-0000-0000-0000B4AE0000}"/>
    <cellStyle name="Normal 11 4 2 2 2 3 2 7 4" xfId="45308" xr:uid="{00000000-0005-0000-0000-0000B5AE0000}"/>
    <cellStyle name="Normal 11 4 2 2 2 3 2 8" xfId="45309" xr:uid="{00000000-0005-0000-0000-0000B6AE0000}"/>
    <cellStyle name="Normal 11 4 2 2 2 3 2 8 2" xfId="45310" xr:uid="{00000000-0005-0000-0000-0000B7AE0000}"/>
    <cellStyle name="Normal 11 4 2 2 2 3 2 8 2 2" xfId="45311" xr:uid="{00000000-0005-0000-0000-0000B8AE0000}"/>
    <cellStyle name="Normal 11 4 2 2 2 3 2 8 3" xfId="45312" xr:uid="{00000000-0005-0000-0000-0000B9AE0000}"/>
    <cellStyle name="Normal 11 4 2 2 2 3 2 9" xfId="45313" xr:uid="{00000000-0005-0000-0000-0000BAAE0000}"/>
    <cellStyle name="Normal 11 4 2 2 2 3 2 9 2" xfId="45314" xr:uid="{00000000-0005-0000-0000-0000BBAE0000}"/>
    <cellStyle name="Normal 11 4 2 2 2 3 3" xfId="1480" xr:uid="{00000000-0005-0000-0000-0000BCAE0000}"/>
    <cellStyle name="Normal 11 4 2 2 2 3 3 2" xfId="45316" xr:uid="{00000000-0005-0000-0000-0000BDAE0000}"/>
    <cellStyle name="Normal 11 4 2 2 2 3 3 2 2" xfId="45317" xr:uid="{00000000-0005-0000-0000-0000BEAE0000}"/>
    <cellStyle name="Normal 11 4 2 2 2 3 3 2 2 2" xfId="45318" xr:uid="{00000000-0005-0000-0000-0000BFAE0000}"/>
    <cellStyle name="Normal 11 4 2 2 2 3 3 2 2 2 2" xfId="45319" xr:uid="{00000000-0005-0000-0000-0000C0AE0000}"/>
    <cellStyle name="Normal 11 4 2 2 2 3 3 2 2 3" xfId="45320" xr:uid="{00000000-0005-0000-0000-0000C1AE0000}"/>
    <cellStyle name="Normal 11 4 2 2 2 3 3 2 3" xfId="45321" xr:uid="{00000000-0005-0000-0000-0000C2AE0000}"/>
    <cellStyle name="Normal 11 4 2 2 2 3 3 2 3 2" xfId="45322" xr:uid="{00000000-0005-0000-0000-0000C3AE0000}"/>
    <cellStyle name="Normal 11 4 2 2 2 3 3 2 4" xfId="45323" xr:uid="{00000000-0005-0000-0000-0000C4AE0000}"/>
    <cellStyle name="Normal 11 4 2 2 2 3 3 3" xfId="45324" xr:uid="{00000000-0005-0000-0000-0000C5AE0000}"/>
    <cellStyle name="Normal 11 4 2 2 2 3 3 3 2" xfId="45325" xr:uid="{00000000-0005-0000-0000-0000C6AE0000}"/>
    <cellStyle name="Normal 11 4 2 2 2 3 3 3 2 2" xfId="45326" xr:uid="{00000000-0005-0000-0000-0000C7AE0000}"/>
    <cellStyle name="Normal 11 4 2 2 2 3 3 3 2 2 2" xfId="45327" xr:uid="{00000000-0005-0000-0000-0000C8AE0000}"/>
    <cellStyle name="Normal 11 4 2 2 2 3 3 3 2 3" xfId="45328" xr:uid="{00000000-0005-0000-0000-0000C9AE0000}"/>
    <cellStyle name="Normal 11 4 2 2 2 3 3 3 3" xfId="45329" xr:uid="{00000000-0005-0000-0000-0000CAAE0000}"/>
    <cellStyle name="Normal 11 4 2 2 2 3 3 3 3 2" xfId="45330" xr:uid="{00000000-0005-0000-0000-0000CBAE0000}"/>
    <cellStyle name="Normal 11 4 2 2 2 3 3 3 4" xfId="45331" xr:uid="{00000000-0005-0000-0000-0000CCAE0000}"/>
    <cellStyle name="Normal 11 4 2 2 2 3 3 4" xfId="45332" xr:uid="{00000000-0005-0000-0000-0000CDAE0000}"/>
    <cellStyle name="Normal 11 4 2 2 2 3 3 4 2" xfId="45333" xr:uid="{00000000-0005-0000-0000-0000CEAE0000}"/>
    <cellStyle name="Normal 11 4 2 2 2 3 3 4 2 2" xfId="45334" xr:uid="{00000000-0005-0000-0000-0000CFAE0000}"/>
    <cellStyle name="Normal 11 4 2 2 2 3 3 4 3" xfId="45335" xr:uid="{00000000-0005-0000-0000-0000D0AE0000}"/>
    <cellStyle name="Normal 11 4 2 2 2 3 3 5" xfId="45336" xr:uid="{00000000-0005-0000-0000-0000D1AE0000}"/>
    <cellStyle name="Normal 11 4 2 2 2 3 3 5 2" xfId="45337" xr:uid="{00000000-0005-0000-0000-0000D2AE0000}"/>
    <cellStyle name="Normal 11 4 2 2 2 3 3 6" xfId="45338" xr:uid="{00000000-0005-0000-0000-0000D3AE0000}"/>
    <cellStyle name="Normal 11 4 2 2 2 3 3 7" xfId="45315" xr:uid="{00000000-0005-0000-0000-0000D4AE0000}"/>
    <cellStyle name="Normal 11 4 2 2 2 3 4" xfId="45339" xr:uid="{00000000-0005-0000-0000-0000D5AE0000}"/>
    <cellStyle name="Normal 11 4 2 2 2 3 4 2" xfId="45340" xr:uid="{00000000-0005-0000-0000-0000D6AE0000}"/>
    <cellStyle name="Normal 11 4 2 2 2 3 4 2 2" xfId="45341" xr:uid="{00000000-0005-0000-0000-0000D7AE0000}"/>
    <cellStyle name="Normal 11 4 2 2 2 3 4 2 2 2" xfId="45342" xr:uid="{00000000-0005-0000-0000-0000D8AE0000}"/>
    <cellStyle name="Normal 11 4 2 2 2 3 4 2 2 2 2" xfId="45343" xr:uid="{00000000-0005-0000-0000-0000D9AE0000}"/>
    <cellStyle name="Normal 11 4 2 2 2 3 4 2 2 3" xfId="45344" xr:uid="{00000000-0005-0000-0000-0000DAAE0000}"/>
    <cellStyle name="Normal 11 4 2 2 2 3 4 2 3" xfId="45345" xr:uid="{00000000-0005-0000-0000-0000DBAE0000}"/>
    <cellStyle name="Normal 11 4 2 2 2 3 4 2 3 2" xfId="45346" xr:uid="{00000000-0005-0000-0000-0000DCAE0000}"/>
    <cellStyle name="Normal 11 4 2 2 2 3 4 2 4" xfId="45347" xr:uid="{00000000-0005-0000-0000-0000DDAE0000}"/>
    <cellStyle name="Normal 11 4 2 2 2 3 4 3" xfId="45348" xr:uid="{00000000-0005-0000-0000-0000DEAE0000}"/>
    <cellStyle name="Normal 11 4 2 2 2 3 4 3 2" xfId="45349" xr:uid="{00000000-0005-0000-0000-0000DFAE0000}"/>
    <cellStyle name="Normal 11 4 2 2 2 3 4 3 2 2" xfId="45350" xr:uid="{00000000-0005-0000-0000-0000E0AE0000}"/>
    <cellStyle name="Normal 11 4 2 2 2 3 4 3 3" xfId="45351" xr:uid="{00000000-0005-0000-0000-0000E1AE0000}"/>
    <cellStyle name="Normal 11 4 2 2 2 3 4 4" xfId="45352" xr:uid="{00000000-0005-0000-0000-0000E2AE0000}"/>
    <cellStyle name="Normal 11 4 2 2 2 3 4 4 2" xfId="45353" xr:uid="{00000000-0005-0000-0000-0000E3AE0000}"/>
    <cellStyle name="Normal 11 4 2 2 2 3 4 5" xfId="45354" xr:uid="{00000000-0005-0000-0000-0000E4AE0000}"/>
    <cellStyle name="Normal 11 4 2 2 2 3 5" xfId="45355" xr:uid="{00000000-0005-0000-0000-0000E5AE0000}"/>
    <cellStyle name="Normal 11 4 2 2 2 3 5 2" xfId="45356" xr:uid="{00000000-0005-0000-0000-0000E6AE0000}"/>
    <cellStyle name="Normal 11 4 2 2 2 3 5 2 2" xfId="45357" xr:uid="{00000000-0005-0000-0000-0000E7AE0000}"/>
    <cellStyle name="Normal 11 4 2 2 2 3 5 2 2 2" xfId="45358" xr:uid="{00000000-0005-0000-0000-0000E8AE0000}"/>
    <cellStyle name="Normal 11 4 2 2 2 3 5 2 2 2 2" xfId="45359" xr:uid="{00000000-0005-0000-0000-0000E9AE0000}"/>
    <cellStyle name="Normal 11 4 2 2 2 3 5 2 2 3" xfId="45360" xr:uid="{00000000-0005-0000-0000-0000EAAE0000}"/>
    <cellStyle name="Normal 11 4 2 2 2 3 5 2 3" xfId="45361" xr:uid="{00000000-0005-0000-0000-0000EBAE0000}"/>
    <cellStyle name="Normal 11 4 2 2 2 3 5 2 3 2" xfId="45362" xr:uid="{00000000-0005-0000-0000-0000ECAE0000}"/>
    <cellStyle name="Normal 11 4 2 2 2 3 5 2 4" xfId="45363" xr:uid="{00000000-0005-0000-0000-0000EDAE0000}"/>
    <cellStyle name="Normal 11 4 2 2 2 3 5 3" xfId="45364" xr:uid="{00000000-0005-0000-0000-0000EEAE0000}"/>
    <cellStyle name="Normal 11 4 2 2 2 3 5 3 2" xfId="45365" xr:uid="{00000000-0005-0000-0000-0000EFAE0000}"/>
    <cellStyle name="Normal 11 4 2 2 2 3 5 3 2 2" xfId="45366" xr:uid="{00000000-0005-0000-0000-0000F0AE0000}"/>
    <cellStyle name="Normal 11 4 2 2 2 3 5 3 3" xfId="45367" xr:uid="{00000000-0005-0000-0000-0000F1AE0000}"/>
    <cellStyle name="Normal 11 4 2 2 2 3 5 4" xfId="45368" xr:uid="{00000000-0005-0000-0000-0000F2AE0000}"/>
    <cellStyle name="Normal 11 4 2 2 2 3 5 4 2" xfId="45369" xr:uid="{00000000-0005-0000-0000-0000F3AE0000}"/>
    <cellStyle name="Normal 11 4 2 2 2 3 5 5" xfId="45370" xr:uid="{00000000-0005-0000-0000-0000F4AE0000}"/>
    <cellStyle name="Normal 11 4 2 2 2 3 6" xfId="45371" xr:uid="{00000000-0005-0000-0000-0000F5AE0000}"/>
    <cellStyle name="Normal 11 4 2 2 2 3 6 2" xfId="45372" xr:uid="{00000000-0005-0000-0000-0000F6AE0000}"/>
    <cellStyle name="Normal 11 4 2 2 2 3 6 2 2" xfId="45373" xr:uid="{00000000-0005-0000-0000-0000F7AE0000}"/>
    <cellStyle name="Normal 11 4 2 2 2 3 6 2 2 2" xfId="45374" xr:uid="{00000000-0005-0000-0000-0000F8AE0000}"/>
    <cellStyle name="Normal 11 4 2 2 2 3 6 2 3" xfId="45375" xr:uid="{00000000-0005-0000-0000-0000F9AE0000}"/>
    <cellStyle name="Normal 11 4 2 2 2 3 6 3" xfId="45376" xr:uid="{00000000-0005-0000-0000-0000FAAE0000}"/>
    <cellStyle name="Normal 11 4 2 2 2 3 6 3 2" xfId="45377" xr:uid="{00000000-0005-0000-0000-0000FBAE0000}"/>
    <cellStyle name="Normal 11 4 2 2 2 3 6 4" xfId="45378" xr:uid="{00000000-0005-0000-0000-0000FCAE0000}"/>
    <cellStyle name="Normal 11 4 2 2 2 3 7" xfId="45379" xr:uid="{00000000-0005-0000-0000-0000FDAE0000}"/>
    <cellStyle name="Normal 11 4 2 2 2 3 7 2" xfId="45380" xr:uid="{00000000-0005-0000-0000-0000FEAE0000}"/>
    <cellStyle name="Normal 11 4 2 2 2 3 7 2 2" xfId="45381" xr:uid="{00000000-0005-0000-0000-0000FFAE0000}"/>
    <cellStyle name="Normal 11 4 2 2 2 3 7 2 2 2" xfId="45382" xr:uid="{00000000-0005-0000-0000-000000AF0000}"/>
    <cellStyle name="Normal 11 4 2 2 2 3 7 2 3" xfId="45383" xr:uid="{00000000-0005-0000-0000-000001AF0000}"/>
    <cellStyle name="Normal 11 4 2 2 2 3 7 3" xfId="45384" xr:uid="{00000000-0005-0000-0000-000002AF0000}"/>
    <cellStyle name="Normal 11 4 2 2 2 3 7 3 2" xfId="45385" xr:uid="{00000000-0005-0000-0000-000003AF0000}"/>
    <cellStyle name="Normal 11 4 2 2 2 3 7 4" xfId="45386" xr:uid="{00000000-0005-0000-0000-000004AF0000}"/>
    <cellStyle name="Normal 11 4 2 2 2 3 8" xfId="45387" xr:uid="{00000000-0005-0000-0000-000005AF0000}"/>
    <cellStyle name="Normal 11 4 2 2 2 3 8 2" xfId="45388" xr:uid="{00000000-0005-0000-0000-000006AF0000}"/>
    <cellStyle name="Normal 11 4 2 2 2 3 8 2 2" xfId="45389" xr:uid="{00000000-0005-0000-0000-000007AF0000}"/>
    <cellStyle name="Normal 11 4 2 2 2 3 8 2 2 2" xfId="45390" xr:uid="{00000000-0005-0000-0000-000008AF0000}"/>
    <cellStyle name="Normal 11 4 2 2 2 3 8 2 3" xfId="45391" xr:uid="{00000000-0005-0000-0000-000009AF0000}"/>
    <cellStyle name="Normal 11 4 2 2 2 3 8 3" xfId="45392" xr:uid="{00000000-0005-0000-0000-00000AAF0000}"/>
    <cellStyle name="Normal 11 4 2 2 2 3 8 3 2" xfId="45393" xr:uid="{00000000-0005-0000-0000-00000BAF0000}"/>
    <cellStyle name="Normal 11 4 2 2 2 3 8 4" xfId="45394" xr:uid="{00000000-0005-0000-0000-00000CAF0000}"/>
    <cellStyle name="Normal 11 4 2 2 2 3 9" xfId="45395" xr:uid="{00000000-0005-0000-0000-00000DAF0000}"/>
    <cellStyle name="Normal 11 4 2 2 2 3 9 2" xfId="45396" xr:uid="{00000000-0005-0000-0000-00000EAF0000}"/>
    <cellStyle name="Normal 11 4 2 2 2 3 9 2 2" xfId="45397" xr:uid="{00000000-0005-0000-0000-00000FAF0000}"/>
    <cellStyle name="Normal 11 4 2 2 2 3 9 3" xfId="45398" xr:uid="{00000000-0005-0000-0000-000010AF0000}"/>
    <cellStyle name="Normal 11 4 2 2 2 4" xfId="1076" xr:uid="{00000000-0005-0000-0000-000011AF0000}"/>
    <cellStyle name="Normal 11 4 2 2 2 4 10" xfId="45400" xr:uid="{00000000-0005-0000-0000-000012AF0000}"/>
    <cellStyle name="Normal 11 4 2 2 2 4 11" xfId="45399" xr:uid="{00000000-0005-0000-0000-000013AF0000}"/>
    <cellStyle name="Normal 11 4 2 2 2 4 2" xfId="1805" xr:uid="{00000000-0005-0000-0000-000014AF0000}"/>
    <cellStyle name="Normal 11 4 2 2 2 4 2 2" xfId="45402" xr:uid="{00000000-0005-0000-0000-000015AF0000}"/>
    <cellStyle name="Normal 11 4 2 2 2 4 2 2 2" xfId="45403" xr:uid="{00000000-0005-0000-0000-000016AF0000}"/>
    <cellStyle name="Normal 11 4 2 2 2 4 2 2 2 2" xfId="45404" xr:uid="{00000000-0005-0000-0000-000017AF0000}"/>
    <cellStyle name="Normal 11 4 2 2 2 4 2 2 2 2 2" xfId="45405" xr:uid="{00000000-0005-0000-0000-000018AF0000}"/>
    <cellStyle name="Normal 11 4 2 2 2 4 2 2 2 3" xfId="45406" xr:uid="{00000000-0005-0000-0000-000019AF0000}"/>
    <cellStyle name="Normal 11 4 2 2 2 4 2 2 3" xfId="45407" xr:uid="{00000000-0005-0000-0000-00001AAF0000}"/>
    <cellStyle name="Normal 11 4 2 2 2 4 2 2 3 2" xfId="45408" xr:uid="{00000000-0005-0000-0000-00001BAF0000}"/>
    <cellStyle name="Normal 11 4 2 2 2 4 2 2 4" xfId="45409" xr:uid="{00000000-0005-0000-0000-00001CAF0000}"/>
    <cellStyle name="Normal 11 4 2 2 2 4 2 3" xfId="45410" xr:uid="{00000000-0005-0000-0000-00001DAF0000}"/>
    <cellStyle name="Normal 11 4 2 2 2 4 2 3 2" xfId="45411" xr:uid="{00000000-0005-0000-0000-00001EAF0000}"/>
    <cellStyle name="Normal 11 4 2 2 2 4 2 3 2 2" xfId="45412" xr:uid="{00000000-0005-0000-0000-00001FAF0000}"/>
    <cellStyle name="Normal 11 4 2 2 2 4 2 3 2 2 2" xfId="45413" xr:uid="{00000000-0005-0000-0000-000020AF0000}"/>
    <cellStyle name="Normal 11 4 2 2 2 4 2 3 2 3" xfId="45414" xr:uid="{00000000-0005-0000-0000-000021AF0000}"/>
    <cellStyle name="Normal 11 4 2 2 2 4 2 3 3" xfId="45415" xr:uid="{00000000-0005-0000-0000-000022AF0000}"/>
    <cellStyle name="Normal 11 4 2 2 2 4 2 3 3 2" xfId="45416" xr:uid="{00000000-0005-0000-0000-000023AF0000}"/>
    <cellStyle name="Normal 11 4 2 2 2 4 2 3 4" xfId="45417" xr:uid="{00000000-0005-0000-0000-000024AF0000}"/>
    <cellStyle name="Normal 11 4 2 2 2 4 2 4" xfId="45418" xr:uid="{00000000-0005-0000-0000-000025AF0000}"/>
    <cellStyle name="Normal 11 4 2 2 2 4 2 4 2" xfId="45419" xr:uid="{00000000-0005-0000-0000-000026AF0000}"/>
    <cellStyle name="Normal 11 4 2 2 2 4 2 4 2 2" xfId="45420" xr:uid="{00000000-0005-0000-0000-000027AF0000}"/>
    <cellStyle name="Normal 11 4 2 2 2 4 2 4 3" xfId="45421" xr:uid="{00000000-0005-0000-0000-000028AF0000}"/>
    <cellStyle name="Normal 11 4 2 2 2 4 2 5" xfId="45422" xr:uid="{00000000-0005-0000-0000-000029AF0000}"/>
    <cellStyle name="Normal 11 4 2 2 2 4 2 5 2" xfId="45423" xr:uid="{00000000-0005-0000-0000-00002AAF0000}"/>
    <cellStyle name="Normal 11 4 2 2 2 4 2 6" xfId="45424" xr:uid="{00000000-0005-0000-0000-00002BAF0000}"/>
    <cellStyle name="Normal 11 4 2 2 2 4 2 7" xfId="45401" xr:uid="{00000000-0005-0000-0000-00002CAF0000}"/>
    <cellStyle name="Normal 11 4 2 2 2 4 3" xfId="45425" xr:uid="{00000000-0005-0000-0000-00002DAF0000}"/>
    <cellStyle name="Normal 11 4 2 2 2 4 3 2" xfId="45426" xr:uid="{00000000-0005-0000-0000-00002EAF0000}"/>
    <cellStyle name="Normal 11 4 2 2 2 4 3 2 2" xfId="45427" xr:uid="{00000000-0005-0000-0000-00002FAF0000}"/>
    <cellStyle name="Normal 11 4 2 2 2 4 3 2 2 2" xfId="45428" xr:uid="{00000000-0005-0000-0000-000030AF0000}"/>
    <cellStyle name="Normal 11 4 2 2 2 4 3 2 2 2 2" xfId="45429" xr:uid="{00000000-0005-0000-0000-000031AF0000}"/>
    <cellStyle name="Normal 11 4 2 2 2 4 3 2 2 3" xfId="45430" xr:uid="{00000000-0005-0000-0000-000032AF0000}"/>
    <cellStyle name="Normal 11 4 2 2 2 4 3 2 3" xfId="45431" xr:uid="{00000000-0005-0000-0000-000033AF0000}"/>
    <cellStyle name="Normal 11 4 2 2 2 4 3 2 3 2" xfId="45432" xr:uid="{00000000-0005-0000-0000-000034AF0000}"/>
    <cellStyle name="Normal 11 4 2 2 2 4 3 2 4" xfId="45433" xr:uid="{00000000-0005-0000-0000-000035AF0000}"/>
    <cellStyle name="Normal 11 4 2 2 2 4 3 3" xfId="45434" xr:uid="{00000000-0005-0000-0000-000036AF0000}"/>
    <cellStyle name="Normal 11 4 2 2 2 4 3 3 2" xfId="45435" xr:uid="{00000000-0005-0000-0000-000037AF0000}"/>
    <cellStyle name="Normal 11 4 2 2 2 4 3 3 2 2" xfId="45436" xr:uid="{00000000-0005-0000-0000-000038AF0000}"/>
    <cellStyle name="Normal 11 4 2 2 2 4 3 3 3" xfId="45437" xr:uid="{00000000-0005-0000-0000-000039AF0000}"/>
    <cellStyle name="Normal 11 4 2 2 2 4 3 4" xfId="45438" xr:uid="{00000000-0005-0000-0000-00003AAF0000}"/>
    <cellStyle name="Normal 11 4 2 2 2 4 3 4 2" xfId="45439" xr:uid="{00000000-0005-0000-0000-00003BAF0000}"/>
    <cellStyle name="Normal 11 4 2 2 2 4 3 5" xfId="45440" xr:uid="{00000000-0005-0000-0000-00003CAF0000}"/>
    <cellStyle name="Normal 11 4 2 2 2 4 4" xfId="45441" xr:uid="{00000000-0005-0000-0000-00003DAF0000}"/>
    <cellStyle name="Normal 11 4 2 2 2 4 4 2" xfId="45442" xr:uid="{00000000-0005-0000-0000-00003EAF0000}"/>
    <cellStyle name="Normal 11 4 2 2 2 4 4 2 2" xfId="45443" xr:uid="{00000000-0005-0000-0000-00003FAF0000}"/>
    <cellStyle name="Normal 11 4 2 2 2 4 4 2 2 2" xfId="45444" xr:uid="{00000000-0005-0000-0000-000040AF0000}"/>
    <cellStyle name="Normal 11 4 2 2 2 4 4 2 2 2 2" xfId="45445" xr:uid="{00000000-0005-0000-0000-000041AF0000}"/>
    <cellStyle name="Normal 11 4 2 2 2 4 4 2 2 3" xfId="45446" xr:uid="{00000000-0005-0000-0000-000042AF0000}"/>
    <cellStyle name="Normal 11 4 2 2 2 4 4 2 3" xfId="45447" xr:uid="{00000000-0005-0000-0000-000043AF0000}"/>
    <cellStyle name="Normal 11 4 2 2 2 4 4 2 3 2" xfId="45448" xr:uid="{00000000-0005-0000-0000-000044AF0000}"/>
    <cellStyle name="Normal 11 4 2 2 2 4 4 2 4" xfId="45449" xr:uid="{00000000-0005-0000-0000-000045AF0000}"/>
    <cellStyle name="Normal 11 4 2 2 2 4 4 3" xfId="45450" xr:uid="{00000000-0005-0000-0000-000046AF0000}"/>
    <cellStyle name="Normal 11 4 2 2 2 4 4 3 2" xfId="45451" xr:uid="{00000000-0005-0000-0000-000047AF0000}"/>
    <cellStyle name="Normal 11 4 2 2 2 4 4 3 2 2" xfId="45452" xr:uid="{00000000-0005-0000-0000-000048AF0000}"/>
    <cellStyle name="Normal 11 4 2 2 2 4 4 3 3" xfId="45453" xr:uid="{00000000-0005-0000-0000-000049AF0000}"/>
    <cellStyle name="Normal 11 4 2 2 2 4 4 4" xfId="45454" xr:uid="{00000000-0005-0000-0000-00004AAF0000}"/>
    <cellStyle name="Normal 11 4 2 2 2 4 4 4 2" xfId="45455" xr:uid="{00000000-0005-0000-0000-00004BAF0000}"/>
    <cellStyle name="Normal 11 4 2 2 2 4 4 5" xfId="45456" xr:uid="{00000000-0005-0000-0000-00004CAF0000}"/>
    <cellStyle name="Normal 11 4 2 2 2 4 5" xfId="45457" xr:uid="{00000000-0005-0000-0000-00004DAF0000}"/>
    <cellStyle name="Normal 11 4 2 2 2 4 5 2" xfId="45458" xr:uid="{00000000-0005-0000-0000-00004EAF0000}"/>
    <cellStyle name="Normal 11 4 2 2 2 4 5 2 2" xfId="45459" xr:uid="{00000000-0005-0000-0000-00004FAF0000}"/>
    <cellStyle name="Normal 11 4 2 2 2 4 5 2 2 2" xfId="45460" xr:uid="{00000000-0005-0000-0000-000050AF0000}"/>
    <cellStyle name="Normal 11 4 2 2 2 4 5 2 3" xfId="45461" xr:uid="{00000000-0005-0000-0000-000051AF0000}"/>
    <cellStyle name="Normal 11 4 2 2 2 4 5 3" xfId="45462" xr:uid="{00000000-0005-0000-0000-000052AF0000}"/>
    <cellStyle name="Normal 11 4 2 2 2 4 5 3 2" xfId="45463" xr:uid="{00000000-0005-0000-0000-000053AF0000}"/>
    <cellStyle name="Normal 11 4 2 2 2 4 5 4" xfId="45464" xr:uid="{00000000-0005-0000-0000-000054AF0000}"/>
    <cellStyle name="Normal 11 4 2 2 2 4 6" xfId="45465" xr:uid="{00000000-0005-0000-0000-000055AF0000}"/>
    <cellStyle name="Normal 11 4 2 2 2 4 6 2" xfId="45466" xr:uid="{00000000-0005-0000-0000-000056AF0000}"/>
    <cellStyle name="Normal 11 4 2 2 2 4 6 2 2" xfId="45467" xr:uid="{00000000-0005-0000-0000-000057AF0000}"/>
    <cellStyle name="Normal 11 4 2 2 2 4 6 2 2 2" xfId="45468" xr:uid="{00000000-0005-0000-0000-000058AF0000}"/>
    <cellStyle name="Normal 11 4 2 2 2 4 6 2 3" xfId="45469" xr:uid="{00000000-0005-0000-0000-000059AF0000}"/>
    <cellStyle name="Normal 11 4 2 2 2 4 6 3" xfId="45470" xr:uid="{00000000-0005-0000-0000-00005AAF0000}"/>
    <cellStyle name="Normal 11 4 2 2 2 4 6 3 2" xfId="45471" xr:uid="{00000000-0005-0000-0000-00005BAF0000}"/>
    <cellStyle name="Normal 11 4 2 2 2 4 6 4" xfId="45472" xr:uid="{00000000-0005-0000-0000-00005CAF0000}"/>
    <cellStyle name="Normal 11 4 2 2 2 4 7" xfId="45473" xr:uid="{00000000-0005-0000-0000-00005DAF0000}"/>
    <cellStyle name="Normal 11 4 2 2 2 4 7 2" xfId="45474" xr:uid="{00000000-0005-0000-0000-00005EAF0000}"/>
    <cellStyle name="Normal 11 4 2 2 2 4 7 2 2" xfId="45475" xr:uid="{00000000-0005-0000-0000-00005FAF0000}"/>
    <cellStyle name="Normal 11 4 2 2 2 4 7 2 2 2" xfId="45476" xr:uid="{00000000-0005-0000-0000-000060AF0000}"/>
    <cellStyle name="Normal 11 4 2 2 2 4 7 2 3" xfId="45477" xr:uid="{00000000-0005-0000-0000-000061AF0000}"/>
    <cellStyle name="Normal 11 4 2 2 2 4 7 3" xfId="45478" xr:uid="{00000000-0005-0000-0000-000062AF0000}"/>
    <cellStyle name="Normal 11 4 2 2 2 4 7 3 2" xfId="45479" xr:uid="{00000000-0005-0000-0000-000063AF0000}"/>
    <cellStyle name="Normal 11 4 2 2 2 4 7 4" xfId="45480" xr:uid="{00000000-0005-0000-0000-000064AF0000}"/>
    <cellStyle name="Normal 11 4 2 2 2 4 8" xfId="45481" xr:uid="{00000000-0005-0000-0000-000065AF0000}"/>
    <cellStyle name="Normal 11 4 2 2 2 4 8 2" xfId="45482" xr:uid="{00000000-0005-0000-0000-000066AF0000}"/>
    <cellStyle name="Normal 11 4 2 2 2 4 8 2 2" xfId="45483" xr:uid="{00000000-0005-0000-0000-000067AF0000}"/>
    <cellStyle name="Normal 11 4 2 2 2 4 8 3" xfId="45484" xr:uid="{00000000-0005-0000-0000-000068AF0000}"/>
    <cellStyle name="Normal 11 4 2 2 2 4 9" xfId="45485" xr:uid="{00000000-0005-0000-0000-000069AF0000}"/>
    <cellStyle name="Normal 11 4 2 2 2 4 9 2" xfId="45486" xr:uid="{00000000-0005-0000-0000-00006AAF0000}"/>
    <cellStyle name="Normal 11 4 2 2 2 5" xfId="1478" xr:uid="{00000000-0005-0000-0000-00006BAF0000}"/>
    <cellStyle name="Normal 11 4 2 2 2 5 2" xfId="45488" xr:uid="{00000000-0005-0000-0000-00006CAF0000}"/>
    <cellStyle name="Normal 11 4 2 2 2 5 2 2" xfId="45489" xr:uid="{00000000-0005-0000-0000-00006DAF0000}"/>
    <cellStyle name="Normal 11 4 2 2 2 5 2 2 2" xfId="45490" xr:uid="{00000000-0005-0000-0000-00006EAF0000}"/>
    <cellStyle name="Normal 11 4 2 2 2 5 2 2 2 2" xfId="45491" xr:uid="{00000000-0005-0000-0000-00006FAF0000}"/>
    <cellStyle name="Normal 11 4 2 2 2 5 2 2 3" xfId="45492" xr:uid="{00000000-0005-0000-0000-000070AF0000}"/>
    <cellStyle name="Normal 11 4 2 2 2 5 2 3" xfId="45493" xr:uid="{00000000-0005-0000-0000-000071AF0000}"/>
    <cellStyle name="Normal 11 4 2 2 2 5 2 3 2" xfId="45494" xr:uid="{00000000-0005-0000-0000-000072AF0000}"/>
    <cellStyle name="Normal 11 4 2 2 2 5 2 4" xfId="45495" xr:uid="{00000000-0005-0000-0000-000073AF0000}"/>
    <cellStyle name="Normal 11 4 2 2 2 5 3" xfId="45496" xr:uid="{00000000-0005-0000-0000-000074AF0000}"/>
    <cellStyle name="Normal 11 4 2 2 2 5 3 2" xfId="45497" xr:uid="{00000000-0005-0000-0000-000075AF0000}"/>
    <cellStyle name="Normal 11 4 2 2 2 5 3 2 2" xfId="45498" xr:uid="{00000000-0005-0000-0000-000076AF0000}"/>
    <cellStyle name="Normal 11 4 2 2 2 5 3 2 2 2" xfId="45499" xr:uid="{00000000-0005-0000-0000-000077AF0000}"/>
    <cellStyle name="Normal 11 4 2 2 2 5 3 2 3" xfId="45500" xr:uid="{00000000-0005-0000-0000-000078AF0000}"/>
    <cellStyle name="Normal 11 4 2 2 2 5 3 3" xfId="45501" xr:uid="{00000000-0005-0000-0000-000079AF0000}"/>
    <cellStyle name="Normal 11 4 2 2 2 5 3 3 2" xfId="45502" xr:uid="{00000000-0005-0000-0000-00007AAF0000}"/>
    <cellStyle name="Normal 11 4 2 2 2 5 3 4" xfId="45503" xr:uid="{00000000-0005-0000-0000-00007BAF0000}"/>
    <cellStyle name="Normal 11 4 2 2 2 5 4" xfId="45504" xr:uid="{00000000-0005-0000-0000-00007CAF0000}"/>
    <cellStyle name="Normal 11 4 2 2 2 5 4 2" xfId="45505" xr:uid="{00000000-0005-0000-0000-00007DAF0000}"/>
    <cellStyle name="Normal 11 4 2 2 2 5 4 2 2" xfId="45506" xr:uid="{00000000-0005-0000-0000-00007EAF0000}"/>
    <cellStyle name="Normal 11 4 2 2 2 5 4 3" xfId="45507" xr:uid="{00000000-0005-0000-0000-00007FAF0000}"/>
    <cellStyle name="Normal 11 4 2 2 2 5 5" xfId="45508" xr:uid="{00000000-0005-0000-0000-000080AF0000}"/>
    <cellStyle name="Normal 11 4 2 2 2 5 5 2" xfId="45509" xr:uid="{00000000-0005-0000-0000-000081AF0000}"/>
    <cellStyle name="Normal 11 4 2 2 2 5 6" xfId="45510" xr:uid="{00000000-0005-0000-0000-000082AF0000}"/>
    <cellStyle name="Normal 11 4 2 2 2 5 7" xfId="45487" xr:uid="{00000000-0005-0000-0000-000083AF0000}"/>
    <cellStyle name="Normal 11 4 2 2 2 6" xfId="45511" xr:uid="{00000000-0005-0000-0000-000084AF0000}"/>
    <cellStyle name="Normal 11 4 2 2 2 6 2" xfId="45512" xr:uid="{00000000-0005-0000-0000-000085AF0000}"/>
    <cellStyle name="Normal 11 4 2 2 2 6 2 2" xfId="45513" xr:uid="{00000000-0005-0000-0000-000086AF0000}"/>
    <cellStyle name="Normal 11 4 2 2 2 6 2 2 2" xfId="45514" xr:uid="{00000000-0005-0000-0000-000087AF0000}"/>
    <cellStyle name="Normal 11 4 2 2 2 6 2 2 2 2" xfId="45515" xr:uid="{00000000-0005-0000-0000-000088AF0000}"/>
    <cellStyle name="Normal 11 4 2 2 2 6 2 2 3" xfId="45516" xr:uid="{00000000-0005-0000-0000-000089AF0000}"/>
    <cellStyle name="Normal 11 4 2 2 2 6 2 3" xfId="45517" xr:uid="{00000000-0005-0000-0000-00008AAF0000}"/>
    <cellStyle name="Normal 11 4 2 2 2 6 2 3 2" xfId="45518" xr:uid="{00000000-0005-0000-0000-00008BAF0000}"/>
    <cellStyle name="Normal 11 4 2 2 2 6 2 4" xfId="45519" xr:uid="{00000000-0005-0000-0000-00008CAF0000}"/>
    <cellStyle name="Normal 11 4 2 2 2 6 3" xfId="45520" xr:uid="{00000000-0005-0000-0000-00008DAF0000}"/>
    <cellStyle name="Normal 11 4 2 2 2 6 3 2" xfId="45521" xr:uid="{00000000-0005-0000-0000-00008EAF0000}"/>
    <cellStyle name="Normal 11 4 2 2 2 6 3 2 2" xfId="45522" xr:uid="{00000000-0005-0000-0000-00008FAF0000}"/>
    <cellStyle name="Normal 11 4 2 2 2 6 3 3" xfId="45523" xr:uid="{00000000-0005-0000-0000-000090AF0000}"/>
    <cellStyle name="Normal 11 4 2 2 2 6 4" xfId="45524" xr:uid="{00000000-0005-0000-0000-000091AF0000}"/>
    <cellStyle name="Normal 11 4 2 2 2 6 4 2" xfId="45525" xr:uid="{00000000-0005-0000-0000-000092AF0000}"/>
    <cellStyle name="Normal 11 4 2 2 2 6 5" xfId="45526" xr:uid="{00000000-0005-0000-0000-000093AF0000}"/>
    <cellStyle name="Normal 11 4 2 2 2 7" xfId="45527" xr:uid="{00000000-0005-0000-0000-000094AF0000}"/>
    <cellStyle name="Normal 11 4 2 2 2 7 2" xfId="45528" xr:uid="{00000000-0005-0000-0000-000095AF0000}"/>
    <cellStyle name="Normal 11 4 2 2 2 7 2 2" xfId="45529" xr:uid="{00000000-0005-0000-0000-000096AF0000}"/>
    <cellStyle name="Normal 11 4 2 2 2 7 2 2 2" xfId="45530" xr:uid="{00000000-0005-0000-0000-000097AF0000}"/>
    <cellStyle name="Normal 11 4 2 2 2 7 2 2 2 2" xfId="45531" xr:uid="{00000000-0005-0000-0000-000098AF0000}"/>
    <cellStyle name="Normal 11 4 2 2 2 7 2 2 3" xfId="45532" xr:uid="{00000000-0005-0000-0000-000099AF0000}"/>
    <cellStyle name="Normal 11 4 2 2 2 7 2 3" xfId="45533" xr:uid="{00000000-0005-0000-0000-00009AAF0000}"/>
    <cellStyle name="Normal 11 4 2 2 2 7 2 3 2" xfId="45534" xr:uid="{00000000-0005-0000-0000-00009BAF0000}"/>
    <cellStyle name="Normal 11 4 2 2 2 7 2 4" xfId="45535" xr:uid="{00000000-0005-0000-0000-00009CAF0000}"/>
    <cellStyle name="Normal 11 4 2 2 2 7 3" xfId="45536" xr:uid="{00000000-0005-0000-0000-00009DAF0000}"/>
    <cellStyle name="Normal 11 4 2 2 2 7 3 2" xfId="45537" xr:uid="{00000000-0005-0000-0000-00009EAF0000}"/>
    <cellStyle name="Normal 11 4 2 2 2 7 3 2 2" xfId="45538" xr:uid="{00000000-0005-0000-0000-00009FAF0000}"/>
    <cellStyle name="Normal 11 4 2 2 2 7 3 3" xfId="45539" xr:uid="{00000000-0005-0000-0000-0000A0AF0000}"/>
    <cellStyle name="Normal 11 4 2 2 2 7 4" xfId="45540" xr:uid="{00000000-0005-0000-0000-0000A1AF0000}"/>
    <cellStyle name="Normal 11 4 2 2 2 7 4 2" xfId="45541" xr:uid="{00000000-0005-0000-0000-0000A2AF0000}"/>
    <cellStyle name="Normal 11 4 2 2 2 7 5" xfId="45542" xr:uid="{00000000-0005-0000-0000-0000A3AF0000}"/>
    <cellStyle name="Normal 11 4 2 2 2 8" xfId="45543" xr:uid="{00000000-0005-0000-0000-0000A4AF0000}"/>
    <cellStyle name="Normal 11 4 2 2 2 8 2" xfId="45544" xr:uid="{00000000-0005-0000-0000-0000A5AF0000}"/>
    <cellStyle name="Normal 11 4 2 2 2 8 2 2" xfId="45545" xr:uid="{00000000-0005-0000-0000-0000A6AF0000}"/>
    <cellStyle name="Normal 11 4 2 2 2 8 2 2 2" xfId="45546" xr:uid="{00000000-0005-0000-0000-0000A7AF0000}"/>
    <cellStyle name="Normal 11 4 2 2 2 8 2 3" xfId="45547" xr:uid="{00000000-0005-0000-0000-0000A8AF0000}"/>
    <cellStyle name="Normal 11 4 2 2 2 8 3" xfId="45548" xr:uid="{00000000-0005-0000-0000-0000A9AF0000}"/>
    <cellStyle name="Normal 11 4 2 2 2 8 3 2" xfId="45549" xr:uid="{00000000-0005-0000-0000-0000AAAF0000}"/>
    <cellStyle name="Normal 11 4 2 2 2 8 4" xfId="45550" xr:uid="{00000000-0005-0000-0000-0000ABAF0000}"/>
    <cellStyle name="Normal 11 4 2 2 2 9" xfId="45551" xr:uid="{00000000-0005-0000-0000-0000ACAF0000}"/>
    <cellStyle name="Normal 11 4 2 2 2 9 2" xfId="45552" xr:uid="{00000000-0005-0000-0000-0000ADAF0000}"/>
    <cellStyle name="Normal 11 4 2 2 2 9 2 2" xfId="45553" xr:uid="{00000000-0005-0000-0000-0000AEAF0000}"/>
    <cellStyle name="Normal 11 4 2 2 2 9 2 2 2" xfId="45554" xr:uid="{00000000-0005-0000-0000-0000AFAF0000}"/>
    <cellStyle name="Normal 11 4 2 2 2 9 2 3" xfId="45555" xr:uid="{00000000-0005-0000-0000-0000B0AF0000}"/>
    <cellStyle name="Normal 11 4 2 2 2 9 3" xfId="45556" xr:uid="{00000000-0005-0000-0000-0000B1AF0000}"/>
    <cellStyle name="Normal 11 4 2 2 2 9 3 2" xfId="45557" xr:uid="{00000000-0005-0000-0000-0000B2AF0000}"/>
    <cellStyle name="Normal 11 4 2 2 2 9 4" xfId="45558" xr:uid="{00000000-0005-0000-0000-0000B3AF0000}"/>
    <cellStyle name="Normal 11 4 2 2 3" xfId="637" xr:uid="{00000000-0005-0000-0000-0000B4AF0000}"/>
    <cellStyle name="Normal 11 4 2 2 3 10" xfId="45560" xr:uid="{00000000-0005-0000-0000-0000B5AF0000}"/>
    <cellStyle name="Normal 11 4 2 2 3 10 2" xfId="45561" xr:uid="{00000000-0005-0000-0000-0000B6AF0000}"/>
    <cellStyle name="Normal 11 4 2 2 3 10 2 2" xfId="45562" xr:uid="{00000000-0005-0000-0000-0000B7AF0000}"/>
    <cellStyle name="Normal 11 4 2 2 3 10 3" xfId="45563" xr:uid="{00000000-0005-0000-0000-0000B8AF0000}"/>
    <cellStyle name="Normal 11 4 2 2 3 11" xfId="45564" xr:uid="{00000000-0005-0000-0000-0000B9AF0000}"/>
    <cellStyle name="Normal 11 4 2 2 3 11 2" xfId="45565" xr:uid="{00000000-0005-0000-0000-0000BAAF0000}"/>
    <cellStyle name="Normal 11 4 2 2 3 11 2 2" xfId="45566" xr:uid="{00000000-0005-0000-0000-0000BBAF0000}"/>
    <cellStyle name="Normal 11 4 2 2 3 11 3" xfId="45567" xr:uid="{00000000-0005-0000-0000-0000BCAF0000}"/>
    <cellStyle name="Normal 11 4 2 2 3 12" xfId="45568" xr:uid="{00000000-0005-0000-0000-0000BDAF0000}"/>
    <cellStyle name="Normal 11 4 2 2 3 12 2" xfId="45569" xr:uid="{00000000-0005-0000-0000-0000BEAF0000}"/>
    <cellStyle name="Normal 11 4 2 2 3 13" xfId="45570" xr:uid="{00000000-0005-0000-0000-0000BFAF0000}"/>
    <cellStyle name="Normal 11 4 2 2 3 14" xfId="45571" xr:uid="{00000000-0005-0000-0000-0000C0AF0000}"/>
    <cellStyle name="Normal 11 4 2 2 3 15" xfId="45559" xr:uid="{00000000-0005-0000-0000-0000C1AF0000}"/>
    <cellStyle name="Normal 11 4 2 2 3 2" xfId="1079" xr:uid="{00000000-0005-0000-0000-0000C2AF0000}"/>
    <cellStyle name="Normal 11 4 2 2 3 2 10" xfId="45573" xr:uid="{00000000-0005-0000-0000-0000C3AF0000}"/>
    <cellStyle name="Normal 11 4 2 2 3 2 11" xfId="45572" xr:uid="{00000000-0005-0000-0000-0000C4AF0000}"/>
    <cellStyle name="Normal 11 4 2 2 3 2 2" xfId="1808" xr:uid="{00000000-0005-0000-0000-0000C5AF0000}"/>
    <cellStyle name="Normal 11 4 2 2 3 2 2 2" xfId="45575" xr:uid="{00000000-0005-0000-0000-0000C6AF0000}"/>
    <cellStyle name="Normal 11 4 2 2 3 2 2 2 2" xfId="45576" xr:uid="{00000000-0005-0000-0000-0000C7AF0000}"/>
    <cellStyle name="Normal 11 4 2 2 3 2 2 2 2 2" xfId="45577" xr:uid="{00000000-0005-0000-0000-0000C8AF0000}"/>
    <cellStyle name="Normal 11 4 2 2 3 2 2 2 2 2 2" xfId="45578" xr:uid="{00000000-0005-0000-0000-0000C9AF0000}"/>
    <cellStyle name="Normal 11 4 2 2 3 2 2 2 2 3" xfId="45579" xr:uid="{00000000-0005-0000-0000-0000CAAF0000}"/>
    <cellStyle name="Normal 11 4 2 2 3 2 2 2 3" xfId="45580" xr:uid="{00000000-0005-0000-0000-0000CBAF0000}"/>
    <cellStyle name="Normal 11 4 2 2 3 2 2 2 3 2" xfId="45581" xr:uid="{00000000-0005-0000-0000-0000CCAF0000}"/>
    <cellStyle name="Normal 11 4 2 2 3 2 2 2 4" xfId="45582" xr:uid="{00000000-0005-0000-0000-0000CDAF0000}"/>
    <cellStyle name="Normal 11 4 2 2 3 2 2 3" xfId="45583" xr:uid="{00000000-0005-0000-0000-0000CEAF0000}"/>
    <cellStyle name="Normal 11 4 2 2 3 2 2 3 2" xfId="45584" xr:uid="{00000000-0005-0000-0000-0000CFAF0000}"/>
    <cellStyle name="Normal 11 4 2 2 3 2 2 3 2 2" xfId="45585" xr:uid="{00000000-0005-0000-0000-0000D0AF0000}"/>
    <cellStyle name="Normal 11 4 2 2 3 2 2 3 2 2 2" xfId="45586" xr:uid="{00000000-0005-0000-0000-0000D1AF0000}"/>
    <cellStyle name="Normal 11 4 2 2 3 2 2 3 2 3" xfId="45587" xr:uid="{00000000-0005-0000-0000-0000D2AF0000}"/>
    <cellStyle name="Normal 11 4 2 2 3 2 2 3 3" xfId="45588" xr:uid="{00000000-0005-0000-0000-0000D3AF0000}"/>
    <cellStyle name="Normal 11 4 2 2 3 2 2 3 3 2" xfId="45589" xr:uid="{00000000-0005-0000-0000-0000D4AF0000}"/>
    <cellStyle name="Normal 11 4 2 2 3 2 2 3 4" xfId="45590" xr:uid="{00000000-0005-0000-0000-0000D5AF0000}"/>
    <cellStyle name="Normal 11 4 2 2 3 2 2 4" xfId="45591" xr:uid="{00000000-0005-0000-0000-0000D6AF0000}"/>
    <cellStyle name="Normal 11 4 2 2 3 2 2 4 2" xfId="45592" xr:uid="{00000000-0005-0000-0000-0000D7AF0000}"/>
    <cellStyle name="Normal 11 4 2 2 3 2 2 4 2 2" xfId="45593" xr:uid="{00000000-0005-0000-0000-0000D8AF0000}"/>
    <cellStyle name="Normal 11 4 2 2 3 2 2 4 3" xfId="45594" xr:uid="{00000000-0005-0000-0000-0000D9AF0000}"/>
    <cellStyle name="Normal 11 4 2 2 3 2 2 5" xfId="45595" xr:uid="{00000000-0005-0000-0000-0000DAAF0000}"/>
    <cellStyle name="Normal 11 4 2 2 3 2 2 5 2" xfId="45596" xr:uid="{00000000-0005-0000-0000-0000DBAF0000}"/>
    <cellStyle name="Normal 11 4 2 2 3 2 2 6" xfId="45597" xr:uid="{00000000-0005-0000-0000-0000DCAF0000}"/>
    <cellStyle name="Normal 11 4 2 2 3 2 2 7" xfId="45574" xr:uid="{00000000-0005-0000-0000-0000DDAF0000}"/>
    <cellStyle name="Normal 11 4 2 2 3 2 3" xfId="45598" xr:uid="{00000000-0005-0000-0000-0000DEAF0000}"/>
    <cellStyle name="Normal 11 4 2 2 3 2 3 2" xfId="45599" xr:uid="{00000000-0005-0000-0000-0000DFAF0000}"/>
    <cellStyle name="Normal 11 4 2 2 3 2 3 2 2" xfId="45600" xr:uid="{00000000-0005-0000-0000-0000E0AF0000}"/>
    <cellStyle name="Normal 11 4 2 2 3 2 3 2 2 2" xfId="45601" xr:uid="{00000000-0005-0000-0000-0000E1AF0000}"/>
    <cellStyle name="Normal 11 4 2 2 3 2 3 2 2 2 2" xfId="45602" xr:uid="{00000000-0005-0000-0000-0000E2AF0000}"/>
    <cellStyle name="Normal 11 4 2 2 3 2 3 2 2 3" xfId="45603" xr:uid="{00000000-0005-0000-0000-0000E3AF0000}"/>
    <cellStyle name="Normal 11 4 2 2 3 2 3 2 3" xfId="45604" xr:uid="{00000000-0005-0000-0000-0000E4AF0000}"/>
    <cellStyle name="Normal 11 4 2 2 3 2 3 2 3 2" xfId="45605" xr:uid="{00000000-0005-0000-0000-0000E5AF0000}"/>
    <cellStyle name="Normal 11 4 2 2 3 2 3 2 4" xfId="45606" xr:uid="{00000000-0005-0000-0000-0000E6AF0000}"/>
    <cellStyle name="Normal 11 4 2 2 3 2 3 3" xfId="45607" xr:uid="{00000000-0005-0000-0000-0000E7AF0000}"/>
    <cellStyle name="Normal 11 4 2 2 3 2 3 3 2" xfId="45608" xr:uid="{00000000-0005-0000-0000-0000E8AF0000}"/>
    <cellStyle name="Normal 11 4 2 2 3 2 3 3 2 2" xfId="45609" xr:uid="{00000000-0005-0000-0000-0000E9AF0000}"/>
    <cellStyle name="Normal 11 4 2 2 3 2 3 3 3" xfId="45610" xr:uid="{00000000-0005-0000-0000-0000EAAF0000}"/>
    <cellStyle name="Normal 11 4 2 2 3 2 3 4" xfId="45611" xr:uid="{00000000-0005-0000-0000-0000EBAF0000}"/>
    <cellStyle name="Normal 11 4 2 2 3 2 3 4 2" xfId="45612" xr:uid="{00000000-0005-0000-0000-0000ECAF0000}"/>
    <cellStyle name="Normal 11 4 2 2 3 2 3 5" xfId="45613" xr:uid="{00000000-0005-0000-0000-0000EDAF0000}"/>
    <cellStyle name="Normal 11 4 2 2 3 2 4" xfId="45614" xr:uid="{00000000-0005-0000-0000-0000EEAF0000}"/>
    <cellStyle name="Normal 11 4 2 2 3 2 4 2" xfId="45615" xr:uid="{00000000-0005-0000-0000-0000EFAF0000}"/>
    <cellStyle name="Normal 11 4 2 2 3 2 4 2 2" xfId="45616" xr:uid="{00000000-0005-0000-0000-0000F0AF0000}"/>
    <cellStyle name="Normal 11 4 2 2 3 2 4 2 2 2" xfId="45617" xr:uid="{00000000-0005-0000-0000-0000F1AF0000}"/>
    <cellStyle name="Normal 11 4 2 2 3 2 4 2 2 2 2" xfId="45618" xr:uid="{00000000-0005-0000-0000-0000F2AF0000}"/>
    <cellStyle name="Normal 11 4 2 2 3 2 4 2 2 3" xfId="45619" xr:uid="{00000000-0005-0000-0000-0000F3AF0000}"/>
    <cellStyle name="Normal 11 4 2 2 3 2 4 2 3" xfId="45620" xr:uid="{00000000-0005-0000-0000-0000F4AF0000}"/>
    <cellStyle name="Normal 11 4 2 2 3 2 4 2 3 2" xfId="45621" xr:uid="{00000000-0005-0000-0000-0000F5AF0000}"/>
    <cellStyle name="Normal 11 4 2 2 3 2 4 2 4" xfId="45622" xr:uid="{00000000-0005-0000-0000-0000F6AF0000}"/>
    <cellStyle name="Normal 11 4 2 2 3 2 4 3" xfId="45623" xr:uid="{00000000-0005-0000-0000-0000F7AF0000}"/>
    <cellStyle name="Normal 11 4 2 2 3 2 4 3 2" xfId="45624" xr:uid="{00000000-0005-0000-0000-0000F8AF0000}"/>
    <cellStyle name="Normal 11 4 2 2 3 2 4 3 2 2" xfId="45625" xr:uid="{00000000-0005-0000-0000-0000F9AF0000}"/>
    <cellStyle name="Normal 11 4 2 2 3 2 4 3 3" xfId="45626" xr:uid="{00000000-0005-0000-0000-0000FAAF0000}"/>
    <cellStyle name="Normal 11 4 2 2 3 2 4 4" xfId="45627" xr:uid="{00000000-0005-0000-0000-0000FBAF0000}"/>
    <cellStyle name="Normal 11 4 2 2 3 2 4 4 2" xfId="45628" xr:uid="{00000000-0005-0000-0000-0000FCAF0000}"/>
    <cellStyle name="Normal 11 4 2 2 3 2 4 5" xfId="45629" xr:uid="{00000000-0005-0000-0000-0000FDAF0000}"/>
    <cellStyle name="Normal 11 4 2 2 3 2 5" xfId="45630" xr:uid="{00000000-0005-0000-0000-0000FEAF0000}"/>
    <cellStyle name="Normal 11 4 2 2 3 2 5 2" xfId="45631" xr:uid="{00000000-0005-0000-0000-0000FFAF0000}"/>
    <cellStyle name="Normal 11 4 2 2 3 2 5 2 2" xfId="45632" xr:uid="{00000000-0005-0000-0000-000000B00000}"/>
    <cellStyle name="Normal 11 4 2 2 3 2 5 2 2 2" xfId="45633" xr:uid="{00000000-0005-0000-0000-000001B00000}"/>
    <cellStyle name="Normal 11 4 2 2 3 2 5 2 3" xfId="45634" xr:uid="{00000000-0005-0000-0000-000002B00000}"/>
    <cellStyle name="Normal 11 4 2 2 3 2 5 3" xfId="45635" xr:uid="{00000000-0005-0000-0000-000003B00000}"/>
    <cellStyle name="Normal 11 4 2 2 3 2 5 3 2" xfId="45636" xr:uid="{00000000-0005-0000-0000-000004B00000}"/>
    <cellStyle name="Normal 11 4 2 2 3 2 5 4" xfId="45637" xr:uid="{00000000-0005-0000-0000-000005B00000}"/>
    <cellStyle name="Normal 11 4 2 2 3 2 6" xfId="45638" xr:uid="{00000000-0005-0000-0000-000006B00000}"/>
    <cellStyle name="Normal 11 4 2 2 3 2 6 2" xfId="45639" xr:uid="{00000000-0005-0000-0000-000007B00000}"/>
    <cellStyle name="Normal 11 4 2 2 3 2 6 2 2" xfId="45640" xr:uid="{00000000-0005-0000-0000-000008B00000}"/>
    <cellStyle name="Normal 11 4 2 2 3 2 6 2 2 2" xfId="45641" xr:uid="{00000000-0005-0000-0000-000009B00000}"/>
    <cellStyle name="Normal 11 4 2 2 3 2 6 2 3" xfId="45642" xr:uid="{00000000-0005-0000-0000-00000AB00000}"/>
    <cellStyle name="Normal 11 4 2 2 3 2 6 3" xfId="45643" xr:uid="{00000000-0005-0000-0000-00000BB00000}"/>
    <cellStyle name="Normal 11 4 2 2 3 2 6 3 2" xfId="45644" xr:uid="{00000000-0005-0000-0000-00000CB00000}"/>
    <cellStyle name="Normal 11 4 2 2 3 2 6 4" xfId="45645" xr:uid="{00000000-0005-0000-0000-00000DB00000}"/>
    <cellStyle name="Normal 11 4 2 2 3 2 7" xfId="45646" xr:uid="{00000000-0005-0000-0000-00000EB00000}"/>
    <cellStyle name="Normal 11 4 2 2 3 2 7 2" xfId="45647" xr:uid="{00000000-0005-0000-0000-00000FB00000}"/>
    <cellStyle name="Normal 11 4 2 2 3 2 7 2 2" xfId="45648" xr:uid="{00000000-0005-0000-0000-000010B00000}"/>
    <cellStyle name="Normal 11 4 2 2 3 2 7 2 2 2" xfId="45649" xr:uid="{00000000-0005-0000-0000-000011B00000}"/>
    <cellStyle name="Normal 11 4 2 2 3 2 7 2 3" xfId="45650" xr:uid="{00000000-0005-0000-0000-000012B00000}"/>
    <cellStyle name="Normal 11 4 2 2 3 2 7 3" xfId="45651" xr:uid="{00000000-0005-0000-0000-000013B00000}"/>
    <cellStyle name="Normal 11 4 2 2 3 2 7 3 2" xfId="45652" xr:uid="{00000000-0005-0000-0000-000014B00000}"/>
    <cellStyle name="Normal 11 4 2 2 3 2 7 4" xfId="45653" xr:uid="{00000000-0005-0000-0000-000015B00000}"/>
    <cellStyle name="Normal 11 4 2 2 3 2 8" xfId="45654" xr:uid="{00000000-0005-0000-0000-000016B00000}"/>
    <cellStyle name="Normal 11 4 2 2 3 2 8 2" xfId="45655" xr:uid="{00000000-0005-0000-0000-000017B00000}"/>
    <cellStyle name="Normal 11 4 2 2 3 2 8 2 2" xfId="45656" xr:uid="{00000000-0005-0000-0000-000018B00000}"/>
    <cellStyle name="Normal 11 4 2 2 3 2 8 3" xfId="45657" xr:uid="{00000000-0005-0000-0000-000019B00000}"/>
    <cellStyle name="Normal 11 4 2 2 3 2 9" xfId="45658" xr:uid="{00000000-0005-0000-0000-00001AB00000}"/>
    <cellStyle name="Normal 11 4 2 2 3 2 9 2" xfId="45659" xr:uid="{00000000-0005-0000-0000-00001BB00000}"/>
    <cellStyle name="Normal 11 4 2 2 3 3" xfId="1481" xr:uid="{00000000-0005-0000-0000-00001CB00000}"/>
    <cellStyle name="Normal 11 4 2 2 3 3 2" xfId="45661" xr:uid="{00000000-0005-0000-0000-00001DB00000}"/>
    <cellStyle name="Normal 11 4 2 2 3 3 2 2" xfId="45662" xr:uid="{00000000-0005-0000-0000-00001EB00000}"/>
    <cellStyle name="Normal 11 4 2 2 3 3 2 2 2" xfId="45663" xr:uid="{00000000-0005-0000-0000-00001FB00000}"/>
    <cellStyle name="Normal 11 4 2 2 3 3 2 2 2 2" xfId="45664" xr:uid="{00000000-0005-0000-0000-000020B00000}"/>
    <cellStyle name="Normal 11 4 2 2 3 3 2 2 3" xfId="45665" xr:uid="{00000000-0005-0000-0000-000021B00000}"/>
    <cellStyle name="Normal 11 4 2 2 3 3 2 3" xfId="45666" xr:uid="{00000000-0005-0000-0000-000022B00000}"/>
    <cellStyle name="Normal 11 4 2 2 3 3 2 3 2" xfId="45667" xr:uid="{00000000-0005-0000-0000-000023B00000}"/>
    <cellStyle name="Normal 11 4 2 2 3 3 2 4" xfId="45668" xr:uid="{00000000-0005-0000-0000-000024B00000}"/>
    <cellStyle name="Normal 11 4 2 2 3 3 3" xfId="45669" xr:uid="{00000000-0005-0000-0000-000025B00000}"/>
    <cellStyle name="Normal 11 4 2 2 3 3 3 2" xfId="45670" xr:uid="{00000000-0005-0000-0000-000026B00000}"/>
    <cellStyle name="Normal 11 4 2 2 3 3 3 2 2" xfId="45671" xr:uid="{00000000-0005-0000-0000-000027B00000}"/>
    <cellStyle name="Normal 11 4 2 2 3 3 3 2 2 2" xfId="45672" xr:uid="{00000000-0005-0000-0000-000028B00000}"/>
    <cellStyle name="Normal 11 4 2 2 3 3 3 2 3" xfId="45673" xr:uid="{00000000-0005-0000-0000-000029B00000}"/>
    <cellStyle name="Normal 11 4 2 2 3 3 3 3" xfId="45674" xr:uid="{00000000-0005-0000-0000-00002AB00000}"/>
    <cellStyle name="Normal 11 4 2 2 3 3 3 3 2" xfId="45675" xr:uid="{00000000-0005-0000-0000-00002BB00000}"/>
    <cellStyle name="Normal 11 4 2 2 3 3 3 4" xfId="45676" xr:uid="{00000000-0005-0000-0000-00002CB00000}"/>
    <cellStyle name="Normal 11 4 2 2 3 3 4" xfId="45677" xr:uid="{00000000-0005-0000-0000-00002DB00000}"/>
    <cellStyle name="Normal 11 4 2 2 3 3 4 2" xfId="45678" xr:uid="{00000000-0005-0000-0000-00002EB00000}"/>
    <cellStyle name="Normal 11 4 2 2 3 3 4 2 2" xfId="45679" xr:uid="{00000000-0005-0000-0000-00002FB00000}"/>
    <cellStyle name="Normal 11 4 2 2 3 3 4 3" xfId="45680" xr:uid="{00000000-0005-0000-0000-000030B00000}"/>
    <cellStyle name="Normal 11 4 2 2 3 3 5" xfId="45681" xr:uid="{00000000-0005-0000-0000-000031B00000}"/>
    <cellStyle name="Normal 11 4 2 2 3 3 5 2" xfId="45682" xr:uid="{00000000-0005-0000-0000-000032B00000}"/>
    <cellStyle name="Normal 11 4 2 2 3 3 6" xfId="45683" xr:uid="{00000000-0005-0000-0000-000033B00000}"/>
    <cellStyle name="Normal 11 4 2 2 3 3 7" xfId="45660" xr:uid="{00000000-0005-0000-0000-000034B00000}"/>
    <cellStyle name="Normal 11 4 2 2 3 4" xfId="45684" xr:uid="{00000000-0005-0000-0000-000035B00000}"/>
    <cellStyle name="Normal 11 4 2 2 3 4 2" xfId="45685" xr:uid="{00000000-0005-0000-0000-000036B00000}"/>
    <cellStyle name="Normal 11 4 2 2 3 4 2 2" xfId="45686" xr:uid="{00000000-0005-0000-0000-000037B00000}"/>
    <cellStyle name="Normal 11 4 2 2 3 4 2 2 2" xfId="45687" xr:uid="{00000000-0005-0000-0000-000038B00000}"/>
    <cellStyle name="Normal 11 4 2 2 3 4 2 2 2 2" xfId="45688" xr:uid="{00000000-0005-0000-0000-000039B00000}"/>
    <cellStyle name="Normal 11 4 2 2 3 4 2 2 3" xfId="45689" xr:uid="{00000000-0005-0000-0000-00003AB00000}"/>
    <cellStyle name="Normal 11 4 2 2 3 4 2 3" xfId="45690" xr:uid="{00000000-0005-0000-0000-00003BB00000}"/>
    <cellStyle name="Normal 11 4 2 2 3 4 2 3 2" xfId="45691" xr:uid="{00000000-0005-0000-0000-00003CB00000}"/>
    <cellStyle name="Normal 11 4 2 2 3 4 2 4" xfId="45692" xr:uid="{00000000-0005-0000-0000-00003DB00000}"/>
    <cellStyle name="Normal 11 4 2 2 3 4 3" xfId="45693" xr:uid="{00000000-0005-0000-0000-00003EB00000}"/>
    <cellStyle name="Normal 11 4 2 2 3 4 3 2" xfId="45694" xr:uid="{00000000-0005-0000-0000-00003FB00000}"/>
    <cellStyle name="Normal 11 4 2 2 3 4 3 2 2" xfId="45695" xr:uid="{00000000-0005-0000-0000-000040B00000}"/>
    <cellStyle name="Normal 11 4 2 2 3 4 3 3" xfId="45696" xr:uid="{00000000-0005-0000-0000-000041B00000}"/>
    <cellStyle name="Normal 11 4 2 2 3 4 4" xfId="45697" xr:uid="{00000000-0005-0000-0000-000042B00000}"/>
    <cellStyle name="Normal 11 4 2 2 3 4 4 2" xfId="45698" xr:uid="{00000000-0005-0000-0000-000043B00000}"/>
    <cellStyle name="Normal 11 4 2 2 3 4 5" xfId="45699" xr:uid="{00000000-0005-0000-0000-000044B00000}"/>
    <cellStyle name="Normal 11 4 2 2 3 5" xfId="45700" xr:uid="{00000000-0005-0000-0000-000045B00000}"/>
    <cellStyle name="Normal 11 4 2 2 3 5 2" xfId="45701" xr:uid="{00000000-0005-0000-0000-000046B00000}"/>
    <cellStyle name="Normal 11 4 2 2 3 5 2 2" xfId="45702" xr:uid="{00000000-0005-0000-0000-000047B00000}"/>
    <cellStyle name="Normal 11 4 2 2 3 5 2 2 2" xfId="45703" xr:uid="{00000000-0005-0000-0000-000048B00000}"/>
    <cellStyle name="Normal 11 4 2 2 3 5 2 2 2 2" xfId="45704" xr:uid="{00000000-0005-0000-0000-000049B00000}"/>
    <cellStyle name="Normal 11 4 2 2 3 5 2 2 3" xfId="45705" xr:uid="{00000000-0005-0000-0000-00004AB00000}"/>
    <cellStyle name="Normal 11 4 2 2 3 5 2 3" xfId="45706" xr:uid="{00000000-0005-0000-0000-00004BB00000}"/>
    <cellStyle name="Normal 11 4 2 2 3 5 2 3 2" xfId="45707" xr:uid="{00000000-0005-0000-0000-00004CB00000}"/>
    <cellStyle name="Normal 11 4 2 2 3 5 2 4" xfId="45708" xr:uid="{00000000-0005-0000-0000-00004DB00000}"/>
    <cellStyle name="Normal 11 4 2 2 3 5 3" xfId="45709" xr:uid="{00000000-0005-0000-0000-00004EB00000}"/>
    <cellStyle name="Normal 11 4 2 2 3 5 3 2" xfId="45710" xr:uid="{00000000-0005-0000-0000-00004FB00000}"/>
    <cellStyle name="Normal 11 4 2 2 3 5 3 2 2" xfId="45711" xr:uid="{00000000-0005-0000-0000-000050B00000}"/>
    <cellStyle name="Normal 11 4 2 2 3 5 3 3" xfId="45712" xr:uid="{00000000-0005-0000-0000-000051B00000}"/>
    <cellStyle name="Normal 11 4 2 2 3 5 4" xfId="45713" xr:uid="{00000000-0005-0000-0000-000052B00000}"/>
    <cellStyle name="Normal 11 4 2 2 3 5 4 2" xfId="45714" xr:uid="{00000000-0005-0000-0000-000053B00000}"/>
    <cellStyle name="Normal 11 4 2 2 3 5 5" xfId="45715" xr:uid="{00000000-0005-0000-0000-000054B00000}"/>
    <cellStyle name="Normal 11 4 2 2 3 6" xfId="45716" xr:uid="{00000000-0005-0000-0000-000055B00000}"/>
    <cellStyle name="Normal 11 4 2 2 3 6 2" xfId="45717" xr:uid="{00000000-0005-0000-0000-000056B00000}"/>
    <cellStyle name="Normal 11 4 2 2 3 6 2 2" xfId="45718" xr:uid="{00000000-0005-0000-0000-000057B00000}"/>
    <cellStyle name="Normal 11 4 2 2 3 6 2 2 2" xfId="45719" xr:uid="{00000000-0005-0000-0000-000058B00000}"/>
    <cellStyle name="Normal 11 4 2 2 3 6 2 3" xfId="45720" xr:uid="{00000000-0005-0000-0000-000059B00000}"/>
    <cellStyle name="Normal 11 4 2 2 3 6 3" xfId="45721" xr:uid="{00000000-0005-0000-0000-00005AB00000}"/>
    <cellStyle name="Normal 11 4 2 2 3 6 3 2" xfId="45722" xr:uid="{00000000-0005-0000-0000-00005BB00000}"/>
    <cellStyle name="Normal 11 4 2 2 3 6 4" xfId="45723" xr:uid="{00000000-0005-0000-0000-00005CB00000}"/>
    <cellStyle name="Normal 11 4 2 2 3 7" xfId="45724" xr:uid="{00000000-0005-0000-0000-00005DB00000}"/>
    <cellStyle name="Normal 11 4 2 2 3 7 2" xfId="45725" xr:uid="{00000000-0005-0000-0000-00005EB00000}"/>
    <cellStyle name="Normal 11 4 2 2 3 7 2 2" xfId="45726" xr:uid="{00000000-0005-0000-0000-00005FB00000}"/>
    <cellStyle name="Normal 11 4 2 2 3 7 2 2 2" xfId="45727" xr:uid="{00000000-0005-0000-0000-000060B00000}"/>
    <cellStyle name="Normal 11 4 2 2 3 7 2 3" xfId="45728" xr:uid="{00000000-0005-0000-0000-000061B00000}"/>
    <cellStyle name="Normal 11 4 2 2 3 7 3" xfId="45729" xr:uid="{00000000-0005-0000-0000-000062B00000}"/>
    <cellStyle name="Normal 11 4 2 2 3 7 3 2" xfId="45730" xr:uid="{00000000-0005-0000-0000-000063B00000}"/>
    <cellStyle name="Normal 11 4 2 2 3 7 4" xfId="45731" xr:uid="{00000000-0005-0000-0000-000064B00000}"/>
    <cellStyle name="Normal 11 4 2 2 3 8" xfId="45732" xr:uid="{00000000-0005-0000-0000-000065B00000}"/>
    <cellStyle name="Normal 11 4 2 2 3 8 2" xfId="45733" xr:uid="{00000000-0005-0000-0000-000066B00000}"/>
    <cellStyle name="Normal 11 4 2 2 3 8 2 2" xfId="45734" xr:uid="{00000000-0005-0000-0000-000067B00000}"/>
    <cellStyle name="Normal 11 4 2 2 3 8 2 2 2" xfId="45735" xr:uid="{00000000-0005-0000-0000-000068B00000}"/>
    <cellStyle name="Normal 11 4 2 2 3 8 2 3" xfId="45736" xr:uid="{00000000-0005-0000-0000-000069B00000}"/>
    <cellStyle name="Normal 11 4 2 2 3 8 3" xfId="45737" xr:uid="{00000000-0005-0000-0000-00006AB00000}"/>
    <cellStyle name="Normal 11 4 2 2 3 8 3 2" xfId="45738" xr:uid="{00000000-0005-0000-0000-00006BB00000}"/>
    <cellStyle name="Normal 11 4 2 2 3 8 4" xfId="45739" xr:uid="{00000000-0005-0000-0000-00006CB00000}"/>
    <cellStyle name="Normal 11 4 2 2 3 9" xfId="45740" xr:uid="{00000000-0005-0000-0000-00006DB00000}"/>
    <cellStyle name="Normal 11 4 2 2 3 9 2" xfId="45741" xr:uid="{00000000-0005-0000-0000-00006EB00000}"/>
    <cellStyle name="Normal 11 4 2 2 3 9 2 2" xfId="45742" xr:uid="{00000000-0005-0000-0000-00006FB00000}"/>
    <cellStyle name="Normal 11 4 2 2 3 9 3" xfId="45743" xr:uid="{00000000-0005-0000-0000-000070B00000}"/>
    <cellStyle name="Normal 11 4 2 2 4" xfId="638" xr:uid="{00000000-0005-0000-0000-000071B00000}"/>
    <cellStyle name="Normal 11 4 2 2 4 10" xfId="45745" xr:uid="{00000000-0005-0000-0000-000072B00000}"/>
    <cellStyle name="Normal 11 4 2 2 4 10 2" xfId="45746" xr:uid="{00000000-0005-0000-0000-000073B00000}"/>
    <cellStyle name="Normal 11 4 2 2 4 10 2 2" xfId="45747" xr:uid="{00000000-0005-0000-0000-000074B00000}"/>
    <cellStyle name="Normal 11 4 2 2 4 10 3" xfId="45748" xr:uid="{00000000-0005-0000-0000-000075B00000}"/>
    <cellStyle name="Normal 11 4 2 2 4 11" xfId="45749" xr:uid="{00000000-0005-0000-0000-000076B00000}"/>
    <cellStyle name="Normal 11 4 2 2 4 11 2" xfId="45750" xr:uid="{00000000-0005-0000-0000-000077B00000}"/>
    <cellStyle name="Normal 11 4 2 2 4 11 2 2" xfId="45751" xr:uid="{00000000-0005-0000-0000-000078B00000}"/>
    <cellStyle name="Normal 11 4 2 2 4 11 3" xfId="45752" xr:uid="{00000000-0005-0000-0000-000079B00000}"/>
    <cellStyle name="Normal 11 4 2 2 4 12" xfId="45753" xr:uid="{00000000-0005-0000-0000-00007AB00000}"/>
    <cellStyle name="Normal 11 4 2 2 4 12 2" xfId="45754" xr:uid="{00000000-0005-0000-0000-00007BB00000}"/>
    <cellStyle name="Normal 11 4 2 2 4 13" xfId="45755" xr:uid="{00000000-0005-0000-0000-00007CB00000}"/>
    <cellStyle name="Normal 11 4 2 2 4 14" xfId="45756" xr:uid="{00000000-0005-0000-0000-00007DB00000}"/>
    <cellStyle name="Normal 11 4 2 2 4 15" xfId="45744" xr:uid="{00000000-0005-0000-0000-00007EB00000}"/>
    <cellStyle name="Normal 11 4 2 2 4 2" xfId="1080" xr:uid="{00000000-0005-0000-0000-00007FB00000}"/>
    <cellStyle name="Normal 11 4 2 2 4 2 10" xfId="45758" xr:uid="{00000000-0005-0000-0000-000080B00000}"/>
    <cellStyle name="Normal 11 4 2 2 4 2 11" xfId="45757" xr:uid="{00000000-0005-0000-0000-000081B00000}"/>
    <cellStyle name="Normal 11 4 2 2 4 2 2" xfId="1809" xr:uid="{00000000-0005-0000-0000-000082B00000}"/>
    <cellStyle name="Normal 11 4 2 2 4 2 2 2" xfId="45760" xr:uid="{00000000-0005-0000-0000-000083B00000}"/>
    <cellStyle name="Normal 11 4 2 2 4 2 2 2 2" xfId="45761" xr:uid="{00000000-0005-0000-0000-000084B00000}"/>
    <cellStyle name="Normal 11 4 2 2 4 2 2 2 2 2" xfId="45762" xr:uid="{00000000-0005-0000-0000-000085B00000}"/>
    <cellStyle name="Normal 11 4 2 2 4 2 2 2 2 2 2" xfId="45763" xr:uid="{00000000-0005-0000-0000-000086B00000}"/>
    <cellStyle name="Normal 11 4 2 2 4 2 2 2 2 3" xfId="45764" xr:uid="{00000000-0005-0000-0000-000087B00000}"/>
    <cellStyle name="Normal 11 4 2 2 4 2 2 2 3" xfId="45765" xr:uid="{00000000-0005-0000-0000-000088B00000}"/>
    <cellStyle name="Normal 11 4 2 2 4 2 2 2 3 2" xfId="45766" xr:uid="{00000000-0005-0000-0000-000089B00000}"/>
    <cellStyle name="Normal 11 4 2 2 4 2 2 2 4" xfId="45767" xr:uid="{00000000-0005-0000-0000-00008AB00000}"/>
    <cellStyle name="Normal 11 4 2 2 4 2 2 3" xfId="45768" xr:uid="{00000000-0005-0000-0000-00008BB00000}"/>
    <cellStyle name="Normal 11 4 2 2 4 2 2 3 2" xfId="45769" xr:uid="{00000000-0005-0000-0000-00008CB00000}"/>
    <cellStyle name="Normal 11 4 2 2 4 2 2 3 2 2" xfId="45770" xr:uid="{00000000-0005-0000-0000-00008DB00000}"/>
    <cellStyle name="Normal 11 4 2 2 4 2 2 3 2 2 2" xfId="45771" xr:uid="{00000000-0005-0000-0000-00008EB00000}"/>
    <cellStyle name="Normal 11 4 2 2 4 2 2 3 2 3" xfId="45772" xr:uid="{00000000-0005-0000-0000-00008FB00000}"/>
    <cellStyle name="Normal 11 4 2 2 4 2 2 3 3" xfId="45773" xr:uid="{00000000-0005-0000-0000-000090B00000}"/>
    <cellStyle name="Normal 11 4 2 2 4 2 2 3 3 2" xfId="45774" xr:uid="{00000000-0005-0000-0000-000091B00000}"/>
    <cellStyle name="Normal 11 4 2 2 4 2 2 3 4" xfId="45775" xr:uid="{00000000-0005-0000-0000-000092B00000}"/>
    <cellStyle name="Normal 11 4 2 2 4 2 2 4" xfId="45776" xr:uid="{00000000-0005-0000-0000-000093B00000}"/>
    <cellStyle name="Normal 11 4 2 2 4 2 2 4 2" xfId="45777" xr:uid="{00000000-0005-0000-0000-000094B00000}"/>
    <cellStyle name="Normal 11 4 2 2 4 2 2 4 2 2" xfId="45778" xr:uid="{00000000-0005-0000-0000-000095B00000}"/>
    <cellStyle name="Normal 11 4 2 2 4 2 2 4 3" xfId="45779" xr:uid="{00000000-0005-0000-0000-000096B00000}"/>
    <cellStyle name="Normal 11 4 2 2 4 2 2 5" xfId="45780" xr:uid="{00000000-0005-0000-0000-000097B00000}"/>
    <cellStyle name="Normal 11 4 2 2 4 2 2 5 2" xfId="45781" xr:uid="{00000000-0005-0000-0000-000098B00000}"/>
    <cellStyle name="Normal 11 4 2 2 4 2 2 6" xfId="45782" xr:uid="{00000000-0005-0000-0000-000099B00000}"/>
    <cellStyle name="Normal 11 4 2 2 4 2 2 7" xfId="45759" xr:uid="{00000000-0005-0000-0000-00009AB00000}"/>
    <cellStyle name="Normal 11 4 2 2 4 2 3" xfId="45783" xr:uid="{00000000-0005-0000-0000-00009BB00000}"/>
    <cellStyle name="Normal 11 4 2 2 4 2 3 2" xfId="45784" xr:uid="{00000000-0005-0000-0000-00009CB00000}"/>
    <cellStyle name="Normal 11 4 2 2 4 2 3 2 2" xfId="45785" xr:uid="{00000000-0005-0000-0000-00009DB00000}"/>
    <cellStyle name="Normal 11 4 2 2 4 2 3 2 2 2" xfId="45786" xr:uid="{00000000-0005-0000-0000-00009EB00000}"/>
    <cellStyle name="Normal 11 4 2 2 4 2 3 2 2 2 2" xfId="45787" xr:uid="{00000000-0005-0000-0000-00009FB00000}"/>
    <cellStyle name="Normal 11 4 2 2 4 2 3 2 2 3" xfId="45788" xr:uid="{00000000-0005-0000-0000-0000A0B00000}"/>
    <cellStyle name="Normal 11 4 2 2 4 2 3 2 3" xfId="45789" xr:uid="{00000000-0005-0000-0000-0000A1B00000}"/>
    <cellStyle name="Normal 11 4 2 2 4 2 3 2 3 2" xfId="45790" xr:uid="{00000000-0005-0000-0000-0000A2B00000}"/>
    <cellStyle name="Normal 11 4 2 2 4 2 3 2 4" xfId="45791" xr:uid="{00000000-0005-0000-0000-0000A3B00000}"/>
    <cellStyle name="Normal 11 4 2 2 4 2 3 3" xfId="45792" xr:uid="{00000000-0005-0000-0000-0000A4B00000}"/>
    <cellStyle name="Normal 11 4 2 2 4 2 3 3 2" xfId="45793" xr:uid="{00000000-0005-0000-0000-0000A5B00000}"/>
    <cellStyle name="Normal 11 4 2 2 4 2 3 3 2 2" xfId="45794" xr:uid="{00000000-0005-0000-0000-0000A6B00000}"/>
    <cellStyle name="Normal 11 4 2 2 4 2 3 3 3" xfId="45795" xr:uid="{00000000-0005-0000-0000-0000A7B00000}"/>
    <cellStyle name="Normal 11 4 2 2 4 2 3 4" xfId="45796" xr:uid="{00000000-0005-0000-0000-0000A8B00000}"/>
    <cellStyle name="Normal 11 4 2 2 4 2 3 4 2" xfId="45797" xr:uid="{00000000-0005-0000-0000-0000A9B00000}"/>
    <cellStyle name="Normal 11 4 2 2 4 2 3 5" xfId="45798" xr:uid="{00000000-0005-0000-0000-0000AAB00000}"/>
    <cellStyle name="Normal 11 4 2 2 4 2 4" xfId="45799" xr:uid="{00000000-0005-0000-0000-0000ABB00000}"/>
    <cellStyle name="Normal 11 4 2 2 4 2 4 2" xfId="45800" xr:uid="{00000000-0005-0000-0000-0000ACB00000}"/>
    <cellStyle name="Normal 11 4 2 2 4 2 4 2 2" xfId="45801" xr:uid="{00000000-0005-0000-0000-0000ADB00000}"/>
    <cellStyle name="Normal 11 4 2 2 4 2 4 2 2 2" xfId="45802" xr:uid="{00000000-0005-0000-0000-0000AEB00000}"/>
    <cellStyle name="Normal 11 4 2 2 4 2 4 2 2 2 2" xfId="45803" xr:uid="{00000000-0005-0000-0000-0000AFB00000}"/>
    <cellStyle name="Normal 11 4 2 2 4 2 4 2 2 3" xfId="45804" xr:uid="{00000000-0005-0000-0000-0000B0B00000}"/>
    <cellStyle name="Normal 11 4 2 2 4 2 4 2 3" xfId="45805" xr:uid="{00000000-0005-0000-0000-0000B1B00000}"/>
    <cellStyle name="Normal 11 4 2 2 4 2 4 2 3 2" xfId="45806" xr:uid="{00000000-0005-0000-0000-0000B2B00000}"/>
    <cellStyle name="Normal 11 4 2 2 4 2 4 2 4" xfId="45807" xr:uid="{00000000-0005-0000-0000-0000B3B00000}"/>
    <cellStyle name="Normal 11 4 2 2 4 2 4 3" xfId="45808" xr:uid="{00000000-0005-0000-0000-0000B4B00000}"/>
    <cellStyle name="Normal 11 4 2 2 4 2 4 3 2" xfId="45809" xr:uid="{00000000-0005-0000-0000-0000B5B00000}"/>
    <cellStyle name="Normal 11 4 2 2 4 2 4 3 2 2" xfId="45810" xr:uid="{00000000-0005-0000-0000-0000B6B00000}"/>
    <cellStyle name="Normal 11 4 2 2 4 2 4 3 3" xfId="45811" xr:uid="{00000000-0005-0000-0000-0000B7B00000}"/>
    <cellStyle name="Normal 11 4 2 2 4 2 4 4" xfId="45812" xr:uid="{00000000-0005-0000-0000-0000B8B00000}"/>
    <cellStyle name="Normal 11 4 2 2 4 2 4 4 2" xfId="45813" xr:uid="{00000000-0005-0000-0000-0000B9B00000}"/>
    <cellStyle name="Normal 11 4 2 2 4 2 4 5" xfId="45814" xr:uid="{00000000-0005-0000-0000-0000BAB00000}"/>
    <cellStyle name="Normal 11 4 2 2 4 2 5" xfId="45815" xr:uid="{00000000-0005-0000-0000-0000BBB00000}"/>
    <cellStyle name="Normal 11 4 2 2 4 2 5 2" xfId="45816" xr:uid="{00000000-0005-0000-0000-0000BCB00000}"/>
    <cellStyle name="Normal 11 4 2 2 4 2 5 2 2" xfId="45817" xr:uid="{00000000-0005-0000-0000-0000BDB00000}"/>
    <cellStyle name="Normal 11 4 2 2 4 2 5 2 2 2" xfId="45818" xr:uid="{00000000-0005-0000-0000-0000BEB00000}"/>
    <cellStyle name="Normal 11 4 2 2 4 2 5 2 3" xfId="45819" xr:uid="{00000000-0005-0000-0000-0000BFB00000}"/>
    <cellStyle name="Normal 11 4 2 2 4 2 5 3" xfId="45820" xr:uid="{00000000-0005-0000-0000-0000C0B00000}"/>
    <cellStyle name="Normal 11 4 2 2 4 2 5 3 2" xfId="45821" xr:uid="{00000000-0005-0000-0000-0000C1B00000}"/>
    <cellStyle name="Normal 11 4 2 2 4 2 5 4" xfId="45822" xr:uid="{00000000-0005-0000-0000-0000C2B00000}"/>
    <cellStyle name="Normal 11 4 2 2 4 2 6" xfId="45823" xr:uid="{00000000-0005-0000-0000-0000C3B00000}"/>
    <cellStyle name="Normal 11 4 2 2 4 2 6 2" xfId="45824" xr:uid="{00000000-0005-0000-0000-0000C4B00000}"/>
    <cellStyle name="Normal 11 4 2 2 4 2 6 2 2" xfId="45825" xr:uid="{00000000-0005-0000-0000-0000C5B00000}"/>
    <cellStyle name="Normal 11 4 2 2 4 2 6 2 2 2" xfId="45826" xr:uid="{00000000-0005-0000-0000-0000C6B00000}"/>
    <cellStyle name="Normal 11 4 2 2 4 2 6 2 3" xfId="45827" xr:uid="{00000000-0005-0000-0000-0000C7B00000}"/>
    <cellStyle name="Normal 11 4 2 2 4 2 6 3" xfId="45828" xr:uid="{00000000-0005-0000-0000-0000C8B00000}"/>
    <cellStyle name="Normal 11 4 2 2 4 2 6 3 2" xfId="45829" xr:uid="{00000000-0005-0000-0000-0000C9B00000}"/>
    <cellStyle name="Normal 11 4 2 2 4 2 6 4" xfId="45830" xr:uid="{00000000-0005-0000-0000-0000CAB00000}"/>
    <cellStyle name="Normal 11 4 2 2 4 2 7" xfId="45831" xr:uid="{00000000-0005-0000-0000-0000CBB00000}"/>
    <cellStyle name="Normal 11 4 2 2 4 2 7 2" xfId="45832" xr:uid="{00000000-0005-0000-0000-0000CCB00000}"/>
    <cellStyle name="Normal 11 4 2 2 4 2 7 2 2" xfId="45833" xr:uid="{00000000-0005-0000-0000-0000CDB00000}"/>
    <cellStyle name="Normal 11 4 2 2 4 2 7 2 2 2" xfId="45834" xr:uid="{00000000-0005-0000-0000-0000CEB00000}"/>
    <cellStyle name="Normal 11 4 2 2 4 2 7 2 3" xfId="45835" xr:uid="{00000000-0005-0000-0000-0000CFB00000}"/>
    <cellStyle name="Normal 11 4 2 2 4 2 7 3" xfId="45836" xr:uid="{00000000-0005-0000-0000-0000D0B00000}"/>
    <cellStyle name="Normal 11 4 2 2 4 2 7 3 2" xfId="45837" xr:uid="{00000000-0005-0000-0000-0000D1B00000}"/>
    <cellStyle name="Normal 11 4 2 2 4 2 7 4" xfId="45838" xr:uid="{00000000-0005-0000-0000-0000D2B00000}"/>
    <cellStyle name="Normal 11 4 2 2 4 2 8" xfId="45839" xr:uid="{00000000-0005-0000-0000-0000D3B00000}"/>
    <cellStyle name="Normal 11 4 2 2 4 2 8 2" xfId="45840" xr:uid="{00000000-0005-0000-0000-0000D4B00000}"/>
    <cellStyle name="Normal 11 4 2 2 4 2 8 2 2" xfId="45841" xr:uid="{00000000-0005-0000-0000-0000D5B00000}"/>
    <cellStyle name="Normal 11 4 2 2 4 2 8 3" xfId="45842" xr:uid="{00000000-0005-0000-0000-0000D6B00000}"/>
    <cellStyle name="Normal 11 4 2 2 4 2 9" xfId="45843" xr:uid="{00000000-0005-0000-0000-0000D7B00000}"/>
    <cellStyle name="Normal 11 4 2 2 4 2 9 2" xfId="45844" xr:uid="{00000000-0005-0000-0000-0000D8B00000}"/>
    <cellStyle name="Normal 11 4 2 2 4 3" xfId="1482" xr:uid="{00000000-0005-0000-0000-0000D9B00000}"/>
    <cellStyle name="Normal 11 4 2 2 4 3 2" xfId="45846" xr:uid="{00000000-0005-0000-0000-0000DAB00000}"/>
    <cellStyle name="Normal 11 4 2 2 4 3 2 2" xfId="45847" xr:uid="{00000000-0005-0000-0000-0000DBB00000}"/>
    <cellStyle name="Normal 11 4 2 2 4 3 2 2 2" xfId="45848" xr:uid="{00000000-0005-0000-0000-0000DCB00000}"/>
    <cellStyle name="Normal 11 4 2 2 4 3 2 2 2 2" xfId="45849" xr:uid="{00000000-0005-0000-0000-0000DDB00000}"/>
    <cellStyle name="Normal 11 4 2 2 4 3 2 2 3" xfId="45850" xr:uid="{00000000-0005-0000-0000-0000DEB00000}"/>
    <cellStyle name="Normal 11 4 2 2 4 3 2 3" xfId="45851" xr:uid="{00000000-0005-0000-0000-0000DFB00000}"/>
    <cellStyle name="Normal 11 4 2 2 4 3 2 3 2" xfId="45852" xr:uid="{00000000-0005-0000-0000-0000E0B00000}"/>
    <cellStyle name="Normal 11 4 2 2 4 3 2 4" xfId="45853" xr:uid="{00000000-0005-0000-0000-0000E1B00000}"/>
    <cellStyle name="Normal 11 4 2 2 4 3 3" xfId="45854" xr:uid="{00000000-0005-0000-0000-0000E2B00000}"/>
    <cellStyle name="Normal 11 4 2 2 4 3 3 2" xfId="45855" xr:uid="{00000000-0005-0000-0000-0000E3B00000}"/>
    <cellStyle name="Normal 11 4 2 2 4 3 3 2 2" xfId="45856" xr:uid="{00000000-0005-0000-0000-0000E4B00000}"/>
    <cellStyle name="Normal 11 4 2 2 4 3 3 2 2 2" xfId="45857" xr:uid="{00000000-0005-0000-0000-0000E5B00000}"/>
    <cellStyle name="Normal 11 4 2 2 4 3 3 2 3" xfId="45858" xr:uid="{00000000-0005-0000-0000-0000E6B00000}"/>
    <cellStyle name="Normal 11 4 2 2 4 3 3 3" xfId="45859" xr:uid="{00000000-0005-0000-0000-0000E7B00000}"/>
    <cellStyle name="Normal 11 4 2 2 4 3 3 3 2" xfId="45860" xr:uid="{00000000-0005-0000-0000-0000E8B00000}"/>
    <cellStyle name="Normal 11 4 2 2 4 3 3 4" xfId="45861" xr:uid="{00000000-0005-0000-0000-0000E9B00000}"/>
    <cellStyle name="Normal 11 4 2 2 4 3 4" xfId="45862" xr:uid="{00000000-0005-0000-0000-0000EAB00000}"/>
    <cellStyle name="Normal 11 4 2 2 4 3 4 2" xfId="45863" xr:uid="{00000000-0005-0000-0000-0000EBB00000}"/>
    <cellStyle name="Normal 11 4 2 2 4 3 4 2 2" xfId="45864" xr:uid="{00000000-0005-0000-0000-0000ECB00000}"/>
    <cellStyle name="Normal 11 4 2 2 4 3 4 3" xfId="45865" xr:uid="{00000000-0005-0000-0000-0000EDB00000}"/>
    <cellStyle name="Normal 11 4 2 2 4 3 5" xfId="45866" xr:uid="{00000000-0005-0000-0000-0000EEB00000}"/>
    <cellStyle name="Normal 11 4 2 2 4 3 5 2" xfId="45867" xr:uid="{00000000-0005-0000-0000-0000EFB00000}"/>
    <cellStyle name="Normal 11 4 2 2 4 3 6" xfId="45868" xr:uid="{00000000-0005-0000-0000-0000F0B00000}"/>
    <cellStyle name="Normal 11 4 2 2 4 3 7" xfId="45845" xr:uid="{00000000-0005-0000-0000-0000F1B00000}"/>
    <cellStyle name="Normal 11 4 2 2 4 4" xfId="45869" xr:uid="{00000000-0005-0000-0000-0000F2B00000}"/>
    <cellStyle name="Normal 11 4 2 2 4 4 2" xfId="45870" xr:uid="{00000000-0005-0000-0000-0000F3B00000}"/>
    <cellStyle name="Normal 11 4 2 2 4 4 2 2" xfId="45871" xr:uid="{00000000-0005-0000-0000-0000F4B00000}"/>
    <cellStyle name="Normal 11 4 2 2 4 4 2 2 2" xfId="45872" xr:uid="{00000000-0005-0000-0000-0000F5B00000}"/>
    <cellStyle name="Normal 11 4 2 2 4 4 2 2 2 2" xfId="45873" xr:uid="{00000000-0005-0000-0000-0000F6B00000}"/>
    <cellStyle name="Normal 11 4 2 2 4 4 2 2 3" xfId="45874" xr:uid="{00000000-0005-0000-0000-0000F7B00000}"/>
    <cellStyle name="Normal 11 4 2 2 4 4 2 3" xfId="45875" xr:uid="{00000000-0005-0000-0000-0000F8B00000}"/>
    <cellStyle name="Normal 11 4 2 2 4 4 2 3 2" xfId="45876" xr:uid="{00000000-0005-0000-0000-0000F9B00000}"/>
    <cellStyle name="Normal 11 4 2 2 4 4 2 4" xfId="45877" xr:uid="{00000000-0005-0000-0000-0000FAB00000}"/>
    <cellStyle name="Normal 11 4 2 2 4 4 3" xfId="45878" xr:uid="{00000000-0005-0000-0000-0000FBB00000}"/>
    <cellStyle name="Normal 11 4 2 2 4 4 3 2" xfId="45879" xr:uid="{00000000-0005-0000-0000-0000FCB00000}"/>
    <cellStyle name="Normal 11 4 2 2 4 4 3 2 2" xfId="45880" xr:uid="{00000000-0005-0000-0000-0000FDB00000}"/>
    <cellStyle name="Normal 11 4 2 2 4 4 3 3" xfId="45881" xr:uid="{00000000-0005-0000-0000-0000FEB00000}"/>
    <cellStyle name="Normal 11 4 2 2 4 4 4" xfId="45882" xr:uid="{00000000-0005-0000-0000-0000FFB00000}"/>
    <cellStyle name="Normal 11 4 2 2 4 4 4 2" xfId="45883" xr:uid="{00000000-0005-0000-0000-000000B10000}"/>
    <cellStyle name="Normal 11 4 2 2 4 4 5" xfId="45884" xr:uid="{00000000-0005-0000-0000-000001B10000}"/>
    <cellStyle name="Normal 11 4 2 2 4 5" xfId="45885" xr:uid="{00000000-0005-0000-0000-000002B10000}"/>
    <cellStyle name="Normal 11 4 2 2 4 5 2" xfId="45886" xr:uid="{00000000-0005-0000-0000-000003B10000}"/>
    <cellStyle name="Normal 11 4 2 2 4 5 2 2" xfId="45887" xr:uid="{00000000-0005-0000-0000-000004B10000}"/>
    <cellStyle name="Normal 11 4 2 2 4 5 2 2 2" xfId="45888" xr:uid="{00000000-0005-0000-0000-000005B10000}"/>
    <cellStyle name="Normal 11 4 2 2 4 5 2 2 2 2" xfId="45889" xr:uid="{00000000-0005-0000-0000-000006B10000}"/>
    <cellStyle name="Normal 11 4 2 2 4 5 2 2 3" xfId="45890" xr:uid="{00000000-0005-0000-0000-000007B10000}"/>
    <cellStyle name="Normal 11 4 2 2 4 5 2 3" xfId="45891" xr:uid="{00000000-0005-0000-0000-000008B10000}"/>
    <cellStyle name="Normal 11 4 2 2 4 5 2 3 2" xfId="45892" xr:uid="{00000000-0005-0000-0000-000009B10000}"/>
    <cellStyle name="Normal 11 4 2 2 4 5 2 4" xfId="45893" xr:uid="{00000000-0005-0000-0000-00000AB10000}"/>
    <cellStyle name="Normal 11 4 2 2 4 5 3" xfId="45894" xr:uid="{00000000-0005-0000-0000-00000BB10000}"/>
    <cellStyle name="Normal 11 4 2 2 4 5 3 2" xfId="45895" xr:uid="{00000000-0005-0000-0000-00000CB10000}"/>
    <cellStyle name="Normal 11 4 2 2 4 5 3 2 2" xfId="45896" xr:uid="{00000000-0005-0000-0000-00000DB10000}"/>
    <cellStyle name="Normal 11 4 2 2 4 5 3 3" xfId="45897" xr:uid="{00000000-0005-0000-0000-00000EB10000}"/>
    <cellStyle name="Normal 11 4 2 2 4 5 4" xfId="45898" xr:uid="{00000000-0005-0000-0000-00000FB10000}"/>
    <cellStyle name="Normal 11 4 2 2 4 5 4 2" xfId="45899" xr:uid="{00000000-0005-0000-0000-000010B10000}"/>
    <cellStyle name="Normal 11 4 2 2 4 5 5" xfId="45900" xr:uid="{00000000-0005-0000-0000-000011B10000}"/>
    <cellStyle name="Normal 11 4 2 2 4 6" xfId="45901" xr:uid="{00000000-0005-0000-0000-000012B10000}"/>
    <cellStyle name="Normal 11 4 2 2 4 6 2" xfId="45902" xr:uid="{00000000-0005-0000-0000-000013B10000}"/>
    <cellStyle name="Normal 11 4 2 2 4 6 2 2" xfId="45903" xr:uid="{00000000-0005-0000-0000-000014B10000}"/>
    <cellStyle name="Normal 11 4 2 2 4 6 2 2 2" xfId="45904" xr:uid="{00000000-0005-0000-0000-000015B10000}"/>
    <cellStyle name="Normal 11 4 2 2 4 6 2 3" xfId="45905" xr:uid="{00000000-0005-0000-0000-000016B10000}"/>
    <cellStyle name="Normal 11 4 2 2 4 6 3" xfId="45906" xr:uid="{00000000-0005-0000-0000-000017B10000}"/>
    <cellStyle name="Normal 11 4 2 2 4 6 3 2" xfId="45907" xr:uid="{00000000-0005-0000-0000-000018B10000}"/>
    <cellStyle name="Normal 11 4 2 2 4 6 4" xfId="45908" xr:uid="{00000000-0005-0000-0000-000019B10000}"/>
    <cellStyle name="Normal 11 4 2 2 4 7" xfId="45909" xr:uid="{00000000-0005-0000-0000-00001AB10000}"/>
    <cellStyle name="Normal 11 4 2 2 4 7 2" xfId="45910" xr:uid="{00000000-0005-0000-0000-00001BB10000}"/>
    <cellStyle name="Normal 11 4 2 2 4 7 2 2" xfId="45911" xr:uid="{00000000-0005-0000-0000-00001CB10000}"/>
    <cellStyle name="Normal 11 4 2 2 4 7 2 2 2" xfId="45912" xr:uid="{00000000-0005-0000-0000-00001DB10000}"/>
    <cellStyle name="Normal 11 4 2 2 4 7 2 3" xfId="45913" xr:uid="{00000000-0005-0000-0000-00001EB10000}"/>
    <cellStyle name="Normal 11 4 2 2 4 7 3" xfId="45914" xr:uid="{00000000-0005-0000-0000-00001FB10000}"/>
    <cellStyle name="Normal 11 4 2 2 4 7 3 2" xfId="45915" xr:uid="{00000000-0005-0000-0000-000020B10000}"/>
    <cellStyle name="Normal 11 4 2 2 4 7 4" xfId="45916" xr:uid="{00000000-0005-0000-0000-000021B10000}"/>
    <cellStyle name="Normal 11 4 2 2 4 8" xfId="45917" xr:uid="{00000000-0005-0000-0000-000022B10000}"/>
    <cellStyle name="Normal 11 4 2 2 4 8 2" xfId="45918" xr:uid="{00000000-0005-0000-0000-000023B10000}"/>
    <cellStyle name="Normal 11 4 2 2 4 8 2 2" xfId="45919" xr:uid="{00000000-0005-0000-0000-000024B10000}"/>
    <cellStyle name="Normal 11 4 2 2 4 8 2 2 2" xfId="45920" xr:uid="{00000000-0005-0000-0000-000025B10000}"/>
    <cellStyle name="Normal 11 4 2 2 4 8 2 3" xfId="45921" xr:uid="{00000000-0005-0000-0000-000026B10000}"/>
    <cellStyle name="Normal 11 4 2 2 4 8 3" xfId="45922" xr:uid="{00000000-0005-0000-0000-000027B10000}"/>
    <cellStyle name="Normal 11 4 2 2 4 8 3 2" xfId="45923" xr:uid="{00000000-0005-0000-0000-000028B10000}"/>
    <cellStyle name="Normal 11 4 2 2 4 8 4" xfId="45924" xr:uid="{00000000-0005-0000-0000-000029B10000}"/>
    <cellStyle name="Normal 11 4 2 2 4 9" xfId="45925" xr:uid="{00000000-0005-0000-0000-00002AB10000}"/>
    <cellStyle name="Normal 11 4 2 2 4 9 2" xfId="45926" xr:uid="{00000000-0005-0000-0000-00002BB10000}"/>
    <cellStyle name="Normal 11 4 2 2 4 9 2 2" xfId="45927" xr:uid="{00000000-0005-0000-0000-00002CB10000}"/>
    <cellStyle name="Normal 11 4 2 2 4 9 3" xfId="45928" xr:uid="{00000000-0005-0000-0000-00002DB10000}"/>
    <cellStyle name="Normal 11 4 2 2 5" xfId="1075" xr:uid="{00000000-0005-0000-0000-00002EB10000}"/>
    <cellStyle name="Normal 11 4 2 2 5 10" xfId="45930" xr:uid="{00000000-0005-0000-0000-00002FB10000}"/>
    <cellStyle name="Normal 11 4 2 2 5 11" xfId="45929" xr:uid="{00000000-0005-0000-0000-000030B10000}"/>
    <cellStyle name="Normal 11 4 2 2 5 2" xfId="1804" xr:uid="{00000000-0005-0000-0000-000031B10000}"/>
    <cellStyle name="Normal 11 4 2 2 5 2 2" xfId="45932" xr:uid="{00000000-0005-0000-0000-000032B10000}"/>
    <cellStyle name="Normal 11 4 2 2 5 2 2 2" xfId="45933" xr:uid="{00000000-0005-0000-0000-000033B10000}"/>
    <cellStyle name="Normal 11 4 2 2 5 2 2 2 2" xfId="45934" xr:uid="{00000000-0005-0000-0000-000034B10000}"/>
    <cellStyle name="Normal 11 4 2 2 5 2 2 2 2 2" xfId="45935" xr:uid="{00000000-0005-0000-0000-000035B10000}"/>
    <cellStyle name="Normal 11 4 2 2 5 2 2 2 3" xfId="45936" xr:uid="{00000000-0005-0000-0000-000036B10000}"/>
    <cellStyle name="Normal 11 4 2 2 5 2 2 3" xfId="45937" xr:uid="{00000000-0005-0000-0000-000037B10000}"/>
    <cellStyle name="Normal 11 4 2 2 5 2 2 3 2" xfId="45938" xr:uid="{00000000-0005-0000-0000-000038B10000}"/>
    <cellStyle name="Normal 11 4 2 2 5 2 2 4" xfId="45939" xr:uid="{00000000-0005-0000-0000-000039B10000}"/>
    <cellStyle name="Normal 11 4 2 2 5 2 3" xfId="45940" xr:uid="{00000000-0005-0000-0000-00003AB10000}"/>
    <cellStyle name="Normal 11 4 2 2 5 2 3 2" xfId="45941" xr:uid="{00000000-0005-0000-0000-00003BB10000}"/>
    <cellStyle name="Normal 11 4 2 2 5 2 3 2 2" xfId="45942" xr:uid="{00000000-0005-0000-0000-00003CB10000}"/>
    <cellStyle name="Normal 11 4 2 2 5 2 3 2 2 2" xfId="45943" xr:uid="{00000000-0005-0000-0000-00003DB10000}"/>
    <cellStyle name="Normal 11 4 2 2 5 2 3 2 3" xfId="45944" xr:uid="{00000000-0005-0000-0000-00003EB10000}"/>
    <cellStyle name="Normal 11 4 2 2 5 2 3 3" xfId="45945" xr:uid="{00000000-0005-0000-0000-00003FB10000}"/>
    <cellStyle name="Normal 11 4 2 2 5 2 3 3 2" xfId="45946" xr:uid="{00000000-0005-0000-0000-000040B10000}"/>
    <cellStyle name="Normal 11 4 2 2 5 2 3 4" xfId="45947" xr:uid="{00000000-0005-0000-0000-000041B10000}"/>
    <cellStyle name="Normal 11 4 2 2 5 2 4" xfId="45948" xr:uid="{00000000-0005-0000-0000-000042B10000}"/>
    <cellStyle name="Normal 11 4 2 2 5 2 4 2" xfId="45949" xr:uid="{00000000-0005-0000-0000-000043B10000}"/>
    <cellStyle name="Normal 11 4 2 2 5 2 4 2 2" xfId="45950" xr:uid="{00000000-0005-0000-0000-000044B10000}"/>
    <cellStyle name="Normal 11 4 2 2 5 2 4 3" xfId="45951" xr:uid="{00000000-0005-0000-0000-000045B10000}"/>
    <cellStyle name="Normal 11 4 2 2 5 2 5" xfId="45952" xr:uid="{00000000-0005-0000-0000-000046B10000}"/>
    <cellStyle name="Normal 11 4 2 2 5 2 5 2" xfId="45953" xr:uid="{00000000-0005-0000-0000-000047B10000}"/>
    <cellStyle name="Normal 11 4 2 2 5 2 6" xfId="45954" xr:uid="{00000000-0005-0000-0000-000048B10000}"/>
    <cellStyle name="Normal 11 4 2 2 5 2 7" xfId="45931" xr:uid="{00000000-0005-0000-0000-000049B10000}"/>
    <cellStyle name="Normal 11 4 2 2 5 3" xfId="45955" xr:uid="{00000000-0005-0000-0000-00004AB10000}"/>
    <cellStyle name="Normal 11 4 2 2 5 3 2" xfId="45956" xr:uid="{00000000-0005-0000-0000-00004BB10000}"/>
    <cellStyle name="Normal 11 4 2 2 5 3 2 2" xfId="45957" xr:uid="{00000000-0005-0000-0000-00004CB10000}"/>
    <cellStyle name="Normal 11 4 2 2 5 3 2 2 2" xfId="45958" xr:uid="{00000000-0005-0000-0000-00004DB10000}"/>
    <cellStyle name="Normal 11 4 2 2 5 3 2 2 2 2" xfId="45959" xr:uid="{00000000-0005-0000-0000-00004EB10000}"/>
    <cellStyle name="Normal 11 4 2 2 5 3 2 2 3" xfId="45960" xr:uid="{00000000-0005-0000-0000-00004FB10000}"/>
    <cellStyle name="Normal 11 4 2 2 5 3 2 3" xfId="45961" xr:uid="{00000000-0005-0000-0000-000050B10000}"/>
    <cellStyle name="Normal 11 4 2 2 5 3 2 3 2" xfId="45962" xr:uid="{00000000-0005-0000-0000-000051B10000}"/>
    <cellStyle name="Normal 11 4 2 2 5 3 2 4" xfId="45963" xr:uid="{00000000-0005-0000-0000-000052B10000}"/>
    <cellStyle name="Normal 11 4 2 2 5 3 3" xfId="45964" xr:uid="{00000000-0005-0000-0000-000053B10000}"/>
    <cellStyle name="Normal 11 4 2 2 5 3 3 2" xfId="45965" xr:uid="{00000000-0005-0000-0000-000054B10000}"/>
    <cellStyle name="Normal 11 4 2 2 5 3 3 2 2" xfId="45966" xr:uid="{00000000-0005-0000-0000-000055B10000}"/>
    <cellStyle name="Normal 11 4 2 2 5 3 3 3" xfId="45967" xr:uid="{00000000-0005-0000-0000-000056B10000}"/>
    <cellStyle name="Normal 11 4 2 2 5 3 4" xfId="45968" xr:uid="{00000000-0005-0000-0000-000057B10000}"/>
    <cellStyle name="Normal 11 4 2 2 5 3 4 2" xfId="45969" xr:uid="{00000000-0005-0000-0000-000058B10000}"/>
    <cellStyle name="Normal 11 4 2 2 5 3 5" xfId="45970" xr:uid="{00000000-0005-0000-0000-000059B10000}"/>
    <cellStyle name="Normal 11 4 2 2 5 4" xfId="45971" xr:uid="{00000000-0005-0000-0000-00005AB10000}"/>
    <cellStyle name="Normal 11 4 2 2 5 4 2" xfId="45972" xr:uid="{00000000-0005-0000-0000-00005BB10000}"/>
    <cellStyle name="Normal 11 4 2 2 5 4 2 2" xfId="45973" xr:uid="{00000000-0005-0000-0000-00005CB10000}"/>
    <cellStyle name="Normal 11 4 2 2 5 4 2 2 2" xfId="45974" xr:uid="{00000000-0005-0000-0000-00005DB10000}"/>
    <cellStyle name="Normal 11 4 2 2 5 4 2 2 2 2" xfId="45975" xr:uid="{00000000-0005-0000-0000-00005EB10000}"/>
    <cellStyle name="Normal 11 4 2 2 5 4 2 2 3" xfId="45976" xr:uid="{00000000-0005-0000-0000-00005FB10000}"/>
    <cellStyle name="Normal 11 4 2 2 5 4 2 3" xfId="45977" xr:uid="{00000000-0005-0000-0000-000060B10000}"/>
    <cellStyle name="Normal 11 4 2 2 5 4 2 3 2" xfId="45978" xr:uid="{00000000-0005-0000-0000-000061B10000}"/>
    <cellStyle name="Normal 11 4 2 2 5 4 2 4" xfId="45979" xr:uid="{00000000-0005-0000-0000-000062B10000}"/>
    <cellStyle name="Normal 11 4 2 2 5 4 3" xfId="45980" xr:uid="{00000000-0005-0000-0000-000063B10000}"/>
    <cellStyle name="Normal 11 4 2 2 5 4 3 2" xfId="45981" xr:uid="{00000000-0005-0000-0000-000064B10000}"/>
    <cellStyle name="Normal 11 4 2 2 5 4 3 2 2" xfId="45982" xr:uid="{00000000-0005-0000-0000-000065B10000}"/>
    <cellStyle name="Normal 11 4 2 2 5 4 3 3" xfId="45983" xr:uid="{00000000-0005-0000-0000-000066B10000}"/>
    <cellStyle name="Normal 11 4 2 2 5 4 4" xfId="45984" xr:uid="{00000000-0005-0000-0000-000067B10000}"/>
    <cellStyle name="Normal 11 4 2 2 5 4 4 2" xfId="45985" xr:uid="{00000000-0005-0000-0000-000068B10000}"/>
    <cellStyle name="Normal 11 4 2 2 5 4 5" xfId="45986" xr:uid="{00000000-0005-0000-0000-000069B10000}"/>
    <cellStyle name="Normal 11 4 2 2 5 5" xfId="45987" xr:uid="{00000000-0005-0000-0000-00006AB10000}"/>
    <cellStyle name="Normal 11 4 2 2 5 5 2" xfId="45988" xr:uid="{00000000-0005-0000-0000-00006BB10000}"/>
    <cellStyle name="Normal 11 4 2 2 5 5 2 2" xfId="45989" xr:uid="{00000000-0005-0000-0000-00006CB10000}"/>
    <cellStyle name="Normal 11 4 2 2 5 5 2 2 2" xfId="45990" xr:uid="{00000000-0005-0000-0000-00006DB10000}"/>
    <cellStyle name="Normal 11 4 2 2 5 5 2 3" xfId="45991" xr:uid="{00000000-0005-0000-0000-00006EB10000}"/>
    <cellStyle name="Normal 11 4 2 2 5 5 3" xfId="45992" xr:uid="{00000000-0005-0000-0000-00006FB10000}"/>
    <cellStyle name="Normal 11 4 2 2 5 5 3 2" xfId="45993" xr:uid="{00000000-0005-0000-0000-000070B10000}"/>
    <cellStyle name="Normal 11 4 2 2 5 5 4" xfId="45994" xr:uid="{00000000-0005-0000-0000-000071B10000}"/>
    <cellStyle name="Normal 11 4 2 2 5 6" xfId="45995" xr:uid="{00000000-0005-0000-0000-000072B10000}"/>
    <cellStyle name="Normal 11 4 2 2 5 6 2" xfId="45996" xr:uid="{00000000-0005-0000-0000-000073B10000}"/>
    <cellStyle name="Normal 11 4 2 2 5 6 2 2" xfId="45997" xr:uid="{00000000-0005-0000-0000-000074B10000}"/>
    <cellStyle name="Normal 11 4 2 2 5 6 2 2 2" xfId="45998" xr:uid="{00000000-0005-0000-0000-000075B10000}"/>
    <cellStyle name="Normal 11 4 2 2 5 6 2 3" xfId="45999" xr:uid="{00000000-0005-0000-0000-000076B10000}"/>
    <cellStyle name="Normal 11 4 2 2 5 6 3" xfId="46000" xr:uid="{00000000-0005-0000-0000-000077B10000}"/>
    <cellStyle name="Normal 11 4 2 2 5 6 3 2" xfId="46001" xr:uid="{00000000-0005-0000-0000-000078B10000}"/>
    <cellStyle name="Normal 11 4 2 2 5 6 4" xfId="46002" xr:uid="{00000000-0005-0000-0000-000079B10000}"/>
    <cellStyle name="Normal 11 4 2 2 5 7" xfId="46003" xr:uid="{00000000-0005-0000-0000-00007AB10000}"/>
    <cellStyle name="Normal 11 4 2 2 5 7 2" xfId="46004" xr:uid="{00000000-0005-0000-0000-00007BB10000}"/>
    <cellStyle name="Normal 11 4 2 2 5 7 2 2" xfId="46005" xr:uid="{00000000-0005-0000-0000-00007CB10000}"/>
    <cellStyle name="Normal 11 4 2 2 5 7 2 2 2" xfId="46006" xr:uid="{00000000-0005-0000-0000-00007DB10000}"/>
    <cellStyle name="Normal 11 4 2 2 5 7 2 3" xfId="46007" xr:uid="{00000000-0005-0000-0000-00007EB10000}"/>
    <cellStyle name="Normal 11 4 2 2 5 7 3" xfId="46008" xr:uid="{00000000-0005-0000-0000-00007FB10000}"/>
    <cellStyle name="Normal 11 4 2 2 5 7 3 2" xfId="46009" xr:uid="{00000000-0005-0000-0000-000080B10000}"/>
    <cellStyle name="Normal 11 4 2 2 5 7 4" xfId="46010" xr:uid="{00000000-0005-0000-0000-000081B10000}"/>
    <cellStyle name="Normal 11 4 2 2 5 8" xfId="46011" xr:uid="{00000000-0005-0000-0000-000082B10000}"/>
    <cellStyle name="Normal 11 4 2 2 5 8 2" xfId="46012" xr:uid="{00000000-0005-0000-0000-000083B10000}"/>
    <cellStyle name="Normal 11 4 2 2 5 8 2 2" xfId="46013" xr:uid="{00000000-0005-0000-0000-000084B10000}"/>
    <cellStyle name="Normal 11 4 2 2 5 8 3" xfId="46014" xr:uid="{00000000-0005-0000-0000-000085B10000}"/>
    <cellStyle name="Normal 11 4 2 2 5 9" xfId="46015" xr:uid="{00000000-0005-0000-0000-000086B10000}"/>
    <cellStyle name="Normal 11 4 2 2 5 9 2" xfId="46016" xr:uid="{00000000-0005-0000-0000-000087B10000}"/>
    <cellStyle name="Normal 11 4 2 2 6" xfId="1477" xr:uid="{00000000-0005-0000-0000-000088B10000}"/>
    <cellStyle name="Normal 11 4 2 2 6 2" xfId="46018" xr:uid="{00000000-0005-0000-0000-000089B10000}"/>
    <cellStyle name="Normal 11 4 2 2 6 2 2" xfId="46019" xr:uid="{00000000-0005-0000-0000-00008AB10000}"/>
    <cellStyle name="Normal 11 4 2 2 6 2 2 2" xfId="46020" xr:uid="{00000000-0005-0000-0000-00008BB10000}"/>
    <cellStyle name="Normal 11 4 2 2 6 2 2 2 2" xfId="46021" xr:uid="{00000000-0005-0000-0000-00008CB10000}"/>
    <cellStyle name="Normal 11 4 2 2 6 2 2 3" xfId="46022" xr:uid="{00000000-0005-0000-0000-00008DB10000}"/>
    <cellStyle name="Normal 11 4 2 2 6 2 3" xfId="46023" xr:uid="{00000000-0005-0000-0000-00008EB10000}"/>
    <cellStyle name="Normal 11 4 2 2 6 2 3 2" xfId="46024" xr:uid="{00000000-0005-0000-0000-00008FB10000}"/>
    <cellStyle name="Normal 11 4 2 2 6 2 4" xfId="46025" xr:uid="{00000000-0005-0000-0000-000090B10000}"/>
    <cellStyle name="Normal 11 4 2 2 6 3" xfId="46026" xr:uid="{00000000-0005-0000-0000-000091B10000}"/>
    <cellStyle name="Normal 11 4 2 2 6 3 2" xfId="46027" xr:uid="{00000000-0005-0000-0000-000092B10000}"/>
    <cellStyle name="Normal 11 4 2 2 6 3 2 2" xfId="46028" xr:uid="{00000000-0005-0000-0000-000093B10000}"/>
    <cellStyle name="Normal 11 4 2 2 6 3 2 2 2" xfId="46029" xr:uid="{00000000-0005-0000-0000-000094B10000}"/>
    <cellStyle name="Normal 11 4 2 2 6 3 2 3" xfId="46030" xr:uid="{00000000-0005-0000-0000-000095B10000}"/>
    <cellStyle name="Normal 11 4 2 2 6 3 3" xfId="46031" xr:uid="{00000000-0005-0000-0000-000096B10000}"/>
    <cellStyle name="Normal 11 4 2 2 6 3 3 2" xfId="46032" xr:uid="{00000000-0005-0000-0000-000097B10000}"/>
    <cellStyle name="Normal 11 4 2 2 6 3 4" xfId="46033" xr:uid="{00000000-0005-0000-0000-000098B10000}"/>
    <cellStyle name="Normal 11 4 2 2 6 4" xfId="46034" xr:uid="{00000000-0005-0000-0000-000099B10000}"/>
    <cellStyle name="Normal 11 4 2 2 6 4 2" xfId="46035" xr:uid="{00000000-0005-0000-0000-00009AB10000}"/>
    <cellStyle name="Normal 11 4 2 2 6 4 2 2" xfId="46036" xr:uid="{00000000-0005-0000-0000-00009BB10000}"/>
    <cellStyle name="Normal 11 4 2 2 6 4 3" xfId="46037" xr:uid="{00000000-0005-0000-0000-00009CB10000}"/>
    <cellStyle name="Normal 11 4 2 2 6 5" xfId="46038" xr:uid="{00000000-0005-0000-0000-00009DB10000}"/>
    <cellStyle name="Normal 11 4 2 2 6 5 2" xfId="46039" xr:uid="{00000000-0005-0000-0000-00009EB10000}"/>
    <cellStyle name="Normal 11 4 2 2 6 6" xfId="46040" xr:uid="{00000000-0005-0000-0000-00009FB10000}"/>
    <cellStyle name="Normal 11 4 2 2 6 7" xfId="46017" xr:uid="{00000000-0005-0000-0000-0000A0B10000}"/>
    <cellStyle name="Normal 11 4 2 2 7" xfId="46041" xr:uid="{00000000-0005-0000-0000-0000A1B10000}"/>
    <cellStyle name="Normal 11 4 2 2 7 2" xfId="46042" xr:uid="{00000000-0005-0000-0000-0000A2B10000}"/>
    <cellStyle name="Normal 11 4 2 2 7 2 2" xfId="46043" xr:uid="{00000000-0005-0000-0000-0000A3B10000}"/>
    <cellStyle name="Normal 11 4 2 2 7 2 2 2" xfId="46044" xr:uid="{00000000-0005-0000-0000-0000A4B10000}"/>
    <cellStyle name="Normal 11 4 2 2 7 2 2 2 2" xfId="46045" xr:uid="{00000000-0005-0000-0000-0000A5B10000}"/>
    <cellStyle name="Normal 11 4 2 2 7 2 2 3" xfId="46046" xr:uid="{00000000-0005-0000-0000-0000A6B10000}"/>
    <cellStyle name="Normal 11 4 2 2 7 2 3" xfId="46047" xr:uid="{00000000-0005-0000-0000-0000A7B10000}"/>
    <cellStyle name="Normal 11 4 2 2 7 2 3 2" xfId="46048" xr:uid="{00000000-0005-0000-0000-0000A8B10000}"/>
    <cellStyle name="Normal 11 4 2 2 7 2 4" xfId="46049" xr:uid="{00000000-0005-0000-0000-0000A9B10000}"/>
    <cellStyle name="Normal 11 4 2 2 7 3" xfId="46050" xr:uid="{00000000-0005-0000-0000-0000AAB10000}"/>
    <cellStyle name="Normal 11 4 2 2 7 3 2" xfId="46051" xr:uid="{00000000-0005-0000-0000-0000ABB10000}"/>
    <cellStyle name="Normal 11 4 2 2 7 3 2 2" xfId="46052" xr:uid="{00000000-0005-0000-0000-0000ACB10000}"/>
    <cellStyle name="Normal 11 4 2 2 7 3 3" xfId="46053" xr:uid="{00000000-0005-0000-0000-0000ADB10000}"/>
    <cellStyle name="Normal 11 4 2 2 7 4" xfId="46054" xr:uid="{00000000-0005-0000-0000-0000AEB10000}"/>
    <cellStyle name="Normal 11 4 2 2 7 4 2" xfId="46055" xr:uid="{00000000-0005-0000-0000-0000AFB10000}"/>
    <cellStyle name="Normal 11 4 2 2 7 5" xfId="46056" xr:uid="{00000000-0005-0000-0000-0000B0B10000}"/>
    <cellStyle name="Normal 11 4 2 2 8" xfId="46057" xr:uid="{00000000-0005-0000-0000-0000B1B10000}"/>
    <cellStyle name="Normal 11 4 2 2 8 2" xfId="46058" xr:uid="{00000000-0005-0000-0000-0000B2B10000}"/>
    <cellStyle name="Normal 11 4 2 2 8 2 2" xfId="46059" xr:uid="{00000000-0005-0000-0000-0000B3B10000}"/>
    <cellStyle name="Normal 11 4 2 2 8 2 2 2" xfId="46060" xr:uid="{00000000-0005-0000-0000-0000B4B10000}"/>
    <cellStyle name="Normal 11 4 2 2 8 2 2 2 2" xfId="46061" xr:uid="{00000000-0005-0000-0000-0000B5B10000}"/>
    <cellStyle name="Normal 11 4 2 2 8 2 2 3" xfId="46062" xr:uid="{00000000-0005-0000-0000-0000B6B10000}"/>
    <cellStyle name="Normal 11 4 2 2 8 2 3" xfId="46063" xr:uid="{00000000-0005-0000-0000-0000B7B10000}"/>
    <cellStyle name="Normal 11 4 2 2 8 2 3 2" xfId="46064" xr:uid="{00000000-0005-0000-0000-0000B8B10000}"/>
    <cellStyle name="Normal 11 4 2 2 8 2 4" xfId="46065" xr:uid="{00000000-0005-0000-0000-0000B9B10000}"/>
    <cellStyle name="Normal 11 4 2 2 8 3" xfId="46066" xr:uid="{00000000-0005-0000-0000-0000BAB10000}"/>
    <cellStyle name="Normal 11 4 2 2 8 3 2" xfId="46067" xr:uid="{00000000-0005-0000-0000-0000BBB10000}"/>
    <cellStyle name="Normal 11 4 2 2 8 3 2 2" xfId="46068" xr:uid="{00000000-0005-0000-0000-0000BCB10000}"/>
    <cellStyle name="Normal 11 4 2 2 8 3 3" xfId="46069" xr:uid="{00000000-0005-0000-0000-0000BDB10000}"/>
    <cellStyle name="Normal 11 4 2 2 8 4" xfId="46070" xr:uid="{00000000-0005-0000-0000-0000BEB10000}"/>
    <cellStyle name="Normal 11 4 2 2 8 4 2" xfId="46071" xr:uid="{00000000-0005-0000-0000-0000BFB10000}"/>
    <cellStyle name="Normal 11 4 2 2 8 5" xfId="46072" xr:uid="{00000000-0005-0000-0000-0000C0B10000}"/>
    <cellStyle name="Normal 11 4 2 2 9" xfId="46073" xr:uid="{00000000-0005-0000-0000-0000C1B10000}"/>
    <cellStyle name="Normal 11 4 2 2 9 2" xfId="46074" xr:uid="{00000000-0005-0000-0000-0000C2B10000}"/>
    <cellStyle name="Normal 11 4 2 2 9 2 2" xfId="46075" xr:uid="{00000000-0005-0000-0000-0000C3B10000}"/>
    <cellStyle name="Normal 11 4 2 2 9 2 2 2" xfId="46076" xr:uid="{00000000-0005-0000-0000-0000C4B10000}"/>
    <cellStyle name="Normal 11 4 2 2 9 2 3" xfId="46077" xr:uid="{00000000-0005-0000-0000-0000C5B10000}"/>
    <cellStyle name="Normal 11 4 2 2 9 3" xfId="46078" xr:uid="{00000000-0005-0000-0000-0000C6B10000}"/>
    <cellStyle name="Normal 11 4 2 2 9 3 2" xfId="46079" xr:uid="{00000000-0005-0000-0000-0000C7B10000}"/>
    <cellStyle name="Normal 11 4 2 2 9 4" xfId="46080" xr:uid="{00000000-0005-0000-0000-0000C8B10000}"/>
    <cellStyle name="Normal 11 4 2 3" xfId="639" xr:uid="{00000000-0005-0000-0000-0000C9B10000}"/>
    <cellStyle name="Normal 11 4 2 3 10" xfId="46082" xr:uid="{00000000-0005-0000-0000-0000CAB10000}"/>
    <cellStyle name="Normal 11 4 2 3 10 2" xfId="46083" xr:uid="{00000000-0005-0000-0000-0000CBB10000}"/>
    <cellStyle name="Normal 11 4 2 3 10 2 2" xfId="46084" xr:uid="{00000000-0005-0000-0000-0000CCB10000}"/>
    <cellStyle name="Normal 11 4 2 3 10 2 2 2" xfId="46085" xr:uid="{00000000-0005-0000-0000-0000CDB10000}"/>
    <cellStyle name="Normal 11 4 2 3 10 2 3" xfId="46086" xr:uid="{00000000-0005-0000-0000-0000CEB10000}"/>
    <cellStyle name="Normal 11 4 2 3 10 3" xfId="46087" xr:uid="{00000000-0005-0000-0000-0000CFB10000}"/>
    <cellStyle name="Normal 11 4 2 3 10 3 2" xfId="46088" xr:uid="{00000000-0005-0000-0000-0000D0B10000}"/>
    <cellStyle name="Normal 11 4 2 3 10 4" xfId="46089" xr:uid="{00000000-0005-0000-0000-0000D1B10000}"/>
    <cellStyle name="Normal 11 4 2 3 11" xfId="46090" xr:uid="{00000000-0005-0000-0000-0000D2B10000}"/>
    <cellStyle name="Normal 11 4 2 3 11 2" xfId="46091" xr:uid="{00000000-0005-0000-0000-0000D3B10000}"/>
    <cellStyle name="Normal 11 4 2 3 11 2 2" xfId="46092" xr:uid="{00000000-0005-0000-0000-0000D4B10000}"/>
    <cellStyle name="Normal 11 4 2 3 11 3" xfId="46093" xr:uid="{00000000-0005-0000-0000-0000D5B10000}"/>
    <cellStyle name="Normal 11 4 2 3 12" xfId="46094" xr:uid="{00000000-0005-0000-0000-0000D6B10000}"/>
    <cellStyle name="Normal 11 4 2 3 12 2" xfId="46095" xr:uid="{00000000-0005-0000-0000-0000D7B10000}"/>
    <cellStyle name="Normal 11 4 2 3 12 2 2" xfId="46096" xr:uid="{00000000-0005-0000-0000-0000D8B10000}"/>
    <cellStyle name="Normal 11 4 2 3 12 3" xfId="46097" xr:uid="{00000000-0005-0000-0000-0000D9B10000}"/>
    <cellStyle name="Normal 11 4 2 3 13" xfId="46098" xr:uid="{00000000-0005-0000-0000-0000DAB10000}"/>
    <cellStyle name="Normal 11 4 2 3 13 2" xfId="46099" xr:uid="{00000000-0005-0000-0000-0000DBB10000}"/>
    <cellStyle name="Normal 11 4 2 3 13 2 2" xfId="46100" xr:uid="{00000000-0005-0000-0000-0000DCB10000}"/>
    <cellStyle name="Normal 11 4 2 3 13 3" xfId="46101" xr:uid="{00000000-0005-0000-0000-0000DDB10000}"/>
    <cellStyle name="Normal 11 4 2 3 14" xfId="46102" xr:uid="{00000000-0005-0000-0000-0000DEB10000}"/>
    <cellStyle name="Normal 11 4 2 3 14 2" xfId="46103" xr:uid="{00000000-0005-0000-0000-0000DFB10000}"/>
    <cellStyle name="Normal 11 4 2 3 15" xfId="46104" xr:uid="{00000000-0005-0000-0000-0000E0B10000}"/>
    <cellStyle name="Normal 11 4 2 3 16" xfId="46105" xr:uid="{00000000-0005-0000-0000-0000E1B10000}"/>
    <cellStyle name="Normal 11 4 2 3 17" xfId="46081" xr:uid="{00000000-0005-0000-0000-0000E2B10000}"/>
    <cellStyle name="Normal 11 4 2 3 2" xfId="640" xr:uid="{00000000-0005-0000-0000-0000E3B10000}"/>
    <cellStyle name="Normal 11 4 2 3 2 10" xfId="46107" xr:uid="{00000000-0005-0000-0000-0000E4B10000}"/>
    <cellStyle name="Normal 11 4 2 3 2 10 2" xfId="46108" xr:uid="{00000000-0005-0000-0000-0000E5B10000}"/>
    <cellStyle name="Normal 11 4 2 3 2 10 2 2" xfId="46109" xr:uid="{00000000-0005-0000-0000-0000E6B10000}"/>
    <cellStyle name="Normal 11 4 2 3 2 10 3" xfId="46110" xr:uid="{00000000-0005-0000-0000-0000E7B10000}"/>
    <cellStyle name="Normal 11 4 2 3 2 11" xfId="46111" xr:uid="{00000000-0005-0000-0000-0000E8B10000}"/>
    <cellStyle name="Normal 11 4 2 3 2 11 2" xfId="46112" xr:uid="{00000000-0005-0000-0000-0000E9B10000}"/>
    <cellStyle name="Normal 11 4 2 3 2 11 2 2" xfId="46113" xr:uid="{00000000-0005-0000-0000-0000EAB10000}"/>
    <cellStyle name="Normal 11 4 2 3 2 11 3" xfId="46114" xr:uid="{00000000-0005-0000-0000-0000EBB10000}"/>
    <cellStyle name="Normal 11 4 2 3 2 12" xfId="46115" xr:uid="{00000000-0005-0000-0000-0000ECB10000}"/>
    <cellStyle name="Normal 11 4 2 3 2 12 2" xfId="46116" xr:uid="{00000000-0005-0000-0000-0000EDB10000}"/>
    <cellStyle name="Normal 11 4 2 3 2 13" xfId="46117" xr:uid="{00000000-0005-0000-0000-0000EEB10000}"/>
    <cellStyle name="Normal 11 4 2 3 2 14" xfId="46118" xr:uid="{00000000-0005-0000-0000-0000EFB10000}"/>
    <cellStyle name="Normal 11 4 2 3 2 15" xfId="46106" xr:uid="{00000000-0005-0000-0000-0000F0B10000}"/>
    <cellStyle name="Normal 11 4 2 3 2 2" xfId="1082" xr:uid="{00000000-0005-0000-0000-0000F1B10000}"/>
    <cellStyle name="Normal 11 4 2 3 2 2 10" xfId="46120" xr:uid="{00000000-0005-0000-0000-0000F2B10000}"/>
    <cellStyle name="Normal 11 4 2 3 2 2 11" xfId="46119" xr:uid="{00000000-0005-0000-0000-0000F3B10000}"/>
    <cellStyle name="Normal 11 4 2 3 2 2 2" xfId="1811" xr:uid="{00000000-0005-0000-0000-0000F4B10000}"/>
    <cellStyle name="Normal 11 4 2 3 2 2 2 2" xfId="46122" xr:uid="{00000000-0005-0000-0000-0000F5B10000}"/>
    <cellStyle name="Normal 11 4 2 3 2 2 2 2 2" xfId="46123" xr:uid="{00000000-0005-0000-0000-0000F6B10000}"/>
    <cellStyle name="Normal 11 4 2 3 2 2 2 2 2 2" xfId="46124" xr:uid="{00000000-0005-0000-0000-0000F7B10000}"/>
    <cellStyle name="Normal 11 4 2 3 2 2 2 2 2 2 2" xfId="46125" xr:uid="{00000000-0005-0000-0000-0000F8B10000}"/>
    <cellStyle name="Normal 11 4 2 3 2 2 2 2 2 3" xfId="46126" xr:uid="{00000000-0005-0000-0000-0000F9B10000}"/>
    <cellStyle name="Normal 11 4 2 3 2 2 2 2 3" xfId="46127" xr:uid="{00000000-0005-0000-0000-0000FAB10000}"/>
    <cellStyle name="Normal 11 4 2 3 2 2 2 2 3 2" xfId="46128" xr:uid="{00000000-0005-0000-0000-0000FBB10000}"/>
    <cellStyle name="Normal 11 4 2 3 2 2 2 2 4" xfId="46129" xr:uid="{00000000-0005-0000-0000-0000FCB10000}"/>
    <cellStyle name="Normal 11 4 2 3 2 2 2 3" xfId="46130" xr:uid="{00000000-0005-0000-0000-0000FDB10000}"/>
    <cellStyle name="Normal 11 4 2 3 2 2 2 3 2" xfId="46131" xr:uid="{00000000-0005-0000-0000-0000FEB10000}"/>
    <cellStyle name="Normal 11 4 2 3 2 2 2 3 2 2" xfId="46132" xr:uid="{00000000-0005-0000-0000-0000FFB10000}"/>
    <cellStyle name="Normal 11 4 2 3 2 2 2 3 2 2 2" xfId="46133" xr:uid="{00000000-0005-0000-0000-000000B20000}"/>
    <cellStyle name="Normal 11 4 2 3 2 2 2 3 2 3" xfId="46134" xr:uid="{00000000-0005-0000-0000-000001B20000}"/>
    <cellStyle name="Normal 11 4 2 3 2 2 2 3 3" xfId="46135" xr:uid="{00000000-0005-0000-0000-000002B20000}"/>
    <cellStyle name="Normal 11 4 2 3 2 2 2 3 3 2" xfId="46136" xr:uid="{00000000-0005-0000-0000-000003B20000}"/>
    <cellStyle name="Normal 11 4 2 3 2 2 2 3 4" xfId="46137" xr:uid="{00000000-0005-0000-0000-000004B20000}"/>
    <cellStyle name="Normal 11 4 2 3 2 2 2 4" xfId="46138" xr:uid="{00000000-0005-0000-0000-000005B20000}"/>
    <cellStyle name="Normal 11 4 2 3 2 2 2 4 2" xfId="46139" xr:uid="{00000000-0005-0000-0000-000006B20000}"/>
    <cellStyle name="Normal 11 4 2 3 2 2 2 4 2 2" xfId="46140" xr:uid="{00000000-0005-0000-0000-000007B20000}"/>
    <cellStyle name="Normal 11 4 2 3 2 2 2 4 3" xfId="46141" xr:uid="{00000000-0005-0000-0000-000008B20000}"/>
    <cellStyle name="Normal 11 4 2 3 2 2 2 5" xfId="46142" xr:uid="{00000000-0005-0000-0000-000009B20000}"/>
    <cellStyle name="Normal 11 4 2 3 2 2 2 5 2" xfId="46143" xr:uid="{00000000-0005-0000-0000-00000AB20000}"/>
    <cellStyle name="Normal 11 4 2 3 2 2 2 6" xfId="46144" xr:uid="{00000000-0005-0000-0000-00000BB20000}"/>
    <cellStyle name="Normal 11 4 2 3 2 2 2 7" xfId="46121" xr:uid="{00000000-0005-0000-0000-00000CB20000}"/>
    <cellStyle name="Normal 11 4 2 3 2 2 3" xfId="46145" xr:uid="{00000000-0005-0000-0000-00000DB20000}"/>
    <cellStyle name="Normal 11 4 2 3 2 2 3 2" xfId="46146" xr:uid="{00000000-0005-0000-0000-00000EB20000}"/>
    <cellStyle name="Normal 11 4 2 3 2 2 3 2 2" xfId="46147" xr:uid="{00000000-0005-0000-0000-00000FB20000}"/>
    <cellStyle name="Normal 11 4 2 3 2 2 3 2 2 2" xfId="46148" xr:uid="{00000000-0005-0000-0000-000010B20000}"/>
    <cellStyle name="Normal 11 4 2 3 2 2 3 2 2 2 2" xfId="46149" xr:uid="{00000000-0005-0000-0000-000011B20000}"/>
    <cellStyle name="Normal 11 4 2 3 2 2 3 2 2 3" xfId="46150" xr:uid="{00000000-0005-0000-0000-000012B20000}"/>
    <cellStyle name="Normal 11 4 2 3 2 2 3 2 3" xfId="46151" xr:uid="{00000000-0005-0000-0000-000013B20000}"/>
    <cellStyle name="Normal 11 4 2 3 2 2 3 2 3 2" xfId="46152" xr:uid="{00000000-0005-0000-0000-000014B20000}"/>
    <cellStyle name="Normal 11 4 2 3 2 2 3 2 4" xfId="46153" xr:uid="{00000000-0005-0000-0000-000015B20000}"/>
    <cellStyle name="Normal 11 4 2 3 2 2 3 3" xfId="46154" xr:uid="{00000000-0005-0000-0000-000016B20000}"/>
    <cellStyle name="Normal 11 4 2 3 2 2 3 3 2" xfId="46155" xr:uid="{00000000-0005-0000-0000-000017B20000}"/>
    <cellStyle name="Normal 11 4 2 3 2 2 3 3 2 2" xfId="46156" xr:uid="{00000000-0005-0000-0000-000018B20000}"/>
    <cellStyle name="Normal 11 4 2 3 2 2 3 3 3" xfId="46157" xr:uid="{00000000-0005-0000-0000-000019B20000}"/>
    <cellStyle name="Normal 11 4 2 3 2 2 3 4" xfId="46158" xr:uid="{00000000-0005-0000-0000-00001AB20000}"/>
    <cellStyle name="Normal 11 4 2 3 2 2 3 4 2" xfId="46159" xr:uid="{00000000-0005-0000-0000-00001BB20000}"/>
    <cellStyle name="Normal 11 4 2 3 2 2 3 5" xfId="46160" xr:uid="{00000000-0005-0000-0000-00001CB20000}"/>
    <cellStyle name="Normal 11 4 2 3 2 2 4" xfId="46161" xr:uid="{00000000-0005-0000-0000-00001DB20000}"/>
    <cellStyle name="Normal 11 4 2 3 2 2 4 2" xfId="46162" xr:uid="{00000000-0005-0000-0000-00001EB20000}"/>
    <cellStyle name="Normal 11 4 2 3 2 2 4 2 2" xfId="46163" xr:uid="{00000000-0005-0000-0000-00001FB20000}"/>
    <cellStyle name="Normal 11 4 2 3 2 2 4 2 2 2" xfId="46164" xr:uid="{00000000-0005-0000-0000-000020B20000}"/>
    <cellStyle name="Normal 11 4 2 3 2 2 4 2 2 2 2" xfId="46165" xr:uid="{00000000-0005-0000-0000-000021B20000}"/>
    <cellStyle name="Normal 11 4 2 3 2 2 4 2 2 3" xfId="46166" xr:uid="{00000000-0005-0000-0000-000022B20000}"/>
    <cellStyle name="Normal 11 4 2 3 2 2 4 2 3" xfId="46167" xr:uid="{00000000-0005-0000-0000-000023B20000}"/>
    <cellStyle name="Normal 11 4 2 3 2 2 4 2 3 2" xfId="46168" xr:uid="{00000000-0005-0000-0000-000024B20000}"/>
    <cellStyle name="Normal 11 4 2 3 2 2 4 2 4" xfId="46169" xr:uid="{00000000-0005-0000-0000-000025B20000}"/>
    <cellStyle name="Normal 11 4 2 3 2 2 4 3" xfId="46170" xr:uid="{00000000-0005-0000-0000-000026B20000}"/>
    <cellStyle name="Normal 11 4 2 3 2 2 4 3 2" xfId="46171" xr:uid="{00000000-0005-0000-0000-000027B20000}"/>
    <cellStyle name="Normal 11 4 2 3 2 2 4 3 2 2" xfId="46172" xr:uid="{00000000-0005-0000-0000-000028B20000}"/>
    <cellStyle name="Normal 11 4 2 3 2 2 4 3 3" xfId="46173" xr:uid="{00000000-0005-0000-0000-000029B20000}"/>
    <cellStyle name="Normal 11 4 2 3 2 2 4 4" xfId="46174" xr:uid="{00000000-0005-0000-0000-00002AB20000}"/>
    <cellStyle name="Normal 11 4 2 3 2 2 4 4 2" xfId="46175" xr:uid="{00000000-0005-0000-0000-00002BB20000}"/>
    <cellStyle name="Normal 11 4 2 3 2 2 4 5" xfId="46176" xr:uid="{00000000-0005-0000-0000-00002CB20000}"/>
    <cellStyle name="Normal 11 4 2 3 2 2 5" xfId="46177" xr:uid="{00000000-0005-0000-0000-00002DB20000}"/>
    <cellStyle name="Normal 11 4 2 3 2 2 5 2" xfId="46178" xr:uid="{00000000-0005-0000-0000-00002EB20000}"/>
    <cellStyle name="Normal 11 4 2 3 2 2 5 2 2" xfId="46179" xr:uid="{00000000-0005-0000-0000-00002FB20000}"/>
    <cellStyle name="Normal 11 4 2 3 2 2 5 2 2 2" xfId="46180" xr:uid="{00000000-0005-0000-0000-000030B20000}"/>
    <cellStyle name="Normal 11 4 2 3 2 2 5 2 3" xfId="46181" xr:uid="{00000000-0005-0000-0000-000031B20000}"/>
    <cellStyle name="Normal 11 4 2 3 2 2 5 3" xfId="46182" xr:uid="{00000000-0005-0000-0000-000032B20000}"/>
    <cellStyle name="Normal 11 4 2 3 2 2 5 3 2" xfId="46183" xr:uid="{00000000-0005-0000-0000-000033B20000}"/>
    <cellStyle name="Normal 11 4 2 3 2 2 5 4" xfId="46184" xr:uid="{00000000-0005-0000-0000-000034B20000}"/>
    <cellStyle name="Normal 11 4 2 3 2 2 6" xfId="46185" xr:uid="{00000000-0005-0000-0000-000035B20000}"/>
    <cellStyle name="Normal 11 4 2 3 2 2 6 2" xfId="46186" xr:uid="{00000000-0005-0000-0000-000036B20000}"/>
    <cellStyle name="Normal 11 4 2 3 2 2 6 2 2" xfId="46187" xr:uid="{00000000-0005-0000-0000-000037B20000}"/>
    <cellStyle name="Normal 11 4 2 3 2 2 6 2 2 2" xfId="46188" xr:uid="{00000000-0005-0000-0000-000038B20000}"/>
    <cellStyle name="Normal 11 4 2 3 2 2 6 2 3" xfId="46189" xr:uid="{00000000-0005-0000-0000-000039B20000}"/>
    <cellStyle name="Normal 11 4 2 3 2 2 6 3" xfId="46190" xr:uid="{00000000-0005-0000-0000-00003AB20000}"/>
    <cellStyle name="Normal 11 4 2 3 2 2 6 3 2" xfId="46191" xr:uid="{00000000-0005-0000-0000-00003BB20000}"/>
    <cellStyle name="Normal 11 4 2 3 2 2 6 4" xfId="46192" xr:uid="{00000000-0005-0000-0000-00003CB20000}"/>
    <cellStyle name="Normal 11 4 2 3 2 2 7" xfId="46193" xr:uid="{00000000-0005-0000-0000-00003DB20000}"/>
    <cellStyle name="Normal 11 4 2 3 2 2 7 2" xfId="46194" xr:uid="{00000000-0005-0000-0000-00003EB20000}"/>
    <cellStyle name="Normal 11 4 2 3 2 2 7 2 2" xfId="46195" xr:uid="{00000000-0005-0000-0000-00003FB20000}"/>
    <cellStyle name="Normal 11 4 2 3 2 2 7 2 2 2" xfId="46196" xr:uid="{00000000-0005-0000-0000-000040B20000}"/>
    <cellStyle name="Normal 11 4 2 3 2 2 7 2 3" xfId="46197" xr:uid="{00000000-0005-0000-0000-000041B20000}"/>
    <cellStyle name="Normal 11 4 2 3 2 2 7 3" xfId="46198" xr:uid="{00000000-0005-0000-0000-000042B20000}"/>
    <cellStyle name="Normal 11 4 2 3 2 2 7 3 2" xfId="46199" xr:uid="{00000000-0005-0000-0000-000043B20000}"/>
    <cellStyle name="Normal 11 4 2 3 2 2 7 4" xfId="46200" xr:uid="{00000000-0005-0000-0000-000044B20000}"/>
    <cellStyle name="Normal 11 4 2 3 2 2 8" xfId="46201" xr:uid="{00000000-0005-0000-0000-000045B20000}"/>
    <cellStyle name="Normal 11 4 2 3 2 2 8 2" xfId="46202" xr:uid="{00000000-0005-0000-0000-000046B20000}"/>
    <cellStyle name="Normal 11 4 2 3 2 2 8 2 2" xfId="46203" xr:uid="{00000000-0005-0000-0000-000047B20000}"/>
    <cellStyle name="Normal 11 4 2 3 2 2 8 3" xfId="46204" xr:uid="{00000000-0005-0000-0000-000048B20000}"/>
    <cellStyle name="Normal 11 4 2 3 2 2 9" xfId="46205" xr:uid="{00000000-0005-0000-0000-000049B20000}"/>
    <cellStyle name="Normal 11 4 2 3 2 2 9 2" xfId="46206" xr:uid="{00000000-0005-0000-0000-00004AB20000}"/>
    <cellStyle name="Normal 11 4 2 3 2 3" xfId="1484" xr:uid="{00000000-0005-0000-0000-00004BB20000}"/>
    <cellStyle name="Normal 11 4 2 3 2 3 2" xfId="46208" xr:uid="{00000000-0005-0000-0000-00004CB20000}"/>
    <cellStyle name="Normal 11 4 2 3 2 3 2 2" xfId="46209" xr:uid="{00000000-0005-0000-0000-00004DB20000}"/>
    <cellStyle name="Normal 11 4 2 3 2 3 2 2 2" xfId="46210" xr:uid="{00000000-0005-0000-0000-00004EB20000}"/>
    <cellStyle name="Normal 11 4 2 3 2 3 2 2 2 2" xfId="46211" xr:uid="{00000000-0005-0000-0000-00004FB20000}"/>
    <cellStyle name="Normal 11 4 2 3 2 3 2 2 3" xfId="46212" xr:uid="{00000000-0005-0000-0000-000050B20000}"/>
    <cellStyle name="Normal 11 4 2 3 2 3 2 3" xfId="46213" xr:uid="{00000000-0005-0000-0000-000051B20000}"/>
    <cellStyle name="Normal 11 4 2 3 2 3 2 3 2" xfId="46214" xr:uid="{00000000-0005-0000-0000-000052B20000}"/>
    <cellStyle name="Normal 11 4 2 3 2 3 2 4" xfId="46215" xr:uid="{00000000-0005-0000-0000-000053B20000}"/>
    <cellStyle name="Normal 11 4 2 3 2 3 3" xfId="46216" xr:uid="{00000000-0005-0000-0000-000054B20000}"/>
    <cellStyle name="Normal 11 4 2 3 2 3 3 2" xfId="46217" xr:uid="{00000000-0005-0000-0000-000055B20000}"/>
    <cellStyle name="Normal 11 4 2 3 2 3 3 2 2" xfId="46218" xr:uid="{00000000-0005-0000-0000-000056B20000}"/>
    <cellStyle name="Normal 11 4 2 3 2 3 3 2 2 2" xfId="46219" xr:uid="{00000000-0005-0000-0000-000057B20000}"/>
    <cellStyle name="Normal 11 4 2 3 2 3 3 2 3" xfId="46220" xr:uid="{00000000-0005-0000-0000-000058B20000}"/>
    <cellStyle name="Normal 11 4 2 3 2 3 3 3" xfId="46221" xr:uid="{00000000-0005-0000-0000-000059B20000}"/>
    <cellStyle name="Normal 11 4 2 3 2 3 3 3 2" xfId="46222" xr:uid="{00000000-0005-0000-0000-00005AB20000}"/>
    <cellStyle name="Normal 11 4 2 3 2 3 3 4" xfId="46223" xr:uid="{00000000-0005-0000-0000-00005BB20000}"/>
    <cellStyle name="Normal 11 4 2 3 2 3 4" xfId="46224" xr:uid="{00000000-0005-0000-0000-00005CB20000}"/>
    <cellStyle name="Normal 11 4 2 3 2 3 4 2" xfId="46225" xr:uid="{00000000-0005-0000-0000-00005DB20000}"/>
    <cellStyle name="Normal 11 4 2 3 2 3 4 2 2" xfId="46226" xr:uid="{00000000-0005-0000-0000-00005EB20000}"/>
    <cellStyle name="Normal 11 4 2 3 2 3 4 3" xfId="46227" xr:uid="{00000000-0005-0000-0000-00005FB20000}"/>
    <cellStyle name="Normal 11 4 2 3 2 3 5" xfId="46228" xr:uid="{00000000-0005-0000-0000-000060B20000}"/>
    <cellStyle name="Normal 11 4 2 3 2 3 5 2" xfId="46229" xr:uid="{00000000-0005-0000-0000-000061B20000}"/>
    <cellStyle name="Normal 11 4 2 3 2 3 6" xfId="46230" xr:uid="{00000000-0005-0000-0000-000062B20000}"/>
    <cellStyle name="Normal 11 4 2 3 2 3 7" xfId="46207" xr:uid="{00000000-0005-0000-0000-000063B20000}"/>
    <cellStyle name="Normal 11 4 2 3 2 4" xfId="46231" xr:uid="{00000000-0005-0000-0000-000064B20000}"/>
    <cellStyle name="Normal 11 4 2 3 2 4 2" xfId="46232" xr:uid="{00000000-0005-0000-0000-000065B20000}"/>
    <cellStyle name="Normal 11 4 2 3 2 4 2 2" xfId="46233" xr:uid="{00000000-0005-0000-0000-000066B20000}"/>
    <cellStyle name="Normal 11 4 2 3 2 4 2 2 2" xfId="46234" xr:uid="{00000000-0005-0000-0000-000067B20000}"/>
    <cellStyle name="Normal 11 4 2 3 2 4 2 2 2 2" xfId="46235" xr:uid="{00000000-0005-0000-0000-000068B20000}"/>
    <cellStyle name="Normal 11 4 2 3 2 4 2 2 3" xfId="46236" xr:uid="{00000000-0005-0000-0000-000069B20000}"/>
    <cellStyle name="Normal 11 4 2 3 2 4 2 3" xfId="46237" xr:uid="{00000000-0005-0000-0000-00006AB20000}"/>
    <cellStyle name="Normal 11 4 2 3 2 4 2 3 2" xfId="46238" xr:uid="{00000000-0005-0000-0000-00006BB20000}"/>
    <cellStyle name="Normal 11 4 2 3 2 4 2 4" xfId="46239" xr:uid="{00000000-0005-0000-0000-00006CB20000}"/>
    <cellStyle name="Normal 11 4 2 3 2 4 3" xfId="46240" xr:uid="{00000000-0005-0000-0000-00006DB20000}"/>
    <cellStyle name="Normal 11 4 2 3 2 4 3 2" xfId="46241" xr:uid="{00000000-0005-0000-0000-00006EB20000}"/>
    <cellStyle name="Normal 11 4 2 3 2 4 3 2 2" xfId="46242" xr:uid="{00000000-0005-0000-0000-00006FB20000}"/>
    <cellStyle name="Normal 11 4 2 3 2 4 3 3" xfId="46243" xr:uid="{00000000-0005-0000-0000-000070B20000}"/>
    <cellStyle name="Normal 11 4 2 3 2 4 4" xfId="46244" xr:uid="{00000000-0005-0000-0000-000071B20000}"/>
    <cellStyle name="Normal 11 4 2 3 2 4 4 2" xfId="46245" xr:uid="{00000000-0005-0000-0000-000072B20000}"/>
    <cellStyle name="Normal 11 4 2 3 2 4 5" xfId="46246" xr:uid="{00000000-0005-0000-0000-000073B20000}"/>
    <cellStyle name="Normal 11 4 2 3 2 5" xfId="46247" xr:uid="{00000000-0005-0000-0000-000074B20000}"/>
    <cellStyle name="Normal 11 4 2 3 2 5 2" xfId="46248" xr:uid="{00000000-0005-0000-0000-000075B20000}"/>
    <cellStyle name="Normal 11 4 2 3 2 5 2 2" xfId="46249" xr:uid="{00000000-0005-0000-0000-000076B20000}"/>
    <cellStyle name="Normal 11 4 2 3 2 5 2 2 2" xfId="46250" xr:uid="{00000000-0005-0000-0000-000077B20000}"/>
    <cellStyle name="Normal 11 4 2 3 2 5 2 2 2 2" xfId="46251" xr:uid="{00000000-0005-0000-0000-000078B20000}"/>
    <cellStyle name="Normal 11 4 2 3 2 5 2 2 3" xfId="46252" xr:uid="{00000000-0005-0000-0000-000079B20000}"/>
    <cellStyle name="Normal 11 4 2 3 2 5 2 3" xfId="46253" xr:uid="{00000000-0005-0000-0000-00007AB20000}"/>
    <cellStyle name="Normal 11 4 2 3 2 5 2 3 2" xfId="46254" xr:uid="{00000000-0005-0000-0000-00007BB20000}"/>
    <cellStyle name="Normal 11 4 2 3 2 5 2 4" xfId="46255" xr:uid="{00000000-0005-0000-0000-00007CB20000}"/>
    <cellStyle name="Normal 11 4 2 3 2 5 3" xfId="46256" xr:uid="{00000000-0005-0000-0000-00007DB20000}"/>
    <cellStyle name="Normal 11 4 2 3 2 5 3 2" xfId="46257" xr:uid="{00000000-0005-0000-0000-00007EB20000}"/>
    <cellStyle name="Normal 11 4 2 3 2 5 3 2 2" xfId="46258" xr:uid="{00000000-0005-0000-0000-00007FB20000}"/>
    <cellStyle name="Normal 11 4 2 3 2 5 3 3" xfId="46259" xr:uid="{00000000-0005-0000-0000-000080B20000}"/>
    <cellStyle name="Normal 11 4 2 3 2 5 4" xfId="46260" xr:uid="{00000000-0005-0000-0000-000081B20000}"/>
    <cellStyle name="Normal 11 4 2 3 2 5 4 2" xfId="46261" xr:uid="{00000000-0005-0000-0000-000082B20000}"/>
    <cellStyle name="Normal 11 4 2 3 2 5 5" xfId="46262" xr:uid="{00000000-0005-0000-0000-000083B20000}"/>
    <cellStyle name="Normal 11 4 2 3 2 6" xfId="46263" xr:uid="{00000000-0005-0000-0000-000084B20000}"/>
    <cellStyle name="Normal 11 4 2 3 2 6 2" xfId="46264" xr:uid="{00000000-0005-0000-0000-000085B20000}"/>
    <cellStyle name="Normal 11 4 2 3 2 6 2 2" xfId="46265" xr:uid="{00000000-0005-0000-0000-000086B20000}"/>
    <cellStyle name="Normal 11 4 2 3 2 6 2 2 2" xfId="46266" xr:uid="{00000000-0005-0000-0000-000087B20000}"/>
    <cellStyle name="Normal 11 4 2 3 2 6 2 3" xfId="46267" xr:uid="{00000000-0005-0000-0000-000088B20000}"/>
    <cellStyle name="Normal 11 4 2 3 2 6 3" xfId="46268" xr:uid="{00000000-0005-0000-0000-000089B20000}"/>
    <cellStyle name="Normal 11 4 2 3 2 6 3 2" xfId="46269" xr:uid="{00000000-0005-0000-0000-00008AB20000}"/>
    <cellStyle name="Normal 11 4 2 3 2 6 4" xfId="46270" xr:uid="{00000000-0005-0000-0000-00008BB20000}"/>
    <cellStyle name="Normal 11 4 2 3 2 7" xfId="46271" xr:uid="{00000000-0005-0000-0000-00008CB20000}"/>
    <cellStyle name="Normal 11 4 2 3 2 7 2" xfId="46272" xr:uid="{00000000-0005-0000-0000-00008DB20000}"/>
    <cellStyle name="Normal 11 4 2 3 2 7 2 2" xfId="46273" xr:uid="{00000000-0005-0000-0000-00008EB20000}"/>
    <cellStyle name="Normal 11 4 2 3 2 7 2 2 2" xfId="46274" xr:uid="{00000000-0005-0000-0000-00008FB20000}"/>
    <cellStyle name="Normal 11 4 2 3 2 7 2 3" xfId="46275" xr:uid="{00000000-0005-0000-0000-000090B20000}"/>
    <cellStyle name="Normal 11 4 2 3 2 7 3" xfId="46276" xr:uid="{00000000-0005-0000-0000-000091B20000}"/>
    <cellStyle name="Normal 11 4 2 3 2 7 3 2" xfId="46277" xr:uid="{00000000-0005-0000-0000-000092B20000}"/>
    <cellStyle name="Normal 11 4 2 3 2 7 4" xfId="46278" xr:uid="{00000000-0005-0000-0000-000093B20000}"/>
    <cellStyle name="Normal 11 4 2 3 2 8" xfId="46279" xr:uid="{00000000-0005-0000-0000-000094B20000}"/>
    <cellStyle name="Normal 11 4 2 3 2 8 2" xfId="46280" xr:uid="{00000000-0005-0000-0000-000095B20000}"/>
    <cellStyle name="Normal 11 4 2 3 2 8 2 2" xfId="46281" xr:uid="{00000000-0005-0000-0000-000096B20000}"/>
    <cellStyle name="Normal 11 4 2 3 2 8 2 2 2" xfId="46282" xr:uid="{00000000-0005-0000-0000-000097B20000}"/>
    <cellStyle name="Normal 11 4 2 3 2 8 2 3" xfId="46283" xr:uid="{00000000-0005-0000-0000-000098B20000}"/>
    <cellStyle name="Normal 11 4 2 3 2 8 3" xfId="46284" xr:uid="{00000000-0005-0000-0000-000099B20000}"/>
    <cellStyle name="Normal 11 4 2 3 2 8 3 2" xfId="46285" xr:uid="{00000000-0005-0000-0000-00009AB20000}"/>
    <cellStyle name="Normal 11 4 2 3 2 8 4" xfId="46286" xr:uid="{00000000-0005-0000-0000-00009BB20000}"/>
    <cellStyle name="Normal 11 4 2 3 2 9" xfId="46287" xr:uid="{00000000-0005-0000-0000-00009CB20000}"/>
    <cellStyle name="Normal 11 4 2 3 2 9 2" xfId="46288" xr:uid="{00000000-0005-0000-0000-00009DB20000}"/>
    <cellStyle name="Normal 11 4 2 3 2 9 2 2" xfId="46289" xr:uid="{00000000-0005-0000-0000-00009EB20000}"/>
    <cellStyle name="Normal 11 4 2 3 2 9 3" xfId="46290" xr:uid="{00000000-0005-0000-0000-00009FB20000}"/>
    <cellStyle name="Normal 11 4 2 3 3" xfId="641" xr:uid="{00000000-0005-0000-0000-0000A0B20000}"/>
    <cellStyle name="Normal 11 4 2 3 3 10" xfId="46292" xr:uid="{00000000-0005-0000-0000-0000A1B20000}"/>
    <cellStyle name="Normal 11 4 2 3 3 10 2" xfId="46293" xr:uid="{00000000-0005-0000-0000-0000A2B20000}"/>
    <cellStyle name="Normal 11 4 2 3 3 10 2 2" xfId="46294" xr:uid="{00000000-0005-0000-0000-0000A3B20000}"/>
    <cellStyle name="Normal 11 4 2 3 3 10 3" xfId="46295" xr:uid="{00000000-0005-0000-0000-0000A4B20000}"/>
    <cellStyle name="Normal 11 4 2 3 3 11" xfId="46296" xr:uid="{00000000-0005-0000-0000-0000A5B20000}"/>
    <cellStyle name="Normal 11 4 2 3 3 11 2" xfId="46297" xr:uid="{00000000-0005-0000-0000-0000A6B20000}"/>
    <cellStyle name="Normal 11 4 2 3 3 11 2 2" xfId="46298" xr:uid="{00000000-0005-0000-0000-0000A7B20000}"/>
    <cellStyle name="Normal 11 4 2 3 3 11 3" xfId="46299" xr:uid="{00000000-0005-0000-0000-0000A8B20000}"/>
    <cellStyle name="Normal 11 4 2 3 3 12" xfId="46300" xr:uid="{00000000-0005-0000-0000-0000A9B20000}"/>
    <cellStyle name="Normal 11 4 2 3 3 12 2" xfId="46301" xr:uid="{00000000-0005-0000-0000-0000AAB20000}"/>
    <cellStyle name="Normal 11 4 2 3 3 13" xfId="46302" xr:uid="{00000000-0005-0000-0000-0000ABB20000}"/>
    <cellStyle name="Normal 11 4 2 3 3 14" xfId="46303" xr:uid="{00000000-0005-0000-0000-0000ACB20000}"/>
    <cellStyle name="Normal 11 4 2 3 3 15" xfId="46291" xr:uid="{00000000-0005-0000-0000-0000ADB20000}"/>
    <cellStyle name="Normal 11 4 2 3 3 2" xfId="1083" xr:uid="{00000000-0005-0000-0000-0000AEB20000}"/>
    <cellStyle name="Normal 11 4 2 3 3 2 10" xfId="46305" xr:uid="{00000000-0005-0000-0000-0000AFB20000}"/>
    <cellStyle name="Normal 11 4 2 3 3 2 11" xfId="46304" xr:uid="{00000000-0005-0000-0000-0000B0B20000}"/>
    <cellStyle name="Normal 11 4 2 3 3 2 2" xfId="1812" xr:uid="{00000000-0005-0000-0000-0000B1B20000}"/>
    <cellStyle name="Normal 11 4 2 3 3 2 2 2" xfId="46307" xr:uid="{00000000-0005-0000-0000-0000B2B20000}"/>
    <cellStyle name="Normal 11 4 2 3 3 2 2 2 2" xfId="46308" xr:uid="{00000000-0005-0000-0000-0000B3B20000}"/>
    <cellStyle name="Normal 11 4 2 3 3 2 2 2 2 2" xfId="46309" xr:uid="{00000000-0005-0000-0000-0000B4B20000}"/>
    <cellStyle name="Normal 11 4 2 3 3 2 2 2 2 2 2" xfId="46310" xr:uid="{00000000-0005-0000-0000-0000B5B20000}"/>
    <cellStyle name="Normal 11 4 2 3 3 2 2 2 2 3" xfId="46311" xr:uid="{00000000-0005-0000-0000-0000B6B20000}"/>
    <cellStyle name="Normal 11 4 2 3 3 2 2 2 3" xfId="46312" xr:uid="{00000000-0005-0000-0000-0000B7B20000}"/>
    <cellStyle name="Normal 11 4 2 3 3 2 2 2 3 2" xfId="46313" xr:uid="{00000000-0005-0000-0000-0000B8B20000}"/>
    <cellStyle name="Normal 11 4 2 3 3 2 2 2 4" xfId="46314" xr:uid="{00000000-0005-0000-0000-0000B9B20000}"/>
    <cellStyle name="Normal 11 4 2 3 3 2 2 3" xfId="46315" xr:uid="{00000000-0005-0000-0000-0000BAB20000}"/>
    <cellStyle name="Normal 11 4 2 3 3 2 2 3 2" xfId="46316" xr:uid="{00000000-0005-0000-0000-0000BBB20000}"/>
    <cellStyle name="Normal 11 4 2 3 3 2 2 3 2 2" xfId="46317" xr:uid="{00000000-0005-0000-0000-0000BCB20000}"/>
    <cellStyle name="Normal 11 4 2 3 3 2 2 3 2 2 2" xfId="46318" xr:uid="{00000000-0005-0000-0000-0000BDB20000}"/>
    <cellStyle name="Normal 11 4 2 3 3 2 2 3 2 3" xfId="46319" xr:uid="{00000000-0005-0000-0000-0000BEB20000}"/>
    <cellStyle name="Normal 11 4 2 3 3 2 2 3 3" xfId="46320" xr:uid="{00000000-0005-0000-0000-0000BFB20000}"/>
    <cellStyle name="Normal 11 4 2 3 3 2 2 3 3 2" xfId="46321" xr:uid="{00000000-0005-0000-0000-0000C0B20000}"/>
    <cellStyle name="Normal 11 4 2 3 3 2 2 3 4" xfId="46322" xr:uid="{00000000-0005-0000-0000-0000C1B20000}"/>
    <cellStyle name="Normal 11 4 2 3 3 2 2 4" xfId="46323" xr:uid="{00000000-0005-0000-0000-0000C2B20000}"/>
    <cellStyle name="Normal 11 4 2 3 3 2 2 4 2" xfId="46324" xr:uid="{00000000-0005-0000-0000-0000C3B20000}"/>
    <cellStyle name="Normal 11 4 2 3 3 2 2 4 2 2" xfId="46325" xr:uid="{00000000-0005-0000-0000-0000C4B20000}"/>
    <cellStyle name="Normal 11 4 2 3 3 2 2 4 3" xfId="46326" xr:uid="{00000000-0005-0000-0000-0000C5B20000}"/>
    <cellStyle name="Normal 11 4 2 3 3 2 2 5" xfId="46327" xr:uid="{00000000-0005-0000-0000-0000C6B20000}"/>
    <cellStyle name="Normal 11 4 2 3 3 2 2 5 2" xfId="46328" xr:uid="{00000000-0005-0000-0000-0000C7B20000}"/>
    <cellStyle name="Normal 11 4 2 3 3 2 2 6" xfId="46329" xr:uid="{00000000-0005-0000-0000-0000C8B20000}"/>
    <cellStyle name="Normal 11 4 2 3 3 2 2 7" xfId="46306" xr:uid="{00000000-0005-0000-0000-0000C9B20000}"/>
    <cellStyle name="Normal 11 4 2 3 3 2 3" xfId="46330" xr:uid="{00000000-0005-0000-0000-0000CAB20000}"/>
    <cellStyle name="Normal 11 4 2 3 3 2 3 2" xfId="46331" xr:uid="{00000000-0005-0000-0000-0000CBB20000}"/>
    <cellStyle name="Normal 11 4 2 3 3 2 3 2 2" xfId="46332" xr:uid="{00000000-0005-0000-0000-0000CCB20000}"/>
    <cellStyle name="Normal 11 4 2 3 3 2 3 2 2 2" xfId="46333" xr:uid="{00000000-0005-0000-0000-0000CDB20000}"/>
    <cellStyle name="Normal 11 4 2 3 3 2 3 2 2 2 2" xfId="46334" xr:uid="{00000000-0005-0000-0000-0000CEB20000}"/>
    <cellStyle name="Normal 11 4 2 3 3 2 3 2 2 3" xfId="46335" xr:uid="{00000000-0005-0000-0000-0000CFB20000}"/>
    <cellStyle name="Normal 11 4 2 3 3 2 3 2 3" xfId="46336" xr:uid="{00000000-0005-0000-0000-0000D0B20000}"/>
    <cellStyle name="Normal 11 4 2 3 3 2 3 2 3 2" xfId="46337" xr:uid="{00000000-0005-0000-0000-0000D1B20000}"/>
    <cellStyle name="Normal 11 4 2 3 3 2 3 2 4" xfId="46338" xr:uid="{00000000-0005-0000-0000-0000D2B20000}"/>
    <cellStyle name="Normal 11 4 2 3 3 2 3 3" xfId="46339" xr:uid="{00000000-0005-0000-0000-0000D3B20000}"/>
    <cellStyle name="Normal 11 4 2 3 3 2 3 3 2" xfId="46340" xr:uid="{00000000-0005-0000-0000-0000D4B20000}"/>
    <cellStyle name="Normal 11 4 2 3 3 2 3 3 2 2" xfId="46341" xr:uid="{00000000-0005-0000-0000-0000D5B20000}"/>
    <cellStyle name="Normal 11 4 2 3 3 2 3 3 3" xfId="46342" xr:uid="{00000000-0005-0000-0000-0000D6B20000}"/>
    <cellStyle name="Normal 11 4 2 3 3 2 3 4" xfId="46343" xr:uid="{00000000-0005-0000-0000-0000D7B20000}"/>
    <cellStyle name="Normal 11 4 2 3 3 2 3 4 2" xfId="46344" xr:uid="{00000000-0005-0000-0000-0000D8B20000}"/>
    <cellStyle name="Normal 11 4 2 3 3 2 3 5" xfId="46345" xr:uid="{00000000-0005-0000-0000-0000D9B20000}"/>
    <cellStyle name="Normal 11 4 2 3 3 2 4" xfId="46346" xr:uid="{00000000-0005-0000-0000-0000DAB20000}"/>
    <cellStyle name="Normal 11 4 2 3 3 2 4 2" xfId="46347" xr:uid="{00000000-0005-0000-0000-0000DBB20000}"/>
    <cellStyle name="Normal 11 4 2 3 3 2 4 2 2" xfId="46348" xr:uid="{00000000-0005-0000-0000-0000DCB20000}"/>
    <cellStyle name="Normal 11 4 2 3 3 2 4 2 2 2" xfId="46349" xr:uid="{00000000-0005-0000-0000-0000DDB20000}"/>
    <cellStyle name="Normal 11 4 2 3 3 2 4 2 2 2 2" xfId="46350" xr:uid="{00000000-0005-0000-0000-0000DEB20000}"/>
    <cellStyle name="Normal 11 4 2 3 3 2 4 2 2 3" xfId="46351" xr:uid="{00000000-0005-0000-0000-0000DFB20000}"/>
    <cellStyle name="Normal 11 4 2 3 3 2 4 2 3" xfId="46352" xr:uid="{00000000-0005-0000-0000-0000E0B20000}"/>
    <cellStyle name="Normal 11 4 2 3 3 2 4 2 3 2" xfId="46353" xr:uid="{00000000-0005-0000-0000-0000E1B20000}"/>
    <cellStyle name="Normal 11 4 2 3 3 2 4 2 4" xfId="46354" xr:uid="{00000000-0005-0000-0000-0000E2B20000}"/>
    <cellStyle name="Normal 11 4 2 3 3 2 4 3" xfId="46355" xr:uid="{00000000-0005-0000-0000-0000E3B20000}"/>
    <cellStyle name="Normal 11 4 2 3 3 2 4 3 2" xfId="46356" xr:uid="{00000000-0005-0000-0000-0000E4B20000}"/>
    <cellStyle name="Normal 11 4 2 3 3 2 4 3 2 2" xfId="46357" xr:uid="{00000000-0005-0000-0000-0000E5B20000}"/>
    <cellStyle name="Normal 11 4 2 3 3 2 4 3 3" xfId="46358" xr:uid="{00000000-0005-0000-0000-0000E6B20000}"/>
    <cellStyle name="Normal 11 4 2 3 3 2 4 4" xfId="46359" xr:uid="{00000000-0005-0000-0000-0000E7B20000}"/>
    <cellStyle name="Normal 11 4 2 3 3 2 4 4 2" xfId="46360" xr:uid="{00000000-0005-0000-0000-0000E8B20000}"/>
    <cellStyle name="Normal 11 4 2 3 3 2 4 5" xfId="46361" xr:uid="{00000000-0005-0000-0000-0000E9B20000}"/>
    <cellStyle name="Normal 11 4 2 3 3 2 5" xfId="46362" xr:uid="{00000000-0005-0000-0000-0000EAB20000}"/>
    <cellStyle name="Normal 11 4 2 3 3 2 5 2" xfId="46363" xr:uid="{00000000-0005-0000-0000-0000EBB20000}"/>
    <cellStyle name="Normal 11 4 2 3 3 2 5 2 2" xfId="46364" xr:uid="{00000000-0005-0000-0000-0000ECB20000}"/>
    <cellStyle name="Normal 11 4 2 3 3 2 5 2 2 2" xfId="46365" xr:uid="{00000000-0005-0000-0000-0000EDB20000}"/>
    <cellStyle name="Normal 11 4 2 3 3 2 5 2 3" xfId="46366" xr:uid="{00000000-0005-0000-0000-0000EEB20000}"/>
    <cellStyle name="Normal 11 4 2 3 3 2 5 3" xfId="46367" xr:uid="{00000000-0005-0000-0000-0000EFB20000}"/>
    <cellStyle name="Normal 11 4 2 3 3 2 5 3 2" xfId="46368" xr:uid="{00000000-0005-0000-0000-0000F0B20000}"/>
    <cellStyle name="Normal 11 4 2 3 3 2 5 4" xfId="46369" xr:uid="{00000000-0005-0000-0000-0000F1B20000}"/>
    <cellStyle name="Normal 11 4 2 3 3 2 6" xfId="46370" xr:uid="{00000000-0005-0000-0000-0000F2B20000}"/>
    <cellStyle name="Normal 11 4 2 3 3 2 6 2" xfId="46371" xr:uid="{00000000-0005-0000-0000-0000F3B20000}"/>
    <cellStyle name="Normal 11 4 2 3 3 2 6 2 2" xfId="46372" xr:uid="{00000000-0005-0000-0000-0000F4B20000}"/>
    <cellStyle name="Normal 11 4 2 3 3 2 6 2 2 2" xfId="46373" xr:uid="{00000000-0005-0000-0000-0000F5B20000}"/>
    <cellStyle name="Normal 11 4 2 3 3 2 6 2 3" xfId="46374" xr:uid="{00000000-0005-0000-0000-0000F6B20000}"/>
    <cellStyle name="Normal 11 4 2 3 3 2 6 3" xfId="46375" xr:uid="{00000000-0005-0000-0000-0000F7B20000}"/>
    <cellStyle name="Normal 11 4 2 3 3 2 6 3 2" xfId="46376" xr:uid="{00000000-0005-0000-0000-0000F8B20000}"/>
    <cellStyle name="Normal 11 4 2 3 3 2 6 4" xfId="46377" xr:uid="{00000000-0005-0000-0000-0000F9B20000}"/>
    <cellStyle name="Normal 11 4 2 3 3 2 7" xfId="46378" xr:uid="{00000000-0005-0000-0000-0000FAB20000}"/>
    <cellStyle name="Normal 11 4 2 3 3 2 7 2" xfId="46379" xr:uid="{00000000-0005-0000-0000-0000FBB20000}"/>
    <cellStyle name="Normal 11 4 2 3 3 2 7 2 2" xfId="46380" xr:uid="{00000000-0005-0000-0000-0000FCB20000}"/>
    <cellStyle name="Normal 11 4 2 3 3 2 7 2 2 2" xfId="46381" xr:uid="{00000000-0005-0000-0000-0000FDB20000}"/>
    <cellStyle name="Normal 11 4 2 3 3 2 7 2 3" xfId="46382" xr:uid="{00000000-0005-0000-0000-0000FEB20000}"/>
    <cellStyle name="Normal 11 4 2 3 3 2 7 3" xfId="46383" xr:uid="{00000000-0005-0000-0000-0000FFB20000}"/>
    <cellStyle name="Normal 11 4 2 3 3 2 7 3 2" xfId="46384" xr:uid="{00000000-0005-0000-0000-000000B30000}"/>
    <cellStyle name="Normal 11 4 2 3 3 2 7 4" xfId="46385" xr:uid="{00000000-0005-0000-0000-000001B30000}"/>
    <cellStyle name="Normal 11 4 2 3 3 2 8" xfId="46386" xr:uid="{00000000-0005-0000-0000-000002B30000}"/>
    <cellStyle name="Normal 11 4 2 3 3 2 8 2" xfId="46387" xr:uid="{00000000-0005-0000-0000-000003B30000}"/>
    <cellStyle name="Normal 11 4 2 3 3 2 8 2 2" xfId="46388" xr:uid="{00000000-0005-0000-0000-000004B30000}"/>
    <cellStyle name="Normal 11 4 2 3 3 2 8 3" xfId="46389" xr:uid="{00000000-0005-0000-0000-000005B30000}"/>
    <cellStyle name="Normal 11 4 2 3 3 2 9" xfId="46390" xr:uid="{00000000-0005-0000-0000-000006B30000}"/>
    <cellStyle name="Normal 11 4 2 3 3 2 9 2" xfId="46391" xr:uid="{00000000-0005-0000-0000-000007B30000}"/>
    <cellStyle name="Normal 11 4 2 3 3 3" xfId="1485" xr:uid="{00000000-0005-0000-0000-000008B30000}"/>
    <cellStyle name="Normal 11 4 2 3 3 3 2" xfId="46393" xr:uid="{00000000-0005-0000-0000-000009B30000}"/>
    <cellStyle name="Normal 11 4 2 3 3 3 2 2" xfId="46394" xr:uid="{00000000-0005-0000-0000-00000AB30000}"/>
    <cellStyle name="Normal 11 4 2 3 3 3 2 2 2" xfId="46395" xr:uid="{00000000-0005-0000-0000-00000BB30000}"/>
    <cellStyle name="Normal 11 4 2 3 3 3 2 2 2 2" xfId="46396" xr:uid="{00000000-0005-0000-0000-00000CB30000}"/>
    <cellStyle name="Normal 11 4 2 3 3 3 2 2 3" xfId="46397" xr:uid="{00000000-0005-0000-0000-00000DB30000}"/>
    <cellStyle name="Normal 11 4 2 3 3 3 2 3" xfId="46398" xr:uid="{00000000-0005-0000-0000-00000EB30000}"/>
    <cellStyle name="Normal 11 4 2 3 3 3 2 3 2" xfId="46399" xr:uid="{00000000-0005-0000-0000-00000FB30000}"/>
    <cellStyle name="Normal 11 4 2 3 3 3 2 4" xfId="46400" xr:uid="{00000000-0005-0000-0000-000010B30000}"/>
    <cellStyle name="Normal 11 4 2 3 3 3 3" xfId="46401" xr:uid="{00000000-0005-0000-0000-000011B30000}"/>
    <cellStyle name="Normal 11 4 2 3 3 3 3 2" xfId="46402" xr:uid="{00000000-0005-0000-0000-000012B30000}"/>
    <cellStyle name="Normal 11 4 2 3 3 3 3 2 2" xfId="46403" xr:uid="{00000000-0005-0000-0000-000013B30000}"/>
    <cellStyle name="Normal 11 4 2 3 3 3 3 2 2 2" xfId="46404" xr:uid="{00000000-0005-0000-0000-000014B30000}"/>
    <cellStyle name="Normal 11 4 2 3 3 3 3 2 3" xfId="46405" xr:uid="{00000000-0005-0000-0000-000015B30000}"/>
    <cellStyle name="Normal 11 4 2 3 3 3 3 3" xfId="46406" xr:uid="{00000000-0005-0000-0000-000016B30000}"/>
    <cellStyle name="Normal 11 4 2 3 3 3 3 3 2" xfId="46407" xr:uid="{00000000-0005-0000-0000-000017B30000}"/>
    <cellStyle name="Normal 11 4 2 3 3 3 3 4" xfId="46408" xr:uid="{00000000-0005-0000-0000-000018B30000}"/>
    <cellStyle name="Normal 11 4 2 3 3 3 4" xfId="46409" xr:uid="{00000000-0005-0000-0000-000019B30000}"/>
    <cellStyle name="Normal 11 4 2 3 3 3 4 2" xfId="46410" xr:uid="{00000000-0005-0000-0000-00001AB30000}"/>
    <cellStyle name="Normal 11 4 2 3 3 3 4 2 2" xfId="46411" xr:uid="{00000000-0005-0000-0000-00001BB30000}"/>
    <cellStyle name="Normal 11 4 2 3 3 3 4 3" xfId="46412" xr:uid="{00000000-0005-0000-0000-00001CB30000}"/>
    <cellStyle name="Normal 11 4 2 3 3 3 5" xfId="46413" xr:uid="{00000000-0005-0000-0000-00001DB30000}"/>
    <cellStyle name="Normal 11 4 2 3 3 3 5 2" xfId="46414" xr:uid="{00000000-0005-0000-0000-00001EB30000}"/>
    <cellStyle name="Normal 11 4 2 3 3 3 6" xfId="46415" xr:uid="{00000000-0005-0000-0000-00001FB30000}"/>
    <cellStyle name="Normal 11 4 2 3 3 3 7" xfId="46392" xr:uid="{00000000-0005-0000-0000-000020B30000}"/>
    <cellStyle name="Normal 11 4 2 3 3 4" xfId="46416" xr:uid="{00000000-0005-0000-0000-000021B30000}"/>
    <cellStyle name="Normal 11 4 2 3 3 4 2" xfId="46417" xr:uid="{00000000-0005-0000-0000-000022B30000}"/>
    <cellStyle name="Normal 11 4 2 3 3 4 2 2" xfId="46418" xr:uid="{00000000-0005-0000-0000-000023B30000}"/>
    <cellStyle name="Normal 11 4 2 3 3 4 2 2 2" xfId="46419" xr:uid="{00000000-0005-0000-0000-000024B30000}"/>
    <cellStyle name="Normal 11 4 2 3 3 4 2 2 2 2" xfId="46420" xr:uid="{00000000-0005-0000-0000-000025B30000}"/>
    <cellStyle name="Normal 11 4 2 3 3 4 2 2 3" xfId="46421" xr:uid="{00000000-0005-0000-0000-000026B30000}"/>
    <cellStyle name="Normal 11 4 2 3 3 4 2 3" xfId="46422" xr:uid="{00000000-0005-0000-0000-000027B30000}"/>
    <cellStyle name="Normal 11 4 2 3 3 4 2 3 2" xfId="46423" xr:uid="{00000000-0005-0000-0000-000028B30000}"/>
    <cellStyle name="Normal 11 4 2 3 3 4 2 4" xfId="46424" xr:uid="{00000000-0005-0000-0000-000029B30000}"/>
    <cellStyle name="Normal 11 4 2 3 3 4 3" xfId="46425" xr:uid="{00000000-0005-0000-0000-00002AB30000}"/>
    <cellStyle name="Normal 11 4 2 3 3 4 3 2" xfId="46426" xr:uid="{00000000-0005-0000-0000-00002BB30000}"/>
    <cellStyle name="Normal 11 4 2 3 3 4 3 2 2" xfId="46427" xr:uid="{00000000-0005-0000-0000-00002CB30000}"/>
    <cellStyle name="Normal 11 4 2 3 3 4 3 3" xfId="46428" xr:uid="{00000000-0005-0000-0000-00002DB30000}"/>
    <cellStyle name="Normal 11 4 2 3 3 4 4" xfId="46429" xr:uid="{00000000-0005-0000-0000-00002EB30000}"/>
    <cellStyle name="Normal 11 4 2 3 3 4 4 2" xfId="46430" xr:uid="{00000000-0005-0000-0000-00002FB30000}"/>
    <cellStyle name="Normal 11 4 2 3 3 4 5" xfId="46431" xr:uid="{00000000-0005-0000-0000-000030B30000}"/>
    <cellStyle name="Normal 11 4 2 3 3 5" xfId="46432" xr:uid="{00000000-0005-0000-0000-000031B30000}"/>
    <cellStyle name="Normal 11 4 2 3 3 5 2" xfId="46433" xr:uid="{00000000-0005-0000-0000-000032B30000}"/>
    <cellStyle name="Normal 11 4 2 3 3 5 2 2" xfId="46434" xr:uid="{00000000-0005-0000-0000-000033B30000}"/>
    <cellStyle name="Normal 11 4 2 3 3 5 2 2 2" xfId="46435" xr:uid="{00000000-0005-0000-0000-000034B30000}"/>
    <cellStyle name="Normal 11 4 2 3 3 5 2 2 2 2" xfId="46436" xr:uid="{00000000-0005-0000-0000-000035B30000}"/>
    <cellStyle name="Normal 11 4 2 3 3 5 2 2 3" xfId="46437" xr:uid="{00000000-0005-0000-0000-000036B30000}"/>
    <cellStyle name="Normal 11 4 2 3 3 5 2 3" xfId="46438" xr:uid="{00000000-0005-0000-0000-000037B30000}"/>
    <cellStyle name="Normal 11 4 2 3 3 5 2 3 2" xfId="46439" xr:uid="{00000000-0005-0000-0000-000038B30000}"/>
    <cellStyle name="Normal 11 4 2 3 3 5 2 4" xfId="46440" xr:uid="{00000000-0005-0000-0000-000039B30000}"/>
    <cellStyle name="Normal 11 4 2 3 3 5 3" xfId="46441" xr:uid="{00000000-0005-0000-0000-00003AB30000}"/>
    <cellStyle name="Normal 11 4 2 3 3 5 3 2" xfId="46442" xr:uid="{00000000-0005-0000-0000-00003BB30000}"/>
    <cellStyle name="Normal 11 4 2 3 3 5 3 2 2" xfId="46443" xr:uid="{00000000-0005-0000-0000-00003CB30000}"/>
    <cellStyle name="Normal 11 4 2 3 3 5 3 3" xfId="46444" xr:uid="{00000000-0005-0000-0000-00003DB30000}"/>
    <cellStyle name="Normal 11 4 2 3 3 5 4" xfId="46445" xr:uid="{00000000-0005-0000-0000-00003EB30000}"/>
    <cellStyle name="Normal 11 4 2 3 3 5 4 2" xfId="46446" xr:uid="{00000000-0005-0000-0000-00003FB30000}"/>
    <cellStyle name="Normal 11 4 2 3 3 5 5" xfId="46447" xr:uid="{00000000-0005-0000-0000-000040B30000}"/>
    <cellStyle name="Normal 11 4 2 3 3 6" xfId="46448" xr:uid="{00000000-0005-0000-0000-000041B30000}"/>
    <cellStyle name="Normal 11 4 2 3 3 6 2" xfId="46449" xr:uid="{00000000-0005-0000-0000-000042B30000}"/>
    <cellStyle name="Normal 11 4 2 3 3 6 2 2" xfId="46450" xr:uid="{00000000-0005-0000-0000-000043B30000}"/>
    <cellStyle name="Normal 11 4 2 3 3 6 2 2 2" xfId="46451" xr:uid="{00000000-0005-0000-0000-000044B30000}"/>
    <cellStyle name="Normal 11 4 2 3 3 6 2 3" xfId="46452" xr:uid="{00000000-0005-0000-0000-000045B30000}"/>
    <cellStyle name="Normal 11 4 2 3 3 6 3" xfId="46453" xr:uid="{00000000-0005-0000-0000-000046B30000}"/>
    <cellStyle name="Normal 11 4 2 3 3 6 3 2" xfId="46454" xr:uid="{00000000-0005-0000-0000-000047B30000}"/>
    <cellStyle name="Normal 11 4 2 3 3 6 4" xfId="46455" xr:uid="{00000000-0005-0000-0000-000048B30000}"/>
    <cellStyle name="Normal 11 4 2 3 3 7" xfId="46456" xr:uid="{00000000-0005-0000-0000-000049B30000}"/>
    <cellStyle name="Normal 11 4 2 3 3 7 2" xfId="46457" xr:uid="{00000000-0005-0000-0000-00004AB30000}"/>
    <cellStyle name="Normal 11 4 2 3 3 7 2 2" xfId="46458" xr:uid="{00000000-0005-0000-0000-00004BB30000}"/>
    <cellStyle name="Normal 11 4 2 3 3 7 2 2 2" xfId="46459" xr:uid="{00000000-0005-0000-0000-00004CB30000}"/>
    <cellStyle name="Normal 11 4 2 3 3 7 2 3" xfId="46460" xr:uid="{00000000-0005-0000-0000-00004DB30000}"/>
    <cellStyle name="Normal 11 4 2 3 3 7 3" xfId="46461" xr:uid="{00000000-0005-0000-0000-00004EB30000}"/>
    <cellStyle name="Normal 11 4 2 3 3 7 3 2" xfId="46462" xr:uid="{00000000-0005-0000-0000-00004FB30000}"/>
    <cellStyle name="Normal 11 4 2 3 3 7 4" xfId="46463" xr:uid="{00000000-0005-0000-0000-000050B30000}"/>
    <cellStyle name="Normal 11 4 2 3 3 8" xfId="46464" xr:uid="{00000000-0005-0000-0000-000051B30000}"/>
    <cellStyle name="Normal 11 4 2 3 3 8 2" xfId="46465" xr:uid="{00000000-0005-0000-0000-000052B30000}"/>
    <cellStyle name="Normal 11 4 2 3 3 8 2 2" xfId="46466" xr:uid="{00000000-0005-0000-0000-000053B30000}"/>
    <cellStyle name="Normal 11 4 2 3 3 8 2 2 2" xfId="46467" xr:uid="{00000000-0005-0000-0000-000054B30000}"/>
    <cellStyle name="Normal 11 4 2 3 3 8 2 3" xfId="46468" xr:uid="{00000000-0005-0000-0000-000055B30000}"/>
    <cellStyle name="Normal 11 4 2 3 3 8 3" xfId="46469" xr:uid="{00000000-0005-0000-0000-000056B30000}"/>
    <cellStyle name="Normal 11 4 2 3 3 8 3 2" xfId="46470" xr:uid="{00000000-0005-0000-0000-000057B30000}"/>
    <cellStyle name="Normal 11 4 2 3 3 8 4" xfId="46471" xr:uid="{00000000-0005-0000-0000-000058B30000}"/>
    <cellStyle name="Normal 11 4 2 3 3 9" xfId="46472" xr:uid="{00000000-0005-0000-0000-000059B30000}"/>
    <cellStyle name="Normal 11 4 2 3 3 9 2" xfId="46473" xr:uid="{00000000-0005-0000-0000-00005AB30000}"/>
    <cellStyle name="Normal 11 4 2 3 3 9 2 2" xfId="46474" xr:uid="{00000000-0005-0000-0000-00005BB30000}"/>
    <cellStyle name="Normal 11 4 2 3 3 9 3" xfId="46475" xr:uid="{00000000-0005-0000-0000-00005CB30000}"/>
    <cellStyle name="Normal 11 4 2 3 4" xfId="1081" xr:uid="{00000000-0005-0000-0000-00005DB30000}"/>
    <cellStyle name="Normal 11 4 2 3 4 10" xfId="46477" xr:uid="{00000000-0005-0000-0000-00005EB30000}"/>
    <cellStyle name="Normal 11 4 2 3 4 11" xfId="46476" xr:uid="{00000000-0005-0000-0000-00005FB30000}"/>
    <cellStyle name="Normal 11 4 2 3 4 2" xfId="1810" xr:uid="{00000000-0005-0000-0000-000060B30000}"/>
    <cellStyle name="Normal 11 4 2 3 4 2 2" xfId="46479" xr:uid="{00000000-0005-0000-0000-000061B30000}"/>
    <cellStyle name="Normal 11 4 2 3 4 2 2 2" xfId="46480" xr:uid="{00000000-0005-0000-0000-000062B30000}"/>
    <cellStyle name="Normal 11 4 2 3 4 2 2 2 2" xfId="46481" xr:uid="{00000000-0005-0000-0000-000063B30000}"/>
    <cellStyle name="Normal 11 4 2 3 4 2 2 2 2 2" xfId="46482" xr:uid="{00000000-0005-0000-0000-000064B30000}"/>
    <cellStyle name="Normal 11 4 2 3 4 2 2 2 3" xfId="46483" xr:uid="{00000000-0005-0000-0000-000065B30000}"/>
    <cellStyle name="Normal 11 4 2 3 4 2 2 3" xfId="46484" xr:uid="{00000000-0005-0000-0000-000066B30000}"/>
    <cellStyle name="Normal 11 4 2 3 4 2 2 3 2" xfId="46485" xr:uid="{00000000-0005-0000-0000-000067B30000}"/>
    <cellStyle name="Normal 11 4 2 3 4 2 2 4" xfId="46486" xr:uid="{00000000-0005-0000-0000-000068B30000}"/>
    <cellStyle name="Normal 11 4 2 3 4 2 3" xfId="46487" xr:uid="{00000000-0005-0000-0000-000069B30000}"/>
    <cellStyle name="Normal 11 4 2 3 4 2 3 2" xfId="46488" xr:uid="{00000000-0005-0000-0000-00006AB30000}"/>
    <cellStyle name="Normal 11 4 2 3 4 2 3 2 2" xfId="46489" xr:uid="{00000000-0005-0000-0000-00006BB30000}"/>
    <cellStyle name="Normal 11 4 2 3 4 2 3 2 2 2" xfId="46490" xr:uid="{00000000-0005-0000-0000-00006CB30000}"/>
    <cellStyle name="Normal 11 4 2 3 4 2 3 2 3" xfId="46491" xr:uid="{00000000-0005-0000-0000-00006DB30000}"/>
    <cellStyle name="Normal 11 4 2 3 4 2 3 3" xfId="46492" xr:uid="{00000000-0005-0000-0000-00006EB30000}"/>
    <cellStyle name="Normal 11 4 2 3 4 2 3 3 2" xfId="46493" xr:uid="{00000000-0005-0000-0000-00006FB30000}"/>
    <cellStyle name="Normal 11 4 2 3 4 2 3 4" xfId="46494" xr:uid="{00000000-0005-0000-0000-000070B30000}"/>
    <cellStyle name="Normal 11 4 2 3 4 2 4" xfId="46495" xr:uid="{00000000-0005-0000-0000-000071B30000}"/>
    <cellStyle name="Normal 11 4 2 3 4 2 4 2" xfId="46496" xr:uid="{00000000-0005-0000-0000-000072B30000}"/>
    <cellStyle name="Normal 11 4 2 3 4 2 4 2 2" xfId="46497" xr:uid="{00000000-0005-0000-0000-000073B30000}"/>
    <cellStyle name="Normal 11 4 2 3 4 2 4 3" xfId="46498" xr:uid="{00000000-0005-0000-0000-000074B30000}"/>
    <cellStyle name="Normal 11 4 2 3 4 2 5" xfId="46499" xr:uid="{00000000-0005-0000-0000-000075B30000}"/>
    <cellStyle name="Normal 11 4 2 3 4 2 5 2" xfId="46500" xr:uid="{00000000-0005-0000-0000-000076B30000}"/>
    <cellStyle name="Normal 11 4 2 3 4 2 6" xfId="46501" xr:uid="{00000000-0005-0000-0000-000077B30000}"/>
    <cellStyle name="Normal 11 4 2 3 4 2 7" xfId="46478" xr:uid="{00000000-0005-0000-0000-000078B30000}"/>
    <cellStyle name="Normal 11 4 2 3 4 3" xfId="46502" xr:uid="{00000000-0005-0000-0000-000079B30000}"/>
    <cellStyle name="Normal 11 4 2 3 4 3 2" xfId="46503" xr:uid="{00000000-0005-0000-0000-00007AB30000}"/>
    <cellStyle name="Normal 11 4 2 3 4 3 2 2" xfId="46504" xr:uid="{00000000-0005-0000-0000-00007BB30000}"/>
    <cellStyle name="Normal 11 4 2 3 4 3 2 2 2" xfId="46505" xr:uid="{00000000-0005-0000-0000-00007CB30000}"/>
    <cellStyle name="Normal 11 4 2 3 4 3 2 2 2 2" xfId="46506" xr:uid="{00000000-0005-0000-0000-00007DB30000}"/>
    <cellStyle name="Normal 11 4 2 3 4 3 2 2 3" xfId="46507" xr:uid="{00000000-0005-0000-0000-00007EB30000}"/>
    <cellStyle name="Normal 11 4 2 3 4 3 2 3" xfId="46508" xr:uid="{00000000-0005-0000-0000-00007FB30000}"/>
    <cellStyle name="Normal 11 4 2 3 4 3 2 3 2" xfId="46509" xr:uid="{00000000-0005-0000-0000-000080B30000}"/>
    <cellStyle name="Normal 11 4 2 3 4 3 2 4" xfId="46510" xr:uid="{00000000-0005-0000-0000-000081B30000}"/>
    <cellStyle name="Normal 11 4 2 3 4 3 3" xfId="46511" xr:uid="{00000000-0005-0000-0000-000082B30000}"/>
    <cellStyle name="Normal 11 4 2 3 4 3 3 2" xfId="46512" xr:uid="{00000000-0005-0000-0000-000083B30000}"/>
    <cellStyle name="Normal 11 4 2 3 4 3 3 2 2" xfId="46513" xr:uid="{00000000-0005-0000-0000-000084B30000}"/>
    <cellStyle name="Normal 11 4 2 3 4 3 3 3" xfId="46514" xr:uid="{00000000-0005-0000-0000-000085B30000}"/>
    <cellStyle name="Normal 11 4 2 3 4 3 4" xfId="46515" xr:uid="{00000000-0005-0000-0000-000086B30000}"/>
    <cellStyle name="Normal 11 4 2 3 4 3 4 2" xfId="46516" xr:uid="{00000000-0005-0000-0000-000087B30000}"/>
    <cellStyle name="Normal 11 4 2 3 4 3 5" xfId="46517" xr:uid="{00000000-0005-0000-0000-000088B30000}"/>
    <cellStyle name="Normal 11 4 2 3 4 4" xfId="46518" xr:uid="{00000000-0005-0000-0000-000089B30000}"/>
    <cellStyle name="Normal 11 4 2 3 4 4 2" xfId="46519" xr:uid="{00000000-0005-0000-0000-00008AB30000}"/>
    <cellStyle name="Normal 11 4 2 3 4 4 2 2" xfId="46520" xr:uid="{00000000-0005-0000-0000-00008BB30000}"/>
    <cellStyle name="Normal 11 4 2 3 4 4 2 2 2" xfId="46521" xr:uid="{00000000-0005-0000-0000-00008CB30000}"/>
    <cellStyle name="Normal 11 4 2 3 4 4 2 2 2 2" xfId="46522" xr:uid="{00000000-0005-0000-0000-00008DB30000}"/>
    <cellStyle name="Normal 11 4 2 3 4 4 2 2 3" xfId="46523" xr:uid="{00000000-0005-0000-0000-00008EB30000}"/>
    <cellStyle name="Normal 11 4 2 3 4 4 2 3" xfId="46524" xr:uid="{00000000-0005-0000-0000-00008FB30000}"/>
    <cellStyle name="Normal 11 4 2 3 4 4 2 3 2" xfId="46525" xr:uid="{00000000-0005-0000-0000-000090B30000}"/>
    <cellStyle name="Normal 11 4 2 3 4 4 2 4" xfId="46526" xr:uid="{00000000-0005-0000-0000-000091B30000}"/>
    <cellStyle name="Normal 11 4 2 3 4 4 3" xfId="46527" xr:uid="{00000000-0005-0000-0000-000092B30000}"/>
    <cellStyle name="Normal 11 4 2 3 4 4 3 2" xfId="46528" xr:uid="{00000000-0005-0000-0000-000093B30000}"/>
    <cellStyle name="Normal 11 4 2 3 4 4 3 2 2" xfId="46529" xr:uid="{00000000-0005-0000-0000-000094B30000}"/>
    <cellStyle name="Normal 11 4 2 3 4 4 3 3" xfId="46530" xr:uid="{00000000-0005-0000-0000-000095B30000}"/>
    <cellStyle name="Normal 11 4 2 3 4 4 4" xfId="46531" xr:uid="{00000000-0005-0000-0000-000096B30000}"/>
    <cellStyle name="Normal 11 4 2 3 4 4 4 2" xfId="46532" xr:uid="{00000000-0005-0000-0000-000097B30000}"/>
    <cellStyle name="Normal 11 4 2 3 4 4 5" xfId="46533" xr:uid="{00000000-0005-0000-0000-000098B30000}"/>
    <cellStyle name="Normal 11 4 2 3 4 5" xfId="46534" xr:uid="{00000000-0005-0000-0000-000099B30000}"/>
    <cellStyle name="Normal 11 4 2 3 4 5 2" xfId="46535" xr:uid="{00000000-0005-0000-0000-00009AB30000}"/>
    <cellStyle name="Normal 11 4 2 3 4 5 2 2" xfId="46536" xr:uid="{00000000-0005-0000-0000-00009BB30000}"/>
    <cellStyle name="Normal 11 4 2 3 4 5 2 2 2" xfId="46537" xr:uid="{00000000-0005-0000-0000-00009CB30000}"/>
    <cellStyle name="Normal 11 4 2 3 4 5 2 3" xfId="46538" xr:uid="{00000000-0005-0000-0000-00009DB30000}"/>
    <cellStyle name="Normal 11 4 2 3 4 5 3" xfId="46539" xr:uid="{00000000-0005-0000-0000-00009EB30000}"/>
    <cellStyle name="Normal 11 4 2 3 4 5 3 2" xfId="46540" xr:uid="{00000000-0005-0000-0000-00009FB30000}"/>
    <cellStyle name="Normal 11 4 2 3 4 5 4" xfId="46541" xr:uid="{00000000-0005-0000-0000-0000A0B30000}"/>
    <cellStyle name="Normal 11 4 2 3 4 6" xfId="46542" xr:uid="{00000000-0005-0000-0000-0000A1B30000}"/>
    <cellStyle name="Normal 11 4 2 3 4 6 2" xfId="46543" xr:uid="{00000000-0005-0000-0000-0000A2B30000}"/>
    <cellStyle name="Normal 11 4 2 3 4 6 2 2" xfId="46544" xr:uid="{00000000-0005-0000-0000-0000A3B30000}"/>
    <cellStyle name="Normal 11 4 2 3 4 6 2 2 2" xfId="46545" xr:uid="{00000000-0005-0000-0000-0000A4B30000}"/>
    <cellStyle name="Normal 11 4 2 3 4 6 2 3" xfId="46546" xr:uid="{00000000-0005-0000-0000-0000A5B30000}"/>
    <cellStyle name="Normal 11 4 2 3 4 6 3" xfId="46547" xr:uid="{00000000-0005-0000-0000-0000A6B30000}"/>
    <cellStyle name="Normal 11 4 2 3 4 6 3 2" xfId="46548" xr:uid="{00000000-0005-0000-0000-0000A7B30000}"/>
    <cellStyle name="Normal 11 4 2 3 4 6 4" xfId="46549" xr:uid="{00000000-0005-0000-0000-0000A8B30000}"/>
    <cellStyle name="Normal 11 4 2 3 4 7" xfId="46550" xr:uid="{00000000-0005-0000-0000-0000A9B30000}"/>
    <cellStyle name="Normal 11 4 2 3 4 7 2" xfId="46551" xr:uid="{00000000-0005-0000-0000-0000AAB30000}"/>
    <cellStyle name="Normal 11 4 2 3 4 7 2 2" xfId="46552" xr:uid="{00000000-0005-0000-0000-0000ABB30000}"/>
    <cellStyle name="Normal 11 4 2 3 4 7 2 2 2" xfId="46553" xr:uid="{00000000-0005-0000-0000-0000ACB30000}"/>
    <cellStyle name="Normal 11 4 2 3 4 7 2 3" xfId="46554" xr:uid="{00000000-0005-0000-0000-0000ADB30000}"/>
    <cellStyle name="Normal 11 4 2 3 4 7 3" xfId="46555" xr:uid="{00000000-0005-0000-0000-0000AEB30000}"/>
    <cellStyle name="Normal 11 4 2 3 4 7 3 2" xfId="46556" xr:uid="{00000000-0005-0000-0000-0000AFB30000}"/>
    <cellStyle name="Normal 11 4 2 3 4 7 4" xfId="46557" xr:uid="{00000000-0005-0000-0000-0000B0B30000}"/>
    <cellStyle name="Normal 11 4 2 3 4 8" xfId="46558" xr:uid="{00000000-0005-0000-0000-0000B1B30000}"/>
    <cellStyle name="Normal 11 4 2 3 4 8 2" xfId="46559" xr:uid="{00000000-0005-0000-0000-0000B2B30000}"/>
    <cellStyle name="Normal 11 4 2 3 4 8 2 2" xfId="46560" xr:uid="{00000000-0005-0000-0000-0000B3B30000}"/>
    <cellStyle name="Normal 11 4 2 3 4 8 3" xfId="46561" xr:uid="{00000000-0005-0000-0000-0000B4B30000}"/>
    <cellStyle name="Normal 11 4 2 3 4 9" xfId="46562" xr:uid="{00000000-0005-0000-0000-0000B5B30000}"/>
    <cellStyle name="Normal 11 4 2 3 4 9 2" xfId="46563" xr:uid="{00000000-0005-0000-0000-0000B6B30000}"/>
    <cellStyle name="Normal 11 4 2 3 5" xfId="1483" xr:uid="{00000000-0005-0000-0000-0000B7B30000}"/>
    <cellStyle name="Normal 11 4 2 3 5 2" xfId="46565" xr:uid="{00000000-0005-0000-0000-0000B8B30000}"/>
    <cellStyle name="Normal 11 4 2 3 5 2 2" xfId="46566" xr:uid="{00000000-0005-0000-0000-0000B9B30000}"/>
    <cellStyle name="Normal 11 4 2 3 5 2 2 2" xfId="46567" xr:uid="{00000000-0005-0000-0000-0000BAB30000}"/>
    <cellStyle name="Normal 11 4 2 3 5 2 2 2 2" xfId="46568" xr:uid="{00000000-0005-0000-0000-0000BBB30000}"/>
    <cellStyle name="Normal 11 4 2 3 5 2 2 3" xfId="46569" xr:uid="{00000000-0005-0000-0000-0000BCB30000}"/>
    <cellStyle name="Normal 11 4 2 3 5 2 3" xfId="46570" xr:uid="{00000000-0005-0000-0000-0000BDB30000}"/>
    <cellStyle name="Normal 11 4 2 3 5 2 3 2" xfId="46571" xr:uid="{00000000-0005-0000-0000-0000BEB30000}"/>
    <cellStyle name="Normal 11 4 2 3 5 2 4" xfId="46572" xr:uid="{00000000-0005-0000-0000-0000BFB30000}"/>
    <cellStyle name="Normal 11 4 2 3 5 3" xfId="46573" xr:uid="{00000000-0005-0000-0000-0000C0B30000}"/>
    <cellStyle name="Normal 11 4 2 3 5 3 2" xfId="46574" xr:uid="{00000000-0005-0000-0000-0000C1B30000}"/>
    <cellStyle name="Normal 11 4 2 3 5 3 2 2" xfId="46575" xr:uid="{00000000-0005-0000-0000-0000C2B30000}"/>
    <cellStyle name="Normal 11 4 2 3 5 3 2 2 2" xfId="46576" xr:uid="{00000000-0005-0000-0000-0000C3B30000}"/>
    <cellStyle name="Normal 11 4 2 3 5 3 2 3" xfId="46577" xr:uid="{00000000-0005-0000-0000-0000C4B30000}"/>
    <cellStyle name="Normal 11 4 2 3 5 3 3" xfId="46578" xr:uid="{00000000-0005-0000-0000-0000C5B30000}"/>
    <cellStyle name="Normal 11 4 2 3 5 3 3 2" xfId="46579" xr:uid="{00000000-0005-0000-0000-0000C6B30000}"/>
    <cellStyle name="Normal 11 4 2 3 5 3 4" xfId="46580" xr:uid="{00000000-0005-0000-0000-0000C7B30000}"/>
    <cellStyle name="Normal 11 4 2 3 5 4" xfId="46581" xr:uid="{00000000-0005-0000-0000-0000C8B30000}"/>
    <cellStyle name="Normal 11 4 2 3 5 4 2" xfId="46582" xr:uid="{00000000-0005-0000-0000-0000C9B30000}"/>
    <cellStyle name="Normal 11 4 2 3 5 4 2 2" xfId="46583" xr:uid="{00000000-0005-0000-0000-0000CAB30000}"/>
    <cellStyle name="Normal 11 4 2 3 5 4 3" xfId="46584" xr:uid="{00000000-0005-0000-0000-0000CBB30000}"/>
    <cellStyle name="Normal 11 4 2 3 5 5" xfId="46585" xr:uid="{00000000-0005-0000-0000-0000CCB30000}"/>
    <cellStyle name="Normal 11 4 2 3 5 5 2" xfId="46586" xr:uid="{00000000-0005-0000-0000-0000CDB30000}"/>
    <cellStyle name="Normal 11 4 2 3 5 6" xfId="46587" xr:uid="{00000000-0005-0000-0000-0000CEB30000}"/>
    <cellStyle name="Normal 11 4 2 3 5 7" xfId="46564" xr:uid="{00000000-0005-0000-0000-0000CFB30000}"/>
    <cellStyle name="Normal 11 4 2 3 6" xfId="46588" xr:uid="{00000000-0005-0000-0000-0000D0B30000}"/>
    <cellStyle name="Normal 11 4 2 3 6 2" xfId="46589" xr:uid="{00000000-0005-0000-0000-0000D1B30000}"/>
    <cellStyle name="Normal 11 4 2 3 6 2 2" xfId="46590" xr:uid="{00000000-0005-0000-0000-0000D2B30000}"/>
    <cellStyle name="Normal 11 4 2 3 6 2 2 2" xfId="46591" xr:uid="{00000000-0005-0000-0000-0000D3B30000}"/>
    <cellStyle name="Normal 11 4 2 3 6 2 2 2 2" xfId="46592" xr:uid="{00000000-0005-0000-0000-0000D4B30000}"/>
    <cellStyle name="Normal 11 4 2 3 6 2 2 3" xfId="46593" xr:uid="{00000000-0005-0000-0000-0000D5B30000}"/>
    <cellStyle name="Normal 11 4 2 3 6 2 3" xfId="46594" xr:uid="{00000000-0005-0000-0000-0000D6B30000}"/>
    <cellStyle name="Normal 11 4 2 3 6 2 3 2" xfId="46595" xr:uid="{00000000-0005-0000-0000-0000D7B30000}"/>
    <cellStyle name="Normal 11 4 2 3 6 2 4" xfId="46596" xr:uid="{00000000-0005-0000-0000-0000D8B30000}"/>
    <cellStyle name="Normal 11 4 2 3 6 3" xfId="46597" xr:uid="{00000000-0005-0000-0000-0000D9B30000}"/>
    <cellStyle name="Normal 11 4 2 3 6 3 2" xfId="46598" xr:uid="{00000000-0005-0000-0000-0000DAB30000}"/>
    <cellStyle name="Normal 11 4 2 3 6 3 2 2" xfId="46599" xr:uid="{00000000-0005-0000-0000-0000DBB30000}"/>
    <cellStyle name="Normal 11 4 2 3 6 3 3" xfId="46600" xr:uid="{00000000-0005-0000-0000-0000DCB30000}"/>
    <cellStyle name="Normal 11 4 2 3 6 4" xfId="46601" xr:uid="{00000000-0005-0000-0000-0000DDB30000}"/>
    <cellStyle name="Normal 11 4 2 3 6 4 2" xfId="46602" xr:uid="{00000000-0005-0000-0000-0000DEB30000}"/>
    <cellStyle name="Normal 11 4 2 3 6 5" xfId="46603" xr:uid="{00000000-0005-0000-0000-0000DFB30000}"/>
    <cellStyle name="Normal 11 4 2 3 7" xfId="46604" xr:uid="{00000000-0005-0000-0000-0000E0B30000}"/>
    <cellStyle name="Normal 11 4 2 3 7 2" xfId="46605" xr:uid="{00000000-0005-0000-0000-0000E1B30000}"/>
    <cellStyle name="Normal 11 4 2 3 7 2 2" xfId="46606" xr:uid="{00000000-0005-0000-0000-0000E2B30000}"/>
    <cellStyle name="Normal 11 4 2 3 7 2 2 2" xfId="46607" xr:uid="{00000000-0005-0000-0000-0000E3B30000}"/>
    <cellStyle name="Normal 11 4 2 3 7 2 2 2 2" xfId="46608" xr:uid="{00000000-0005-0000-0000-0000E4B30000}"/>
    <cellStyle name="Normal 11 4 2 3 7 2 2 3" xfId="46609" xr:uid="{00000000-0005-0000-0000-0000E5B30000}"/>
    <cellStyle name="Normal 11 4 2 3 7 2 3" xfId="46610" xr:uid="{00000000-0005-0000-0000-0000E6B30000}"/>
    <cellStyle name="Normal 11 4 2 3 7 2 3 2" xfId="46611" xr:uid="{00000000-0005-0000-0000-0000E7B30000}"/>
    <cellStyle name="Normal 11 4 2 3 7 2 4" xfId="46612" xr:uid="{00000000-0005-0000-0000-0000E8B30000}"/>
    <cellStyle name="Normal 11 4 2 3 7 3" xfId="46613" xr:uid="{00000000-0005-0000-0000-0000E9B30000}"/>
    <cellStyle name="Normal 11 4 2 3 7 3 2" xfId="46614" xr:uid="{00000000-0005-0000-0000-0000EAB30000}"/>
    <cellStyle name="Normal 11 4 2 3 7 3 2 2" xfId="46615" xr:uid="{00000000-0005-0000-0000-0000EBB30000}"/>
    <cellStyle name="Normal 11 4 2 3 7 3 3" xfId="46616" xr:uid="{00000000-0005-0000-0000-0000ECB30000}"/>
    <cellStyle name="Normal 11 4 2 3 7 4" xfId="46617" xr:uid="{00000000-0005-0000-0000-0000EDB30000}"/>
    <cellStyle name="Normal 11 4 2 3 7 4 2" xfId="46618" xr:uid="{00000000-0005-0000-0000-0000EEB30000}"/>
    <cellStyle name="Normal 11 4 2 3 7 5" xfId="46619" xr:uid="{00000000-0005-0000-0000-0000EFB30000}"/>
    <cellStyle name="Normal 11 4 2 3 8" xfId="46620" xr:uid="{00000000-0005-0000-0000-0000F0B30000}"/>
    <cellStyle name="Normal 11 4 2 3 8 2" xfId="46621" xr:uid="{00000000-0005-0000-0000-0000F1B30000}"/>
    <cellStyle name="Normal 11 4 2 3 8 2 2" xfId="46622" xr:uid="{00000000-0005-0000-0000-0000F2B30000}"/>
    <cellStyle name="Normal 11 4 2 3 8 2 2 2" xfId="46623" xr:uid="{00000000-0005-0000-0000-0000F3B30000}"/>
    <cellStyle name="Normal 11 4 2 3 8 2 3" xfId="46624" xr:uid="{00000000-0005-0000-0000-0000F4B30000}"/>
    <cellStyle name="Normal 11 4 2 3 8 3" xfId="46625" xr:uid="{00000000-0005-0000-0000-0000F5B30000}"/>
    <cellStyle name="Normal 11 4 2 3 8 3 2" xfId="46626" xr:uid="{00000000-0005-0000-0000-0000F6B30000}"/>
    <cellStyle name="Normal 11 4 2 3 8 4" xfId="46627" xr:uid="{00000000-0005-0000-0000-0000F7B30000}"/>
    <cellStyle name="Normal 11 4 2 3 9" xfId="46628" xr:uid="{00000000-0005-0000-0000-0000F8B30000}"/>
    <cellStyle name="Normal 11 4 2 3 9 2" xfId="46629" xr:uid="{00000000-0005-0000-0000-0000F9B30000}"/>
    <cellStyle name="Normal 11 4 2 3 9 2 2" xfId="46630" xr:uid="{00000000-0005-0000-0000-0000FAB30000}"/>
    <cellStyle name="Normal 11 4 2 3 9 2 2 2" xfId="46631" xr:uid="{00000000-0005-0000-0000-0000FBB30000}"/>
    <cellStyle name="Normal 11 4 2 3 9 2 3" xfId="46632" xr:uid="{00000000-0005-0000-0000-0000FCB30000}"/>
    <cellStyle name="Normal 11 4 2 3 9 3" xfId="46633" xr:uid="{00000000-0005-0000-0000-0000FDB30000}"/>
    <cellStyle name="Normal 11 4 2 3 9 3 2" xfId="46634" xr:uid="{00000000-0005-0000-0000-0000FEB30000}"/>
    <cellStyle name="Normal 11 4 2 3 9 4" xfId="46635" xr:uid="{00000000-0005-0000-0000-0000FFB30000}"/>
    <cellStyle name="Normal 11 4 2 4" xfId="642" xr:uid="{00000000-0005-0000-0000-000000B40000}"/>
    <cellStyle name="Normal 11 4 2 4 10" xfId="46637" xr:uid="{00000000-0005-0000-0000-000001B40000}"/>
    <cellStyle name="Normal 11 4 2 4 10 2" xfId="46638" xr:uid="{00000000-0005-0000-0000-000002B40000}"/>
    <cellStyle name="Normal 11 4 2 4 10 2 2" xfId="46639" xr:uid="{00000000-0005-0000-0000-000003B40000}"/>
    <cellStyle name="Normal 11 4 2 4 10 3" xfId="46640" xr:uid="{00000000-0005-0000-0000-000004B40000}"/>
    <cellStyle name="Normal 11 4 2 4 11" xfId="46641" xr:uid="{00000000-0005-0000-0000-000005B40000}"/>
    <cellStyle name="Normal 11 4 2 4 11 2" xfId="46642" xr:uid="{00000000-0005-0000-0000-000006B40000}"/>
    <cellStyle name="Normal 11 4 2 4 11 2 2" xfId="46643" xr:uid="{00000000-0005-0000-0000-000007B40000}"/>
    <cellStyle name="Normal 11 4 2 4 11 3" xfId="46644" xr:uid="{00000000-0005-0000-0000-000008B40000}"/>
    <cellStyle name="Normal 11 4 2 4 12" xfId="46645" xr:uid="{00000000-0005-0000-0000-000009B40000}"/>
    <cellStyle name="Normal 11 4 2 4 12 2" xfId="46646" xr:uid="{00000000-0005-0000-0000-00000AB40000}"/>
    <cellStyle name="Normal 11 4 2 4 13" xfId="46647" xr:uid="{00000000-0005-0000-0000-00000BB40000}"/>
    <cellStyle name="Normal 11 4 2 4 14" xfId="46648" xr:uid="{00000000-0005-0000-0000-00000CB40000}"/>
    <cellStyle name="Normal 11 4 2 4 15" xfId="46636" xr:uid="{00000000-0005-0000-0000-00000DB40000}"/>
    <cellStyle name="Normal 11 4 2 4 2" xfId="1084" xr:uid="{00000000-0005-0000-0000-00000EB40000}"/>
    <cellStyle name="Normal 11 4 2 4 2 10" xfId="46650" xr:uid="{00000000-0005-0000-0000-00000FB40000}"/>
    <cellStyle name="Normal 11 4 2 4 2 11" xfId="46649" xr:uid="{00000000-0005-0000-0000-000010B40000}"/>
    <cellStyle name="Normal 11 4 2 4 2 2" xfId="1813" xr:uid="{00000000-0005-0000-0000-000011B40000}"/>
    <cellStyle name="Normal 11 4 2 4 2 2 2" xfId="46652" xr:uid="{00000000-0005-0000-0000-000012B40000}"/>
    <cellStyle name="Normal 11 4 2 4 2 2 2 2" xfId="46653" xr:uid="{00000000-0005-0000-0000-000013B40000}"/>
    <cellStyle name="Normal 11 4 2 4 2 2 2 2 2" xfId="46654" xr:uid="{00000000-0005-0000-0000-000014B40000}"/>
    <cellStyle name="Normal 11 4 2 4 2 2 2 2 2 2" xfId="46655" xr:uid="{00000000-0005-0000-0000-000015B40000}"/>
    <cellStyle name="Normal 11 4 2 4 2 2 2 2 3" xfId="46656" xr:uid="{00000000-0005-0000-0000-000016B40000}"/>
    <cellStyle name="Normal 11 4 2 4 2 2 2 3" xfId="46657" xr:uid="{00000000-0005-0000-0000-000017B40000}"/>
    <cellStyle name="Normal 11 4 2 4 2 2 2 3 2" xfId="46658" xr:uid="{00000000-0005-0000-0000-000018B40000}"/>
    <cellStyle name="Normal 11 4 2 4 2 2 2 4" xfId="46659" xr:uid="{00000000-0005-0000-0000-000019B40000}"/>
    <cellStyle name="Normal 11 4 2 4 2 2 3" xfId="46660" xr:uid="{00000000-0005-0000-0000-00001AB40000}"/>
    <cellStyle name="Normal 11 4 2 4 2 2 3 2" xfId="46661" xr:uid="{00000000-0005-0000-0000-00001BB40000}"/>
    <cellStyle name="Normal 11 4 2 4 2 2 3 2 2" xfId="46662" xr:uid="{00000000-0005-0000-0000-00001CB40000}"/>
    <cellStyle name="Normal 11 4 2 4 2 2 3 2 2 2" xfId="46663" xr:uid="{00000000-0005-0000-0000-00001DB40000}"/>
    <cellStyle name="Normal 11 4 2 4 2 2 3 2 3" xfId="46664" xr:uid="{00000000-0005-0000-0000-00001EB40000}"/>
    <cellStyle name="Normal 11 4 2 4 2 2 3 3" xfId="46665" xr:uid="{00000000-0005-0000-0000-00001FB40000}"/>
    <cellStyle name="Normal 11 4 2 4 2 2 3 3 2" xfId="46666" xr:uid="{00000000-0005-0000-0000-000020B40000}"/>
    <cellStyle name="Normal 11 4 2 4 2 2 3 4" xfId="46667" xr:uid="{00000000-0005-0000-0000-000021B40000}"/>
    <cellStyle name="Normal 11 4 2 4 2 2 4" xfId="46668" xr:uid="{00000000-0005-0000-0000-000022B40000}"/>
    <cellStyle name="Normal 11 4 2 4 2 2 4 2" xfId="46669" xr:uid="{00000000-0005-0000-0000-000023B40000}"/>
    <cellStyle name="Normal 11 4 2 4 2 2 4 2 2" xfId="46670" xr:uid="{00000000-0005-0000-0000-000024B40000}"/>
    <cellStyle name="Normal 11 4 2 4 2 2 4 3" xfId="46671" xr:uid="{00000000-0005-0000-0000-000025B40000}"/>
    <cellStyle name="Normal 11 4 2 4 2 2 5" xfId="46672" xr:uid="{00000000-0005-0000-0000-000026B40000}"/>
    <cellStyle name="Normal 11 4 2 4 2 2 5 2" xfId="46673" xr:uid="{00000000-0005-0000-0000-000027B40000}"/>
    <cellStyle name="Normal 11 4 2 4 2 2 6" xfId="46674" xr:uid="{00000000-0005-0000-0000-000028B40000}"/>
    <cellStyle name="Normal 11 4 2 4 2 2 7" xfId="46651" xr:uid="{00000000-0005-0000-0000-000029B40000}"/>
    <cellStyle name="Normal 11 4 2 4 2 3" xfId="46675" xr:uid="{00000000-0005-0000-0000-00002AB40000}"/>
    <cellStyle name="Normal 11 4 2 4 2 3 2" xfId="46676" xr:uid="{00000000-0005-0000-0000-00002BB40000}"/>
    <cellStyle name="Normal 11 4 2 4 2 3 2 2" xfId="46677" xr:uid="{00000000-0005-0000-0000-00002CB40000}"/>
    <cellStyle name="Normal 11 4 2 4 2 3 2 2 2" xfId="46678" xr:uid="{00000000-0005-0000-0000-00002DB40000}"/>
    <cellStyle name="Normal 11 4 2 4 2 3 2 2 2 2" xfId="46679" xr:uid="{00000000-0005-0000-0000-00002EB40000}"/>
    <cellStyle name="Normal 11 4 2 4 2 3 2 2 3" xfId="46680" xr:uid="{00000000-0005-0000-0000-00002FB40000}"/>
    <cellStyle name="Normal 11 4 2 4 2 3 2 3" xfId="46681" xr:uid="{00000000-0005-0000-0000-000030B40000}"/>
    <cellStyle name="Normal 11 4 2 4 2 3 2 3 2" xfId="46682" xr:uid="{00000000-0005-0000-0000-000031B40000}"/>
    <cellStyle name="Normal 11 4 2 4 2 3 2 4" xfId="46683" xr:uid="{00000000-0005-0000-0000-000032B40000}"/>
    <cellStyle name="Normal 11 4 2 4 2 3 3" xfId="46684" xr:uid="{00000000-0005-0000-0000-000033B40000}"/>
    <cellStyle name="Normal 11 4 2 4 2 3 3 2" xfId="46685" xr:uid="{00000000-0005-0000-0000-000034B40000}"/>
    <cellStyle name="Normal 11 4 2 4 2 3 3 2 2" xfId="46686" xr:uid="{00000000-0005-0000-0000-000035B40000}"/>
    <cellStyle name="Normal 11 4 2 4 2 3 3 3" xfId="46687" xr:uid="{00000000-0005-0000-0000-000036B40000}"/>
    <cellStyle name="Normal 11 4 2 4 2 3 4" xfId="46688" xr:uid="{00000000-0005-0000-0000-000037B40000}"/>
    <cellStyle name="Normal 11 4 2 4 2 3 4 2" xfId="46689" xr:uid="{00000000-0005-0000-0000-000038B40000}"/>
    <cellStyle name="Normal 11 4 2 4 2 3 5" xfId="46690" xr:uid="{00000000-0005-0000-0000-000039B40000}"/>
    <cellStyle name="Normal 11 4 2 4 2 4" xfId="46691" xr:uid="{00000000-0005-0000-0000-00003AB40000}"/>
    <cellStyle name="Normal 11 4 2 4 2 4 2" xfId="46692" xr:uid="{00000000-0005-0000-0000-00003BB40000}"/>
    <cellStyle name="Normal 11 4 2 4 2 4 2 2" xfId="46693" xr:uid="{00000000-0005-0000-0000-00003CB40000}"/>
    <cellStyle name="Normal 11 4 2 4 2 4 2 2 2" xfId="46694" xr:uid="{00000000-0005-0000-0000-00003DB40000}"/>
    <cellStyle name="Normal 11 4 2 4 2 4 2 2 2 2" xfId="46695" xr:uid="{00000000-0005-0000-0000-00003EB40000}"/>
    <cellStyle name="Normal 11 4 2 4 2 4 2 2 3" xfId="46696" xr:uid="{00000000-0005-0000-0000-00003FB40000}"/>
    <cellStyle name="Normal 11 4 2 4 2 4 2 3" xfId="46697" xr:uid="{00000000-0005-0000-0000-000040B40000}"/>
    <cellStyle name="Normal 11 4 2 4 2 4 2 3 2" xfId="46698" xr:uid="{00000000-0005-0000-0000-000041B40000}"/>
    <cellStyle name="Normal 11 4 2 4 2 4 2 4" xfId="46699" xr:uid="{00000000-0005-0000-0000-000042B40000}"/>
    <cellStyle name="Normal 11 4 2 4 2 4 3" xfId="46700" xr:uid="{00000000-0005-0000-0000-000043B40000}"/>
    <cellStyle name="Normal 11 4 2 4 2 4 3 2" xfId="46701" xr:uid="{00000000-0005-0000-0000-000044B40000}"/>
    <cellStyle name="Normal 11 4 2 4 2 4 3 2 2" xfId="46702" xr:uid="{00000000-0005-0000-0000-000045B40000}"/>
    <cellStyle name="Normal 11 4 2 4 2 4 3 3" xfId="46703" xr:uid="{00000000-0005-0000-0000-000046B40000}"/>
    <cellStyle name="Normal 11 4 2 4 2 4 4" xfId="46704" xr:uid="{00000000-0005-0000-0000-000047B40000}"/>
    <cellStyle name="Normal 11 4 2 4 2 4 4 2" xfId="46705" xr:uid="{00000000-0005-0000-0000-000048B40000}"/>
    <cellStyle name="Normal 11 4 2 4 2 4 5" xfId="46706" xr:uid="{00000000-0005-0000-0000-000049B40000}"/>
    <cellStyle name="Normal 11 4 2 4 2 5" xfId="46707" xr:uid="{00000000-0005-0000-0000-00004AB40000}"/>
    <cellStyle name="Normal 11 4 2 4 2 5 2" xfId="46708" xr:uid="{00000000-0005-0000-0000-00004BB40000}"/>
    <cellStyle name="Normal 11 4 2 4 2 5 2 2" xfId="46709" xr:uid="{00000000-0005-0000-0000-00004CB40000}"/>
    <cellStyle name="Normal 11 4 2 4 2 5 2 2 2" xfId="46710" xr:uid="{00000000-0005-0000-0000-00004DB40000}"/>
    <cellStyle name="Normal 11 4 2 4 2 5 2 3" xfId="46711" xr:uid="{00000000-0005-0000-0000-00004EB40000}"/>
    <cellStyle name="Normal 11 4 2 4 2 5 3" xfId="46712" xr:uid="{00000000-0005-0000-0000-00004FB40000}"/>
    <cellStyle name="Normal 11 4 2 4 2 5 3 2" xfId="46713" xr:uid="{00000000-0005-0000-0000-000050B40000}"/>
    <cellStyle name="Normal 11 4 2 4 2 5 4" xfId="46714" xr:uid="{00000000-0005-0000-0000-000051B40000}"/>
    <cellStyle name="Normal 11 4 2 4 2 6" xfId="46715" xr:uid="{00000000-0005-0000-0000-000052B40000}"/>
    <cellStyle name="Normal 11 4 2 4 2 6 2" xfId="46716" xr:uid="{00000000-0005-0000-0000-000053B40000}"/>
    <cellStyle name="Normal 11 4 2 4 2 6 2 2" xfId="46717" xr:uid="{00000000-0005-0000-0000-000054B40000}"/>
    <cellStyle name="Normal 11 4 2 4 2 6 2 2 2" xfId="46718" xr:uid="{00000000-0005-0000-0000-000055B40000}"/>
    <cellStyle name="Normal 11 4 2 4 2 6 2 3" xfId="46719" xr:uid="{00000000-0005-0000-0000-000056B40000}"/>
    <cellStyle name="Normal 11 4 2 4 2 6 3" xfId="46720" xr:uid="{00000000-0005-0000-0000-000057B40000}"/>
    <cellStyle name="Normal 11 4 2 4 2 6 3 2" xfId="46721" xr:uid="{00000000-0005-0000-0000-000058B40000}"/>
    <cellStyle name="Normal 11 4 2 4 2 6 4" xfId="46722" xr:uid="{00000000-0005-0000-0000-000059B40000}"/>
    <cellStyle name="Normal 11 4 2 4 2 7" xfId="46723" xr:uid="{00000000-0005-0000-0000-00005AB40000}"/>
    <cellStyle name="Normal 11 4 2 4 2 7 2" xfId="46724" xr:uid="{00000000-0005-0000-0000-00005BB40000}"/>
    <cellStyle name="Normal 11 4 2 4 2 7 2 2" xfId="46725" xr:uid="{00000000-0005-0000-0000-00005CB40000}"/>
    <cellStyle name="Normal 11 4 2 4 2 7 2 2 2" xfId="46726" xr:uid="{00000000-0005-0000-0000-00005DB40000}"/>
    <cellStyle name="Normal 11 4 2 4 2 7 2 3" xfId="46727" xr:uid="{00000000-0005-0000-0000-00005EB40000}"/>
    <cellStyle name="Normal 11 4 2 4 2 7 3" xfId="46728" xr:uid="{00000000-0005-0000-0000-00005FB40000}"/>
    <cellStyle name="Normal 11 4 2 4 2 7 3 2" xfId="46729" xr:uid="{00000000-0005-0000-0000-000060B40000}"/>
    <cellStyle name="Normal 11 4 2 4 2 7 4" xfId="46730" xr:uid="{00000000-0005-0000-0000-000061B40000}"/>
    <cellStyle name="Normal 11 4 2 4 2 8" xfId="46731" xr:uid="{00000000-0005-0000-0000-000062B40000}"/>
    <cellStyle name="Normal 11 4 2 4 2 8 2" xfId="46732" xr:uid="{00000000-0005-0000-0000-000063B40000}"/>
    <cellStyle name="Normal 11 4 2 4 2 8 2 2" xfId="46733" xr:uid="{00000000-0005-0000-0000-000064B40000}"/>
    <cellStyle name="Normal 11 4 2 4 2 8 3" xfId="46734" xr:uid="{00000000-0005-0000-0000-000065B40000}"/>
    <cellStyle name="Normal 11 4 2 4 2 9" xfId="46735" xr:uid="{00000000-0005-0000-0000-000066B40000}"/>
    <cellStyle name="Normal 11 4 2 4 2 9 2" xfId="46736" xr:uid="{00000000-0005-0000-0000-000067B40000}"/>
    <cellStyle name="Normal 11 4 2 4 3" xfId="1486" xr:uid="{00000000-0005-0000-0000-000068B40000}"/>
    <cellStyle name="Normal 11 4 2 4 3 2" xfId="46738" xr:uid="{00000000-0005-0000-0000-000069B40000}"/>
    <cellStyle name="Normal 11 4 2 4 3 2 2" xfId="46739" xr:uid="{00000000-0005-0000-0000-00006AB40000}"/>
    <cellStyle name="Normal 11 4 2 4 3 2 2 2" xfId="46740" xr:uid="{00000000-0005-0000-0000-00006BB40000}"/>
    <cellStyle name="Normal 11 4 2 4 3 2 2 2 2" xfId="46741" xr:uid="{00000000-0005-0000-0000-00006CB40000}"/>
    <cellStyle name="Normal 11 4 2 4 3 2 2 3" xfId="46742" xr:uid="{00000000-0005-0000-0000-00006DB40000}"/>
    <cellStyle name="Normal 11 4 2 4 3 2 3" xfId="46743" xr:uid="{00000000-0005-0000-0000-00006EB40000}"/>
    <cellStyle name="Normal 11 4 2 4 3 2 3 2" xfId="46744" xr:uid="{00000000-0005-0000-0000-00006FB40000}"/>
    <cellStyle name="Normal 11 4 2 4 3 2 4" xfId="46745" xr:uid="{00000000-0005-0000-0000-000070B40000}"/>
    <cellStyle name="Normal 11 4 2 4 3 3" xfId="46746" xr:uid="{00000000-0005-0000-0000-000071B40000}"/>
    <cellStyle name="Normal 11 4 2 4 3 3 2" xfId="46747" xr:uid="{00000000-0005-0000-0000-000072B40000}"/>
    <cellStyle name="Normal 11 4 2 4 3 3 2 2" xfId="46748" xr:uid="{00000000-0005-0000-0000-000073B40000}"/>
    <cellStyle name="Normal 11 4 2 4 3 3 2 2 2" xfId="46749" xr:uid="{00000000-0005-0000-0000-000074B40000}"/>
    <cellStyle name="Normal 11 4 2 4 3 3 2 3" xfId="46750" xr:uid="{00000000-0005-0000-0000-000075B40000}"/>
    <cellStyle name="Normal 11 4 2 4 3 3 3" xfId="46751" xr:uid="{00000000-0005-0000-0000-000076B40000}"/>
    <cellStyle name="Normal 11 4 2 4 3 3 3 2" xfId="46752" xr:uid="{00000000-0005-0000-0000-000077B40000}"/>
    <cellStyle name="Normal 11 4 2 4 3 3 4" xfId="46753" xr:uid="{00000000-0005-0000-0000-000078B40000}"/>
    <cellStyle name="Normal 11 4 2 4 3 4" xfId="46754" xr:uid="{00000000-0005-0000-0000-000079B40000}"/>
    <cellStyle name="Normal 11 4 2 4 3 4 2" xfId="46755" xr:uid="{00000000-0005-0000-0000-00007AB40000}"/>
    <cellStyle name="Normal 11 4 2 4 3 4 2 2" xfId="46756" xr:uid="{00000000-0005-0000-0000-00007BB40000}"/>
    <cellStyle name="Normal 11 4 2 4 3 4 3" xfId="46757" xr:uid="{00000000-0005-0000-0000-00007CB40000}"/>
    <cellStyle name="Normal 11 4 2 4 3 5" xfId="46758" xr:uid="{00000000-0005-0000-0000-00007DB40000}"/>
    <cellStyle name="Normal 11 4 2 4 3 5 2" xfId="46759" xr:uid="{00000000-0005-0000-0000-00007EB40000}"/>
    <cellStyle name="Normal 11 4 2 4 3 6" xfId="46760" xr:uid="{00000000-0005-0000-0000-00007FB40000}"/>
    <cellStyle name="Normal 11 4 2 4 3 7" xfId="46737" xr:uid="{00000000-0005-0000-0000-000080B40000}"/>
    <cellStyle name="Normal 11 4 2 4 4" xfId="46761" xr:uid="{00000000-0005-0000-0000-000081B40000}"/>
    <cellStyle name="Normal 11 4 2 4 4 2" xfId="46762" xr:uid="{00000000-0005-0000-0000-000082B40000}"/>
    <cellStyle name="Normal 11 4 2 4 4 2 2" xfId="46763" xr:uid="{00000000-0005-0000-0000-000083B40000}"/>
    <cellStyle name="Normal 11 4 2 4 4 2 2 2" xfId="46764" xr:uid="{00000000-0005-0000-0000-000084B40000}"/>
    <cellStyle name="Normal 11 4 2 4 4 2 2 2 2" xfId="46765" xr:uid="{00000000-0005-0000-0000-000085B40000}"/>
    <cellStyle name="Normal 11 4 2 4 4 2 2 3" xfId="46766" xr:uid="{00000000-0005-0000-0000-000086B40000}"/>
    <cellStyle name="Normal 11 4 2 4 4 2 3" xfId="46767" xr:uid="{00000000-0005-0000-0000-000087B40000}"/>
    <cellStyle name="Normal 11 4 2 4 4 2 3 2" xfId="46768" xr:uid="{00000000-0005-0000-0000-000088B40000}"/>
    <cellStyle name="Normal 11 4 2 4 4 2 4" xfId="46769" xr:uid="{00000000-0005-0000-0000-000089B40000}"/>
    <cellStyle name="Normal 11 4 2 4 4 3" xfId="46770" xr:uid="{00000000-0005-0000-0000-00008AB40000}"/>
    <cellStyle name="Normal 11 4 2 4 4 3 2" xfId="46771" xr:uid="{00000000-0005-0000-0000-00008BB40000}"/>
    <cellStyle name="Normal 11 4 2 4 4 3 2 2" xfId="46772" xr:uid="{00000000-0005-0000-0000-00008CB40000}"/>
    <cellStyle name="Normal 11 4 2 4 4 3 3" xfId="46773" xr:uid="{00000000-0005-0000-0000-00008DB40000}"/>
    <cellStyle name="Normal 11 4 2 4 4 4" xfId="46774" xr:uid="{00000000-0005-0000-0000-00008EB40000}"/>
    <cellStyle name="Normal 11 4 2 4 4 4 2" xfId="46775" xr:uid="{00000000-0005-0000-0000-00008FB40000}"/>
    <cellStyle name="Normal 11 4 2 4 4 5" xfId="46776" xr:uid="{00000000-0005-0000-0000-000090B40000}"/>
    <cellStyle name="Normal 11 4 2 4 5" xfId="46777" xr:uid="{00000000-0005-0000-0000-000091B40000}"/>
    <cellStyle name="Normal 11 4 2 4 5 2" xfId="46778" xr:uid="{00000000-0005-0000-0000-000092B40000}"/>
    <cellStyle name="Normal 11 4 2 4 5 2 2" xfId="46779" xr:uid="{00000000-0005-0000-0000-000093B40000}"/>
    <cellStyle name="Normal 11 4 2 4 5 2 2 2" xfId="46780" xr:uid="{00000000-0005-0000-0000-000094B40000}"/>
    <cellStyle name="Normal 11 4 2 4 5 2 2 2 2" xfId="46781" xr:uid="{00000000-0005-0000-0000-000095B40000}"/>
    <cellStyle name="Normal 11 4 2 4 5 2 2 3" xfId="46782" xr:uid="{00000000-0005-0000-0000-000096B40000}"/>
    <cellStyle name="Normal 11 4 2 4 5 2 3" xfId="46783" xr:uid="{00000000-0005-0000-0000-000097B40000}"/>
    <cellStyle name="Normal 11 4 2 4 5 2 3 2" xfId="46784" xr:uid="{00000000-0005-0000-0000-000098B40000}"/>
    <cellStyle name="Normal 11 4 2 4 5 2 4" xfId="46785" xr:uid="{00000000-0005-0000-0000-000099B40000}"/>
    <cellStyle name="Normal 11 4 2 4 5 3" xfId="46786" xr:uid="{00000000-0005-0000-0000-00009AB40000}"/>
    <cellStyle name="Normal 11 4 2 4 5 3 2" xfId="46787" xr:uid="{00000000-0005-0000-0000-00009BB40000}"/>
    <cellStyle name="Normal 11 4 2 4 5 3 2 2" xfId="46788" xr:uid="{00000000-0005-0000-0000-00009CB40000}"/>
    <cellStyle name="Normal 11 4 2 4 5 3 3" xfId="46789" xr:uid="{00000000-0005-0000-0000-00009DB40000}"/>
    <cellStyle name="Normal 11 4 2 4 5 4" xfId="46790" xr:uid="{00000000-0005-0000-0000-00009EB40000}"/>
    <cellStyle name="Normal 11 4 2 4 5 4 2" xfId="46791" xr:uid="{00000000-0005-0000-0000-00009FB40000}"/>
    <cellStyle name="Normal 11 4 2 4 5 5" xfId="46792" xr:uid="{00000000-0005-0000-0000-0000A0B40000}"/>
    <cellStyle name="Normal 11 4 2 4 6" xfId="46793" xr:uid="{00000000-0005-0000-0000-0000A1B40000}"/>
    <cellStyle name="Normal 11 4 2 4 6 2" xfId="46794" xr:uid="{00000000-0005-0000-0000-0000A2B40000}"/>
    <cellStyle name="Normal 11 4 2 4 6 2 2" xfId="46795" xr:uid="{00000000-0005-0000-0000-0000A3B40000}"/>
    <cellStyle name="Normal 11 4 2 4 6 2 2 2" xfId="46796" xr:uid="{00000000-0005-0000-0000-0000A4B40000}"/>
    <cellStyle name="Normal 11 4 2 4 6 2 3" xfId="46797" xr:uid="{00000000-0005-0000-0000-0000A5B40000}"/>
    <cellStyle name="Normal 11 4 2 4 6 3" xfId="46798" xr:uid="{00000000-0005-0000-0000-0000A6B40000}"/>
    <cellStyle name="Normal 11 4 2 4 6 3 2" xfId="46799" xr:uid="{00000000-0005-0000-0000-0000A7B40000}"/>
    <cellStyle name="Normal 11 4 2 4 6 4" xfId="46800" xr:uid="{00000000-0005-0000-0000-0000A8B40000}"/>
    <cellStyle name="Normal 11 4 2 4 7" xfId="46801" xr:uid="{00000000-0005-0000-0000-0000A9B40000}"/>
    <cellStyle name="Normal 11 4 2 4 7 2" xfId="46802" xr:uid="{00000000-0005-0000-0000-0000AAB40000}"/>
    <cellStyle name="Normal 11 4 2 4 7 2 2" xfId="46803" xr:uid="{00000000-0005-0000-0000-0000ABB40000}"/>
    <cellStyle name="Normal 11 4 2 4 7 2 2 2" xfId="46804" xr:uid="{00000000-0005-0000-0000-0000ACB40000}"/>
    <cellStyle name="Normal 11 4 2 4 7 2 3" xfId="46805" xr:uid="{00000000-0005-0000-0000-0000ADB40000}"/>
    <cellStyle name="Normal 11 4 2 4 7 3" xfId="46806" xr:uid="{00000000-0005-0000-0000-0000AEB40000}"/>
    <cellStyle name="Normal 11 4 2 4 7 3 2" xfId="46807" xr:uid="{00000000-0005-0000-0000-0000AFB40000}"/>
    <cellStyle name="Normal 11 4 2 4 7 4" xfId="46808" xr:uid="{00000000-0005-0000-0000-0000B0B40000}"/>
    <cellStyle name="Normal 11 4 2 4 8" xfId="46809" xr:uid="{00000000-0005-0000-0000-0000B1B40000}"/>
    <cellStyle name="Normal 11 4 2 4 8 2" xfId="46810" xr:uid="{00000000-0005-0000-0000-0000B2B40000}"/>
    <cellStyle name="Normal 11 4 2 4 8 2 2" xfId="46811" xr:uid="{00000000-0005-0000-0000-0000B3B40000}"/>
    <cellStyle name="Normal 11 4 2 4 8 2 2 2" xfId="46812" xr:uid="{00000000-0005-0000-0000-0000B4B40000}"/>
    <cellStyle name="Normal 11 4 2 4 8 2 3" xfId="46813" xr:uid="{00000000-0005-0000-0000-0000B5B40000}"/>
    <cellStyle name="Normal 11 4 2 4 8 3" xfId="46814" xr:uid="{00000000-0005-0000-0000-0000B6B40000}"/>
    <cellStyle name="Normal 11 4 2 4 8 3 2" xfId="46815" xr:uid="{00000000-0005-0000-0000-0000B7B40000}"/>
    <cellStyle name="Normal 11 4 2 4 8 4" xfId="46816" xr:uid="{00000000-0005-0000-0000-0000B8B40000}"/>
    <cellStyle name="Normal 11 4 2 4 9" xfId="46817" xr:uid="{00000000-0005-0000-0000-0000B9B40000}"/>
    <cellStyle name="Normal 11 4 2 4 9 2" xfId="46818" xr:uid="{00000000-0005-0000-0000-0000BAB40000}"/>
    <cellStyle name="Normal 11 4 2 4 9 2 2" xfId="46819" xr:uid="{00000000-0005-0000-0000-0000BBB40000}"/>
    <cellStyle name="Normal 11 4 2 4 9 3" xfId="46820" xr:uid="{00000000-0005-0000-0000-0000BCB40000}"/>
    <cellStyle name="Normal 11 4 2 5" xfId="643" xr:uid="{00000000-0005-0000-0000-0000BDB40000}"/>
    <cellStyle name="Normal 11 4 2 5 10" xfId="46822" xr:uid="{00000000-0005-0000-0000-0000BEB40000}"/>
    <cellStyle name="Normal 11 4 2 5 10 2" xfId="46823" xr:uid="{00000000-0005-0000-0000-0000BFB40000}"/>
    <cellStyle name="Normal 11 4 2 5 10 2 2" xfId="46824" xr:uid="{00000000-0005-0000-0000-0000C0B40000}"/>
    <cellStyle name="Normal 11 4 2 5 10 3" xfId="46825" xr:uid="{00000000-0005-0000-0000-0000C1B40000}"/>
    <cellStyle name="Normal 11 4 2 5 11" xfId="46826" xr:uid="{00000000-0005-0000-0000-0000C2B40000}"/>
    <cellStyle name="Normal 11 4 2 5 11 2" xfId="46827" xr:uid="{00000000-0005-0000-0000-0000C3B40000}"/>
    <cellStyle name="Normal 11 4 2 5 11 2 2" xfId="46828" xr:uid="{00000000-0005-0000-0000-0000C4B40000}"/>
    <cellStyle name="Normal 11 4 2 5 11 3" xfId="46829" xr:uid="{00000000-0005-0000-0000-0000C5B40000}"/>
    <cellStyle name="Normal 11 4 2 5 12" xfId="46830" xr:uid="{00000000-0005-0000-0000-0000C6B40000}"/>
    <cellStyle name="Normal 11 4 2 5 12 2" xfId="46831" xr:uid="{00000000-0005-0000-0000-0000C7B40000}"/>
    <cellStyle name="Normal 11 4 2 5 13" xfId="46832" xr:uid="{00000000-0005-0000-0000-0000C8B40000}"/>
    <cellStyle name="Normal 11 4 2 5 14" xfId="46833" xr:uid="{00000000-0005-0000-0000-0000C9B40000}"/>
    <cellStyle name="Normal 11 4 2 5 15" xfId="46821" xr:uid="{00000000-0005-0000-0000-0000CAB40000}"/>
    <cellStyle name="Normal 11 4 2 5 2" xfId="1085" xr:uid="{00000000-0005-0000-0000-0000CBB40000}"/>
    <cellStyle name="Normal 11 4 2 5 2 10" xfId="46835" xr:uid="{00000000-0005-0000-0000-0000CCB40000}"/>
    <cellStyle name="Normal 11 4 2 5 2 11" xfId="46834" xr:uid="{00000000-0005-0000-0000-0000CDB40000}"/>
    <cellStyle name="Normal 11 4 2 5 2 2" xfId="1814" xr:uid="{00000000-0005-0000-0000-0000CEB40000}"/>
    <cellStyle name="Normal 11 4 2 5 2 2 2" xfId="46837" xr:uid="{00000000-0005-0000-0000-0000CFB40000}"/>
    <cellStyle name="Normal 11 4 2 5 2 2 2 2" xfId="46838" xr:uid="{00000000-0005-0000-0000-0000D0B40000}"/>
    <cellStyle name="Normal 11 4 2 5 2 2 2 2 2" xfId="46839" xr:uid="{00000000-0005-0000-0000-0000D1B40000}"/>
    <cellStyle name="Normal 11 4 2 5 2 2 2 2 2 2" xfId="46840" xr:uid="{00000000-0005-0000-0000-0000D2B40000}"/>
    <cellStyle name="Normal 11 4 2 5 2 2 2 2 3" xfId="46841" xr:uid="{00000000-0005-0000-0000-0000D3B40000}"/>
    <cellStyle name="Normal 11 4 2 5 2 2 2 3" xfId="46842" xr:uid="{00000000-0005-0000-0000-0000D4B40000}"/>
    <cellStyle name="Normal 11 4 2 5 2 2 2 3 2" xfId="46843" xr:uid="{00000000-0005-0000-0000-0000D5B40000}"/>
    <cellStyle name="Normal 11 4 2 5 2 2 2 4" xfId="46844" xr:uid="{00000000-0005-0000-0000-0000D6B40000}"/>
    <cellStyle name="Normal 11 4 2 5 2 2 3" xfId="46845" xr:uid="{00000000-0005-0000-0000-0000D7B40000}"/>
    <cellStyle name="Normal 11 4 2 5 2 2 3 2" xfId="46846" xr:uid="{00000000-0005-0000-0000-0000D8B40000}"/>
    <cellStyle name="Normal 11 4 2 5 2 2 3 2 2" xfId="46847" xr:uid="{00000000-0005-0000-0000-0000D9B40000}"/>
    <cellStyle name="Normal 11 4 2 5 2 2 3 2 2 2" xfId="46848" xr:uid="{00000000-0005-0000-0000-0000DAB40000}"/>
    <cellStyle name="Normal 11 4 2 5 2 2 3 2 3" xfId="46849" xr:uid="{00000000-0005-0000-0000-0000DBB40000}"/>
    <cellStyle name="Normal 11 4 2 5 2 2 3 3" xfId="46850" xr:uid="{00000000-0005-0000-0000-0000DCB40000}"/>
    <cellStyle name="Normal 11 4 2 5 2 2 3 3 2" xfId="46851" xr:uid="{00000000-0005-0000-0000-0000DDB40000}"/>
    <cellStyle name="Normal 11 4 2 5 2 2 3 4" xfId="46852" xr:uid="{00000000-0005-0000-0000-0000DEB40000}"/>
    <cellStyle name="Normal 11 4 2 5 2 2 4" xfId="46853" xr:uid="{00000000-0005-0000-0000-0000DFB40000}"/>
    <cellStyle name="Normal 11 4 2 5 2 2 4 2" xfId="46854" xr:uid="{00000000-0005-0000-0000-0000E0B40000}"/>
    <cellStyle name="Normal 11 4 2 5 2 2 4 2 2" xfId="46855" xr:uid="{00000000-0005-0000-0000-0000E1B40000}"/>
    <cellStyle name="Normal 11 4 2 5 2 2 4 3" xfId="46856" xr:uid="{00000000-0005-0000-0000-0000E2B40000}"/>
    <cellStyle name="Normal 11 4 2 5 2 2 5" xfId="46857" xr:uid="{00000000-0005-0000-0000-0000E3B40000}"/>
    <cellStyle name="Normal 11 4 2 5 2 2 5 2" xfId="46858" xr:uid="{00000000-0005-0000-0000-0000E4B40000}"/>
    <cellStyle name="Normal 11 4 2 5 2 2 6" xfId="46859" xr:uid="{00000000-0005-0000-0000-0000E5B40000}"/>
    <cellStyle name="Normal 11 4 2 5 2 2 7" xfId="46836" xr:uid="{00000000-0005-0000-0000-0000E6B40000}"/>
    <cellStyle name="Normal 11 4 2 5 2 3" xfId="46860" xr:uid="{00000000-0005-0000-0000-0000E7B40000}"/>
    <cellStyle name="Normal 11 4 2 5 2 3 2" xfId="46861" xr:uid="{00000000-0005-0000-0000-0000E8B40000}"/>
    <cellStyle name="Normal 11 4 2 5 2 3 2 2" xfId="46862" xr:uid="{00000000-0005-0000-0000-0000E9B40000}"/>
    <cellStyle name="Normal 11 4 2 5 2 3 2 2 2" xfId="46863" xr:uid="{00000000-0005-0000-0000-0000EAB40000}"/>
    <cellStyle name="Normal 11 4 2 5 2 3 2 2 2 2" xfId="46864" xr:uid="{00000000-0005-0000-0000-0000EBB40000}"/>
    <cellStyle name="Normal 11 4 2 5 2 3 2 2 3" xfId="46865" xr:uid="{00000000-0005-0000-0000-0000ECB40000}"/>
    <cellStyle name="Normal 11 4 2 5 2 3 2 3" xfId="46866" xr:uid="{00000000-0005-0000-0000-0000EDB40000}"/>
    <cellStyle name="Normal 11 4 2 5 2 3 2 3 2" xfId="46867" xr:uid="{00000000-0005-0000-0000-0000EEB40000}"/>
    <cellStyle name="Normal 11 4 2 5 2 3 2 4" xfId="46868" xr:uid="{00000000-0005-0000-0000-0000EFB40000}"/>
    <cellStyle name="Normal 11 4 2 5 2 3 3" xfId="46869" xr:uid="{00000000-0005-0000-0000-0000F0B40000}"/>
    <cellStyle name="Normal 11 4 2 5 2 3 3 2" xfId="46870" xr:uid="{00000000-0005-0000-0000-0000F1B40000}"/>
    <cellStyle name="Normal 11 4 2 5 2 3 3 2 2" xfId="46871" xr:uid="{00000000-0005-0000-0000-0000F2B40000}"/>
    <cellStyle name="Normal 11 4 2 5 2 3 3 3" xfId="46872" xr:uid="{00000000-0005-0000-0000-0000F3B40000}"/>
    <cellStyle name="Normal 11 4 2 5 2 3 4" xfId="46873" xr:uid="{00000000-0005-0000-0000-0000F4B40000}"/>
    <cellStyle name="Normal 11 4 2 5 2 3 4 2" xfId="46874" xr:uid="{00000000-0005-0000-0000-0000F5B40000}"/>
    <cellStyle name="Normal 11 4 2 5 2 3 5" xfId="46875" xr:uid="{00000000-0005-0000-0000-0000F6B40000}"/>
    <cellStyle name="Normal 11 4 2 5 2 4" xfId="46876" xr:uid="{00000000-0005-0000-0000-0000F7B40000}"/>
    <cellStyle name="Normal 11 4 2 5 2 4 2" xfId="46877" xr:uid="{00000000-0005-0000-0000-0000F8B40000}"/>
    <cellStyle name="Normal 11 4 2 5 2 4 2 2" xfId="46878" xr:uid="{00000000-0005-0000-0000-0000F9B40000}"/>
    <cellStyle name="Normal 11 4 2 5 2 4 2 2 2" xfId="46879" xr:uid="{00000000-0005-0000-0000-0000FAB40000}"/>
    <cellStyle name="Normal 11 4 2 5 2 4 2 2 2 2" xfId="46880" xr:uid="{00000000-0005-0000-0000-0000FBB40000}"/>
    <cellStyle name="Normal 11 4 2 5 2 4 2 2 3" xfId="46881" xr:uid="{00000000-0005-0000-0000-0000FCB40000}"/>
    <cellStyle name="Normal 11 4 2 5 2 4 2 3" xfId="46882" xr:uid="{00000000-0005-0000-0000-0000FDB40000}"/>
    <cellStyle name="Normal 11 4 2 5 2 4 2 3 2" xfId="46883" xr:uid="{00000000-0005-0000-0000-0000FEB40000}"/>
    <cellStyle name="Normal 11 4 2 5 2 4 2 4" xfId="46884" xr:uid="{00000000-0005-0000-0000-0000FFB40000}"/>
    <cellStyle name="Normal 11 4 2 5 2 4 3" xfId="46885" xr:uid="{00000000-0005-0000-0000-000000B50000}"/>
    <cellStyle name="Normal 11 4 2 5 2 4 3 2" xfId="46886" xr:uid="{00000000-0005-0000-0000-000001B50000}"/>
    <cellStyle name="Normal 11 4 2 5 2 4 3 2 2" xfId="46887" xr:uid="{00000000-0005-0000-0000-000002B50000}"/>
    <cellStyle name="Normal 11 4 2 5 2 4 3 3" xfId="46888" xr:uid="{00000000-0005-0000-0000-000003B50000}"/>
    <cellStyle name="Normal 11 4 2 5 2 4 4" xfId="46889" xr:uid="{00000000-0005-0000-0000-000004B50000}"/>
    <cellStyle name="Normal 11 4 2 5 2 4 4 2" xfId="46890" xr:uid="{00000000-0005-0000-0000-000005B50000}"/>
    <cellStyle name="Normal 11 4 2 5 2 4 5" xfId="46891" xr:uid="{00000000-0005-0000-0000-000006B50000}"/>
    <cellStyle name="Normal 11 4 2 5 2 5" xfId="46892" xr:uid="{00000000-0005-0000-0000-000007B50000}"/>
    <cellStyle name="Normal 11 4 2 5 2 5 2" xfId="46893" xr:uid="{00000000-0005-0000-0000-000008B50000}"/>
    <cellStyle name="Normal 11 4 2 5 2 5 2 2" xfId="46894" xr:uid="{00000000-0005-0000-0000-000009B50000}"/>
    <cellStyle name="Normal 11 4 2 5 2 5 2 2 2" xfId="46895" xr:uid="{00000000-0005-0000-0000-00000AB50000}"/>
    <cellStyle name="Normal 11 4 2 5 2 5 2 3" xfId="46896" xr:uid="{00000000-0005-0000-0000-00000BB50000}"/>
    <cellStyle name="Normal 11 4 2 5 2 5 3" xfId="46897" xr:uid="{00000000-0005-0000-0000-00000CB50000}"/>
    <cellStyle name="Normal 11 4 2 5 2 5 3 2" xfId="46898" xr:uid="{00000000-0005-0000-0000-00000DB50000}"/>
    <cellStyle name="Normal 11 4 2 5 2 5 4" xfId="46899" xr:uid="{00000000-0005-0000-0000-00000EB50000}"/>
    <cellStyle name="Normal 11 4 2 5 2 6" xfId="46900" xr:uid="{00000000-0005-0000-0000-00000FB50000}"/>
    <cellStyle name="Normal 11 4 2 5 2 6 2" xfId="46901" xr:uid="{00000000-0005-0000-0000-000010B50000}"/>
    <cellStyle name="Normal 11 4 2 5 2 6 2 2" xfId="46902" xr:uid="{00000000-0005-0000-0000-000011B50000}"/>
    <cellStyle name="Normal 11 4 2 5 2 6 2 2 2" xfId="46903" xr:uid="{00000000-0005-0000-0000-000012B50000}"/>
    <cellStyle name="Normal 11 4 2 5 2 6 2 3" xfId="46904" xr:uid="{00000000-0005-0000-0000-000013B50000}"/>
    <cellStyle name="Normal 11 4 2 5 2 6 3" xfId="46905" xr:uid="{00000000-0005-0000-0000-000014B50000}"/>
    <cellStyle name="Normal 11 4 2 5 2 6 3 2" xfId="46906" xr:uid="{00000000-0005-0000-0000-000015B50000}"/>
    <cellStyle name="Normal 11 4 2 5 2 6 4" xfId="46907" xr:uid="{00000000-0005-0000-0000-000016B50000}"/>
    <cellStyle name="Normal 11 4 2 5 2 7" xfId="46908" xr:uid="{00000000-0005-0000-0000-000017B50000}"/>
    <cellStyle name="Normal 11 4 2 5 2 7 2" xfId="46909" xr:uid="{00000000-0005-0000-0000-000018B50000}"/>
    <cellStyle name="Normal 11 4 2 5 2 7 2 2" xfId="46910" xr:uid="{00000000-0005-0000-0000-000019B50000}"/>
    <cellStyle name="Normal 11 4 2 5 2 7 2 2 2" xfId="46911" xr:uid="{00000000-0005-0000-0000-00001AB50000}"/>
    <cellStyle name="Normal 11 4 2 5 2 7 2 3" xfId="46912" xr:uid="{00000000-0005-0000-0000-00001BB50000}"/>
    <cellStyle name="Normal 11 4 2 5 2 7 3" xfId="46913" xr:uid="{00000000-0005-0000-0000-00001CB50000}"/>
    <cellStyle name="Normal 11 4 2 5 2 7 3 2" xfId="46914" xr:uid="{00000000-0005-0000-0000-00001DB50000}"/>
    <cellStyle name="Normal 11 4 2 5 2 7 4" xfId="46915" xr:uid="{00000000-0005-0000-0000-00001EB50000}"/>
    <cellStyle name="Normal 11 4 2 5 2 8" xfId="46916" xr:uid="{00000000-0005-0000-0000-00001FB50000}"/>
    <cellStyle name="Normal 11 4 2 5 2 8 2" xfId="46917" xr:uid="{00000000-0005-0000-0000-000020B50000}"/>
    <cellStyle name="Normal 11 4 2 5 2 8 2 2" xfId="46918" xr:uid="{00000000-0005-0000-0000-000021B50000}"/>
    <cellStyle name="Normal 11 4 2 5 2 8 3" xfId="46919" xr:uid="{00000000-0005-0000-0000-000022B50000}"/>
    <cellStyle name="Normal 11 4 2 5 2 9" xfId="46920" xr:uid="{00000000-0005-0000-0000-000023B50000}"/>
    <cellStyle name="Normal 11 4 2 5 2 9 2" xfId="46921" xr:uid="{00000000-0005-0000-0000-000024B50000}"/>
    <cellStyle name="Normal 11 4 2 5 3" xfId="1487" xr:uid="{00000000-0005-0000-0000-000025B50000}"/>
    <cellStyle name="Normal 11 4 2 5 3 2" xfId="46923" xr:uid="{00000000-0005-0000-0000-000026B50000}"/>
    <cellStyle name="Normal 11 4 2 5 3 2 2" xfId="46924" xr:uid="{00000000-0005-0000-0000-000027B50000}"/>
    <cellStyle name="Normal 11 4 2 5 3 2 2 2" xfId="46925" xr:uid="{00000000-0005-0000-0000-000028B50000}"/>
    <cellStyle name="Normal 11 4 2 5 3 2 2 2 2" xfId="46926" xr:uid="{00000000-0005-0000-0000-000029B50000}"/>
    <cellStyle name="Normal 11 4 2 5 3 2 2 3" xfId="46927" xr:uid="{00000000-0005-0000-0000-00002AB50000}"/>
    <cellStyle name="Normal 11 4 2 5 3 2 3" xfId="46928" xr:uid="{00000000-0005-0000-0000-00002BB50000}"/>
    <cellStyle name="Normal 11 4 2 5 3 2 3 2" xfId="46929" xr:uid="{00000000-0005-0000-0000-00002CB50000}"/>
    <cellStyle name="Normal 11 4 2 5 3 2 4" xfId="46930" xr:uid="{00000000-0005-0000-0000-00002DB50000}"/>
    <cellStyle name="Normal 11 4 2 5 3 3" xfId="46931" xr:uid="{00000000-0005-0000-0000-00002EB50000}"/>
    <cellStyle name="Normal 11 4 2 5 3 3 2" xfId="46932" xr:uid="{00000000-0005-0000-0000-00002FB50000}"/>
    <cellStyle name="Normal 11 4 2 5 3 3 2 2" xfId="46933" xr:uid="{00000000-0005-0000-0000-000030B50000}"/>
    <cellStyle name="Normal 11 4 2 5 3 3 2 2 2" xfId="46934" xr:uid="{00000000-0005-0000-0000-000031B50000}"/>
    <cellStyle name="Normal 11 4 2 5 3 3 2 3" xfId="46935" xr:uid="{00000000-0005-0000-0000-000032B50000}"/>
    <cellStyle name="Normal 11 4 2 5 3 3 3" xfId="46936" xr:uid="{00000000-0005-0000-0000-000033B50000}"/>
    <cellStyle name="Normal 11 4 2 5 3 3 3 2" xfId="46937" xr:uid="{00000000-0005-0000-0000-000034B50000}"/>
    <cellStyle name="Normal 11 4 2 5 3 3 4" xfId="46938" xr:uid="{00000000-0005-0000-0000-000035B50000}"/>
    <cellStyle name="Normal 11 4 2 5 3 4" xfId="46939" xr:uid="{00000000-0005-0000-0000-000036B50000}"/>
    <cellStyle name="Normal 11 4 2 5 3 4 2" xfId="46940" xr:uid="{00000000-0005-0000-0000-000037B50000}"/>
    <cellStyle name="Normal 11 4 2 5 3 4 2 2" xfId="46941" xr:uid="{00000000-0005-0000-0000-000038B50000}"/>
    <cellStyle name="Normal 11 4 2 5 3 4 3" xfId="46942" xr:uid="{00000000-0005-0000-0000-000039B50000}"/>
    <cellStyle name="Normal 11 4 2 5 3 5" xfId="46943" xr:uid="{00000000-0005-0000-0000-00003AB50000}"/>
    <cellStyle name="Normal 11 4 2 5 3 5 2" xfId="46944" xr:uid="{00000000-0005-0000-0000-00003BB50000}"/>
    <cellStyle name="Normal 11 4 2 5 3 6" xfId="46945" xr:uid="{00000000-0005-0000-0000-00003CB50000}"/>
    <cellStyle name="Normal 11 4 2 5 3 7" xfId="46922" xr:uid="{00000000-0005-0000-0000-00003DB50000}"/>
    <cellStyle name="Normal 11 4 2 5 4" xfId="46946" xr:uid="{00000000-0005-0000-0000-00003EB50000}"/>
    <cellStyle name="Normal 11 4 2 5 4 2" xfId="46947" xr:uid="{00000000-0005-0000-0000-00003FB50000}"/>
    <cellStyle name="Normal 11 4 2 5 4 2 2" xfId="46948" xr:uid="{00000000-0005-0000-0000-000040B50000}"/>
    <cellStyle name="Normal 11 4 2 5 4 2 2 2" xfId="46949" xr:uid="{00000000-0005-0000-0000-000041B50000}"/>
    <cellStyle name="Normal 11 4 2 5 4 2 2 2 2" xfId="46950" xr:uid="{00000000-0005-0000-0000-000042B50000}"/>
    <cellStyle name="Normal 11 4 2 5 4 2 2 3" xfId="46951" xr:uid="{00000000-0005-0000-0000-000043B50000}"/>
    <cellStyle name="Normal 11 4 2 5 4 2 3" xfId="46952" xr:uid="{00000000-0005-0000-0000-000044B50000}"/>
    <cellStyle name="Normal 11 4 2 5 4 2 3 2" xfId="46953" xr:uid="{00000000-0005-0000-0000-000045B50000}"/>
    <cellStyle name="Normal 11 4 2 5 4 2 4" xfId="46954" xr:uid="{00000000-0005-0000-0000-000046B50000}"/>
    <cellStyle name="Normal 11 4 2 5 4 3" xfId="46955" xr:uid="{00000000-0005-0000-0000-000047B50000}"/>
    <cellStyle name="Normal 11 4 2 5 4 3 2" xfId="46956" xr:uid="{00000000-0005-0000-0000-000048B50000}"/>
    <cellStyle name="Normal 11 4 2 5 4 3 2 2" xfId="46957" xr:uid="{00000000-0005-0000-0000-000049B50000}"/>
    <cellStyle name="Normal 11 4 2 5 4 3 3" xfId="46958" xr:uid="{00000000-0005-0000-0000-00004AB50000}"/>
    <cellStyle name="Normal 11 4 2 5 4 4" xfId="46959" xr:uid="{00000000-0005-0000-0000-00004BB50000}"/>
    <cellStyle name="Normal 11 4 2 5 4 4 2" xfId="46960" xr:uid="{00000000-0005-0000-0000-00004CB50000}"/>
    <cellStyle name="Normal 11 4 2 5 4 5" xfId="46961" xr:uid="{00000000-0005-0000-0000-00004DB50000}"/>
    <cellStyle name="Normal 11 4 2 5 5" xfId="46962" xr:uid="{00000000-0005-0000-0000-00004EB50000}"/>
    <cellStyle name="Normal 11 4 2 5 5 2" xfId="46963" xr:uid="{00000000-0005-0000-0000-00004FB50000}"/>
    <cellStyle name="Normal 11 4 2 5 5 2 2" xfId="46964" xr:uid="{00000000-0005-0000-0000-000050B50000}"/>
    <cellStyle name="Normal 11 4 2 5 5 2 2 2" xfId="46965" xr:uid="{00000000-0005-0000-0000-000051B50000}"/>
    <cellStyle name="Normal 11 4 2 5 5 2 2 2 2" xfId="46966" xr:uid="{00000000-0005-0000-0000-000052B50000}"/>
    <cellStyle name="Normal 11 4 2 5 5 2 2 3" xfId="46967" xr:uid="{00000000-0005-0000-0000-000053B50000}"/>
    <cellStyle name="Normal 11 4 2 5 5 2 3" xfId="46968" xr:uid="{00000000-0005-0000-0000-000054B50000}"/>
    <cellStyle name="Normal 11 4 2 5 5 2 3 2" xfId="46969" xr:uid="{00000000-0005-0000-0000-000055B50000}"/>
    <cellStyle name="Normal 11 4 2 5 5 2 4" xfId="46970" xr:uid="{00000000-0005-0000-0000-000056B50000}"/>
    <cellStyle name="Normal 11 4 2 5 5 3" xfId="46971" xr:uid="{00000000-0005-0000-0000-000057B50000}"/>
    <cellStyle name="Normal 11 4 2 5 5 3 2" xfId="46972" xr:uid="{00000000-0005-0000-0000-000058B50000}"/>
    <cellStyle name="Normal 11 4 2 5 5 3 2 2" xfId="46973" xr:uid="{00000000-0005-0000-0000-000059B50000}"/>
    <cellStyle name="Normal 11 4 2 5 5 3 3" xfId="46974" xr:uid="{00000000-0005-0000-0000-00005AB50000}"/>
    <cellStyle name="Normal 11 4 2 5 5 4" xfId="46975" xr:uid="{00000000-0005-0000-0000-00005BB50000}"/>
    <cellStyle name="Normal 11 4 2 5 5 4 2" xfId="46976" xr:uid="{00000000-0005-0000-0000-00005CB50000}"/>
    <cellStyle name="Normal 11 4 2 5 5 5" xfId="46977" xr:uid="{00000000-0005-0000-0000-00005DB50000}"/>
    <cellStyle name="Normal 11 4 2 5 6" xfId="46978" xr:uid="{00000000-0005-0000-0000-00005EB50000}"/>
    <cellStyle name="Normal 11 4 2 5 6 2" xfId="46979" xr:uid="{00000000-0005-0000-0000-00005FB50000}"/>
    <cellStyle name="Normal 11 4 2 5 6 2 2" xfId="46980" xr:uid="{00000000-0005-0000-0000-000060B50000}"/>
    <cellStyle name="Normal 11 4 2 5 6 2 2 2" xfId="46981" xr:uid="{00000000-0005-0000-0000-000061B50000}"/>
    <cellStyle name="Normal 11 4 2 5 6 2 3" xfId="46982" xr:uid="{00000000-0005-0000-0000-000062B50000}"/>
    <cellStyle name="Normal 11 4 2 5 6 3" xfId="46983" xr:uid="{00000000-0005-0000-0000-000063B50000}"/>
    <cellStyle name="Normal 11 4 2 5 6 3 2" xfId="46984" xr:uid="{00000000-0005-0000-0000-000064B50000}"/>
    <cellStyle name="Normal 11 4 2 5 6 4" xfId="46985" xr:uid="{00000000-0005-0000-0000-000065B50000}"/>
    <cellStyle name="Normal 11 4 2 5 7" xfId="46986" xr:uid="{00000000-0005-0000-0000-000066B50000}"/>
    <cellStyle name="Normal 11 4 2 5 7 2" xfId="46987" xr:uid="{00000000-0005-0000-0000-000067B50000}"/>
    <cellStyle name="Normal 11 4 2 5 7 2 2" xfId="46988" xr:uid="{00000000-0005-0000-0000-000068B50000}"/>
    <cellStyle name="Normal 11 4 2 5 7 2 2 2" xfId="46989" xr:uid="{00000000-0005-0000-0000-000069B50000}"/>
    <cellStyle name="Normal 11 4 2 5 7 2 3" xfId="46990" xr:uid="{00000000-0005-0000-0000-00006AB50000}"/>
    <cellStyle name="Normal 11 4 2 5 7 3" xfId="46991" xr:uid="{00000000-0005-0000-0000-00006BB50000}"/>
    <cellStyle name="Normal 11 4 2 5 7 3 2" xfId="46992" xr:uid="{00000000-0005-0000-0000-00006CB50000}"/>
    <cellStyle name="Normal 11 4 2 5 7 4" xfId="46993" xr:uid="{00000000-0005-0000-0000-00006DB50000}"/>
    <cellStyle name="Normal 11 4 2 5 8" xfId="46994" xr:uid="{00000000-0005-0000-0000-00006EB50000}"/>
    <cellStyle name="Normal 11 4 2 5 8 2" xfId="46995" xr:uid="{00000000-0005-0000-0000-00006FB50000}"/>
    <cellStyle name="Normal 11 4 2 5 8 2 2" xfId="46996" xr:uid="{00000000-0005-0000-0000-000070B50000}"/>
    <cellStyle name="Normal 11 4 2 5 8 2 2 2" xfId="46997" xr:uid="{00000000-0005-0000-0000-000071B50000}"/>
    <cellStyle name="Normal 11 4 2 5 8 2 3" xfId="46998" xr:uid="{00000000-0005-0000-0000-000072B50000}"/>
    <cellStyle name="Normal 11 4 2 5 8 3" xfId="46999" xr:uid="{00000000-0005-0000-0000-000073B50000}"/>
    <cellStyle name="Normal 11 4 2 5 8 3 2" xfId="47000" xr:uid="{00000000-0005-0000-0000-000074B50000}"/>
    <cellStyle name="Normal 11 4 2 5 8 4" xfId="47001" xr:uid="{00000000-0005-0000-0000-000075B50000}"/>
    <cellStyle name="Normal 11 4 2 5 9" xfId="47002" xr:uid="{00000000-0005-0000-0000-000076B50000}"/>
    <cellStyle name="Normal 11 4 2 5 9 2" xfId="47003" xr:uid="{00000000-0005-0000-0000-000077B50000}"/>
    <cellStyle name="Normal 11 4 2 5 9 2 2" xfId="47004" xr:uid="{00000000-0005-0000-0000-000078B50000}"/>
    <cellStyle name="Normal 11 4 2 5 9 3" xfId="47005" xr:uid="{00000000-0005-0000-0000-000079B50000}"/>
    <cellStyle name="Normal 11 4 2 6" xfId="1074" xr:uid="{00000000-0005-0000-0000-00007AB50000}"/>
    <cellStyle name="Normal 11 4 2 6 10" xfId="47007" xr:uid="{00000000-0005-0000-0000-00007BB50000}"/>
    <cellStyle name="Normal 11 4 2 6 11" xfId="47006" xr:uid="{00000000-0005-0000-0000-00007CB50000}"/>
    <cellStyle name="Normal 11 4 2 6 2" xfId="1803" xr:uid="{00000000-0005-0000-0000-00007DB50000}"/>
    <cellStyle name="Normal 11 4 2 6 2 2" xfId="47009" xr:uid="{00000000-0005-0000-0000-00007EB50000}"/>
    <cellStyle name="Normal 11 4 2 6 2 2 2" xfId="47010" xr:uid="{00000000-0005-0000-0000-00007FB50000}"/>
    <cellStyle name="Normal 11 4 2 6 2 2 2 2" xfId="47011" xr:uid="{00000000-0005-0000-0000-000080B50000}"/>
    <cellStyle name="Normal 11 4 2 6 2 2 2 2 2" xfId="47012" xr:uid="{00000000-0005-0000-0000-000081B50000}"/>
    <cellStyle name="Normal 11 4 2 6 2 2 2 3" xfId="47013" xr:uid="{00000000-0005-0000-0000-000082B50000}"/>
    <cellStyle name="Normal 11 4 2 6 2 2 3" xfId="47014" xr:uid="{00000000-0005-0000-0000-000083B50000}"/>
    <cellStyle name="Normal 11 4 2 6 2 2 3 2" xfId="47015" xr:uid="{00000000-0005-0000-0000-000084B50000}"/>
    <cellStyle name="Normal 11 4 2 6 2 2 4" xfId="47016" xr:uid="{00000000-0005-0000-0000-000085B50000}"/>
    <cellStyle name="Normal 11 4 2 6 2 3" xfId="47017" xr:uid="{00000000-0005-0000-0000-000086B50000}"/>
    <cellStyle name="Normal 11 4 2 6 2 3 2" xfId="47018" xr:uid="{00000000-0005-0000-0000-000087B50000}"/>
    <cellStyle name="Normal 11 4 2 6 2 3 2 2" xfId="47019" xr:uid="{00000000-0005-0000-0000-000088B50000}"/>
    <cellStyle name="Normal 11 4 2 6 2 3 2 2 2" xfId="47020" xr:uid="{00000000-0005-0000-0000-000089B50000}"/>
    <cellStyle name="Normal 11 4 2 6 2 3 2 3" xfId="47021" xr:uid="{00000000-0005-0000-0000-00008AB50000}"/>
    <cellStyle name="Normal 11 4 2 6 2 3 3" xfId="47022" xr:uid="{00000000-0005-0000-0000-00008BB50000}"/>
    <cellStyle name="Normal 11 4 2 6 2 3 3 2" xfId="47023" xr:uid="{00000000-0005-0000-0000-00008CB50000}"/>
    <cellStyle name="Normal 11 4 2 6 2 3 4" xfId="47024" xr:uid="{00000000-0005-0000-0000-00008DB50000}"/>
    <cellStyle name="Normal 11 4 2 6 2 4" xfId="47025" xr:uid="{00000000-0005-0000-0000-00008EB50000}"/>
    <cellStyle name="Normal 11 4 2 6 2 4 2" xfId="47026" xr:uid="{00000000-0005-0000-0000-00008FB50000}"/>
    <cellStyle name="Normal 11 4 2 6 2 4 2 2" xfId="47027" xr:uid="{00000000-0005-0000-0000-000090B50000}"/>
    <cellStyle name="Normal 11 4 2 6 2 4 3" xfId="47028" xr:uid="{00000000-0005-0000-0000-000091B50000}"/>
    <cellStyle name="Normal 11 4 2 6 2 5" xfId="47029" xr:uid="{00000000-0005-0000-0000-000092B50000}"/>
    <cellStyle name="Normal 11 4 2 6 2 5 2" xfId="47030" xr:uid="{00000000-0005-0000-0000-000093B50000}"/>
    <cellStyle name="Normal 11 4 2 6 2 6" xfId="47031" xr:uid="{00000000-0005-0000-0000-000094B50000}"/>
    <cellStyle name="Normal 11 4 2 6 2 7" xfId="47008" xr:uid="{00000000-0005-0000-0000-000095B50000}"/>
    <cellStyle name="Normal 11 4 2 6 3" xfId="47032" xr:uid="{00000000-0005-0000-0000-000096B50000}"/>
    <cellStyle name="Normal 11 4 2 6 3 2" xfId="47033" xr:uid="{00000000-0005-0000-0000-000097B50000}"/>
    <cellStyle name="Normal 11 4 2 6 3 2 2" xfId="47034" xr:uid="{00000000-0005-0000-0000-000098B50000}"/>
    <cellStyle name="Normal 11 4 2 6 3 2 2 2" xfId="47035" xr:uid="{00000000-0005-0000-0000-000099B50000}"/>
    <cellStyle name="Normal 11 4 2 6 3 2 2 2 2" xfId="47036" xr:uid="{00000000-0005-0000-0000-00009AB50000}"/>
    <cellStyle name="Normal 11 4 2 6 3 2 2 3" xfId="47037" xr:uid="{00000000-0005-0000-0000-00009BB50000}"/>
    <cellStyle name="Normal 11 4 2 6 3 2 3" xfId="47038" xr:uid="{00000000-0005-0000-0000-00009CB50000}"/>
    <cellStyle name="Normal 11 4 2 6 3 2 3 2" xfId="47039" xr:uid="{00000000-0005-0000-0000-00009DB50000}"/>
    <cellStyle name="Normal 11 4 2 6 3 2 4" xfId="47040" xr:uid="{00000000-0005-0000-0000-00009EB50000}"/>
    <cellStyle name="Normal 11 4 2 6 3 3" xfId="47041" xr:uid="{00000000-0005-0000-0000-00009FB50000}"/>
    <cellStyle name="Normal 11 4 2 6 3 3 2" xfId="47042" xr:uid="{00000000-0005-0000-0000-0000A0B50000}"/>
    <cellStyle name="Normal 11 4 2 6 3 3 2 2" xfId="47043" xr:uid="{00000000-0005-0000-0000-0000A1B50000}"/>
    <cellStyle name="Normal 11 4 2 6 3 3 3" xfId="47044" xr:uid="{00000000-0005-0000-0000-0000A2B50000}"/>
    <cellStyle name="Normal 11 4 2 6 3 4" xfId="47045" xr:uid="{00000000-0005-0000-0000-0000A3B50000}"/>
    <cellStyle name="Normal 11 4 2 6 3 4 2" xfId="47046" xr:uid="{00000000-0005-0000-0000-0000A4B50000}"/>
    <cellStyle name="Normal 11 4 2 6 3 5" xfId="47047" xr:uid="{00000000-0005-0000-0000-0000A5B50000}"/>
    <cellStyle name="Normal 11 4 2 6 4" xfId="47048" xr:uid="{00000000-0005-0000-0000-0000A6B50000}"/>
    <cellStyle name="Normal 11 4 2 6 4 2" xfId="47049" xr:uid="{00000000-0005-0000-0000-0000A7B50000}"/>
    <cellStyle name="Normal 11 4 2 6 4 2 2" xfId="47050" xr:uid="{00000000-0005-0000-0000-0000A8B50000}"/>
    <cellStyle name="Normal 11 4 2 6 4 2 2 2" xfId="47051" xr:uid="{00000000-0005-0000-0000-0000A9B50000}"/>
    <cellStyle name="Normal 11 4 2 6 4 2 2 2 2" xfId="47052" xr:uid="{00000000-0005-0000-0000-0000AAB50000}"/>
    <cellStyle name="Normal 11 4 2 6 4 2 2 3" xfId="47053" xr:uid="{00000000-0005-0000-0000-0000ABB50000}"/>
    <cellStyle name="Normal 11 4 2 6 4 2 3" xfId="47054" xr:uid="{00000000-0005-0000-0000-0000ACB50000}"/>
    <cellStyle name="Normal 11 4 2 6 4 2 3 2" xfId="47055" xr:uid="{00000000-0005-0000-0000-0000ADB50000}"/>
    <cellStyle name="Normal 11 4 2 6 4 2 4" xfId="47056" xr:uid="{00000000-0005-0000-0000-0000AEB50000}"/>
    <cellStyle name="Normal 11 4 2 6 4 3" xfId="47057" xr:uid="{00000000-0005-0000-0000-0000AFB50000}"/>
    <cellStyle name="Normal 11 4 2 6 4 3 2" xfId="47058" xr:uid="{00000000-0005-0000-0000-0000B0B50000}"/>
    <cellStyle name="Normal 11 4 2 6 4 3 2 2" xfId="47059" xr:uid="{00000000-0005-0000-0000-0000B1B50000}"/>
    <cellStyle name="Normal 11 4 2 6 4 3 3" xfId="47060" xr:uid="{00000000-0005-0000-0000-0000B2B50000}"/>
    <cellStyle name="Normal 11 4 2 6 4 4" xfId="47061" xr:uid="{00000000-0005-0000-0000-0000B3B50000}"/>
    <cellStyle name="Normal 11 4 2 6 4 4 2" xfId="47062" xr:uid="{00000000-0005-0000-0000-0000B4B50000}"/>
    <cellStyle name="Normal 11 4 2 6 4 5" xfId="47063" xr:uid="{00000000-0005-0000-0000-0000B5B50000}"/>
    <cellStyle name="Normal 11 4 2 6 5" xfId="47064" xr:uid="{00000000-0005-0000-0000-0000B6B50000}"/>
    <cellStyle name="Normal 11 4 2 6 5 2" xfId="47065" xr:uid="{00000000-0005-0000-0000-0000B7B50000}"/>
    <cellStyle name="Normal 11 4 2 6 5 2 2" xfId="47066" xr:uid="{00000000-0005-0000-0000-0000B8B50000}"/>
    <cellStyle name="Normal 11 4 2 6 5 2 2 2" xfId="47067" xr:uid="{00000000-0005-0000-0000-0000B9B50000}"/>
    <cellStyle name="Normal 11 4 2 6 5 2 3" xfId="47068" xr:uid="{00000000-0005-0000-0000-0000BAB50000}"/>
    <cellStyle name="Normal 11 4 2 6 5 3" xfId="47069" xr:uid="{00000000-0005-0000-0000-0000BBB50000}"/>
    <cellStyle name="Normal 11 4 2 6 5 3 2" xfId="47070" xr:uid="{00000000-0005-0000-0000-0000BCB50000}"/>
    <cellStyle name="Normal 11 4 2 6 5 4" xfId="47071" xr:uid="{00000000-0005-0000-0000-0000BDB50000}"/>
    <cellStyle name="Normal 11 4 2 6 6" xfId="47072" xr:uid="{00000000-0005-0000-0000-0000BEB50000}"/>
    <cellStyle name="Normal 11 4 2 6 6 2" xfId="47073" xr:uid="{00000000-0005-0000-0000-0000BFB50000}"/>
    <cellStyle name="Normal 11 4 2 6 6 2 2" xfId="47074" xr:uid="{00000000-0005-0000-0000-0000C0B50000}"/>
    <cellStyle name="Normal 11 4 2 6 6 2 2 2" xfId="47075" xr:uid="{00000000-0005-0000-0000-0000C1B50000}"/>
    <cellStyle name="Normal 11 4 2 6 6 2 3" xfId="47076" xr:uid="{00000000-0005-0000-0000-0000C2B50000}"/>
    <cellStyle name="Normal 11 4 2 6 6 3" xfId="47077" xr:uid="{00000000-0005-0000-0000-0000C3B50000}"/>
    <cellStyle name="Normal 11 4 2 6 6 3 2" xfId="47078" xr:uid="{00000000-0005-0000-0000-0000C4B50000}"/>
    <cellStyle name="Normal 11 4 2 6 6 4" xfId="47079" xr:uid="{00000000-0005-0000-0000-0000C5B50000}"/>
    <cellStyle name="Normal 11 4 2 6 7" xfId="47080" xr:uid="{00000000-0005-0000-0000-0000C6B50000}"/>
    <cellStyle name="Normal 11 4 2 6 7 2" xfId="47081" xr:uid="{00000000-0005-0000-0000-0000C7B50000}"/>
    <cellStyle name="Normal 11 4 2 6 7 2 2" xfId="47082" xr:uid="{00000000-0005-0000-0000-0000C8B50000}"/>
    <cellStyle name="Normal 11 4 2 6 7 2 2 2" xfId="47083" xr:uid="{00000000-0005-0000-0000-0000C9B50000}"/>
    <cellStyle name="Normal 11 4 2 6 7 2 3" xfId="47084" xr:uid="{00000000-0005-0000-0000-0000CAB50000}"/>
    <cellStyle name="Normal 11 4 2 6 7 3" xfId="47085" xr:uid="{00000000-0005-0000-0000-0000CBB50000}"/>
    <cellStyle name="Normal 11 4 2 6 7 3 2" xfId="47086" xr:uid="{00000000-0005-0000-0000-0000CCB50000}"/>
    <cellStyle name="Normal 11 4 2 6 7 4" xfId="47087" xr:uid="{00000000-0005-0000-0000-0000CDB50000}"/>
    <cellStyle name="Normal 11 4 2 6 8" xfId="47088" xr:uid="{00000000-0005-0000-0000-0000CEB50000}"/>
    <cellStyle name="Normal 11 4 2 6 8 2" xfId="47089" xr:uid="{00000000-0005-0000-0000-0000CFB50000}"/>
    <cellStyle name="Normal 11 4 2 6 8 2 2" xfId="47090" xr:uid="{00000000-0005-0000-0000-0000D0B50000}"/>
    <cellStyle name="Normal 11 4 2 6 8 3" xfId="47091" xr:uid="{00000000-0005-0000-0000-0000D1B50000}"/>
    <cellStyle name="Normal 11 4 2 6 9" xfId="47092" xr:uid="{00000000-0005-0000-0000-0000D2B50000}"/>
    <cellStyle name="Normal 11 4 2 6 9 2" xfId="47093" xr:uid="{00000000-0005-0000-0000-0000D3B50000}"/>
    <cellStyle name="Normal 11 4 2 7" xfId="1476" xr:uid="{00000000-0005-0000-0000-0000D4B50000}"/>
    <cellStyle name="Normal 11 4 2 7 2" xfId="47095" xr:uid="{00000000-0005-0000-0000-0000D5B50000}"/>
    <cellStyle name="Normal 11 4 2 7 2 2" xfId="47096" xr:uid="{00000000-0005-0000-0000-0000D6B50000}"/>
    <cellStyle name="Normal 11 4 2 7 2 2 2" xfId="47097" xr:uid="{00000000-0005-0000-0000-0000D7B50000}"/>
    <cellStyle name="Normal 11 4 2 7 2 2 2 2" xfId="47098" xr:uid="{00000000-0005-0000-0000-0000D8B50000}"/>
    <cellStyle name="Normal 11 4 2 7 2 2 3" xfId="47099" xr:uid="{00000000-0005-0000-0000-0000D9B50000}"/>
    <cellStyle name="Normal 11 4 2 7 2 3" xfId="47100" xr:uid="{00000000-0005-0000-0000-0000DAB50000}"/>
    <cellStyle name="Normal 11 4 2 7 2 3 2" xfId="47101" xr:uid="{00000000-0005-0000-0000-0000DBB50000}"/>
    <cellStyle name="Normal 11 4 2 7 2 4" xfId="47102" xr:uid="{00000000-0005-0000-0000-0000DCB50000}"/>
    <cellStyle name="Normal 11 4 2 7 3" xfId="47103" xr:uid="{00000000-0005-0000-0000-0000DDB50000}"/>
    <cellStyle name="Normal 11 4 2 7 3 2" xfId="47104" xr:uid="{00000000-0005-0000-0000-0000DEB50000}"/>
    <cellStyle name="Normal 11 4 2 7 3 2 2" xfId="47105" xr:uid="{00000000-0005-0000-0000-0000DFB50000}"/>
    <cellStyle name="Normal 11 4 2 7 3 2 2 2" xfId="47106" xr:uid="{00000000-0005-0000-0000-0000E0B50000}"/>
    <cellStyle name="Normal 11 4 2 7 3 2 3" xfId="47107" xr:uid="{00000000-0005-0000-0000-0000E1B50000}"/>
    <cellStyle name="Normal 11 4 2 7 3 3" xfId="47108" xr:uid="{00000000-0005-0000-0000-0000E2B50000}"/>
    <cellStyle name="Normal 11 4 2 7 3 3 2" xfId="47109" xr:uid="{00000000-0005-0000-0000-0000E3B50000}"/>
    <cellStyle name="Normal 11 4 2 7 3 4" xfId="47110" xr:uid="{00000000-0005-0000-0000-0000E4B50000}"/>
    <cellStyle name="Normal 11 4 2 7 4" xfId="47111" xr:uid="{00000000-0005-0000-0000-0000E5B50000}"/>
    <cellStyle name="Normal 11 4 2 7 4 2" xfId="47112" xr:uid="{00000000-0005-0000-0000-0000E6B50000}"/>
    <cellStyle name="Normal 11 4 2 7 4 2 2" xfId="47113" xr:uid="{00000000-0005-0000-0000-0000E7B50000}"/>
    <cellStyle name="Normal 11 4 2 7 4 3" xfId="47114" xr:uid="{00000000-0005-0000-0000-0000E8B50000}"/>
    <cellStyle name="Normal 11 4 2 7 5" xfId="47115" xr:uid="{00000000-0005-0000-0000-0000E9B50000}"/>
    <cellStyle name="Normal 11 4 2 7 5 2" xfId="47116" xr:uid="{00000000-0005-0000-0000-0000EAB50000}"/>
    <cellStyle name="Normal 11 4 2 7 6" xfId="47117" xr:uid="{00000000-0005-0000-0000-0000EBB50000}"/>
    <cellStyle name="Normal 11 4 2 7 7" xfId="47094" xr:uid="{00000000-0005-0000-0000-0000ECB50000}"/>
    <cellStyle name="Normal 11 4 2 8" xfId="47118" xr:uid="{00000000-0005-0000-0000-0000EDB50000}"/>
    <cellStyle name="Normal 11 4 2 8 2" xfId="47119" xr:uid="{00000000-0005-0000-0000-0000EEB50000}"/>
    <cellStyle name="Normal 11 4 2 8 2 2" xfId="47120" xr:uid="{00000000-0005-0000-0000-0000EFB50000}"/>
    <cellStyle name="Normal 11 4 2 8 2 2 2" xfId="47121" xr:uid="{00000000-0005-0000-0000-0000F0B50000}"/>
    <cellStyle name="Normal 11 4 2 8 2 2 2 2" xfId="47122" xr:uid="{00000000-0005-0000-0000-0000F1B50000}"/>
    <cellStyle name="Normal 11 4 2 8 2 2 3" xfId="47123" xr:uid="{00000000-0005-0000-0000-0000F2B50000}"/>
    <cellStyle name="Normal 11 4 2 8 2 3" xfId="47124" xr:uid="{00000000-0005-0000-0000-0000F3B50000}"/>
    <cellStyle name="Normal 11 4 2 8 2 3 2" xfId="47125" xr:uid="{00000000-0005-0000-0000-0000F4B50000}"/>
    <cellStyle name="Normal 11 4 2 8 2 4" xfId="47126" xr:uid="{00000000-0005-0000-0000-0000F5B50000}"/>
    <cellStyle name="Normal 11 4 2 8 3" xfId="47127" xr:uid="{00000000-0005-0000-0000-0000F6B50000}"/>
    <cellStyle name="Normal 11 4 2 8 3 2" xfId="47128" xr:uid="{00000000-0005-0000-0000-0000F7B50000}"/>
    <cellStyle name="Normal 11 4 2 8 3 2 2" xfId="47129" xr:uid="{00000000-0005-0000-0000-0000F8B50000}"/>
    <cellStyle name="Normal 11 4 2 8 3 3" xfId="47130" xr:uid="{00000000-0005-0000-0000-0000F9B50000}"/>
    <cellStyle name="Normal 11 4 2 8 4" xfId="47131" xr:uid="{00000000-0005-0000-0000-0000FAB50000}"/>
    <cellStyle name="Normal 11 4 2 8 4 2" xfId="47132" xr:uid="{00000000-0005-0000-0000-0000FBB50000}"/>
    <cellStyle name="Normal 11 4 2 8 5" xfId="47133" xr:uid="{00000000-0005-0000-0000-0000FCB50000}"/>
    <cellStyle name="Normal 11 4 2 9" xfId="47134" xr:uid="{00000000-0005-0000-0000-0000FDB50000}"/>
    <cellStyle name="Normal 11 4 2 9 2" xfId="47135" xr:uid="{00000000-0005-0000-0000-0000FEB50000}"/>
    <cellStyle name="Normal 11 4 2 9 2 2" xfId="47136" xr:uid="{00000000-0005-0000-0000-0000FFB50000}"/>
    <cellStyle name="Normal 11 4 2 9 2 2 2" xfId="47137" xr:uid="{00000000-0005-0000-0000-000000B60000}"/>
    <cellStyle name="Normal 11 4 2 9 2 2 2 2" xfId="47138" xr:uid="{00000000-0005-0000-0000-000001B60000}"/>
    <cellStyle name="Normal 11 4 2 9 2 2 3" xfId="47139" xr:uid="{00000000-0005-0000-0000-000002B60000}"/>
    <cellStyle name="Normal 11 4 2 9 2 3" xfId="47140" xr:uid="{00000000-0005-0000-0000-000003B60000}"/>
    <cellStyle name="Normal 11 4 2 9 2 3 2" xfId="47141" xr:uid="{00000000-0005-0000-0000-000004B60000}"/>
    <cellStyle name="Normal 11 4 2 9 2 4" xfId="47142" xr:uid="{00000000-0005-0000-0000-000005B60000}"/>
    <cellStyle name="Normal 11 4 2 9 3" xfId="47143" xr:uid="{00000000-0005-0000-0000-000006B60000}"/>
    <cellStyle name="Normal 11 4 2 9 3 2" xfId="47144" xr:uid="{00000000-0005-0000-0000-000007B60000}"/>
    <cellStyle name="Normal 11 4 2 9 3 2 2" xfId="47145" xr:uid="{00000000-0005-0000-0000-000008B60000}"/>
    <cellStyle name="Normal 11 4 2 9 3 3" xfId="47146" xr:uid="{00000000-0005-0000-0000-000009B60000}"/>
    <cellStyle name="Normal 11 4 2 9 4" xfId="47147" xr:uid="{00000000-0005-0000-0000-00000AB60000}"/>
    <cellStyle name="Normal 11 4 2 9 4 2" xfId="47148" xr:uid="{00000000-0005-0000-0000-00000BB60000}"/>
    <cellStyle name="Normal 11 4 2 9 5" xfId="47149" xr:uid="{00000000-0005-0000-0000-00000CB60000}"/>
    <cellStyle name="Normal 11 4 20" xfId="44873" xr:uid="{00000000-0005-0000-0000-00000DB60000}"/>
    <cellStyle name="Normal 11 4 3" xfId="644" xr:uid="{00000000-0005-0000-0000-00000EB60000}"/>
    <cellStyle name="Normal 11 4 3 10" xfId="47151" xr:uid="{00000000-0005-0000-0000-00000FB60000}"/>
    <cellStyle name="Normal 11 4 3 10 2" xfId="47152" xr:uid="{00000000-0005-0000-0000-000010B60000}"/>
    <cellStyle name="Normal 11 4 3 10 2 2" xfId="47153" xr:uid="{00000000-0005-0000-0000-000011B60000}"/>
    <cellStyle name="Normal 11 4 3 10 2 2 2" xfId="47154" xr:uid="{00000000-0005-0000-0000-000012B60000}"/>
    <cellStyle name="Normal 11 4 3 10 2 3" xfId="47155" xr:uid="{00000000-0005-0000-0000-000013B60000}"/>
    <cellStyle name="Normal 11 4 3 10 3" xfId="47156" xr:uid="{00000000-0005-0000-0000-000014B60000}"/>
    <cellStyle name="Normal 11 4 3 10 3 2" xfId="47157" xr:uid="{00000000-0005-0000-0000-000015B60000}"/>
    <cellStyle name="Normal 11 4 3 10 4" xfId="47158" xr:uid="{00000000-0005-0000-0000-000016B60000}"/>
    <cellStyle name="Normal 11 4 3 11" xfId="47159" xr:uid="{00000000-0005-0000-0000-000017B60000}"/>
    <cellStyle name="Normal 11 4 3 11 2" xfId="47160" xr:uid="{00000000-0005-0000-0000-000018B60000}"/>
    <cellStyle name="Normal 11 4 3 11 2 2" xfId="47161" xr:uid="{00000000-0005-0000-0000-000019B60000}"/>
    <cellStyle name="Normal 11 4 3 11 2 2 2" xfId="47162" xr:uid="{00000000-0005-0000-0000-00001AB60000}"/>
    <cellStyle name="Normal 11 4 3 11 2 3" xfId="47163" xr:uid="{00000000-0005-0000-0000-00001BB60000}"/>
    <cellStyle name="Normal 11 4 3 11 3" xfId="47164" xr:uid="{00000000-0005-0000-0000-00001CB60000}"/>
    <cellStyle name="Normal 11 4 3 11 3 2" xfId="47165" xr:uid="{00000000-0005-0000-0000-00001DB60000}"/>
    <cellStyle name="Normal 11 4 3 11 4" xfId="47166" xr:uid="{00000000-0005-0000-0000-00001EB60000}"/>
    <cellStyle name="Normal 11 4 3 12" xfId="47167" xr:uid="{00000000-0005-0000-0000-00001FB60000}"/>
    <cellStyle name="Normal 11 4 3 12 2" xfId="47168" xr:uid="{00000000-0005-0000-0000-000020B60000}"/>
    <cellStyle name="Normal 11 4 3 12 2 2" xfId="47169" xr:uid="{00000000-0005-0000-0000-000021B60000}"/>
    <cellStyle name="Normal 11 4 3 12 3" xfId="47170" xr:uid="{00000000-0005-0000-0000-000022B60000}"/>
    <cellStyle name="Normal 11 4 3 13" xfId="47171" xr:uid="{00000000-0005-0000-0000-000023B60000}"/>
    <cellStyle name="Normal 11 4 3 13 2" xfId="47172" xr:uid="{00000000-0005-0000-0000-000024B60000}"/>
    <cellStyle name="Normal 11 4 3 13 2 2" xfId="47173" xr:uid="{00000000-0005-0000-0000-000025B60000}"/>
    <cellStyle name="Normal 11 4 3 13 3" xfId="47174" xr:uid="{00000000-0005-0000-0000-000026B60000}"/>
    <cellStyle name="Normal 11 4 3 14" xfId="47175" xr:uid="{00000000-0005-0000-0000-000027B60000}"/>
    <cellStyle name="Normal 11 4 3 14 2" xfId="47176" xr:uid="{00000000-0005-0000-0000-000028B60000}"/>
    <cellStyle name="Normal 11 4 3 14 2 2" xfId="47177" xr:uid="{00000000-0005-0000-0000-000029B60000}"/>
    <cellStyle name="Normal 11 4 3 14 3" xfId="47178" xr:uid="{00000000-0005-0000-0000-00002AB60000}"/>
    <cellStyle name="Normal 11 4 3 15" xfId="47179" xr:uid="{00000000-0005-0000-0000-00002BB60000}"/>
    <cellStyle name="Normal 11 4 3 15 2" xfId="47180" xr:uid="{00000000-0005-0000-0000-00002CB60000}"/>
    <cellStyle name="Normal 11 4 3 16" xfId="47181" xr:uid="{00000000-0005-0000-0000-00002DB60000}"/>
    <cellStyle name="Normal 11 4 3 17" xfId="47182" xr:uid="{00000000-0005-0000-0000-00002EB60000}"/>
    <cellStyle name="Normal 11 4 3 18" xfId="47150" xr:uid="{00000000-0005-0000-0000-00002FB60000}"/>
    <cellStyle name="Normal 11 4 3 2" xfId="645" xr:uid="{00000000-0005-0000-0000-000030B60000}"/>
    <cellStyle name="Normal 11 4 3 2 10" xfId="47184" xr:uid="{00000000-0005-0000-0000-000031B60000}"/>
    <cellStyle name="Normal 11 4 3 2 10 2" xfId="47185" xr:uid="{00000000-0005-0000-0000-000032B60000}"/>
    <cellStyle name="Normal 11 4 3 2 10 2 2" xfId="47186" xr:uid="{00000000-0005-0000-0000-000033B60000}"/>
    <cellStyle name="Normal 11 4 3 2 10 2 2 2" xfId="47187" xr:uid="{00000000-0005-0000-0000-000034B60000}"/>
    <cellStyle name="Normal 11 4 3 2 10 2 3" xfId="47188" xr:uid="{00000000-0005-0000-0000-000035B60000}"/>
    <cellStyle name="Normal 11 4 3 2 10 3" xfId="47189" xr:uid="{00000000-0005-0000-0000-000036B60000}"/>
    <cellStyle name="Normal 11 4 3 2 10 3 2" xfId="47190" xr:uid="{00000000-0005-0000-0000-000037B60000}"/>
    <cellStyle name="Normal 11 4 3 2 10 4" xfId="47191" xr:uid="{00000000-0005-0000-0000-000038B60000}"/>
    <cellStyle name="Normal 11 4 3 2 11" xfId="47192" xr:uid="{00000000-0005-0000-0000-000039B60000}"/>
    <cellStyle name="Normal 11 4 3 2 11 2" xfId="47193" xr:uid="{00000000-0005-0000-0000-00003AB60000}"/>
    <cellStyle name="Normal 11 4 3 2 11 2 2" xfId="47194" xr:uid="{00000000-0005-0000-0000-00003BB60000}"/>
    <cellStyle name="Normal 11 4 3 2 11 3" xfId="47195" xr:uid="{00000000-0005-0000-0000-00003CB60000}"/>
    <cellStyle name="Normal 11 4 3 2 12" xfId="47196" xr:uid="{00000000-0005-0000-0000-00003DB60000}"/>
    <cellStyle name="Normal 11 4 3 2 12 2" xfId="47197" xr:uid="{00000000-0005-0000-0000-00003EB60000}"/>
    <cellStyle name="Normal 11 4 3 2 12 2 2" xfId="47198" xr:uid="{00000000-0005-0000-0000-00003FB60000}"/>
    <cellStyle name="Normal 11 4 3 2 12 3" xfId="47199" xr:uid="{00000000-0005-0000-0000-000040B60000}"/>
    <cellStyle name="Normal 11 4 3 2 13" xfId="47200" xr:uid="{00000000-0005-0000-0000-000041B60000}"/>
    <cellStyle name="Normal 11 4 3 2 13 2" xfId="47201" xr:uid="{00000000-0005-0000-0000-000042B60000}"/>
    <cellStyle name="Normal 11 4 3 2 13 2 2" xfId="47202" xr:uid="{00000000-0005-0000-0000-000043B60000}"/>
    <cellStyle name="Normal 11 4 3 2 13 3" xfId="47203" xr:uid="{00000000-0005-0000-0000-000044B60000}"/>
    <cellStyle name="Normal 11 4 3 2 14" xfId="47204" xr:uid="{00000000-0005-0000-0000-000045B60000}"/>
    <cellStyle name="Normal 11 4 3 2 14 2" xfId="47205" xr:uid="{00000000-0005-0000-0000-000046B60000}"/>
    <cellStyle name="Normal 11 4 3 2 15" xfId="47206" xr:uid="{00000000-0005-0000-0000-000047B60000}"/>
    <cellStyle name="Normal 11 4 3 2 16" xfId="47207" xr:uid="{00000000-0005-0000-0000-000048B60000}"/>
    <cellStyle name="Normal 11 4 3 2 17" xfId="47183" xr:uid="{00000000-0005-0000-0000-000049B60000}"/>
    <cellStyle name="Normal 11 4 3 2 2" xfId="646" xr:uid="{00000000-0005-0000-0000-00004AB60000}"/>
    <cellStyle name="Normal 11 4 3 2 2 10" xfId="47209" xr:uid="{00000000-0005-0000-0000-00004BB60000}"/>
    <cellStyle name="Normal 11 4 3 2 2 10 2" xfId="47210" xr:uid="{00000000-0005-0000-0000-00004CB60000}"/>
    <cellStyle name="Normal 11 4 3 2 2 10 2 2" xfId="47211" xr:uid="{00000000-0005-0000-0000-00004DB60000}"/>
    <cellStyle name="Normal 11 4 3 2 2 10 3" xfId="47212" xr:uid="{00000000-0005-0000-0000-00004EB60000}"/>
    <cellStyle name="Normal 11 4 3 2 2 11" xfId="47213" xr:uid="{00000000-0005-0000-0000-00004FB60000}"/>
    <cellStyle name="Normal 11 4 3 2 2 11 2" xfId="47214" xr:uid="{00000000-0005-0000-0000-000050B60000}"/>
    <cellStyle name="Normal 11 4 3 2 2 11 2 2" xfId="47215" xr:uid="{00000000-0005-0000-0000-000051B60000}"/>
    <cellStyle name="Normal 11 4 3 2 2 11 3" xfId="47216" xr:uid="{00000000-0005-0000-0000-000052B60000}"/>
    <cellStyle name="Normal 11 4 3 2 2 12" xfId="47217" xr:uid="{00000000-0005-0000-0000-000053B60000}"/>
    <cellStyle name="Normal 11 4 3 2 2 12 2" xfId="47218" xr:uid="{00000000-0005-0000-0000-000054B60000}"/>
    <cellStyle name="Normal 11 4 3 2 2 13" xfId="47219" xr:uid="{00000000-0005-0000-0000-000055B60000}"/>
    <cellStyle name="Normal 11 4 3 2 2 14" xfId="47220" xr:uid="{00000000-0005-0000-0000-000056B60000}"/>
    <cellStyle name="Normal 11 4 3 2 2 15" xfId="47208" xr:uid="{00000000-0005-0000-0000-000057B60000}"/>
    <cellStyle name="Normal 11 4 3 2 2 2" xfId="1088" xr:uid="{00000000-0005-0000-0000-000058B60000}"/>
    <cellStyle name="Normal 11 4 3 2 2 2 10" xfId="47222" xr:uid="{00000000-0005-0000-0000-000059B60000}"/>
    <cellStyle name="Normal 11 4 3 2 2 2 11" xfId="47221" xr:uid="{00000000-0005-0000-0000-00005AB60000}"/>
    <cellStyle name="Normal 11 4 3 2 2 2 2" xfId="1817" xr:uid="{00000000-0005-0000-0000-00005BB60000}"/>
    <cellStyle name="Normal 11 4 3 2 2 2 2 2" xfId="47224" xr:uid="{00000000-0005-0000-0000-00005CB60000}"/>
    <cellStyle name="Normal 11 4 3 2 2 2 2 2 2" xfId="47225" xr:uid="{00000000-0005-0000-0000-00005DB60000}"/>
    <cellStyle name="Normal 11 4 3 2 2 2 2 2 2 2" xfId="47226" xr:uid="{00000000-0005-0000-0000-00005EB60000}"/>
    <cellStyle name="Normal 11 4 3 2 2 2 2 2 2 2 2" xfId="47227" xr:uid="{00000000-0005-0000-0000-00005FB60000}"/>
    <cellStyle name="Normal 11 4 3 2 2 2 2 2 2 3" xfId="47228" xr:uid="{00000000-0005-0000-0000-000060B60000}"/>
    <cellStyle name="Normal 11 4 3 2 2 2 2 2 3" xfId="47229" xr:uid="{00000000-0005-0000-0000-000061B60000}"/>
    <cellStyle name="Normal 11 4 3 2 2 2 2 2 3 2" xfId="47230" xr:uid="{00000000-0005-0000-0000-000062B60000}"/>
    <cellStyle name="Normal 11 4 3 2 2 2 2 2 4" xfId="47231" xr:uid="{00000000-0005-0000-0000-000063B60000}"/>
    <cellStyle name="Normal 11 4 3 2 2 2 2 3" xfId="47232" xr:uid="{00000000-0005-0000-0000-000064B60000}"/>
    <cellStyle name="Normal 11 4 3 2 2 2 2 3 2" xfId="47233" xr:uid="{00000000-0005-0000-0000-000065B60000}"/>
    <cellStyle name="Normal 11 4 3 2 2 2 2 3 2 2" xfId="47234" xr:uid="{00000000-0005-0000-0000-000066B60000}"/>
    <cellStyle name="Normal 11 4 3 2 2 2 2 3 2 2 2" xfId="47235" xr:uid="{00000000-0005-0000-0000-000067B60000}"/>
    <cellStyle name="Normal 11 4 3 2 2 2 2 3 2 3" xfId="47236" xr:uid="{00000000-0005-0000-0000-000068B60000}"/>
    <cellStyle name="Normal 11 4 3 2 2 2 2 3 3" xfId="47237" xr:uid="{00000000-0005-0000-0000-000069B60000}"/>
    <cellStyle name="Normal 11 4 3 2 2 2 2 3 3 2" xfId="47238" xr:uid="{00000000-0005-0000-0000-00006AB60000}"/>
    <cellStyle name="Normal 11 4 3 2 2 2 2 3 4" xfId="47239" xr:uid="{00000000-0005-0000-0000-00006BB60000}"/>
    <cellStyle name="Normal 11 4 3 2 2 2 2 4" xfId="47240" xr:uid="{00000000-0005-0000-0000-00006CB60000}"/>
    <cellStyle name="Normal 11 4 3 2 2 2 2 4 2" xfId="47241" xr:uid="{00000000-0005-0000-0000-00006DB60000}"/>
    <cellStyle name="Normal 11 4 3 2 2 2 2 4 2 2" xfId="47242" xr:uid="{00000000-0005-0000-0000-00006EB60000}"/>
    <cellStyle name="Normal 11 4 3 2 2 2 2 4 3" xfId="47243" xr:uid="{00000000-0005-0000-0000-00006FB60000}"/>
    <cellStyle name="Normal 11 4 3 2 2 2 2 5" xfId="47244" xr:uid="{00000000-0005-0000-0000-000070B60000}"/>
    <cellStyle name="Normal 11 4 3 2 2 2 2 5 2" xfId="47245" xr:uid="{00000000-0005-0000-0000-000071B60000}"/>
    <cellStyle name="Normal 11 4 3 2 2 2 2 6" xfId="47246" xr:uid="{00000000-0005-0000-0000-000072B60000}"/>
    <cellStyle name="Normal 11 4 3 2 2 2 2 7" xfId="47223" xr:uid="{00000000-0005-0000-0000-000073B60000}"/>
    <cellStyle name="Normal 11 4 3 2 2 2 3" xfId="47247" xr:uid="{00000000-0005-0000-0000-000074B60000}"/>
    <cellStyle name="Normal 11 4 3 2 2 2 3 2" xfId="47248" xr:uid="{00000000-0005-0000-0000-000075B60000}"/>
    <cellStyle name="Normal 11 4 3 2 2 2 3 2 2" xfId="47249" xr:uid="{00000000-0005-0000-0000-000076B60000}"/>
    <cellStyle name="Normal 11 4 3 2 2 2 3 2 2 2" xfId="47250" xr:uid="{00000000-0005-0000-0000-000077B60000}"/>
    <cellStyle name="Normal 11 4 3 2 2 2 3 2 2 2 2" xfId="47251" xr:uid="{00000000-0005-0000-0000-000078B60000}"/>
    <cellStyle name="Normal 11 4 3 2 2 2 3 2 2 3" xfId="47252" xr:uid="{00000000-0005-0000-0000-000079B60000}"/>
    <cellStyle name="Normal 11 4 3 2 2 2 3 2 3" xfId="47253" xr:uid="{00000000-0005-0000-0000-00007AB60000}"/>
    <cellStyle name="Normal 11 4 3 2 2 2 3 2 3 2" xfId="47254" xr:uid="{00000000-0005-0000-0000-00007BB60000}"/>
    <cellStyle name="Normal 11 4 3 2 2 2 3 2 4" xfId="47255" xr:uid="{00000000-0005-0000-0000-00007CB60000}"/>
    <cellStyle name="Normal 11 4 3 2 2 2 3 3" xfId="47256" xr:uid="{00000000-0005-0000-0000-00007DB60000}"/>
    <cellStyle name="Normal 11 4 3 2 2 2 3 3 2" xfId="47257" xr:uid="{00000000-0005-0000-0000-00007EB60000}"/>
    <cellStyle name="Normal 11 4 3 2 2 2 3 3 2 2" xfId="47258" xr:uid="{00000000-0005-0000-0000-00007FB60000}"/>
    <cellStyle name="Normal 11 4 3 2 2 2 3 3 3" xfId="47259" xr:uid="{00000000-0005-0000-0000-000080B60000}"/>
    <cellStyle name="Normal 11 4 3 2 2 2 3 4" xfId="47260" xr:uid="{00000000-0005-0000-0000-000081B60000}"/>
    <cellStyle name="Normal 11 4 3 2 2 2 3 4 2" xfId="47261" xr:uid="{00000000-0005-0000-0000-000082B60000}"/>
    <cellStyle name="Normal 11 4 3 2 2 2 3 5" xfId="47262" xr:uid="{00000000-0005-0000-0000-000083B60000}"/>
    <cellStyle name="Normal 11 4 3 2 2 2 4" xfId="47263" xr:uid="{00000000-0005-0000-0000-000084B60000}"/>
    <cellStyle name="Normal 11 4 3 2 2 2 4 2" xfId="47264" xr:uid="{00000000-0005-0000-0000-000085B60000}"/>
    <cellStyle name="Normal 11 4 3 2 2 2 4 2 2" xfId="47265" xr:uid="{00000000-0005-0000-0000-000086B60000}"/>
    <cellStyle name="Normal 11 4 3 2 2 2 4 2 2 2" xfId="47266" xr:uid="{00000000-0005-0000-0000-000087B60000}"/>
    <cellStyle name="Normal 11 4 3 2 2 2 4 2 2 2 2" xfId="47267" xr:uid="{00000000-0005-0000-0000-000088B60000}"/>
    <cellStyle name="Normal 11 4 3 2 2 2 4 2 2 3" xfId="47268" xr:uid="{00000000-0005-0000-0000-000089B60000}"/>
    <cellStyle name="Normal 11 4 3 2 2 2 4 2 3" xfId="47269" xr:uid="{00000000-0005-0000-0000-00008AB60000}"/>
    <cellStyle name="Normal 11 4 3 2 2 2 4 2 3 2" xfId="47270" xr:uid="{00000000-0005-0000-0000-00008BB60000}"/>
    <cellStyle name="Normal 11 4 3 2 2 2 4 2 4" xfId="47271" xr:uid="{00000000-0005-0000-0000-00008CB60000}"/>
    <cellStyle name="Normal 11 4 3 2 2 2 4 3" xfId="47272" xr:uid="{00000000-0005-0000-0000-00008DB60000}"/>
    <cellStyle name="Normal 11 4 3 2 2 2 4 3 2" xfId="47273" xr:uid="{00000000-0005-0000-0000-00008EB60000}"/>
    <cellStyle name="Normal 11 4 3 2 2 2 4 3 2 2" xfId="47274" xr:uid="{00000000-0005-0000-0000-00008FB60000}"/>
    <cellStyle name="Normal 11 4 3 2 2 2 4 3 3" xfId="47275" xr:uid="{00000000-0005-0000-0000-000090B60000}"/>
    <cellStyle name="Normal 11 4 3 2 2 2 4 4" xfId="47276" xr:uid="{00000000-0005-0000-0000-000091B60000}"/>
    <cellStyle name="Normal 11 4 3 2 2 2 4 4 2" xfId="47277" xr:uid="{00000000-0005-0000-0000-000092B60000}"/>
    <cellStyle name="Normal 11 4 3 2 2 2 4 5" xfId="47278" xr:uid="{00000000-0005-0000-0000-000093B60000}"/>
    <cellStyle name="Normal 11 4 3 2 2 2 5" xfId="47279" xr:uid="{00000000-0005-0000-0000-000094B60000}"/>
    <cellStyle name="Normal 11 4 3 2 2 2 5 2" xfId="47280" xr:uid="{00000000-0005-0000-0000-000095B60000}"/>
    <cellStyle name="Normal 11 4 3 2 2 2 5 2 2" xfId="47281" xr:uid="{00000000-0005-0000-0000-000096B60000}"/>
    <cellStyle name="Normal 11 4 3 2 2 2 5 2 2 2" xfId="47282" xr:uid="{00000000-0005-0000-0000-000097B60000}"/>
    <cellStyle name="Normal 11 4 3 2 2 2 5 2 3" xfId="47283" xr:uid="{00000000-0005-0000-0000-000098B60000}"/>
    <cellStyle name="Normal 11 4 3 2 2 2 5 3" xfId="47284" xr:uid="{00000000-0005-0000-0000-000099B60000}"/>
    <cellStyle name="Normal 11 4 3 2 2 2 5 3 2" xfId="47285" xr:uid="{00000000-0005-0000-0000-00009AB60000}"/>
    <cellStyle name="Normal 11 4 3 2 2 2 5 4" xfId="47286" xr:uid="{00000000-0005-0000-0000-00009BB60000}"/>
    <cellStyle name="Normal 11 4 3 2 2 2 6" xfId="47287" xr:uid="{00000000-0005-0000-0000-00009CB60000}"/>
    <cellStyle name="Normal 11 4 3 2 2 2 6 2" xfId="47288" xr:uid="{00000000-0005-0000-0000-00009DB60000}"/>
    <cellStyle name="Normal 11 4 3 2 2 2 6 2 2" xfId="47289" xr:uid="{00000000-0005-0000-0000-00009EB60000}"/>
    <cellStyle name="Normal 11 4 3 2 2 2 6 2 2 2" xfId="47290" xr:uid="{00000000-0005-0000-0000-00009FB60000}"/>
    <cellStyle name="Normal 11 4 3 2 2 2 6 2 3" xfId="47291" xr:uid="{00000000-0005-0000-0000-0000A0B60000}"/>
    <cellStyle name="Normal 11 4 3 2 2 2 6 3" xfId="47292" xr:uid="{00000000-0005-0000-0000-0000A1B60000}"/>
    <cellStyle name="Normal 11 4 3 2 2 2 6 3 2" xfId="47293" xr:uid="{00000000-0005-0000-0000-0000A2B60000}"/>
    <cellStyle name="Normal 11 4 3 2 2 2 6 4" xfId="47294" xr:uid="{00000000-0005-0000-0000-0000A3B60000}"/>
    <cellStyle name="Normal 11 4 3 2 2 2 7" xfId="47295" xr:uid="{00000000-0005-0000-0000-0000A4B60000}"/>
    <cellStyle name="Normal 11 4 3 2 2 2 7 2" xfId="47296" xr:uid="{00000000-0005-0000-0000-0000A5B60000}"/>
    <cellStyle name="Normal 11 4 3 2 2 2 7 2 2" xfId="47297" xr:uid="{00000000-0005-0000-0000-0000A6B60000}"/>
    <cellStyle name="Normal 11 4 3 2 2 2 7 2 2 2" xfId="47298" xr:uid="{00000000-0005-0000-0000-0000A7B60000}"/>
    <cellStyle name="Normal 11 4 3 2 2 2 7 2 3" xfId="47299" xr:uid="{00000000-0005-0000-0000-0000A8B60000}"/>
    <cellStyle name="Normal 11 4 3 2 2 2 7 3" xfId="47300" xr:uid="{00000000-0005-0000-0000-0000A9B60000}"/>
    <cellStyle name="Normal 11 4 3 2 2 2 7 3 2" xfId="47301" xr:uid="{00000000-0005-0000-0000-0000AAB60000}"/>
    <cellStyle name="Normal 11 4 3 2 2 2 7 4" xfId="47302" xr:uid="{00000000-0005-0000-0000-0000ABB60000}"/>
    <cellStyle name="Normal 11 4 3 2 2 2 8" xfId="47303" xr:uid="{00000000-0005-0000-0000-0000ACB60000}"/>
    <cellStyle name="Normal 11 4 3 2 2 2 8 2" xfId="47304" xr:uid="{00000000-0005-0000-0000-0000ADB60000}"/>
    <cellStyle name="Normal 11 4 3 2 2 2 8 2 2" xfId="47305" xr:uid="{00000000-0005-0000-0000-0000AEB60000}"/>
    <cellStyle name="Normal 11 4 3 2 2 2 8 3" xfId="47306" xr:uid="{00000000-0005-0000-0000-0000AFB60000}"/>
    <cellStyle name="Normal 11 4 3 2 2 2 9" xfId="47307" xr:uid="{00000000-0005-0000-0000-0000B0B60000}"/>
    <cellStyle name="Normal 11 4 3 2 2 2 9 2" xfId="47308" xr:uid="{00000000-0005-0000-0000-0000B1B60000}"/>
    <cellStyle name="Normal 11 4 3 2 2 3" xfId="1490" xr:uid="{00000000-0005-0000-0000-0000B2B60000}"/>
    <cellStyle name="Normal 11 4 3 2 2 3 2" xfId="47310" xr:uid="{00000000-0005-0000-0000-0000B3B60000}"/>
    <cellStyle name="Normal 11 4 3 2 2 3 2 2" xfId="47311" xr:uid="{00000000-0005-0000-0000-0000B4B60000}"/>
    <cellStyle name="Normal 11 4 3 2 2 3 2 2 2" xfId="47312" xr:uid="{00000000-0005-0000-0000-0000B5B60000}"/>
    <cellStyle name="Normal 11 4 3 2 2 3 2 2 2 2" xfId="47313" xr:uid="{00000000-0005-0000-0000-0000B6B60000}"/>
    <cellStyle name="Normal 11 4 3 2 2 3 2 2 3" xfId="47314" xr:uid="{00000000-0005-0000-0000-0000B7B60000}"/>
    <cellStyle name="Normal 11 4 3 2 2 3 2 3" xfId="47315" xr:uid="{00000000-0005-0000-0000-0000B8B60000}"/>
    <cellStyle name="Normal 11 4 3 2 2 3 2 3 2" xfId="47316" xr:uid="{00000000-0005-0000-0000-0000B9B60000}"/>
    <cellStyle name="Normal 11 4 3 2 2 3 2 4" xfId="47317" xr:uid="{00000000-0005-0000-0000-0000BAB60000}"/>
    <cellStyle name="Normal 11 4 3 2 2 3 3" xfId="47318" xr:uid="{00000000-0005-0000-0000-0000BBB60000}"/>
    <cellStyle name="Normal 11 4 3 2 2 3 3 2" xfId="47319" xr:uid="{00000000-0005-0000-0000-0000BCB60000}"/>
    <cellStyle name="Normal 11 4 3 2 2 3 3 2 2" xfId="47320" xr:uid="{00000000-0005-0000-0000-0000BDB60000}"/>
    <cellStyle name="Normal 11 4 3 2 2 3 3 2 2 2" xfId="47321" xr:uid="{00000000-0005-0000-0000-0000BEB60000}"/>
    <cellStyle name="Normal 11 4 3 2 2 3 3 2 3" xfId="47322" xr:uid="{00000000-0005-0000-0000-0000BFB60000}"/>
    <cellStyle name="Normal 11 4 3 2 2 3 3 3" xfId="47323" xr:uid="{00000000-0005-0000-0000-0000C0B60000}"/>
    <cellStyle name="Normal 11 4 3 2 2 3 3 3 2" xfId="47324" xr:uid="{00000000-0005-0000-0000-0000C1B60000}"/>
    <cellStyle name="Normal 11 4 3 2 2 3 3 4" xfId="47325" xr:uid="{00000000-0005-0000-0000-0000C2B60000}"/>
    <cellStyle name="Normal 11 4 3 2 2 3 4" xfId="47326" xr:uid="{00000000-0005-0000-0000-0000C3B60000}"/>
    <cellStyle name="Normal 11 4 3 2 2 3 4 2" xfId="47327" xr:uid="{00000000-0005-0000-0000-0000C4B60000}"/>
    <cellStyle name="Normal 11 4 3 2 2 3 4 2 2" xfId="47328" xr:uid="{00000000-0005-0000-0000-0000C5B60000}"/>
    <cellStyle name="Normal 11 4 3 2 2 3 4 3" xfId="47329" xr:uid="{00000000-0005-0000-0000-0000C6B60000}"/>
    <cellStyle name="Normal 11 4 3 2 2 3 5" xfId="47330" xr:uid="{00000000-0005-0000-0000-0000C7B60000}"/>
    <cellStyle name="Normal 11 4 3 2 2 3 5 2" xfId="47331" xr:uid="{00000000-0005-0000-0000-0000C8B60000}"/>
    <cellStyle name="Normal 11 4 3 2 2 3 6" xfId="47332" xr:uid="{00000000-0005-0000-0000-0000C9B60000}"/>
    <cellStyle name="Normal 11 4 3 2 2 3 7" xfId="47309" xr:uid="{00000000-0005-0000-0000-0000CAB60000}"/>
    <cellStyle name="Normal 11 4 3 2 2 4" xfId="47333" xr:uid="{00000000-0005-0000-0000-0000CBB60000}"/>
    <cellStyle name="Normal 11 4 3 2 2 4 2" xfId="47334" xr:uid="{00000000-0005-0000-0000-0000CCB60000}"/>
    <cellStyle name="Normal 11 4 3 2 2 4 2 2" xfId="47335" xr:uid="{00000000-0005-0000-0000-0000CDB60000}"/>
    <cellStyle name="Normal 11 4 3 2 2 4 2 2 2" xfId="47336" xr:uid="{00000000-0005-0000-0000-0000CEB60000}"/>
    <cellStyle name="Normal 11 4 3 2 2 4 2 2 2 2" xfId="47337" xr:uid="{00000000-0005-0000-0000-0000CFB60000}"/>
    <cellStyle name="Normal 11 4 3 2 2 4 2 2 3" xfId="47338" xr:uid="{00000000-0005-0000-0000-0000D0B60000}"/>
    <cellStyle name="Normal 11 4 3 2 2 4 2 3" xfId="47339" xr:uid="{00000000-0005-0000-0000-0000D1B60000}"/>
    <cellStyle name="Normal 11 4 3 2 2 4 2 3 2" xfId="47340" xr:uid="{00000000-0005-0000-0000-0000D2B60000}"/>
    <cellStyle name="Normal 11 4 3 2 2 4 2 4" xfId="47341" xr:uid="{00000000-0005-0000-0000-0000D3B60000}"/>
    <cellStyle name="Normal 11 4 3 2 2 4 3" xfId="47342" xr:uid="{00000000-0005-0000-0000-0000D4B60000}"/>
    <cellStyle name="Normal 11 4 3 2 2 4 3 2" xfId="47343" xr:uid="{00000000-0005-0000-0000-0000D5B60000}"/>
    <cellStyle name="Normal 11 4 3 2 2 4 3 2 2" xfId="47344" xr:uid="{00000000-0005-0000-0000-0000D6B60000}"/>
    <cellStyle name="Normal 11 4 3 2 2 4 3 3" xfId="47345" xr:uid="{00000000-0005-0000-0000-0000D7B60000}"/>
    <cellStyle name="Normal 11 4 3 2 2 4 4" xfId="47346" xr:uid="{00000000-0005-0000-0000-0000D8B60000}"/>
    <cellStyle name="Normal 11 4 3 2 2 4 4 2" xfId="47347" xr:uid="{00000000-0005-0000-0000-0000D9B60000}"/>
    <cellStyle name="Normal 11 4 3 2 2 4 5" xfId="47348" xr:uid="{00000000-0005-0000-0000-0000DAB60000}"/>
    <cellStyle name="Normal 11 4 3 2 2 5" xfId="47349" xr:uid="{00000000-0005-0000-0000-0000DBB60000}"/>
    <cellStyle name="Normal 11 4 3 2 2 5 2" xfId="47350" xr:uid="{00000000-0005-0000-0000-0000DCB60000}"/>
    <cellStyle name="Normal 11 4 3 2 2 5 2 2" xfId="47351" xr:uid="{00000000-0005-0000-0000-0000DDB60000}"/>
    <cellStyle name="Normal 11 4 3 2 2 5 2 2 2" xfId="47352" xr:uid="{00000000-0005-0000-0000-0000DEB60000}"/>
    <cellStyle name="Normal 11 4 3 2 2 5 2 2 2 2" xfId="47353" xr:uid="{00000000-0005-0000-0000-0000DFB60000}"/>
    <cellStyle name="Normal 11 4 3 2 2 5 2 2 3" xfId="47354" xr:uid="{00000000-0005-0000-0000-0000E0B60000}"/>
    <cellStyle name="Normal 11 4 3 2 2 5 2 3" xfId="47355" xr:uid="{00000000-0005-0000-0000-0000E1B60000}"/>
    <cellStyle name="Normal 11 4 3 2 2 5 2 3 2" xfId="47356" xr:uid="{00000000-0005-0000-0000-0000E2B60000}"/>
    <cellStyle name="Normal 11 4 3 2 2 5 2 4" xfId="47357" xr:uid="{00000000-0005-0000-0000-0000E3B60000}"/>
    <cellStyle name="Normal 11 4 3 2 2 5 3" xfId="47358" xr:uid="{00000000-0005-0000-0000-0000E4B60000}"/>
    <cellStyle name="Normal 11 4 3 2 2 5 3 2" xfId="47359" xr:uid="{00000000-0005-0000-0000-0000E5B60000}"/>
    <cellStyle name="Normal 11 4 3 2 2 5 3 2 2" xfId="47360" xr:uid="{00000000-0005-0000-0000-0000E6B60000}"/>
    <cellStyle name="Normal 11 4 3 2 2 5 3 3" xfId="47361" xr:uid="{00000000-0005-0000-0000-0000E7B60000}"/>
    <cellStyle name="Normal 11 4 3 2 2 5 4" xfId="47362" xr:uid="{00000000-0005-0000-0000-0000E8B60000}"/>
    <cellStyle name="Normal 11 4 3 2 2 5 4 2" xfId="47363" xr:uid="{00000000-0005-0000-0000-0000E9B60000}"/>
    <cellStyle name="Normal 11 4 3 2 2 5 5" xfId="47364" xr:uid="{00000000-0005-0000-0000-0000EAB60000}"/>
    <cellStyle name="Normal 11 4 3 2 2 6" xfId="47365" xr:uid="{00000000-0005-0000-0000-0000EBB60000}"/>
    <cellStyle name="Normal 11 4 3 2 2 6 2" xfId="47366" xr:uid="{00000000-0005-0000-0000-0000ECB60000}"/>
    <cellStyle name="Normal 11 4 3 2 2 6 2 2" xfId="47367" xr:uid="{00000000-0005-0000-0000-0000EDB60000}"/>
    <cellStyle name="Normal 11 4 3 2 2 6 2 2 2" xfId="47368" xr:uid="{00000000-0005-0000-0000-0000EEB60000}"/>
    <cellStyle name="Normal 11 4 3 2 2 6 2 3" xfId="47369" xr:uid="{00000000-0005-0000-0000-0000EFB60000}"/>
    <cellStyle name="Normal 11 4 3 2 2 6 3" xfId="47370" xr:uid="{00000000-0005-0000-0000-0000F0B60000}"/>
    <cellStyle name="Normal 11 4 3 2 2 6 3 2" xfId="47371" xr:uid="{00000000-0005-0000-0000-0000F1B60000}"/>
    <cellStyle name="Normal 11 4 3 2 2 6 4" xfId="47372" xr:uid="{00000000-0005-0000-0000-0000F2B60000}"/>
    <cellStyle name="Normal 11 4 3 2 2 7" xfId="47373" xr:uid="{00000000-0005-0000-0000-0000F3B60000}"/>
    <cellStyle name="Normal 11 4 3 2 2 7 2" xfId="47374" xr:uid="{00000000-0005-0000-0000-0000F4B60000}"/>
    <cellStyle name="Normal 11 4 3 2 2 7 2 2" xfId="47375" xr:uid="{00000000-0005-0000-0000-0000F5B60000}"/>
    <cellStyle name="Normal 11 4 3 2 2 7 2 2 2" xfId="47376" xr:uid="{00000000-0005-0000-0000-0000F6B60000}"/>
    <cellStyle name="Normal 11 4 3 2 2 7 2 3" xfId="47377" xr:uid="{00000000-0005-0000-0000-0000F7B60000}"/>
    <cellStyle name="Normal 11 4 3 2 2 7 3" xfId="47378" xr:uid="{00000000-0005-0000-0000-0000F8B60000}"/>
    <cellStyle name="Normal 11 4 3 2 2 7 3 2" xfId="47379" xr:uid="{00000000-0005-0000-0000-0000F9B60000}"/>
    <cellStyle name="Normal 11 4 3 2 2 7 4" xfId="47380" xr:uid="{00000000-0005-0000-0000-0000FAB60000}"/>
    <cellStyle name="Normal 11 4 3 2 2 8" xfId="47381" xr:uid="{00000000-0005-0000-0000-0000FBB60000}"/>
    <cellStyle name="Normal 11 4 3 2 2 8 2" xfId="47382" xr:uid="{00000000-0005-0000-0000-0000FCB60000}"/>
    <cellStyle name="Normal 11 4 3 2 2 8 2 2" xfId="47383" xr:uid="{00000000-0005-0000-0000-0000FDB60000}"/>
    <cellStyle name="Normal 11 4 3 2 2 8 2 2 2" xfId="47384" xr:uid="{00000000-0005-0000-0000-0000FEB60000}"/>
    <cellStyle name="Normal 11 4 3 2 2 8 2 3" xfId="47385" xr:uid="{00000000-0005-0000-0000-0000FFB60000}"/>
    <cellStyle name="Normal 11 4 3 2 2 8 3" xfId="47386" xr:uid="{00000000-0005-0000-0000-000000B70000}"/>
    <cellStyle name="Normal 11 4 3 2 2 8 3 2" xfId="47387" xr:uid="{00000000-0005-0000-0000-000001B70000}"/>
    <cellStyle name="Normal 11 4 3 2 2 8 4" xfId="47388" xr:uid="{00000000-0005-0000-0000-000002B70000}"/>
    <cellStyle name="Normal 11 4 3 2 2 9" xfId="47389" xr:uid="{00000000-0005-0000-0000-000003B70000}"/>
    <cellStyle name="Normal 11 4 3 2 2 9 2" xfId="47390" xr:uid="{00000000-0005-0000-0000-000004B70000}"/>
    <cellStyle name="Normal 11 4 3 2 2 9 2 2" xfId="47391" xr:uid="{00000000-0005-0000-0000-000005B70000}"/>
    <cellStyle name="Normal 11 4 3 2 2 9 3" xfId="47392" xr:uid="{00000000-0005-0000-0000-000006B70000}"/>
    <cellStyle name="Normal 11 4 3 2 3" xfId="647" xr:uid="{00000000-0005-0000-0000-000007B70000}"/>
    <cellStyle name="Normal 11 4 3 2 3 10" xfId="47394" xr:uid="{00000000-0005-0000-0000-000008B70000}"/>
    <cellStyle name="Normal 11 4 3 2 3 10 2" xfId="47395" xr:uid="{00000000-0005-0000-0000-000009B70000}"/>
    <cellStyle name="Normal 11 4 3 2 3 10 2 2" xfId="47396" xr:uid="{00000000-0005-0000-0000-00000AB70000}"/>
    <cellStyle name="Normal 11 4 3 2 3 10 3" xfId="47397" xr:uid="{00000000-0005-0000-0000-00000BB70000}"/>
    <cellStyle name="Normal 11 4 3 2 3 11" xfId="47398" xr:uid="{00000000-0005-0000-0000-00000CB70000}"/>
    <cellStyle name="Normal 11 4 3 2 3 11 2" xfId="47399" xr:uid="{00000000-0005-0000-0000-00000DB70000}"/>
    <cellStyle name="Normal 11 4 3 2 3 11 2 2" xfId="47400" xr:uid="{00000000-0005-0000-0000-00000EB70000}"/>
    <cellStyle name="Normal 11 4 3 2 3 11 3" xfId="47401" xr:uid="{00000000-0005-0000-0000-00000FB70000}"/>
    <cellStyle name="Normal 11 4 3 2 3 12" xfId="47402" xr:uid="{00000000-0005-0000-0000-000010B70000}"/>
    <cellStyle name="Normal 11 4 3 2 3 12 2" xfId="47403" xr:uid="{00000000-0005-0000-0000-000011B70000}"/>
    <cellStyle name="Normal 11 4 3 2 3 13" xfId="47404" xr:uid="{00000000-0005-0000-0000-000012B70000}"/>
    <cellStyle name="Normal 11 4 3 2 3 14" xfId="47405" xr:uid="{00000000-0005-0000-0000-000013B70000}"/>
    <cellStyle name="Normal 11 4 3 2 3 15" xfId="47393" xr:uid="{00000000-0005-0000-0000-000014B70000}"/>
    <cellStyle name="Normal 11 4 3 2 3 2" xfId="1089" xr:uid="{00000000-0005-0000-0000-000015B70000}"/>
    <cellStyle name="Normal 11 4 3 2 3 2 10" xfId="47407" xr:uid="{00000000-0005-0000-0000-000016B70000}"/>
    <cellStyle name="Normal 11 4 3 2 3 2 11" xfId="47406" xr:uid="{00000000-0005-0000-0000-000017B70000}"/>
    <cellStyle name="Normal 11 4 3 2 3 2 2" xfId="1818" xr:uid="{00000000-0005-0000-0000-000018B70000}"/>
    <cellStyle name="Normal 11 4 3 2 3 2 2 2" xfId="47409" xr:uid="{00000000-0005-0000-0000-000019B70000}"/>
    <cellStyle name="Normal 11 4 3 2 3 2 2 2 2" xfId="47410" xr:uid="{00000000-0005-0000-0000-00001AB70000}"/>
    <cellStyle name="Normal 11 4 3 2 3 2 2 2 2 2" xfId="47411" xr:uid="{00000000-0005-0000-0000-00001BB70000}"/>
    <cellStyle name="Normal 11 4 3 2 3 2 2 2 2 2 2" xfId="47412" xr:uid="{00000000-0005-0000-0000-00001CB70000}"/>
    <cellStyle name="Normal 11 4 3 2 3 2 2 2 2 3" xfId="47413" xr:uid="{00000000-0005-0000-0000-00001DB70000}"/>
    <cellStyle name="Normal 11 4 3 2 3 2 2 2 3" xfId="47414" xr:uid="{00000000-0005-0000-0000-00001EB70000}"/>
    <cellStyle name="Normal 11 4 3 2 3 2 2 2 3 2" xfId="47415" xr:uid="{00000000-0005-0000-0000-00001FB70000}"/>
    <cellStyle name="Normal 11 4 3 2 3 2 2 2 4" xfId="47416" xr:uid="{00000000-0005-0000-0000-000020B70000}"/>
    <cellStyle name="Normal 11 4 3 2 3 2 2 3" xfId="47417" xr:uid="{00000000-0005-0000-0000-000021B70000}"/>
    <cellStyle name="Normal 11 4 3 2 3 2 2 3 2" xfId="47418" xr:uid="{00000000-0005-0000-0000-000022B70000}"/>
    <cellStyle name="Normal 11 4 3 2 3 2 2 3 2 2" xfId="47419" xr:uid="{00000000-0005-0000-0000-000023B70000}"/>
    <cellStyle name="Normal 11 4 3 2 3 2 2 3 2 2 2" xfId="47420" xr:uid="{00000000-0005-0000-0000-000024B70000}"/>
    <cellStyle name="Normal 11 4 3 2 3 2 2 3 2 3" xfId="47421" xr:uid="{00000000-0005-0000-0000-000025B70000}"/>
    <cellStyle name="Normal 11 4 3 2 3 2 2 3 3" xfId="47422" xr:uid="{00000000-0005-0000-0000-000026B70000}"/>
    <cellStyle name="Normal 11 4 3 2 3 2 2 3 3 2" xfId="47423" xr:uid="{00000000-0005-0000-0000-000027B70000}"/>
    <cellStyle name="Normal 11 4 3 2 3 2 2 3 4" xfId="47424" xr:uid="{00000000-0005-0000-0000-000028B70000}"/>
    <cellStyle name="Normal 11 4 3 2 3 2 2 4" xfId="47425" xr:uid="{00000000-0005-0000-0000-000029B70000}"/>
    <cellStyle name="Normal 11 4 3 2 3 2 2 4 2" xfId="47426" xr:uid="{00000000-0005-0000-0000-00002AB70000}"/>
    <cellStyle name="Normal 11 4 3 2 3 2 2 4 2 2" xfId="47427" xr:uid="{00000000-0005-0000-0000-00002BB70000}"/>
    <cellStyle name="Normal 11 4 3 2 3 2 2 4 3" xfId="47428" xr:uid="{00000000-0005-0000-0000-00002CB70000}"/>
    <cellStyle name="Normal 11 4 3 2 3 2 2 5" xfId="47429" xr:uid="{00000000-0005-0000-0000-00002DB70000}"/>
    <cellStyle name="Normal 11 4 3 2 3 2 2 5 2" xfId="47430" xr:uid="{00000000-0005-0000-0000-00002EB70000}"/>
    <cellStyle name="Normal 11 4 3 2 3 2 2 6" xfId="47431" xr:uid="{00000000-0005-0000-0000-00002FB70000}"/>
    <cellStyle name="Normal 11 4 3 2 3 2 2 7" xfId="47408" xr:uid="{00000000-0005-0000-0000-000030B70000}"/>
    <cellStyle name="Normal 11 4 3 2 3 2 3" xfId="47432" xr:uid="{00000000-0005-0000-0000-000031B70000}"/>
    <cellStyle name="Normal 11 4 3 2 3 2 3 2" xfId="47433" xr:uid="{00000000-0005-0000-0000-000032B70000}"/>
    <cellStyle name="Normal 11 4 3 2 3 2 3 2 2" xfId="47434" xr:uid="{00000000-0005-0000-0000-000033B70000}"/>
    <cellStyle name="Normal 11 4 3 2 3 2 3 2 2 2" xfId="47435" xr:uid="{00000000-0005-0000-0000-000034B70000}"/>
    <cellStyle name="Normal 11 4 3 2 3 2 3 2 2 2 2" xfId="47436" xr:uid="{00000000-0005-0000-0000-000035B70000}"/>
    <cellStyle name="Normal 11 4 3 2 3 2 3 2 2 3" xfId="47437" xr:uid="{00000000-0005-0000-0000-000036B70000}"/>
    <cellStyle name="Normal 11 4 3 2 3 2 3 2 3" xfId="47438" xr:uid="{00000000-0005-0000-0000-000037B70000}"/>
    <cellStyle name="Normal 11 4 3 2 3 2 3 2 3 2" xfId="47439" xr:uid="{00000000-0005-0000-0000-000038B70000}"/>
    <cellStyle name="Normal 11 4 3 2 3 2 3 2 4" xfId="47440" xr:uid="{00000000-0005-0000-0000-000039B70000}"/>
    <cellStyle name="Normal 11 4 3 2 3 2 3 3" xfId="47441" xr:uid="{00000000-0005-0000-0000-00003AB70000}"/>
    <cellStyle name="Normal 11 4 3 2 3 2 3 3 2" xfId="47442" xr:uid="{00000000-0005-0000-0000-00003BB70000}"/>
    <cellStyle name="Normal 11 4 3 2 3 2 3 3 2 2" xfId="47443" xr:uid="{00000000-0005-0000-0000-00003CB70000}"/>
    <cellStyle name="Normal 11 4 3 2 3 2 3 3 3" xfId="47444" xr:uid="{00000000-0005-0000-0000-00003DB70000}"/>
    <cellStyle name="Normal 11 4 3 2 3 2 3 4" xfId="47445" xr:uid="{00000000-0005-0000-0000-00003EB70000}"/>
    <cellStyle name="Normal 11 4 3 2 3 2 3 4 2" xfId="47446" xr:uid="{00000000-0005-0000-0000-00003FB70000}"/>
    <cellStyle name="Normal 11 4 3 2 3 2 3 5" xfId="47447" xr:uid="{00000000-0005-0000-0000-000040B70000}"/>
    <cellStyle name="Normal 11 4 3 2 3 2 4" xfId="47448" xr:uid="{00000000-0005-0000-0000-000041B70000}"/>
    <cellStyle name="Normal 11 4 3 2 3 2 4 2" xfId="47449" xr:uid="{00000000-0005-0000-0000-000042B70000}"/>
    <cellStyle name="Normal 11 4 3 2 3 2 4 2 2" xfId="47450" xr:uid="{00000000-0005-0000-0000-000043B70000}"/>
    <cellStyle name="Normal 11 4 3 2 3 2 4 2 2 2" xfId="47451" xr:uid="{00000000-0005-0000-0000-000044B70000}"/>
    <cellStyle name="Normal 11 4 3 2 3 2 4 2 2 2 2" xfId="47452" xr:uid="{00000000-0005-0000-0000-000045B70000}"/>
    <cellStyle name="Normal 11 4 3 2 3 2 4 2 2 3" xfId="47453" xr:uid="{00000000-0005-0000-0000-000046B70000}"/>
    <cellStyle name="Normal 11 4 3 2 3 2 4 2 3" xfId="47454" xr:uid="{00000000-0005-0000-0000-000047B70000}"/>
    <cellStyle name="Normal 11 4 3 2 3 2 4 2 3 2" xfId="47455" xr:uid="{00000000-0005-0000-0000-000048B70000}"/>
    <cellStyle name="Normal 11 4 3 2 3 2 4 2 4" xfId="47456" xr:uid="{00000000-0005-0000-0000-000049B70000}"/>
    <cellStyle name="Normal 11 4 3 2 3 2 4 3" xfId="47457" xr:uid="{00000000-0005-0000-0000-00004AB70000}"/>
    <cellStyle name="Normal 11 4 3 2 3 2 4 3 2" xfId="47458" xr:uid="{00000000-0005-0000-0000-00004BB70000}"/>
    <cellStyle name="Normal 11 4 3 2 3 2 4 3 2 2" xfId="47459" xr:uid="{00000000-0005-0000-0000-00004CB70000}"/>
    <cellStyle name="Normal 11 4 3 2 3 2 4 3 3" xfId="47460" xr:uid="{00000000-0005-0000-0000-00004DB70000}"/>
    <cellStyle name="Normal 11 4 3 2 3 2 4 4" xfId="47461" xr:uid="{00000000-0005-0000-0000-00004EB70000}"/>
    <cellStyle name="Normal 11 4 3 2 3 2 4 4 2" xfId="47462" xr:uid="{00000000-0005-0000-0000-00004FB70000}"/>
    <cellStyle name="Normal 11 4 3 2 3 2 4 5" xfId="47463" xr:uid="{00000000-0005-0000-0000-000050B70000}"/>
    <cellStyle name="Normal 11 4 3 2 3 2 5" xfId="47464" xr:uid="{00000000-0005-0000-0000-000051B70000}"/>
    <cellStyle name="Normal 11 4 3 2 3 2 5 2" xfId="47465" xr:uid="{00000000-0005-0000-0000-000052B70000}"/>
    <cellStyle name="Normal 11 4 3 2 3 2 5 2 2" xfId="47466" xr:uid="{00000000-0005-0000-0000-000053B70000}"/>
    <cellStyle name="Normal 11 4 3 2 3 2 5 2 2 2" xfId="47467" xr:uid="{00000000-0005-0000-0000-000054B70000}"/>
    <cellStyle name="Normal 11 4 3 2 3 2 5 2 3" xfId="47468" xr:uid="{00000000-0005-0000-0000-000055B70000}"/>
    <cellStyle name="Normal 11 4 3 2 3 2 5 3" xfId="47469" xr:uid="{00000000-0005-0000-0000-000056B70000}"/>
    <cellStyle name="Normal 11 4 3 2 3 2 5 3 2" xfId="47470" xr:uid="{00000000-0005-0000-0000-000057B70000}"/>
    <cellStyle name="Normal 11 4 3 2 3 2 5 4" xfId="47471" xr:uid="{00000000-0005-0000-0000-000058B70000}"/>
    <cellStyle name="Normal 11 4 3 2 3 2 6" xfId="47472" xr:uid="{00000000-0005-0000-0000-000059B70000}"/>
    <cellStyle name="Normal 11 4 3 2 3 2 6 2" xfId="47473" xr:uid="{00000000-0005-0000-0000-00005AB70000}"/>
    <cellStyle name="Normal 11 4 3 2 3 2 6 2 2" xfId="47474" xr:uid="{00000000-0005-0000-0000-00005BB70000}"/>
    <cellStyle name="Normal 11 4 3 2 3 2 6 2 2 2" xfId="47475" xr:uid="{00000000-0005-0000-0000-00005CB70000}"/>
    <cellStyle name="Normal 11 4 3 2 3 2 6 2 3" xfId="47476" xr:uid="{00000000-0005-0000-0000-00005DB70000}"/>
    <cellStyle name="Normal 11 4 3 2 3 2 6 3" xfId="47477" xr:uid="{00000000-0005-0000-0000-00005EB70000}"/>
    <cellStyle name="Normal 11 4 3 2 3 2 6 3 2" xfId="47478" xr:uid="{00000000-0005-0000-0000-00005FB70000}"/>
    <cellStyle name="Normal 11 4 3 2 3 2 6 4" xfId="47479" xr:uid="{00000000-0005-0000-0000-000060B70000}"/>
    <cellStyle name="Normal 11 4 3 2 3 2 7" xfId="47480" xr:uid="{00000000-0005-0000-0000-000061B70000}"/>
    <cellStyle name="Normal 11 4 3 2 3 2 7 2" xfId="47481" xr:uid="{00000000-0005-0000-0000-000062B70000}"/>
    <cellStyle name="Normal 11 4 3 2 3 2 7 2 2" xfId="47482" xr:uid="{00000000-0005-0000-0000-000063B70000}"/>
    <cellStyle name="Normal 11 4 3 2 3 2 7 2 2 2" xfId="47483" xr:uid="{00000000-0005-0000-0000-000064B70000}"/>
    <cellStyle name="Normal 11 4 3 2 3 2 7 2 3" xfId="47484" xr:uid="{00000000-0005-0000-0000-000065B70000}"/>
    <cellStyle name="Normal 11 4 3 2 3 2 7 3" xfId="47485" xr:uid="{00000000-0005-0000-0000-000066B70000}"/>
    <cellStyle name="Normal 11 4 3 2 3 2 7 3 2" xfId="47486" xr:uid="{00000000-0005-0000-0000-000067B70000}"/>
    <cellStyle name="Normal 11 4 3 2 3 2 7 4" xfId="47487" xr:uid="{00000000-0005-0000-0000-000068B70000}"/>
    <cellStyle name="Normal 11 4 3 2 3 2 8" xfId="47488" xr:uid="{00000000-0005-0000-0000-000069B70000}"/>
    <cellStyle name="Normal 11 4 3 2 3 2 8 2" xfId="47489" xr:uid="{00000000-0005-0000-0000-00006AB70000}"/>
    <cellStyle name="Normal 11 4 3 2 3 2 8 2 2" xfId="47490" xr:uid="{00000000-0005-0000-0000-00006BB70000}"/>
    <cellStyle name="Normal 11 4 3 2 3 2 8 3" xfId="47491" xr:uid="{00000000-0005-0000-0000-00006CB70000}"/>
    <cellStyle name="Normal 11 4 3 2 3 2 9" xfId="47492" xr:uid="{00000000-0005-0000-0000-00006DB70000}"/>
    <cellStyle name="Normal 11 4 3 2 3 2 9 2" xfId="47493" xr:uid="{00000000-0005-0000-0000-00006EB70000}"/>
    <cellStyle name="Normal 11 4 3 2 3 3" xfId="1491" xr:uid="{00000000-0005-0000-0000-00006FB70000}"/>
    <cellStyle name="Normal 11 4 3 2 3 3 2" xfId="47495" xr:uid="{00000000-0005-0000-0000-000070B70000}"/>
    <cellStyle name="Normal 11 4 3 2 3 3 2 2" xfId="47496" xr:uid="{00000000-0005-0000-0000-000071B70000}"/>
    <cellStyle name="Normal 11 4 3 2 3 3 2 2 2" xfId="47497" xr:uid="{00000000-0005-0000-0000-000072B70000}"/>
    <cellStyle name="Normal 11 4 3 2 3 3 2 2 2 2" xfId="47498" xr:uid="{00000000-0005-0000-0000-000073B70000}"/>
    <cellStyle name="Normal 11 4 3 2 3 3 2 2 3" xfId="47499" xr:uid="{00000000-0005-0000-0000-000074B70000}"/>
    <cellStyle name="Normal 11 4 3 2 3 3 2 3" xfId="47500" xr:uid="{00000000-0005-0000-0000-000075B70000}"/>
    <cellStyle name="Normal 11 4 3 2 3 3 2 3 2" xfId="47501" xr:uid="{00000000-0005-0000-0000-000076B70000}"/>
    <cellStyle name="Normal 11 4 3 2 3 3 2 4" xfId="47502" xr:uid="{00000000-0005-0000-0000-000077B70000}"/>
    <cellStyle name="Normal 11 4 3 2 3 3 3" xfId="47503" xr:uid="{00000000-0005-0000-0000-000078B70000}"/>
    <cellStyle name="Normal 11 4 3 2 3 3 3 2" xfId="47504" xr:uid="{00000000-0005-0000-0000-000079B70000}"/>
    <cellStyle name="Normal 11 4 3 2 3 3 3 2 2" xfId="47505" xr:uid="{00000000-0005-0000-0000-00007AB70000}"/>
    <cellStyle name="Normal 11 4 3 2 3 3 3 2 2 2" xfId="47506" xr:uid="{00000000-0005-0000-0000-00007BB70000}"/>
    <cellStyle name="Normal 11 4 3 2 3 3 3 2 3" xfId="47507" xr:uid="{00000000-0005-0000-0000-00007CB70000}"/>
    <cellStyle name="Normal 11 4 3 2 3 3 3 3" xfId="47508" xr:uid="{00000000-0005-0000-0000-00007DB70000}"/>
    <cellStyle name="Normal 11 4 3 2 3 3 3 3 2" xfId="47509" xr:uid="{00000000-0005-0000-0000-00007EB70000}"/>
    <cellStyle name="Normal 11 4 3 2 3 3 3 4" xfId="47510" xr:uid="{00000000-0005-0000-0000-00007FB70000}"/>
    <cellStyle name="Normal 11 4 3 2 3 3 4" xfId="47511" xr:uid="{00000000-0005-0000-0000-000080B70000}"/>
    <cellStyle name="Normal 11 4 3 2 3 3 4 2" xfId="47512" xr:uid="{00000000-0005-0000-0000-000081B70000}"/>
    <cellStyle name="Normal 11 4 3 2 3 3 4 2 2" xfId="47513" xr:uid="{00000000-0005-0000-0000-000082B70000}"/>
    <cellStyle name="Normal 11 4 3 2 3 3 4 3" xfId="47514" xr:uid="{00000000-0005-0000-0000-000083B70000}"/>
    <cellStyle name="Normal 11 4 3 2 3 3 5" xfId="47515" xr:uid="{00000000-0005-0000-0000-000084B70000}"/>
    <cellStyle name="Normal 11 4 3 2 3 3 5 2" xfId="47516" xr:uid="{00000000-0005-0000-0000-000085B70000}"/>
    <cellStyle name="Normal 11 4 3 2 3 3 6" xfId="47517" xr:uid="{00000000-0005-0000-0000-000086B70000}"/>
    <cellStyle name="Normal 11 4 3 2 3 3 7" xfId="47494" xr:uid="{00000000-0005-0000-0000-000087B70000}"/>
    <cellStyle name="Normal 11 4 3 2 3 4" xfId="47518" xr:uid="{00000000-0005-0000-0000-000088B70000}"/>
    <cellStyle name="Normal 11 4 3 2 3 4 2" xfId="47519" xr:uid="{00000000-0005-0000-0000-000089B70000}"/>
    <cellStyle name="Normal 11 4 3 2 3 4 2 2" xfId="47520" xr:uid="{00000000-0005-0000-0000-00008AB70000}"/>
    <cellStyle name="Normal 11 4 3 2 3 4 2 2 2" xfId="47521" xr:uid="{00000000-0005-0000-0000-00008BB70000}"/>
    <cellStyle name="Normal 11 4 3 2 3 4 2 2 2 2" xfId="47522" xr:uid="{00000000-0005-0000-0000-00008CB70000}"/>
    <cellStyle name="Normal 11 4 3 2 3 4 2 2 3" xfId="47523" xr:uid="{00000000-0005-0000-0000-00008DB70000}"/>
    <cellStyle name="Normal 11 4 3 2 3 4 2 3" xfId="47524" xr:uid="{00000000-0005-0000-0000-00008EB70000}"/>
    <cellStyle name="Normal 11 4 3 2 3 4 2 3 2" xfId="47525" xr:uid="{00000000-0005-0000-0000-00008FB70000}"/>
    <cellStyle name="Normal 11 4 3 2 3 4 2 4" xfId="47526" xr:uid="{00000000-0005-0000-0000-000090B70000}"/>
    <cellStyle name="Normal 11 4 3 2 3 4 3" xfId="47527" xr:uid="{00000000-0005-0000-0000-000091B70000}"/>
    <cellStyle name="Normal 11 4 3 2 3 4 3 2" xfId="47528" xr:uid="{00000000-0005-0000-0000-000092B70000}"/>
    <cellStyle name="Normal 11 4 3 2 3 4 3 2 2" xfId="47529" xr:uid="{00000000-0005-0000-0000-000093B70000}"/>
    <cellStyle name="Normal 11 4 3 2 3 4 3 3" xfId="47530" xr:uid="{00000000-0005-0000-0000-000094B70000}"/>
    <cellStyle name="Normal 11 4 3 2 3 4 4" xfId="47531" xr:uid="{00000000-0005-0000-0000-000095B70000}"/>
    <cellStyle name="Normal 11 4 3 2 3 4 4 2" xfId="47532" xr:uid="{00000000-0005-0000-0000-000096B70000}"/>
    <cellStyle name="Normal 11 4 3 2 3 4 5" xfId="47533" xr:uid="{00000000-0005-0000-0000-000097B70000}"/>
    <cellStyle name="Normal 11 4 3 2 3 5" xfId="47534" xr:uid="{00000000-0005-0000-0000-000098B70000}"/>
    <cellStyle name="Normal 11 4 3 2 3 5 2" xfId="47535" xr:uid="{00000000-0005-0000-0000-000099B70000}"/>
    <cellStyle name="Normal 11 4 3 2 3 5 2 2" xfId="47536" xr:uid="{00000000-0005-0000-0000-00009AB70000}"/>
    <cellStyle name="Normal 11 4 3 2 3 5 2 2 2" xfId="47537" xr:uid="{00000000-0005-0000-0000-00009BB70000}"/>
    <cellStyle name="Normal 11 4 3 2 3 5 2 2 2 2" xfId="47538" xr:uid="{00000000-0005-0000-0000-00009CB70000}"/>
    <cellStyle name="Normal 11 4 3 2 3 5 2 2 3" xfId="47539" xr:uid="{00000000-0005-0000-0000-00009DB70000}"/>
    <cellStyle name="Normal 11 4 3 2 3 5 2 3" xfId="47540" xr:uid="{00000000-0005-0000-0000-00009EB70000}"/>
    <cellStyle name="Normal 11 4 3 2 3 5 2 3 2" xfId="47541" xr:uid="{00000000-0005-0000-0000-00009FB70000}"/>
    <cellStyle name="Normal 11 4 3 2 3 5 2 4" xfId="47542" xr:uid="{00000000-0005-0000-0000-0000A0B70000}"/>
    <cellStyle name="Normal 11 4 3 2 3 5 3" xfId="47543" xr:uid="{00000000-0005-0000-0000-0000A1B70000}"/>
    <cellStyle name="Normal 11 4 3 2 3 5 3 2" xfId="47544" xr:uid="{00000000-0005-0000-0000-0000A2B70000}"/>
    <cellStyle name="Normal 11 4 3 2 3 5 3 2 2" xfId="47545" xr:uid="{00000000-0005-0000-0000-0000A3B70000}"/>
    <cellStyle name="Normal 11 4 3 2 3 5 3 3" xfId="47546" xr:uid="{00000000-0005-0000-0000-0000A4B70000}"/>
    <cellStyle name="Normal 11 4 3 2 3 5 4" xfId="47547" xr:uid="{00000000-0005-0000-0000-0000A5B70000}"/>
    <cellStyle name="Normal 11 4 3 2 3 5 4 2" xfId="47548" xr:uid="{00000000-0005-0000-0000-0000A6B70000}"/>
    <cellStyle name="Normal 11 4 3 2 3 5 5" xfId="47549" xr:uid="{00000000-0005-0000-0000-0000A7B70000}"/>
    <cellStyle name="Normal 11 4 3 2 3 6" xfId="47550" xr:uid="{00000000-0005-0000-0000-0000A8B70000}"/>
    <cellStyle name="Normal 11 4 3 2 3 6 2" xfId="47551" xr:uid="{00000000-0005-0000-0000-0000A9B70000}"/>
    <cellStyle name="Normal 11 4 3 2 3 6 2 2" xfId="47552" xr:uid="{00000000-0005-0000-0000-0000AAB70000}"/>
    <cellStyle name="Normal 11 4 3 2 3 6 2 2 2" xfId="47553" xr:uid="{00000000-0005-0000-0000-0000ABB70000}"/>
    <cellStyle name="Normal 11 4 3 2 3 6 2 3" xfId="47554" xr:uid="{00000000-0005-0000-0000-0000ACB70000}"/>
    <cellStyle name="Normal 11 4 3 2 3 6 3" xfId="47555" xr:uid="{00000000-0005-0000-0000-0000ADB70000}"/>
    <cellStyle name="Normal 11 4 3 2 3 6 3 2" xfId="47556" xr:uid="{00000000-0005-0000-0000-0000AEB70000}"/>
    <cellStyle name="Normal 11 4 3 2 3 6 4" xfId="47557" xr:uid="{00000000-0005-0000-0000-0000AFB70000}"/>
    <cellStyle name="Normal 11 4 3 2 3 7" xfId="47558" xr:uid="{00000000-0005-0000-0000-0000B0B70000}"/>
    <cellStyle name="Normal 11 4 3 2 3 7 2" xfId="47559" xr:uid="{00000000-0005-0000-0000-0000B1B70000}"/>
    <cellStyle name="Normal 11 4 3 2 3 7 2 2" xfId="47560" xr:uid="{00000000-0005-0000-0000-0000B2B70000}"/>
    <cellStyle name="Normal 11 4 3 2 3 7 2 2 2" xfId="47561" xr:uid="{00000000-0005-0000-0000-0000B3B70000}"/>
    <cellStyle name="Normal 11 4 3 2 3 7 2 3" xfId="47562" xr:uid="{00000000-0005-0000-0000-0000B4B70000}"/>
    <cellStyle name="Normal 11 4 3 2 3 7 3" xfId="47563" xr:uid="{00000000-0005-0000-0000-0000B5B70000}"/>
    <cellStyle name="Normal 11 4 3 2 3 7 3 2" xfId="47564" xr:uid="{00000000-0005-0000-0000-0000B6B70000}"/>
    <cellStyle name="Normal 11 4 3 2 3 7 4" xfId="47565" xr:uid="{00000000-0005-0000-0000-0000B7B70000}"/>
    <cellStyle name="Normal 11 4 3 2 3 8" xfId="47566" xr:uid="{00000000-0005-0000-0000-0000B8B70000}"/>
    <cellStyle name="Normal 11 4 3 2 3 8 2" xfId="47567" xr:uid="{00000000-0005-0000-0000-0000B9B70000}"/>
    <cellStyle name="Normal 11 4 3 2 3 8 2 2" xfId="47568" xr:uid="{00000000-0005-0000-0000-0000BAB70000}"/>
    <cellStyle name="Normal 11 4 3 2 3 8 2 2 2" xfId="47569" xr:uid="{00000000-0005-0000-0000-0000BBB70000}"/>
    <cellStyle name="Normal 11 4 3 2 3 8 2 3" xfId="47570" xr:uid="{00000000-0005-0000-0000-0000BCB70000}"/>
    <cellStyle name="Normal 11 4 3 2 3 8 3" xfId="47571" xr:uid="{00000000-0005-0000-0000-0000BDB70000}"/>
    <cellStyle name="Normal 11 4 3 2 3 8 3 2" xfId="47572" xr:uid="{00000000-0005-0000-0000-0000BEB70000}"/>
    <cellStyle name="Normal 11 4 3 2 3 8 4" xfId="47573" xr:uid="{00000000-0005-0000-0000-0000BFB70000}"/>
    <cellStyle name="Normal 11 4 3 2 3 9" xfId="47574" xr:uid="{00000000-0005-0000-0000-0000C0B70000}"/>
    <cellStyle name="Normal 11 4 3 2 3 9 2" xfId="47575" xr:uid="{00000000-0005-0000-0000-0000C1B70000}"/>
    <cellStyle name="Normal 11 4 3 2 3 9 2 2" xfId="47576" xr:uid="{00000000-0005-0000-0000-0000C2B70000}"/>
    <cellStyle name="Normal 11 4 3 2 3 9 3" xfId="47577" xr:uid="{00000000-0005-0000-0000-0000C3B70000}"/>
    <cellStyle name="Normal 11 4 3 2 4" xfId="1087" xr:uid="{00000000-0005-0000-0000-0000C4B70000}"/>
    <cellStyle name="Normal 11 4 3 2 4 10" xfId="47579" xr:uid="{00000000-0005-0000-0000-0000C5B70000}"/>
    <cellStyle name="Normal 11 4 3 2 4 11" xfId="47578" xr:uid="{00000000-0005-0000-0000-0000C6B70000}"/>
    <cellStyle name="Normal 11 4 3 2 4 2" xfId="1816" xr:uid="{00000000-0005-0000-0000-0000C7B70000}"/>
    <cellStyle name="Normal 11 4 3 2 4 2 2" xfId="47581" xr:uid="{00000000-0005-0000-0000-0000C8B70000}"/>
    <cellStyle name="Normal 11 4 3 2 4 2 2 2" xfId="47582" xr:uid="{00000000-0005-0000-0000-0000C9B70000}"/>
    <cellStyle name="Normal 11 4 3 2 4 2 2 2 2" xfId="47583" xr:uid="{00000000-0005-0000-0000-0000CAB70000}"/>
    <cellStyle name="Normal 11 4 3 2 4 2 2 2 2 2" xfId="47584" xr:uid="{00000000-0005-0000-0000-0000CBB70000}"/>
    <cellStyle name="Normal 11 4 3 2 4 2 2 2 3" xfId="47585" xr:uid="{00000000-0005-0000-0000-0000CCB70000}"/>
    <cellStyle name="Normal 11 4 3 2 4 2 2 3" xfId="47586" xr:uid="{00000000-0005-0000-0000-0000CDB70000}"/>
    <cellStyle name="Normal 11 4 3 2 4 2 2 3 2" xfId="47587" xr:uid="{00000000-0005-0000-0000-0000CEB70000}"/>
    <cellStyle name="Normal 11 4 3 2 4 2 2 4" xfId="47588" xr:uid="{00000000-0005-0000-0000-0000CFB70000}"/>
    <cellStyle name="Normal 11 4 3 2 4 2 3" xfId="47589" xr:uid="{00000000-0005-0000-0000-0000D0B70000}"/>
    <cellStyle name="Normal 11 4 3 2 4 2 3 2" xfId="47590" xr:uid="{00000000-0005-0000-0000-0000D1B70000}"/>
    <cellStyle name="Normal 11 4 3 2 4 2 3 2 2" xfId="47591" xr:uid="{00000000-0005-0000-0000-0000D2B70000}"/>
    <cellStyle name="Normal 11 4 3 2 4 2 3 2 2 2" xfId="47592" xr:uid="{00000000-0005-0000-0000-0000D3B70000}"/>
    <cellStyle name="Normal 11 4 3 2 4 2 3 2 3" xfId="47593" xr:uid="{00000000-0005-0000-0000-0000D4B70000}"/>
    <cellStyle name="Normal 11 4 3 2 4 2 3 3" xfId="47594" xr:uid="{00000000-0005-0000-0000-0000D5B70000}"/>
    <cellStyle name="Normal 11 4 3 2 4 2 3 3 2" xfId="47595" xr:uid="{00000000-0005-0000-0000-0000D6B70000}"/>
    <cellStyle name="Normal 11 4 3 2 4 2 3 4" xfId="47596" xr:uid="{00000000-0005-0000-0000-0000D7B70000}"/>
    <cellStyle name="Normal 11 4 3 2 4 2 4" xfId="47597" xr:uid="{00000000-0005-0000-0000-0000D8B70000}"/>
    <cellStyle name="Normal 11 4 3 2 4 2 4 2" xfId="47598" xr:uid="{00000000-0005-0000-0000-0000D9B70000}"/>
    <cellStyle name="Normal 11 4 3 2 4 2 4 2 2" xfId="47599" xr:uid="{00000000-0005-0000-0000-0000DAB70000}"/>
    <cellStyle name="Normal 11 4 3 2 4 2 4 3" xfId="47600" xr:uid="{00000000-0005-0000-0000-0000DBB70000}"/>
    <cellStyle name="Normal 11 4 3 2 4 2 5" xfId="47601" xr:uid="{00000000-0005-0000-0000-0000DCB70000}"/>
    <cellStyle name="Normal 11 4 3 2 4 2 5 2" xfId="47602" xr:uid="{00000000-0005-0000-0000-0000DDB70000}"/>
    <cellStyle name="Normal 11 4 3 2 4 2 6" xfId="47603" xr:uid="{00000000-0005-0000-0000-0000DEB70000}"/>
    <cellStyle name="Normal 11 4 3 2 4 2 7" xfId="47580" xr:uid="{00000000-0005-0000-0000-0000DFB70000}"/>
    <cellStyle name="Normal 11 4 3 2 4 3" xfId="47604" xr:uid="{00000000-0005-0000-0000-0000E0B70000}"/>
    <cellStyle name="Normal 11 4 3 2 4 3 2" xfId="47605" xr:uid="{00000000-0005-0000-0000-0000E1B70000}"/>
    <cellStyle name="Normal 11 4 3 2 4 3 2 2" xfId="47606" xr:uid="{00000000-0005-0000-0000-0000E2B70000}"/>
    <cellStyle name="Normal 11 4 3 2 4 3 2 2 2" xfId="47607" xr:uid="{00000000-0005-0000-0000-0000E3B70000}"/>
    <cellStyle name="Normal 11 4 3 2 4 3 2 2 2 2" xfId="47608" xr:uid="{00000000-0005-0000-0000-0000E4B70000}"/>
    <cellStyle name="Normal 11 4 3 2 4 3 2 2 3" xfId="47609" xr:uid="{00000000-0005-0000-0000-0000E5B70000}"/>
    <cellStyle name="Normal 11 4 3 2 4 3 2 3" xfId="47610" xr:uid="{00000000-0005-0000-0000-0000E6B70000}"/>
    <cellStyle name="Normal 11 4 3 2 4 3 2 3 2" xfId="47611" xr:uid="{00000000-0005-0000-0000-0000E7B70000}"/>
    <cellStyle name="Normal 11 4 3 2 4 3 2 4" xfId="47612" xr:uid="{00000000-0005-0000-0000-0000E8B70000}"/>
    <cellStyle name="Normal 11 4 3 2 4 3 3" xfId="47613" xr:uid="{00000000-0005-0000-0000-0000E9B70000}"/>
    <cellStyle name="Normal 11 4 3 2 4 3 3 2" xfId="47614" xr:uid="{00000000-0005-0000-0000-0000EAB70000}"/>
    <cellStyle name="Normal 11 4 3 2 4 3 3 2 2" xfId="47615" xr:uid="{00000000-0005-0000-0000-0000EBB70000}"/>
    <cellStyle name="Normal 11 4 3 2 4 3 3 3" xfId="47616" xr:uid="{00000000-0005-0000-0000-0000ECB70000}"/>
    <cellStyle name="Normal 11 4 3 2 4 3 4" xfId="47617" xr:uid="{00000000-0005-0000-0000-0000EDB70000}"/>
    <cellStyle name="Normal 11 4 3 2 4 3 4 2" xfId="47618" xr:uid="{00000000-0005-0000-0000-0000EEB70000}"/>
    <cellStyle name="Normal 11 4 3 2 4 3 5" xfId="47619" xr:uid="{00000000-0005-0000-0000-0000EFB70000}"/>
    <cellStyle name="Normal 11 4 3 2 4 4" xfId="47620" xr:uid="{00000000-0005-0000-0000-0000F0B70000}"/>
    <cellStyle name="Normal 11 4 3 2 4 4 2" xfId="47621" xr:uid="{00000000-0005-0000-0000-0000F1B70000}"/>
    <cellStyle name="Normal 11 4 3 2 4 4 2 2" xfId="47622" xr:uid="{00000000-0005-0000-0000-0000F2B70000}"/>
    <cellStyle name="Normal 11 4 3 2 4 4 2 2 2" xfId="47623" xr:uid="{00000000-0005-0000-0000-0000F3B70000}"/>
    <cellStyle name="Normal 11 4 3 2 4 4 2 2 2 2" xfId="47624" xr:uid="{00000000-0005-0000-0000-0000F4B70000}"/>
    <cellStyle name="Normal 11 4 3 2 4 4 2 2 3" xfId="47625" xr:uid="{00000000-0005-0000-0000-0000F5B70000}"/>
    <cellStyle name="Normal 11 4 3 2 4 4 2 3" xfId="47626" xr:uid="{00000000-0005-0000-0000-0000F6B70000}"/>
    <cellStyle name="Normal 11 4 3 2 4 4 2 3 2" xfId="47627" xr:uid="{00000000-0005-0000-0000-0000F7B70000}"/>
    <cellStyle name="Normal 11 4 3 2 4 4 2 4" xfId="47628" xr:uid="{00000000-0005-0000-0000-0000F8B70000}"/>
    <cellStyle name="Normal 11 4 3 2 4 4 3" xfId="47629" xr:uid="{00000000-0005-0000-0000-0000F9B70000}"/>
    <cellStyle name="Normal 11 4 3 2 4 4 3 2" xfId="47630" xr:uid="{00000000-0005-0000-0000-0000FAB70000}"/>
    <cellStyle name="Normal 11 4 3 2 4 4 3 2 2" xfId="47631" xr:uid="{00000000-0005-0000-0000-0000FBB70000}"/>
    <cellStyle name="Normal 11 4 3 2 4 4 3 3" xfId="47632" xr:uid="{00000000-0005-0000-0000-0000FCB70000}"/>
    <cellStyle name="Normal 11 4 3 2 4 4 4" xfId="47633" xr:uid="{00000000-0005-0000-0000-0000FDB70000}"/>
    <cellStyle name="Normal 11 4 3 2 4 4 4 2" xfId="47634" xr:uid="{00000000-0005-0000-0000-0000FEB70000}"/>
    <cellStyle name="Normal 11 4 3 2 4 4 5" xfId="47635" xr:uid="{00000000-0005-0000-0000-0000FFB70000}"/>
    <cellStyle name="Normal 11 4 3 2 4 5" xfId="47636" xr:uid="{00000000-0005-0000-0000-000000B80000}"/>
    <cellStyle name="Normal 11 4 3 2 4 5 2" xfId="47637" xr:uid="{00000000-0005-0000-0000-000001B80000}"/>
    <cellStyle name="Normal 11 4 3 2 4 5 2 2" xfId="47638" xr:uid="{00000000-0005-0000-0000-000002B80000}"/>
    <cellStyle name="Normal 11 4 3 2 4 5 2 2 2" xfId="47639" xr:uid="{00000000-0005-0000-0000-000003B80000}"/>
    <cellStyle name="Normal 11 4 3 2 4 5 2 3" xfId="47640" xr:uid="{00000000-0005-0000-0000-000004B80000}"/>
    <cellStyle name="Normal 11 4 3 2 4 5 3" xfId="47641" xr:uid="{00000000-0005-0000-0000-000005B80000}"/>
    <cellStyle name="Normal 11 4 3 2 4 5 3 2" xfId="47642" xr:uid="{00000000-0005-0000-0000-000006B80000}"/>
    <cellStyle name="Normal 11 4 3 2 4 5 4" xfId="47643" xr:uid="{00000000-0005-0000-0000-000007B80000}"/>
    <cellStyle name="Normal 11 4 3 2 4 6" xfId="47644" xr:uid="{00000000-0005-0000-0000-000008B80000}"/>
    <cellStyle name="Normal 11 4 3 2 4 6 2" xfId="47645" xr:uid="{00000000-0005-0000-0000-000009B80000}"/>
    <cellStyle name="Normal 11 4 3 2 4 6 2 2" xfId="47646" xr:uid="{00000000-0005-0000-0000-00000AB80000}"/>
    <cellStyle name="Normal 11 4 3 2 4 6 2 2 2" xfId="47647" xr:uid="{00000000-0005-0000-0000-00000BB80000}"/>
    <cellStyle name="Normal 11 4 3 2 4 6 2 3" xfId="47648" xr:uid="{00000000-0005-0000-0000-00000CB80000}"/>
    <cellStyle name="Normal 11 4 3 2 4 6 3" xfId="47649" xr:uid="{00000000-0005-0000-0000-00000DB80000}"/>
    <cellStyle name="Normal 11 4 3 2 4 6 3 2" xfId="47650" xr:uid="{00000000-0005-0000-0000-00000EB80000}"/>
    <cellStyle name="Normal 11 4 3 2 4 6 4" xfId="47651" xr:uid="{00000000-0005-0000-0000-00000FB80000}"/>
    <cellStyle name="Normal 11 4 3 2 4 7" xfId="47652" xr:uid="{00000000-0005-0000-0000-000010B80000}"/>
    <cellStyle name="Normal 11 4 3 2 4 7 2" xfId="47653" xr:uid="{00000000-0005-0000-0000-000011B80000}"/>
    <cellStyle name="Normal 11 4 3 2 4 7 2 2" xfId="47654" xr:uid="{00000000-0005-0000-0000-000012B80000}"/>
    <cellStyle name="Normal 11 4 3 2 4 7 2 2 2" xfId="47655" xr:uid="{00000000-0005-0000-0000-000013B80000}"/>
    <cellStyle name="Normal 11 4 3 2 4 7 2 3" xfId="47656" xr:uid="{00000000-0005-0000-0000-000014B80000}"/>
    <cellStyle name="Normal 11 4 3 2 4 7 3" xfId="47657" xr:uid="{00000000-0005-0000-0000-000015B80000}"/>
    <cellStyle name="Normal 11 4 3 2 4 7 3 2" xfId="47658" xr:uid="{00000000-0005-0000-0000-000016B80000}"/>
    <cellStyle name="Normal 11 4 3 2 4 7 4" xfId="47659" xr:uid="{00000000-0005-0000-0000-000017B80000}"/>
    <cellStyle name="Normal 11 4 3 2 4 8" xfId="47660" xr:uid="{00000000-0005-0000-0000-000018B80000}"/>
    <cellStyle name="Normal 11 4 3 2 4 8 2" xfId="47661" xr:uid="{00000000-0005-0000-0000-000019B80000}"/>
    <cellStyle name="Normal 11 4 3 2 4 8 2 2" xfId="47662" xr:uid="{00000000-0005-0000-0000-00001AB80000}"/>
    <cellStyle name="Normal 11 4 3 2 4 8 3" xfId="47663" xr:uid="{00000000-0005-0000-0000-00001BB80000}"/>
    <cellStyle name="Normal 11 4 3 2 4 9" xfId="47664" xr:uid="{00000000-0005-0000-0000-00001CB80000}"/>
    <cellStyle name="Normal 11 4 3 2 4 9 2" xfId="47665" xr:uid="{00000000-0005-0000-0000-00001DB80000}"/>
    <cellStyle name="Normal 11 4 3 2 5" xfId="1489" xr:uid="{00000000-0005-0000-0000-00001EB80000}"/>
    <cellStyle name="Normal 11 4 3 2 5 2" xfId="47667" xr:uid="{00000000-0005-0000-0000-00001FB80000}"/>
    <cellStyle name="Normal 11 4 3 2 5 2 2" xfId="47668" xr:uid="{00000000-0005-0000-0000-000020B80000}"/>
    <cellStyle name="Normal 11 4 3 2 5 2 2 2" xfId="47669" xr:uid="{00000000-0005-0000-0000-000021B80000}"/>
    <cellStyle name="Normal 11 4 3 2 5 2 2 2 2" xfId="47670" xr:uid="{00000000-0005-0000-0000-000022B80000}"/>
    <cellStyle name="Normal 11 4 3 2 5 2 2 3" xfId="47671" xr:uid="{00000000-0005-0000-0000-000023B80000}"/>
    <cellStyle name="Normal 11 4 3 2 5 2 3" xfId="47672" xr:uid="{00000000-0005-0000-0000-000024B80000}"/>
    <cellStyle name="Normal 11 4 3 2 5 2 3 2" xfId="47673" xr:uid="{00000000-0005-0000-0000-000025B80000}"/>
    <cellStyle name="Normal 11 4 3 2 5 2 4" xfId="47674" xr:uid="{00000000-0005-0000-0000-000026B80000}"/>
    <cellStyle name="Normal 11 4 3 2 5 3" xfId="47675" xr:uid="{00000000-0005-0000-0000-000027B80000}"/>
    <cellStyle name="Normal 11 4 3 2 5 3 2" xfId="47676" xr:uid="{00000000-0005-0000-0000-000028B80000}"/>
    <cellStyle name="Normal 11 4 3 2 5 3 2 2" xfId="47677" xr:uid="{00000000-0005-0000-0000-000029B80000}"/>
    <cellStyle name="Normal 11 4 3 2 5 3 2 2 2" xfId="47678" xr:uid="{00000000-0005-0000-0000-00002AB80000}"/>
    <cellStyle name="Normal 11 4 3 2 5 3 2 3" xfId="47679" xr:uid="{00000000-0005-0000-0000-00002BB80000}"/>
    <cellStyle name="Normal 11 4 3 2 5 3 3" xfId="47680" xr:uid="{00000000-0005-0000-0000-00002CB80000}"/>
    <cellStyle name="Normal 11 4 3 2 5 3 3 2" xfId="47681" xr:uid="{00000000-0005-0000-0000-00002DB80000}"/>
    <cellStyle name="Normal 11 4 3 2 5 3 4" xfId="47682" xr:uid="{00000000-0005-0000-0000-00002EB80000}"/>
    <cellStyle name="Normal 11 4 3 2 5 4" xfId="47683" xr:uid="{00000000-0005-0000-0000-00002FB80000}"/>
    <cellStyle name="Normal 11 4 3 2 5 4 2" xfId="47684" xr:uid="{00000000-0005-0000-0000-000030B80000}"/>
    <cellStyle name="Normal 11 4 3 2 5 4 2 2" xfId="47685" xr:uid="{00000000-0005-0000-0000-000031B80000}"/>
    <cellStyle name="Normal 11 4 3 2 5 4 3" xfId="47686" xr:uid="{00000000-0005-0000-0000-000032B80000}"/>
    <cellStyle name="Normal 11 4 3 2 5 5" xfId="47687" xr:uid="{00000000-0005-0000-0000-000033B80000}"/>
    <cellStyle name="Normal 11 4 3 2 5 5 2" xfId="47688" xr:uid="{00000000-0005-0000-0000-000034B80000}"/>
    <cellStyle name="Normal 11 4 3 2 5 6" xfId="47689" xr:uid="{00000000-0005-0000-0000-000035B80000}"/>
    <cellStyle name="Normal 11 4 3 2 5 7" xfId="47666" xr:uid="{00000000-0005-0000-0000-000036B80000}"/>
    <cellStyle name="Normal 11 4 3 2 6" xfId="47690" xr:uid="{00000000-0005-0000-0000-000037B80000}"/>
    <cellStyle name="Normal 11 4 3 2 6 2" xfId="47691" xr:uid="{00000000-0005-0000-0000-000038B80000}"/>
    <cellStyle name="Normal 11 4 3 2 6 2 2" xfId="47692" xr:uid="{00000000-0005-0000-0000-000039B80000}"/>
    <cellStyle name="Normal 11 4 3 2 6 2 2 2" xfId="47693" xr:uid="{00000000-0005-0000-0000-00003AB80000}"/>
    <cellStyle name="Normal 11 4 3 2 6 2 2 2 2" xfId="47694" xr:uid="{00000000-0005-0000-0000-00003BB80000}"/>
    <cellStyle name="Normal 11 4 3 2 6 2 2 3" xfId="47695" xr:uid="{00000000-0005-0000-0000-00003CB80000}"/>
    <cellStyle name="Normal 11 4 3 2 6 2 3" xfId="47696" xr:uid="{00000000-0005-0000-0000-00003DB80000}"/>
    <cellStyle name="Normal 11 4 3 2 6 2 3 2" xfId="47697" xr:uid="{00000000-0005-0000-0000-00003EB80000}"/>
    <cellStyle name="Normal 11 4 3 2 6 2 4" xfId="47698" xr:uid="{00000000-0005-0000-0000-00003FB80000}"/>
    <cellStyle name="Normal 11 4 3 2 6 3" xfId="47699" xr:uid="{00000000-0005-0000-0000-000040B80000}"/>
    <cellStyle name="Normal 11 4 3 2 6 3 2" xfId="47700" xr:uid="{00000000-0005-0000-0000-000041B80000}"/>
    <cellStyle name="Normal 11 4 3 2 6 3 2 2" xfId="47701" xr:uid="{00000000-0005-0000-0000-000042B80000}"/>
    <cellStyle name="Normal 11 4 3 2 6 3 3" xfId="47702" xr:uid="{00000000-0005-0000-0000-000043B80000}"/>
    <cellStyle name="Normal 11 4 3 2 6 4" xfId="47703" xr:uid="{00000000-0005-0000-0000-000044B80000}"/>
    <cellStyle name="Normal 11 4 3 2 6 4 2" xfId="47704" xr:uid="{00000000-0005-0000-0000-000045B80000}"/>
    <cellStyle name="Normal 11 4 3 2 6 5" xfId="47705" xr:uid="{00000000-0005-0000-0000-000046B80000}"/>
    <cellStyle name="Normal 11 4 3 2 7" xfId="47706" xr:uid="{00000000-0005-0000-0000-000047B80000}"/>
    <cellStyle name="Normal 11 4 3 2 7 2" xfId="47707" xr:uid="{00000000-0005-0000-0000-000048B80000}"/>
    <cellStyle name="Normal 11 4 3 2 7 2 2" xfId="47708" xr:uid="{00000000-0005-0000-0000-000049B80000}"/>
    <cellStyle name="Normal 11 4 3 2 7 2 2 2" xfId="47709" xr:uid="{00000000-0005-0000-0000-00004AB80000}"/>
    <cellStyle name="Normal 11 4 3 2 7 2 2 2 2" xfId="47710" xr:uid="{00000000-0005-0000-0000-00004BB80000}"/>
    <cellStyle name="Normal 11 4 3 2 7 2 2 3" xfId="47711" xr:uid="{00000000-0005-0000-0000-00004CB80000}"/>
    <cellStyle name="Normal 11 4 3 2 7 2 3" xfId="47712" xr:uid="{00000000-0005-0000-0000-00004DB80000}"/>
    <cellStyle name="Normal 11 4 3 2 7 2 3 2" xfId="47713" xr:uid="{00000000-0005-0000-0000-00004EB80000}"/>
    <cellStyle name="Normal 11 4 3 2 7 2 4" xfId="47714" xr:uid="{00000000-0005-0000-0000-00004FB80000}"/>
    <cellStyle name="Normal 11 4 3 2 7 3" xfId="47715" xr:uid="{00000000-0005-0000-0000-000050B80000}"/>
    <cellStyle name="Normal 11 4 3 2 7 3 2" xfId="47716" xr:uid="{00000000-0005-0000-0000-000051B80000}"/>
    <cellStyle name="Normal 11 4 3 2 7 3 2 2" xfId="47717" xr:uid="{00000000-0005-0000-0000-000052B80000}"/>
    <cellStyle name="Normal 11 4 3 2 7 3 3" xfId="47718" xr:uid="{00000000-0005-0000-0000-000053B80000}"/>
    <cellStyle name="Normal 11 4 3 2 7 4" xfId="47719" xr:uid="{00000000-0005-0000-0000-000054B80000}"/>
    <cellStyle name="Normal 11 4 3 2 7 4 2" xfId="47720" xr:uid="{00000000-0005-0000-0000-000055B80000}"/>
    <cellStyle name="Normal 11 4 3 2 7 5" xfId="47721" xr:uid="{00000000-0005-0000-0000-000056B80000}"/>
    <cellStyle name="Normal 11 4 3 2 8" xfId="47722" xr:uid="{00000000-0005-0000-0000-000057B80000}"/>
    <cellStyle name="Normal 11 4 3 2 8 2" xfId="47723" xr:uid="{00000000-0005-0000-0000-000058B80000}"/>
    <cellStyle name="Normal 11 4 3 2 8 2 2" xfId="47724" xr:uid="{00000000-0005-0000-0000-000059B80000}"/>
    <cellStyle name="Normal 11 4 3 2 8 2 2 2" xfId="47725" xr:uid="{00000000-0005-0000-0000-00005AB80000}"/>
    <cellStyle name="Normal 11 4 3 2 8 2 3" xfId="47726" xr:uid="{00000000-0005-0000-0000-00005BB80000}"/>
    <cellStyle name="Normal 11 4 3 2 8 3" xfId="47727" xr:uid="{00000000-0005-0000-0000-00005CB80000}"/>
    <cellStyle name="Normal 11 4 3 2 8 3 2" xfId="47728" xr:uid="{00000000-0005-0000-0000-00005DB80000}"/>
    <cellStyle name="Normal 11 4 3 2 8 4" xfId="47729" xr:uid="{00000000-0005-0000-0000-00005EB80000}"/>
    <cellStyle name="Normal 11 4 3 2 9" xfId="47730" xr:uid="{00000000-0005-0000-0000-00005FB80000}"/>
    <cellStyle name="Normal 11 4 3 2 9 2" xfId="47731" xr:uid="{00000000-0005-0000-0000-000060B80000}"/>
    <cellStyle name="Normal 11 4 3 2 9 2 2" xfId="47732" xr:uid="{00000000-0005-0000-0000-000061B80000}"/>
    <cellStyle name="Normal 11 4 3 2 9 2 2 2" xfId="47733" xr:uid="{00000000-0005-0000-0000-000062B80000}"/>
    <cellStyle name="Normal 11 4 3 2 9 2 3" xfId="47734" xr:uid="{00000000-0005-0000-0000-000063B80000}"/>
    <cellStyle name="Normal 11 4 3 2 9 3" xfId="47735" xr:uid="{00000000-0005-0000-0000-000064B80000}"/>
    <cellStyle name="Normal 11 4 3 2 9 3 2" xfId="47736" xr:uid="{00000000-0005-0000-0000-000065B80000}"/>
    <cellStyle name="Normal 11 4 3 2 9 4" xfId="47737" xr:uid="{00000000-0005-0000-0000-000066B80000}"/>
    <cellStyle name="Normal 11 4 3 3" xfId="648" xr:uid="{00000000-0005-0000-0000-000067B80000}"/>
    <cellStyle name="Normal 11 4 3 3 10" xfId="47739" xr:uid="{00000000-0005-0000-0000-000068B80000}"/>
    <cellStyle name="Normal 11 4 3 3 10 2" xfId="47740" xr:uid="{00000000-0005-0000-0000-000069B80000}"/>
    <cellStyle name="Normal 11 4 3 3 10 2 2" xfId="47741" xr:uid="{00000000-0005-0000-0000-00006AB80000}"/>
    <cellStyle name="Normal 11 4 3 3 10 3" xfId="47742" xr:uid="{00000000-0005-0000-0000-00006BB80000}"/>
    <cellStyle name="Normal 11 4 3 3 11" xfId="47743" xr:uid="{00000000-0005-0000-0000-00006CB80000}"/>
    <cellStyle name="Normal 11 4 3 3 11 2" xfId="47744" xr:uid="{00000000-0005-0000-0000-00006DB80000}"/>
    <cellStyle name="Normal 11 4 3 3 11 2 2" xfId="47745" xr:uid="{00000000-0005-0000-0000-00006EB80000}"/>
    <cellStyle name="Normal 11 4 3 3 11 3" xfId="47746" xr:uid="{00000000-0005-0000-0000-00006FB80000}"/>
    <cellStyle name="Normal 11 4 3 3 12" xfId="47747" xr:uid="{00000000-0005-0000-0000-000070B80000}"/>
    <cellStyle name="Normal 11 4 3 3 12 2" xfId="47748" xr:uid="{00000000-0005-0000-0000-000071B80000}"/>
    <cellStyle name="Normal 11 4 3 3 13" xfId="47749" xr:uid="{00000000-0005-0000-0000-000072B80000}"/>
    <cellStyle name="Normal 11 4 3 3 14" xfId="47750" xr:uid="{00000000-0005-0000-0000-000073B80000}"/>
    <cellStyle name="Normal 11 4 3 3 15" xfId="47738" xr:uid="{00000000-0005-0000-0000-000074B80000}"/>
    <cellStyle name="Normal 11 4 3 3 2" xfId="1090" xr:uid="{00000000-0005-0000-0000-000075B80000}"/>
    <cellStyle name="Normal 11 4 3 3 2 10" xfId="47752" xr:uid="{00000000-0005-0000-0000-000076B80000}"/>
    <cellStyle name="Normal 11 4 3 3 2 11" xfId="47751" xr:uid="{00000000-0005-0000-0000-000077B80000}"/>
    <cellStyle name="Normal 11 4 3 3 2 2" xfId="1819" xr:uid="{00000000-0005-0000-0000-000078B80000}"/>
    <cellStyle name="Normal 11 4 3 3 2 2 2" xfId="47754" xr:uid="{00000000-0005-0000-0000-000079B80000}"/>
    <cellStyle name="Normal 11 4 3 3 2 2 2 2" xfId="47755" xr:uid="{00000000-0005-0000-0000-00007AB80000}"/>
    <cellStyle name="Normal 11 4 3 3 2 2 2 2 2" xfId="47756" xr:uid="{00000000-0005-0000-0000-00007BB80000}"/>
    <cellStyle name="Normal 11 4 3 3 2 2 2 2 2 2" xfId="47757" xr:uid="{00000000-0005-0000-0000-00007CB80000}"/>
    <cellStyle name="Normal 11 4 3 3 2 2 2 2 3" xfId="47758" xr:uid="{00000000-0005-0000-0000-00007DB80000}"/>
    <cellStyle name="Normal 11 4 3 3 2 2 2 3" xfId="47759" xr:uid="{00000000-0005-0000-0000-00007EB80000}"/>
    <cellStyle name="Normal 11 4 3 3 2 2 2 3 2" xfId="47760" xr:uid="{00000000-0005-0000-0000-00007FB80000}"/>
    <cellStyle name="Normal 11 4 3 3 2 2 2 4" xfId="47761" xr:uid="{00000000-0005-0000-0000-000080B80000}"/>
    <cellStyle name="Normal 11 4 3 3 2 2 3" xfId="47762" xr:uid="{00000000-0005-0000-0000-000081B80000}"/>
    <cellStyle name="Normal 11 4 3 3 2 2 3 2" xfId="47763" xr:uid="{00000000-0005-0000-0000-000082B80000}"/>
    <cellStyle name="Normal 11 4 3 3 2 2 3 2 2" xfId="47764" xr:uid="{00000000-0005-0000-0000-000083B80000}"/>
    <cellStyle name="Normal 11 4 3 3 2 2 3 2 2 2" xfId="47765" xr:uid="{00000000-0005-0000-0000-000084B80000}"/>
    <cellStyle name="Normal 11 4 3 3 2 2 3 2 3" xfId="47766" xr:uid="{00000000-0005-0000-0000-000085B80000}"/>
    <cellStyle name="Normal 11 4 3 3 2 2 3 3" xfId="47767" xr:uid="{00000000-0005-0000-0000-000086B80000}"/>
    <cellStyle name="Normal 11 4 3 3 2 2 3 3 2" xfId="47768" xr:uid="{00000000-0005-0000-0000-000087B80000}"/>
    <cellStyle name="Normal 11 4 3 3 2 2 3 4" xfId="47769" xr:uid="{00000000-0005-0000-0000-000088B80000}"/>
    <cellStyle name="Normal 11 4 3 3 2 2 4" xfId="47770" xr:uid="{00000000-0005-0000-0000-000089B80000}"/>
    <cellStyle name="Normal 11 4 3 3 2 2 4 2" xfId="47771" xr:uid="{00000000-0005-0000-0000-00008AB80000}"/>
    <cellStyle name="Normal 11 4 3 3 2 2 4 2 2" xfId="47772" xr:uid="{00000000-0005-0000-0000-00008BB80000}"/>
    <cellStyle name="Normal 11 4 3 3 2 2 4 3" xfId="47773" xr:uid="{00000000-0005-0000-0000-00008CB80000}"/>
    <cellStyle name="Normal 11 4 3 3 2 2 5" xfId="47774" xr:uid="{00000000-0005-0000-0000-00008DB80000}"/>
    <cellStyle name="Normal 11 4 3 3 2 2 5 2" xfId="47775" xr:uid="{00000000-0005-0000-0000-00008EB80000}"/>
    <cellStyle name="Normal 11 4 3 3 2 2 6" xfId="47776" xr:uid="{00000000-0005-0000-0000-00008FB80000}"/>
    <cellStyle name="Normal 11 4 3 3 2 2 7" xfId="47753" xr:uid="{00000000-0005-0000-0000-000090B80000}"/>
    <cellStyle name="Normal 11 4 3 3 2 3" xfId="47777" xr:uid="{00000000-0005-0000-0000-000091B80000}"/>
    <cellStyle name="Normal 11 4 3 3 2 3 2" xfId="47778" xr:uid="{00000000-0005-0000-0000-000092B80000}"/>
    <cellStyle name="Normal 11 4 3 3 2 3 2 2" xfId="47779" xr:uid="{00000000-0005-0000-0000-000093B80000}"/>
    <cellStyle name="Normal 11 4 3 3 2 3 2 2 2" xfId="47780" xr:uid="{00000000-0005-0000-0000-000094B80000}"/>
    <cellStyle name="Normal 11 4 3 3 2 3 2 2 2 2" xfId="47781" xr:uid="{00000000-0005-0000-0000-000095B80000}"/>
    <cellStyle name="Normal 11 4 3 3 2 3 2 2 3" xfId="47782" xr:uid="{00000000-0005-0000-0000-000096B80000}"/>
    <cellStyle name="Normal 11 4 3 3 2 3 2 3" xfId="47783" xr:uid="{00000000-0005-0000-0000-000097B80000}"/>
    <cellStyle name="Normal 11 4 3 3 2 3 2 3 2" xfId="47784" xr:uid="{00000000-0005-0000-0000-000098B80000}"/>
    <cellStyle name="Normal 11 4 3 3 2 3 2 4" xfId="47785" xr:uid="{00000000-0005-0000-0000-000099B80000}"/>
    <cellStyle name="Normal 11 4 3 3 2 3 3" xfId="47786" xr:uid="{00000000-0005-0000-0000-00009AB80000}"/>
    <cellStyle name="Normal 11 4 3 3 2 3 3 2" xfId="47787" xr:uid="{00000000-0005-0000-0000-00009BB80000}"/>
    <cellStyle name="Normal 11 4 3 3 2 3 3 2 2" xfId="47788" xr:uid="{00000000-0005-0000-0000-00009CB80000}"/>
    <cellStyle name="Normal 11 4 3 3 2 3 3 3" xfId="47789" xr:uid="{00000000-0005-0000-0000-00009DB80000}"/>
    <cellStyle name="Normal 11 4 3 3 2 3 4" xfId="47790" xr:uid="{00000000-0005-0000-0000-00009EB80000}"/>
    <cellStyle name="Normal 11 4 3 3 2 3 4 2" xfId="47791" xr:uid="{00000000-0005-0000-0000-00009FB80000}"/>
    <cellStyle name="Normal 11 4 3 3 2 3 5" xfId="47792" xr:uid="{00000000-0005-0000-0000-0000A0B80000}"/>
    <cellStyle name="Normal 11 4 3 3 2 4" xfId="47793" xr:uid="{00000000-0005-0000-0000-0000A1B80000}"/>
    <cellStyle name="Normal 11 4 3 3 2 4 2" xfId="47794" xr:uid="{00000000-0005-0000-0000-0000A2B80000}"/>
    <cellStyle name="Normal 11 4 3 3 2 4 2 2" xfId="47795" xr:uid="{00000000-0005-0000-0000-0000A3B80000}"/>
    <cellStyle name="Normal 11 4 3 3 2 4 2 2 2" xfId="47796" xr:uid="{00000000-0005-0000-0000-0000A4B80000}"/>
    <cellStyle name="Normal 11 4 3 3 2 4 2 2 2 2" xfId="47797" xr:uid="{00000000-0005-0000-0000-0000A5B80000}"/>
    <cellStyle name="Normal 11 4 3 3 2 4 2 2 3" xfId="47798" xr:uid="{00000000-0005-0000-0000-0000A6B80000}"/>
    <cellStyle name="Normal 11 4 3 3 2 4 2 3" xfId="47799" xr:uid="{00000000-0005-0000-0000-0000A7B80000}"/>
    <cellStyle name="Normal 11 4 3 3 2 4 2 3 2" xfId="47800" xr:uid="{00000000-0005-0000-0000-0000A8B80000}"/>
    <cellStyle name="Normal 11 4 3 3 2 4 2 4" xfId="47801" xr:uid="{00000000-0005-0000-0000-0000A9B80000}"/>
    <cellStyle name="Normal 11 4 3 3 2 4 3" xfId="47802" xr:uid="{00000000-0005-0000-0000-0000AAB80000}"/>
    <cellStyle name="Normal 11 4 3 3 2 4 3 2" xfId="47803" xr:uid="{00000000-0005-0000-0000-0000ABB80000}"/>
    <cellStyle name="Normal 11 4 3 3 2 4 3 2 2" xfId="47804" xr:uid="{00000000-0005-0000-0000-0000ACB80000}"/>
    <cellStyle name="Normal 11 4 3 3 2 4 3 3" xfId="47805" xr:uid="{00000000-0005-0000-0000-0000ADB80000}"/>
    <cellStyle name="Normal 11 4 3 3 2 4 4" xfId="47806" xr:uid="{00000000-0005-0000-0000-0000AEB80000}"/>
    <cellStyle name="Normal 11 4 3 3 2 4 4 2" xfId="47807" xr:uid="{00000000-0005-0000-0000-0000AFB80000}"/>
    <cellStyle name="Normal 11 4 3 3 2 4 5" xfId="47808" xr:uid="{00000000-0005-0000-0000-0000B0B80000}"/>
    <cellStyle name="Normal 11 4 3 3 2 5" xfId="47809" xr:uid="{00000000-0005-0000-0000-0000B1B80000}"/>
    <cellStyle name="Normal 11 4 3 3 2 5 2" xfId="47810" xr:uid="{00000000-0005-0000-0000-0000B2B80000}"/>
    <cellStyle name="Normal 11 4 3 3 2 5 2 2" xfId="47811" xr:uid="{00000000-0005-0000-0000-0000B3B80000}"/>
    <cellStyle name="Normal 11 4 3 3 2 5 2 2 2" xfId="47812" xr:uid="{00000000-0005-0000-0000-0000B4B80000}"/>
    <cellStyle name="Normal 11 4 3 3 2 5 2 3" xfId="47813" xr:uid="{00000000-0005-0000-0000-0000B5B80000}"/>
    <cellStyle name="Normal 11 4 3 3 2 5 3" xfId="47814" xr:uid="{00000000-0005-0000-0000-0000B6B80000}"/>
    <cellStyle name="Normal 11 4 3 3 2 5 3 2" xfId="47815" xr:uid="{00000000-0005-0000-0000-0000B7B80000}"/>
    <cellStyle name="Normal 11 4 3 3 2 5 4" xfId="47816" xr:uid="{00000000-0005-0000-0000-0000B8B80000}"/>
    <cellStyle name="Normal 11 4 3 3 2 6" xfId="47817" xr:uid="{00000000-0005-0000-0000-0000B9B80000}"/>
    <cellStyle name="Normal 11 4 3 3 2 6 2" xfId="47818" xr:uid="{00000000-0005-0000-0000-0000BAB80000}"/>
    <cellStyle name="Normal 11 4 3 3 2 6 2 2" xfId="47819" xr:uid="{00000000-0005-0000-0000-0000BBB80000}"/>
    <cellStyle name="Normal 11 4 3 3 2 6 2 2 2" xfId="47820" xr:uid="{00000000-0005-0000-0000-0000BCB80000}"/>
    <cellStyle name="Normal 11 4 3 3 2 6 2 3" xfId="47821" xr:uid="{00000000-0005-0000-0000-0000BDB80000}"/>
    <cellStyle name="Normal 11 4 3 3 2 6 3" xfId="47822" xr:uid="{00000000-0005-0000-0000-0000BEB80000}"/>
    <cellStyle name="Normal 11 4 3 3 2 6 3 2" xfId="47823" xr:uid="{00000000-0005-0000-0000-0000BFB80000}"/>
    <cellStyle name="Normal 11 4 3 3 2 6 4" xfId="47824" xr:uid="{00000000-0005-0000-0000-0000C0B80000}"/>
    <cellStyle name="Normal 11 4 3 3 2 7" xfId="47825" xr:uid="{00000000-0005-0000-0000-0000C1B80000}"/>
    <cellStyle name="Normal 11 4 3 3 2 7 2" xfId="47826" xr:uid="{00000000-0005-0000-0000-0000C2B80000}"/>
    <cellStyle name="Normal 11 4 3 3 2 7 2 2" xfId="47827" xr:uid="{00000000-0005-0000-0000-0000C3B80000}"/>
    <cellStyle name="Normal 11 4 3 3 2 7 2 2 2" xfId="47828" xr:uid="{00000000-0005-0000-0000-0000C4B80000}"/>
    <cellStyle name="Normal 11 4 3 3 2 7 2 3" xfId="47829" xr:uid="{00000000-0005-0000-0000-0000C5B80000}"/>
    <cellStyle name="Normal 11 4 3 3 2 7 3" xfId="47830" xr:uid="{00000000-0005-0000-0000-0000C6B80000}"/>
    <cellStyle name="Normal 11 4 3 3 2 7 3 2" xfId="47831" xr:uid="{00000000-0005-0000-0000-0000C7B80000}"/>
    <cellStyle name="Normal 11 4 3 3 2 7 4" xfId="47832" xr:uid="{00000000-0005-0000-0000-0000C8B80000}"/>
    <cellStyle name="Normal 11 4 3 3 2 8" xfId="47833" xr:uid="{00000000-0005-0000-0000-0000C9B80000}"/>
    <cellStyle name="Normal 11 4 3 3 2 8 2" xfId="47834" xr:uid="{00000000-0005-0000-0000-0000CAB80000}"/>
    <cellStyle name="Normal 11 4 3 3 2 8 2 2" xfId="47835" xr:uid="{00000000-0005-0000-0000-0000CBB80000}"/>
    <cellStyle name="Normal 11 4 3 3 2 8 3" xfId="47836" xr:uid="{00000000-0005-0000-0000-0000CCB80000}"/>
    <cellStyle name="Normal 11 4 3 3 2 9" xfId="47837" xr:uid="{00000000-0005-0000-0000-0000CDB80000}"/>
    <cellStyle name="Normal 11 4 3 3 2 9 2" xfId="47838" xr:uid="{00000000-0005-0000-0000-0000CEB80000}"/>
    <cellStyle name="Normal 11 4 3 3 3" xfId="1492" xr:uid="{00000000-0005-0000-0000-0000CFB80000}"/>
    <cellStyle name="Normal 11 4 3 3 3 2" xfId="47840" xr:uid="{00000000-0005-0000-0000-0000D0B80000}"/>
    <cellStyle name="Normal 11 4 3 3 3 2 2" xfId="47841" xr:uid="{00000000-0005-0000-0000-0000D1B80000}"/>
    <cellStyle name="Normal 11 4 3 3 3 2 2 2" xfId="47842" xr:uid="{00000000-0005-0000-0000-0000D2B80000}"/>
    <cellStyle name="Normal 11 4 3 3 3 2 2 2 2" xfId="47843" xr:uid="{00000000-0005-0000-0000-0000D3B80000}"/>
    <cellStyle name="Normal 11 4 3 3 3 2 2 3" xfId="47844" xr:uid="{00000000-0005-0000-0000-0000D4B80000}"/>
    <cellStyle name="Normal 11 4 3 3 3 2 3" xfId="47845" xr:uid="{00000000-0005-0000-0000-0000D5B80000}"/>
    <cellStyle name="Normal 11 4 3 3 3 2 3 2" xfId="47846" xr:uid="{00000000-0005-0000-0000-0000D6B80000}"/>
    <cellStyle name="Normal 11 4 3 3 3 2 4" xfId="47847" xr:uid="{00000000-0005-0000-0000-0000D7B80000}"/>
    <cellStyle name="Normal 11 4 3 3 3 3" xfId="47848" xr:uid="{00000000-0005-0000-0000-0000D8B80000}"/>
    <cellStyle name="Normal 11 4 3 3 3 3 2" xfId="47849" xr:uid="{00000000-0005-0000-0000-0000D9B80000}"/>
    <cellStyle name="Normal 11 4 3 3 3 3 2 2" xfId="47850" xr:uid="{00000000-0005-0000-0000-0000DAB80000}"/>
    <cellStyle name="Normal 11 4 3 3 3 3 2 2 2" xfId="47851" xr:uid="{00000000-0005-0000-0000-0000DBB80000}"/>
    <cellStyle name="Normal 11 4 3 3 3 3 2 3" xfId="47852" xr:uid="{00000000-0005-0000-0000-0000DCB80000}"/>
    <cellStyle name="Normal 11 4 3 3 3 3 3" xfId="47853" xr:uid="{00000000-0005-0000-0000-0000DDB80000}"/>
    <cellStyle name="Normal 11 4 3 3 3 3 3 2" xfId="47854" xr:uid="{00000000-0005-0000-0000-0000DEB80000}"/>
    <cellStyle name="Normal 11 4 3 3 3 3 4" xfId="47855" xr:uid="{00000000-0005-0000-0000-0000DFB80000}"/>
    <cellStyle name="Normal 11 4 3 3 3 4" xfId="47856" xr:uid="{00000000-0005-0000-0000-0000E0B80000}"/>
    <cellStyle name="Normal 11 4 3 3 3 4 2" xfId="47857" xr:uid="{00000000-0005-0000-0000-0000E1B80000}"/>
    <cellStyle name="Normal 11 4 3 3 3 4 2 2" xfId="47858" xr:uid="{00000000-0005-0000-0000-0000E2B80000}"/>
    <cellStyle name="Normal 11 4 3 3 3 4 3" xfId="47859" xr:uid="{00000000-0005-0000-0000-0000E3B80000}"/>
    <cellStyle name="Normal 11 4 3 3 3 5" xfId="47860" xr:uid="{00000000-0005-0000-0000-0000E4B80000}"/>
    <cellStyle name="Normal 11 4 3 3 3 5 2" xfId="47861" xr:uid="{00000000-0005-0000-0000-0000E5B80000}"/>
    <cellStyle name="Normal 11 4 3 3 3 6" xfId="47862" xr:uid="{00000000-0005-0000-0000-0000E6B80000}"/>
    <cellStyle name="Normal 11 4 3 3 3 7" xfId="47839" xr:uid="{00000000-0005-0000-0000-0000E7B80000}"/>
    <cellStyle name="Normal 11 4 3 3 4" xfId="47863" xr:uid="{00000000-0005-0000-0000-0000E8B80000}"/>
    <cellStyle name="Normal 11 4 3 3 4 2" xfId="47864" xr:uid="{00000000-0005-0000-0000-0000E9B80000}"/>
    <cellStyle name="Normal 11 4 3 3 4 2 2" xfId="47865" xr:uid="{00000000-0005-0000-0000-0000EAB80000}"/>
    <cellStyle name="Normal 11 4 3 3 4 2 2 2" xfId="47866" xr:uid="{00000000-0005-0000-0000-0000EBB80000}"/>
    <cellStyle name="Normal 11 4 3 3 4 2 2 2 2" xfId="47867" xr:uid="{00000000-0005-0000-0000-0000ECB80000}"/>
    <cellStyle name="Normal 11 4 3 3 4 2 2 3" xfId="47868" xr:uid="{00000000-0005-0000-0000-0000EDB80000}"/>
    <cellStyle name="Normal 11 4 3 3 4 2 3" xfId="47869" xr:uid="{00000000-0005-0000-0000-0000EEB80000}"/>
    <cellStyle name="Normal 11 4 3 3 4 2 3 2" xfId="47870" xr:uid="{00000000-0005-0000-0000-0000EFB80000}"/>
    <cellStyle name="Normal 11 4 3 3 4 2 4" xfId="47871" xr:uid="{00000000-0005-0000-0000-0000F0B80000}"/>
    <cellStyle name="Normal 11 4 3 3 4 3" xfId="47872" xr:uid="{00000000-0005-0000-0000-0000F1B80000}"/>
    <cellStyle name="Normal 11 4 3 3 4 3 2" xfId="47873" xr:uid="{00000000-0005-0000-0000-0000F2B80000}"/>
    <cellStyle name="Normal 11 4 3 3 4 3 2 2" xfId="47874" xr:uid="{00000000-0005-0000-0000-0000F3B80000}"/>
    <cellStyle name="Normal 11 4 3 3 4 3 3" xfId="47875" xr:uid="{00000000-0005-0000-0000-0000F4B80000}"/>
    <cellStyle name="Normal 11 4 3 3 4 4" xfId="47876" xr:uid="{00000000-0005-0000-0000-0000F5B80000}"/>
    <cellStyle name="Normal 11 4 3 3 4 4 2" xfId="47877" xr:uid="{00000000-0005-0000-0000-0000F6B80000}"/>
    <cellStyle name="Normal 11 4 3 3 4 5" xfId="47878" xr:uid="{00000000-0005-0000-0000-0000F7B80000}"/>
    <cellStyle name="Normal 11 4 3 3 5" xfId="47879" xr:uid="{00000000-0005-0000-0000-0000F8B80000}"/>
    <cellStyle name="Normal 11 4 3 3 5 2" xfId="47880" xr:uid="{00000000-0005-0000-0000-0000F9B80000}"/>
    <cellStyle name="Normal 11 4 3 3 5 2 2" xfId="47881" xr:uid="{00000000-0005-0000-0000-0000FAB80000}"/>
    <cellStyle name="Normal 11 4 3 3 5 2 2 2" xfId="47882" xr:uid="{00000000-0005-0000-0000-0000FBB80000}"/>
    <cellStyle name="Normal 11 4 3 3 5 2 2 2 2" xfId="47883" xr:uid="{00000000-0005-0000-0000-0000FCB80000}"/>
    <cellStyle name="Normal 11 4 3 3 5 2 2 3" xfId="47884" xr:uid="{00000000-0005-0000-0000-0000FDB80000}"/>
    <cellStyle name="Normal 11 4 3 3 5 2 3" xfId="47885" xr:uid="{00000000-0005-0000-0000-0000FEB80000}"/>
    <cellStyle name="Normal 11 4 3 3 5 2 3 2" xfId="47886" xr:uid="{00000000-0005-0000-0000-0000FFB80000}"/>
    <cellStyle name="Normal 11 4 3 3 5 2 4" xfId="47887" xr:uid="{00000000-0005-0000-0000-000000B90000}"/>
    <cellStyle name="Normal 11 4 3 3 5 3" xfId="47888" xr:uid="{00000000-0005-0000-0000-000001B90000}"/>
    <cellStyle name="Normal 11 4 3 3 5 3 2" xfId="47889" xr:uid="{00000000-0005-0000-0000-000002B90000}"/>
    <cellStyle name="Normal 11 4 3 3 5 3 2 2" xfId="47890" xr:uid="{00000000-0005-0000-0000-000003B90000}"/>
    <cellStyle name="Normal 11 4 3 3 5 3 3" xfId="47891" xr:uid="{00000000-0005-0000-0000-000004B90000}"/>
    <cellStyle name="Normal 11 4 3 3 5 4" xfId="47892" xr:uid="{00000000-0005-0000-0000-000005B90000}"/>
    <cellStyle name="Normal 11 4 3 3 5 4 2" xfId="47893" xr:uid="{00000000-0005-0000-0000-000006B90000}"/>
    <cellStyle name="Normal 11 4 3 3 5 5" xfId="47894" xr:uid="{00000000-0005-0000-0000-000007B90000}"/>
    <cellStyle name="Normal 11 4 3 3 6" xfId="47895" xr:uid="{00000000-0005-0000-0000-000008B90000}"/>
    <cellStyle name="Normal 11 4 3 3 6 2" xfId="47896" xr:uid="{00000000-0005-0000-0000-000009B90000}"/>
    <cellStyle name="Normal 11 4 3 3 6 2 2" xfId="47897" xr:uid="{00000000-0005-0000-0000-00000AB90000}"/>
    <cellStyle name="Normal 11 4 3 3 6 2 2 2" xfId="47898" xr:uid="{00000000-0005-0000-0000-00000BB90000}"/>
    <cellStyle name="Normal 11 4 3 3 6 2 3" xfId="47899" xr:uid="{00000000-0005-0000-0000-00000CB90000}"/>
    <cellStyle name="Normal 11 4 3 3 6 3" xfId="47900" xr:uid="{00000000-0005-0000-0000-00000DB90000}"/>
    <cellStyle name="Normal 11 4 3 3 6 3 2" xfId="47901" xr:uid="{00000000-0005-0000-0000-00000EB90000}"/>
    <cellStyle name="Normal 11 4 3 3 6 4" xfId="47902" xr:uid="{00000000-0005-0000-0000-00000FB90000}"/>
    <cellStyle name="Normal 11 4 3 3 7" xfId="47903" xr:uid="{00000000-0005-0000-0000-000010B90000}"/>
    <cellStyle name="Normal 11 4 3 3 7 2" xfId="47904" xr:uid="{00000000-0005-0000-0000-000011B90000}"/>
    <cellStyle name="Normal 11 4 3 3 7 2 2" xfId="47905" xr:uid="{00000000-0005-0000-0000-000012B90000}"/>
    <cellStyle name="Normal 11 4 3 3 7 2 2 2" xfId="47906" xr:uid="{00000000-0005-0000-0000-000013B90000}"/>
    <cellStyle name="Normal 11 4 3 3 7 2 3" xfId="47907" xr:uid="{00000000-0005-0000-0000-000014B90000}"/>
    <cellStyle name="Normal 11 4 3 3 7 3" xfId="47908" xr:uid="{00000000-0005-0000-0000-000015B90000}"/>
    <cellStyle name="Normal 11 4 3 3 7 3 2" xfId="47909" xr:uid="{00000000-0005-0000-0000-000016B90000}"/>
    <cellStyle name="Normal 11 4 3 3 7 4" xfId="47910" xr:uid="{00000000-0005-0000-0000-000017B90000}"/>
    <cellStyle name="Normal 11 4 3 3 8" xfId="47911" xr:uid="{00000000-0005-0000-0000-000018B90000}"/>
    <cellStyle name="Normal 11 4 3 3 8 2" xfId="47912" xr:uid="{00000000-0005-0000-0000-000019B90000}"/>
    <cellStyle name="Normal 11 4 3 3 8 2 2" xfId="47913" xr:uid="{00000000-0005-0000-0000-00001AB90000}"/>
    <cellStyle name="Normal 11 4 3 3 8 2 2 2" xfId="47914" xr:uid="{00000000-0005-0000-0000-00001BB90000}"/>
    <cellStyle name="Normal 11 4 3 3 8 2 3" xfId="47915" xr:uid="{00000000-0005-0000-0000-00001CB90000}"/>
    <cellStyle name="Normal 11 4 3 3 8 3" xfId="47916" xr:uid="{00000000-0005-0000-0000-00001DB90000}"/>
    <cellStyle name="Normal 11 4 3 3 8 3 2" xfId="47917" xr:uid="{00000000-0005-0000-0000-00001EB90000}"/>
    <cellStyle name="Normal 11 4 3 3 8 4" xfId="47918" xr:uid="{00000000-0005-0000-0000-00001FB90000}"/>
    <cellStyle name="Normal 11 4 3 3 9" xfId="47919" xr:uid="{00000000-0005-0000-0000-000020B90000}"/>
    <cellStyle name="Normal 11 4 3 3 9 2" xfId="47920" xr:uid="{00000000-0005-0000-0000-000021B90000}"/>
    <cellStyle name="Normal 11 4 3 3 9 2 2" xfId="47921" xr:uid="{00000000-0005-0000-0000-000022B90000}"/>
    <cellStyle name="Normal 11 4 3 3 9 3" xfId="47922" xr:uid="{00000000-0005-0000-0000-000023B90000}"/>
    <cellStyle name="Normal 11 4 3 4" xfId="649" xr:uid="{00000000-0005-0000-0000-000024B90000}"/>
    <cellStyle name="Normal 11 4 3 4 10" xfId="47924" xr:uid="{00000000-0005-0000-0000-000025B90000}"/>
    <cellStyle name="Normal 11 4 3 4 10 2" xfId="47925" xr:uid="{00000000-0005-0000-0000-000026B90000}"/>
    <cellStyle name="Normal 11 4 3 4 10 2 2" xfId="47926" xr:uid="{00000000-0005-0000-0000-000027B90000}"/>
    <cellStyle name="Normal 11 4 3 4 10 3" xfId="47927" xr:uid="{00000000-0005-0000-0000-000028B90000}"/>
    <cellStyle name="Normal 11 4 3 4 11" xfId="47928" xr:uid="{00000000-0005-0000-0000-000029B90000}"/>
    <cellStyle name="Normal 11 4 3 4 11 2" xfId="47929" xr:uid="{00000000-0005-0000-0000-00002AB90000}"/>
    <cellStyle name="Normal 11 4 3 4 11 2 2" xfId="47930" xr:uid="{00000000-0005-0000-0000-00002BB90000}"/>
    <cellStyle name="Normal 11 4 3 4 11 3" xfId="47931" xr:uid="{00000000-0005-0000-0000-00002CB90000}"/>
    <cellStyle name="Normal 11 4 3 4 12" xfId="47932" xr:uid="{00000000-0005-0000-0000-00002DB90000}"/>
    <cellStyle name="Normal 11 4 3 4 12 2" xfId="47933" xr:uid="{00000000-0005-0000-0000-00002EB90000}"/>
    <cellStyle name="Normal 11 4 3 4 13" xfId="47934" xr:uid="{00000000-0005-0000-0000-00002FB90000}"/>
    <cellStyle name="Normal 11 4 3 4 14" xfId="47935" xr:uid="{00000000-0005-0000-0000-000030B90000}"/>
    <cellStyle name="Normal 11 4 3 4 15" xfId="47923" xr:uid="{00000000-0005-0000-0000-000031B90000}"/>
    <cellStyle name="Normal 11 4 3 4 2" xfId="1091" xr:uid="{00000000-0005-0000-0000-000032B90000}"/>
    <cellStyle name="Normal 11 4 3 4 2 10" xfId="47937" xr:uid="{00000000-0005-0000-0000-000033B90000}"/>
    <cellStyle name="Normal 11 4 3 4 2 11" xfId="47936" xr:uid="{00000000-0005-0000-0000-000034B90000}"/>
    <cellStyle name="Normal 11 4 3 4 2 2" xfId="1820" xr:uid="{00000000-0005-0000-0000-000035B90000}"/>
    <cellStyle name="Normal 11 4 3 4 2 2 2" xfId="47939" xr:uid="{00000000-0005-0000-0000-000036B90000}"/>
    <cellStyle name="Normal 11 4 3 4 2 2 2 2" xfId="47940" xr:uid="{00000000-0005-0000-0000-000037B90000}"/>
    <cellStyle name="Normal 11 4 3 4 2 2 2 2 2" xfId="47941" xr:uid="{00000000-0005-0000-0000-000038B90000}"/>
    <cellStyle name="Normal 11 4 3 4 2 2 2 2 2 2" xfId="47942" xr:uid="{00000000-0005-0000-0000-000039B90000}"/>
    <cellStyle name="Normal 11 4 3 4 2 2 2 2 3" xfId="47943" xr:uid="{00000000-0005-0000-0000-00003AB90000}"/>
    <cellStyle name="Normal 11 4 3 4 2 2 2 3" xfId="47944" xr:uid="{00000000-0005-0000-0000-00003BB90000}"/>
    <cellStyle name="Normal 11 4 3 4 2 2 2 3 2" xfId="47945" xr:uid="{00000000-0005-0000-0000-00003CB90000}"/>
    <cellStyle name="Normal 11 4 3 4 2 2 2 4" xfId="47946" xr:uid="{00000000-0005-0000-0000-00003DB90000}"/>
    <cellStyle name="Normal 11 4 3 4 2 2 3" xfId="47947" xr:uid="{00000000-0005-0000-0000-00003EB90000}"/>
    <cellStyle name="Normal 11 4 3 4 2 2 3 2" xfId="47948" xr:uid="{00000000-0005-0000-0000-00003FB90000}"/>
    <cellStyle name="Normal 11 4 3 4 2 2 3 2 2" xfId="47949" xr:uid="{00000000-0005-0000-0000-000040B90000}"/>
    <cellStyle name="Normal 11 4 3 4 2 2 3 2 2 2" xfId="47950" xr:uid="{00000000-0005-0000-0000-000041B90000}"/>
    <cellStyle name="Normal 11 4 3 4 2 2 3 2 3" xfId="47951" xr:uid="{00000000-0005-0000-0000-000042B90000}"/>
    <cellStyle name="Normal 11 4 3 4 2 2 3 3" xfId="47952" xr:uid="{00000000-0005-0000-0000-000043B90000}"/>
    <cellStyle name="Normal 11 4 3 4 2 2 3 3 2" xfId="47953" xr:uid="{00000000-0005-0000-0000-000044B90000}"/>
    <cellStyle name="Normal 11 4 3 4 2 2 3 4" xfId="47954" xr:uid="{00000000-0005-0000-0000-000045B90000}"/>
    <cellStyle name="Normal 11 4 3 4 2 2 4" xfId="47955" xr:uid="{00000000-0005-0000-0000-000046B90000}"/>
    <cellStyle name="Normal 11 4 3 4 2 2 4 2" xfId="47956" xr:uid="{00000000-0005-0000-0000-000047B90000}"/>
    <cellStyle name="Normal 11 4 3 4 2 2 4 2 2" xfId="47957" xr:uid="{00000000-0005-0000-0000-000048B90000}"/>
    <cellStyle name="Normal 11 4 3 4 2 2 4 3" xfId="47958" xr:uid="{00000000-0005-0000-0000-000049B90000}"/>
    <cellStyle name="Normal 11 4 3 4 2 2 5" xfId="47959" xr:uid="{00000000-0005-0000-0000-00004AB90000}"/>
    <cellStyle name="Normal 11 4 3 4 2 2 5 2" xfId="47960" xr:uid="{00000000-0005-0000-0000-00004BB90000}"/>
    <cellStyle name="Normal 11 4 3 4 2 2 6" xfId="47961" xr:uid="{00000000-0005-0000-0000-00004CB90000}"/>
    <cellStyle name="Normal 11 4 3 4 2 2 7" xfId="47938" xr:uid="{00000000-0005-0000-0000-00004DB90000}"/>
    <cellStyle name="Normal 11 4 3 4 2 3" xfId="47962" xr:uid="{00000000-0005-0000-0000-00004EB90000}"/>
    <cellStyle name="Normal 11 4 3 4 2 3 2" xfId="47963" xr:uid="{00000000-0005-0000-0000-00004FB90000}"/>
    <cellStyle name="Normal 11 4 3 4 2 3 2 2" xfId="47964" xr:uid="{00000000-0005-0000-0000-000050B90000}"/>
    <cellStyle name="Normal 11 4 3 4 2 3 2 2 2" xfId="47965" xr:uid="{00000000-0005-0000-0000-000051B90000}"/>
    <cellStyle name="Normal 11 4 3 4 2 3 2 2 2 2" xfId="47966" xr:uid="{00000000-0005-0000-0000-000052B90000}"/>
    <cellStyle name="Normal 11 4 3 4 2 3 2 2 3" xfId="47967" xr:uid="{00000000-0005-0000-0000-000053B90000}"/>
    <cellStyle name="Normal 11 4 3 4 2 3 2 3" xfId="47968" xr:uid="{00000000-0005-0000-0000-000054B90000}"/>
    <cellStyle name="Normal 11 4 3 4 2 3 2 3 2" xfId="47969" xr:uid="{00000000-0005-0000-0000-000055B90000}"/>
    <cellStyle name="Normal 11 4 3 4 2 3 2 4" xfId="47970" xr:uid="{00000000-0005-0000-0000-000056B90000}"/>
    <cellStyle name="Normal 11 4 3 4 2 3 3" xfId="47971" xr:uid="{00000000-0005-0000-0000-000057B90000}"/>
    <cellStyle name="Normal 11 4 3 4 2 3 3 2" xfId="47972" xr:uid="{00000000-0005-0000-0000-000058B90000}"/>
    <cellStyle name="Normal 11 4 3 4 2 3 3 2 2" xfId="47973" xr:uid="{00000000-0005-0000-0000-000059B90000}"/>
    <cellStyle name="Normal 11 4 3 4 2 3 3 3" xfId="47974" xr:uid="{00000000-0005-0000-0000-00005AB90000}"/>
    <cellStyle name="Normal 11 4 3 4 2 3 4" xfId="47975" xr:uid="{00000000-0005-0000-0000-00005BB90000}"/>
    <cellStyle name="Normal 11 4 3 4 2 3 4 2" xfId="47976" xr:uid="{00000000-0005-0000-0000-00005CB90000}"/>
    <cellStyle name="Normal 11 4 3 4 2 3 5" xfId="47977" xr:uid="{00000000-0005-0000-0000-00005DB90000}"/>
    <cellStyle name="Normal 11 4 3 4 2 4" xfId="47978" xr:uid="{00000000-0005-0000-0000-00005EB90000}"/>
    <cellStyle name="Normal 11 4 3 4 2 4 2" xfId="47979" xr:uid="{00000000-0005-0000-0000-00005FB90000}"/>
    <cellStyle name="Normal 11 4 3 4 2 4 2 2" xfId="47980" xr:uid="{00000000-0005-0000-0000-000060B90000}"/>
    <cellStyle name="Normal 11 4 3 4 2 4 2 2 2" xfId="47981" xr:uid="{00000000-0005-0000-0000-000061B90000}"/>
    <cellStyle name="Normal 11 4 3 4 2 4 2 2 2 2" xfId="47982" xr:uid="{00000000-0005-0000-0000-000062B90000}"/>
    <cellStyle name="Normal 11 4 3 4 2 4 2 2 3" xfId="47983" xr:uid="{00000000-0005-0000-0000-000063B90000}"/>
    <cellStyle name="Normal 11 4 3 4 2 4 2 3" xfId="47984" xr:uid="{00000000-0005-0000-0000-000064B90000}"/>
    <cellStyle name="Normal 11 4 3 4 2 4 2 3 2" xfId="47985" xr:uid="{00000000-0005-0000-0000-000065B90000}"/>
    <cellStyle name="Normal 11 4 3 4 2 4 2 4" xfId="47986" xr:uid="{00000000-0005-0000-0000-000066B90000}"/>
    <cellStyle name="Normal 11 4 3 4 2 4 3" xfId="47987" xr:uid="{00000000-0005-0000-0000-000067B90000}"/>
    <cellStyle name="Normal 11 4 3 4 2 4 3 2" xfId="47988" xr:uid="{00000000-0005-0000-0000-000068B90000}"/>
    <cellStyle name="Normal 11 4 3 4 2 4 3 2 2" xfId="47989" xr:uid="{00000000-0005-0000-0000-000069B90000}"/>
    <cellStyle name="Normal 11 4 3 4 2 4 3 3" xfId="47990" xr:uid="{00000000-0005-0000-0000-00006AB90000}"/>
    <cellStyle name="Normal 11 4 3 4 2 4 4" xfId="47991" xr:uid="{00000000-0005-0000-0000-00006BB90000}"/>
    <cellStyle name="Normal 11 4 3 4 2 4 4 2" xfId="47992" xr:uid="{00000000-0005-0000-0000-00006CB90000}"/>
    <cellStyle name="Normal 11 4 3 4 2 4 5" xfId="47993" xr:uid="{00000000-0005-0000-0000-00006DB90000}"/>
    <cellStyle name="Normal 11 4 3 4 2 5" xfId="47994" xr:uid="{00000000-0005-0000-0000-00006EB90000}"/>
    <cellStyle name="Normal 11 4 3 4 2 5 2" xfId="47995" xr:uid="{00000000-0005-0000-0000-00006FB90000}"/>
    <cellStyle name="Normal 11 4 3 4 2 5 2 2" xfId="47996" xr:uid="{00000000-0005-0000-0000-000070B90000}"/>
    <cellStyle name="Normal 11 4 3 4 2 5 2 2 2" xfId="47997" xr:uid="{00000000-0005-0000-0000-000071B90000}"/>
    <cellStyle name="Normal 11 4 3 4 2 5 2 3" xfId="47998" xr:uid="{00000000-0005-0000-0000-000072B90000}"/>
    <cellStyle name="Normal 11 4 3 4 2 5 3" xfId="47999" xr:uid="{00000000-0005-0000-0000-000073B90000}"/>
    <cellStyle name="Normal 11 4 3 4 2 5 3 2" xfId="48000" xr:uid="{00000000-0005-0000-0000-000074B90000}"/>
    <cellStyle name="Normal 11 4 3 4 2 5 4" xfId="48001" xr:uid="{00000000-0005-0000-0000-000075B90000}"/>
    <cellStyle name="Normal 11 4 3 4 2 6" xfId="48002" xr:uid="{00000000-0005-0000-0000-000076B90000}"/>
    <cellStyle name="Normal 11 4 3 4 2 6 2" xfId="48003" xr:uid="{00000000-0005-0000-0000-000077B90000}"/>
    <cellStyle name="Normal 11 4 3 4 2 6 2 2" xfId="48004" xr:uid="{00000000-0005-0000-0000-000078B90000}"/>
    <cellStyle name="Normal 11 4 3 4 2 6 2 2 2" xfId="48005" xr:uid="{00000000-0005-0000-0000-000079B90000}"/>
    <cellStyle name="Normal 11 4 3 4 2 6 2 3" xfId="48006" xr:uid="{00000000-0005-0000-0000-00007AB90000}"/>
    <cellStyle name="Normal 11 4 3 4 2 6 3" xfId="48007" xr:uid="{00000000-0005-0000-0000-00007BB90000}"/>
    <cellStyle name="Normal 11 4 3 4 2 6 3 2" xfId="48008" xr:uid="{00000000-0005-0000-0000-00007CB90000}"/>
    <cellStyle name="Normal 11 4 3 4 2 6 4" xfId="48009" xr:uid="{00000000-0005-0000-0000-00007DB90000}"/>
    <cellStyle name="Normal 11 4 3 4 2 7" xfId="48010" xr:uid="{00000000-0005-0000-0000-00007EB90000}"/>
    <cellStyle name="Normal 11 4 3 4 2 7 2" xfId="48011" xr:uid="{00000000-0005-0000-0000-00007FB90000}"/>
    <cellStyle name="Normal 11 4 3 4 2 7 2 2" xfId="48012" xr:uid="{00000000-0005-0000-0000-000080B90000}"/>
    <cellStyle name="Normal 11 4 3 4 2 7 2 2 2" xfId="48013" xr:uid="{00000000-0005-0000-0000-000081B90000}"/>
    <cellStyle name="Normal 11 4 3 4 2 7 2 3" xfId="48014" xr:uid="{00000000-0005-0000-0000-000082B90000}"/>
    <cellStyle name="Normal 11 4 3 4 2 7 3" xfId="48015" xr:uid="{00000000-0005-0000-0000-000083B90000}"/>
    <cellStyle name="Normal 11 4 3 4 2 7 3 2" xfId="48016" xr:uid="{00000000-0005-0000-0000-000084B90000}"/>
    <cellStyle name="Normal 11 4 3 4 2 7 4" xfId="48017" xr:uid="{00000000-0005-0000-0000-000085B90000}"/>
    <cellStyle name="Normal 11 4 3 4 2 8" xfId="48018" xr:uid="{00000000-0005-0000-0000-000086B90000}"/>
    <cellStyle name="Normal 11 4 3 4 2 8 2" xfId="48019" xr:uid="{00000000-0005-0000-0000-000087B90000}"/>
    <cellStyle name="Normal 11 4 3 4 2 8 2 2" xfId="48020" xr:uid="{00000000-0005-0000-0000-000088B90000}"/>
    <cellStyle name="Normal 11 4 3 4 2 8 3" xfId="48021" xr:uid="{00000000-0005-0000-0000-000089B90000}"/>
    <cellStyle name="Normal 11 4 3 4 2 9" xfId="48022" xr:uid="{00000000-0005-0000-0000-00008AB90000}"/>
    <cellStyle name="Normal 11 4 3 4 2 9 2" xfId="48023" xr:uid="{00000000-0005-0000-0000-00008BB90000}"/>
    <cellStyle name="Normal 11 4 3 4 3" xfId="1493" xr:uid="{00000000-0005-0000-0000-00008CB90000}"/>
    <cellStyle name="Normal 11 4 3 4 3 2" xfId="48025" xr:uid="{00000000-0005-0000-0000-00008DB90000}"/>
    <cellStyle name="Normal 11 4 3 4 3 2 2" xfId="48026" xr:uid="{00000000-0005-0000-0000-00008EB90000}"/>
    <cellStyle name="Normal 11 4 3 4 3 2 2 2" xfId="48027" xr:uid="{00000000-0005-0000-0000-00008FB90000}"/>
    <cellStyle name="Normal 11 4 3 4 3 2 2 2 2" xfId="48028" xr:uid="{00000000-0005-0000-0000-000090B90000}"/>
    <cellStyle name="Normal 11 4 3 4 3 2 2 3" xfId="48029" xr:uid="{00000000-0005-0000-0000-000091B90000}"/>
    <cellStyle name="Normal 11 4 3 4 3 2 3" xfId="48030" xr:uid="{00000000-0005-0000-0000-000092B90000}"/>
    <cellStyle name="Normal 11 4 3 4 3 2 3 2" xfId="48031" xr:uid="{00000000-0005-0000-0000-000093B90000}"/>
    <cellStyle name="Normal 11 4 3 4 3 2 4" xfId="48032" xr:uid="{00000000-0005-0000-0000-000094B90000}"/>
    <cellStyle name="Normal 11 4 3 4 3 3" xfId="48033" xr:uid="{00000000-0005-0000-0000-000095B90000}"/>
    <cellStyle name="Normal 11 4 3 4 3 3 2" xfId="48034" xr:uid="{00000000-0005-0000-0000-000096B90000}"/>
    <cellStyle name="Normal 11 4 3 4 3 3 2 2" xfId="48035" xr:uid="{00000000-0005-0000-0000-000097B90000}"/>
    <cellStyle name="Normal 11 4 3 4 3 3 2 2 2" xfId="48036" xr:uid="{00000000-0005-0000-0000-000098B90000}"/>
    <cellStyle name="Normal 11 4 3 4 3 3 2 3" xfId="48037" xr:uid="{00000000-0005-0000-0000-000099B90000}"/>
    <cellStyle name="Normal 11 4 3 4 3 3 3" xfId="48038" xr:uid="{00000000-0005-0000-0000-00009AB90000}"/>
    <cellStyle name="Normal 11 4 3 4 3 3 3 2" xfId="48039" xr:uid="{00000000-0005-0000-0000-00009BB90000}"/>
    <cellStyle name="Normal 11 4 3 4 3 3 4" xfId="48040" xr:uid="{00000000-0005-0000-0000-00009CB90000}"/>
    <cellStyle name="Normal 11 4 3 4 3 4" xfId="48041" xr:uid="{00000000-0005-0000-0000-00009DB90000}"/>
    <cellStyle name="Normal 11 4 3 4 3 4 2" xfId="48042" xr:uid="{00000000-0005-0000-0000-00009EB90000}"/>
    <cellStyle name="Normal 11 4 3 4 3 4 2 2" xfId="48043" xr:uid="{00000000-0005-0000-0000-00009FB90000}"/>
    <cellStyle name="Normal 11 4 3 4 3 4 3" xfId="48044" xr:uid="{00000000-0005-0000-0000-0000A0B90000}"/>
    <cellStyle name="Normal 11 4 3 4 3 5" xfId="48045" xr:uid="{00000000-0005-0000-0000-0000A1B90000}"/>
    <cellStyle name="Normal 11 4 3 4 3 5 2" xfId="48046" xr:uid="{00000000-0005-0000-0000-0000A2B90000}"/>
    <cellStyle name="Normal 11 4 3 4 3 6" xfId="48047" xr:uid="{00000000-0005-0000-0000-0000A3B90000}"/>
    <cellStyle name="Normal 11 4 3 4 3 7" xfId="48024" xr:uid="{00000000-0005-0000-0000-0000A4B90000}"/>
    <cellStyle name="Normal 11 4 3 4 4" xfId="48048" xr:uid="{00000000-0005-0000-0000-0000A5B90000}"/>
    <cellStyle name="Normal 11 4 3 4 4 2" xfId="48049" xr:uid="{00000000-0005-0000-0000-0000A6B90000}"/>
    <cellStyle name="Normal 11 4 3 4 4 2 2" xfId="48050" xr:uid="{00000000-0005-0000-0000-0000A7B90000}"/>
    <cellStyle name="Normal 11 4 3 4 4 2 2 2" xfId="48051" xr:uid="{00000000-0005-0000-0000-0000A8B90000}"/>
    <cellStyle name="Normal 11 4 3 4 4 2 2 2 2" xfId="48052" xr:uid="{00000000-0005-0000-0000-0000A9B90000}"/>
    <cellStyle name="Normal 11 4 3 4 4 2 2 3" xfId="48053" xr:uid="{00000000-0005-0000-0000-0000AAB90000}"/>
    <cellStyle name="Normal 11 4 3 4 4 2 3" xfId="48054" xr:uid="{00000000-0005-0000-0000-0000ABB90000}"/>
    <cellStyle name="Normal 11 4 3 4 4 2 3 2" xfId="48055" xr:uid="{00000000-0005-0000-0000-0000ACB90000}"/>
    <cellStyle name="Normal 11 4 3 4 4 2 4" xfId="48056" xr:uid="{00000000-0005-0000-0000-0000ADB90000}"/>
    <cellStyle name="Normal 11 4 3 4 4 3" xfId="48057" xr:uid="{00000000-0005-0000-0000-0000AEB90000}"/>
    <cellStyle name="Normal 11 4 3 4 4 3 2" xfId="48058" xr:uid="{00000000-0005-0000-0000-0000AFB90000}"/>
    <cellStyle name="Normal 11 4 3 4 4 3 2 2" xfId="48059" xr:uid="{00000000-0005-0000-0000-0000B0B90000}"/>
    <cellStyle name="Normal 11 4 3 4 4 3 3" xfId="48060" xr:uid="{00000000-0005-0000-0000-0000B1B90000}"/>
    <cellStyle name="Normal 11 4 3 4 4 4" xfId="48061" xr:uid="{00000000-0005-0000-0000-0000B2B90000}"/>
    <cellStyle name="Normal 11 4 3 4 4 4 2" xfId="48062" xr:uid="{00000000-0005-0000-0000-0000B3B90000}"/>
    <cellStyle name="Normal 11 4 3 4 4 5" xfId="48063" xr:uid="{00000000-0005-0000-0000-0000B4B90000}"/>
    <cellStyle name="Normal 11 4 3 4 5" xfId="48064" xr:uid="{00000000-0005-0000-0000-0000B5B90000}"/>
    <cellStyle name="Normal 11 4 3 4 5 2" xfId="48065" xr:uid="{00000000-0005-0000-0000-0000B6B90000}"/>
    <cellStyle name="Normal 11 4 3 4 5 2 2" xfId="48066" xr:uid="{00000000-0005-0000-0000-0000B7B90000}"/>
    <cellStyle name="Normal 11 4 3 4 5 2 2 2" xfId="48067" xr:uid="{00000000-0005-0000-0000-0000B8B90000}"/>
    <cellStyle name="Normal 11 4 3 4 5 2 2 2 2" xfId="48068" xr:uid="{00000000-0005-0000-0000-0000B9B90000}"/>
    <cellStyle name="Normal 11 4 3 4 5 2 2 3" xfId="48069" xr:uid="{00000000-0005-0000-0000-0000BAB90000}"/>
    <cellStyle name="Normal 11 4 3 4 5 2 3" xfId="48070" xr:uid="{00000000-0005-0000-0000-0000BBB90000}"/>
    <cellStyle name="Normal 11 4 3 4 5 2 3 2" xfId="48071" xr:uid="{00000000-0005-0000-0000-0000BCB90000}"/>
    <cellStyle name="Normal 11 4 3 4 5 2 4" xfId="48072" xr:uid="{00000000-0005-0000-0000-0000BDB90000}"/>
    <cellStyle name="Normal 11 4 3 4 5 3" xfId="48073" xr:uid="{00000000-0005-0000-0000-0000BEB90000}"/>
    <cellStyle name="Normal 11 4 3 4 5 3 2" xfId="48074" xr:uid="{00000000-0005-0000-0000-0000BFB90000}"/>
    <cellStyle name="Normal 11 4 3 4 5 3 2 2" xfId="48075" xr:uid="{00000000-0005-0000-0000-0000C0B90000}"/>
    <cellStyle name="Normal 11 4 3 4 5 3 3" xfId="48076" xr:uid="{00000000-0005-0000-0000-0000C1B90000}"/>
    <cellStyle name="Normal 11 4 3 4 5 4" xfId="48077" xr:uid="{00000000-0005-0000-0000-0000C2B90000}"/>
    <cellStyle name="Normal 11 4 3 4 5 4 2" xfId="48078" xr:uid="{00000000-0005-0000-0000-0000C3B90000}"/>
    <cellStyle name="Normal 11 4 3 4 5 5" xfId="48079" xr:uid="{00000000-0005-0000-0000-0000C4B90000}"/>
    <cellStyle name="Normal 11 4 3 4 6" xfId="48080" xr:uid="{00000000-0005-0000-0000-0000C5B90000}"/>
    <cellStyle name="Normal 11 4 3 4 6 2" xfId="48081" xr:uid="{00000000-0005-0000-0000-0000C6B90000}"/>
    <cellStyle name="Normal 11 4 3 4 6 2 2" xfId="48082" xr:uid="{00000000-0005-0000-0000-0000C7B90000}"/>
    <cellStyle name="Normal 11 4 3 4 6 2 2 2" xfId="48083" xr:uid="{00000000-0005-0000-0000-0000C8B90000}"/>
    <cellStyle name="Normal 11 4 3 4 6 2 3" xfId="48084" xr:uid="{00000000-0005-0000-0000-0000C9B90000}"/>
    <cellStyle name="Normal 11 4 3 4 6 3" xfId="48085" xr:uid="{00000000-0005-0000-0000-0000CAB90000}"/>
    <cellStyle name="Normal 11 4 3 4 6 3 2" xfId="48086" xr:uid="{00000000-0005-0000-0000-0000CBB90000}"/>
    <cellStyle name="Normal 11 4 3 4 6 4" xfId="48087" xr:uid="{00000000-0005-0000-0000-0000CCB90000}"/>
    <cellStyle name="Normal 11 4 3 4 7" xfId="48088" xr:uid="{00000000-0005-0000-0000-0000CDB90000}"/>
    <cellStyle name="Normal 11 4 3 4 7 2" xfId="48089" xr:uid="{00000000-0005-0000-0000-0000CEB90000}"/>
    <cellStyle name="Normal 11 4 3 4 7 2 2" xfId="48090" xr:uid="{00000000-0005-0000-0000-0000CFB90000}"/>
    <cellStyle name="Normal 11 4 3 4 7 2 2 2" xfId="48091" xr:uid="{00000000-0005-0000-0000-0000D0B90000}"/>
    <cellStyle name="Normal 11 4 3 4 7 2 3" xfId="48092" xr:uid="{00000000-0005-0000-0000-0000D1B90000}"/>
    <cellStyle name="Normal 11 4 3 4 7 3" xfId="48093" xr:uid="{00000000-0005-0000-0000-0000D2B90000}"/>
    <cellStyle name="Normal 11 4 3 4 7 3 2" xfId="48094" xr:uid="{00000000-0005-0000-0000-0000D3B90000}"/>
    <cellStyle name="Normal 11 4 3 4 7 4" xfId="48095" xr:uid="{00000000-0005-0000-0000-0000D4B90000}"/>
    <cellStyle name="Normal 11 4 3 4 8" xfId="48096" xr:uid="{00000000-0005-0000-0000-0000D5B90000}"/>
    <cellStyle name="Normal 11 4 3 4 8 2" xfId="48097" xr:uid="{00000000-0005-0000-0000-0000D6B90000}"/>
    <cellStyle name="Normal 11 4 3 4 8 2 2" xfId="48098" xr:uid="{00000000-0005-0000-0000-0000D7B90000}"/>
    <cellStyle name="Normal 11 4 3 4 8 2 2 2" xfId="48099" xr:uid="{00000000-0005-0000-0000-0000D8B90000}"/>
    <cellStyle name="Normal 11 4 3 4 8 2 3" xfId="48100" xr:uid="{00000000-0005-0000-0000-0000D9B90000}"/>
    <cellStyle name="Normal 11 4 3 4 8 3" xfId="48101" xr:uid="{00000000-0005-0000-0000-0000DAB90000}"/>
    <cellStyle name="Normal 11 4 3 4 8 3 2" xfId="48102" xr:uid="{00000000-0005-0000-0000-0000DBB90000}"/>
    <cellStyle name="Normal 11 4 3 4 8 4" xfId="48103" xr:uid="{00000000-0005-0000-0000-0000DCB90000}"/>
    <cellStyle name="Normal 11 4 3 4 9" xfId="48104" xr:uid="{00000000-0005-0000-0000-0000DDB90000}"/>
    <cellStyle name="Normal 11 4 3 4 9 2" xfId="48105" xr:uid="{00000000-0005-0000-0000-0000DEB90000}"/>
    <cellStyle name="Normal 11 4 3 4 9 2 2" xfId="48106" xr:uid="{00000000-0005-0000-0000-0000DFB90000}"/>
    <cellStyle name="Normal 11 4 3 4 9 3" xfId="48107" xr:uid="{00000000-0005-0000-0000-0000E0B90000}"/>
    <cellStyle name="Normal 11 4 3 5" xfId="1086" xr:uid="{00000000-0005-0000-0000-0000E1B90000}"/>
    <cellStyle name="Normal 11 4 3 5 10" xfId="48109" xr:uid="{00000000-0005-0000-0000-0000E2B90000}"/>
    <cellStyle name="Normal 11 4 3 5 11" xfId="48108" xr:uid="{00000000-0005-0000-0000-0000E3B90000}"/>
    <cellStyle name="Normal 11 4 3 5 2" xfId="1815" xr:uid="{00000000-0005-0000-0000-0000E4B90000}"/>
    <cellStyle name="Normal 11 4 3 5 2 2" xfId="48111" xr:uid="{00000000-0005-0000-0000-0000E5B90000}"/>
    <cellStyle name="Normal 11 4 3 5 2 2 2" xfId="48112" xr:uid="{00000000-0005-0000-0000-0000E6B90000}"/>
    <cellStyle name="Normal 11 4 3 5 2 2 2 2" xfId="48113" xr:uid="{00000000-0005-0000-0000-0000E7B90000}"/>
    <cellStyle name="Normal 11 4 3 5 2 2 2 2 2" xfId="48114" xr:uid="{00000000-0005-0000-0000-0000E8B90000}"/>
    <cellStyle name="Normal 11 4 3 5 2 2 2 3" xfId="48115" xr:uid="{00000000-0005-0000-0000-0000E9B90000}"/>
    <cellStyle name="Normal 11 4 3 5 2 2 3" xfId="48116" xr:uid="{00000000-0005-0000-0000-0000EAB90000}"/>
    <cellStyle name="Normal 11 4 3 5 2 2 3 2" xfId="48117" xr:uid="{00000000-0005-0000-0000-0000EBB90000}"/>
    <cellStyle name="Normal 11 4 3 5 2 2 4" xfId="48118" xr:uid="{00000000-0005-0000-0000-0000ECB90000}"/>
    <cellStyle name="Normal 11 4 3 5 2 3" xfId="48119" xr:uid="{00000000-0005-0000-0000-0000EDB90000}"/>
    <cellStyle name="Normal 11 4 3 5 2 3 2" xfId="48120" xr:uid="{00000000-0005-0000-0000-0000EEB90000}"/>
    <cellStyle name="Normal 11 4 3 5 2 3 2 2" xfId="48121" xr:uid="{00000000-0005-0000-0000-0000EFB90000}"/>
    <cellStyle name="Normal 11 4 3 5 2 3 2 2 2" xfId="48122" xr:uid="{00000000-0005-0000-0000-0000F0B90000}"/>
    <cellStyle name="Normal 11 4 3 5 2 3 2 3" xfId="48123" xr:uid="{00000000-0005-0000-0000-0000F1B90000}"/>
    <cellStyle name="Normal 11 4 3 5 2 3 3" xfId="48124" xr:uid="{00000000-0005-0000-0000-0000F2B90000}"/>
    <cellStyle name="Normal 11 4 3 5 2 3 3 2" xfId="48125" xr:uid="{00000000-0005-0000-0000-0000F3B90000}"/>
    <cellStyle name="Normal 11 4 3 5 2 3 4" xfId="48126" xr:uid="{00000000-0005-0000-0000-0000F4B90000}"/>
    <cellStyle name="Normal 11 4 3 5 2 4" xfId="48127" xr:uid="{00000000-0005-0000-0000-0000F5B90000}"/>
    <cellStyle name="Normal 11 4 3 5 2 4 2" xfId="48128" xr:uid="{00000000-0005-0000-0000-0000F6B90000}"/>
    <cellStyle name="Normal 11 4 3 5 2 4 2 2" xfId="48129" xr:uid="{00000000-0005-0000-0000-0000F7B90000}"/>
    <cellStyle name="Normal 11 4 3 5 2 4 3" xfId="48130" xr:uid="{00000000-0005-0000-0000-0000F8B90000}"/>
    <cellStyle name="Normal 11 4 3 5 2 5" xfId="48131" xr:uid="{00000000-0005-0000-0000-0000F9B90000}"/>
    <cellStyle name="Normal 11 4 3 5 2 5 2" xfId="48132" xr:uid="{00000000-0005-0000-0000-0000FAB90000}"/>
    <cellStyle name="Normal 11 4 3 5 2 6" xfId="48133" xr:uid="{00000000-0005-0000-0000-0000FBB90000}"/>
    <cellStyle name="Normal 11 4 3 5 2 7" xfId="48110" xr:uid="{00000000-0005-0000-0000-0000FCB90000}"/>
    <cellStyle name="Normal 11 4 3 5 3" xfId="48134" xr:uid="{00000000-0005-0000-0000-0000FDB90000}"/>
    <cellStyle name="Normal 11 4 3 5 3 2" xfId="48135" xr:uid="{00000000-0005-0000-0000-0000FEB90000}"/>
    <cellStyle name="Normal 11 4 3 5 3 2 2" xfId="48136" xr:uid="{00000000-0005-0000-0000-0000FFB90000}"/>
    <cellStyle name="Normal 11 4 3 5 3 2 2 2" xfId="48137" xr:uid="{00000000-0005-0000-0000-000000BA0000}"/>
    <cellStyle name="Normal 11 4 3 5 3 2 2 2 2" xfId="48138" xr:uid="{00000000-0005-0000-0000-000001BA0000}"/>
    <cellStyle name="Normal 11 4 3 5 3 2 2 3" xfId="48139" xr:uid="{00000000-0005-0000-0000-000002BA0000}"/>
    <cellStyle name="Normal 11 4 3 5 3 2 3" xfId="48140" xr:uid="{00000000-0005-0000-0000-000003BA0000}"/>
    <cellStyle name="Normal 11 4 3 5 3 2 3 2" xfId="48141" xr:uid="{00000000-0005-0000-0000-000004BA0000}"/>
    <cellStyle name="Normal 11 4 3 5 3 2 4" xfId="48142" xr:uid="{00000000-0005-0000-0000-000005BA0000}"/>
    <cellStyle name="Normal 11 4 3 5 3 3" xfId="48143" xr:uid="{00000000-0005-0000-0000-000006BA0000}"/>
    <cellStyle name="Normal 11 4 3 5 3 3 2" xfId="48144" xr:uid="{00000000-0005-0000-0000-000007BA0000}"/>
    <cellStyle name="Normal 11 4 3 5 3 3 2 2" xfId="48145" xr:uid="{00000000-0005-0000-0000-000008BA0000}"/>
    <cellStyle name="Normal 11 4 3 5 3 3 3" xfId="48146" xr:uid="{00000000-0005-0000-0000-000009BA0000}"/>
    <cellStyle name="Normal 11 4 3 5 3 4" xfId="48147" xr:uid="{00000000-0005-0000-0000-00000ABA0000}"/>
    <cellStyle name="Normal 11 4 3 5 3 4 2" xfId="48148" xr:uid="{00000000-0005-0000-0000-00000BBA0000}"/>
    <cellStyle name="Normal 11 4 3 5 3 5" xfId="48149" xr:uid="{00000000-0005-0000-0000-00000CBA0000}"/>
    <cellStyle name="Normal 11 4 3 5 4" xfId="48150" xr:uid="{00000000-0005-0000-0000-00000DBA0000}"/>
    <cellStyle name="Normal 11 4 3 5 4 2" xfId="48151" xr:uid="{00000000-0005-0000-0000-00000EBA0000}"/>
    <cellStyle name="Normal 11 4 3 5 4 2 2" xfId="48152" xr:uid="{00000000-0005-0000-0000-00000FBA0000}"/>
    <cellStyle name="Normal 11 4 3 5 4 2 2 2" xfId="48153" xr:uid="{00000000-0005-0000-0000-000010BA0000}"/>
    <cellStyle name="Normal 11 4 3 5 4 2 2 2 2" xfId="48154" xr:uid="{00000000-0005-0000-0000-000011BA0000}"/>
    <cellStyle name="Normal 11 4 3 5 4 2 2 3" xfId="48155" xr:uid="{00000000-0005-0000-0000-000012BA0000}"/>
    <cellStyle name="Normal 11 4 3 5 4 2 3" xfId="48156" xr:uid="{00000000-0005-0000-0000-000013BA0000}"/>
    <cellStyle name="Normal 11 4 3 5 4 2 3 2" xfId="48157" xr:uid="{00000000-0005-0000-0000-000014BA0000}"/>
    <cellStyle name="Normal 11 4 3 5 4 2 4" xfId="48158" xr:uid="{00000000-0005-0000-0000-000015BA0000}"/>
    <cellStyle name="Normal 11 4 3 5 4 3" xfId="48159" xr:uid="{00000000-0005-0000-0000-000016BA0000}"/>
    <cellStyle name="Normal 11 4 3 5 4 3 2" xfId="48160" xr:uid="{00000000-0005-0000-0000-000017BA0000}"/>
    <cellStyle name="Normal 11 4 3 5 4 3 2 2" xfId="48161" xr:uid="{00000000-0005-0000-0000-000018BA0000}"/>
    <cellStyle name="Normal 11 4 3 5 4 3 3" xfId="48162" xr:uid="{00000000-0005-0000-0000-000019BA0000}"/>
    <cellStyle name="Normal 11 4 3 5 4 4" xfId="48163" xr:uid="{00000000-0005-0000-0000-00001ABA0000}"/>
    <cellStyle name="Normal 11 4 3 5 4 4 2" xfId="48164" xr:uid="{00000000-0005-0000-0000-00001BBA0000}"/>
    <cellStyle name="Normal 11 4 3 5 4 5" xfId="48165" xr:uid="{00000000-0005-0000-0000-00001CBA0000}"/>
    <cellStyle name="Normal 11 4 3 5 5" xfId="48166" xr:uid="{00000000-0005-0000-0000-00001DBA0000}"/>
    <cellStyle name="Normal 11 4 3 5 5 2" xfId="48167" xr:uid="{00000000-0005-0000-0000-00001EBA0000}"/>
    <cellStyle name="Normal 11 4 3 5 5 2 2" xfId="48168" xr:uid="{00000000-0005-0000-0000-00001FBA0000}"/>
    <cellStyle name="Normal 11 4 3 5 5 2 2 2" xfId="48169" xr:uid="{00000000-0005-0000-0000-000020BA0000}"/>
    <cellStyle name="Normal 11 4 3 5 5 2 3" xfId="48170" xr:uid="{00000000-0005-0000-0000-000021BA0000}"/>
    <cellStyle name="Normal 11 4 3 5 5 3" xfId="48171" xr:uid="{00000000-0005-0000-0000-000022BA0000}"/>
    <cellStyle name="Normal 11 4 3 5 5 3 2" xfId="48172" xr:uid="{00000000-0005-0000-0000-000023BA0000}"/>
    <cellStyle name="Normal 11 4 3 5 5 4" xfId="48173" xr:uid="{00000000-0005-0000-0000-000024BA0000}"/>
    <cellStyle name="Normal 11 4 3 5 6" xfId="48174" xr:uid="{00000000-0005-0000-0000-000025BA0000}"/>
    <cellStyle name="Normal 11 4 3 5 6 2" xfId="48175" xr:uid="{00000000-0005-0000-0000-000026BA0000}"/>
    <cellStyle name="Normal 11 4 3 5 6 2 2" xfId="48176" xr:uid="{00000000-0005-0000-0000-000027BA0000}"/>
    <cellStyle name="Normal 11 4 3 5 6 2 2 2" xfId="48177" xr:uid="{00000000-0005-0000-0000-000028BA0000}"/>
    <cellStyle name="Normal 11 4 3 5 6 2 3" xfId="48178" xr:uid="{00000000-0005-0000-0000-000029BA0000}"/>
    <cellStyle name="Normal 11 4 3 5 6 3" xfId="48179" xr:uid="{00000000-0005-0000-0000-00002ABA0000}"/>
    <cellStyle name="Normal 11 4 3 5 6 3 2" xfId="48180" xr:uid="{00000000-0005-0000-0000-00002BBA0000}"/>
    <cellStyle name="Normal 11 4 3 5 6 4" xfId="48181" xr:uid="{00000000-0005-0000-0000-00002CBA0000}"/>
    <cellStyle name="Normal 11 4 3 5 7" xfId="48182" xr:uid="{00000000-0005-0000-0000-00002DBA0000}"/>
    <cellStyle name="Normal 11 4 3 5 7 2" xfId="48183" xr:uid="{00000000-0005-0000-0000-00002EBA0000}"/>
    <cellStyle name="Normal 11 4 3 5 7 2 2" xfId="48184" xr:uid="{00000000-0005-0000-0000-00002FBA0000}"/>
    <cellStyle name="Normal 11 4 3 5 7 2 2 2" xfId="48185" xr:uid="{00000000-0005-0000-0000-000030BA0000}"/>
    <cellStyle name="Normal 11 4 3 5 7 2 3" xfId="48186" xr:uid="{00000000-0005-0000-0000-000031BA0000}"/>
    <cellStyle name="Normal 11 4 3 5 7 3" xfId="48187" xr:uid="{00000000-0005-0000-0000-000032BA0000}"/>
    <cellStyle name="Normal 11 4 3 5 7 3 2" xfId="48188" xr:uid="{00000000-0005-0000-0000-000033BA0000}"/>
    <cellStyle name="Normal 11 4 3 5 7 4" xfId="48189" xr:uid="{00000000-0005-0000-0000-000034BA0000}"/>
    <cellStyle name="Normal 11 4 3 5 8" xfId="48190" xr:uid="{00000000-0005-0000-0000-000035BA0000}"/>
    <cellStyle name="Normal 11 4 3 5 8 2" xfId="48191" xr:uid="{00000000-0005-0000-0000-000036BA0000}"/>
    <cellStyle name="Normal 11 4 3 5 8 2 2" xfId="48192" xr:uid="{00000000-0005-0000-0000-000037BA0000}"/>
    <cellStyle name="Normal 11 4 3 5 8 3" xfId="48193" xr:uid="{00000000-0005-0000-0000-000038BA0000}"/>
    <cellStyle name="Normal 11 4 3 5 9" xfId="48194" xr:uid="{00000000-0005-0000-0000-000039BA0000}"/>
    <cellStyle name="Normal 11 4 3 5 9 2" xfId="48195" xr:uid="{00000000-0005-0000-0000-00003ABA0000}"/>
    <cellStyle name="Normal 11 4 3 6" xfId="1488" xr:uid="{00000000-0005-0000-0000-00003BBA0000}"/>
    <cellStyle name="Normal 11 4 3 6 2" xfId="48197" xr:uid="{00000000-0005-0000-0000-00003CBA0000}"/>
    <cellStyle name="Normal 11 4 3 6 2 2" xfId="48198" xr:uid="{00000000-0005-0000-0000-00003DBA0000}"/>
    <cellStyle name="Normal 11 4 3 6 2 2 2" xfId="48199" xr:uid="{00000000-0005-0000-0000-00003EBA0000}"/>
    <cellStyle name="Normal 11 4 3 6 2 2 2 2" xfId="48200" xr:uid="{00000000-0005-0000-0000-00003FBA0000}"/>
    <cellStyle name="Normal 11 4 3 6 2 2 3" xfId="48201" xr:uid="{00000000-0005-0000-0000-000040BA0000}"/>
    <cellStyle name="Normal 11 4 3 6 2 3" xfId="48202" xr:uid="{00000000-0005-0000-0000-000041BA0000}"/>
    <cellStyle name="Normal 11 4 3 6 2 3 2" xfId="48203" xr:uid="{00000000-0005-0000-0000-000042BA0000}"/>
    <cellStyle name="Normal 11 4 3 6 2 4" xfId="48204" xr:uid="{00000000-0005-0000-0000-000043BA0000}"/>
    <cellStyle name="Normal 11 4 3 6 3" xfId="48205" xr:uid="{00000000-0005-0000-0000-000044BA0000}"/>
    <cellStyle name="Normal 11 4 3 6 3 2" xfId="48206" xr:uid="{00000000-0005-0000-0000-000045BA0000}"/>
    <cellStyle name="Normal 11 4 3 6 3 2 2" xfId="48207" xr:uid="{00000000-0005-0000-0000-000046BA0000}"/>
    <cellStyle name="Normal 11 4 3 6 3 2 2 2" xfId="48208" xr:uid="{00000000-0005-0000-0000-000047BA0000}"/>
    <cellStyle name="Normal 11 4 3 6 3 2 3" xfId="48209" xr:uid="{00000000-0005-0000-0000-000048BA0000}"/>
    <cellStyle name="Normal 11 4 3 6 3 3" xfId="48210" xr:uid="{00000000-0005-0000-0000-000049BA0000}"/>
    <cellStyle name="Normal 11 4 3 6 3 3 2" xfId="48211" xr:uid="{00000000-0005-0000-0000-00004ABA0000}"/>
    <cellStyle name="Normal 11 4 3 6 3 4" xfId="48212" xr:uid="{00000000-0005-0000-0000-00004BBA0000}"/>
    <cellStyle name="Normal 11 4 3 6 4" xfId="48213" xr:uid="{00000000-0005-0000-0000-00004CBA0000}"/>
    <cellStyle name="Normal 11 4 3 6 4 2" xfId="48214" xr:uid="{00000000-0005-0000-0000-00004DBA0000}"/>
    <cellStyle name="Normal 11 4 3 6 4 2 2" xfId="48215" xr:uid="{00000000-0005-0000-0000-00004EBA0000}"/>
    <cellStyle name="Normal 11 4 3 6 4 3" xfId="48216" xr:uid="{00000000-0005-0000-0000-00004FBA0000}"/>
    <cellStyle name="Normal 11 4 3 6 5" xfId="48217" xr:uid="{00000000-0005-0000-0000-000050BA0000}"/>
    <cellStyle name="Normal 11 4 3 6 5 2" xfId="48218" xr:uid="{00000000-0005-0000-0000-000051BA0000}"/>
    <cellStyle name="Normal 11 4 3 6 6" xfId="48219" xr:uid="{00000000-0005-0000-0000-000052BA0000}"/>
    <cellStyle name="Normal 11 4 3 6 7" xfId="48196" xr:uid="{00000000-0005-0000-0000-000053BA0000}"/>
    <cellStyle name="Normal 11 4 3 7" xfId="48220" xr:uid="{00000000-0005-0000-0000-000054BA0000}"/>
    <cellStyle name="Normal 11 4 3 7 2" xfId="48221" xr:uid="{00000000-0005-0000-0000-000055BA0000}"/>
    <cellStyle name="Normal 11 4 3 7 2 2" xfId="48222" xr:uid="{00000000-0005-0000-0000-000056BA0000}"/>
    <cellStyle name="Normal 11 4 3 7 2 2 2" xfId="48223" xr:uid="{00000000-0005-0000-0000-000057BA0000}"/>
    <cellStyle name="Normal 11 4 3 7 2 2 2 2" xfId="48224" xr:uid="{00000000-0005-0000-0000-000058BA0000}"/>
    <cellStyle name="Normal 11 4 3 7 2 2 3" xfId="48225" xr:uid="{00000000-0005-0000-0000-000059BA0000}"/>
    <cellStyle name="Normal 11 4 3 7 2 3" xfId="48226" xr:uid="{00000000-0005-0000-0000-00005ABA0000}"/>
    <cellStyle name="Normal 11 4 3 7 2 3 2" xfId="48227" xr:uid="{00000000-0005-0000-0000-00005BBA0000}"/>
    <cellStyle name="Normal 11 4 3 7 2 4" xfId="48228" xr:uid="{00000000-0005-0000-0000-00005CBA0000}"/>
    <cellStyle name="Normal 11 4 3 7 3" xfId="48229" xr:uid="{00000000-0005-0000-0000-00005DBA0000}"/>
    <cellStyle name="Normal 11 4 3 7 3 2" xfId="48230" xr:uid="{00000000-0005-0000-0000-00005EBA0000}"/>
    <cellStyle name="Normal 11 4 3 7 3 2 2" xfId="48231" xr:uid="{00000000-0005-0000-0000-00005FBA0000}"/>
    <cellStyle name="Normal 11 4 3 7 3 3" xfId="48232" xr:uid="{00000000-0005-0000-0000-000060BA0000}"/>
    <cellStyle name="Normal 11 4 3 7 4" xfId="48233" xr:uid="{00000000-0005-0000-0000-000061BA0000}"/>
    <cellStyle name="Normal 11 4 3 7 4 2" xfId="48234" xr:uid="{00000000-0005-0000-0000-000062BA0000}"/>
    <cellStyle name="Normal 11 4 3 7 5" xfId="48235" xr:uid="{00000000-0005-0000-0000-000063BA0000}"/>
    <cellStyle name="Normal 11 4 3 8" xfId="48236" xr:uid="{00000000-0005-0000-0000-000064BA0000}"/>
    <cellStyle name="Normal 11 4 3 8 2" xfId="48237" xr:uid="{00000000-0005-0000-0000-000065BA0000}"/>
    <cellStyle name="Normal 11 4 3 8 2 2" xfId="48238" xr:uid="{00000000-0005-0000-0000-000066BA0000}"/>
    <cellStyle name="Normal 11 4 3 8 2 2 2" xfId="48239" xr:uid="{00000000-0005-0000-0000-000067BA0000}"/>
    <cellStyle name="Normal 11 4 3 8 2 2 2 2" xfId="48240" xr:uid="{00000000-0005-0000-0000-000068BA0000}"/>
    <cellStyle name="Normal 11 4 3 8 2 2 3" xfId="48241" xr:uid="{00000000-0005-0000-0000-000069BA0000}"/>
    <cellStyle name="Normal 11 4 3 8 2 3" xfId="48242" xr:uid="{00000000-0005-0000-0000-00006ABA0000}"/>
    <cellStyle name="Normal 11 4 3 8 2 3 2" xfId="48243" xr:uid="{00000000-0005-0000-0000-00006BBA0000}"/>
    <cellStyle name="Normal 11 4 3 8 2 4" xfId="48244" xr:uid="{00000000-0005-0000-0000-00006CBA0000}"/>
    <cellStyle name="Normal 11 4 3 8 3" xfId="48245" xr:uid="{00000000-0005-0000-0000-00006DBA0000}"/>
    <cellStyle name="Normal 11 4 3 8 3 2" xfId="48246" xr:uid="{00000000-0005-0000-0000-00006EBA0000}"/>
    <cellStyle name="Normal 11 4 3 8 3 2 2" xfId="48247" xr:uid="{00000000-0005-0000-0000-00006FBA0000}"/>
    <cellStyle name="Normal 11 4 3 8 3 3" xfId="48248" xr:uid="{00000000-0005-0000-0000-000070BA0000}"/>
    <cellStyle name="Normal 11 4 3 8 4" xfId="48249" xr:uid="{00000000-0005-0000-0000-000071BA0000}"/>
    <cellStyle name="Normal 11 4 3 8 4 2" xfId="48250" xr:uid="{00000000-0005-0000-0000-000072BA0000}"/>
    <cellStyle name="Normal 11 4 3 8 5" xfId="48251" xr:uid="{00000000-0005-0000-0000-000073BA0000}"/>
    <cellStyle name="Normal 11 4 3 9" xfId="48252" xr:uid="{00000000-0005-0000-0000-000074BA0000}"/>
    <cellStyle name="Normal 11 4 3 9 2" xfId="48253" xr:uid="{00000000-0005-0000-0000-000075BA0000}"/>
    <cellStyle name="Normal 11 4 3 9 2 2" xfId="48254" xr:uid="{00000000-0005-0000-0000-000076BA0000}"/>
    <cellStyle name="Normal 11 4 3 9 2 2 2" xfId="48255" xr:uid="{00000000-0005-0000-0000-000077BA0000}"/>
    <cellStyle name="Normal 11 4 3 9 2 3" xfId="48256" xr:uid="{00000000-0005-0000-0000-000078BA0000}"/>
    <cellStyle name="Normal 11 4 3 9 3" xfId="48257" xr:uid="{00000000-0005-0000-0000-000079BA0000}"/>
    <cellStyle name="Normal 11 4 3 9 3 2" xfId="48258" xr:uid="{00000000-0005-0000-0000-00007ABA0000}"/>
    <cellStyle name="Normal 11 4 3 9 4" xfId="48259" xr:uid="{00000000-0005-0000-0000-00007BBA0000}"/>
    <cellStyle name="Normal 11 4 4" xfId="650" xr:uid="{00000000-0005-0000-0000-00007CBA0000}"/>
    <cellStyle name="Normal 11 4 4 10" xfId="48261" xr:uid="{00000000-0005-0000-0000-00007DBA0000}"/>
    <cellStyle name="Normal 11 4 4 10 2" xfId="48262" xr:uid="{00000000-0005-0000-0000-00007EBA0000}"/>
    <cellStyle name="Normal 11 4 4 10 2 2" xfId="48263" xr:uid="{00000000-0005-0000-0000-00007FBA0000}"/>
    <cellStyle name="Normal 11 4 4 10 2 2 2" xfId="48264" xr:uid="{00000000-0005-0000-0000-000080BA0000}"/>
    <cellStyle name="Normal 11 4 4 10 2 3" xfId="48265" xr:uid="{00000000-0005-0000-0000-000081BA0000}"/>
    <cellStyle name="Normal 11 4 4 10 3" xfId="48266" xr:uid="{00000000-0005-0000-0000-000082BA0000}"/>
    <cellStyle name="Normal 11 4 4 10 3 2" xfId="48267" xr:uid="{00000000-0005-0000-0000-000083BA0000}"/>
    <cellStyle name="Normal 11 4 4 10 4" xfId="48268" xr:uid="{00000000-0005-0000-0000-000084BA0000}"/>
    <cellStyle name="Normal 11 4 4 11" xfId="48269" xr:uid="{00000000-0005-0000-0000-000085BA0000}"/>
    <cellStyle name="Normal 11 4 4 11 2" xfId="48270" xr:uid="{00000000-0005-0000-0000-000086BA0000}"/>
    <cellStyle name="Normal 11 4 4 11 2 2" xfId="48271" xr:uid="{00000000-0005-0000-0000-000087BA0000}"/>
    <cellStyle name="Normal 11 4 4 11 3" xfId="48272" xr:uid="{00000000-0005-0000-0000-000088BA0000}"/>
    <cellStyle name="Normal 11 4 4 12" xfId="48273" xr:uid="{00000000-0005-0000-0000-000089BA0000}"/>
    <cellStyle name="Normal 11 4 4 12 2" xfId="48274" xr:uid="{00000000-0005-0000-0000-00008ABA0000}"/>
    <cellStyle name="Normal 11 4 4 12 2 2" xfId="48275" xr:uid="{00000000-0005-0000-0000-00008BBA0000}"/>
    <cellStyle name="Normal 11 4 4 12 3" xfId="48276" xr:uid="{00000000-0005-0000-0000-00008CBA0000}"/>
    <cellStyle name="Normal 11 4 4 13" xfId="48277" xr:uid="{00000000-0005-0000-0000-00008DBA0000}"/>
    <cellStyle name="Normal 11 4 4 13 2" xfId="48278" xr:uid="{00000000-0005-0000-0000-00008EBA0000}"/>
    <cellStyle name="Normal 11 4 4 13 2 2" xfId="48279" xr:uid="{00000000-0005-0000-0000-00008FBA0000}"/>
    <cellStyle name="Normal 11 4 4 13 3" xfId="48280" xr:uid="{00000000-0005-0000-0000-000090BA0000}"/>
    <cellStyle name="Normal 11 4 4 14" xfId="48281" xr:uid="{00000000-0005-0000-0000-000091BA0000}"/>
    <cellStyle name="Normal 11 4 4 14 2" xfId="48282" xr:uid="{00000000-0005-0000-0000-000092BA0000}"/>
    <cellStyle name="Normal 11 4 4 15" xfId="48283" xr:uid="{00000000-0005-0000-0000-000093BA0000}"/>
    <cellStyle name="Normal 11 4 4 16" xfId="48284" xr:uid="{00000000-0005-0000-0000-000094BA0000}"/>
    <cellStyle name="Normal 11 4 4 17" xfId="48260" xr:uid="{00000000-0005-0000-0000-000095BA0000}"/>
    <cellStyle name="Normal 11 4 4 2" xfId="651" xr:uid="{00000000-0005-0000-0000-000096BA0000}"/>
    <cellStyle name="Normal 11 4 4 2 10" xfId="48286" xr:uid="{00000000-0005-0000-0000-000097BA0000}"/>
    <cellStyle name="Normal 11 4 4 2 10 2" xfId="48287" xr:uid="{00000000-0005-0000-0000-000098BA0000}"/>
    <cellStyle name="Normal 11 4 4 2 10 2 2" xfId="48288" xr:uid="{00000000-0005-0000-0000-000099BA0000}"/>
    <cellStyle name="Normal 11 4 4 2 10 3" xfId="48289" xr:uid="{00000000-0005-0000-0000-00009ABA0000}"/>
    <cellStyle name="Normal 11 4 4 2 11" xfId="48290" xr:uid="{00000000-0005-0000-0000-00009BBA0000}"/>
    <cellStyle name="Normal 11 4 4 2 11 2" xfId="48291" xr:uid="{00000000-0005-0000-0000-00009CBA0000}"/>
    <cellStyle name="Normal 11 4 4 2 11 2 2" xfId="48292" xr:uid="{00000000-0005-0000-0000-00009DBA0000}"/>
    <cellStyle name="Normal 11 4 4 2 11 3" xfId="48293" xr:uid="{00000000-0005-0000-0000-00009EBA0000}"/>
    <cellStyle name="Normal 11 4 4 2 12" xfId="48294" xr:uid="{00000000-0005-0000-0000-00009FBA0000}"/>
    <cellStyle name="Normal 11 4 4 2 12 2" xfId="48295" xr:uid="{00000000-0005-0000-0000-0000A0BA0000}"/>
    <cellStyle name="Normal 11 4 4 2 13" xfId="48296" xr:uid="{00000000-0005-0000-0000-0000A1BA0000}"/>
    <cellStyle name="Normal 11 4 4 2 14" xfId="48297" xr:uid="{00000000-0005-0000-0000-0000A2BA0000}"/>
    <cellStyle name="Normal 11 4 4 2 15" xfId="48285" xr:uid="{00000000-0005-0000-0000-0000A3BA0000}"/>
    <cellStyle name="Normal 11 4 4 2 2" xfId="1093" xr:uid="{00000000-0005-0000-0000-0000A4BA0000}"/>
    <cellStyle name="Normal 11 4 4 2 2 10" xfId="48299" xr:uid="{00000000-0005-0000-0000-0000A5BA0000}"/>
    <cellStyle name="Normal 11 4 4 2 2 11" xfId="48298" xr:uid="{00000000-0005-0000-0000-0000A6BA0000}"/>
    <cellStyle name="Normal 11 4 4 2 2 2" xfId="1822" xr:uid="{00000000-0005-0000-0000-0000A7BA0000}"/>
    <cellStyle name="Normal 11 4 4 2 2 2 2" xfId="48301" xr:uid="{00000000-0005-0000-0000-0000A8BA0000}"/>
    <cellStyle name="Normal 11 4 4 2 2 2 2 2" xfId="48302" xr:uid="{00000000-0005-0000-0000-0000A9BA0000}"/>
    <cellStyle name="Normal 11 4 4 2 2 2 2 2 2" xfId="48303" xr:uid="{00000000-0005-0000-0000-0000AABA0000}"/>
    <cellStyle name="Normal 11 4 4 2 2 2 2 2 2 2" xfId="48304" xr:uid="{00000000-0005-0000-0000-0000ABBA0000}"/>
    <cellStyle name="Normal 11 4 4 2 2 2 2 2 3" xfId="48305" xr:uid="{00000000-0005-0000-0000-0000ACBA0000}"/>
    <cellStyle name="Normal 11 4 4 2 2 2 2 3" xfId="48306" xr:uid="{00000000-0005-0000-0000-0000ADBA0000}"/>
    <cellStyle name="Normal 11 4 4 2 2 2 2 3 2" xfId="48307" xr:uid="{00000000-0005-0000-0000-0000AEBA0000}"/>
    <cellStyle name="Normal 11 4 4 2 2 2 2 4" xfId="48308" xr:uid="{00000000-0005-0000-0000-0000AFBA0000}"/>
    <cellStyle name="Normal 11 4 4 2 2 2 3" xfId="48309" xr:uid="{00000000-0005-0000-0000-0000B0BA0000}"/>
    <cellStyle name="Normal 11 4 4 2 2 2 3 2" xfId="48310" xr:uid="{00000000-0005-0000-0000-0000B1BA0000}"/>
    <cellStyle name="Normal 11 4 4 2 2 2 3 2 2" xfId="48311" xr:uid="{00000000-0005-0000-0000-0000B2BA0000}"/>
    <cellStyle name="Normal 11 4 4 2 2 2 3 2 2 2" xfId="48312" xr:uid="{00000000-0005-0000-0000-0000B3BA0000}"/>
    <cellStyle name="Normal 11 4 4 2 2 2 3 2 3" xfId="48313" xr:uid="{00000000-0005-0000-0000-0000B4BA0000}"/>
    <cellStyle name="Normal 11 4 4 2 2 2 3 3" xfId="48314" xr:uid="{00000000-0005-0000-0000-0000B5BA0000}"/>
    <cellStyle name="Normal 11 4 4 2 2 2 3 3 2" xfId="48315" xr:uid="{00000000-0005-0000-0000-0000B6BA0000}"/>
    <cellStyle name="Normal 11 4 4 2 2 2 3 4" xfId="48316" xr:uid="{00000000-0005-0000-0000-0000B7BA0000}"/>
    <cellStyle name="Normal 11 4 4 2 2 2 4" xfId="48317" xr:uid="{00000000-0005-0000-0000-0000B8BA0000}"/>
    <cellStyle name="Normal 11 4 4 2 2 2 4 2" xfId="48318" xr:uid="{00000000-0005-0000-0000-0000B9BA0000}"/>
    <cellStyle name="Normal 11 4 4 2 2 2 4 2 2" xfId="48319" xr:uid="{00000000-0005-0000-0000-0000BABA0000}"/>
    <cellStyle name="Normal 11 4 4 2 2 2 4 3" xfId="48320" xr:uid="{00000000-0005-0000-0000-0000BBBA0000}"/>
    <cellStyle name="Normal 11 4 4 2 2 2 5" xfId="48321" xr:uid="{00000000-0005-0000-0000-0000BCBA0000}"/>
    <cellStyle name="Normal 11 4 4 2 2 2 5 2" xfId="48322" xr:uid="{00000000-0005-0000-0000-0000BDBA0000}"/>
    <cellStyle name="Normal 11 4 4 2 2 2 6" xfId="48323" xr:uid="{00000000-0005-0000-0000-0000BEBA0000}"/>
    <cellStyle name="Normal 11 4 4 2 2 2 7" xfId="48300" xr:uid="{00000000-0005-0000-0000-0000BFBA0000}"/>
    <cellStyle name="Normal 11 4 4 2 2 3" xfId="48324" xr:uid="{00000000-0005-0000-0000-0000C0BA0000}"/>
    <cellStyle name="Normal 11 4 4 2 2 3 2" xfId="48325" xr:uid="{00000000-0005-0000-0000-0000C1BA0000}"/>
    <cellStyle name="Normal 11 4 4 2 2 3 2 2" xfId="48326" xr:uid="{00000000-0005-0000-0000-0000C2BA0000}"/>
    <cellStyle name="Normal 11 4 4 2 2 3 2 2 2" xfId="48327" xr:uid="{00000000-0005-0000-0000-0000C3BA0000}"/>
    <cellStyle name="Normal 11 4 4 2 2 3 2 2 2 2" xfId="48328" xr:uid="{00000000-0005-0000-0000-0000C4BA0000}"/>
    <cellStyle name="Normal 11 4 4 2 2 3 2 2 3" xfId="48329" xr:uid="{00000000-0005-0000-0000-0000C5BA0000}"/>
    <cellStyle name="Normal 11 4 4 2 2 3 2 3" xfId="48330" xr:uid="{00000000-0005-0000-0000-0000C6BA0000}"/>
    <cellStyle name="Normal 11 4 4 2 2 3 2 3 2" xfId="48331" xr:uid="{00000000-0005-0000-0000-0000C7BA0000}"/>
    <cellStyle name="Normal 11 4 4 2 2 3 2 4" xfId="48332" xr:uid="{00000000-0005-0000-0000-0000C8BA0000}"/>
    <cellStyle name="Normal 11 4 4 2 2 3 3" xfId="48333" xr:uid="{00000000-0005-0000-0000-0000C9BA0000}"/>
    <cellStyle name="Normal 11 4 4 2 2 3 3 2" xfId="48334" xr:uid="{00000000-0005-0000-0000-0000CABA0000}"/>
    <cellStyle name="Normal 11 4 4 2 2 3 3 2 2" xfId="48335" xr:uid="{00000000-0005-0000-0000-0000CBBA0000}"/>
    <cellStyle name="Normal 11 4 4 2 2 3 3 3" xfId="48336" xr:uid="{00000000-0005-0000-0000-0000CCBA0000}"/>
    <cellStyle name="Normal 11 4 4 2 2 3 4" xfId="48337" xr:uid="{00000000-0005-0000-0000-0000CDBA0000}"/>
    <cellStyle name="Normal 11 4 4 2 2 3 4 2" xfId="48338" xr:uid="{00000000-0005-0000-0000-0000CEBA0000}"/>
    <cellStyle name="Normal 11 4 4 2 2 3 5" xfId="48339" xr:uid="{00000000-0005-0000-0000-0000CFBA0000}"/>
    <cellStyle name="Normal 11 4 4 2 2 4" xfId="48340" xr:uid="{00000000-0005-0000-0000-0000D0BA0000}"/>
    <cellStyle name="Normal 11 4 4 2 2 4 2" xfId="48341" xr:uid="{00000000-0005-0000-0000-0000D1BA0000}"/>
    <cellStyle name="Normal 11 4 4 2 2 4 2 2" xfId="48342" xr:uid="{00000000-0005-0000-0000-0000D2BA0000}"/>
    <cellStyle name="Normal 11 4 4 2 2 4 2 2 2" xfId="48343" xr:uid="{00000000-0005-0000-0000-0000D3BA0000}"/>
    <cellStyle name="Normal 11 4 4 2 2 4 2 2 2 2" xfId="48344" xr:uid="{00000000-0005-0000-0000-0000D4BA0000}"/>
    <cellStyle name="Normal 11 4 4 2 2 4 2 2 3" xfId="48345" xr:uid="{00000000-0005-0000-0000-0000D5BA0000}"/>
    <cellStyle name="Normal 11 4 4 2 2 4 2 3" xfId="48346" xr:uid="{00000000-0005-0000-0000-0000D6BA0000}"/>
    <cellStyle name="Normal 11 4 4 2 2 4 2 3 2" xfId="48347" xr:uid="{00000000-0005-0000-0000-0000D7BA0000}"/>
    <cellStyle name="Normal 11 4 4 2 2 4 2 4" xfId="48348" xr:uid="{00000000-0005-0000-0000-0000D8BA0000}"/>
    <cellStyle name="Normal 11 4 4 2 2 4 3" xfId="48349" xr:uid="{00000000-0005-0000-0000-0000D9BA0000}"/>
    <cellStyle name="Normal 11 4 4 2 2 4 3 2" xfId="48350" xr:uid="{00000000-0005-0000-0000-0000DABA0000}"/>
    <cellStyle name="Normal 11 4 4 2 2 4 3 2 2" xfId="48351" xr:uid="{00000000-0005-0000-0000-0000DBBA0000}"/>
    <cellStyle name="Normal 11 4 4 2 2 4 3 3" xfId="48352" xr:uid="{00000000-0005-0000-0000-0000DCBA0000}"/>
    <cellStyle name="Normal 11 4 4 2 2 4 4" xfId="48353" xr:uid="{00000000-0005-0000-0000-0000DDBA0000}"/>
    <cellStyle name="Normal 11 4 4 2 2 4 4 2" xfId="48354" xr:uid="{00000000-0005-0000-0000-0000DEBA0000}"/>
    <cellStyle name="Normal 11 4 4 2 2 4 5" xfId="48355" xr:uid="{00000000-0005-0000-0000-0000DFBA0000}"/>
    <cellStyle name="Normal 11 4 4 2 2 5" xfId="48356" xr:uid="{00000000-0005-0000-0000-0000E0BA0000}"/>
    <cellStyle name="Normal 11 4 4 2 2 5 2" xfId="48357" xr:uid="{00000000-0005-0000-0000-0000E1BA0000}"/>
    <cellStyle name="Normal 11 4 4 2 2 5 2 2" xfId="48358" xr:uid="{00000000-0005-0000-0000-0000E2BA0000}"/>
    <cellStyle name="Normal 11 4 4 2 2 5 2 2 2" xfId="48359" xr:uid="{00000000-0005-0000-0000-0000E3BA0000}"/>
    <cellStyle name="Normal 11 4 4 2 2 5 2 3" xfId="48360" xr:uid="{00000000-0005-0000-0000-0000E4BA0000}"/>
    <cellStyle name="Normal 11 4 4 2 2 5 3" xfId="48361" xr:uid="{00000000-0005-0000-0000-0000E5BA0000}"/>
    <cellStyle name="Normal 11 4 4 2 2 5 3 2" xfId="48362" xr:uid="{00000000-0005-0000-0000-0000E6BA0000}"/>
    <cellStyle name="Normal 11 4 4 2 2 5 4" xfId="48363" xr:uid="{00000000-0005-0000-0000-0000E7BA0000}"/>
    <cellStyle name="Normal 11 4 4 2 2 6" xfId="48364" xr:uid="{00000000-0005-0000-0000-0000E8BA0000}"/>
    <cellStyle name="Normal 11 4 4 2 2 6 2" xfId="48365" xr:uid="{00000000-0005-0000-0000-0000E9BA0000}"/>
    <cellStyle name="Normal 11 4 4 2 2 6 2 2" xfId="48366" xr:uid="{00000000-0005-0000-0000-0000EABA0000}"/>
    <cellStyle name="Normal 11 4 4 2 2 6 2 2 2" xfId="48367" xr:uid="{00000000-0005-0000-0000-0000EBBA0000}"/>
    <cellStyle name="Normal 11 4 4 2 2 6 2 3" xfId="48368" xr:uid="{00000000-0005-0000-0000-0000ECBA0000}"/>
    <cellStyle name="Normal 11 4 4 2 2 6 3" xfId="48369" xr:uid="{00000000-0005-0000-0000-0000EDBA0000}"/>
    <cellStyle name="Normal 11 4 4 2 2 6 3 2" xfId="48370" xr:uid="{00000000-0005-0000-0000-0000EEBA0000}"/>
    <cellStyle name="Normal 11 4 4 2 2 6 4" xfId="48371" xr:uid="{00000000-0005-0000-0000-0000EFBA0000}"/>
    <cellStyle name="Normal 11 4 4 2 2 7" xfId="48372" xr:uid="{00000000-0005-0000-0000-0000F0BA0000}"/>
    <cellStyle name="Normal 11 4 4 2 2 7 2" xfId="48373" xr:uid="{00000000-0005-0000-0000-0000F1BA0000}"/>
    <cellStyle name="Normal 11 4 4 2 2 7 2 2" xfId="48374" xr:uid="{00000000-0005-0000-0000-0000F2BA0000}"/>
    <cellStyle name="Normal 11 4 4 2 2 7 2 2 2" xfId="48375" xr:uid="{00000000-0005-0000-0000-0000F3BA0000}"/>
    <cellStyle name="Normal 11 4 4 2 2 7 2 3" xfId="48376" xr:uid="{00000000-0005-0000-0000-0000F4BA0000}"/>
    <cellStyle name="Normal 11 4 4 2 2 7 3" xfId="48377" xr:uid="{00000000-0005-0000-0000-0000F5BA0000}"/>
    <cellStyle name="Normal 11 4 4 2 2 7 3 2" xfId="48378" xr:uid="{00000000-0005-0000-0000-0000F6BA0000}"/>
    <cellStyle name="Normal 11 4 4 2 2 7 4" xfId="48379" xr:uid="{00000000-0005-0000-0000-0000F7BA0000}"/>
    <cellStyle name="Normal 11 4 4 2 2 8" xfId="48380" xr:uid="{00000000-0005-0000-0000-0000F8BA0000}"/>
    <cellStyle name="Normal 11 4 4 2 2 8 2" xfId="48381" xr:uid="{00000000-0005-0000-0000-0000F9BA0000}"/>
    <cellStyle name="Normal 11 4 4 2 2 8 2 2" xfId="48382" xr:uid="{00000000-0005-0000-0000-0000FABA0000}"/>
    <cellStyle name="Normal 11 4 4 2 2 8 3" xfId="48383" xr:uid="{00000000-0005-0000-0000-0000FBBA0000}"/>
    <cellStyle name="Normal 11 4 4 2 2 9" xfId="48384" xr:uid="{00000000-0005-0000-0000-0000FCBA0000}"/>
    <cellStyle name="Normal 11 4 4 2 2 9 2" xfId="48385" xr:uid="{00000000-0005-0000-0000-0000FDBA0000}"/>
    <cellStyle name="Normal 11 4 4 2 3" xfId="1495" xr:uid="{00000000-0005-0000-0000-0000FEBA0000}"/>
    <cellStyle name="Normal 11 4 4 2 3 2" xfId="48387" xr:uid="{00000000-0005-0000-0000-0000FFBA0000}"/>
    <cellStyle name="Normal 11 4 4 2 3 2 2" xfId="48388" xr:uid="{00000000-0005-0000-0000-000000BB0000}"/>
    <cellStyle name="Normal 11 4 4 2 3 2 2 2" xfId="48389" xr:uid="{00000000-0005-0000-0000-000001BB0000}"/>
    <cellStyle name="Normal 11 4 4 2 3 2 2 2 2" xfId="48390" xr:uid="{00000000-0005-0000-0000-000002BB0000}"/>
    <cellStyle name="Normal 11 4 4 2 3 2 2 3" xfId="48391" xr:uid="{00000000-0005-0000-0000-000003BB0000}"/>
    <cellStyle name="Normal 11 4 4 2 3 2 3" xfId="48392" xr:uid="{00000000-0005-0000-0000-000004BB0000}"/>
    <cellStyle name="Normal 11 4 4 2 3 2 3 2" xfId="48393" xr:uid="{00000000-0005-0000-0000-000005BB0000}"/>
    <cellStyle name="Normal 11 4 4 2 3 2 4" xfId="48394" xr:uid="{00000000-0005-0000-0000-000006BB0000}"/>
    <cellStyle name="Normal 11 4 4 2 3 3" xfId="48395" xr:uid="{00000000-0005-0000-0000-000007BB0000}"/>
    <cellStyle name="Normal 11 4 4 2 3 3 2" xfId="48396" xr:uid="{00000000-0005-0000-0000-000008BB0000}"/>
    <cellStyle name="Normal 11 4 4 2 3 3 2 2" xfId="48397" xr:uid="{00000000-0005-0000-0000-000009BB0000}"/>
    <cellStyle name="Normal 11 4 4 2 3 3 2 2 2" xfId="48398" xr:uid="{00000000-0005-0000-0000-00000ABB0000}"/>
    <cellStyle name="Normal 11 4 4 2 3 3 2 3" xfId="48399" xr:uid="{00000000-0005-0000-0000-00000BBB0000}"/>
    <cellStyle name="Normal 11 4 4 2 3 3 3" xfId="48400" xr:uid="{00000000-0005-0000-0000-00000CBB0000}"/>
    <cellStyle name="Normal 11 4 4 2 3 3 3 2" xfId="48401" xr:uid="{00000000-0005-0000-0000-00000DBB0000}"/>
    <cellStyle name="Normal 11 4 4 2 3 3 4" xfId="48402" xr:uid="{00000000-0005-0000-0000-00000EBB0000}"/>
    <cellStyle name="Normal 11 4 4 2 3 4" xfId="48403" xr:uid="{00000000-0005-0000-0000-00000FBB0000}"/>
    <cellStyle name="Normal 11 4 4 2 3 4 2" xfId="48404" xr:uid="{00000000-0005-0000-0000-000010BB0000}"/>
    <cellStyle name="Normal 11 4 4 2 3 4 2 2" xfId="48405" xr:uid="{00000000-0005-0000-0000-000011BB0000}"/>
    <cellStyle name="Normal 11 4 4 2 3 4 3" xfId="48406" xr:uid="{00000000-0005-0000-0000-000012BB0000}"/>
    <cellStyle name="Normal 11 4 4 2 3 5" xfId="48407" xr:uid="{00000000-0005-0000-0000-000013BB0000}"/>
    <cellStyle name="Normal 11 4 4 2 3 5 2" xfId="48408" xr:uid="{00000000-0005-0000-0000-000014BB0000}"/>
    <cellStyle name="Normal 11 4 4 2 3 6" xfId="48409" xr:uid="{00000000-0005-0000-0000-000015BB0000}"/>
    <cellStyle name="Normal 11 4 4 2 3 7" xfId="48386" xr:uid="{00000000-0005-0000-0000-000016BB0000}"/>
    <cellStyle name="Normal 11 4 4 2 4" xfId="48410" xr:uid="{00000000-0005-0000-0000-000017BB0000}"/>
    <cellStyle name="Normal 11 4 4 2 4 2" xfId="48411" xr:uid="{00000000-0005-0000-0000-000018BB0000}"/>
    <cellStyle name="Normal 11 4 4 2 4 2 2" xfId="48412" xr:uid="{00000000-0005-0000-0000-000019BB0000}"/>
    <cellStyle name="Normal 11 4 4 2 4 2 2 2" xfId="48413" xr:uid="{00000000-0005-0000-0000-00001ABB0000}"/>
    <cellStyle name="Normal 11 4 4 2 4 2 2 2 2" xfId="48414" xr:uid="{00000000-0005-0000-0000-00001BBB0000}"/>
    <cellStyle name="Normal 11 4 4 2 4 2 2 3" xfId="48415" xr:uid="{00000000-0005-0000-0000-00001CBB0000}"/>
    <cellStyle name="Normal 11 4 4 2 4 2 3" xfId="48416" xr:uid="{00000000-0005-0000-0000-00001DBB0000}"/>
    <cellStyle name="Normal 11 4 4 2 4 2 3 2" xfId="48417" xr:uid="{00000000-0005-0000-0000-00001EBB0000}"/>
    <cellStyle name="Normal 11 4 4 2 4 2 4" xfId="48418" xr:uid="{00000000-0005-0000-0000-00001FBB0000}"/>
    <cellStyle name="Normal 11 4 4 2 4 3" xfId="48419" xr:uid="{00000000-0005-0000-0000-000020BB0000}"/>
    <cellStyle name="Normal 11 4 4 2 4 3 2" xfId="48420" xr:uid="{00000000-0005-0000-0000-000021BB0000}"/>
    <cellStyle name="Normal 11 4 4 2 4 3 2 2" xfId="48421" xr:uid="{00000000-0005-0000-0000-000022BB0000}"/>
    <cellStyle name="Normal 11 4 4 2 4 3 3" xfId="48422" xr:uid="{00000000-0005-0000-0000-000023BB0000}"/>
    <cellStyle name="Normal 11 4 4 2 4 4" xfId="48423" xr:uid="{00000000-0005-0000-0000-000024BB0000}"/>
    <cellStyle name="Normal 11 4 4 2 4 4 2" xfId="48424" xr:uid="{00000000-0005-0000-0000-000025BB0000}"/>
    <cellStyle name="Normal 11 4 4 2 4 5" xfId="48425" xr:uid="{00000000-0005-0000-0000-000026BB0000}"/>
    <cellStyle name="Normal 11 4 4 2 5" xfId="48426" xr:uid="{00000000-0005-0000-0000-000027BB0000}"/>
    <cellStyle name="Normal 11 4 4 2 5 2" xfId="48427" xr:uid="{00000000-0005-0000-0000-000028BB0000}"/>
    <cellStyle name="Normal 11 4 4 2 5 2 2" xfId="48428" xr:uid="{00000000-0005-0000-0000-000029BB0000}"/>
    <cellStyle name="Normal 11 4 4 2 5 2 2 2" xfId="48429" xr:uid="{00000000-0005-0000-0000-00002ABB0000}"/>
    <cellStyle name="Normal 11 4 4 2 5 2 2 2 2" xfId="48430" xr:uid="{00000000-0005-0000-0000-00002BBB0000}"/>
    <cellStyle name="Normal 11 4 4 2 5 2 2 3" xfId="48431" xr:uid="{00000000-0005-0000-0000-00002CBB0000}"/>
    <cellStyle name="Normal 11 4 4 2 5 2 3" xfId="48432" xr:uid="{00000000-0005-0000-0000-00002DBB0000}"/>
    <cellStyle name="Normal 11 4 4 2 5 2 3 2" xfId="48433" xr:uid="{00000000-0005-0000-0000-00002EBB0000}"/>
    <cellStyle name="Normal 11 4 4 2 5 2 4" xfId="48434" xr:uid="{00000000-0005-0000-0000-00002FBB0000}"/>
    <cellStyle name="Normal 11 4 4 2 5 3" xfId="48435" xr:uid="{00000000-0005-0000-0000-000030BB0000}"/>
    <cellStyle name="Normal 11 4 4 2 5 3 2" xfId="48436" xr:uid="{00000000-0005-0000-0000-000031BB0000}"/>
    <cellStyle name="Normal 11 4 4 2 5 3 2 2" xfId="48437" xr:uid="{00000000-0005-0000-0000-000032BB0000}"/>
    <cellStyle name="Normal 11 4 4 2 5 3 3" xfId="48438" xr:uid="{00000000-0005-0000-0000-000033BB0000}"/>
    <cellStyle name="Normal 11 4 4 2 5 4" xfId="48439" xr:uid="{00000000-0005-0000-0000-000034BB0000}"/>
    <cellStyle name="Normal 11 4 4 2 5 4 2" xfId="48440" xr:uid="{00000000-0005-0000-0000-000035BB0000}"/>
    <cellStyle name="Normal 11 4 4 2 5 5" xfId="48441" xr:uid="{00000000-0005-0000-0000-000036BB0000}"/>
    <cellStyle name="Normal 11 4 4 2 6" xfId="48442" xr:uid="{00000000-0005-0000-0000-000037BB0000}"/>
    <cellStyle name="Normal 11 4 4 2 6 2" xfId="48443" xr:uid="{00000000-0005-0000-0000-000038BB0000}"/>
    <cellStyle name="Normal 11 4 4 2 6 2 2" xfId="48444" xr:uid="{00000000-0005-0000-0000-000039BB0000}"/>
    <cellStyle name="Normal 11 4 4 2 6 2 2 2" xfId="48445" xr:uid="{00000000-0005-0000-0000-00003ABB0000}"/>
    <cellStyle name="Normal 11 4 4 2 6 2 3" xfId="48446" xr:uid="{00000000-0005-0000-0000-00003BBB0000}"/>
    <cellStyle name="Normal 11 4 4 2 6 3" xfId="48447" xr:uid="{00000000-0005-0000-0000-00003CBB0000}"/>
    <cellStyle name="Normal 11 4 4 2 6 3 2" xfId="48448" xr:uid="{00000000-0005-0000-0000-00003DBB0000}"/>
    <cellStyle name="Normal 11 4 4 2 6 4" xfId="48449" xr:uid="{00000000-0005-0000-0000-00003EBB0000}"/>
    <cellStyle name="Normal 11 4 4 2 7" xfId="48450" xr:uid="{00000000-0005-0000-0000-00003FBB0000}"/>
    <cellStyle name="Normal 11 4 4 2 7 2" xfId="48451" xr:uid="{00000000-0005-0000-0000-000040BB0000}"/>
    <cellStyle name="Normal 11 4 4 2 7 2 2" xfId="48452" xr:uid="{00000000-0005-0000-0000-000041BB0000}"/>
    <cellStyle name="Normal 11 4 4 2 7 2 2 2" xfId="48453" xr:uid="{00000000-0005-0000-0000-000042BB0000}"/>
    <cellStyle name="Normal 11 4 4 2 7 2 3" xfId="48454" xr:uid="{00000000-0005-0000-0000-000043BB0000}"/>
    <cellStyle name="Normal 11 4 4 2 7 3" xfId="48455" xr:uid="{00000000-0005-0000-0000-000044BB0000}"/>
    <cellStyle name="Normal 11 4 4 2 7 3 2" xfId="48456" xr:uid="{00000000-0005-0000-0000-000045BB0000}"/>
    <cellStyle name="Normal 11 4 4 2 7 4" xfId="48457" xr:uid="{00000000-0005-0000-0000-000046BB0000}"/>
    <cellStyle name="Normal 11 4 4 2 8" xfId="48458" xr:uid="{00000000-0005-0000-0000-000047BB0000}"/>
    <cellStyle name="Normal 11 4 4 2 8 2" xfId="48459" xr:uid="{00000000-0005-0000-0000-000048BB0000}"/>
    <cellStyle name="Normal 11 4 4 2 8 2 2" xfId="48460" xr:uid="{00000000-0005-0000-0000-000049BB0000}"/>
    <cellStyle name="Normal 11 4 4 2 8 2 2 2" xfId="48461" xr:uid="{00000000-0005-0000-0000-00004ABB0000}"/>
    <cellStyle name="Normal 11 4 4 2 8 2 3" xfId="48462" xr:uid="{00000000-0005-0000-0000-00004BBB0000}"/>
    <cellStyle name="Normal 11 4 4 2 8 3" xfId="48463" xr:uid="{00000000-0005-0000-0000-00004CBB0000}"/>
    <cellStyle name="Normal 11 4 4 2 8 3 2" xfId="48464" xr:uid="{00000000-0005-0000-0000-00004DBB0000}"/>
    <cellStyle name="Normal 11 4 4 2 8 4" xfId="48465" xr:uid="{00000000-0005-0000-0000-00004EBB0000}"/>
    <cellStyle name="Normal 11 4 4 2 9" xfId="48466" xr:uid="{00000000-0005-0000-0000-00004FBB0000}"/>
    <cellStyle name="Normal 11 4 4 2 9 2" xfId="48467" xr:uid="{00000000-0005-0000-0000-000050BB0000}"/>
    <cellStyle name="Normal 11 4 4 2 9 2 2" xfId="48468" xr:uid="{00000000-0005-0000-0000-000051BB0000}"/>
    <cellStyle name="Normal 11 4 4 2 9 3" xfId="48469" xr:uid="{00000000-0005-0000-0000-000052BB0000}"/>
    <cellStyle name="Normal 11 4 4 3" xfId="652" xr:uid="{00000000-0005-0000-0000-000053BB0000}"/>
    <cellStyle name="Normal 11 4 4 3 10" xfId="48471" xr:uid="{00000000-0005-0000-0000-000054BB0000}"/>
    <cellStyle name="Normal 11 4 4 3 10 2" xfId="48472" xr:uid="{00000000-0005-0000-0000-000055BB0000}"/>
    <cellStyle name="Normal 11 4 4 3 10 2 2" xfId="48473" xr:uid="{00000000-0005-0000-0000-000056BB0000}"/>
    <cellStyle name="Normal 11 4 4 3 10 3" xfId="48474" xr:uid="{00000000-0005-0000-0000-000057BB0000}"/>
    <cellStyle name="Normal 11 4 4 3 11" xfId="48475" xr:uid="{00000000-0005-0000-0000-000058BB0000}"/>
    <cellStyle name="Normal 11 4 4 3 11 2" xfId="48476" xr:uid="{00000000-0005-0000-0000-000059BB0000}"/>
    <cellStyle name="Normal 11 4 4 3 11 2 2" xfId="48477" xr:uid="{00000000-0005-0000-0000-00005ABB0000}"/>
    <cellStyle name="Normal 11 4 4 3 11 3" xfId="48478" xr:uid="{00000000-0005-0000-0000-00005BBB0000}"/>
    <cellStyle name="Normal 11 4 4 3 12" xfId="48479" xr:uid="{00000000-0005-0000-0000-00005CBB0000}"/>
    <cellStyle name="Normal 11 4 4 3 12 2" xfId="48480" xr:uid="{00000000-0005-0000-0000-00005DBB0000}"/>
    <cellStyle name="Normal 11 4 4 3 13" xfId="48481" xr:uid="{00000000-0005-0000-0000-00005EBB0000}"/>
    <cellStyle name="Normal 11 4 4 3 14" xfId="48482" xr:uid="{00000000-0005-0000-0000-00005FBB0000}"/>
    <cellStyle name="Normal 11 4 4 3 15" xfId="48470" xr:uid="{00000000-0005-0000-0000-000060BB0000}"/>
    <cellStyle name="Normal 11 4 4 3 2" xfId="1094" xr:uid="{00000000-0005-0000-0000-000061BB0000}"/>
    <cellStyle name="Normal 11 4 4 3 2 10" xfId="48484" xr:uid="{00000000-0005-0000-0000-000062BB0000}"/>
    <cellStyle name="Normal 11 4 4 3 2 11" xfId="48483" xr:uid="{00000000-0005-0000-0000-000063BB0000}"/>
    <cellStyle name="Normal 11 4 4 3 2 2" xfId="1823" xr:uid="{00000000-0005-0000-0000-000064BB0000}"/>
    <cellStyle name="Normal 11 4 4 3 2 2 2" xfId="48486" xr:uid="{00000000-0005-0000-0000-000065BB0000}"/>
    <cellStyle name="Normal 11 4 4 3 2 2 2 2" xfId="48487" xr:uid="{00000000-0005-0000-0000-000066BB0000}"/>
    <cellStyle name="Normal 11 4 4 3 2 2 2 2 2" xfId="48488" xr:uid="{00000000-0005-0000-0000-000067BB0000}"/>
    <cellStyle name="Normal 11 4 4 3 2 2 2 2 2 2" xfId="48489" xr:uid="{00000000-0005-0000-0000-000068BB0000}"/>
    <cellStyle name="Normal 11 4 4 3 2 2 2 2 3" xfId="48490" xr:uid="{00000000-0005-0000-0000-000069BB0000}"/>
    <cellStyle name="Normal 11 4 4 3 2 2 2 3" xfId="48491" xr:uid="{00000000-0005-0000-0000-00006ABB0000}"/>
    <cellStyle name="Normal 11 4 4 3 2 2 2 3 2" xfId="48492" xr:uid="{00000000-0005-0000-0000-00006BBB0000}"/>
    <cellStyle name="Normal 11 4 4 3 2 2 2 4" xfId="48493" xr:uid="{00000000-0005-0000-0000-00006CBB0000}"/>
    <cellStyle name="Normal 11 4 4 3 2 2 3" xfId="48494" xr:uid="{00000000-0005-0000-0000-00006DBB0000}"/>
    <cellStyle name="Normal 11 4 4 3 2 2 3 2" xfId="48495" xr:uid="{00000000-0005-0000-0000-00006EBB0000}"/>
    <cellStyle name="Normal 11 4 4 3 2 2 3 2 2" xfId="48496" xr:uid="{00000000-0005-0000-0000-00006FBB0000}"/>
    <cellStyle name="Normal 11 4 4 3 2 2 3 2 2 2" xfId="48497" xr:uid="{00000000-0005-0000-0000-000070BB0000}"/>
    <cellStyle name="Normal 11 4 4 3 2 2 3 2 3" xfId="48498" xr:uid="{00000000-0005-0000-0000-000071BB0000}"/>
    <cellStyle name="Normal 11 4 4 3 2 2 3 3" xfId="48499" xr:uid="{00000000-0005-0000-0000-000072BB0000}"/>
    <cellStyle name="Normal 11 4 4 3 2 2 3 3 2" xfId="48500" xr:uid="{00000000-0005-0000-0000-000073BB0000}"/>
    <cellStyle name="Normal 11 4 4 3 2 2 3 4" xfId="48501" xr:uid="{00000000-0005-0000-0000-000074BB0000}"/>
    <cellStyle name="Normal 11 4 4 3 2 2 4" xfId="48502" xr:uid="{00000000-0005-0000-0000-000075BB0000}"/>
    <cellStyle name="Normal 11 4 4 3 2 2 4 2" xfId="48503" xr:uid="{00000000-0005-0000-0000-000076BB0000}"/>
    <cellStyle name="Normal 11 4 4 3 2 2 4 2 2" xfId="48504" xr:uid="{00000000-0005-0000-0000-000077BB0000}"/>
    <cellStyle name="Normal 11 4 4 3 2 2 4 3" xfId="48505" xr:uid="{00000000-0005-0000-0000-000078BB0000}"/>
    <cellStyle name="Normal 11 4 4 3 2 2 5" xfId="48506" xr:uid="{00000000-0005-0000-0000-000079BB0000}"/>
    <cellStyle name="Normal 11 4 4 3 2 2 5 2" xfId="48507" xr:uid="{00000000-0005-0000-0000-00007ABB0000}"/>
    <cellStyle name="Normal 11 4 4 3 2 2 6" xfId="48508" xr:uid="{00000000-0005-0000-0000-00007BBB0000}"/>
    <cellStyle name="Normal 11 4 4 3 2 2 7" xfId="48485" xr:uid="{00000000-0005-0000-0000-00007CBB0000}"/>
    <cellStyle name="Normal 11 4 4 3 2 3" xfId="48509" xr:uid="{00000000-0005-0000-0000-00007DBB0000}"/>
    <cellStyle name="Normal 11 4 4 3 2 3 2" xfId="48510" xr:uid="{00000000-0005-0000-0000-00007EBB0000}"/>
    <cellStyle name="Normal 11 4 4 3 2 3 2 2" xfId="48511" xr:uid="{00000000-0005-0000-0000-00007FBB0000}"/>
    <cellStyle name="Normal 11 4 4 3 2 3 2 2 2" xfId="48512" xr:uid="{00000000-0005-0000-0000-000080BB0000}"/>
    <cellStyle name="Normal 11 4 4 3 2 3 2 2 2 2" xfId="48513" xr:uid="{00000000-0005-0000-0000-000081BB0000}"/>
    <cellStyle name="Normal 11 4 4 3 2 3 2 2 3" xfId="48514" xr:uid="{00000000-0005-0000-0000-000082BB0000}"/>
    <cellStyle name="Normal 11 4 4 3 2 3 2 3" xfId="48515" xr:uid="{00000000-0005-0000-0000-000083BB0000}"/>
    <cellStyle name="Normal 11 4 4 3 2 3 2 3 2" xfId="48516" xr:uid="{00000000-0005-0000-0000-000084BB0000}"/>
    <cellStyle name="Normal 11 4 4 3 2 3 2 4" xfId="48517" xr:uid="{00000000-0005-0000-0000-000085BB0000}"/>
    <cellStyle name="Normal 11 4 4 3 2 3 3" xfId="48518" xr:uid="{00000000-0005-0000-0000-000086BB0000}"/>
    <cellStyle name="Normal 11 4 4 3 2 3 3 2" xfId="48519" xr:uid="{00000000-0005-0000-0000-000087BB0000}"/>
    <cellStyle name="Normal 11 4 4 3 2 3 3 2 2" xfId="48520" xr:uid="{00000000-0005-0000-0000-000088BB0000}"/>
    <cellStyle name="Normal 11 4 4 3 2 3 3 3" xfId="48521" xr:uid="{00000000-0005-0000-0000-000089BB0000}"/>
    <cellStyle name="Normal 11 4 4 3 2 3 4" xfId="48522" xr:uid="{00000000-0005-0000-0000-00008ABB0000}"/>
    <cellStyle name="Normal 11 4 4 3 2 3 4 2" xfId="48523" xr:uid="{00000000-0005-0000-0000-00008BBB0000}"/>
    <cellStyle name="Normal 11 4 4 3 2 3 5" xfId="48524" xr:uid="{00000000-0005-0000-0000-00008CBB0000}"/>
    <cellStyle name="Normal 11 4 4 3 2 4" xfId="48525" xr:uid="{00000000-0005-0000-0000-00008DBB0000}"/>
    <cellStyle name="Normal 11 4 4 3 2 4 2" xfId="48526" xr:uid="{00000000-0005-0000-0000-00008EBB0000}"/>
    <cellStyle name="Normal 11 4 4 3 2 4 2 2" xfId="48527" xr:uid="{00000000-0005-0000-0000-00008FBB0000}"/>
    <cellStyle name="Normal 11 4 4 3 2 4 2 2 2" xfId="48528" xr:uid="{00000000-0005-0000-0000-000090BB0000}"/>
    <cellStyle name="Normal 11 4 4 3 2 4 2 2 2 2" xfId="48529" xr:uid="{00000000-0005-0000-0000-000091BB0000}"/>
    <cellStyle name="Normal 11 4 4 3 2 4 2 2 3" xfId="48530" xr:uid="{00000000-0005-0000-0000-000092BB0000}"/>
    <cellStyle name="Normal 11 4 4 3 2 4 2 3" xfId="48531" xr:uid="{00000000-0005-0000-0000-000093BB0000}"/>
    <cellStyle name="Normal 11 4 4 3 2 4 2 3 2" xfId="48532" xr:uid="{00000000-0005-0000-0000-000094BB0000}"/>
    <cellStyle name="Normal 11 4 4 3 2 4 2 4" xfId="48533" xr:uid="{00000000-0005-0000-0000-000095BB0000}"/>
    <cellStyle name="Normal 11 4 4 3 2 4 3" xfId="48534" xr:uid="{00000000-0005-0000-0000-000096BB0000}"/>
    <cellStyle name="Normal 11 4 4 3 2 4 3 2" xfId="48535" xr:uid="{00000000-0005-0000-0000-000097BB0000}"/>
    <cellStyle name="Normal 11 4 4 3 2 4 3 2 2" xfId="48536" xr:uid="{00000000-0005-0000-0000-000098BB0000}"/>
    <cellStyle name="Normal 11 4 4 3 2 4 3 3" xfId="48537" xr:uid="{00000000-0005-0000-0000-000099BB0000}"/>
    <cellStyle name="Normal 11 4 4 3 2 4 4" xfId="48538" xr:uid="{00000000-0005-0000-0000-00009ABB0000}"/>
    <cellStyle name="Normal 11 4 4 3 2 4 4 2" xfId="48539" xr:uid="{00000000-0005-0000-0000-00009BBB0000}"/>
    <cellStyle name="Normal 11 4 4 3 2 4 5" xfId="48540" xr:uid="{00000000-0005-0000-0000-00009CBB0000}"/>
    <cellStyle name="Normal 11 4 4 3 2 5" xfId="48541" xr:uid="{00000000-0005-0000-0000-00009DBB0000}"/>
    <cellStyle name="Normal 11 4 4 3 2 5 2" xfId="48542" xr:uid="{00000000-0005-0000-0000-00009EBB0000}"/>
    <cellStyle name="Normal 11 4 4 3 2 5 2 2" xfId="48543" xr:uid="{00000000-0005-0000-0000-00009FBB0000}"/>
    <cellStyle name="Normal 11 4 4 3 2 5 2 2 2" xfId="48544" xr:uid="{00000000-0005-0000-0000-0000A0BB0000}"/>
    <cellStyle name="Normal 11 4 4 3 2 5 2 3" xfId="48545" xr:uid="{00000000-0005-0000-0000-0000A1BB0000}"/>
    <cellStyle name="Normal 11 4 4 3 2 5 3" xfId="48546" xr:uid="{00000000-0005-0000-0000-0000A2BB0000}"/>
    <cellStyle name="Normal 11 4 4 3 2 5 3 2" xfId="48547" xr:uid="{00000000-0005-0000-0000-0000A3BB0000}"/>
    <cellStyle name="Normal 11 4 4 3 2 5 4" xfId="48548" xr:uid="{00000000-0005-0000-0000-0000A4BB0000}"/>
    <cellStyle name="Normal 11 4 4 3 2 6" xfId="48549" xr:uid="{00000000-0005-0000-0000-0000A5BB0000}"/>
    <cellStyle name="Normal 11 4 4 3 2 6 2" xfId="48550" xr:uid="{00000000-0005-0000-0000-0000A6BB0000}"/>
    <cellStyle name="Normal 11 4 4 3 2 6 2 2" xfId="48551" xr:uid="{00000000-0005-0000-0000-0000A7BB0000}"/>
    <cellStyle name="Normal 11 4 4 3 2 6 2 2 2" xfId="48552" xr:uid="{00000000-0005-0000-0000-0000A8BB0000}"/>
    <cellStyle name="Normal 11 4 4 3 2 6 2 3" xfId="48553" xr:uid="{00000000-0005-0000-0000-0000A9BB0000}"/>
    <cellStyle name="Normal 11 4 4 3 2 6 3" xfId="48554" xr:uid="{00000000-0005-0000-0000-0000AABB0000}"/>
    <cellStyle name="Normal 11 4 4 3 2 6 3 2" xfId="48555" xr:uid="{00000000-0005-0000-0000-0000ABBB0000}"/>
    <cellStyle name="Normal 11 4 4 3 2 6 4" xfId="48556" xr:uid="{00000000-0005-0000-0000-0000ACBB0000}"/>
    <cellStyle name="Normal 11 4 4 3 2 7" xfId="48557" xr:uid="{00000000-0005-0000-0000-0000ADBB0000}"/>
    <cellStyle name="Normal 11 4 4 3 2 7 2" xfId="48558" xr:uid="{00000000-0005-0000-0000-0000AEBB0000}"/>
    <cellStyle name="Normal 11 4 4 3 2 7 2 2" xfId="48559" xr:uid="{00000000-0005-0000-0000-0000AFBB0000}"/>
    <cellStyle name="Normal 11 4 4 3 2 7 2 2 2" xfId="48560" xr:uid="{00000000-0005-0000-0000-0000B0BB0000}"/>
    <cellStyle name="Normal 11 4 4 3 2 7 2 3" xfId="48561" xr:uid="{00000000-0005-0000-0000-0000B1BB0000}"/>
    <cellStyle name="Normal 11 4 4 3 2 7 3" xfId="48562" xr:uid="{00000000-0005-0000-0000-0000B2BB0000}"/>
    <cellStyle name="Normal 11 4 4 3 2 7 3 2" xfId="48563" xr:uid="{00000000-0005-0000-0000-0000B3BB0000}"/>
    <cellStyle name="Normal 11 4 4 3 2 7 4" xfId="48564" xr:uid="{00000000-0005-0000-0000-0000B4BB0000}"/>
    <cellStyle name="Normal 11 4 4 3 2 8" xfId="48565" xr:uid="{00000000-0005-0000-0000-0000B5BB0000}"/>
    <cellStyle name="Normal 11 4 4 3 2 8 2" xfId="48566" xr:uid="{00000000-0005-0000-0000-0000B6BB0000}"/>
    <cellStyle name="Normal 11 4 4 3 2 8 2 2" xfId="48567" xr:uid="{00000000-0005-0000-0000-0000B7BB0000}"/>
    <cellStyle name="Normal 11 4 4 3 2 8 3" xfId="48568" xr:uid="{00000000-0005-0000-0000-0000B8BB0000}"/>
    <cellStyle name="Normal 11 4 4 3 2 9" xfId="48569" xr:uid="{00000000-0005-0000-0000-0000B9BB0000}"/>
    <cellStyle name="Normal 11 4 4 3 2 9 2" xfId="48570" xr:uid="{00000000-0005-0000-0000-0000BABB0000}"/>
    <cellStyle name="Normal 11 4 4 3 3" xfId="1496" xr:uid="{00000000-0005-0000-0000-0000BBBB0000}"/>
    <cellStyle name="Normal 11 4 4 3 3 2" xfId="48572" xr:uid="{00000000-0005-0000-0000-0000BCBB0000}"/>
    <cellStyle name="Normal 11 4 4 3 3 2 2" xfId="48573" xr:uid="{00000000-0005-0000-0000-0000BDBB0000}"/>
    <cellStyle name="Normal 11 4 4 3 3 2 2 2" xfId="48574" xr:uid="{00000000-0005-0000-0000-0000BEBB0000}"/>
    <cellStyle name="Normal 11 4 4 3 3 2 2 2 2" xfId="48575" xr:uid="{00000000-0005-0000-0000-0000BFBB0000}"/>
    <cellStyle name="Normal 11 4 4 3 3 2 2 3" xfId="48576" xr:uid="{00000000-0005-0000-0000-0000C0BB0000}"/>
    <cellStyle name="Normal 11 4 4 3 3 2 3" xfId="48577" xr:uid="{00000000-0005-0000-0000-0000C1BB0000}"/>
    <cellStyle name="Normal 11 4 4 3 3 2 3 2" xfId="48578" xr:uid="{00000000-0005-0000-0000-0000C2BB0000}"/>
    <cellStyle name="Normal 11 4 4 3 3 2 4" xfId="48579" xr:uid="{00000000-0005-0000-0000-0000C3BB0000}"/>
    <cellStyle name="Normal 11 4 4 3 3 3" xfId="48580" xr:uid="{00000000-0005-0000-0000-0000C4BB0000}"/>
    <cellStyle name="Normal 11 4 4 3 3 3 2" xfId="48581" xr:uid="{00000000-0005-0000-0000-0000C5BB0000}"/>
    <cellStyle name="Normal 11 4 4 3 3 3 2 2" xfId="48582" xr:uid="{00000000-0005-0000-0000-0000C6BB0000}"/>
    <cellStyle name="Normal 11 4 4 3 3 3 2 2 2" xfId="48583" xr:uid="{00000000-0005-0000-0000-0000C7BB0000}"/>
    <cellStyle name="Normal 11 4 4 3 3 3 2 3" xfId="48584" xr:uid="{00000000-0005-0000-0000-0000C8BB0000}"/>
    <cellStyle name="Normal 11 4 4 3 3 3 3" xfId="48585" xr:uid="{00000000-0005-0000-0000-0000C9BB0000}"/>
    <cellStyle name="Normal 11 4 4 3 3 3 3 2" xfId="48586" xr:uid="{00000000-0005-0000-0000-0000CABB0000}"/>
    <cellStyle name="Normal 11 4 4 3 3 3 4" xfId="48587" xr:uid="{00000000-0005-0000-0000-0000CBBB0000}"/>
    <cellStyle name="Normal 11 4 4 3 3 4" xfId="48588" xr:uid="{00000000-0005-0000-0000-0000CCBB0000}"/>
    <cellStyle name="Normal 11 4 4 3 3 4 2" xfId="48589" xr:uid="{00000000-0005-0000-0000-0000CDBB0000}"/>
    <cellStyle name="Normal 11 4 4 3 3 4 2 2" xfId="48590" xr:uid="{00000000-0005-0000-0000-0000CEBB0000}"/>
    <cellStyle name="Normal 11 4 4 3 3 4 3" xfId="48591" xr:uid="{00000000-0005-0000-0000-0000CFBB0000}"/>
    <cellStyle name="Normal 11 4 4 3 3 5" xfId="48592" xr:uid="{00000000-0005-0000-0000-0000D0BB0000}"/>
    <cellStyle name="Normal 11 4 4 3 3 5 2" xfId="48593" xr:uid="{00000000-0005-0000-0000-0000D1BB0000}"/>
    <cellStyle name="Normal 11 4 4 3 3 6" xfId="48594" xr:uid="{00000000-0005-0000-0000-0000D2BB0000}"/>
    <cellStyle name="Normal 11 4 4 3 3 7" xfId="48571" xr:uid="{00000000-0005-0000-0000-0000D3BB0000}"/>
    <cellStyle name="Normal 11 4 4 3 4" xfId="48595" xr:uid="{00000000-0005-0000-0000-0000D4BB0000}"/>
    <cellStyle name="Normal 11 4 4 3 4 2" xfId="48596" xr:uid="{00000000-0005-0000-0000-0000D5BB0000}"/>
    <cellStyle name="Normal 11 4 4 3 4 2 2" xfId="48597" xr:uid="{00000000-0005-0000-0000-0000D6BB0000}"/>
    <cellStyle name="Normal 11 4 4 3 4 2 2 2" xfId="48598" xr:uid="{00000000-0005-0000-0000-0000D7BB0000}"/>
    <cellStyle name="Normal 11 4 4 3 4 2 2 2 2" xfId="48599" xr:uid="{00000000-0005-0000-0000-0000D8BB0000}"/>
    <cellStyle name="Normal 11 4 4 3 4 2 2 3" xfId="48600" xr:uid="{00000000-0005-0000-0000-0000D9BB0000}"/>
    <cellStyle name="Normal 11 4 4 3 4 2 3" xfId="48601" xr:uid="{00000000-0005-0000-0000-0000DABB0000}"/>
    <cellStyle name="Normal 11 4 4 3 4 2 3 2" xfId="48602" xr:uid="{00000000-0005-0000-0000-0000DBBB0000}"/>
    <cellStyle name="Normal 11 4 4 3 4 2 4" xfId="48603" xr:uid="{00000000-0005-0000-0000-0000DCBB0000}"/>
    <cellStyle name="Normal 11 4 4 3 4 3" xfId="48604" xr:uid="{00000000-0005-0000-0000-0000DDBB0000}"/>
    <cellStyle name="Normal 11 4 4 3 4 3 2" xfId="48605" xr:uid="{00000000-0005-0000-0000-0000DEBB0000}"/>
    <cellStyle name="Normal 11 4 4 3 4 3 2 2" xfId="48606" xr:uid="{00000000-0005-0000-0000-0000DFBB0000}"/>
    <cellStyle name="Normal 11 4 4 3 4 3 3" xfId="48607" xr:uid="{00000000-0005-0000-0000-0000E0BB0000}"/>
    <cellStyle name="Normal 11 4 4 3 4 4" xfId="48608" xr:uid="{00000000-0005-0000-0000-0000E1BB0000}"/>
    <cellStyle name="Normal 11 4 4 3 4 4 2" xfId="48609" xr:uid="{00000000-0005-0000-0000-0000E2BB0000}"/>
    <cellStyle name="Normal 11 4 4 3 4 5" xfId="48610" xr:uid="{00000000-0005-0000-0000-0000E3BB0000}"/>
    <cellStyle name="Normal 11 4 4 3 5" xfId="48611" xr:uid="{00000000-0005-0000-0000-0000E4BB0000}"/>
    <cellStyle name="Normal 11 4 4 3 5 2" xfId="48612" xr:uid="{00000000-0005-0000-0000-0000E5BB0000}"/>
    <cellStyle name="Normal 11 4 4 3 5 2 2" xfId="48613" xr:uid="{00000000-0005-0000-0000-0000E6BB0000}"/>
    <cellStyle name="Normal 11 4 4 3 5 2 2 2" xfId="48614" xr:uid="{00000000-0005-0000-0000-0000E7BB0000}"/>
    <cellStyle name="Normal 11 4 4 3 5 2 2 2 2" xfId="48615" xr:uid="{00000000-0005-0000-0000-0000E8BB0000}"/>
    <cellStyle name="Normal 11 4 4 3 5 2 2 3" xfId="48616" xr:uid="{00000000-0005-0000-0000-0000E9BB0000}"/>
    <cellStyle name="Normal 11 4 4 3 5 2 3" xfId="48617" xr:uid="{00000000-0005-0000-0000-0000EABB0000}"/>
    <cellStyle name="Normal 11 4 4 3 5 2 3 2" xfId="48618" xr:uid="{00000000-0005-0000-0000-0000EBBB0000}"/>
    <cellStyle name="Normal 11 4 4 3 5 2 4" xfId="48619" xr:uid="{00000000-0005-0000-0000-0000ECBB0000}"/>
    <cellStyle name="Normal 11 4 4 3 5 3" xfId="48620" xr:uid="{00000000-0005-0000-0000-0000EDBB0000}"/>
    <cellStyle name="Normal 11 4 4 3 5 3 2" xfId="48621" xr:uid="{00000000-0005-0000-0000-0000EEBB0000}"/>
    <cellStyle name="Normal 11 4 4 3 5 3 2 2" xfId="48622" xr:uid="{00000000-0005-0000-0000-0000EFBB0000}"/>
    <cellStyle name="Normal 11 4 4 3 5 3 3" xfId="48623" xr:uid="{00000000-0005-0000-0000-0000F0BB0000}"/>
    <cellStyle name="Normal 11 4 4 3 5 4" xfId="48624" xr:uid="{00000000-0005-0000-0000-0000F1BB0000}"/>
    <cellStyle name="Normal 11 4 4 3 5 4 2" xfId="48625" xr:uid="{00000000-0005-0000-0000-0000F2BB0000}"/>
    <cellStyle name="Normal 11 4 4 3 5 5" xfId="48626" xr:uid="{00000000-0005-0000-0000-0000F3BB0000}"/>
    <cellStyle name="Normal 11 4 4 3 6" xfId="48627" xr:uid="{00000000-0005-0000-0000-0000F4BB0000}"/>
    <cellStyle name="Normal 11 4 4 3 6 2" xfId="48628" xr:uid="{00000000-0005-0000-0000-0000F5BB0000}"/>
    <cellStyle name="Normal 11 4 4 3 6 2 2" xfId="48629" xr:uid="{00000000-0005-0000-0000-0000F6BB0000}"/>
    <cellStyle name="Normal 11 4 4 3 6 2 2 2" xfId="48630" xr:uid="{00000000-0005-0000-0000-0000F7BB0000}"/>
    <cellStyle name="Normal 11 4 4 3 6 2 3" xfId="48631" xr:uid="{00000000-0005-0000-0000-0000F8BB0000}"/>
    <cellStyle name="Normal 11 4 4 3 6 3" xfId="48632" xr:uid="{00000000-0005-0000-0000-0000F9BB0000}"/>
    <cellStyle name="Normal 11 4 4 3 6 3 2" xfId="48633" xr:uid="{00000000-0005-0000-0000-0000FABB0000}"/>
    <cellStyle name="Normal 11 4 4 3 6 4" xfId="48634" xr:uid="{00000000-0005-0000-0000-0000FBBB0000}"/>
    <cellStyle name="Normal 11 4 4 3 7" xfId="48635" xr:uid="{00000000-0005-0000-0000-0000FCBB0000}"/>
    <cellStyle name="Normal 11 4 4 3 7 2" xfId="48636" xr:uid="{00000000-0005-0000-0000-0000FDBB0000}"/>
    <cellStyle name="Normal 11 4 4 3 7 2 2" xfId="48637" xr:uid="{00000000-0005-0000-0000-0000FEBB0000}"/>
    <cellStyle name="Normal 11 4 4 3 7 2 2 2" xfId="48638" xr:uid="{00000000-0005-0000-0000-0000FFBB0000}"/>
    <cellStyle name="Normal 11 4 4 3 7 2 3" xfId="48639" xr:uid="{00000000-0005-0000-0000-000000BC0000}"/>
    <cellStyle name="Normal 11 4 4 3 7 3" xfId="48640" xr:uid="{00000000-0005-0000-0000-000001BC0000}"/>
    <cellStyle name="Normal 11 4 4 3 7 3 2" xfId="48641" xr:uid="{00000000-0005-0000-0000-000002BC0000}"/>
    <cellStyle name="Normal 11 4 4 3 7 4" xfId="48642" xr:uid="{00000000-0005-0000-0000-000003BC0000}"/>
    <cellStyle name="Normal 11 4 4 3 8" xfId="48643" xr:uid="{00000000-0005-0000-0000-000004BC0000}"/>
    <cellStyle name="Normal 11 4 4 3 8 2" xfId="48644" xr:uid="{00000000-0005-0000-0000-000005BC0000}"/>
    <cellStyle name="Normal 11 4 4 3 8 2 2" xfId="48645" xr:uid="{00000000-0005-0000-0000-000006BC0000}"/>
    <cellStyle name="Normal 11 4 4 3 8 2 2 2" xfId="48646" xr:uid="{00000000-0005-0000-0000-000007BC0000}"/>
    <cellStyle name="Normal 11 4 4 3 8 2 3" xfId="48647" xr:uid="{00000000-0005-0000-0000-000008BC0000}"/>
    <cellStyle name="Normal 11 4 4 3 8 3" xfId="48648" xr:uid="{00000000-0005-0000-0000-000009BC0000}"/>
    <cellStyle name="Normal 11 4 4 3 8 3 2" xfId="48649" xr:uid="{00000000-0005-0000-0000-00000ABC0000}"/>
    <cellStyle name="Normal 11 4 4 3 8 4" xfId="48650" xr:uid="{00000000-0005-0000-0000-00000BBC0000}"/>
    <cellStyle name="Normal 11 4 4 3 9" xfId="48651" xr:uid="{00000000-0005-0000-0000-00000CBC0000}"/>
    <cellStyle name="Normal 11 4 4 3 9 2" xfId="48652" xr:uid="{00000000-0005-0000-0000-00000DBC0000}"/>
    <cellStyle name="Normal 11 4 4 3 9 2 2" xfId="48653" xr:uid="{00000000-0005-0000-0000-00000EBC0000}"/>
    <cellStyle name="Normal 11 4 4 3 9 3" xfId="48654" xr:uid="{00000000-0005-0000-0000-00000FBC0000}"/>
    <cellStyle name="Normal 11 4 4 4" xfId="1092" xr:uid="{00000000-0005-0000-0000-000010BC0000}"/>
    <cellStyle name="Normal 11 4 4 4 10" xfId="48656" xr:uid="{00000000-0005-0000-0000-000011BC0000}"/>
    <cellStyle name="Normal 11 4 4 4 11" xfId="48655" xr:uid="{00000000-0005-0000-0000-000012BC0000}"/>
    <cellStyle name="Normal 11 4 4 4 2" xfId="1821" xr:uid="{00000000-0005-0000-0000-000013BC0000}"/>
    <cellStyle name="Normal 11 4 4 4 2 2" xfId="48658" xr:uid="{00000000-0005-0000-0000-000014BC0000}"/>
    <cellStyle name="Normal 11 4 4 4 2 2 2" xfId="48659" xr:uid="{00000000-0005-0000-0000-000015BC0000}"/>
    <cellStyle name="Normal 11 4 4 4 2 2 2 2" xfId="48660" xr:uid="{00000000-0005-0000-0000-000016BC0000}"/>
    <cellStyle name="Normal 11 4 4 4 2 2 2 2 2" xfId="48661" xr:uid="{00000000-0005-0000-0000-000017BC0000}"/>
    <cellStyle name="Normal 11 4 4 4 2 2 2 3" xfId="48662" xr:uid="{00000000-0005-0000-0000-000018BC0000}"/>
    <cellStyle name="Normal 11 4 4 4 2 2 3" xfId="48663" xr:uid="{00000000-0005-0000-0000-000019BC0000}"/>
    <cellStyle name="Normal 11 4 4 4 2 2 3 2" xfId="48664" xr:uid="{00000000-0005-0000-0000-00001ABC0000}"/>
    <cellStyle name="Normal 11 4 4 4 2 2 4" xfId="48665" xr:uid="{00000000-0005-0000-0000-00001BBC0000}"/>
    <cellStyle name="Normal 11 4 4 4 2 3" xfId="48666" xr:uid="{00000000-0005-0000-0000-00001CBC0000}"/>
    <cellStyle name="Normal 11 4 4 4 2 3 2" xfId="48667" xr:uid="{00000000-0005-0000-0000-00001DBC0000}"/>
    <cellStyle name="Normal 11 4 4 4 2 3 2 2" xfId="48668" xr:uid="{00000000-0005-0000-0000-00001EBC0000}"/>
    <cellStyle name="Normal 11 4 4 4 2 3 2 2 2" xfId="48669" xr:uid="{00000000-0005-0000-0000-00001FBC0000}"/>
    <cellStyle name="Normal 11 4 4 4 2 3 2 3" xfId="48670" xr:uid="{00000000-0005-0000-0000-000020BC0000}"/>
    <cellStyle name="Normal 11 4 4 4 2 3 3" xfId="48671" xr:uid="{00000000-0005-0000-0000-000021BC0000}"/>
    <cellStyle name="Normal 11 4 4 4 2 3 3 2" xfId="48672" xr:uid="{00000000-0005-0000-0000-000022BC0000}"/>
    <cellStyle name="Normal 11 4 4 4 2 3 4" xfId="48673" xr:uid="{00000000-0005-0000-0000-000023BC0000}"/>
    <cellStyle name="Normal 11 4 4 4 2 4" xfId="48674" xr:uid="{00000000-0005-0000-0000-000024BC0000}"/>
    <cellStyle name="Normal 11 4 4 4 2 4 2" xfId="48675" xr:uid="{00000000-0005-0000-0000-000025BC0000}"/>
    <cellStyle name="Normal 11 4 4 4 2 4 2 2" xfId="48676" xr:uid="{00000000-0005-0000-0000-000026BC0000}"/>
    <cellStyle name="Normal 11 4 4 4 2 4 3" xfId="48677" xr:uid="{00000000-0005-0000-0000-000027BC0000}"/>
    <cellStyle name="Normal 11 4 4 4 2 5" xfId="48678" xr:uid="{00000000-0005-0000-0000-000028BC0000}"/>
    <cellStyle name="Normal 11 4 4 4 2 5 2" xfId="48679" xr:uid="{00000000-0005-0000-0000-000029BC0000}"/>
    <cellStyle name="Normal 11 4 4 4 2 6" xfId="48680" xr:uid="{00000000-0005-0000-0000-00002ABC0000}"/>
    <cellStyle name="Normal 11 4 4 4 2 7" xfId="48657" xr:uid="{00000000-0005-0000-0000-00002BBC0000}"/>
    <cellStyle name="Normal 11 4 4 4 3" xfId="48681" xr:uid="{00000000-0005-0000-0000-00002CBC0000}"/>
    <cellStyle name="Normal 11 4 4 4 3 2" xfId="48682" xr:uid="{00000000-0005-0000-0000-00002DBC0000}"/>
    <cellStyle name="Normal 11 4 4 4 3 2 2" xfId="48683" xr:uid="{00000000-0005-0000-0000-00002EBC0000}"/>
    <cellStyle name="Normal 11 4 4 4 3 2 2 2" xfId="48684" xr:uid="{00000000-0005-0000-0000-00002FBC0000}"/>
    <cellStyle name="Normal 11 4 4 4 3 2 2 2 2" xfId="48685" xr:uid="{00000000-0005-0000-0000-000030BC0000}"/>
    <cellStyle name="Normal 11 4 4 4 3 2 2 3" xfId="48686" xr:uid="{00000000-0005-0000-0000-000031BC0000}"/>
    <cellStyle name="Normal 11 4 4 4 3 2 3" xfId="48687" xr:uid="{00000000-0005-0000-0000-000032BC0000}"/>
    <cellStyle name="Normal 11 4 4 4 3 2 3 2" xfId="48688" xr:uid="{00000000-0005-0000-0000-000033BC0000}"/>
    <cellStyle name="Normal 11 4 4 4 3 2 4" xfId="48689" xr:uid="{00000000-0005-0000-0000-000034BC0000}"/>
    <cellStyle name="Normal 11 4 4 4 3 3" xfId="48690" xr:uid="{00000000-0005-0000-0000-000035BC0000}"/>
    <cellStyle name="Normal 11 4 4 4 3 3 2" xfId="48691" xr:uid="{00000000-0005-0000-0000-000036BC0000}"/>
    <cellStyle name="Normal 11 4 4 4 3 3 2 2" xfId="48692" xr:uid="{00000000-0005-0000-0000-000037BC0000}"/>
    <cellStyle name="Normal 11 4 4 4 3 3 3" xfId="48693" xr:uid="{00000000-0005-0000-0000-000038BC0000}"/>
    <cellStyle name="Normal 11 4 4 4 3 4" xfId="48694" xr:uid="{00000000-0005-0000-0000-000039BC0000}"/>
    <cellStyle name="Normal 11 4 4 4 3 4 2" xfId="48695" xr:uid="{00000000-0005-0000-0000-00003ABC0000}"/>
    <cellStyle name="Normal 11 4 4 4 3 5" xfId="48696" xr:uid="{00000000-0005-0000-0000-00003BBC0000}"/>
    <cellStyle name="Normal 11 4 4 4 4" xfId="48697" xr:uid="{00000000-0005-0000-0000-00003CBC0000}"/>
    <cellStyle name="Normal 11 4 4 4 4 2" xfId="48698" xr:uid="{00000000-0005-0000-0000-00003DBC0000}"/>
    <cellStyle name="Normal 11 4 4 4 4 2 2" xfId="48699" xr:uid="{00000000-0005-0000-0000-00003EBC0000}"/>
    <cellStyle name="Normal 11 4 4 4 4 2 2 2" xfId="48700" xr:uid="{00000000-0005-0000-0000-00003FBC0000}"/>
    <cellStyle name="Normal 11 4 4 4 4 2 2 2 2" xfId="48701" xr:uid="{00000000-0005-0000-0000-000040BC0000}"/>
    <cellStyle name="Normal 11 4 4 4 4 2 2 3" xfId="48702" xr:uid="{00000000-0005-0000-0000-000041BC0000}"/>
    <cellStyle name="Normal 11 4 4 4 4 2 3" xfId="48703" xr:uid="{00000000-0005-0000-0000-000042BC0000}"/>
    <cellStyle name="Normal 11 4 4 4 4 2 3 2" xfId="48704" xr:uid="{00000000-0005-0000-0000-000043BC0000}"/>
    <cellStyle name="Normal 11 4 4 4 4 2 4" xfId="48705" xr:uid="{00000000-0005-0000-0000-000044BC0000}"/>
    <cellStyle name="Normal 11 4 4 4 4 3" xfId="48706" xr:uid="{00000000-0005-0000-0000-000045BC0000}"/>
    <cellStyle name="Normal 11 4 4 4 4 3 2" xfId="48707" xr:uid="{00000000-0005-0000-0000-000046BC0000}"/>
    <cellStyle name="Normal 11 4 4 4 4 3 2 2" xfId="48708" xr:uid="{00000000-0005-0000-0000-000047BC0000}"/>
    <cellStyle name="Normal 11 4 4 4 4 3 3" xfId="48709" xr:uid="{00000000-0005-0000-0000-000048BC0000}"/>
    <cellStyle name="Normal 11 4 4 4 4 4" xfId="48710" xr:uid="{00000000-0005-0000-0000-000049BC0000}"/>
    <cellStyle name="Normal 11 4 4 4 4 4 2" xfId="48711" xr:uid="{00000000-0005-0000-0000-00004ABC0000}"/>
    <cellStyle name="Normal 11 4 4 4 4 5" xfId="48712" xr:uid="{00000000-0005-0000-0000-00004BBC0000}"/>
    <cellStyle name="Normal 11 4 4 4 5" xfId="48713" xr:uid="{00000000-0005-0000-0000-00004CBC0000}"/>
    <cellStyle name="Normal 11 4 4 4 5 2" xfId="48714" xr:uid="{00000000-0005-0000-0000-00004DBC0000}"/>
    <cellStyle name="Normal 11 4 4 4 5 2 2" xfId="48715" xr:uid="{00000000-0005-0000-0000-00004EBC0000}"/>
    <cellStyle name="Normal 11 4 4 4 5 2 2 2" xfId="48716" xr:uid="{00000000-0005-0000-0000-00004FBC0000}"/>
    <cellStyle name="Normal 11 4 4 4 5 2 3" xfId="48717" xr:uid="{00000000-0005-0000-0000-000050BC0000}"/>
    <cellStyle name="Normal 11 4 4 4 5 3" xfId="48718" xr:uid="{00000000-0005-0000-0000-000051BC0000}"/>
    <cellStyle name="Normal 11 4 4 4 5 3 2" xfId="48719" xr:uid="{00000000-0005-0000-0000-000052BC0000}"/>
    <cellStyle name="Normal 11 4 4 4 5 4" xfId="48720" xr:uid="{00000000-0005-0000-0000-000053BC0000}"/>
    <cellStyle name="Normal 11 4 4 4 6" xfId="48721" xr:uid="{00000000-0005-0000-0000-000054BC0000}"/>
    <cellStyle name="Normal 11 4 4 4 6 2" xfId="48722" xr:uid="{00000000-0005-0000-0000-000055BC0000}"/>
    <cellStyle name="Normal 11 4 4 4 6 2 2" xfId="48723" xr:uid="{00000000-0005-0000-0000-000056BC0000}"/>
    <cellStyle name="Normal 11 4 4 4 6 2 2 2" xfId="48724" xr:uid="{00000000-0005-0000-0000-000057BC0000}"/>
    <cellStyle name="Normal 11 4 4 4 6 2 3" xfId="48725" xr:uid="{00000000-0005-0000-0000-000058BC0000}"/>
    <cellStyle name="Normal 11 4 4 4 6 3" xfId="48726" xr:uid="{00000000-0005-0000-0000-000059BC0000}"/>
    <cellStyle name="Normal 11 4 4 4 6 3 2" xfId="48727" xr:uid="{00000000-0005-0000-0000-00005ABC0000}"/>
    <cellStyle name="Normal 11 4 4 4 6 4" xfId="48728" xr:uid="{00000000-0005-0000-0000-00005BBC0000}"/>
    <cellStyle name="Normal 11 4 4 4 7" xfId="48729" xr:uid="{00000000-0005-0000-0000-00005CBC0000}"/>
    <cellStyle name="Normal 11 4 4 4 7 2" xfId="48730" xr:uid="{00000000-0005-0000-0000-00005DBC0000}"/>
    <cellStyle name="Normal 11 4 4 4 7 2 2" xfId="48731" xr:uid="{00000000-0005-0000-0000-00005EBC0000}"/>
    <cellStyle name="Normal 11 4 4 4 7 2 2 2" xfId="48732" xr:uid="{00000000-0005-0000-0000-00005FBC0000}"/>
    <cellStyle name="Normal 11 4 4 4 7 2 3" xfId="48733" xr:uid="{00000000-0005-0000-0000-000060BC0000}"/>
    <cellStyle name="Normal 11 4 4 4 7 3" xfId="48734" xr:uid="{00000000-0005-0000-0000-000061BC0000}"/>
    <cellStyle name="Normal 11 4 4 4 7 3 2" xfId="48735" xr:uid="{00000000-0005-0000-0000-000062BC0000}"/>
    <cellStyle name="Normal 11 4 4 4 7 4" xfId="48736" xr:uid="{00000000-0005-0000-0000-000063BC0000}"/>
    <cellStyle name="Normal 11 4 4 4 8" xfId="48737" xr:uid="{00000000-0005-0000-0000-000064BC0000}"/>
    <cellStyle name="Normal 11 4 4 4 8 2" xfId="48738" xr:uid="{00000000-0005-0000-0000-000065BC0000}"/>
    <cellStyle name="Normal 11 4 4 4 8 2 2" xfId="48739" xr:uid="{00000000-0005-0000-0000-000066BC0000}"/>
    <cellStyle name="Normal 11 4 4 4 8 3" xfId="48740" xr:uid="{00000000-0005-0000-0000-000067BC0000}"/>
    <cellStyle name="Normal 11 4 4 4 9" xfId="48741" xr:uid="{00000000-0005-0000-0000-000068BC0000}"/>
    <cellStyle name="Normal 11 4 4 4 9 2" xfId="48742" xr:uid="{00000000-0005-0000-0000-000069BC0000}"/>
    <cellStyle name="Normal 11 4 4 5" xfId="1494" xr:uid="{00000000-0005-0000-0000-00006ABC0000}"/>
    <cellStyle name="Normal 11 4 4 5 2" xfId="48744" xr:uid="{00000000-0005-0000-0000-00006BBC0000}"/>
    <cellStyle name="Normal 11 4 4 5 2 2" xfId="48745" xr:uid="{00000000-0005-0000-0000-00006CBC0000}"/>
    <cellStyle name="Normal 11 4 4 5 2 2 2" xfId="48746" xr:uid="{00000000-0005-0000-0000-00006DBC0000}"/>
    <cellStyle name="Normal 11 4 4 5 2 2 2 2" xfId="48747" xr:uid="{00000000-0005-0000-0000-00006EBC0000}"/>
    <cellStyle name="Normal 11 4 4 5 2 2 3" xfId="48748" xr:uid="{00000000-0005-0000-0000-00006FBC0000}"/>
    <cellStyle name="Normal 11 4 4 5 2 3" xfId="48749" xr:uid="{00000000-0005-0000-0000-000070BC0000}"/>
    <cellStyle name="Normal 11 4 4 5 2 3 2" xfId="48750" xr:uid="{00000000-0005-0000-0000-000071BC0000}"/>
    <cellStyle name="Normal 11 4 4 5 2 4" xfId="48751" xr:uid="{00000000-0005-0000-0000-000072BC0000}"/>
    <cellStyle name="Normal 11 4 4 5 3" xfId="48752" xr:uid="{00000000-0005-0000-0000-000073BC0000}"/>
    <cellStyle name="Normal 11 4 4 5 3 2" xfId="48753" xr:uid="{00000000-0005-0000-0000-000074BC0000}"/>
    <cellStyle name="Normal 11 4 4 5 3 2 2" xfId="48754" xr:uid="{00000000-0005-0000-0000-000075BC0000}"/>
    <cellStyle name="Normal 11 4 4 5 3 2 2 2" xfId="48755" xr:uid="{00000000-0005-0000-0000-000076BC0000}"/>
    <cellStyle name="Normal 11 4 4 5 3 2 3" xfId="48756" xr:uid="{00000000-0005-0000-0000-000077BC0000}"/>
    <cellStyle name="Normal 11 4 4 5 3 3" xfId="48757" xr:uid="{00000000-0005-0000-0000-000078BC0000}"/>
    <cellStyle name="Normal 11 4 4 5 3 3 2" xfId="48758" xr:uid="{00000000-0005-0000-0000-000079BC0000}"/>
    <cellStyle name="Normal 11 4 4 5 3 4" xfId="48759" xr:uid="{00000000-0005-0000-0000-00007ABC0000}"/>
    <cellStyle name="Normal 11 4 4 5 4" xfId="48760" xr:uid="{00000000-0005-0000-0000-00007BBC0000}"/>
    <cellStyle name="Normal 11 4 4 5 4 2" xfId="48761" xr:uid="{00000000-0005-0000-0000-00007CBC0000}"/>
    <cellStyle name="Normal 11 4 4 5 4 2 2" xfId="48762" xr:uid="{00000000-0005-0000-0000-00007DBC0000}"/>
    <cellStyle name="Normal 11 4 4 5 4 3" xfId="48763" xr:uid="{00000000-0005-0000-0000-00007EBC0000}"/>
    <cellStyle name="Normal 11 4 4 5 5" xfId="48764" xr:uid="{00000000-0005-0000-0000-00007FBC0000}"/>
    <cellStyle name="Normal 11 4 4 5 5 2" xfId="48765" xr:uid="{00000000-0005-0000-0000-000080BC0000}"/>
    <cellStyle name="Normal 11 4 4 5 6" xfId="48766" xr:uid="{00000000-0005-0000-0000-000081BC0000}"/>
    <cellStyle name="Normal 11 4 4 5 7" xfId="48743" xr:uid="{00000000-0005-0000-0000-000082BC0000}"/>
    <cellStyle name="Normal 11 4 4 6" xfId="48767" xr:uid="{00000000-0005-0000-0000-000083BC0000}"/>
    <cellStyle name="Normal 11 4 4 6 2" xfId="48768" xr:uid="{00000000-0005-0000-0000-000084BC0000}"/>
    <cellStyle name="Normal 11 4 4 6 2 2" xfId="48769" xr:uid="{00000000-0005-0000-0000-000085BC0000}"/>
    <cellStyle name="Normal 11 4 4 6 2 2 2" xfId="48770" xr:uid="{00000000-0005-0000-0000-000086BC0000}"/>
    <cellStyle name="Normal 11 4 4 6 2 2 2 2" xfId="48771" xr:uid="{00000000-0005-0000-0000-000087BC0000}"/>
    <cellStyle name="Normal 11 4 4 6 2 2 3" xfId="48772" xr:uid="{00000000-0005-0000-0000-000088BC0000}"/>
    <cellStyle name="Normal 11 4 4 6 2 3" xfId="48773" xr:uid="{00000000-0005-0000-0000-000089BC0000}"/>
    <cellStyle name="Normal 11 4 4 6 2 3 2" xfId="48774" xr:uid="{00000000-0005-0000-0000-00008ABC0000}"/>
    <cellStyle name="Normal 11 4 4 6 2 4" xfId="48775" xr:uid="{00000000-0005-0000-0000-00008BBC0000}"/>
    <cellStyle name="Normal 11 4 4 6 3" xfId="48776" xr:uid="{00000000-0005-0000-0000-00008CBC0000}"/>
    <cellStyle name="Normal 11 4 4 6 3 2" xfId="48777" xr:uid="{00000000-0005-0000-0000-00008DBC0000}"/>
    <cellStyle name="Normal 11 4 4 6 3 2 2" xfId="48778" xr:uid="{00000000-0005-0000-0000-00008EBC0000}"/>
    <cellStyle name="Normal 11 4 4 6 3 3" xfId="48779" xr:uid="{00000000-0005-0000-0000-00008FBC0000}"/>
    <cellStyle name="Normal 11 4 4 6 4" xfId="48780" xr:uid="{00000000-0005-0000-0000-000090BC0000}"/>
    <cellStyle name="Normal 11 4 4 6 4 2" xfId="48781" xr:uid="{00000000-0005-0000-0000-000091BC0000}"/>
    <cellStyle name="Normal 11 4 4 6 5" xfId="48782" xr:uid="{00000000-0005-0000-0000-000092BC0000}"/>
    <cellStyle name="Normal 11 4 4 7" xfId="48783" xr:uid="{00000000-0005-0000-0000-000093BC0000}"/>
    <cellStyle name="Normal 11 4 4 7 2" xfId="48784" xr:uid="{00000000-0005-0000-0000-000094BC0000}"/>
    <cellStyle name="Normal 11 4 4 7 2 2" xfId="48785" xr:uid="{00000000-0005-0000-0000-000095BC0000}"/>
    <cellStyle name="Normal 11 4 4 7 2 2 2" xfId="48786" xr:uid="{00000000-0005-0000-0000-000096BC0000}"/>
    <cellStyle name="Normal 11 4 4 7 2 2 2 2" xfId="48787" xr:uid="{00000000-0005-0000-0000-000097BC0000}"/>
    <cellStyle name="Normal 11 4 4 7 2 2 3" xfId="48788" xr:uid="{00000000-0005-0000-0000-000098BC0000}"/>
    <cellStyle name="Normal 11 4 4 7 2 3" xfId="48789" xr:uid="{00000000-0005-0000-0000-000099BC0000}"/>
    <cellStyle name="Normal 11 4 4 7 2 3 2" xfId="48790" xr:uid="{00000000-0005-0000-0000-00009ABC0000}"/>
    <cellStyle name="Normal 11 4 4 7 2 4" xfId="48791" xr:uid="{00000000-0005-0000-0000-00009BBC0000}"/>
    <cellStyle name="Normal 11 4 4 7 3" xfId="48792" xr:uid="{00000000-0005-0000-0000-00009CBC0000}"/>
    <cellStyle name="Normal 11 4 4 7 3 2" xfId="48793" xr:uid="{00000000-0005-0000-0000-00009DBC0000}"/>
    <cellStyle name="Normal 11 4 4 7 3 2 2" xfId="48794" xr:uid="{00000000-0005-0000-0000-00009EBC0000}"/>
    <cellStyle name="Normal 11 4 4 7 3 3" xfId="48795" xr:uid="{00000000-0005-0000-0000-00009FBC0000}"/>
    <cellStyle name="Normal 11 4 4 7 4" xfId="48796" xr:uid="{00000000-0005-0000-0000-0000A0BC0000}"/>
    <cellStyle name="Normal 11 4 4 7 4 2" xfId="48797" xr:uid="{00000000-0005-0000-0000-0000A1BC0000}"/>
    <cellStyle name="Normal 11 4 4 7 5" xfId="48798" xr:uid="{00000000-0005-0000-0000-0000A2BC0000}"/>
    <cellStyle name="Normal 11 4 4 8" xfId="48799" xr:uid="{00000000-0005-0000-0000-0000A3BC0000}"/>
    <cellStyle name="Normal 11 4 4 8 2" xfId="48800" xr:uid="{00000000-0005-0000-0000-0000A4BC0000}"/>
    <cellStyle name="Normal 11 4 4 8 2 2" xfId="48801" xr:uid="{00000000-0005-0000-0000-0000A5BC0000}"/>
    <cellStyle name="Normal 11 4 4 8 2 2 2" xfId="48802" xr:uid="{00000000-0005-0000-0000-0000A6BC0000}"/>
    <cellStyle name="Normal 11 4 4 8 2 3" xfId="48803" xr:uid="{00000000-0005-0000-0000-0000A7BC0000}"/>
    <cellStyle name="Normal 11 4 4 8 3" xfId="48804" xr:uid="{00000000-0005-0000-0000-0000A8BC0000}"/>
    <cellStyle name="Normal 11 4 4 8 3 2" xfId="48805" xr:uid="{00000000-0005-0000-0000-0000A9BC0000}"/>
    <cellStyle name="Normal 11 4 4 8 4" xfId="48806" xr:uid="{00000000-0005-0000-0000-0000AABC0000}"/>
    <cellStyle name="Normal 11 4 4 9" xfId="48807" xr:uid="{00000000-0005-0000-0000-0000ABBC0000}"/>
    <cellStyle name="Normal 11 4 4 9 2" xfId="48808" xr:uid="{00000000-0005-0000-0000-0000ACBC0000}"/>
    <cellStyle name="Normal 11 4 4 9 2 2" xfId="48809" xr:uid="{00000000-0005-0000-0000-0000ADBC0000}"/>
    <cellStyle name="Normal 11 4 4 9 2 2 2" xfId="48810" xr:uid="{00000000-0005-0000-0000-0000AEBC0000}"/>
    <cellStyle name="Normal 11 4 4 9 2 3" xfId="48811" xr:uid="{00000000-0005-0000-0000-0000AFBC0000}"/>
    <cellStyle name="Normal 11 4 4 9 3" xfId="48812" xr:uid="{00000000-0005-0000-0000-0000B0BC0000}"/>
    <cellStyle name="Normal 11 4 4 9 3 2" xfId="48813" xr:uid="{00000000-0005-0000-0000-0000B1BC0000}"/>
    <cellStyle name="Normal 11 4 4 9 4" xfId="48814" xr:uid="{00000000-0005-0000-0000-0000B2BC0000}"/>
    <cellStyle name="Normal 11 4 5" xfId="653" xr:uid="{00000000-0005-0000-0000-0000B3BC0000}"/>
    <cellStyle name="Normal 11 4 5 10" xfId="48816" xr:uid="{00000000-0005-0000-0000-0000B4BC0000}"/>
    <cellStyle name="Normal 11 4 5 10 2" xfId="48817" xr:uid="{00000000-0005-0000-0000-0000B5BC0000}"/>
    <cellStyle name="Normal 11 4 5 10 2 2" xfId="48818" xr:uid="{00000000-0005-0000-0000-0000B6BC0000}"/>
    <cellStyle name="Normal 11 4 5 10 3" xfId="48819" xr:uid="{00000000-0005-0000-0000-0000B7BC0000}"/>
    <cellStyle name="Normal 11 4 5 11" xfId="48820" xr:uid="{00000000-0005-0000-0000-0000B8BC0000}"/>
    <cellStyle name="Normal 11 4 5 11 2" xfId="48821" xr:uid="{00000000-0005-0000-0000-0000B9BC0000}"/>
    <cellStyle name="Normal 11 4 5 11 2 2" xfId="48822" xr:uid="{00000000-0005-0000-0000-0000BABC0000}"/>
    <cellStyle name="Normal 11 4 5 11 3" xfId="48823" xr:uid="{00000000-0005-0000-0000-0000BBBC0000}"/>
    <cellStyle name="Normal 11 4 5 12" xfId="48824" xr:uid="{00000000-0005-0000-0000-0000BCBC0000}"/>
    <cellStyle name="Normal 11 4 5 12 2" xfId="48825" xr:uid="{00000000-0005-0000-0000-0000BDBC0000}"/>
    <cellStyle name="Normal 11 4 5 13" xfId="48826" xr:uid="{00000000-0005-0000-0000-0000BEBC0000}"/>
    <cellStyle name="Normal 11 4 5 14" xfId="48827" xr:uid="{00000000-0005-0000-0000-0000BFBC0000}"/>
    <cellStyle name="Normal 11 4 5 15" xfId="48815" xr:uid="{00000000-0005-0000-0000-0000C0BC0000}"/>
    <cellStyle name="Normal 11 4 5 2" xfId="1095" xr:uid="{00000000-0005-0000-0000-0000C1BC0000}"/>
    <cellStyle name="Normal 11 4 5 2 10" xfId="48829" xr:uid="{00000000-0005-0000-0000-0000C2BC0000}"/>
    <cellStyle name="Normal 11 4 5 2 11" xfId="48828" xr:uid="{00000000-0005-0000-0000-0000C3BC0000}"/>
    <cellStyle name="Normal 11 4 5 2 2" xfId="1824" xr:uid="{00000000-0005-0000-0000-0000C4BC0000}"/>
    <cellStyle name="Normal 11 4 5 2 2 2" xfId="48831" xr:uid="{00000000-0005-0000-0000-0000C5BC0000}"/>
    <cellStyle name="Normal 11 4 5 2 2 2 2" xfId="48832" xr:uid="{00000000-0005-0000-0000-0000C6BC0000}"/>
    <cellStyle name="Normal 11 4 5 2 2 2 2 2" xfId="48833" xr:uid="{00000000-0005-0000-0000-0000C7BC0000}"/>
    <cellStyle name="Normal 11 4 5 2 2 2 2 2 2" xfId="48834" xr:uid="{00000000-0005-0000-0000-0000C8BC0000}"/>
    <cellStyle name="Normal 11 4 5 2 2 2 2 3" xfId="48835" xr:uid="{00000000-0005-0000-0000-0000C9BC0000}"/>
    <cellStyle name="Normal 11 4 5 2 2 2 3" xfId="48836" xr:uid="{00000000-0005-0000-0000-0000CABC0000}"/>
    <cellStyle name="Normal 11 4 5 2 2 2 3 2" xfId="48837" xr:uid="{00000000-0005-0000-0000-0000CBBC0000}"/>
    <cellStyle name="Normal 11 4 5 2 2 2 4" xfId="48838" xr:uid="{00000000-0005-0000-0000-0000CCBC0000}"/>
    <cellStyle name="Normal 11 4 5 2 2 3" xfId="48839" xr:uid="{00000000-0005-0000-0000-0000CDBC0000}"/>
    <cellStyle name="Normal 11 4 5 2 2 3 2" xfId="48840" xr:uid="{00000000-0005-0000-0000-0000CEBC0000}"/>
    <cellStyle name="Normal 11 4 5 2 2 3 2 2" xfId="48841" xr:uid="{00000000-0005-0000-0000-0000CFBC0000}"/>
    <cellStyle name="Normal 11 4 5 2 2 3 2 2 2" xfId="48842" xr:uid="{00000000-0005-0000-0000-0000D0BC0000}"/>
    <cellStyle name="Normal 11 4 5 2 2 3 2 3" xfId="48843" xr:uid="{00000000-0005-0000-0000-0000D1BC0000}"/>
    <cellStyle name="Normal 11 4 5 2 2 3 3" xfId="48844" xr:uid="{00000000-0005-0000-0000-0000D2BC0000}"/>
    <cellStyle name="Normal 11 4 5 2 2 3 3 2" xfId="48845" xr:uid="{00000000-0005-0000-0000-0000D3BC0000}"/>
    <cellStyle name="Normal 11 4 5 2 2 3 4" xfId="48846" xr:uid="{00000000-0005-0000-0000-0000D4BC0000}"/>
    <cellStyle name="Normal 11 4 5 2 2 4" xfId="48847" xr:uid="{00000000-0005-0000-0000-0000D5BC0000}"/>
    <cellStyle name="Normal 11 4 5 2 2 4 2" xfId="48848" xr:uid="{00000000-0005-0000-0000-0000D6BC0000}"/>
    <cellStyle name="Normal 11 4 5 2 2 4 2 2" xfId="48849" xr:uid="{00000000-0005-0000-0000-0000D7BC0000}"/>
    <cellStyle name="Normal 11 4 5 2 2 4 3" xfId="48850" xr:uid="{00000000-0005-0000-0000-0000D8BC0000}"/>
    <cellStyle name="Normal 11 4 5 2 2 5" xfId="48851" xr:uid="{00000000-0005-0000-0000-0000D9BC0000}"/>
    <cellStyle name="Normal 11 4 5 2 2 5 2" xfId="48852" xr:uid="{00000000-0005-0000-0000-0000DABC0000}"/>
    <cellStyle name="Normal 11 4 5 2 2 6" xfId="48853" xr:uid="{00000000-0005-0000-0000-0000DBBC0000}"/>
    <cellStyle name="Normal 11 4 5 2 2 7" xfId="48830" xr:uid="{00000000-0005-0000-0000-0000DCBC0000}"/>
    <cellStyle name="Normal 11 4 5 2 3" xfId="48854" xr:uid="{00000000-0005-0000-0000-0000DDBC0000}"/>
    <cellStyle name="Normal 11 4 5 2 3 2" xfId="48855" xr:uid="{00000000-0005-0000-0000-0000DEBC0000}"/>
    <cellStyle name="Normal 11 4 5 2 3 2 2" xfId="48856" xr:uid="{00000000-0005-0000-0000-0000DFBC0000}"/>
    <cellStyle name="Normal 11 4 5 2 3 2 2 2" xfId="48857" xr:uid="{00000000-0005-0000-0000-0000E0BC0000}"/>
    <cellStyle name="Normal 11 4 5 2 3 2 2 2 2" xfId="48858" xr:uid="{00000000-0005-0000-0000-0000E1BC0000}"/>
    <cellStyle name="Normal 11 4 5 2 3 2 2 3" xfId="48859" xr:uid="{00000000-0005-0000-0000-0000E2BC0000}"/>
    <cellStyle name="Normal 11 4 5 2 3 2 3" xfId="48860" xr:uid="{00000000-0005-0000-0000-0000E3BC0000}"/>
    <cellStyle name="Normal 11 4 5 2 3 2 3 2" xfId="48861" xr:uid="{00000000-0005-0000-0000-0000E4BC0000}"/>
    <cellStyle name="Normal 11 4 5 2 3 2 4" xfId="48862" xr:uid="{00000000-0005-0000-0000-0000E5BC0000}"/>
    <cellStyle name="Normal 11 4 5 2 3 3" xfId="48863" xr:uid="{00000000-0005-0000-0000-0000E6BC0000}"/>
    <cellStyle name="Normal 11 4 5 2 3 3 2" xfId="48864" xr:uid="{00000000-0005-0000-0000-0000E7BC0000}"/>
    <cellStyle name="Normal 11 4 5 2 3 3 2 2" xfId="48865" xr:uid="{00000000-0005-0000-0000-0000E8BC0000}"/>
    <cellStyle name="Normal 11 4 5 2 3 3 3" xfId="48866" xr:uid="{00000000-0005-0000-0000-0000E9BC0000}"/>
    <cellStyle name="Normal 11 4 5 2 3 4" xfId="48867" xr:uid="{00000000-0005-0000-0000-0000EABC0000}"/>
    <cellStyle name="Normal 11 4 5 2 3 4 2" xfId="48868" xr:uid="{00000000-0005-0000-0000-0000EBBC0000}"/>
    <cellStyle name="Normal 11 4 5 2 3 5" xfId="48869" xr:uid="{00000000-0005-0000-0000-0000ECBC0000}"/>
    <cellStyle name="Normal 11 4 5 2 4" xfId="48870" xr:uid="{00000000-0005-0000-0000-0000EDBC0000}"/>
    <cellStyle name="Normal 11 4 5 2 4 2" xfId="48871" xr:uid="{00000000-0005-0000-0000-0000EEBC0000}"/>
    <cellStyle name="Normal 11 4 5 2 4 2 2" xfId="48872" xr:uid="{00000000-0005-0000-0000-0000EFBC0000}"/>
    <cellStyle name="Normal 11 4 5 2 4 2 2 2" xfId="48873" xr:uid="{00000000-0005-0000-0000-0000F0BC0000}"/>
    <cellStyle name="Normal 11 4 5 2 4 2 2 2 2" xfId="48874" xr:uid="{00000000-0005-0000-0000-0000F1BC0000}"/>
    <cellStyle name="Normal 11 4 5 2 4 2 2 3" xfId="48875" xr:uid="{00000000-0005-0000-0000-0000F2BC0000}"/>
    <cellStyle name="Normal 11 4 5 2 4 2 3" xfId="48876" xr:uid="{00000000-0005-0000-0000-0000F3BC0000}"/>
    <cellStyle name="Normal 11 4 5 2 4 2 3 2" xfId="48877" xr:uid="{00000000-0005-0000-0000-0000F4BC0000}"/>
    <cellStyle name="Normal 11 4 5 2 4 2 4" xfId="48878" xr:uid="{00000000-0005-0000-0000-0000F5BC0000}"/>
    <cellStyle name="Normal 11 4 5 2 4 3" xfId="48879" xr:uid="{00000000-0005-0000-0000-0000F6BC0000}"/>
    <cellStyle name="Normal 11 4 5 2 4 3 2" xfId="48880" xr:uid="{00000000-0005-0000-0000-0000F7BC0000}"/>
    <cellStyle name="Normal 11 4 5 2 4 3 2 2" xfId="48881" xr:uid="{00000000-0005-0000-0000-0000F8BC0000}"/>
    <cellStyle name="Normal 11 4 5 2 4 3 3" xfId="48882" xr:uid="{00000000-0005-0000-0000-0000F9BC0000}"/>
    <cellStyle name="Normal 11 4 5 2 4 4" xfId="48883" xr:uid="{00000000-0005-0000-0000-0000FABC0000}"/>
    <cellStyle name="Normal 11 4 5 2 4 4 2" xfId="48884" xr:uid="{00000000-0005-0000-0000-0000FBBC0000}"/>
    <cellStyle name="Normal 11 4 5 2 4 5" xfId="48885" xr:uid="{00000000-0005-0000-0000-0000FCBC0000}"/>
    <cellStyle name="Normal 11 4 5 2 5" xfId="48886" xr:uid="{00000000-0005-0000-0000-0000FDBC0000}"/>
    <cellStyle name="Normal 11 4 5 2 5 2" xfId="48887" xr:uid="{00000000-0005-0000-0000-0000FEBC0000}"/>
    <cellStyle name="Normal 11 4 5 2 5 2 2" xfId="48888" xr:uid="{00000000-0005-0000-0000-0000FFBC0000}"/>
    <cellStyle name="Normal 11 4 5 2 5 2 2 2" xfId="48889" xr:uid="{00000000-0005-0000-0000-000000BD0000}"/>
    <cellStyle name="Normal 11 4 5 2 5 2 3" xfId="48890" xr:uid="{00000000-0005-0000-0000-000001BD0000}"/>
    <cellStyle name="Normal 11 4 5 2 5 3" xfId="48891" xr:uid="{00000000-0005-0000-0000-000002BD0000}"/>
    <cellStyle name="Normal 11 4 5 2 5 3 2" xfId="48892" xr:uid="{00000000-0005-0000-0000-000003BD0000}"/>
    <cellStyle name="Normal 11 4 5 2 5 4" xfId="48893" xr:uid="{00000000-0005-0000-0000-000004BD0000}"/>
    <cellStyle name="Normal 11 4 5 2 6" xfId="48894" xr:uid="{00000000-0005-0000-0000-000005BD0000}"/>
    <cellStyle name="Normal 11 4 5 2 6 2" xfId="48895" xr:uid="{00000000-0005-0000-0000-000006BD0000}"/>
    <cellStyle name="Normal 11 4 5 2 6 2 2" xfId="48896" xr:uid="{00000000-0005-0000-0000-000007BD0000}"/>
    <cellStyle name="Normal 11 4 5 2 6 2 2 2" xfId="48897" xr:uid="{00000000-0005-0000-0000-000008BD0000}"/>
    <cellStyle name="Normal 11 4 5 2 6 2 3" xfId="48898" xr:uid="{00000000-0005-0000-0000-000009BD0000}"/>
    <cellStyle name="Normal 11 4 5 2 6 3" xfId="48899" xr:uid="{00000000-0005-0000-0000-00000ABD0000}"/>
    <cellStyle name="Normal 11 4 5 2 6 3 2" xfId="48900" xr:uid="{00000000-0005-0000-0000-00000BBD0000}"/>
    <cellStyle name="Normal 11 4 5 2 6 4" xfId="48901" xr:uid="{00000000-0005-0000-0000-00000CBD0000}"/>
    <cellStyle name="Normal 11 4 5 2 7" xfId="48902" xr:uid="{00000000-0005-0000-0000-00000DBD0000}"/>
    <cellStyle name="Normal 11 4 5 2 7 2" xfId="48903" xr:uid="{00000000-0005-0000-0000-00000EBD0000}"/>
    <cellStyle name="Normal 11 4 5 2 7 2 2" xfId="48904" xr:uid="{00000000-0005-0000-0000-00000FBD0000}"/>
    <cellStyle name="Normal 11 4 5 2 7 2 2 2" xfId="48905" xr:uid="{00000000-0005-0000-0000-000010BD0000}"/>
    <cellStyle name="Normal 11 4 5 2 7 2 3" xfId="48906" xr:uid="{00000000-0005-0000-0000-000011BD0000}"/>
    <cellStyle name="Normal 11 4 5 2 7 3" xfId="48907" xr:uid="{00000000-0005-0000-0000-000012BD0000}"/>
    <cellStyle name="Normal 11 4 5 2 7 3 2" xfId="48908" xr:uid="{00000000-0005-0000-0000-000013BD0000}"/>
    <cellStyle name="Normal 11 4 5 2 7 4" xfId="48909" xr:uid="{00000000-0005-0000-0000-000014BD0000}"/>
    <cellStyle name="Normal 11 4 5 2 8" xfId="48910" xr:uid="{00000000-0005-0000-0000-000015BD0000}"/>
    <cellStyle name="Normal 11 4 5 2 8 2" xfId="48911" xr:uid="{00000000-0005-0000-0000-000016BD0000}"/>
    <cellStyle name="Normal 11 4 5 2 8 2 2" xfId="48912" xr:uid="{00000000-0005-0000-0000-000017BD0000}"/>
    <cellStyle name="Normal 11 4 5 2 8 3" xfId="48913" xr:uid="{00000000-0005-0000-0000-000018BD0000}"/>
    <cellStyle name="Normal 11 4 5 2 9" xfId="48914" xr:uid="{00000000-0005-0000-0000-000019BD0000}"/>
    <cellStyle name="Normal 11 4 5 2 9 2" xfId="48915" xr:uid="{00000000-0005-0000-0000-00001ABD0000}"/>
    <cellStyle name="Normal 11 4 5 3" xfId="1497" xr:uid="{00000000-0005-0000-0000-00001BBD0000}"/>
    <cellStyle name="Normal 11 4 5 3 2" xfId="48917" xr:uid="{00000000-0005-0000-0000-00001CBD0000}"/>
    <cellStyle name="Normal 11 4 5 3 2 2" xfId="48918" xr:uid="{00000000-0005-0000-0000-00001DBD0000}"/>
    <cellStyle name="Normal 11 4 5 3 2 2 2" xfId="48919" xr:uid="{00000000-0005-0000-0000-00001EBD0000}"/>
    <cellStyle name="Normal 11 4 5 3 2 2 2 2" xfId="48920" xr:uid="{00000000-0005-0000-0000-00001FBD0000}"/>
    <cellStyle name="Normal 11 4 5 3 2 2 3" xfId="48921" xr:uid="{00000000-0005-0000-0000-000020BD0000}"/>
    <cellStyle name="Normal 11 4 5 3 2 3" xfId="48922" xr:uid="{00000000-0005-0000-0000-000021BD0000}"/>
    <cellStyle name="Normal 11 4 5 3 2 3 2" xfId="48923" xr:uid="{00000000-0005-0000-0000-000022BD0000}"/>
    <cellStyle name="Normal 11 4 5 3 2 4" xfId="48924" xr:uid="{00000000-0005-0000-0000-000023BD0000}"/>
    <cellStyle name="Normal 11 4 5 3 3" xfId="48925" xr:uid="{00000000-0005-0000-0000-000024BD0000}"/>
    <cellStyle name="Normal 11 4 5 3 3 2" xfId="48926" xr:uid="{00000000-0005-0000-0000-000025BD0000}"/>
    <cellStyle name="Normal 11 4 5 3 3 2 2" xfId="48927" xr:uid="{00000000-0005-0000-0000-000026BD0000}"/>
    <cellStyle name="Normal 11 4 5 3 3 2 2 2" xfId="48928" xr:uid="{00000000-0005-0000-0000-000027BD0000}"/>
    <cellStyle name="Normal 11 4 5 3 3 2 3" xfId="48929" xr:uid="{00000000-0005-0000-0000-000028BD0000}"/>
    <cellStyle name="Normal 11 4 5 3 3 3" xfId="48930" xr:uid="{00000000-0005-0000-0000-000029BD0000}"/>
    <cellStyle name="Normal 11 4 5 3 3 3 2" xfId="48931" xr:uid="{00000000-0005-0000-0000-00002ABD0000}"/>
    <cellStyle name="Normal 11 4 5 3 3 4" xfId="48932" xr:uid="{00000000-0005-0000-0000-00002BBD0000}"/>
    <cellStyle name="Normal 11 4 5 3 4" xfId="48933" xr:uid="{00000000-0005-0000-0000-00002CBD0000}"/>
    <cellStyle name="Normal 11 4 5 3 4 2" xfId="48934" xr:uid="{00000000-0005-0000-0000-00002DBD0000}"/>
    <cellStyle name="Normal 11 4 5 3 4 2 2" xfId="48935" xr:uid="{00000000-0005-0000-0000-00002EBD0000}"/>
    <cellStyle name="Normal 11 4 5 3 4 3" xfId="48936" xr:uid="{00000000-0005-0000-0000-00002FBD0000}"/>
    <cellStyle name="Normal 11 4 5 3 5" xfId="48937" xr:uid="{00000000-0005-0000-0000-000030BD0000}"/>
    <cellStyle name="Normal 11 4 5 3 5 2" xfId="48938" xr:uid="{00000000-0005-0000-0000-000031BD0000}"/>
    <cellStyle name="Normal 11 4 5 3 6" xfId="48939" xr:uid="{00000000-0005-0000-0000-000032BD0000}"/>
    <cellStyle name="Normal 11 4 5 3 7" xfId="48916" xr:uid="{00000000-0005-0000-0000-000033BD0000}"/>
    <cellStyle name="Normal 11 4 5 4" xfId="48940" xr:uid="{00000000-0005-0000-0000-000034BD0000}"/>
    <cellStyle name="Normal 11 4 5 4 2" xfId="48941" xr:uid="{00000000-0005-0000-0000-000035BD0000}"/>
    <cellStyle name="Normal 11 4 5 4 2 2" xfId="48942" xr:uid="{00000000-0005-0000-0000-000036BD0000}"/>
    <cellStyle name="Normal 11 4 5 4 2 2 2" xfId="48943" xr:uid="{00000000-0005-0000-0000-000037BD0000}"/>
    <cellStyle name="Normal 11 4 5 4 2 2 2 2" xfId="48944" xr:uid="{00000000-0005-0000-0000-000038BD0000}"/>
    <cellStyle name="Normal 11 4 5 4 2 2 3" xfId="48945" xr:uid="{00000000-0005-0000-0000-000039BD0000}"/>
    <cellStyle name="Normal 11 4 5 4 2 3" xfId="48946" xr:uid="{00000000-0005-0000-0000-00003ABD0000}"/>
    <cellStyle name="Normal 11 4 5 4 2 3 2" xfId="48947" xr:uid="{00000000-0005-0000-0000-00003BBD0000}"/>
    <cellStyle name="Normal 11 4 5 4 2 4" xfId="48948" xr:uid="{00000000-0005-0000-0000-00003CBD0000}"/>
    <cellStyle name="Normal 11 4 5 4 3" xfId="48949" xr:uid="{00000000-0005-0000-0000-00003DBD0000}"/>
    <cellStyle name="Normal 11 4 5 4 3 2" xfId="48950" xr:uid="{00000000-0005-0000-0000-00003EBD0000}"/>
    <cellStyle name="Normal 11 4 5 4 3 2 2" xfId="48951" xr:uid="{00000000-0005-0000-0000-00003FBD0000}"/>
    <cellStyle name="Normal 11 4 5 4 3 3" xfId="48952" xr:uid="{00000000-0005-0000-0000-000040BD0000}"/>
    <cellStyle name="Normal 11 4 5 4 4" xfId="48953" xr:uid="{00000000-0005-0000-0000-000041BD0000}"/>
    <cellStyle name="Normal 11 4 5 4 4 2" xfId="48954" xr:uid="{00000000-0005-0000-0000-000042BD0000}"/>
    <cellStyle name="Normal 11 4 5 4 5" xfId="48955" xr:uid="{00000000-0005-0000-0000-000043BD0000}"/>
    <cellStyle name="Normal 11 4 5 5" xfId="48956" xr:uid="{00000000-0005-0000-0000-000044BD0000}"/>
    <cellStyle name="Normal 11 4 5 5 2" xfId="48957" xr:uid="{00000000-0005-0000-0000-000045BD0000}"/>
    <cellStyle name="Normal 11 4 5 5 2 2" xfId="48958" xr:uid="{00000000-0005-0000-0000-000046BD0000}"/>
    <cellStyle name="Normal 11 4 5 5 2 2 2" xfId="48959" xr:uid="{00000000-0005-0000-0000-000047BD0000}"/>
    <cellStyle name="Normal 11 4 5 5 2 2 2 2" xfId="48960" xr:uid="{00000000-0005-0000-0000-000048BD0000}"/>
    <cellStyle name="Normal 11 4 5 5 2 2 3" xfId="48961" xr:uid="{00000000-0005-0000-0000-000049BD0000}"/>
    <cellStyle name="Normal 11 4 5 5 2 3" xfId="48962" xr:uid="{00000000-0005-0000-0000-00004ABD0000}"/>
    <cellStyle name="Normal 11 4 5 5 2 3 2" xfId="48963" xr:uid="{00000000-0005-0000-0000-00004BBD0000}"/>
    <cellStyle name="Normal 11 4 5 5 2 4" xfId="48964" xr:uid="{00000000-0005-0000-0000-00004CBD0000}"/>
    <cellStyle name="Normal 11 4 5 5 3" xfId="48965" xr:uid="{00000000-0005-0000-0000-00004DBD0000}"/>
    <cellStyle name="Normal 11 4 5 5 3 2" xfId="48966" xr:uid="{00000000-0005-0000-0000-00004EBD0000}"/>
    <cellStyle name="Normal 11 4 5 5 3 2 2" xfId="48967" xr:uid="{00000000-0005-0000-0000-00004FBD0000}"/>
    <cellStyle name="Normal 11 4 5 5 3 3" xfId="48968" xr:uid="{00000000-0005-0000-0000-000050BD0000}"/>
    <cellStyle name="Normal 11 4 5 5 4" xfId="48969" xr:uid="{00000000-0005-0000-0000-000051BD0000}"/>
    <cellStyle name="Normal 11 4 5 5 4 2" xfId="48970" xr:uid="{00000000-0005-0000-0000-000052BD0000}"/>
    <cellStyle name="Normal 11 4 5 5 5" xfId="48971" xr:uid="{00000000-0005-0000-0000-000053BD0000}"/>
    <cellStyle name="Normal 11 4 5 6" xfId="48972" xr:uid="{00000000-0005-0000-0000-000054BD0000}"/>
    <cellStyle name="Normal 11 4 5 6 2" xfId="48973" xr:uid="{00000000-0005-0000-0000-000055BD0000}"/>
    <cellStyle name="Normal 11 4 5 6 2 2" xfId="48974" xr:uid="{00000000-0005-0000-0000-000056BD0000}"/>
    <cellStyle name="Normal 11 4 5 6 2 2 2" xfId="48975" xr:uid="{00000000-0005-0000-0000-000057BD0000}"/>
    <cellStyle name="Normal 11 4 5 6 2 3" xfId="48976" xr:uid="{00000000-0005-0000-0000-000058BD0000}"/>
    <cellStyle name="Normal 11 4 5 6 3" xfId="48977" xr:uid="{00000000-0005-0000-0000-000059BD0000}"/>
    <cellStyle name="Normal 11 4 5 6 3 2" xfId="48978" xr:uid="{00000000-0005-0000-0000-00005ABD0000}"/>
    <cellStyle name="Normal 11 4 5 6 4" xfId="48979" xr:uid="{00000000-0005-0000-0000-00005BBD0000}"/>
    <cellStyle name="Normal 11 4 5 7" xfId="48980" xr:uid="{00000000-0005-0000-0000-00005CBD0000}"/>
    <cellStyle name="Normal 11 4 5 7 2" xfId="48981" xr:uid="{00000000-0005-0000-0000-00005DBD0000}"/>
    <cellStyle name="Normal 11 4 5 7 2 2" xfId="48982" xr:uid="{00000000-0005-0000-0000-00005EBD0000}"/>
    <cellStyle name="Normal 11 4 5 7 2 2 2" xfId="48983" xr:uid="{00000000-0005-0000-0000-00005FBD0000}"/>
    <cellStyle name="Normal 11 4 5 7 2 3" xfId="48984" xr:uid="{00000000-0005-0000-0000-000060BD0000}"/>
    <cellStyle name="Normal 11 4 5 7 3" xfId="48985" xr:uid="{00000000-0005-0000-0000-000061BD0000}"/>
    <cellStyle name="Normal 11 4 5 7 3 2" xfId="48986" xr:uid="{00000000-0005-0000-0000-000062BD0000}"/>
    <cellStyle name="Normal 11 4 5 7 4" xfId="48987" xr:uid="{00000000-0005-0000-0000-000063BD0000}"/>
    <cellStyle name="Normal 11 4 5 8" xfId="48988" xr:uid="{00000000-0005-0000-0000-000064BD0000}"/>
    <cellStyle name="Normal 11 4 5 8 2" xfId="48989" xr:uid="{00000000-0005-0000-0000-000065BD0000}"/>
    <cellStyle name="Normal 11 4 5 8 2 2" xfId="48990" xr:uid="{00000000-0005-0000-0000-000066BD0000}"/>
    <cellStyle name="Normal 11 4 5 8 2 2 2" xfId="48991" xr:uid="{00000000-0005-0000-0000-000067BD0000}"/>
    <cellStyle name="Normal 11 4 5 8 2 3" xfId="48992" xr:uid="{00000000-0005-0000-0000-000068BD0000}"/>
    <cellStyle name="Normal 11 4 5 8 3" xfId="48993" xr:uid="{00000000-0005-0000-0000-000069BD0000}"/>
    <cellStyle name="Normal 11 4 5 8 3 2" xfId="48994" xr:uid="{00000000-0005-0000-0000-00006ABD0000}"/>
    <cellStyle name="Normal 11 4 5 8 4" xfId="48995" xr:uid="{00000000-0005-0000-0000-00006BBD0000}"/>
    <cellStyle name="Normal 11 4 5 9" xfId="48996" xr:uid="{00000000-0005-0000-0000-00006CBD0000}"/>
    <cellStyle name="Normal 11 4 5 9 2" xfId="48997" xr:uid="{00000000-0005-0000-0000-00006DBD0000}"/>
    <cellStyle name="Normal 11 4 5 9 2 2" xfId="48998" xr:uid="{00000000-0005-0000-0000-00006EBD0000}"/>
    <cellStyle name="Normal 11 4 5 9 3" xfId="48999" xr:uid="{00000000-0005-0000-0000-00006FBD0000}"/>
    <cellStyle name="Normal 11 4 6" xfId="654" xr:uid="{00000000-0005-0000-0000-000070BD0000}"/>
    <cellStyle name="Normal 11 4 6 10" xfId="49001" xr:uid="{00000000-0005-0000-0000-000071BD0000}"/>
    <cellStyle name="Normal 11 4 6 10 2" xfId="49002" xr:uid="{00000000-0005-0000-0000-000072BD0000}"/>
    <cellStyle name="Normal 11 4 6 10 2 2" xfId="49003" xr:uid="{00000000-0005-0000-0000-000073BD0000}"/>
    <cellStyle name="Normal 11 4 6 10 3" xfId="49004" xr:uid="{00000000-0005-0000-0000-000074BD0000}"/>
    <cellStyle name="Normal 11 4 6 11" xfId="49005" xr:uid="{00000000-0005-0000-0000-000075BD0000}"/>
    <cellStyle name="Normal 11 4 6 11 2" xfId="49006" xr:uid="{00000000-0005-0000-0000-000076BD0000}"/>
    <cellStyle name="Normal 11 4 6 11 2 2" xfId="49007" xr:uid="{00000000-0005-0000-0000-000077BD0000}"/>
    <cellStyle name="Normal 11 4 6 11 3" xfId="49008" xr:uid="{00000000-0005-0000-0000-000078BD0000}"/>
    <cellStyle name="Normal 11 4 6 12" xfId="49009" xr:uid="{00000000-0005-0000-0000-000079BD0000}"/>
    <cellStyle name="Normal 11 4 6 12 2" xfId="49010" xr:uid="{00000000-0005-0000-0000-00007ABD0000}"/>
    <cellStyle name="Normal 11 4 6 13" xfId="49011" xr:uid="{00000000-0005-0000-0000-00007BBD0000}"/>
    <cellStyle name="Normal 11 4 6 14" xfId="49012" xr:uid="{00000000-0005-0000-0000-00007CBD0000}"/>
    <cellStyle name="Normal 11 4 6 15" xfId="49000" xr:uid="{00000000-0005-0000-0000-00007DBD0000}"/>
    <cellStyle name="Normal 11 4 6 2" xfId="1096" xr:uid="{00000000-0005-0000-0000-00007EBD0000}"/>
    <cellStyle name="Normal 11 4 6 2 10" xfId="49014" xr:uid="{00000000-0005-0000-0000-00007FBD0000}"/>
    <cellStyle name="Normal 11 4 6 2 11" xfId="49013" xr:uid="{00000000-0005-0000-0000-000080BD0000}"/>
    <cellStyle name="Normal 11 4 6 2 2" xfId="1825" xr:uid="{00000000-0005-0000-0000-000081BD0000}"/>
    <cellStyle name="Normal 11 4 6 2 2 2" xfId="49016" xr:uid="{00000000-0005-0000-0000-000082BD0000}"/>
    <cellStyle name="Normal 11 4 6 2 2 2 2" xfId="49017" xr:uid="{00000000-0005-0000-0000-000083BD0000}"/>
    <cellStyle name="Normal 11 4 6 2 2 2 2 2" xfId="49018" xr:uid="{00000000-0005-0000-0000-000084BD0000}"/>
    <cellStyle name="Normal 11 4 6 2 2 2 2 2 2" xfId="49019" xr:uid="{00000000-0005-0000-0000-000085BD0000}"/>
    <cellStyle name="Normal 11 4 6 2 2 2 2 3" xfId="49020" xr:uid="{00000000-0005-0000-0000-000086BD0000}"/>
    <cellStyle name="Normal 11 4 6 2 2 2 3" xfId="49021" xr:uid="{00000000-0005-0000-0000-000087BD0000}"/>
    <cellStyle name="Normal 11 4 6 2 2 2 3 2" xfId="49022" xr:uid="{00000000-0005-0000-0000-000088BD0000}"/>
    <cellStyle name="Normal 11 4 6 2 2 2 4" xfId="49023" xr:uid="{00000000-0005-0000-0000-000089BD0000}"/>
    <cellStyle name="Normal 11 4 6 2 2 3" xfId="49024" xr:uid="{00000000-0005-0000-0000-00008ABD0000}"/>
    <cellStyle name="Normal 11 4 6 2 2 3 2" xfId="49025" xr:uid="{00000000-0005-0000-0000-00008BBD0000}"/>
    <cellStyle name="Normal 11 4 6 2 2 3 2 2" xfId="49026" xr:uid="{00000000-0005-0000-0000-00008CBD0000}"/>
    <cellStyle name="Normal 11 4 6 2 2 3 2 2 2" xfId="49027" xr:uid="{00000000-0005-0000-0000-00008DBD0000}"/>
    <cellStyle name="Normal 11 4 6 2 2 3 2 3" xfId="49028" xr:uid="{00000000-0005-0000-0000-00008EBD0000}"/>
    <cellStyle name="Normal 11 4 6 2 2 3 3" xfId="49029" xr:uid="{00000000-0005-0000-0000-00008FBD0000}"/>
    <cellStyle name="Normal 11 4 6 2 2 3 3 2" xfId="49030" xr:uid="{00000000-0005-0000-0000-000090BD0000}"/>
    <cellStyle name="Normal 11 4 6 2 2 3 4" xfId="49031" xr:uid="{00000000-0005-0000-0000-000091BD0000}"/>
    <cellStyle name="Normal 11 4 6 2 2 4" xfId="49032" xr:uid="{00000000-0005-0000-0000-000092BD0000}"/>
    <cellStyle name="Normal 11 4 6 2 2 4 2" xfId="49033" xr:uid="{00000000-0005-0000-0000-000093BD0000}"/>
    <cellStyle name="Normal 11 4 6 2 2 4 2 2" xfId="49034" xr:uid="{00000000-0005-0000-0000-000094BD0000}"/>
    <cellStyle name="Normal 11 4 6 2 2 4 3" xfId="49035" xr:uid="{00000000-0005-0000-0000-000095BD0000}"/>
    <cellStyle name="Normal 11 4 6 2 2 5" xfId="49036" xr:uid="{00000000-0005-0000-0000-000096BD0000}"/>
    <cellStyle name="Normal 11 4 6 2 2 5 2" xfId="49037" xr:uid="{00000000-0005-0000-0000-000097BD0000}"/>
    <cellStyle name="Normal 11 4 6 2 2 6" xfId="49038" xr:uid="{00000000-0005-0000-0000-000098BD0000}"/>
    <cellStyle name="Normal 11 4 6 2 2 7" xfId="49015" xr:uid="{00000000-0005-0000-0000-000099BD0000}"/>
    <cellStyle name="Normal 11 4 6 2 3" xfId="49039" xr:uid="{00000000-0005-0000-0000-00009ABD0000}"/>
    <cellStyle name="Normal 11 4 6 2 3 2" xfId="49040" xr:uid="{00000000-0005-0000-0000-00009BBD0000}"/>
    <cellStyle name="Normal 11 4 6 2 3 2 2" xfId="49041" xr:uid="{00000000-0005-0000-0000-00009CBD0000}"/>
    <cellStyle name="Normal 11 4 6 2 3 2 2 2" xfId="49042" xr:uid="{00000000-0005-0000-0000-00009DBD0000}"/>
    <cellStyle name="Normal 11 4 6 2 3 2 2 2 2" xfId="49043" xr:uid="{00000000-0005-0000-0000-00009EBD0000}"/>
    <cellStyle name="Normal 11 4 6 2 3 2 2 3" xfId="49044" xr:uid="{00000000-0005-0000-0000-00009FBD0000}"/>
    <cellStyle name="Normal 11 4 6 2 3 2 3" xfId="49045" xr:uid="{00000000-0005-0000-0000-0000A0BD0000}"/>
    <cellStyle name="Normal 11 4 6 2 3 2 3 2" xfId="49046" xr:uid="{00000000-0005-0000-0000-0000A1BD0000}"/>
    <cellStyle name="Normal 11 4 6 2 3 2 4" xfId="49047" xr:uid="{00000000-0005-0000-0000-0000A2BD0000}"/>
    <cellStyle name="Normal 11 4 6 2 3 3" xfId="49048" xr:uid="{00000000-0005-0000-0000-0000A3BD0000}"/>
    <cellStyle name="Normal 11 4 6 2 3 3 2" xfId="49049" xr:uid="{00000000-0005-0000-0000-0000A4BD0000}"/>
    <cellStyle name="Normal 11 4 6 2 3 3 2 2" xfId="49050" xr:uid="{00000000-0005-0000-0000-0000A5BD0000}"/>
    <cellStyle name="Normal 11 4 6 2 3 3 3" xfId="49051" xr:uid="{00000000-0005-0000-0000-0000A6BD0000}"/>
    <cellStyle name="Normal 11 4 6 2 3 4" xfId="49052" xr:uid="{00000000-0005-0000-0000-0000A7BD0000}"/>
    <cellStyle name="Normal 11 4 6 2 3 4 2" xfId="49053" xr:uid="{00000000-0005-0000-0000-0000A8BD0000}"/>
    <cellStyle name="Normal 11 4 6 2 3 5" xfId="49054" xr:uid="{00000000-0005-0000-0000-0000A9BD0000}"/>
    <cellStyle name="Normal 11 4 6 2 4" xfId="49055" xr:uid="{00000000-0005-0000-0000-0000AABD0000}"/>
    <cellStyle name="Normal 11 4 6 2 4 2" xfId="49056" xr:uid="{00000000-0005-0000-0000-0000ABBD0000}"/>
    <cellStyle name="Normal 11 4 6 2 4 2 2" xfId="49057" xr:uid="{00000000-0005-0000-0000-0000ACBD0000}"/>
    <cellStyle name="Normal 11 4 6 2 4 2 2 2" xfId="49058" xr:uid="{00000000-0005-0000-0000-0000ADBD0000}"/>
    <cellStyle name="Normal 11 4 6 2 4 2 2 2 2" xfId="49059" xr:uid="{00000000-0005-0000-0000-0000AEBD0000}"/>
    <cellStyle name="Normal 11 4 6 2 4 2 2 3" xfId="49060" xr:uid="{00000000-0005-0000-0000-0000AFBD0000}"/>
    <cellStyle name="Normal 11 4 6 2 4 2 3" xfId="49061" xr:uid="{00000000-0005-0000-0000-0000B0BD0000}"/>
    <cellStyle name="Normal 11 4 6 2 4 2 3 2" xfId="49062" xr:uid="{00000000-0005-0000-0000-0000B1BD0000}"/>
    <cellStyle name="Normal 11 4 6 2 4 2 4" xfId="49063" xr:uid="{00000000-0005-0000-0000-0000B2BD0000}"/>
    <cellStyle name="Normal 11 4 6 2 4 3" xfId="49064" xr:uid="{00000000-0005-0000-0000-0000B3BD0000}"/>
    <cellStyle name="Normal 11 4 6 2 4 3 2" xfId="49065" xr:uid="{00000000-0005-0000-0000-0000B4BD0000}"/>
    <cellStyle name="Normal 11 4 6 2 4 3 2 2" xfId="49066" xr:uid="{00000000-0005-0000-0000-0000B5BD0000}"/>
    <cellStyle name="Normal 11 4 6 2 4 3 3" xfId="49067" xr:uid="{00000000-0005-0000-0000-0000B6BD0000}"/>
    <cellStyle name="Normal 11 4 6 2 4 4" xfId="49068" xr:uid="{00000000-0005-0000-0000-0000B7BD0000}"/>
    <cellStyle name="Normal 11 4 6 2 4 4 2" xfId="49069" xr:uid="{00000000-0005-0000-0000-0000B8BD0000}"/>
    <cellStyle name="Normal 11 4 6 2 4 5" xfId="49070" xr:uid="{00000000-0005-0000-0000-0000B9BD0000}"/>
    <cellStyle name="Normal 11 4 6 2 5" xfId="49071" xr:uid="{00000000-0005-0000-0000-0000BABD0000}"/>
    <cellStyle name="Normal 11 4 6 2 5 2" xfId="49072" xr:uid="{00000000-0005-0000-0000-0000BBBD0000}"/>
    <cellStyle name="Normal 11 4 6 2 5 2 2" xfId="49073" xr:uid="{00000000-0005-0000-0000-0000BCBD0000}"/>
    <cellStyle name="Normal 11 4 6 2 5 2 2 2" xfId="49074" xr:uid="{00000000-0005-0000-0000-0000BDBD0000}"/>
    <cellStyle name="Normal 11 4 6 2 5 2 3" xfId="49075" xr:uid="{00000000-0005-0000-0000-0000BEBD0000}"/>
    <cellStyle name="Normal 11 4 6 2 5 3" xfId="49076" xr:uid="{00000000-0005-0000-0000-0000BFBD0000}"/>
    <cellStyle name="Normal 11 4 6 2 5 3 2" xfId="49077" xr:uid="{00000000-0005-0000-0000-0000C0BD0000}"/>
    <cellStyle name="Normal 11 4 6 2 5 4" xfId="49078" xr:uid="{00000000-0005-0000-0000-0000C1BD0000}"/>
    <cellStyle name="Normal 11 4 6 2 6" xfId="49079" xr:uid="{00000000-0005-0000-0000-0000C2BD0000}"/>
    <cellStyle name="Normal 11 4 6 2 6 2" xfId="49080" xr:uid="{00000000-0005-0000-0000-0000C3BD0000}"/>
    <cellStyle name="Normal 11 4 6 2 6 2 2" xfId="49081" xr:uid="{00000000-0005-0000-0000-0000C4BD0000}"/>
    <cellStyle name="Normal 11 4 6 2 6 2 2 2" xfId="49082" xr:uid="{00000000-0005-0000-0000-0000C5BD0000}"/>
    <cellStyle name="Normal 11 4 6 2 6 2 3" xfId="49083" xr:uid="{00000000-0005-0000-0000-0000C6BD0000}"/>
    <cellStyle name="Normal 11 4 6 2 6 3" xfId="49084" xr:uid="{00000000-0005-0000-0000-0000C7BD0000}"/>
    <cellStyle name="Normal 11 4 6 2 6 3 2" xfId="49085" xr:uid="{00000000-0005-0000-0000-0000C8BD0000}"/>
    <cellStyle name="Normal 11 4 6 2 6 4" xfId="49086" xr:uid="{00000000-0005-0000-0000-0000C9BD0000}"/>
    <cellStyle name="Normal 11 4 6 2 7" xfId="49087" xr:uid="{00000000-0005-0000-0000-0000CABD0000}"/>
    <cellStyle name="Normal 11 4 6 2 7 2" xfId="49088" xr:uid="{00000000-0005-0000-0000-0000CBBD0000}"/>
    <cellStyle name="Normal 11 4 6 2 7 2 2" xfId="49089" xr:uid="{00000000-0005-0000-0000-0000CCBD0000}"/>
    <cellStyle name="Normal 11 4 6 2 7 2 2 2" xfId="49090" xr:uid="{00000000-0005-0000-0000-0000CDBD0000}"/>
    <cellStyle name="Normal 11 4 6 2 7 2 3" xfId="49091" xr:uid="{00000000-0005-0000-0000-0000CEBD0000}"/>
    <cellStyle name="Normal 11 4 6 2 7 3" xfId="49092" xr:uid="{00000000-0005-0000-0000-0000CFBD0000}"/>
    <cellStyle name="Normal 11 4 6 2 7 3 2" xfId="49093" xr:uid="{00000000-0005-0000-0000-0000D0BD0000}"/>
    <cellStyle name="Normal 11 4 6 2 7 4" xfId="49094" xr:uid="{00000000-0005-0000-0000-0000D1BD0000}"/>
    <cellStyle name="Normal 11 4 6 2 8" xfId="49095" xr:uid="{00000000-0005-0000-0000-0000D2BD0000}"/>
    <cellStyle name="Normal 11 4 6 2 8 2" xfId="49096" xr:uid="{00000000-0005-0000-0000-0000D3BD0000}"/>
    <cellStyle name="Normal 11 4 6 2 8 2 2" xfId="49097" xr:uid="{00000000-0005-0000-0000-0000D4BD0000}"/>
    <cellStyle name="Normal 11 4 6 2 8 3" xfId="49098" xr:uid="{00000000-0005-0000-0000-0000D5BD0000}"/>
    <cellStyle name="Normal 11 4 6 2 9" xfId="49099" xr:uid="{00000000-0005-0000-0000-0000D6BD0000}"/>
    <cellStyle name="Normal 11 4 6 2 9 2" xfId="49100" xr:uid="{00000000-0005-0000-0000-0000D7BD0000}"/>
    <cellStyle name="Normal 11 4 6 3" xfId="1498" xr:uid="{00000000-0005-0000-0000-0000D8BD0000}"/>
    <cellStyle name="Normal 11 4 6 3 2" xfId="49102" xr:uid="{00000000-0005-0000-0000-0000D9BD0000}"/>
    <cellStyle name="Normal 11 4 6 3 2 2" xfId="49103" xr:uid="{00000000-0005-0000-0000-0000DABD0000}"/>
    <cellStyle name="Normal 11 4 6 3 2 2 2" xfId="49104" xr:uid="{00000000-0005-0000-0000-0000DBBD0000}"/>
    <cellStyle name="Normal 11 4 6 3 2 2 2 2" xfId="49105" xr:uid="{00000000-0005-0000-0000-0000DCBD0000}"/>
    <cellStyle name="Normal 11 4 6 3 2 2 3" xfId="49106" xr:uid="{00000000-0005-0000-0000-0000DDBD0000}"/>
    <cellStyle name="Normal 11 4 6 3 2 3" xfId="49107" xr:uid="{00000000-0005-0000-0000-0000DEBD0000}"/>
    <cellStyle name="Normal 11 4 6 3 2 3 2" xfId="49108" xr:uid="{00000000-0005-0000-0000-0000DFBD0000}"/>
    <cellStyle name="Normal 11 4 6 3 2 4" xfId="49109" xr:uid="{00000000-0005-0000-0000-0000E0BD0000}"/>
    <cellStyle name="Normal 11 4 6 3 3" xfId="49110" xr:uid="{00000000-0005-0000-0000-0000E1BD0000}"/>
    <cellStyle name="Normal 11 4 6 3 3 2" xfId="49111" xr:uid="{00000000-0005-0000-0000-0000E2BD0000}"/>
    <cellStyle name="Normal 11 4 6 3 3 2 2" xfId="49112" xr:uid="{00000000-0005-0000-0000-0000E3BD0000}"/>
    <cellStyle name="Normal 11 4 6 3 3 2 2 2" xfId="49113" xr:uid="{00000000-0005-0000-0000-0000E4BD0000}"/>
    <cellStyle name="Normal 11 4 6 3 3 2 3" xfId="49114" xr:uid="{00000000-0005-0000-0000-0000E5BD0000}"/>
    <cellStyle name="Normal 11 4 6 3 3 3" xfId="49115" xr:uid="{00000000-0005-0000-0000-0000E6BD0000}"/>
    <cellStyle name="Normal 11 4 6 3 3 3 2" xfId="49116" xr:uid="{00000000-0005-0000-0000-0000E7BD0000}"/>
    <cellStyle name="Normal 11 4 6 3 3 4" xfId="49117" xr:uid="{00000000-0005-0000-0000-0000E8BD0000}"/>
    <cellStyle name="Normal 11 4 6 3 4" xfId="49118" xr:uid="{00000000-0005-0000-0000-0000E9BD0000}"/>
    <cellStyle name="Normal 11 4 6 3 4 2" xfId="49119" xr:uid="{00000000-0005-0000-0000-0000EABD0000}"/>
    <cellStyle name="Normal 11 4 6 3 4 2 2" xfId="49120" xr:uid="{00000000-0005-0000-0000-0000EBBD0000}"/>
    <cellStyle name="Normal 11 4 6 3 4 3" xfId="49121" xr:uid="{00000000-0005-0000-0000-0000ECBD0000}"/>
    <cellStyle name="Normal 11 4 6 3 5" xfId="49122" xr:uid="{00000000-0005-0000-0000-0000EDBD0000}"/>
    <cellStyle name="Normal 11 4 6 3 5 2" xfId="49123" xr:uid="{00000000-0005-0000-0000-0000EEBD0000}"/>
    <cellStyle name="Normal 11 4 6 3 6" xfId="49124" xr:uid="{00000000-0005-0000-0000-0000EFBD0000}"/>
    <cellStyle name="Normal 11 4 6 3 7" xfId="49101" xr:uid="{00000000-0005-0000-0000-0000F0BD0000}"/>
    <cellStyle name="Normal 11 4 6 4" xfId="49125" xr:uid="{00000000-0005-0000-0000-0000F1BD0000}"/>
    <cellStyle name="Normal 11 4 6 4 2" xfId="49126" xr:uid="{00000000-0005-0000-0000-0000F2BD0000}"/>
    <cellStyle name="Normal 11 4 6 4 2 2" xfId="49127" xr:uid="{00000000-0005-0000-0000-0000F3BD0000}"/>
    <cellStyle name="Normal 11 4 6 4 2 2 2" xfId="49128" xr:uid="{00000000-0005-0000-0000-0000F4BD0000}"/>
    <cellStyle name="Normal 11 4 6 4 2 2 2 2" xfId="49129" xr:uid="{00000000-0005-0000-0000-0000F5BD0000}"/>
    <cellStyle name="Normal 11 4 6 4 2 2 3" xfId="49130" xr:uid="{00000000-0005-0000-0000-0000F6BD0000}"/>
    <cellStyle name="Normal 11 4 6 4 2 3" xfId="49131" xr:uid="{00000000-0005-0000-0000-0000F7BD0000}"/>
    <cellStyle name="Normal 11 4 6 4 2 3 2" xfId="49132" xr:uid="{00000000-0005-0000-0000-0000F8BD0000}"/>
    <cellStyle name="Normal 11 4 6 4 2 4" xfId="49133" xr:uid="{00000000-0005-0000-0000-0000F9BD0000}"/>
    <cellStyle name="Normal 11 4 6 4 3" xfId="49134" xr:uid="{00000000-0005-0000-0000-0000FABD0000}"/>
    <cellStyle name="Normal 11 4 6 4 3 2" xfId="49135" xr:uid="{00000000-0005-0000-0000-0000FBBD0000}"/>
    <cellStyle name="Normal 11 4 6 4 3 2 2" xfId="49136" xr:uid="{00000000-0005-0000-0000-0000FCBD0000}"/>
    <cellStyle name="Normal 11 4 6 4 3 3" xfId="49137" xr:uid="{00000000-0005-0000-0000-0000FDBD0000}"/>
    <cellStyle name="Normal 11 4 6 4 4" xfId="49138" xr:uid="{00000000-0005-0000-0000-0000FEBD0000}"/>
    <cellStyle name="Normal 11 4 6 4 4 2" xfId="49139" xr:uid="{00000000-0005-0000-0000-0000FFBD0000}"/>
    <cellStyle name="Normal 11 4 6 4 5" xfId="49140" xr:uid="{00000000-0005-0000-0000-000000BE0000}"/>
    <cellStyle name="Normal 11 4 6 5" xfId="49141" xr:uid="{00000000-0005-0000-0000-000001BE0000}"/>
    <cellStyle name="Normal 11 4 6 5 2" xfId="49142" xr:uid="{00000000-0005-0000-0000-000002BE0000}"/>
    <cellStyle name="Normal 11 4 6 5 2 2" xfId="49143" xr:uid="{00000000-0005-0000-0000-000003BE0000}"/>
    <cellStyle name="Normal 11 4 6 5 2 2 2" xfId="49144" xr:uid="{00000000-0005-0000-0000-000004BE0000}"/>
    <cellStyle name="Normal 11 4 6 5 2 2 2 2" xfId="49145" xr:uid="{00000000-0005-0000-0000-000005BE0000}"/>
    <cellStyle name="Normal 11 4 6 5 2 2 3" xfId="49146" xr:uid="{00000000-0005-0000-0000-000006BE0000}"/>
    <cellStyle name="Normal 11 4 6 5 2 3" xfId="49147" xr:uid="{00000000-0005-0000-0000-000007BE0000}"/>
    <cellStyle name="Normal 11 4 6 5 2 3 2" xfId="49148" xr:uid="{00000000-0005-0000-0000-000008BE0000}"/>
    <cellStyle name="Normal 11 4 6 5 2 4" xfId="49149" xr:uid="{00000000-0005-0000-0000-000009BE0000}"/>
    <cellStyle name="Normal 11 4 6 5 3" xfId="49150" xr:uid="{00000000-0005-0000-0000-00000ABE0000}"/>
    <cellStyle name="Normal 11 4 6 5 3 2" xfId="49151" xr:uid="{00000000-0005-0000-0000-00000BBE0000}"/>
    <cellStyle name="Normal 11 4 6 5 3 2 2" xfId="49152" xr:uid="{00000000-0005-0000-0000-00000CBE0000}"/>
    <cellStyle name="Normal 11 4 6 5 3 3" xfId="49153" xr:uid="{00000000-0005-0000-0000-00000DBE0000}"/>
    <cellStyle name="Normal 11 4 6 5 4" xfId="49154" xr:uid="{00000000-0005-0000-0000-00000EBE0000}"/>
    <cellStyle name="Normal 11 4 6 5 4 2" xfId="49155" xr:uid="{00000000-0005-0000-0000-00000FBE0000}"/>
    <cellStyle name="Normal 11 4 6 5 5" xfId="49156" xr:uid="{00000000-0005-0000-0000-000010BE0000}"/>
    <cellStyle name="Normal 11 4 6 6" xfId="49157" xr:uid="{00000000-0005-0000-0000-000011BE0000}"/>
    <cellStyle name="Normal 11 4 6 6 2" xfId="49158" xr:uid="{00000000-0005-0000-0000-000012BE0000}"/>
    <cellStyle name="Normal 11 4 6 6 2 2" xfId="49159" xr:uid="{00000000-0005-0000-0000-000013BE0000}"/>
    <cellStyle name="Normal 11 4 6 6 2 2 2" xfId="49160" xr:uid="{00000000-0005-0000-0000-000014BE0000}"/>
    <cellStyle name="Normal 11 4 6 6 2 3" xfId="49161" xr:uid="{00000000-0005-0000-0000-000015BE0000}"/>
    <cellStyle name="Normal 11 4 6 6 3" xfId="49162" xr:uid="{00000000-0005-0000-0000-000016BE0000}"/>
    <cellStyle name="Normal 11 4 6 6 3 2" xfId="49163" xr:uid="{00000000-0005-0000-0000-000017BE0000}"/>
    <cellStyle name="Normal 11 4 6 6 4" xfId="49164" xr:uid="{00000000-0005-0000-0000-000018BE0000}"/>
    <cellStyle name="Normal 11 4 6 7" xfId="49165" xr:uid="{00000000-0005-0000-0000-000019BE0000}"/>
    <cellStyle name="Normal 11 4 6 7 2" xfId="49166" xr:uid="{00000000-0005-0000-0000-00001ABE0000}"/>
    <cellStyle name="Normal 11 4 6 7 2 2" xfId="49167" xr:uid="{00000000-0005-0000-0000-00001BBE0000}"/>
    <cellStyle name="Normal 11 4 6 7 2 2 2" xfId="49168" xr:uid="{00000000-0005-0000-0000-00001CBE0000}"/>
    <cellStyle name="Normal 11 4 6 7 2 3" xfId="49169" xr:uid="{00000000-0005-0000-0000-00001DBE0000}"/>
    <cellStyle name="Normal 11 4 6 7 3" xfId="49170" xr:uid="{00000000-0005-0000-0000-00001EBE0000}"/>
    <cellStyle name="Normal 11 4 6 7 3 2" xfId="49171" xr:uid="{00000000-0005-0000-0000-00001FBE0000}"/>
    <cellStyle name="Normal 11 4 6 7 4" xfId="49172" xr:uid="{00000000-0005-0000-0000-000020BE0000}"/>
    <cellStyle name="Normal 11 4 6 8" xfId="49173" xr:uid="{00000000-0005-0000-0000-000021BE0000}"/>
    <cellStyle name="Normal 11 4 6 8 2" xfId="49174" xr:uid="{00000000-0005-0000-0000-000022BE0000}"/>
    <cellStyle name="Normal 11 4 6 8 2 2" xfId="49175" xr:uid="{00000000-0005-0000-0000-000023BE0000}"/>
    <cellStyle name="Normal 11 4 6 8 2 2 2" xfId="49176" xr:uid="{00000000-0005-0000-0000-000024BE0000}"/>
    <cellStyle name="Normal 11 4 6 8 2 3" xfId="49177" xr:uid="{00000000-0005-0000-0000-000025BE0000}"/>
    <cellStyle name="Normal 11 4 6 8 3" xfId="49178" xr:uid="{00000000-0005-0000-0000-000026BE0000}"/>
    <cellStyle name="Normal 11 4 6 8 3 2" xfId="49179" xr:uid="{00000000-0005-0000-0000-000027BE0000}"/>
    <cellStyle name="Normal 11 4 6 8 4" xfId="49180" xr:uid="{00000000-0005-0000-0000-000028BE0000}"/>
    <cellStyle name="Normal 11 4 6 9" xfId="49181" xr:uid="{00000000-0005-0000-0000-000029BE0000}"/>
    <cellStyle name="Normal 11 4 6 9 2" xfId="49182" xr:uid="{00000000-0005-0000-0000-00002ABE0000}"/>
    <cellStyle name="Normal 11 4 6 9 2 2" xfId="49183" xr:uid="{00000000-0005-0000-0000-00002BBE0000}"/>
    <cellStyle name="Normal 11 4 6 9 3" xfId="49184" xr:uid="{00000000-0005-0000-0000-00002CBE0000}"/>
    <cellStyle name="Normal 11 4 7" xfId="1073" xr:uid="{00000000-0005-0000-0000-00002DBE0000}"/>
    <cellStyle name="Normal 11 4 7 10" xfId="49186" xr:uid="{00000000-0005-0000-0000-00002EBE0000}"/>
    <cellStyle name="Normal 11 4 7 11" xfId="49185" xr:uid="{00000000-0005-0000-0000-00002FBE0000}"/>
    <cellStyle name="Normal 11 4 7 2" xfId="1802" xr:uid="{00000000-0005-0000-0000-000030BE0000}"/>
    <cellStyle name="Normal 11 4 7 2 2" xfId="49188" xr:uid="{00000000-0005-0000-0000-000031BE0000}"/>
    <cellStyle name="Normal 11 4 7 2 2 2" xfId="49189" xr:uid="{00000000-0005-0000-0000-000032BE0000}"/>
    <cellStyle name="Normal 11 4 7 2 2 2 2" xfId="49190" xr:uid="{00000000-0005-0000-0000-000033BE0000}"/>
    <cellStyle name="Normal 11 4 7 2 2 2 2 2" xfId="49191" xr:uid="{00000000-0005-0000-0000-000034BE0000}"/>
    <cellStyle name="Normal 11 4 7 2 2 2 3" xfId="49192" xr:uid="{00000000-0005-0000-0000-000035BE0000}"/>
    <cellStyle name="Normal 11 4 7 2 2 3" xfId="49193" xr:uid="{00000000-0005-0000-0000-000036BE0000}"/>
    <cellStyle name="Normal 11 4 7 2 2 3 2" xfId="49194" xr:uid="{00000000-0005-0000-0000-000037BE0000}"/>
    <cellStyle name="Normal 11 4 7 2 2 4" xfId="49195" xr:uid="{00000000-0005-0000-0000-000038BE0000}"/>
    <cellStyle name="Normal 11 4 7 2 3" xfId="49196" xr:uid="{00000000-0005-0000-0000-000039BE0000}"/>
    <cellStyle name="Normal 11 4 7 2 3 2" xfId="49197" xr:uid="{00000000-0005-0000-0000-00003ABE0000}"/>
    <cellStyle name="Normal 11 4 7 2 3 2 2" xfId="49198" xr:uid="{00000000-0005-0000-0000-00003BBE0000}"/>
    <cellStyle name="Normal 11 4 7 2 3 2 2 2" xfId="49199" xr:uid="{00000000-0005-0000-0000-00003CBE0000}"/>
    <cellStyle name="Normal 11 4 7 2 3 2 3" xfId="49200" xr:uid="{00000000-0005-0000-0000-00003DBE0000}"/>
    <cellStyle name="Normal 11 4 7 2 3 3" xfId="49201" xr:uid="{00000000-0005-0000-0000-00003EBE0000}"/>
    <cellStyle name="Normal 11 4 7 2 3 3 2" xfId="49202" xr:uid="{00000000-0005-0000-0000-00003FBE0000}"/>
    <cellStyle name="Normal 11 4 7 2 3 4" xfId="49203" xr:uid="{00000000-0005-0000-0000-000040BE0000}"/>
    <cellStyle name="Normal 11 4 7 2 4" xfId="49204" xr:uid="{00000000-0005-0000-0000-000041BE0000}"/>
    <cellStyle name="Normal 11 4 7 2 4 2" xfId="49205" xr:uid="{00000000-0005-0000-0000-000042BE0000}"/>
    <cellStyle name="Normal 11 4 7 2 4 2 2" xfId="49206" xr:uid="{00000000-0005-0000-0000-000043BE0000}"/>
    <cellStyle name="Normal 11 4 7 2 4 3" xfId="49207" xr:uid="{00000000-0005-0000-0000-000044BE0000}"/>
    <cellStyle name="Normal 11 4 7 2 5" xfId="49208" xr:uid="{00000000-0005-0000-0000-000045BE0000}"/>
    <cellStyle name="Normal 11 4 7 2 5 2" xfId="49209" xr:uid="{00000000-0005-0000-0000-000046BE0000}"/>
    <cellStyle name="Normal 11 4 7 2 6" xfId="49210" xr:uid="{00000000-0005-0000-0000-000047BE0000}"/>
    <cellStyle name="Normal 11 4 7 2 7" xfId="49187" xr:uid="{00000000-0005-0000-0000-000048BE0000}"/>
    <cellStyle name="Normal 11 4 7 3" xfId="49211" xr:uid="{00000000-0005-0000-0000-000049BE0000}"/>
    <cellStyle name="Normal 11 4 7 3 2" xfId="49212" xr:uid="{00000000-0005-0000-0000-00004ABE0000}"/>
    <cellStyle name="Normal 11 4 7 3 2 2" xfId="49213" xr:uid="{00000000-0005-0000-0000-00004BBE0000}"/>
    <cellStyle name="Normal 11 4 7 3 2 2 2" xfId="49214" xr:uid="{00000000-0005-0000-0000-00004CBE0000}"/>
    <cellStyle name="Normal 11 4 7 3 2 2 2 2" xfId="49215" xr:uid="{00000000-0005-0000-0000-00004DBE0000}"/>
    <cellStyle name="Normal 11 4 7 3 2 2 3" xfId="49216" xr:uid="{00000000-0005-0000-0000-00004EBE0000}"/>
    <cellStyle name="Normal 11 4 7 3 2 3" xfId="49217" xr:uid="{00000000-0005-0000-0000-00004FBE0000}"/>
    <cellStyle name="Normal 11 4 7 3 2 3 2" xfId="49218" xr:uid="{00000000-0005-0000-0000-000050BE0000}"/>
    <cellStyle name="Normal 11 4 7 3 2 4" xfId="49219" xr:uid="{00000000-0005-0000-0000-000051BE0000}"/>
    <cellStyle name="Normal 11 4 7 3 3" xfId="49220" xr:uid="{00000000-0005-0000-0000-000052BE0000}"/>
    <cellStyle name="Normal 11 4 7 3 3 2" xfId="49221" xr:uid="{00000000-0005-0000-0000-000053BE0000}"/>
    <cellStyle name="Normal 11 4 7 3 3 2 2" xfId="49222" xr:uid="{00000000-0005-0000-0000-000054BE0000}"/>
    <cellStyle name="Normal 11 4 7 3 3 3" xfId="49223" xr:uid="{00000000-0005-0000-0000-000055BE0000}"/>
    <cellStyle name="Normal 11 4 7 3 4" xfId="49224" xr:uid="{00000000-0005-0000-0000-000056BE0000}"/>
    <cellStyle name="Normal 11 4 7 3 4 2" xfId="49225" xr:uid="{00000000-0005-0000-0000-000057BE0000}"/>
    <cellStyle name="Normal 11 4 7 3 5" xfId="49226" xr:uid="{00000000-0005-0000-0000-000058BE0000}"/>
    <cellStyle name="Normal 11 4 7 4" xfId="49227" xr:uid="{00000000-0005-0000-0000-000059BE0000}"/>
    <cellStyle name="Normal 11 4 7 4 2" xfId="49228" xr:uid="{00000000-0005-0000-0000-00005ABE0000}"/>
    <cellStyle name="Normal 11 4 7 4 2 2" xfId="49229" xr:uid="{00000000-0005-0000-0000-00005BBE0000}"/>
    <cellStyle name="Normal 11 4 7 4 2 2 2" xfId="49230" xr:uid="{00000000-0005-0000-0000-00005CBE0000}"/>
    <cellStyle name="Normal 11 4 7 4 2 2 2 2" xfId="49231" xr:uid="{00000000-0005-0000-0000-00005DBE0000}"/>
    <cellStyle name="Normal 11 4 7 4 2 2 3" xfId="49232" xr:uid="{00000000-0005-0000-0000-00005EBE0000}"/>
    <cellStyle name="Normal 11 4 7 4 2 3" xfId="49233" xr:uid="{00000000-0005-0000-0000-00005FBE0000}"/>
    <cellStyle name="Normal 11 4 7 4 2 3 2" xfId="49234" xr:uid="{00000000-0005-0000-0000-000060BE0000}"/>
    <cellStyle name="Normal 11 4 7 4 2 4" xfId="49235" xr:uid="{00000000-0005-0000-0000-000061BE0000}"/>
    <cellStyle name="Normal 11 4 7 4 3" xfId="49236" xr:uid="{00000000-0005-0000-0000-000062BE0000}"/>
    <cellStyle name="Normal 11 4 7 4 3 2" xfId="49237" xr:uid="{00000000-0005-0000-0000-000063BE0000}"/>
    <cellStyle name="Normal 11 4 7 4 3 2 2" xfId="49238" xr:uid="{00000000-0005-0000-0000-000064BE0000}"/>
    <cellStyle name="Normal 11 4 7 4 3 3" xfId="49239" xr:uid="{00000000-0005-0000-0000-000065BE0000}"/>
    <cellStyle name="Normal 11 4 7 4 4" xfId="49240" xr:uid="{00000000-0005-0000-0000-000066BE0000}"/>
    <cellStyle name="Normal 11 4 7 4 4 2" xfId="49241" xr:uid="{00000000-0005-0000-0000-000067BE0000}"/>
    <cellStyle name="Normal 11 4 7 4 5" xfId="49242" xr:uid="{00000000-0005-0000-0000-000068BE0000}"/>
    <cellStyle name="Normal 11 4 7 5" xfId="49243" xr:uid="{00000000-0005-0000-0000-000069BE0000}"/>
    <cellStyle name="Normal 11 4 7 5 2" xfId="49244" xr:uid="{00000000-0005-0000-0000-00006ABE0000}"/>
    <cellStyle name="Normal 11 4 7 5 2 2" xfId="49245" xr:uid="{00000000-0005-0000-0000-00006BBE0000}"/>
    <cellStyle name="Normal 11 4 7 5 2 2 2" xfId="49246" xr:uid="{00000000-0005-0000-0000-00006CBE0000}"/>
    <cellStyle name="Normal 11 4 7 5 2 3" xfId="49247" xr:uid="{00000000-0005-0000-0000-00006DBE0000}"/>
    <cellStyle name="Normal 11 4 7 5 3" xfId="49248" xr:uid="{00000000-0005-0000-0000-00006EBE0000}"/>
    <cellStyle name="Normal 11 4 7 5 3 2" xfId="49249" xr:uid="{00000000-0005-0000-0000-00006FBE0000}"/>
    <cellStyle name="Normal 11 4 7 5 4" xfId="49250" xr:uid="{00000000-0005-0000-0000-000070BE0000}"/>
    <cellStyle name="Normal 11 4 7 6" xfId="49251" xr:uid="{00000000-0005-0000-0000-000071BE0000}"/>
    <cellStyle name="Normal 11 4 7 6 2" xfId="49252" xr:uid="{00000000-0005-0000-0000-000072BE0000}"/>
    <cellStyle name="Normal 11 4 7 6 2 2" xfId="49253" xr:uid="{00000000-0005-0000-0000-000073BE0000}"/>
    <cellStyle name="Normal 11 4 7 6 2 2 2" xfId="49254" xr:uid="{00000000-0005-0000-0000-000074BE0000}"/>
    <cellStyle name="Normal 11 4 7 6 2 3" xfId="49255" xr:uid="{00000000-0005-0000-0000-000075BE0000}"/>
    <cellStyle name="Normal 11 4 7 6 3" xfId="49256" xr:uid="{00000000-0005-0000-0000-000076BE0000}"/>
    <cellStyle name="Normal 11 4 7 6 3 2" xfId="49257" xr:uid="{00000000-0005-0000-0000-000077BE0000}"/>
    <cellStyle name="Normal 11 4 7 6 4" xfId="49258" xr:uid="{00000000-0005-0000-0000-000078BE0000}"/>
    <cellStyle name="Normal 11 4 7 7" xfId="49259" xr:uid="{00000000-0005-0000-0000-000079BE0000}"/>
    <cellStyle name="Normal 11 4 7 7 2" xfId="49260" xr:uid="{00000000-0005-0000-0000-00007ABE0000}"/>
    <cellStyle name="Normal 11 4 7 7 2 2" xfId="49261" xr:uid="{00000000-0005-0000-0000-00007BBE0000}"/>
    <cellStyle name="Normal 11 4 7 7 2 2 2" xfId="49262" xr:uid="{00000000-0005-0000-0000-00007CBE0000}"/>
    <cellStyle name="Normal 11 4 7 7 2 3" xfId="49263" xr:uid="{00000000-0005-0000-0000-00007DBE0000}"/>
    <cellStyle name="Normal 11 4 7 7 3" xfId="49264" xr:uid="{00000000-0005-0000-0000-00007EBE0000}"/>
    <cellStyle name="Normal 11 4 7 7 3 2" xfId="49265" xr:uid="{00000000-0005-0000-0000-00007FBE0000}"/>
    <cellStyle name="Normal 11 4 7 7 4" xfId="49266" xr:uid="{00000000-0005-0000-0000-000080BE0000}"/>
    <cellStyle name="Normal 11 4 7 8" xfId="49267" xr:uid="{00000000-0005-0000-0000-000081BE0000}"/>
    <cellStyle name="Normal 11 4 7 8 2" xfId="49268" xr:uid="{00000000-0005-0000-0000-000082BE0000}"/>
    <cellStyle name="Normal 11 4 7 8 2 2" xfId="49269" xr:uid="{00000000-0005-0000-0000-000083BE0000}"/>
    <cellStyle name="Normal 11 4 7 8 3" xfId="49270" xr:uid="{00000000-0005-0000-0000-000084BE0000}"/>
    <cellStyle name="Normal 11 4 7 9" xfId="49271" xr:uid="{00000000-0005-0000-0000-000085BE0000}"/>
    <cellStyle name="Normal 11 4 7 9 2" xfId="49272" xr:uid="{00000000-0005-0000-0000-000086BE0000}"/>
    <cellStyle name="Normal 11 4 8" xfId="1475" xr:uid="{00000000-0005-0000-0000-000087BE0000}"/>
    <cellStyle name="Normal 11 4 8 2" xfId="49274" xr:uid="{00000000-0005-0000-0000-000088BE0000}"/>
    <cellStyle name="Normal 11 4 8 2 2" xfId="49275" xr:uid="{00000000-0005-0000-0000-000089BE0000}"/>
    <cellStyle name="Normal 11 4 8 2 2 2" xfId="49276" xr:uid="{00000000-0005-0000-0000-00008ABE0000}"/>
    <cellStyle name="Normal 11 4 8 2 2 2 2" xfId="49277" xr:uid="{00000000-0005-0000-0000-00008BBE0000}"/>
    <cellStyle name="Normal 11 4 8 2 2 3" xfId="49278" xr:uid="{00000000-0005-0000-0000-00008CBE0000}"/>
    <cellStyle name="Normal 11 4 8 2 3" xfId="49279" xr:uid="{00000000-0005-0000-0000-00008DBE0000}"/>
    <cellStyle name="Normal 11 4 8 2 3 2" xfId="49280" xr:uid="{00000000-0005-0000-0000-00008EBE0000}"/>
    <cellStyle name="Normal 11 4 8 2 4" xfId="49281" xr:uid="{00000000-0005-0000-0000-00008FBE0000}"/>
    <cellStyle name="Normal 11 4 8 3" xfId="49282" xr:uid="{00000000-0005-0000-0000-000090BE0000}"/>
    <cellStyle name="Normal 11 4 8 3 2" xfId="49283" xr:uid="{00000000-0005-0000-0000-000091BE0000}"/>
    <cellStyle name="Normal 11 4 8 3 2 2" xfId="49284" xr:uid="{00000000-0005-0000-0000-000092BE0000}"/>
    <cellStyle name="Normal 11 4 8 3 2 2 2" xfId="49285" xr:uid="{00000000-0005-0000-0000-000093BE0000}"/>
    <cellStyle name="Normal 11 4 8 3 2 3" xfId="49286" xr:uid="{00000000-0005-0000-0000-000094BE0000}"/>
    <cellStyle name="Normal 11 4 8 3 3" xfId="49287" xr:uid="{00000000-0005-0000-0000-000095BE0000}"/>
    <cellStyle name="Normal 11 4 8 3 3 2" xfId="49288" xr:uid="{00000000-0005-0000-0000-000096BE0000}"/>
    <cellStyle name="Normal 11 4 8 3 4" xfId="49289" xr:uid="{00000000-0005-0000-0000-000097BE0000}"/>
    <cellStyle name="Normal 11 4 8 4" xfId="49290" xr:uid="{00000000-0005-0000-0000-000098BE0000}"/>
    <cellStyle name="Normal 11 4 8 4 2" xfId="49291" xr:uid="{00000000-0005-0000-0000-000099BE0000}"/>
    <cellStyle name="Normal 11 4 8 4 2 2" xfId="49292" xr:uid="{00000000-0005-0000-0000-00009ABE0000}"/>
    <cellStyle name="Normal 11 4 8 4 3" xfId="49293" xr:uid="{00000000-0005-0000-0000-00009BBE0000}"/>
    <cellStyle name="Normal 11 4 8 5" xfId="49294" xr:uid="{00000000-0005-0000-0000-00009CBE0000}"/>
    <cellStyle name="Normal 11 4 8 5 2" xfId="49295" xr:uid="{00000000-0005-0000-0000-00009DBE0000}"/>
    <cellStyle name="Normal 11 4 8 6" xfId="49296" xr:uid="{00000000-0005-0000-0000-00009EBE0000}"/>
    <cellStyle name="Normal 11 4 8 7" xfId="49273" xr:uid="{00000000-0005-0000-0000-00009FBE0000}"/>
    <cellStyle name="Normal 11 4 9" xfId="49297" xr:uid="{00000000-0005-0000-0000-0000A0BE0000}"/>
    <cellStyle name="Normal 11 4 9 2" xfId="49298" xr:uid="{00000000-0005-0000-0000-0000A1BE0000}"/>
    <cellStyle name="Normal 11 4 9 2 2" xfId="49299" xr:uid="{00000000-0005-0000-0000-0000A2BE0000}"/>
    <cellStyle name="Normal 11 4 9 2 2 2" xfId="49300" xr:uid="{00000000-0005-0000-0000-0000A3BE0000}"/>
    <cellStyle name="Normal 11 4 9 2 2 2 2" xfId="49301" xr:uid="{00000000-0005-0000-0000-0000A4BE0000}"/>
    <cellStyle name="Normal 11 4 9 2 2 3" xfId="49302" xr:uid="{00000000-0005-0000-0000-0000A5BE0000}"/>
    <cellStyle name="Normal 11 4 9 2 3" xfId="49303" xr:uid="{00000000-0005-0000-0000-0000A6BE0000}"/>
    <cellStyle name="Normal 11 4 9 2 3 2" xfId="49304" xr:uid="{00000000-0005-0000-0000-0000A7BE0000}"/>
    <cellStyle name="Normal 11 4 9 2 4" xfId="49305" xr:uid="{00000000-0005-0000-0000-0000A8BE0000}"/>
    <cellStyle name="Normal 11 4 9 3" xfId="49306" xr:uid="{00000000-0005-0000-0000-0000A9BE0000}"/>
    <cellStyle name="Normal 11 4 9 3 2" xfId="49307" xr:uid="{00000000-0005-0000-0000-0000AABE0000}"/>
    <cellStyle name="Normal 11 4 9 3 2 2" xfId="49308" xr:uid="{00000000-0005-0000-0000-0000ABBE0000}"/>
    <cellStyle name="Normal 11 4 9 3 3" xfId="49309" xr:uid="{00000000-0005-0000-0000-0000ACBE0000}"/>
    <cellStyle name="Normal 11 4 9 4" xfId="49310" xr:uid="{00000000-0005-0000-0000-0000ADBE0000}"/>
    <cellStyle name="Normal 11 4 9 4 2" xfId="49311" xr:uid="{00000000-0005-0000-0000-0000AEBE0000}"/>
    <cellStyle name="Normal 11 4 9 5" xfId="49312" xr:uid="{00000000-0005-0000-0000-0000AFBE0000}"/>
    <cellStyle name="Normal 11 5" xfId="655" xr:uid="{00000000-0005-0000-0000-0000B0BE0000}"/>
    <cellStyle name="Normal 11 5 10" xfId="49314" xr:uid="{00000000-0005-0000-0000-0000B1BE0000}"/>
    <cellStyle name="Normal 11 5 10 2" xfId="49315" xr:uid="{00000000-0005-0000-0000-0000B2BE0000}"/>
    <cellStyle name="Normal 11 5 10 2 2" xfId="49316" xr:uid="{00000000-0005-0000-0000-0000B3BE0000}"/>
    <cellStyle name="Normal 11 5 10 2 2 2" xfId="49317" xr:uid="{00000000-0005-0000-0000-0000B4BE0000}"/>
    <cellStyle name="Normal 11 5 10 2 3" xfId="49318" xr:uid="{00000000-0005-0000-0000-0000B5BE0000}"/>
    <cellStyle name="Normal 11 5 10 3" xfId="49319" xr:uid="{00000000-0005-0000-0000-0000B6BE0000}"/>
    <cellStyle name="Normal 11 5 10 3 2" xfId="49320" xr:uid="{00000000-0005-0000-0000-0000B7BE0000}"/>
    <cellStyle name="Normal 11 5 10 4" xfId="49321" xr:uid="{00000000-0005-0000-0000-0000B8BE0000}"/>
    <cellStyle name="Normal 11 5 11" xfId="49322" xr:uid="{00000000-0005-0000-0000-0000B9BE0000}"/>
    <cellStyle name="Normal 11 5 11 2" xfId="49323" xr:uid="{00000000-0005-0000-0000-0000BABE0000}"/>
    <cellStyle name="Normal 11 5 11 2 2" xfId="49324" xr:uid="{00000000-0005-0000-0000-0000BBBE0000}"/>
    <cellStyle name="Normal 11 5 11 2 2 2" xfId="49325" xr:uid="{00000000-0005-0000-0000-0000BCBE0000}"/>
    <cellStyle name="Normal 11 5 11 2 3" xfId="49326" xr:uid="{00000000-0005-0000-0000-0000BDBE0000}"/>
    <cellStyle name="Normal 11 5 11 3" xfId="49327" xr:uid="{00000000-0005-0000-0000-0000BEBE0000}"/>
    <cellStyle name="Normal 11 5 11 3 2" xfId="49328" xr:uid="{00000000-0005-0000-0000-0000BFBE0000}"/>
    <cellStyle name="Normal 11 5 11 4" xfId="49329" xr:uid="{00000000-0005-0000-0000-0000C0BE0000}"/>
    <cellStyle name="Normal 11 5 12" xfId="49330" xr:uid="{00000000-0005-0000-0000-0000C1BE0000}"/>
    <cellStyle name="Normal 11 5 12 2" xfId="49331" xr:uid="{00000000-0005-0000-0000-0000C2BE0000}"/>
    <cellStyle name="Normal 11 5 12 2 2" xfId="49332" xr:uid="{00000000-0005-0000-0000-0000C3BE0000}"/>
    <cellStyle name="Normal 11 5 12 2 2 2" xfId="49333" xr:uid="{00000000-0005-0000-0000-0000C4BE0000}"/>
    <cellStyle name="Normal 11 5 12 2 3" xfId="49334" xr:uid="{00000000-0005-0000-0000-0000C5BE0000}"/>
    <cellStyle name="Normal 11 5 12 3" xfId="49335" xr:uid="{00000000-0005-0000-0000-0000C6BE0000}"/>
    <cellStyle name="Normal 11 5 12 3 2" xfId="49336" xr:uid="{00000000-0005-0000-0000-0000C7BE0000}"/>
    <cellStyle name="Normal 11 5 12 4" xfId="49337" xr:uid="{00000000-0005-0000-0000-0000C8BE0000}"/>
    <cellStyle name="Normal 11 5 13" xfId="49338" xr:uid="{00000000-0005-0000-0000-0000C9BE0000}"/>
    <cellStyle name="Normal 11 5 13 2" xfId="49339" xr:uid="{00000000-0005-0000-0000-0000CABE0000}"/>
    <cellStyle name="Normal 11 5 13 2 2" xfId="49340" xr:uid="{00000000-0005-0000-0000-0000CBBE0000}"/>
    <cellStyle name="Normal 11 5 13 3" xfId="49341" xr:uid="{00000000-0005-0000-0000-0000CCBE0000}"/>
    <cellStyle name="Normal 11 5 14" xfId="49342" xr:uid="{00000000-0005-0000-0000-0000CDBE0000}"/>
    <cellStyle name="Normal 11 5 14 2" xfId="49343" xr:uid="{00000000-0005-0000-0000-0000CEBE0000}"/>
    <cellStyle name="Normal 11 5 14 2 2" xfId="49344" xr:uid="{00000000-0005-0000-0000-0000CFBE0000}"/>
    <cellStyle name="Normal 11 5 14 3" xfId="49345" xr:uid="{00000000-0005-0000-0000-0000D0BE0000}"/>
    <cellStyle name="Normal 11 5 15" xfId="49346" xr:uid="{00000000-0005-0000-0000-0000D1BE0000}"/>
    <cellStyle name="Normal 11 5 15 2" xfId="49347" xr:uid="{00000000-0005-0000-0000-0000D2BE0000}"/>
    <cellStyle name="Normal 11 5 15 2 2" xfId="49348" xr:uid="{00000000-0005-0000-0000-0000D3BE0000}"/>
    <cellStyle name="Normal 11 5 15 3" xfId="49349" xr:uid="{00000000-0005-0000-0000-0000D4BE0000}"/>
    <cellStyle name="Normal 11 5 16" xfId="49350" xr:uid="{00000000-0005-0000-0000-0000D5BE0000}"/>
    <cellStyle name="Normal 11 5 16 2" xfId="49351" xr:uid="{00000000-0005-0000-0000-0000D6BE0000}"/>
    <cellStyle name="Normal 11 5 17" xfId="49352" xr:uid="{00000000-0005-0000-0000-0000D7BE0000}"/>
    <cellStyle name="Normal 11 5 18" xfId="49353" xr:uid="{00000000-0005-0000-0000-0000D8BE0000}"/>
    <cellStyle name="Normal 11 5 19" xfId="49313" xr:uid="{00000000-0005-0000-0000-0000D9BE0000}"/>
    <cellStyle name="Normal 11 5 2" xfId="656" xr:uid="{00000000-0005-0000-0000-0000DABE0000}"/>
    <cellStyle name="Normal 11 5 2 10" xfId="49355" xr:uid="{00000000-0005-0000-0000-0000DBBE0000}"/>
    <cellStyle name="Normal 11 5 2 10 2" xfId="49356" xr:uid="{00000000-0005-0000-0000-0000DCBE0000}"/>
    <cellStyle name="Normal 11 5 2 10 2 2" xfId="49357" xr:uid="{00000000-0005-0000-0000-0000DDBE0000}"/>
    <cellStyle name="Normal 11 5 2 10 2 2 2" xfId="49358" xr:uid="{00000000-0005-0000-0000-0000DEBE0000}"/>
    <cellStyle name="Normal 11 5 2 10 2 3" xfId="49359" xr:uid="{00000000-0005-0000-0000-0000DFBE0000}"/>
    <cellStyle name="Normal 11 5 2 10 3" xfId="49360" xr:uid="{00000000-0005-0000-0000-0000E0BE0000}"/>
    <cellStyle name="Normal 11 5 2 10 3 2" xfId="49361" xr:uid="{00000000-0005-0000-0000-0000E1BE0000}"/>
    <cellStyle name="Normal 11 5 2 10 4" xfId="49362" xr:uid="{00000000-0005-0000-0000-0000E2BE0000}"/>
    <cellStyle name="Normal 11 5 2 11" xfId="49363" xr:uid="{00000000-0005-0000-0000-0000E3BE0000}"/>
    <cellStyle name="Normal 11 5 2 11 2" xfId="49364" xr:uid="{00000000-0005-0000-0000-0000E4BE0000}"/>
    <cellStyle name="Normal 11 5 2 11 2 2" xfId="49365" xr:uid="{00000000-0005-0000-0000-0000E5BE0000}"/>
    <cellStyle name="Normal 11 5 2 11 2 2 2" xfId="49366" xr:uid="{00000000-0005-0000-0000-0000E6BE0000}"/>
    <cellStyle name="Normal 11 5 2 11 2 3" xfId="49367" xr:uid="{00000000-0005-0000-0000-0000E7BE0000}"/>
    <cellStyle name="Normal 11 5 2 11 3" xfId="49368" xr:uid="{00000000-0005-0000-0000-0000E8BE0000}"/>
    <cellStyle name="Normal 11 5 2 11 3 2" xfId="49369" xr:uid="{00000000-0005-0000-0000-0000E9BE0000}"/>
    <cellStyle name="Normal 11 5 2 11 4" xfId="49370" xr:uid="{00000000-0005-0000-0000-0000EABE0000}"/>
    <cellStyle name="Normal 11 5 2 12" xfId="49371" xr:uid="{00000000-0005-0000-0000-0000EBBE0000}"/>
    <cellStyle name="Normal 11 5 2 12 2" xfId="49372" xr:uid="{00000000-0005-0000-0000-0000ECBE0000}"/>
    <cellStyle name="Normal 11 5 2 12 2 2" xfId="49373" xr:uid="{00000000-0005-0000-0000-0000EDBE0000}"/>
    <cellStyle name="Normal 11 5 2 12 3" xfId="49374" xr:uid="{00000000-0005-0000-0000-0000EEBE0000}"/>
    <cellStyle name="Normal 11 5 2 13" xfId="49375" xr:uid="{00000000-0005-0000-0000-0000EFBE0000}"/>
    <cellStyle name="Normal 11 5 2 13 2" xfId="49376" xr:uid="{00000000-0005-0000-0000-0000F0BE0000}"/>
    <cellStyle name="Normal 11 5 2 13 2 2" xfId="49377" xr:uid="{00000000-0005-0000-0000-0000F1BE0000}"/>
    <cellStyle name="Normal 11 5 2 13 3" xfId="49378" xr:uid="{00000000-0005-0000-0000-0000F2BE0000}"/>
    <cellStyle name="Normal 11 5 2 14" xfId="49379" xr:uid="{00000000-0005-0000-0000-0000F3BE0000}"/>
    <cellStyle name="Normal 11 5 2 14 2" xfId="49380" xr:uid="{00000000-0005-0000-0000-0000F4BE0000}"/>
    <cellStyle name="Normal 11 5 2 14 2 2" xfId="49381" xr:uid="{00000000-0005-0000-0000-0000F5BE0000}"/>
    <cellStyle name="Normal 11 5 2 14 3" xfId="49382" xr:uid="{00000000-0005-0000-0000-0000F6BE0000}"/>
    <cellStyle name="Normal 11 5 2 15" xfId="49383" xr:uid="{00000000-0005-0000-0000-0000F7BE0000}"/>
    <cellStyle name="Normal 11 5 2 15 2" xfId="49384" xr:uid="{00000000-0005-0000-0000-0000F8BE0000}"/>
    <cellStyle name="Normal 11 5 2 16" xfId="49385" xr:uid="{00000000-0005-0000-0000-0000F9BE0000}"/>
    <cellStyle name="Normal 11 5 2 17" xfId="49386" xr:uid="{00000000-0005-0000-0000-0000FABE0000}"/>
    <cellStyle name="Normal 11 5 2 18" xfId="49354" xr:uid="{00000000-0005-0000-0000-0000FBBE0000}"/>
    <cellStyle name="Normal 11 5 2 2" xfId="657" xr:uid="{00000000-0005-0000-0000-0000FCBE0000}"/>
    <cellStyle name="Normal 11 5 2 2 10" xfId="49388" xr:uid="{00000000-0005-0000-0000-0000FDBE0000}"/>
    <cellStyle name="Normal 11 5 2 2 10 2" xfId="49389" xr:uid="{00000000-0005-0000-0000-0000FEBE0000}"/>
    <cellStyle name="Normal 11 5 2 2 10 2 2" xfId="49390" xr:uid="{00000000-0005-0000-0000-0000FFBE0000}"/>
    <cellStyle name="Normal 11 5 2 2 10 2 2 2" xfId="49391" xr:uid="{00000000-0005-0000-0000-000000BF0000}"/>
    <cellStyle name="Normal 11 5 2 2 10 2 3" xfId="49392" xr:uid="{00000000-0005-0000-0000-000001BF0000}"/>
    <cellStyle name="Normal 11 5 2 2 10 3" xfId="49393" xr:uid="{00000000-0005-0000-0000-000002BF0000}"/>
    <cellStyle name="Normal 11 5 2 2 10 3 2" xfId="49394" xr:uid="{00000000-0005-0000-0000-000003BF0000}"/>
    <cellStyle name="Normal 11 5 2 2 10 4" xfId="49395" xr:uid="{00000000-0005-0000-0000-000004BF0000}"/>
    <cellStyle name="Normal 11 5 2 2 11" xfId="49396" xr:uid="{00000000-0005-0000-0000-000005BF0000}"/>
    <cellStyle name="Normal 11 5 2 2 11 2" xfId="49397" xr:uid="{00000000-0005-0000-0000-000006BF0000}"/>
    <cellStyle name="Normal 11 5 2 2 11 2 2" xfId="49398" xr:uid="{00000000-0005-0000-0000-000007BF0000}"/>
    <cellStyle name="Normal 11 5 2 2 11 3" xfId="49399" xr:uid="{00000000-0005-0000-0000-000008BF0000}"/>
    <cellStyle name="Normal 11 5 2 2 12" xfId="49400" xr:uid="{00000000-0005-0000-0000-000009BF0000}"/>
    <cellStyle name="Normal 11 5 2 2 12 2" xfId="49401" xr:uid="{00000000-0005-0000-0000-00000ABF0000}"/>
    <cellStyle name="Normal 11 5 2 2 12 2 2" xfId="49402" xr:uid="{00000000-0005-0000-0000-00000BBF0000}"/>
    <cellStyle name="Normal 11 5 2 2 12 3" xfId="49403" xr:uid="{00000000-0005-0000-0000-00000CBF0000}"/>
    <cellStyle name="Normal 11 5 2 2 13" xfId="49404" xr:uid="{00000000-0005-0000-0000-00000DBF0000}"/>
    <cellStyle name="Normal 11 5 2 2 13 2" xfId="49405" xr:uid="{00000000-0005-0000-0000-00000EBF0000}"/>
    <cellStyle name="Normal 11 5 2 2 13 2 2" xfId="49406" xr:uid="{00000000-0005-0000-0000-00000FBF0000}"/>
    <cellStyle name="Normal 11 5 2 2 13 3" xfId="49407" xr:uid="{00000000-0005-0000-0000-000010BF0000}"/>
    <cellStyle name="Normal 11 5 2 2 14" xfId="49408" xr:uid="{00000000-0005-0000-0000-000011BF0000}"/>
    <cellStyle name="Normal 11 5 2 2 14 2" xfId="49409" xr:uid="{00000000-0005-0000-0000-000012BF0000}"/>
    <cellStyle name="Normal 11 5 2 2 15" xfId="49410" xr:uid="{00000000-0005-0000-0000-000013BF0000}"/>
    <cellStyle name="Normal 11 5 2 2 16" xfId="49411" xr:uid="{00000000-0005-0000-0000-000014BF0000}"/>
    <cellStyle name="Normal 11 5 2 2 17" xfId="49387" xr:uid="{00000000-0005-0000-0000-000015BF0000}"/>
    <cellStyle name="Normal 11 5 2 2 2" xfId="658" xr:uid="{00000000-0005-0000-0000-000016BF0000}"/>
    <cellStyle name="Normal 11 5 2 2 2 10" xfId="49413" xr:uid="{00000000-0005-0000-0000-000017BF0000}"/>
    <cellStyle name="Normal 11 5 2 2 2 10 2" xfId="49414" xr:uid="{00000000-0005-0000-0000-000018BF0000}"/>
    <cellStyle name="Normal 11 5 2 2 2 10 2 2" xfId="49415" xr:uid="{00000000-0005-0000-0000-000019BF0000}"/>
    <cellStyle name="Normal 11 5 2 2 2 10 3" xfId="49416" xr:uid="{00000000-0005-0000-0000-00001ABF0000}"/>
    <cellStyle name="Normal 11 5 2 2 2 11" xfId="49417" xr:uid="{00000000-0005-0000-0000-00001BBF0000}"/>
    <cellStyle name="Normal 11 5 2 2 2 11 2" xfId="49418" xr:uid="{00000000-0005-0000-0000-00001CBF0000}"/>
    <cellStyle name="Normal 11 5 2 2 2 11 2 2" xfId="49419" xr:uid="{00000000-0005-0000-0000-00001DBF0000}"/>
    <cellStyle name="Normal 11 5 2 2 2 11 3" xfId="49420" xr:uid="{00000000-0005-0000-0000-00001EBF0000}"/>
    <cellStyle name="Normal 11 5 2 2 2 12" xfId="49421" xr:uid="{00000000-0005-0000-0000-00001FBF0000}"/>
    <cellStyle name="Normal 11 5 2 2 2 12 2" xfId="49422" xr:uid="{00000000-0005-0000-0000-000020BF0000}"/>
    <cellStyle name="Normal 11 5 2 2 2 13" xfId="49423" xr:uid="{00000000-0005-0000-0000-000021BF0000}"/>
    <cellStyle name="Normal 11 5 2 2 2 14" xfId="49424" xr:uid="{00000000-0005-0000-0000-000022BF0000}"/>
    <cellStyle name="Normal 11 5 2 2 2 15" xfId="49412" xr:uid="{00000000-0005-0000-0000-000023BF0000}"/>
    <cellStyle name="Normal 11 5 2 2 2 2" xfId="1100" xr:uid="{00000000-0005-0000-0000-000024BF0000}"/>
    <cellStyle name="Normal 11 5 2 2 2 2 10" xfId="49426" xr:uid="{00000000-0005-0000-0000-000025BF0000}"/>
    <cellStyle name="Normal 11 5 2 2 2 2 11" xfId="49425" xr:uid="{00000000-0005-0000-0000-000026BF0000}"/>
    <cellStyle name="Normal 11 5 2 2 2 2 2" xfId="1829" xr:uid="{00000000-0005-0000-0000-000027BF0000}"/>
    <cellStyle name="Normal 11 5 2 2 2 2 2 2" xfId="49428" xr:uid="{00000000-0005-0000-0000-000028BF0000}"/>
    <cellStyle name="Normal 11 5 2 2 2 2 2 2 2" xfId="49429" xr:uid="{00000000-0005-0000-0000-000029BF0000}"/>
    <cellStyle name="Normal 11 5 2 2 2 2 2 2 2 2" xfId="49430" xr:uid="{00000000-0005-0000-0000-00002ABF0000}"/>
    <cellStyle name="Normal 11 5 2 2 2 2 2 2 2 2 2" xfId="49431" xr:uid="{00000000-0005-0000-0000-00002BBF0000}"/>
    <cellStyle name="Normal 11 5 2 2 2 2 2 2 2 3" xfId="49432" xr:uid="{00000000-0005-0000-0000-00002CBF0000}"/>
    <cellStyle name="Normal 11 5 2 2 2 2 2 2 3" xfId="49433" xr:uid="{00000000-0005-0000-0000-00002DBF0000}"/>
    <cellStyle name="Normal 11 5 2 2 2 2 2 2 3 2" xfId="49434" xr:uid="{00000000-0005-0000-0000-00002EBF0000}"/>
    <cellStyle name="Normal 11 5 2 2 2 2 2 2 4" xfId="49435" xr:uid="{00000000-0005-0000-0000-00002FBF0000}"/>
    <cellStyle name="Normal 11 5 2 2 2 2 2 3" xfId="49436" xr:uid="{00000000-0005-0000-0000-000030BF0000}"/>
    <cellStyle name="Normal 11 5 2 2 2 2 2 3 2" xfId="49437" xr:uid="{00000000-0005-0000-0000-000031BF0000}"/>
    <cellStyle name="Normal 11 5 2 2 2 2 2 3 2 2" xfId="49438" xr:uid="{00000000-0005-0000-0000-000032BF0000}"/>
    <cellStyle name="Normal 11 5 2 2 2 2 2 3 2 2 2" xfId="49439" xr:uid="{00000000-0005-0000-0000-000033BF0000}"/>
    <cellStyle name="Normal 11 5 2 2 2 2 2 3 2 3" xfId="49440" xr:uid="{00000000-0005-0000-0000-000034BF0000}"/>
    <cellStyle name="Normal 11 5 2 2 2 2 2 3 3" xfId="49441" xr:uid="{00000000-0005-0000-0000-000035BF0000}"/>
    <cellStyle name="Normal 11 5 2 2 2 2 2 3 3 2" xfId="49442" xr:uid="{00000000-0005-0000-0000-000036BF0000}"/>
    <cellStyle name="Normal 11 5 2 2 2 2 2 3 4" xfId="49443" xr:uid="{00000000-0005-0000-0000-000037BF0000}"/>
    <cellStyle name="Normal 11 5 2 2 2 2 2 4" xfId="49444" xr:uid="{00000000-0005-0000-0000-000038BF0000}"/>
    <cellStyle name="Normal 11 5 2 2 2 2 2 4 2" xfId="49445" xr:uid="{00000000-0005-0000-0000-000039BF0000}"/>
    <cellStyle name="Normal 11 5 2 2 2 2 2 4 2 2" xfId="49446" xr:uid="{00000000-0005-0000-0000-00003ABF0000}"/>
    <cellStyle name="Normal 11 5 2 2 2 2 2 4 3" xfId="49447" xr:uid="{00000000-0005-0000-0000-00003BBF0000}"/>
    <cellStyle name="Normal 11 5 2 2 2 2 2 5" xfId="49448" xr:uid="{00000000-0005-0000-0000-00003CBF0000}"/>
    <cellStyle name="Normal 11 5 2 2 2 2 2 5 2" xfId="49449" xr:uid="{00000000-0005-0000-0000-00003DBF0000}"/>
    <cellStyle name="Normal 11 5 2 2 2 2 2 6" xfId="49450" xr:uid="{00000000-0005-0000-0000-00003EBF0000}"/>
    <cellStyle name="Normal 11 5 2 2 2 2 2 7" xfId="49427" xr:uid="{00000000-0005-0000-0000-00003FBF0000}"/>
    <cellStyle name="Normal 11 5 2 2 2 2 3" xfId="49451" xr:uid="{00000000-0005-0000-0000-000040BF0000}"/>
    <cellStyle name="Normal 11 5 2 2 2 2 3 2" xfId="49452" xr:uid="{00000000-0005-0000-0000-000041BF0000}"/>
    <cellStyle name="Normal 11 5 2 2 2 2 3 2 2" xfId="49453" xr:uid="{00000000-0005-0000-0000-000042BF0000}"/>
    <cellStyle name="Normal 11 5 2 2 2 2 3 2 2 2" xfId="49454" xr:uid="{00000000-0005-0000-0000-000043BF0000}"/>
    <cellStyle name="Normal 11 5 2 2 2 2 3 2 2 2 2" xfId="49455" xr:uid="{00000000-0005-0000-0000-000044BF0000}"/>
    <cellStyle name="Normal 11 5 2 2 2 2 3 2 2 3" xfId="49456" xr:uid="{00000000-0005-0000-0000-000045BF0000}"/>
    <cellStyle name="Normal 11 5 2 2 2 2 3 2 3" xfId="49457" xr:uid="{00000000-0005-0000-0000-000046BF0000}"/>
    <cellStyle name="Normal 11 5 2 2 2 2 3 2 3 2" xfId="49458" xr:uid="{00000000-0005-0000-0000-000047BF0000}"/>
    <cellStyle name="Normal 11 5 2 2 2 2 3 2 4" xfId="49459" xr:uid="{00000000-0005-0000-0000-000048BF0000}"/>
    <cellStyle name="Normal 11 5 2 2 2 2 3 3" xfId="49460" xr:uid="{00000000-0005-0000-0000-000049BF0000}"/>
    <cellStyle name="Normal 11 5 2 2 2 2 3 3 2" xfId="49461" xr:uid="{00000000-0005-0000-0000-00004ABF0000}"/>
    <cellStyle name="Normal 11 5 2 2 2 2 3 3 2 2" xfId="49462" xr:uid="{00000000-0005-0000-0000-00004BBF0000}"/>
    <cellStyle name="Normal 11 5 2 2 2 2 3 3 3" xfId="49463" xr:uid="{00000000-0005-0000-0000-00004CBF0000}"/>
    <cellStyle name="Normal 11 5 2 2 2 2 3 4" xfId="49464" xr:uid="{00000000-0005-0000-0000-00004DBF0000}"/>
    <cellStyle name="Normal 11 5 2 2 2 2 3 4 2" xfId="49465" xr:uid="{00000000-0005-0000-0000-00004EBF0000}"/>
    <cellStyle name="Normal 11 5 2 2 2 2 3 5" xfId="49466" xr:uid="{00000000-0005-0000-0000-00004FBF0000}"/>
    <cellStyle name="Normal 11 5 2 2 2 2 4" xfId="49467" xr:uid="{00000000-0005-0000-0000-000050BF0000}"/>
    <cellStyle name="Normal 11 5 2 2 2 2 4 2" xfId="49468" xr:uid="{00000000-0005-0000-0000-000051BF0000}"/>
    <cellStyle name="Normal 11 5 2 2 2 2 4 2 2" xfId="49469" xr:uid="{00000000-0005-0000-0000-000052BF0000}"/>
    <cellStyle name="Normal 11 5 2 2 2 2 4 2 2 2" xfId="49470" xr:uid="{00000000-0005-0000-0000-000053BF0000}"/>
    <cellStyle name="Normal 11 5 2 2 2 2 4 2 2 2 2" xfId="49471" xr:uid="{00000000-0005-0000-0000-000054BF0000}"/>
    <cellStyle name="Normal 11 5 2 2 2 2 4 2 2 3" xfId="49472" xr:uid="{00000000-0005-0000-0000-000055BF0000}"/>
    <cellStyle name="Normal 11 5 2 2 2 2 4 2 3" xfId="49473" xr:uid="{00000000-0005-0000-0000-000056BF0000}"/>
    <cellStyle name="Normal 11 5 2 2 2 2 4 2 3 2" xfId="49474" xr:uid="{00000000-0005-0000-0000-000057BF0000}"/>
    <cellStyle name="Normal 11 5 2 2 2 2 4 2 4" xfId="49475" xr:uid="{00000000-0005-0000-0000-000058BF0000}"/>
    <cellStyle name="Normal 11 5 2 2 2 2 4 3" xfId="49476" xr:uid="{00000000-0005-0000-0000-000059BF0000}"/>
    <cellStyle name="Normal 11 5 2 2 2 2 4 3 2" xfId="49477" xr:uid="{00000000-0005-0000-0000-00005ABF0000}"/>
    <cellStyle name="Normal 11 5 2 2 2 2 4 3 2 2" xfId="49478" xr:uid="{00000000-0005-0000-0000-00005BBF0000}"/>
    <cellStyle name="Normal 11 5 2 2 2 2 4 3 3" xfId="49479" xr:uid="{00000000-0005-0000-0000-00005CBF0000}"/>
    <cellStyle name="Normal 11 5 2 2 2 2 4 4" xfId="49480" xr:uid="{00000000-0005-0000-0000-00005DBF0000}"/>
    <cellStyle name="Normal 11 5 2 2 2 2 4 4 2" xfId="49481" xr:uid="{00000000-0005-0000-0000-00005EBF0000}"/>
    <cellStyle name="Normal 11 5 2 2 2 2 4 5" xfId="49482" xr:uid="{00000000-0005-0000-0000-00005FBF0000}"/>
    <cellStyle name="Normal 11 5 2 2 2 2 5" xfId="49483" xr:uid="{00000000-0005-0000-0000-000060BF0000}"/>
    <cellStyle name="Normal 11 5 2 2 2 2 5 2" xfId="49484" xr:uid="{00000000-0005-0000-0000-000061BF0000}"/>
    <cellStyle name="Normal 11 5 2 2 2 2 5 2 2" xfId="49485" xr:uid="{00000000-0005-0000-0000-000062BF0000}"/>
    <cellStyle name="Normal 11 5 2 2 2 2 5 2 2 2" xfId="49486" xr:uid="{00000000-0005-0000-0000-000063BF0000}"/>
    <cellStyle name="Normal 11 5 2 2 2 2 5 2 3" xfId="49487" xr:uid="{00000000-0005-0000-0000-000064BF0000}"/>
    <cellStyle name="Normal 11 5 2 2 2 2 5 3" xfId="49488" xr:uid="{00000000-0005-0000-0000-000065BF0000}"/>
    <cellStyle name="Normal 11 5 2 2 2 2 5 3 2" xfId="49489" xr:uid="{00000000-0005-0000-0000-000066BF0000}"/>
    <cellStyle name="Normal 11 5 2 2 2 2 5 4" xfId="49490" xr:uid="{00000000-0005-0000-0000-000067BF0000}"/>
    <cellStyle name="Normal 11 5 2 2 2 2 6" xfId="49491" xr:uid="{00000000-0005-0000-0000-000068BF0000}"/>
    <cellStyle name="Normal 11 5 2 2 2 2 6 2" xfId="49492" xr:uid="{00000000-0005-0000-0000-000069BF0000}"/>
    <cellStyle name="Normal 11 5 2 2 2 2 6 2 2" xfId="49493" xr:uid="{00000000-0005-0000-0000-00006ABF0000}"/>
    <cellStyle name="Normal 11 5 2 2 2 2 6 2 2 2" xfId="49494" xr:uid="{00000000-0005-0000-0000-00006BBF0000}"/>
    <cellStyle name="Normal 11 5 2 2 2 2 6 2 3" xfId="49495" xr:uid="{00000000-0005-0000-0000-00006CBF0000}"/>
    <cellStyle name="Normal 11 5 2 2 2 2 6 3" xfId="49496" xr:uid="{00000000-0005-0000-0000-00006DBF0000}"/>
    <cellStyle name="Normal 11 5 2 2 2 2 6 3 2" xfId="49497" xr:uid="{00000000-0005-0000-0000-00006EBF0000}"/>
    <cellStyle name="Normal 11 5 2 2 2 2 6 4" xfId="49498" xr:uid="{00000000-0005-0000-0000-00006FBF0000}"/>
    <cellStyle name="Normal 11 5 2 2 2 2 7" xfId="49499" xr:uid="{00000000-0005-0000-0000-000070BF0000}"/>
    <cellStyle name="Normal 11 5 2 2 2 2 7 2" xfId="49500" xr:uid="{00000000-0005-0000-0000-000071BF0000}"/>
    <cellStyle name="Normal 11 5 2 2 2 2 7 2 2" xfId="49501" xr:uid="{00000000-0005-0000-0000-000072BF0000}"/>
    <cellStyle name="Normal 11 5 2 2 2 2 7 2 2 2" xfId="49502" xr:uid="{00000000-0005-0000-0000-000073BF0000}"/>
    <cellStyle name="Normal 11 5 2 2 2 2 7 2 3" xfId="49503" xr:uid="{00000000-0005-0000-0000-000074BF0000}"/>
    <cellStyle name="Normal 11 5 2 2 2 2 7 3" xfId="49504" xr:uid="{00000000-0005-0000-0000-000075BF0000}"/>
    <cellStyle name="Normal 11 5 2 2 2 2 7 3 2" xfId="49505" xr:uid="{00000000-0005-0000-0000-000076BF0000}"/>
    <cellStyle name="Normal 11 5 2 2 2 2 7 4" xfId="49506" xr:uid="{00000000-0005-0000-0000-000077BF0000}"/>
    <cellStyle name="Normal 11 5 2 2 2 2 8" xfId="49507" xr:uid="{00000000-0005-0000-0000-000078BF0000}"/>
    <cellStyle name="Normal 11 5 2 2 2 2 8 2" xfId="49508" xr:uid="{00000000-0005-0000-0000-000079BF0000}"/>
    <cellStyle name="Normal 11 5 2 2 2 2 8 2 2" xfId="49509" xr:uid="{00000000-0005-0000-0000-00007ABF0000}"/>
    <cellStyle name="Normal 11 5 2 2 2 2 8 3" xfId="49510" xr:uid="{00000000-0005-0000-0000-00007BBF0000}"/>
    <cellStyle name="Normal 11 5 2 2 2 2 9" xfId="49511" xr:uid="{00000000-0005-0000-0000-00007CBF0000}"/>
    <cellStyle name="Normal 11 5 2 2 2 2 9 2" xfId="49512" xr:uid="{00000000-0005-0000-0000-00007DBF0000}"/>
    <cellStyle name="Normal 11 5 2 2 2 3" xfId="1502" xr:uid="{00000000-0005-0000-0000-00007EBF0000}"/>
    <cellStyle name="Normal 11 5 2 2 2 3 2" xfId="49514" xr:uid="{00000000-0005-0000-0000-00007FBF0000}"/>
    <cellStyle name="Normal 11 5 2 2 2 3 2 2" xfId="49515" xr:uid="{00000000-0005-0000-0000-000080BF0000}"/>
    <cellStyle name="Normal 11 5 2 2 2 3 2 2 2" xfId="49516" xr:uid="{00000000-0005-0000-0000-000081BF0000}"/>
    <cellStyle name="Normal 11 5 2 2 2 3 2 2 2 2" xfId="49517" xr:uid="{00000000-0005-0000-0000-000082BF0000}"/>
    <cellStyle name="Normal 11 5 2 2 2 3 2 2 3" xfId="49518" xr:uid="{00000000-0005-0000-0000-000083BF0000}"/>
    <cellStyle name="Normal 11 5 2 2 2 3 2 3" xfId="49519" xr:uid="{00000000-0005-0000-0000-000084BF0000}"/>
    <cellStyle name="Normal 11 5 2 2 2 3 2 3 2" xfId="49520" xr:uid="{00000000-0005-0000-0000-000085BF0000}"/>
    <cellStyle name="Normal 11 5 2 2 2 3 2 4" xfId="49521" xr:uid="{00000000-0005-0000-0000-000086BF0000}"/>
    <cellStyle name="Normal 11 5 2 2 2 3 3" xfId="49522" xr:uid="{00000000-0005-0000-0000-000087BF0000}"/>
    <cellStyle name="Normal 11 5 2 2 2 3 3 2" xfId="49523" xr:uid="{00000000-0005-0000-0000-000088BF0000}"/>
    <cellStyle name="Normal 11 5 2 2 2 3 3 2 2" xfId="49524" xr:uid="{00000000-0005-0000-0000-000089BF0000}"/>
    <cellStyle name="Normal 11 5 2 2 2 3 3 2 2 2" xfId="49525" xr:uid="{00000000-0005-0000-0000-00008ABF0000}"/>
    <cellStyle name="Normal 11 5 2 2 2 3 3 2 3" xfId="49526" xr:uid="{00000000-0005-0000-0000-00008BBF0000}"/>
    <cellStyle name="Normal 11 5 2 2 2 3 3 3" xfId="49527" xr:uid="{00000000-0005-0000-0000-00008CBF0000}"/>
    <cellStyle name="Normal 11 5 2 2 2 3 3 3 2" xfId="49528" xr:uid="{00000000-0005-0000-0000-00008DBF0000}"/>
    <cellStyle name="Normal 11 5 2 2 2 3 3 4" xfId="49529" xr:uid="{00000000-0005-0000-0000-00008EBF0000}"/>
    <cellStyle name="Normal 11 5 2 2 2 3 4" xfId="49530" xr:uid="{00000000-0005-0000-0000-00008FBF0000}"/>
    <cellStyle name="Normal 11 5 2 2 2 3 4 2" xfId="49531" xr:uid="{00000000-0005-0000-0000-000090BF0000}"/>
    <cellStyle name="Normal 11 5 2 2 2 3 4 2 2" xfId="49532" xr:uid="{00000000-0005-0000-0000-000091BF0000}"/>
    <cellStyle name="Normal 11 5 2 2 2 3 4 3" xfId="49533" xr:uid="{00000000-0005-0000-0000-000092BF0000}"/>
    <cellStyle name="Normal 11 5 2 2 2 3 5" xfId="49534" xr:uid="{00000000-0005-0000-0000-000093BF0000}"/>
    <cellStyle name="Normal 11 5 2 2 2 3 5 2" xfId="49535" xr:uid="{00000000-0005-0000-0000-000094BF0000}"/>
    <cellStyle name="Normal 11 5 2 2 2 3 6" xfId="49536" xr:uid="{00000000-0005-0000-0000-000095BF0000}"/>
    <cellStyle name="Normal 11 5 2 2 2 3 7" xfId="49513" xr:uid="{00000000-0005-0000-0000-000096BF0000}"/>
    <cellStyle name="Normal 11 5 2 2 2 4" xfId="49537" xr:uid="{00000000-0005-0000-0000-000097BF0000}"/>
    <cellStyle name="Normal 11 5 2 2 2 4 2" xfId="49538" xr:uid="{00000000-0005-0000-0000-000098BF0000}"/>
    <cellStyle name="Normal 11 5 2 2 2 4 2 2" xfId="49539" xr:uid="{00000000-0005-0000-0000-000099BF0000}"/>
    <cellStyle name="Normal 11 5 2 2 2 4 2 2 2" xfId="49540" xr:uid="{00000000-0005-0000-0000-00009ABF0000}"/>
    <cellStyle name="Normal 11 5 2 2 2 4 2 2 2 2" xfId="49541" xr:uid="{00000000-0005-0000-0000-00009BBF0000}"/>
    <cellStyle name="Normal 11 5 2 2 2 4 2 2 3" xfId="49542" xr:uid="{00000000-0005-0000-0000-00009CBF0000}"/>
    <cellStyle name="Normal 11 5 2 2 2 4 2 3" xfId="49543" xr:uid="{00000000-0005-0000-0000-00009DBF0000}"/>
    <cellStyle name="Normal 11 5 2 2 2 4 2 3 2" xfId="49544" xr:uid="{00000000-0005-0000-0000-00009EBF0000}"/>
    <cellStyle name="Normal 11 5 2 2 2 4 2 4" xfId="49545" xr:uid="{00000000-0005-0000-0000-00009FBF0000}"/>
    <cellStyle name="Normal 11 5 2 2 2 4 3" xfId="49546" xr:uid="{00000000-0005-0000-0000-0000A0BF0000}"/>
    <cellStyle name="Normal 11 5 2 2 2 4 3 2" xfId="49547" xr:uid="{00000000-0005-0000-0000-0000A1BF0000}"/>
    <cellStyle name="Normal 11 5 2 2 2 4 3 2 2" xfId="49548" xr:uid="{00000000-0005-0000-0000-0000A2BF0000}"/>
    <cellStyle name="Normal 11 5 2 2 2 4 3 3" xfId="49549" xr:uid="{00000000-0005-0000-0000-0000A3BF0000}"/>
    <cellStyle name="Normal 11 5 2 2 2 4 4" xfId="49550" xr:uid="{00000000-0005-0000-0000-0000A4BF0000}"/>
    <cellStyle name="Normal 11 5 2 2 2 4 4 2" xfId="49551" xr:uid="{00000000-0005-0000-0000-0000A5BF0000}"/>
    <cellStyle name="Normal 11 5 2 2 2 4 5" xfId="49552" xr:uid="{00000000-0005-0000-0000-0000A6BF0000}"/>
    <cellStyle name="Normal 11 5 2 2 2 5" xfId="49553" xr:uid="{00000000-0005-0000-0000-0000A7BF0000}"/>
    <cellStyle name="Normal 11 5 2 2 2 5 2" xfId="49554" xr:uid="{00000000-0005-0000-0000-0000A8BF0000}"/>
    <cellStyle name="Normal 11 5 2 2 2 5 2 2" xfId="49555" xr:uid="{00000000-0005-0000-0000-0000A9BF0000}"/>
    <cellStyle name="Normal 11 5 2 2 2 5 2 2 2" xfId="49556" xr:uid="{00000000-0005-0000-0000-0000AABF0000}"/>
    <cellStyle name="Normal 11 5 2 2 2 5 2 2 2 2" xfId="49557" xr:uid="{00000000-0005-0000-0000-0000ABBF0000}"/>
    <cellStyle name="Normal 11 5 2 2 2 5 2 2 3" xfId="49558" xr:uid="{00000000-0005-0000-0000-0000ACBF0000}"/>
    <cellStyle name="Normal 11 5 2 2 2 5 2 3" xfId="49559" xr:uid="{00000000-0005-0000-0000-0000ADBF0000}"/>
    <cellStyle name="Normal 11 5 2 2 2 5 2 3 2" xfId="49560" xr:uid="{00000000-0005-0000-0000-0000AEBF0000}"/>
    <cellStyle name="Normal 11 5 2 2 2 5 2 4" xfId="49561" xr:uid="{00000000-0005-0000-0000-0000AFBF0000}"/>
    <cellStyle name="Normal 11 5 2 2 2 5 3" xfId="49562" xr:uid="{00000000-0005-0000-0000-0000B0BF0000}"/>
    <cellStyle name="Normal 11 5 2 2 2 5 3 2" xfId="49563" xr:uid="{00000000-0005-0000-0000-0000B1BF0000}"/>
    <cellStyle name="Normal 11 5 2 2 2 5 3 2 2" xfId="49564" xr:uid="{00000000-0005-0000-0000-0000B2BF0000}"/>
    <cellStyle name="Normal 11 5 2 2 2 5 3 3" xfId="49565" xr:uid="{00000000-0005-0000-0000-0000B3BF0000}"/>
    <cellStyle name="Normal 11 5 2 2 2 5 4" xfId="49566" xr:uid="{00000000-0005-0000-0000-0000B4BF0000}"/>
    <cellStyle name="Normal 11 5 2 2 2 5 4 2" xfId="49567" xr:uid="{00000000-0005-0000-0000-0000B5BF0000}"/>
    <cellStyle name="Normal 11 5 2 2 2 5 5" xfId="49568" xr:uid="{00000000-0005-0000-0000-0000B6BF0000}"/>
    <cellStyle name="Normal 11 5 2 2 2 6" xfId="49569" xr:uid="{00000000-0005-0000-0000-0000B7BF0000}"/>
    <cellStyle name="Normal 11 5 2 2 2 6 2" xfId="49570" xr:uid="{00000000-0005-0000-0000-0000B8BF0000}"/>
    <cellStyle name="Normal 11 5 2 2 2 6 2 2" xfId="49571" xr:uid="{00000000-0005-0000-0000-0000B9BF0000}"/>
    <cellStyle name="Normal 11 5 2 2 2 6 2 2 2" xfId="49572" xr:uid="{00000000-0005-0000-0000-0000BABF0000}"/>
    <cellStyle name="Normal 11 5 2 2 2 6 2 3" xfId="49573" xr:uid="{00000000-0005-0000-0000-0000BBBF0000}"/>
    <cellStyle name="Normal 11 5 2 2 2 6 3" xfId="49574" xr:uid="{00000000-0005-0000-0000-0000BCBF0000}"/>
    <cellStyle name="Normal 11 5 2 2 2 6 3 2" xfId="49575" xr:uid="{00000000-0005-0000-0000-0000BDBF0000}"/>
    <cellStyle name="Normal 11 5 2 2 2 6 4" xfId="49576" xr:uid="{00000000-0005-0000-0000-0000BEBF0000}"/>
    <cellStyle name="Normal 11 5 2 2 2 7" xfId="49577" xr:uid="{00000000-0005-0000-0000-0000BFBF0000}"/>
    <cellStyle name="Normal 11 5 2 2 2 7 2" xfId="49578" xr:uid="{00000000-0005-0000-0000-0000C0BF0000}"/>
    <cellStyle name="Normal 11 5 2 2 2 7 2 2" xfId="49579" xr:uid="{00000000-0005-0000-0000-0000C1BF0000}"/>
    <cellStyle name="Normal 11 5 2 2 2 7 2 2 2" xfId="49580" xr:uid="{00000000-0005-0000-0000-0000C2BF0000}"/>
    <cellStyle name="Normal 11 5 2 2 2 7 2 3" xfId="49581" xr:uid="{00000000-0005-0000-0000-0000C3BF0000}"/>
    <cellStyle name="Normal 11 5 2 2 2 7 3" xfId="49582" xr:uid="{00000000-0005-0000-0000-0000C4BF0000}"/>
    <cellStyle name="Normal 11 5 2 2 2 7 3 2" xfId="49583" xr:uid="{00000000-0005-0000-0000-0000C5BF0000}"/>
    <cellStyle name="Normal 11 5 2 2 2 7 4" xfId="49584" xr:uid="{00000000-0005-0000-0000-0000C6BF0000}"/>
    <cellStyle name="Normal 11 5 2 2 2 8" xfId="49585" xr:uid="{00000000-0005-0000-0000-0000C7BF0000}"/>
    <cellStyle name="Normal 11 5 2 2 2 8 2" xfId="49586" xr:uid="{00000000-0005-0000-0000-0000C8BF0000}"/>
    <cellStyle name="Normal 11 5 2 2 2 8 2 2" xfId="49587" xr:uid="{00000000-0005-0000-0000-0000C9BF0000}"/>
    <cellStyle name="Normal 11 5 2 2 2 8 2 2 2" xfId="49588" xr:uid="{00000000-0005-0000-0000-0000CABF0000}"/>
    <cellStyle name="Normal 11 5 2 2 2 8 2 3" xfId="49589" xr:uid="{00000000-0005-0000-0000-0000CBBF0000}"/>
    <cellStyle name="Normal 11 5 2 2 2 8 3" xfId="49590" xr:uid="{00000000-0005-0000-0000-0000CCBF0000}"/>
    <cellStyle name="Normal 11 5 2 2 2 8 3 2" xfId="49591" xr:uid="{00000000-0005-0000-0000-0000CDBF0000}"/>
    <cellStyle name="Normal 11 5 2 2 2 8 4" xfId="49592" xr:uid="{00000000-0005-0000-0000-0000CEBF0000}"/>
    <cellStyle name="Normal 11 5 2 2 2 9" xfId="49593" xr:uid="{00000000-0005-0000-0000-0000CFBF0000}"/>
    <cellStyle name="Normal 11 5 2 2 2 9 2" xfId="49594" xr:uid="{00000000-0005-0000-0000-0000D0BF0000}"/>
    <cellStyle name="Normal 11 5 2 2 2 9 2 2" xfId="49595" xr:uid="{00000000-0005-0000-0000-0000D1BF0000}"/>
    <cellStyle name="Normal 11 5 2 2 2 9 3" xfId="49596" xr:uid="{00000000-0005-0000-0000-0000D2BF0000}"/>
    <cellStyle name="Normal 11 5 2 2 3" xfId="659" xr:uid="{00000000-0005-0000-0000-0000D3BF0000}"/>
    <cellStyle name="Normal 11 5 2 2 3 10" xfId="49598" xr:uid="{00000000-0005-0000-0000-0000D4BF0000}"/>
    <cellStyle name="Normal 11 5 2 2 3 10 2" xfId="49599" xr:uid="{00000000-0005-0000-0000-0000D5BF0000}"/>
    <cellStyle name="Normal 11 5 2 2 3 10 2 2" xfId="49600" xr:uid="{00000000-0005-0000-0000-0000D6BF0000}"/>
    <cellStyle name="Normal 11 5 2 2 3 10 3" xfId="49601" xr:uid="{00000000-0005-0000-0000-0000D7BF0000}"/>
    <cellStyle name="Normal 11 5 2 2 3 11" xfId="49602" xr:uid="{00000000-0005-0000-0000-0000D8BF0000}"/>
    <cellStyle name="Normal 11 5 2 2 3 11 2" xfId="49603" xr:uid="{00000000-0005-0000-0000-0000D9BF0000}"/>
    <cellStyle name="Normal 11 5 2 2 3 11 2 2" xfId="49604" xr:uid="{00000000-0005-0000-0000-0000DABF0000}"/>
    <cellStyle name="Normal 11 5 2 2 3 11 3" xfId="49605" xr:uid="{00000000-0005-0000-0000-0000DBBF0000}"/>
    <cellStyle name="Normal 11 5 2 2 3 12" xfId="49606" xr:uid="{00000000-0005-0000-0000-0000DCBF0000}"/>
    <cellStyle name="Normal 11 5 2 2 3 12 2" xfId="49607" xr:uid="{00000000-0005-0000-0000-0000DDBF0000}"/>
    <cellStyle name="Normal 11 5 2 2 3 13" xfId="49608" xr:uid="{00000000-0005-0000-0000-0000DEBF0000}"/>
    <cellStyle name="Normal 11 5 2 2 3 14" xfId="49609" xr:uid="{00000000-0005-0000-0000-0000DFBF0000}"/>
    <cellStyle name="Normal 11 5 2 2 3 15" xfId="49597" xr:uid="{00000000-0005-0000-0000-0000E0BF0000}"/>
    <cellStyle name="Normal 11 5 2 2 3 2" xfId="1101" xr:uid="{00000000-0005-0000-0000-0000E1BF0000}"/>
    <cellStyle name="Normal 11 5 2 2 3 2 10" xfId="49611" xr:uid="{00000000-0005-0000-0000-0000E2BF0000}"/>
    <cellStyle name="Normal 11 5 2 2 3 2 11" xfId="49610" xr:uid="{00000000-0005-0000-0000-0000E3BF0000}"/>
    <cellStyle name="Normal 11 5 2 2 3 2 2" xfId="1830" xr:uid="{00000000-0005-0000-0000-0000E4BF0000}"/>
    <cellStyle name="Normal 11 5 2 2 3 2 2 2" xfId="49613" xr:uid="{00000000-0005-0000-0000-0000E5BF0000}"/>
    <cellStyle name="Normal 11 5 2 2 3 2 2 2 2" xfId="49614" xr:uid="{00000000-0005-0000-0000-0000E6BF0000}"/>
    <cellStyle name="Normal 11 5 2 2 3 2 2 2 2 2" xfId="49615" xr:uid="{00000000-0005-0000-0000-0000E7BF0000}"/>
    <cellStyle name="Normal 11 5 2 2 3 2 2 2 2 2 2" xfId="49616" xr:uid="{00000000-0005-0000-0000-0000E8BF0000}"/>
    <cellStyle name="Normal 11 5 2 2 3 2 2 2 2 3" xfId="49617" xr:uid="{00000000-0005-0000-0000-0000E9BF0000}"/>
    <cellStyle name="Normal 11 5 2 2 3 2 2 2 3" xfId="49618" xr:uid="{00000000-0005-0000-0000-0000EABF0000}"/>
    <cellStyle name="Normal 11 5 2 2 3 2 2 2 3 2" xfId="49619" xr:uid="{00000000-0005-0000-0000-0000EBBF0000}"/>
    <cellStyle name="Normal 11 5 2 2 3 2 2 2 4" xfId="49620" xr:uid="{00000000-0005-0000-0000-0000ECBF0000}"/>
    <cellStyle name="Normal 11 5 2 2 3 2 2 3" xfId="49621" xr:uid="{00000000-0005-0000-0000-0000EDBF0000}"/>
    <cellStyle name="Normal 11 5 2 2 3 2 2 3 2" xfId="49622" xr:uid="{00000000-0005-0000-0000-0000EEBF0000}"/>
    <cellStyle name="Normal 11 5 2 2 3 2 2 3 2 2" xfId="49623" xr:uid="{00000000-0005-0000-0000-0000EFBF0000}"/>
    <cellStyle name="Normal 11 5 2 2 3 2 2 3 2 2 2" xfId="49624" xr:uid="{00000000-0005-0000-0000-0000F0BF0000}"/>
    <cellStyle name="Normal 11 5 2 2 3 2 2 3 2 3" xfId="49625" xr:uid="{00000000-0005-0000-0000-0000F1BF0000}"/>
    <cellStyle name="Normal 11 5 2 2 3 2 2 3 3" xfId="49626" xr:uid="{00000000-0005-0000-0000-0000F2BF0000}"/>
    <cellStyle name="Normal 11 5 2 2 3 2 2 3 3 2" xfId="49627" xr:uid="{00000000-0005-0000-0000-0000F3BF0000}"/>
    <cellStyle name="Normal 11 5 2 2 3 2 2 3 4" xfId="49628" xr:uid="{00000000-0005-0000-0000-0000F4BF0000}"/>
    <cellStyle name="Normal 11 5 2 2 3 2 2 4" xfId="49629" xr:uid="{00000000-0005-0000-0000-0000F5BF0000}"/>
    <cellStyle name="Normal 11 5 2 2 3 2 2 4 2" xfId="49630" xr:uid="{00000000-0005-0000-0000-0000F6BF0000}"/>
    <cellStyle name="Normal 11 5 2 2 3 2 2 4 2 2" xfId="49631" xr:uid="{00000000-0005-0000-0000-0000F7BF0000}"/>
    <cellStyle name="Normal 11 5 2 2 3 2 2 4 3" xfId="49632" xr:uid="{00000000-0005-0000-0000-0000F8BF0000}"/>
    <cellStyle name="Normal 11 5 2 2 3 2 2 5" xfId="49633" xr:uid="{00000000-0005-0000-0000-0000F9BF0000}"/>
    <cellStyle name="Normal 11 5 2 2 3 2 2 5 2" xfId="49634" xr:uid="{00000000-0005-0000-0000-0000FABF0000}"/>
    <cellStyle name="Normal 11 5 2 2 3 2 2 6" xfId="49635" xr:uid="{00000000-0005-0000-0000-0000FBBF0000}"/>
    <cellStyle name="Normal 11 5 2 2 3 2 2 7" xfId="49612" xr:uid="{00000000-0005-0000-0000-0000FCBF0000}"/>
    <cellStyle name="Normal 11 5 2 2 3 2 3" xfId="49636" xr:uid="{00000000-0005-0000-0000-0000FDBF0000}"/>
    <cellStyle name="Normal 11 5 2 2 3 2 3 2" xfId="49637" xr:uid="{00000000-0005-0000-0000-0000FEBF0000}"/>
    <cellStyle name="Normal 11 5 2 2 3 2 3 2 2" xfId="49638" xr:uid="{00000000-0005-0000-0000-0000FFBF0000}"/>
    <cellStyle name="Normal 11 5 2 2 3 2 3 2 2 2" xfId="49639" xr:uid="{00000000-0005-0000-0000-000000C00000}"/>
    <cellStyle name="Normal 11 5 2 2 3 2 3 2 2 2 2" xfId="49640" xr:uid="{00000000-0005-0000-0000-000001C00000}"/>
    <cellStyle name="Normal 11 5 2 2 3 2 3 2 2 3" xfId="49641" xr:uid="{00000000-0005-0000-0000-000002C00000}"/>
    <cellStyle name="Normal 11 5 2 2 3 2 3 2 3" xfId="49642" xr:uid="{00000000-0005-0000-0000-000003C00000}"/>
    <cellStyle name="Normal 11 5 2 2 3 2 3 2 3 2" xfId="49643" xr:uid="{00000000-0005-0000-0000-000004C00000}"/>
    <cellStyle name="Normal 11 5 2 2 3 2 3 2 4" xfId="49644" xr:uid="{00000000-0005-0000-0000-000005C00000}"/>
    <cellStyle name="Normal 11 5 2 2 3 2 3 3" xfId="49645" xr:uid="{00000000-0005-0000-0000-000006C00000}"/>
    <cellStyle name="Normal 11 5 2 2 3 2 3 3 2" xfId="49646" xr:uid="{00000000-0005-0000-0000-000007C00000}"/>
    <cellStyle name="Normal 11 5 2 2 3 2 3 3 2 2" xfId="49647" xr:uid="{00000000-0005-0000-0000-000008C00000}"/>
    <cellStyle name="Normal 11 5 2 2 3 2 3 3 3" xfId="49648" xr:uid="{00000000-0005-0000-0000-000009C00000}"/>
    <cellStyle name="Normal 11 5 2 2 3 2 3 4" xfId="49649" xr:uid="{00000000-0005-0000-0000-00000AC00000}"/>
    <cellStyle name="Normal 11 5 2 2 3 2 3 4 2" xfId="49650" xr:uid="{00000000-0005-0000-0000-00000BC00000}"/>
    <cellStyle name="Normal 11 5 2 2 3 2 3 5" xfId="49651" xr:uid="{00000000-0005-0000-0000-00000CC00000}"/>
    <cellStyle name="Normal 11 5 2 2 3 2 4" xfId="49652" xr:uid="{00000000-0005-0000-0000-00000DC00000}"/>
    <cellStyle name="Normal 11 5 2 2 3 2 4 2" xfId="49653" xr:uid="{00000000-0005-0000-0000-00000EC00000}"/>
    <cellStyle name="Normal 11 5 2 2 3 2 4 2 2" xfId="49654" xr:uid="{00000000-0005-0000-0000-00000FC00000}"/>
    <cellStyle name="Normal 11 5 2 2 3 2 4 2 2 2" xfId="49655" xr:uid="{00000000-0005-0000-0000-000010C00000}"/>
    <cellStyle name="Normal 11 5 2 2 3 2 4 2 2 2 2" xfId="49656" xr:uid="{00000000-0005-0000-0000-000011C00000}"/>
    <cellStyle name="Normal 11 5 2 2 3 2 4 2 2 3" xfId="49657" xr:uid="{00000000-0005-0000-0000-000012C00000}"/>
    <cellStyle name="Normal 11 5 2 2 3 2 4 2 3" xfId="49658" xr:uid="{00000000-0005-0000-0000-000013C00000}"/>
    <cellStyle name="Normal 11 5 2 2 3 2 4 2 3 2" xfId="49659" xr:uid="{00000000-0005-0000-0000-000014C00000}"/>
    <cellStyle name="Normal 11 5 2 2 3 2 4 2 4" xfId="49660" xr:uid="{00000000-0005-0000-0000-000015C00000}"/>
    <cellStyle name="Normal 11 5 2 2 3 2 4 3" xfId="49661" xr:uid="{00000000-0005-0000-0000-000016C00000}"/>
    <cellStyle name="Normal 11 5 2 2 3 2 4 3 2" xfId="49662" xr:uid="{00000000-0005-0000-0000-000017C00000}"/>
    <cellStyle name="Normal 11 5 2 2 3 2 4 3 2 2" xfId="49663" xr:uid="{00000000-0005-0000-0000-000018C00000}"/>
    <cellStyle name="Normal 11 5 2 2 3 2 4 3 3" xfId="49664" xr:uid="{00000000-0005-0000-0000-000019C00000}"/>
    <cellStyle name="Normal 11 5 2 2 3 2 4 4" xfId="49665" xr:uid="{00000000-0005-0000-0000-00001AC00000}"/>
    <cellStyle name="Normal 11 5 2 2 3 2 4 4 2" xfId="49666" xr:uid="{00000000-0005-0000-0000-00001BC00000}"/>
    <cellStyle name="Normal 11 5 2 2 3 2 4 5" xfId="49667" xr:uid="{00000000-0005-0000-0000-00001CC00000}"/>
    <cellStyle name="Normal 11 5 2 2 3 2 5" xfId="49668" xr:uid="{00000000-0005-0000-0000-00001DC00000}"/>
    <cellStyle name="Normal 11 5 2 2 3 2 5 2" xfId="49669" xr:uid="{00000000-0005-0000-0000-00001EC00000}"/>
    <cellStyle name="Normal 11 5 2 2 3 2 5 2 2" xfId="49670" xr:uid="{00000000-0005-0000-0000-00001FC00000}"/>
    <cellStyle name="Normal 11 5 2 2 3 2 5 2 2 2" xfId="49671" xr:uid="{00000000-0005-0000-0000-000020C00000}"/>
    <cellStyle name="Normal 11 5 2 2 3 2 5 2 3" xfId="49672" xr:uid="{00000000-0005-0000-0000-000021C00000}"/>
    <cellStyle name="Normal 11 5 2 2 3 2 5 3" xfId="49673" xr:uid="{00000000-0005-0000-0000-000022C00000}"/>
    <cellStyle name="Normal 11 5 2 2 3 2 5 3 2" xfId="49674" xr:uid="{00000000-0005-0000-0000-000023C00000}"/>
    <cellStyle name="Normal 11 5 2 2 3 2 5 4" xfId="49675" xr:uid="{00000000-0005-0000-0000-000024C00000}"/>
    <cellStyle name="Normal 11 5 2 2 3 2 6" xfId="49676" xr:uid="{00000000-0005-0000-0000-000025C00000}"/>
    <cellStyle name="Normal 11 5 2 2 3 2 6 2" xfId="49677" xr:uid="{00000000-0005-0000-0000-000026C00000}"/>
    <cellStyle name="Normal 11 5 2 2 3 2 6 2 2" xfId="49678" xr:uid="{00000000-0005-0000-0000-000027C00000}"/>
    <cellStyle name="Normal 11 5 2 2 3 2 6 2 2 2" xfId="49679" xr:uid="{00000000-0005-0000-0000-000028C00000}"/>
    <cellStyle name="Normal 11 5 2 2 3 2 6 2 3" xfId="49680" xr:uid="{00000000-0005-0000-0000-000029C00000}"/>
    <cellStyle name="Normal 11 5 2 2 3 2 6 3" xfId="49681" xr:uid="{00000000-0005-0000-0000-00002AC00000}"/>
    <cellStyle name="Normal 11 5 2 2 3 2 6 3 2" xfId="49682" xr:uid="{00000000-0005-0000-0000-00002BC00000}"/>
    <cellStyle name="Normal 11 5 2 2 3 2 6 4" xfId="49683" xr:uid="{00000000-0005-0000-0000-00002CC00000}"/>
    <cellStyle name="Normal 11 5 2 2 3 2 7" xfId="49684" xr:uid="{00000000-0005-0000-0000-00002DC00000}"/>
    <cellStyle name="Normal 11 5 2 2 3 2 7 2" xfId="49685" xr:uid="{00000000-0005-0000-0000-00002EC00000}"/>
    <cellStyle name="Normal 11 5 2 2 3 2 7 2 2" xfId="49686" xr:uid="{00000000-0005-0000-0000-00002FC00000}"/>
    <cellStyle name="Normal 11 5 2 2 3 2 7 2 2 2" xfId="49687" xr:uid="{00000000-0005-0000-0000-000030C00000}"/>
    <cellStyle name="Normal 11 5 2 2 3 2 7 2 3" xfId="49688" xr:uid="{00000000-0005-0000-0000-000031C00000}"/>
    <cellStyle name="Normal 11 5 2 2 3 2 7 3" xfId="49689" xr:uid="{00000000-0005-0000-0000-000032C00000}"/>
    <cellStyle name="Normal 11 5 2 2 3 2 7 3 2" xfId="49690" xr:uid="{00000000-0005-0000-0000-000033C00000}"/>
    <cellStyle name="Normal 11 5 2 2 3 2 7 4" xfId="49691" xr:uid="{00000000-0005-0000-0000-000034C00000}"/>
    <cellStyle name="Normal 11 5 2 2 3 2 8" xfId="49692" xr:uid="{00000000-0005-0000-0000-000035C00000}"/>
    <cellStyle name="Normal 11 5 2 2 3 2 8 2" xfId="49693" xr:uid="{00000000-0005-0000-0000-000036C00000}"/>
    <cellStyle name="Normal 11 5 2 2 3 2 8 2 2" xfId="49694" xr:uid="{00000000-0005-0000-0000-000037C00000}"/>
    <cellStyle name="Normal 11 5 2 2 3 2 8 3" xfId="49695" xr:uid="{00000000-0005-0000-0000-000038C00000}"/>
    <cellStyle name="Normal 11 5 2 2 3 2 9" xfId="49696" xr:uid="{00000000-0005-0000-0000-000039C00000}"/>
    <cellStyle name="Normal 11 5 2 2 3 2 9 2" xfId="49697" xr:uid="{00000000-0005-0000-0000-00003AC00000}"/>
    <cellStyle name="Normal 11 5 2 2 3 3" xfId="1503" xr:uid="{00000000-0005-0000-0000-00003BC00000}"/>
    <cellStyle name="Normal 11 5 2 2 3 3 2" xfId="49699" xr:uid="{00000000-0005-0000-0000-00003CC00000}"/>
    <cellStyle name="Normal 11 5 2 2 3 3 2 2" xfId="49700" xr:uid="{00000000-0005-0000-0000-00003DC00000}"/>
    <cellStyle name="Normal 11 5 2 2 3 3 2 2 2" xfId="49701" xr:uid="{00000000-0005-0000-0000-00003EC00000}"/>
    <cellStyle name="Normal 11 5 2 2 3 3 2 2 2 2" xfId="49702" xr:uid="{00000000-0005-0000-0000-00003FC00000}"/>
    <cellStyle name="Normal 11 5 2 2 3 3 2 2 3" xfId="49703" xr:uid="{00000000-0005-0000-0000-000040C00000}"/>
    <cellStyle name="Normal 11 5 2 2 3 3 2 3" xfId="49704" xr:uid="{00000000-0005-0000-0000-000041C00000}"/>
    <cellStyle name="Normal 11 5 2 2 3 3 2 3 2" xfId="49705" xr:uid="{00000000-0005-0000-0000-000042C00000}"/>
    <cellStyle name="Normal 11 5 2 2 3 3 2 4" xfId="49706" xr:uid="{00000000-0005-0000-0000-000043C00000}"/>
    <cellStyle name="Normal 11 5 2 2 3 3 3" xfId="49707" xr:uid="{00000000-0005-0000-0000-000044C00000}"/>
    <cellStyle name="Normal 11 5 2 2 3 3 3 2" xfId="49708" xr:uid="{00000000-0005-0000-0000-000045C00000}"/>
    <cellStyle name="Normal 11 5 2 2 3 3 3 2 2" xfId="49709" xr:uid="{00000000-0005-0000-0000-000046C00000}"/>
    <cellStyle name="Normal 11 5 2 2 3 3 3 2 2 2" xfId="49710" xr:uid="{00000000-0005-0000-0000-000047C00000}"/>
    <cellStyle name="Normal 11 5 2 2 3 3 3 2 3" xfId="49711" xr:uid="{00000000-0005-0000-0000-000048C00000}"/>
    <cellStyle name="Normal 11 5 2 2 3 3 3 3" xfId="49712" xr:uid="{00000000-0005-0000-0000-000049C00000}"/>
    <cellStyle name="Normal 11 5 2 2 3 3 3 3 2" xfId="49713" xr:uid="{00000000-0005-0000-0000-00004AC00000}"/>
    <cellStyle name="Normal 11 5 2 2 3 3 3 4" xfId="49714" xr:uid="{00000000-0005-0000-0000-00004BC00000}"/>
    <cellStyle name="Normal 11 5 2 2 3 3 4" xfId="49715" xr:uid="{00000000-0005-0000-0000-00004CC00000}"/>
    <cellStyle name="Normal 11 5 2 2 3 3 4 2" xfId="49716" xr:uid="{00000000-0005-0000-0000-00004DC00000}"/>
    <cellStyle name="Normal 11 5 2 2 3 3 4 2 2" xfId="49717" xr:uid="{00000000-0005-0000-0000-00004EC00000}"/>
    <cellStyle name="Normal 11 5 2 2 3 3 4 3" xfId="49718" xr:uid="{00000000-0005-0000-0000-00004FC00000}"/>
    <cellStyle name="Normal 11 5 2 2 3 3 5" xfId="49719" xr:uid="{00000000-0005-0000-0000-000050C00000}"/>
    <cellStyle name="Normal 11 5 2 2 3 3 5 2" xfId="49720" xr:uid="{00000000-0005-0000-0000-000051C00000}"/>
    <cellStyle name="Normal 11 5 2 2 3 3 6" xfId="49721" xr:uid="{00000000-0005-0000-0000-000052C00000}"/>
    <cellStyle name="Normal 11 5 2 2 3 3 7" xfId="49698" xr:uid="{00000000-0005-0000-0000-000053C00000}"/>
    <cellStyle name="Normal 11 5 2 2 3 4" xfId="49722" xr:uid="{00000000-0005-0000-0000-000054C00000}"/>
    <cellStyle name="Normal 11 5 2 2 3 4 2" xfId="49723" xr:uid="{00000000-0005-0000-0000-000055C00000}"/>
    <cellStyle name="Normal 11 5 2 2 3 4 2 2" xfId="49724" xr:uid="{00000000-0005-0000-0000-000056C00000}"/>
    <cellStyle name="Normal 11 5 2 2 3 4 2 2 2" xfId="49725" xr:uid="{00000000-0005-0000-0000-000057C00000}"/>
    <cellStyle name="Normal 11 5 2 2 3 4 2 2 2 2" xfId="49726" xr:uid="{00000000-0005-0000-0000-000058C00000}"/>
    <cellStyle name="Normal 11 5 2 2 3 4 2 2 3" xfId="49727" xr:uid="{00000000-0005-0000-0000-000059C00000}"/>
    <cellStyle name="Normal 11 5 2 2 3 4 2 3" xfId="49728" xr:uid="{00000000-0005-0000-0000-00005AC00000}"/>
    <cellStyle name="Normal 11 5 2 2 3 4 2 3 2" xfId="49729" xr:uid="{00000000-0005-0000-0000-00005BC00000}"/>
    <cellStyle name="Normal 11 5 2 2 3 4 2 4" xfId="49730" xr:uid="{00000000-0005-0000-0000-00005CC00000}"/>
    <cellStyle name="Normal 11 5 2 2 3 4 3" xfId="49731" xr:uid="{00000000-0005-0000-0000-00005DC00000}"/>
    <cellStyle name="Normal 11 5 2 2 3 4 3 2" xfId="49732" xr:uid="{00000000-0005-0000-0000-00005EC00000}"/>
    <cellStyle name="Normal 11 5 2 2 3 4 3 2 2" xfId="49733" xr:uid="{00000000-0005-0000-0000-00005FC00000}"/>
    <cellStyle name="Normal 11 5 2 2 3 4 3 3" xfId="49734" xr:uid="{00000000-0005-0000-0000-000060C00000}"/>
    <cellStyle name="Normal 11 5 2 2 3 4 4" xfId="49735" xr:uid="{00000000-0005-0000-0000-000061C00000}"/>
    <cellStyle name="Normal 11 5 2 2 3 4 4 2" xfId="49736" xr:uid="{00000000-0005-0000-0000-000062C00000}"/>
    <cellStyle name="Normal 11 5 2 2 3 4 5" xfId="49737" xr:uid="{00000000-0005-0000-0000-000063C00000}"/>
    <cellStyle name="Normal 11 5 2 2 3 5" xfId="49738" xr:uid="{00000000-0005-0000-0000-000064C00000}"/>
    <cellStyle name="Normal 11 5 2 2 3 5 2" xfId="49739" xr:uid="{00000000-0005-0000-0000-000065C00000}"/>
    <cellStyle name="Normal 11 5 2 2 3 5 2 2" xfId="49740" xr:uid="{00000000-0005-0000-0000-000066C00000}"/>
    <cellStyle name="Normal 11 5 2 2 3 5 2 2 2" xfId="49741" xr:uid="{00000000-0005-0000-0000-000067C00000}"/>
    <cellStyle name="Normal 11 5 2 2 3 5 2 2 2 2" xfId="49742" xr:uid="{00000000-0005-0000-0000-000068C00000}"/>
    <cellStyle name="Normal 11 5 2 2 3 5 2 2 3" xfId="49743" xr:uid="{00000000-0005-0000-0000-000069C00000}"/>
    <cellStyle name="Normal 11 5 2 2 3 5 2 3" xfId="49744" xr:uid="{00000000-0005-0000-0000-00006AC00000}"/>
    <cellStyle name="Normal 11 5 2 2 3 5 2 3 2" xfId="49745" xr:uid="{00000000-0005-0000-0000-00006BC00000}"/>
    <cellStyle name="Normal 11 5 2 2 3 5 2 4" xfId="49746" xr:uid="{00000000-0005-0000-0000-00006CC00000}"/>
    <cellStyle name="Normal 11 5 2 2 3 5 3" xfId="49747" xr:uid="{00000000-0005-0000-0000-00006DC00000}"/>
    <cellStyle name="Normal 11 5 2 2 3 5 3 2" xfId="49748" xr:uid="{00000000-0005-0000-0000-00006EC00000}"/>
    <cellStyle name="Normal 11 5 2 2 3 5 3 2 2" xfId="49749" xr:uid="{00000000-0005-0000-0000-00006FC00000}"/>
    <cellStyle name="Normal 11 5 2 2 3 5 3 3" xfId="49750" xr:uid="{00000000-0005-0000-0000-000070C00000}"/>
    <cellStyle name="Normal 11 5 2 2 3 5 4" xfId="49751" xr:uid="{00000000-0005-0000-0000-000071C00000}"/>
    <cellStyle name="Normal 11 5 2 2 3 5 4 2" xfId="49752" xr:uid="{00000000-0005-0000-0000-000072C00000}"/>
    <cellStyle name="Normal 11 5 2 2 3 5 5" xfId="49753" xr:uid="{00000000-0005-0000-0000-000073C00000}"/>
    <cellStyle name="Normal 11 5 2 2 3 6" xfId="49754" xr:uid="{00000000-0005-0000-0000-000074C00000}"/>
    <cellStyle name="Normal 11 5 2 2 3 6 2" xfId="49755" xr:uid="{00000000-0005-0000-0000-000075C00000}"/>
    <cellStyle name="Normal 11 5 2 2 3 6 2 2" xfId="49756" xr:uid="{00000000-0005-0000-0000-000076C00000}"/>
    <cellStyle name="Normal 11 5 2 2 3 6 2 2 2" xfId="49757" xr:uid="{00000000-0005-0000-0000-000077C00000}"/>
    <cellStyle name="Normal 11 5 2 2 3 6 2 3" xfId="49758" xr:uid="{00000000-0005-0000-0000-000078C00000}"/>
    <cellStyle name="Normal 11 5 2 2 3 6 3" xfId="49759" xr:uid="{00000000-0005-0000-0000-000079C00000}"/>
    <cellStyle name="Normal 11 5 2 2 3 6 3 2" xfId="49760" xr:uid="{00000000-0005-0000-0000-00007AC00000}"/>
    <cellStyle name="Normal 11 5 2 2 3 6 4" xfId="49761" xr:uid="{00000000-0005-0000-0000-00007BC00000}"/>
    <cellStyle name="Normal 11 5 2 2 3 7" xfId="49762" xr:uid="{00000000-0005-0000-0000-00007CC00000}"/>
    <cellStyle name="Normal 11 5 2 2 3 7 2" xfId="49763" xr:uid="{00000000-0005-0000-0000-00007DC00000}"/>
    <cellStyle name="Normal 11 5 2 2 3 7 2 2" xfId="49764" xr:uid="{00000000-0005-0000-0000-00007EC00000}"/>
    <cellStyle name="Normal 11 5 2 2 3 7 2 2 2" xfId="49765" xr:uid="{00000000-0005-0000-0000-00007FC00000}"/>
    <cellStyle name="Normal 11 5 2 2 3 7 2 3" xfId="49766" xr:uid="{00000000-0005-0000-0000-000080C00000}"/>
    <cellStyle name="Normal 11 5 2 2 3 7 3" xfId="49767" xr:uid="{00000000-0005-0000-0000-000081C00000}"/>
    <cellStyle name="Normal 11 5 2 2 3 7 3 2" xfId="49768" xr:uid="{00000000-0005-0000-0000-000082C00000}"/>
    <cellStyle name="Normal 11 5 2 2 3 7 4" xfId="49769" xr:uid="{00000000-0005-0000-0000-000083C00000}"/>
    <cellStyle name="Normal 11 5 2 2 3 8" xfId="49770" xr:uid="{00000000-0005-0000-0000-000084C00000}"/>
    <cellStyle name="Normal 11 5 2 2 3 8 2" xfId="49771" xr:uid="{00000000-0005-0000-0000-000085C00000}"/>
    <cellStyle name="Normal 11 5 2 2 3 8 2 2" xfId="49772" xr:uid="{00000000-0005-0000-0000-000086C00000}"/>
    <cellStyle name="Normal 11 5 2 2 3 8 2 2 2" xfId="49773" xr:uid="{00000000-0005-0000-0000-000087C00000}"/>
    <cellStyle name="Normal 11 5 2 2 3 8 2 3" xfId="49774" xr:uid="{00000000-0005-0000-0000-000088C00000}"/>
    <cellStyle name="Normal 11 5 2 2 3 8 3" xfId="49775" xr:uid="{00000000-0005-0000-0000-000089C00000}"/>
    <cellStyle name="Normal 11 5 2 2 3 8 3 2" xfId="49776" xr:uid="{00000000-0005-0000-0000-00008AC00000}"/>
    <cellStyle name="Normal 11 5 2 2 3 8 4" xfId="49777" xr:uid="{00000000-0005-0000-0000-00008BC00000}"/>
    <cellStyle name="Normal 11 5 2 2 3 9" xfId="49778" xr:uid="{00000000-0005-0000-0000-00008CC00000}"/>
    <cellStyle name="Normal 11 5 2 2 3 9 2" xfId="49779" xr:uid="{00000000-0005-0000-0000-00008DC00000}"/>
    <cellStyle name="Normal 11 5 2 2 3 9 2 2" xfId="49780" xr:uid="{00000000-0005-0000-0000-00008EC00000}"/>
    <cellStyle name="Normal 11 5 2 2 3 9 3" xfId="49781" xr:uid="{00000000-0005-0000-0000-00008FC00000}"/>
    <cellStyle name="Normal 11 5 2 2 4" xfId="1099" xr:uid="{00000000-0005-0000-0000-000090C00000}"/>
    <cellStyle name="Normal 11 5 2 2 4 10" xfId="49783" xr:uid="{00000000-0005-0000-0000-000091C00000}"/>
    <cellStyle name="Normal 11 5 2 2 4 11" xfId="49782" xr:uid="{00000000-0005-0000-0000-000092C00000}"/>
    <cellStyle name="Normal 11 5 2 2 4 2" xfId="1828" xr:uid="{00000000-0005-0000-0000-000093C00000}"/>
    <cellStyle name="Normal 11 5 2 2 4 2 2" xfId="49785" xr:uid="{00000000-0005-0000-0000-000094C00000}"/>
    <cellStyle name="Normal 11 5 2 2 4 2 2 2" xfId="49786" xr:uid="{00000000-0005-0000-0000-000095C00000}"/>
    <cellStyle name="Normal 11 5 2 2 4 2 2 2 2" xfId="49787" xr:uid="{00000000-0005-0000-0000-000096C00000}"/>
    <cellStyle name="Normal 11 5 2 2 4 2 2 2 2 2" xfId="49788" xr:uid="{00000000-0005-0000-0000-000097C00000}"/>
    <cellStyle name="Normal 11 5 2 2 4 2 2 2 3" xfId="49789" xr:uid="{00000000-0005-0000-0000-000098C00000}"/>
    <cellStyle name="Normal 11 5 2 2 4 2 2 3" xfId="49790" xr:uid="{00000000-0005-0000-0000-000099C00000}"/>
    <cellStyle name="Normal 11 5 2 2 4 2 2 3 2" xfId="49791" xr:uid="{00000000-0005-0000-0000-00009AC00000}"/>
    <cellStyle name="Normal 11 5 2 2 4 2 2 4" xfId="49792" xr:uid="{00000000-0005-0000-0000-00009BC00000}"/>
    <cellStyle name="Normal 11 5 2 2 4 2 3" xfId="49793" xr:uid="{00000000-0005-0000-0000-00009CC00000}"/>
    <cellStyle name="Normal 11 5 2 2 4 2 3 2" xfId="49794" xr:uid="{00000000-0005-0000-0000-00009DC00000}"/>
    <cellStyle name="Normal 11 5 2 2 4 2 3 2 2" xfId="49795" xr:uid="{00000000-0005-0000-0000-00009EC00000}"/>
    <cellStyle name="Normal 11 5 2 2 4 2 3 2 2 2" xfId="49796" xr:uid="{00000000-0005-0000-0000-00009FC00000}"/>
    <cellStyle name="Normal 11 5 2 2 4 2 3 2 3" xfId="49797" xr:uid="{00000000-0005-0000-0000-0000A0C00000}"/>
    <cellStyle name="Normal 11 5 2 2 4 2 3 3" xfId="49798" xr:uid="{00000000-0005-0000-0000-0000A1C00000}"/>
    <cellStyle name="Normal 11 5 2 2 4 2 3 3 2" xfId="49799" xr:uid="{00000000-0005-0000-0000-0000A2C00000}"/>
    <cellStyle name="Normal 11 5 2 2 4 2 3 4" xfId="49800" xr:uid="{00000000-0005-0000-0000-0000A3C00000}"/>
    <cellStyle name="Normal 11 5 2 2 4 2 4" xfId="49801" xr:uid="{00000000-0005-0000-0000-0000A4C00000}"/>
    <cellStyle name="Normal 11 5 2 2 4 2 4 2" xfId="49802" xr:uid="{00000000-0005-0000-0000-0000A5C00000}"/>
    <cellStyle name="Normal 11 5 2 2 4 2 4 2 2" xfId="49803" xr:uid="{00000000-0005-0000-0000-0000A6C00000}"/>
    <cellStyle name="Normal 11 5 2 2 4 2 4 3" xfId="49804" xr:uid="{00000000-0005-0000-0000-0000A7C00000}"/>
    <cellStyle name="Normal 11 5 2 2 4 2 5" xfId="49805" xr:uid="{00000000-0005-0000-0000-0000A8C00000}"/>
    <cellStyle name="Normal 11 5 2 2 4 2 5 2" xfId="49806" xr:uid="{00000000-0005-0000-0000-0000A9C00000}"/>
    <cellStyle name="Normal 11 5 2 2 4 2 6" xfId="49807" xr:uid="{00000000-0005-0000-0000-0000AAC00000}"/>
    <cellStyle name="Normal 11 5 2 2 4 2 7" xfId="49784" xr:uid="{00000000-0005-0000-0000-0000ABC00000}"/>
    <cellStyle name="Normal 11 5 2 2 4 3" xfId="49808" xr:uid="{00000000-0005-0000-0000-0000ACC00000}"/>
    <cellStyle name="Normal 11 5 2 2 4 3 2" xfId="49809" xr:uid="{00000000-0005-0000-0000-0000ADC00000}"/>
    <cellStyle name="Normal 11 5 2 2 4 3 2 2" xfId="49810" xr:uid="{00000000-0005-0000-0000-0000AEC00000}"/>
    <cellStyle name="Normal 11 5 2 2 4 3 2 2 2" xfId="49811" xr:uid="{00000000-0005-0000-0000-0000AFC00000}"/>
    <cellStyle name="Normal 11 5 2 2 4 3 2 2 2 2" xfId="49812" xr:uid="{00000000-0005-0000-0000-0000B0C00000}"/>
    <cellStyle name="Normal 11 5 2 2 4 3 2 2 3" xfId="49813" xr:uid="{00000000-0005-0000-0000-0000B1C00000}"/>
    <cellStyle name="Normal 11 5 2 2 4 3 2 3" xfId="49814" xr:uid="{00000000-0005-0000-0000-0000B2C00000}"/>
    <cellStyle name="Normal 11 5 2 2 4 3 2 3 2" xfId="49815" xr:uid="{00000000-0005-0000-0000-0000B3C00000}"/>
    <cellStyle name="Normal 11 5 2 2 4 3 2 4" xfId="49816" xr:uid="{00000000-0005-0000-0000-0000B4C00000}"/>
    <cellStyle name="Normal 11 5 2 2 4 3 3" xfId="49817" xr:uid="{00000000-0005-0000-0000-0000B5C00000}"/>
    <cellStyle name="Normal 11 5 2 2 4 3 3 2" xfId="49818" xr:uid="{00000000-0005-0000-0000-0000B6C00000}"/>
    <cellStyle name="Normal 11 5 2 2 4 3 3 2 2" xfId="49819" xr:uid="{00000000-0005-0000-0000-0000B7C00000}"/>
    <cellStyle name="Normal 11 5 2 2 4 3 3 3" xfId="49820" xr:uid="{00000000-0005-0000-0000-0000B8C00000}"/>
    <cellStyle name="Normal 11 5 2 2 4 3 4" xfId="49821" xr:uid="{00000000-0005-0000-0000-0000B9C00000}"/>
    <cellStyle name="Normal 11 5 2 2 4 3 4 2" xfId="49822" xr:uid="{00000000-0005-0000-0000-0000BAC00000}"/>
    <cellStyle name="Normal 11 5 2 2 4 3 5" xfId="49823" xr:uid="{00000000-0005-0000-0000-0000BBC00000}"/>
    <cellStyle name="Normal 11 5 2 2 4 4" xfId="49824" xr:uid="{00000000-0005-0000-0000-0000BCC00000}"/>
    <cellStyle name="Normal 11 5 2 2 4 4 2" xfId="49825" xr:uid="{00000000-0005-0000-0000-0000BDC00000}"/>
    <cellStyle name="Normal 11 5 2 2 4 4 2 2" xfId="49826" xr:uid="{00000000-0005-0000-0000-0000BEC00000}"/>
    <cellStyle name="Normal 11 5 2 2 4 4 2 2 2" xfId="49827" xr:uid="{00000000-0005-0000-0000-0000BFC00000}"/>
    <cellStyle name="Normal 11 5 2 2 4 4 2 2 2 2" xfId="49828" xr:uid="{00000000-0005-0000-0000-0000C0C00000}"/>
    <cellStyle name="Normal 11 5 2 2 4 4 2 2 3" xfId="49829" xr:uid="{00000000-0005-0000-0000-0000C1C00000}"/>
    <cellStyle name="Normal 11 5 2 2 4 4 2 3" xfId="49830" xr:uid="{00000000-0005-0000-0000-0000C2C00000}"/>
    <cellStyle name="Normal 11 5 2 2 4 4 2 3 2" xfId="49831" xr:uid="{00000000-0005-0000-0000-0000C3C00000}"/>
    <cellStyle name="Normal 11 5 2 2 4 4 2 4" xfId="49832" xr:uid="{00000000-0005-0000-0000-0000C4C00000}"/>
    <cellStyle name="Normal 11 5 2 2 4 4 3" xfId="49833" xr:uid="{00000000-0005-0000-0000-0000C5C00000}"/>
    <cellStyle name="Normal 11 5 2 2 4 4 3 2" xfId="49834" xr:uid="{00000000-0005-0000-0000-0000C6C00000}"/>
    <cellStyle name="Normal 11 5 2 2 4 4 3 2 2" xfId="49835" xr:uid="{00000000-0005-0000-0000-0000C7C00000}"/>
    <cellStyle name="Normal 11 5 2 2 4 4 3 3" xfId="49836" xr:uid="{00000000-0005-0000-0000-0000C8C00000}"/>
    <cellStyle name="Normal 11 5 2 2 4 4 4" xfId="49837" xr:uid="{00000000-0005-0000-0000-0000C9C00000}"/>
    <cellStyle name="Normal 11 5 2 2 4 4 4 2" xfId="49838" xr:uid="{00000000-0005-0000-0000-0000CAC00000}"/>
    <cellStyle name="Normal 11 5 2 2 4 4 5" xfId="49839" xr:uid="{00000000-0005-0000-0000-0000CBC00000}"/>
    <cellStyle name="Normal 11 5 2 2 4 5" xfId="49840" xr:uid="{00000000-0005-0000-0000-0000CCC00000}"/>
    <cellStyle name="Normal 11 5 2 2 4 5 2" xfId="49841" xr:uid="{00000000-0005-0000-0000-0000CDC00000}"/>
    <cellStyle name="Normal 11 5 2 2 4 5 2 2" xfId="49842" xr:uid="{00000000-0005-0000-0000-0000CEC00000}"/>
    <cellStyle name="Normal 11 5 2 2 4 5 2 2 2" xfId="49843" xr:uid="{00000000-0005-0000-0000-0000CFC00000}"/>
    <cellStyle name="Normal 11 5 2 2 4 5 2 3" xfId="49844" xr:uid="{00000000-0005-0000-0000-0000D0C00000}"/>
    <cellStyle name="Normal 11 5 2 2 4 5 3" xfId="49845" xr:uid="{00000000-0005-0000-0000-0000D1C00000}"/>
    <cellStyle name="Normal 11 5 2 2 4 5 3 2" xfId="49846" xr:uid="{00000000-0005-0000-0000-0000D2C00000}"/>
    <cellStyle name="Normal 11 5 2 2 4 5 4" xfId="49847" xr:uid="{00000000-0005-0000-0000-0000D3C00000}"/>
    <cellStyle name="Normal 11 5 2 2 4 6" xfId="49848" xr:uid="{00000000-0005-0000-0000-0000D4C00000}"/>
    <cellStyle name="Normal 11 5 2 2 4 6 2" xfId="49849" xr:uid="{00000000-0005-0000-0000-0000D5C00000}"/>
    <cellStyle name="Normal 11 5 2 2 4 6 2 2" xfId="49850" xr:uid="{00000000-0005-0000-0000-0000D6C00000}"/>
    <cellStyle name="Normal 11 5 2 2 4 6 2 2 2" xfId="49851" xr:uid="{00000000-0005-0000-0000-0000D7C00000}"/>
    <cellStyle name="Normal 11 5 2 2 4 6 2 3" xfId="49852" xr:uid="{00000000-0005-0000-0000-0000D8C00000}"/>
    <cellStyle name="Normal 11 5 2 2 4 6 3" xfId="49853" xr:uid="{00000000-0005-0000-0000-0000D9C00000}"/>
    <cellStyle name="Normal 11 5 2 2 4 6 3 2" xfId="49854" xr:uid="{00000000-0005-0000-0000-0000DAC00000}"/>
    <cellStyle name="Normal 11 5 2 2 4 6 4" xfId="49855" xr:uid="{00000000-0005-0000-0000-0000DBC00000}"/>
    <cellStyle name="Normal 11 5 2 2 4 7" xfId="49856" xr:uid="{00000000-0005-0000-0000-0000DCC00000}"/>
    <cellStyle name="Normal 11 5 2 2 4 7 2" xfId="49857" xr:uid="{00000000-0005-0000-0000-0000DDC00000}"/>
    <cellStyle name="Normal 11 5 2 2 4 7 2 2" xfId="49858" xr:uid="{00000000-0005-0000-0000-0000DEC00000}"/>
    <cellStyle name="Normal 11 5 2 2 4 7 2 2 2" xfId="49859" xr:uid="{00000000-0005-0000-0000-0000DFC00000}"/>
    <cellStyle name="Normal 11 5 2 2 4 7 2 3" xfId="49860" xr:uid="{00000000-0005-0000-0000-0000E0C00000}"/>
    <cellStyle name="Normal 11 5 2 2 4 7 3" xfId="49861" xr:uid="{00000000-0005-0000-0000-0000E1C00000}"/>
    <cellStyle name="Normal 11 5 2 2 4 7 3 2" xfId="49862" xr:uid="{00000000-0005-0000-0000-0000E2C00000}"/>
    <cellStyle name="Normal 11 5 2 2 4 7 4" xfId="49863" xr:uid="{00000000-0005-0000-0000-0000E3C00000}"/>
    <cellStyle name="Normal 11 5 2 2 4 8" xfId="49864" xr:uid="{00000000-0005-0000-0000-0000E4C00000}"/>
    <cellStyle name="Normal 11 5 2 2 4 8 2" xfId="49865" xr:uid="{00000000-0005-0000-0000-0000E5C00000}"/>
    <cellStyle name="Normal 11 5 2 2 4 8 2 2" xfId="49866" xr:uid="{00000000-0005-0000-0000-0000E6C00000}"/>
    <cellStyle name="Normal 11 5 2 2 4 8 3" xfId="49867" xr:uid="{00000000-0005-0000-0000-0000E7C00000}"/>
    <cellStyle name="Normal 11 5 2 2 4 9" xfId="49868" xr:uid="{00000000-0005-0000-0000-0000E8C00000}"/>
    <cellStyle name="Normal 11 5 2 2 4 9 2" xfId="49869" xr:uid="{00000000-0005-0000-0000-0000E9C00000}"/>
    <cellStyle name="Normal 11 5 2 2 5" xfId="1501" xr:uid="{00000000-0005-0000-0000-0000EAC00000}"/>
    <cellStyle name="Normal 11 5 2 2 5 2" xfId="49871" xr:uid="{00000000-0005-0000-0000-0000EBC00000}"/>
    <cellStyle name="Normal 11 5 2 2 5 2 2" xfId="49872" xr:uid="{00000000-0005-0000-0000-0000ECC00000}"/>
    <cellStyle name="Normal 11 5 2 2 5 2 2 2" xfId="49873" xr:uid="{00000000-0005-0000-0000-0000EDC00000}"/>
    <cellStyle name="Normal 11 5 2 2 5 2 2 2 2" xfId="49874" xr:uid="{00000000-0005-0000-0000-0000EEC00000}"/>
    <cellStyle name="Normal 11 5 2 2 5 2 2 3" xfId="49875" xr:uid="{00000000-0005-0000-0000-0000EFC00000}"/>
    <cellStyle name="Normal 11 5 2 2 5 2 3" xfId="49876" xr:uid="{00000000-0005-0000-0000-0000F0C00000}"/>
    <cellStyle name="Normal 11 5 2 2 5 2 3 2" xfId="49877" xr:uid="{00000000-0005-0000-0000-0000F1C00000}"/>
    <cellStyle name="Normal 11 5 2 2 5 2 4" xfId="49878" xr:uid="{00000000-0005-0000-0000-0000F2C00000}"/>
    <cellStyle name="Normal 11 5 2 2 5 3" xfId="49879" xr:uid="{00000000-0005-0000-0000-0000F3C00000}"/>
    <cellStyle name="Normal 11 5 2 2 5 3 2" xfId="49880" xr:uid="{00000000-0005-0000-0000-0000F4C00000}"/>
    <cellStyle name="Normal 11 5 2 2 5 3 2 2" xfId="49881" xr:uid="{00000000-0005-0000-0000-0000F5C00000}"/>
    <cellStyle name="Normal 11 5 2 2 5 3 2 2 2" xfId="49882" xr:uid="{00000000-0005-0000-0000-0000F6C00000}"/>
    <cellStyle name="Normal 11 5 2 2 5 3 2 3" xfId="49883" xr:uid="{00000000-0005-0000-0000-0000F7C00000}"/>
    <cellStyle name="Normal 11 5 2 2 5 3 3" xfId="49884" xr:uid="{00000000-0005-0000-0000-0000F8C00000}"/>
    <cellStyle name="Normal 11 5 2 2 5 3 3 2" xfId="49885" xr:uid="{00000000-0005-0000-0000-0000F9C00000}"/>
    <cellStyle name="Normal 11 5 2 2 5 3 4" xfId="49886" xr:uid="{00000000-0005-0000-0000-0000FAC00000}"/>
    <cellStyle name="Normal 11 5 2 2 5 4" xfId="49887" xr:uid="{00000000-0005-0000-0000-0000FBC00000}"/>
    <cellStyle name="Normal 11 5 2 2 5 4 2" xfId="49888" xr:uid="{00000000-0005-0000-0000-0000FCC00000}"/>
    <cellStyle name="Normal 11 5 2 2 5 4 2 2" xfId="49889" xr:uid="{00000000-0005-0000-0000-0000FDC00000}"/>
    <cellStyle name="Normal 11 5 2 2 5 4 3" xfId="49890" xr:uid="{00000000-0005-0000-0000-0000FEC00000}"/>
    <cellStyle name="Normal 11 5 2 2 5 5" xfId="49891" xr:uid="{00000000-0005-0000-0000-0000FFC00000}"/>
    <cellStyle name="Normal 11 5 2 2 5 5 2" xfId="49892" xr:uid="{00000000-0005-0000-0000-000000C10000}"/>
    <cellStyle name="Normal 11 5 2 2 5 6" xfId="49893" xr:uid="{00000000-0005-0000-0000-000001C10000}"/>
    <cellStyle name="Normal 11 5 2 2 5 7" xfId="49870" xr:uid="{00000000-0005-0000-0000-000002C10000}"/>
    <cellStyle name="Normal 11 5 2 2 6" xfId="49894" xr:uid="{00000000-0005-0000-0000-000003C10000}"/>
    <cellStyle name="Normal 11 5 2 2 6 2" xfId="49895" xr:uid="{00000000-0005-0000-0000-000004C10000}"/>
    <cellStyle name="Normal 11 5 2 2 6 2 2" xfId="49896" xr:uid="{00000000-0005-0000-0000-000005C10000}"/>
    <cellStyle name="Normal 11 5 2 2 6 2 2 2" xfId="49897" xr:uid="{00000000-0005-0000-0000-000006C10000}"/>
    <cellStyle name="Normal 11 5 2 2 6 2 2 2 2" xfId="49898" xr:uid="{00000000-0005-0000-0000-000007C10000}"/>
    <cellStyle name="Normal 11 5 2 2 6 2 2 3" xfId="49899" xr:uid="{00000000-0005-0000-0000-000008C10000}"/>
    <cellStyle name="Normal 11 5 2 2 6 2 3" xfId="49900" xr:uid="{00000000-0005-0000-0000-000009C10000}"/>
    <cellStyle name="Normal 11 5 2 2 6 2 3 2" xfId="49901" xr:uid="{00000000-0005-0000-0000-00000AC10000}"/>
    <cellStyle name="Normal 11 5 2 2 6 2 4" xfId="49902" xr:uid="{00000000-0005-0000-0000-00000BC10000}"/>
    <cellStyle name="Normal 11 5 2 2 6 3" xfId="49903" xr:uid="{00000000-0005-0000-0000-00000CC10000}"/>
    <cellStyle name="Normal 11 5 2 2 6 3 2" xfId="49904" xr:uid="{00000000-0005-0000-0000-00000DC10000}"/>
    <cellStyle name="Normal 11 5 2 2 6 3 2 2" xfId="49905" xr:uid="{00000000-0005-0000-0000-00000EC10000}"/>
    <cellStyle name="Normal 11 5 2 2 6 3 3" xfId="49906" xr:uid="{00000000-0005-0000-0000-00000FC10000}"/>
    <cellStyle name="Normal 11 5 2 2 6 4" xfId="49907" xr:uid="{00000000-0005-0000-0000-000010C10000}"/>
    <cellStyle name="Normal 11 5 2 2 6 4 2" xfId="49908" xr:uid="{00000000-0005-0000-0000-000011C10000}"/>
    <cellStyle name="Normal 11 5 2 2 6 5" xfId="49909" xr:uid="{00000000-0005-0000-0000-000012C10000}"/>
    <cellStyle name="Normal 11 5 2 2 7" xfId="49910" xr:uid="{00000000-0005-0000-0000-000013C10000}"/>
    <cellStyle name="Normal 11 5 2 2 7 2" xfId="49911" xr:uid="{00000000-0005-0000-0000-000014C10000}"/>
    <cellStyle name="Normal 11 5 2 2 7 2 2" xfId="49912" xr:uid="{00000000-0005-0000-0000-000015C10000}"/>
    <cellStyle name="Normal 11 5 2 2 7 2 2 2" xfId="49913" xr:uid="{00000000-0005-0000-0000-000016C10000}"/>
    <cellStyle name="Normal 11 5 2 2 7 2 2 2 2" xfId="49914" xr:uid="{00000000-0005-0000-0000-000017C10000}"/>
    <cellStyle name="Normal 11 5 2 2 7 2 2 3" xfId="49915" xr:uid="{00000000-0005-0000-0000-000018C10000}"/>
    <cellStyle name="Normal 11 5 2 2 7 2 3" xfId="49916" xr:uid="{00000000-0005-0000-0000-000019C10000}"/>
    <cellStyle name="Normal 11 5 2 2 7 2 3 2" xfId="49917" xr:uid="{00000000-0005-0000-0000-00001AC10000}"/>
    <cellStyle name="Normal 11 5 2 2 7 2 4" xfId="49918" xr:uid="{00000000-0005-0000-0000-00001BC10000}"/>
    <cellStyle name="Normal 11 5 2 2 7 3" xfId="49919" xr:uid="{00000000-0005-0000-0000-00001CC10000}"/>
    <cellStyle name="Normal 11 5 2 2 7 3 2" xfId="49920" xr:uid="{00000000-0005-0000-0000-00001DC10000}"/>
    <cellStyle name="Normal 11 5 2 2 7 3 2 2" xfId="49921" xr:uid="{00000000-0005-0000-0000-00001EC10000}"/>
    <cellStyle name="Normal 11 5 2 2 7 3 3" xfId="49922" xr:uid="{00000000-0005-0000-0000-00001FC10000}"/>
    <cellStyle name="Normal 11 5 2 2 7 4" xfId="49923" xr:uid="{00000000-0005-0000-0000-000020C10000}"/>
    <cellStyle name="Normal 11 5 2 2 7 4 2" xfId="49924" xr:uid="{00000000-0005-0000-0000-000021C10000}"/>
    <cellStyle name="Normal 11 5 2 2 7 5" xfId="49925" xr:uid="{00000000-0005-0000-0000-000022C10000}"/>
    <cellStyle name="Normal 11 5 2 2 8" xfId="49926" xr:uid="{00000000-0005-0000-0000-000023C10000}"/>
    <cellStyle name="Normal 11 5 2 2 8 2" xfId="49927" xr:uid="{00000000-0005-0000-0000-000024C10000}"/>
    <cellStyle name="Normal 11 5 2 2 8 2 2" xfId="49928" xr:uid="{00000000-0005-0000-0000-000025C10000}"/>
    <cellStyle name="Normal 11 5 2 2 8 2 2 2" xfId="49929" xr:uid="{00000000-0005-0000-0000-000026C10000}"/>
    <cellStyle name="Normal 11 5 2 2 8 2 3" xfId="49930" xr:uid="{00000000-0005-0000-0000-000027C10000}"/>
    <cellStyle name="Normal 11 5 2 2 8 3" xfId="49931" xr:uid="{00000000-0005-0000-0000-000028C10000}"/>
    <cellStyle name="Normal 11 5 2 2 8 3 2" xfId="49932" xr:uid="{00000000-0005-0000-0000-000029C10000}"/>
    <cellStyle name="Normal 11 5 2 2 8 4" xfId="49933" xr:uid="{00000000-0005-0000-0000-00002AC10000}"/>
    <cellStyle name="Normal 11 5 2 2 9" xfId="49934" xr:uid="{00000000-0005-0000-0000-00002BC10000}"/>
    <cellStyle name="Normal 11 5 2 2 9 2" xfId="49935" xr:uid="{00000000-0005-0000-0000-00002CC10000}"/>
    <cellStyle name="Normal 11 5 2 2 9 2 2" xfId="49936" xr:uid="{00000000-0005-0000-0000-00002DC10000}"/>
    <cellStyle name="Normal 11 5 2 2 9 2 2 2" xfId="49937" xr:uid="{00000000-0005-0000-0000-00002EC10000}"/>
    <cellStyle name="Normal 11 5 2 2 9 2 3" xfId="49938" xr:uid="{00000000-0005-0000-0000-00002FC10000}"/>
    <cellStyle name="Normal 11 5 2 2 9 3" xfId="49939" xr:uid="{00000000-0005-0000-0000-000030C10000}"/>
    <cellStyle name="Normal 11 5 2 2 9 3 2" xfId="49940" xr:uid="{00000000-0005-0000-0000-000031C10000}"/>
    <cellStyle name="Normal 11 5 2 2 9 4" xfId="49941" xr:uid="{00000000-0005-0000-0000-000032C10000}"/>
    <cellStyle name="Normal 11 5 2 3" xfId="660" xr:uid="{00000000-0005-0000-0000-000033C10000}"/>
    <cellStyle name="Normal 11 5 2 3 10" xfId="49943" xr:uid="{00000000-0005-0000-0000-000034C10000}"/>
    <cellStyle name="Normal 11 5 2 3 10 2" xfId="49944" xr:uid="{00000000-0005-0000-0000-000035C10000}"/>
    <cellStyle name="Normal 11 5 2 3 10 2 2" xfId="49945" xr:uid="{00000000-0005-0000-0000-000036C10000}"/>
    <cellStyle name="Normal 11 5 2 3 10 3" xfId="49946" xr:uid="{00000000-0005-0000-0000-000037C10000}"/>
    <cellStyle name="Normal 11 5 2 3 11" xfId="49947" xr:uid="{00000000-0005-0000-0000-000038C10000}"/>
    <cellStyle name="Normal 11 5 2 3 11 2" xfId="49948" xr:uid="{00000000-0005-0000-0000-000039C10000}"/>
    <cellStyle name="Normal 11 5 2 3 11 2 2" xfId="49949" xr:uid="{00000000-0005-0000-0000-00003AC10000}"/>
    <cellStyle name="Normal 11 5 2 3 11 3" xfId="49950" xr:uid="{00000000-0005-0000-0000-00003BC10000}"/>
    <cellStyle name="Normal 11 5 2 3 12" xfId="49951" xr:uid="{00000000-0005-0000-0000-00003CC10000}"/>
    <cellStyle name="Normal 11 5 2 3 12 2" xfId="49952" xr:uid="{00000000-0005-0000-0000-00003DC10000}"/>
    <cellStyle name="Normal 11 5 2 3 13" xfId="49953" xr:uid="{00000000-0005-0000-0000-00003EC10000}"/>
    <cellStyle name="Normal 11 5 2 3 14" xfId="49954" xr:uid="{00000000-0005-0000-0000-00003FC10000}"/>
    <cellStyle name="Normal 11 5 2 3 15" xfId="49942" xr:uid="{00000000-0005-0000-0000-000040C10000}"/>
    <cellStyle name="Normal 11 5 2 3 2" xfId="1102" xr:uid="{00000000-0005-0000-0000-000041C10000}"/>
    <cellStyle name="Normal 11 5 2 3 2 10" xfId="49956" xr:uid="{00000000-0005-0000-0000-000042C10000}"/>
    <cellStyle name="Normal 11 5 2 3 2 11" xfId="49955" xr:uid="{00000000-0005-0000-0000-000043C10000}"/>
    <cellStyle name="Normal 11 5 2 3 2 2" xfId="1831" xr:uid="{00000000-0005-0000-0000-000044C10000}"/>
    <cellStyle name="Normal 11 5 2 3 2 2 2" xfId="49958" xr:uid="{00000000-0005-0000-0000-000045C10000}"/>
    <cellStyle name="Normal 11 5 2 3 2 2 2 2" xfId="49959" xr:uid="{00000000-0005-0000-0000-000046C10000}"/>
    <cellStyle name="Normal 11 5 2 3 2 2 2 2 2" xfId="49960" xr:uid="{00000000-0005-0000-0000-000047C10000}"/>
    <cellStyle name="Normal 11 5 2 3 2 2 2 2 2 2" xfId="49961" xr:uid="{00000000-0005-0000-0000-000048C10000}"/>
    <cellStyle name="Normal 11 5 2 3 2 2 2 2 3" xfId="49962" xr:uid="{00000000-0005-0000-0000-000049C10000}"/>
    <cellStyle name="Normal 11 5 2 3 2 2 2 3" xfId="49963" xr:uid="{00000000-0005-0000-0000-00004AC10000}"/>
    <cellStyle name="Normal 11 5 2 3 2 2 2 3 2" xfId="49964" xr:uid="{00000000-0005-0000-0000-00004BC10000}"/>
    <cellStyle name="Normal 11 5 2 3 2 2 2 4" xfId="49965" xr:uid="{00000000-0005-0000-0000-00004CC10000}"/>
    <cellStyle name="Normal 11 5 2 3 2 2 3" xfId="49966" xr:uid="{00000000-0005-0000-0000-00004DC10000}"/>
    <cellStyle name="Normal 11 5 2 3 2 2 3 2" xfId="49967" xr:uid="{00000000-0005-0000-0000-00004EC10000}"/>
    <cellStyle name="Normal 11 5 2 3 2 2 3 2 2" xfId="49968" xr:uid="{00000000-0005-0000-0000-00004FC10000}"/>
    <cellStyle name="Normal 11 5 2 3 2 2 3 2 2 2" xfId="49969" xr:uid="{00000000-0005-0000-0000-000050C10000}"/>
    <cellStyle name="Normal 11 5 2 3 2 2 3 2 3" xfId="49970" xr:uid="{00000000-0005-0000-0000-000051C10000}"/>
    <cellStyle name="Normal 11 5 2 3 2 2 3 3" xfId="49971" xr:uid="{00000000-0005-0000-0000-000052C10000}"/>
    <cellStyle name="Normal 11 5 2 3 2 2 3 3 2" xfId="49972" xr:uid="{00000000-0005-0000-0000-000053C10000}"/>
    <cellStyle name="Normal 11 5 2 3 2 2 3 4" xfId="49973" xr:uid="{00000000-0005-0000-0000-000054C10000}"/>
    <cellStyle name="Normal 11 5 2 3 2 2 4" xfId="49974" xr:uid="{00000000-0005-0000-0000-000055C10000}"/>
    <cellStyle name="Normal 11 5 2 3 2 2 4 2" xfId="49975" xr:uid="{00000000-0005-0000-0000-000056C10000}"/>
    <cellStyle name="Normal 11 5 2 3 2 2 4 2 2" xfId="49976" xr:uid="{00000000-0005-0000-0000-000057C10000}"/>
    <cellStyle name="Normal 11 5 2 3 2 2 4 3" xfId="49977" xr:uid="{00000000-0005-0000-0000-000058C10000}"/>
    <cellStyle name="Normal 11 5 2 3 2 2 5" xfId="49978" xr:uid="{00000000-0005-0000-0000-000059C10000}"/>
    <cellStyle name="Normal 11 5 2 3 2 2 5 2" xfId="49979" xr:uid="{00000000-0005-0000-0000-00005AC10000}"/>
    <cellStyle name="Normal 11 5 2 3 2 2 6" xfId="49980" xr:uid="{00000000-0005-0000-0000-00005BC10000}"/>
    <cellStyle name="Normal 11 5 2 3 2 2 7" xfId="49957" xr:uid="{00000000-0005-0000-0000-00005CC10000}"/>
    <cellStyle name="Normal 11 5 2 3 2 3" xfId="49981" xr:uid="{00000000-0005-0000-0000-00005DC10000}"/>
    <cellStyle name="Normal 11 5 2 3 2 3 2" xfId="49982" xr:uid="{00000000-0005-0000-0000-00005EC10000}"/>
    <cellStyle name="Normal 11 5 2 3 2 3 2 2" xfId="49983" xr:uid="{00000000-0005-0000-0000-00005FC10000}"/>
    <cellStyle name="Normal 11 5 2 3 2 3 2 2 2" xfId="49984" xr:uid="{00000000-0005-0000-0000-000060C10000}"/>
    <cellStyle name="Normal 11 5 2 3 2 3 2 2 2 2" xfId="49985" xr:uid="{00000000-0005-0000-0000-000061C10000}"/>
    <cellStyle name="Normal 11 5 2 3 2 3 2 2 3" xfId="49986" xr:uid="{00000000-0005-0000-0000-000062C10000}"/>
    <cellStyle name="Normal 11 5 2 3 2 3 2 3" xfId="49987" xr:uid="{00000000-0005-0000-0000-000063C10000}"/>
    <cellStyle name="Normal 11 5 2 3 2 3 2 3 2" xfId="49988" xr:uid="{00000000-0005-0000-0000-000064C10000}"/>
    <cellStyle name="Normal 11 5 2 3 2 3 2 4" xfId="49989" xr:uid="{00000000-0005-0000-0000-000065C10000}"/>
    <cellStyle name="Normal 11 5 2 3 2 3 3" xfId="49990" xr:uid="{00000000-0005-0000-0000-000066C10000}"/>
    <cellStyle name="Normal 11 5 2 3 2 3 3 2" xfId="49991" xr:uid="{00000000-0005-0000-0000-000067C10000}"/>
    <cellStyle name="Normal 11 5 2 3 2 3 3 2 2" xfId="49992" xr:uid="{00000000-0005-0000-0000-000068C10000}"/>
    <cellStyle name="Normal 11 5 2 3 2 3 3 3" xfId="49993" xr:uid="{00000000-0005-0000-0000-000069C10000}"/>
    <cellStyle name="Normal 11 5 2 3 2 3 4" xfId="49994" xr:uid="{00000000-0005-0000-0000-00006AC10000}"/>
    <cellStyle name="Normal 11 5 2 3 2 3 4 2" xfId="49995" xr:uid="{00000000-0005-0000-0000-00006BC10000}"/>
    <cellStyle name="Normal 11 5 2 3 2 3 5" xfId="49996" xr:uid="{00000000-0005-0000-0000-00006CC10000}"/>
    <cellStyle name="Normal 11 5 2 3 2 4" xfId="49997" xr:uid="{00000000-0005-0000-0000-00006DC10000}"/>
    <cellStyle name="Normal 11 5 2 3 2 4 2" xfId="49998" xr:uid="{00000000-0005-0000-0000-00006EC10000}"/>
    <cellStyle name="Normal 11 5 2 3 2 4 2 2" xfId="49999" xr:uid="{00000000-0005-0000-0000-00006FC10000}"/>
    <cellStyle name="Normal 11 5 2 3 2 4 2 2 2" xfId="50000" xr:uid="{00000000-0005-0000-0000-000070C10000}"/>
    <cellStyle name="Normal 11 5 2 3 2 4 2 2 2 2" xfId="50001" xr:uid="{00000000-0005-0000-0000-000071C10000}"/>
    <cellStyle name="Normal 11 5 2 3 2 4 2 2 3" xfId="50002" xr:uid="{00000000-0005-0000-0000-000072C10000}"/>
    <cellStyle name="Normal 11 5 2 3 2 4 2 3" xfId="50003" xr:uid="{00000000-0005-0000-0000-000073C10000}"/>
    <cellStyle name="Normal 11 5 2 3 2 4 2 3 2" xfId="50004" xr:uid="{00000000-0005-0000-0000-000074C10000}"/>
    <cellStyle name="Normal 11 5 2 3 2 4 2 4" xfId="50005" xr:uid="{00000000-0005-0000-0000-000075C10000}"/>
    <cellStyle name="Normal 11 5 2 3 2 4 3" xfId="50006" xr:uid="{00000000-0005-0000-0000-000076C10000}"/>
    <cellStyle name="Normal 11 5 2 3 2 4 3 2" xfId="50007" xr:uid="{00000000-0005-0000-0000-000077C10000}"/>
    <cellStyle name="Normal 11 5 2 3 2 4 3 2 2" xfId="50008" xr:uid="{00000000-0005-0000-0000-000078C10000}"/>
    <cellStyle name="Normal 11 5 2 3 2 4 3 3" xfId="50009" xr:uid="{00000000-0005-0000-0000-000079C10000}"/>
    <cellStyle name="Normal 11 5 2 3 2 4 4" xfId="50010" xr:uid="{00000000-0005-0000-0000-00007AC10000}"/>
    <cellStyle name="Normal 11 5 2 3 2 4 4 2" xfId="50011" xr:uid="{00000000-0005-0000-0000-00007BC10000}"/>
    <cellStyle name="Normal 11 5 2 3 2 4 5" xfId="50012" xr:uid="{00000000-0005-0000-0000-00007CC10000}"/>
    <cellStyle name="Normal 11 5 2 3 2 5" xfId="50013" xr:uid="{00000000-0005-0000-0000-00007DC10000}"/>
    <cellStyle name="Normal 11 5 2 3 2 5 2" xfId="50014" xr:uid="{00000000-0005-0000-0000-00007EC10000}"/>
    <cellStyle name="Normal 11 5 2 3 2 5 2 2" xfId="50015" xr:uid="{00000000-0005-0000-0000-00007FC10000}"/>
    <cellStyle name="Normal 11 5 2 3 2 5 2 2 2" xfId="50016" xr:uid="{00000000-0005-0000-0000-000080C10000}"/>
    <cellStyle name="Normal 11 5 2 3 2 5 2 3" xfId="50017" xr:uid="{00000000-0005-0000-0000-000081C10000}"/>
    <cellStyle name="Normal 11 5 2 3 2 5 3" xfId="50018" xr:uid="{00000000-0005-0000-0000-000082C10000}"/>
    <cellStyle name="Normal 11 5 2 3 2 5 3 2" xfId="50019" xr:uid="{00000000-0005-0000-0000-000083C10000}"/>
    <cellStyle name="Normal 11 5 2 3 2 5 4" xfId="50020" xr:uid="{00000000-0005-0000-0000-000084C10000}"/>
    <cellStyle name="Normal 11 5 2 3 2 6" xfId="50021" xr:uid="{00000000-0005-0000-0000-000085C10000}"/>
    <cellStyle name="Normal 11 5 2 3 2 6 2" xfId="50022" xr:uid="{00000000-0005-0000-0000-000086C10000}"/>
    <cellStyle name="Normal 11 5 2 3 2 6 2 2" xfId="50023" xr:uid="{00000000-0005-0000-0000-000087C10000}"/>
    <cellStyle name="Normal 11 5 2 3 2 6 2 2 2" xfId="50024" xr:uid="{00000000-0005-0000-0000-000088C10000}"/>
    <cellStyle name="Normal 11 5 2 3 2 6 2 3" xfId="50025" xr:uid="{00000000-0005-0000-0000-000089C10000}"/>
    <cellStyle name="Normal 11 5 2 3 2 6 3" xfId="50026" xr:uid="{00000000-0005-0000-0000-00008AC10000}"/>
    <cellStyle name="Normal 11 5 2 3 2 6 3 2" xfId="50027" xr:uid="{00000000-0005-0000-0000-00008BC10000}"/>
    <cellStyle name="Normal 11 5 2 3 2 6 4" xfId="50028" xr:uid="{00000000-0005-0000-0000-00008CC10000}"/>
    <cellStyle name="Normal 11 5 2 3 2 7" xfId="50029" xr:uid="{00000000-0005-0000-0000-00008DC10000}"/>
    <cellStyle name="Normal 11 5 2 3 2 7 2" xfId="50030" xr:uid="{00000000-0005-0000-0000-00008EC10000}"/>
    <cellStyle name="Normal 11 5 2 3 2 7 2 2" xfId="50031" xr:uid="{00000000-0005-0000-0000-00008FC10000}"/>
    <cellStyle name="Normal 11 5 2 3 2 7 2 2 2" xfId="50032" xr:uid="{00000000-0005-0000-0000-000090C10000}"/>
    <cellStyle name="Normal 11 5 2 3 2 7 2 3" xfId="50033" xr:uid="{00000000-0005-0000-0000-000091C10000}"/>
    <cellStyle name="Normal 11 5 2 3 2 7 3" xfId="50034" xr:uid="{00000000-0005-0000-0000-000092C10000}"/>
    <cellStyle name="Normal 11 5 2 3 2 7 3 2" xfId="50035" xr:uid="{00000000-0005-0000-0000-000093C10000}"/>
    <cellStyle name="Normal 11 5 2 3 2 7 4" xfId="50036" xr:uid="{00000000-0005-0000-0000-000094C10000}"/>
    <cellStyle name="Normal 11 5 2 3 2 8" xfId="50037" xr:uid="{00000000-0005-0000-0000-000095C10000}"/>
    <cellStyle name="Normal 11 5 2 3 2 8 2" xfId="50038" xr:uid="{00000000-0005-0000-0000-000096C10000}"/>
    <cellStyle name="Normal 11 5 2 3 2 8 2 2" xfId="50039" xr:uid="{00000000-0005-0000-0000-000097C10000}"/>
    <cellStyle name="Normal 11 5 2 3 2 8 3" xfId="50040" xr:uid="{00000000-0005-0000-0000-000098C10000}"/>
    <cellStyle name="Normal 11 5 2 3 2 9" xfId="50041" xr:uid="{00000000-0005-0000-0000-000099C10000}"/>
    <cellStyle name="Normal 11 5 2 3 2 9 2" xfId="50042" xr:uid="{00000000-0005-0000-0000-00009AC10000}"/>
    <cellStyle name="Normal 11 5 2 3 3" xfId="1504" xr:uid="{00000000-0005-0000-0000-00009BC10000}"/>
    <cellStyle name="Normal 11 5 2 3 3 2" xfId="50044" xr:uid="{00000000-0005-0000-0000-00009CC10000}"/>
    <cellStyle name="Normal 11 5 2 3 3 2 2" xfId="50045" xr:uid="{00000000-0005-0000-0000-00009DC10000}"/>
    <cellStyle name="Normal 11 5 2 3 3 2 2 2" xfId="50046" xr:uid="{00000000-0005-0000-0000-00009EC10000}"/>
    <cellStyle name="Normal 11 5 2 3 3 2 2 2 2" xfId="50047" xr:uid="{00000000-0005-0000-0000-00009FC10000}"/>
    <cellStyle name="Normal 11 5 2 3 3 2 2 3" xfId="50048" xr:uid="{00000000-0005-0000-0000-0000A0C10000}"/>
    <cellStyle name="Normal 11 5 2 3 3 2 3" xfId="50049" xr:uid="{00000000-0005-0000-0000-0000A1C10000}"/>
    <cellStyle name="Normal 11 5 2 3 3 2 3 2" xfId="50050" xr:uid="{00000000-0005-0000-0000-0000A2C10000}"/>
    <cellStyle name="Normal 11 5 2 3 3 2 4" xfId="50051" xr:uid="{00000000-0005-0000-0000-0000A3C10000}"/>
    <cellStyle name="Normal 11 5 2 3 3 3" xfId="50052" xr:uid="{00000000-0005-0000-0000-0000A4C10000}"/>
    <cellStyle name="Normal 11 5 2 3 3 3 2" xfId="50053" xr:uid="{00000000-0005-0000-0000-0000A5C10000}"/>
    <cellStyle name="Normal 11 5 2 3 3 3 2 2" xfId="50054" xr:uid="{00000000-0005-0000-0000-0000A6C10000}"/>
    <cellStyle name="Normal 11 5 2 3 3 3 2 2 2" xfId="50055" xr:uid="{00000000-0005-0000-0000-0000A7C10000}"/>
    <cellStyle name="Normal 11 5 2 3 3 3 2 3" xfId="50056" xr:uid="{00000000-0005-0000-0000-0000A8C10000}"/>
    <cellStyle name="Normal 11 5 2 3 3 3 3" xfId="50057" xr:uid="{00000000-0005-0000-0000-0000A9C10000}"/>
    <cellStyle name="Normal 11 5 2 3 3 3 3 2" xfId="50058" xr:uid="{00000000-0005-0000-0000-0000AAC10000}"/>
    <cellStyle name="Normal 11 5 2 3 3 3 4" xfId="50059" xr:uid="{00000000-0005-0000-0000-0000ABC10000}"/>
    <cellStyle name="Normal 11 5 2 3 3 4" xfId="50060" xr:uid="{00000000-0005-0000-0000-0000ACC10000}"/>
    <cellStyle name="Normal 11 5 2 3 3 4 2" xfId="50061" xr:uid="{00000000-0005-0000-0000-0000ADC10000}"/>
    <cellStyle name="Normal 11 5 2 3 3 4 2 2" xfId="50062" xr:uid="{00000000-0005-0000-0000-0000AEC10000}"/>
    <cellStyle name="Normal 11 5 2 3 3 4 3" xfId="50063" xr:uid="{00000000-0005-0000-0000-0000AFC10000}"/>
    <cellStyle name="Normal 11 5 2 3 3 5" xfId="50064" xr:uid="{00000000-0005-0000-0000-0000B0C10000}"/>
    <cellStyle name="Normal 11 5 2 3 3 5 2" xfId="50065" xr:uid="{00000000-0005-0000-0000-0000B1C10000}"/>
    <cellStyle name="Normal 11 5 2 3 3 6" xfId="50066" xr:uid="{00000000-0005-0000-0000-0000B2C10000}"/>
    <cellStyle name="Normal 11 5 2 3 3 7" xfId="50043" xr:uid="{00000000-0005-0000-0000-0000B3C10000}"/>
    <cellStyle name="Normal 11 5 2 3 4" xfId="50067" xr:uid="{00000000-0005-0000-0000-0000B4C10000}"/>
    <cellStyle name="Normal 11 5 2 3 4 2" xfId="50068" xr:uid="{00000000-0005-0000-0000-0000B5C10000}"/>
    <cellStyle name="Normal 11 5 2 3 4 2 2" xfId="50069" xr:uid="{00000000-0005-0000-0000-0000B6C10000}"/>
    <cellStyle name="Normal 11 5 2 3 4 2 2 2" xfId="50070" xr:uid="{00000000-0005-0000-0000-0000B7C10000}"/>
    <cellStyle name="Normal 11 5 2 3 4 2 2 2 2" xfId="50071" xr:uid="{00000000-0005-0000-0000-0000B8C10000}"/>
    <cellStyle name="Normal 11 5 2 3 4 2 2 3" xfId="50072" xr:uid="{00000000-0005-0000-0000-0000B9C10000}"/>
    <cellStyle name="Normal 11 5 2 3 4 2 3" xfId="50073" xr:uid="{00000000-0005-0000-0000-0000BAC10000}"/>
    <cellStyle name="Normal 11 5 2 3 4 2 3 2" xfId="50074" xr:uid="{00000000-0005-0000-0000-0000BBC10000}"/>
    <cellStyle name="Normal 11 5 2 3 4 2 4" xfId="50075" xr:uid="{00000000-0005-0000-0000-0000BCC10000}"/>
    <cellStyle name="Normal 11 5 2 3 4 3" xfId="50076" xr:uid="{00000000-0005-0000-0000-0000BDC10000}"/>
    <cellStyle name="Normal 11 5 2 3 4 3 2" xfId="50077" xr:uid="{00000000-0005-0000-0000-0000BEC10000}"/>
    <cellStyle name="Normal 11 5 2 3 4 3 2 2" xfId="50078" xr:uid="{00000000-0005-0000-0000-0000BFC10000}"/>
    <cellStyle name="Normal 11 5 2 3 4 3 3" xfId="50079" xr:uid="{00000000-0005-0000-0000-0000C0C10000}"/>
    <cellStyle name="Normal 11 5 2 3 4 4" xfId="50080" xr:uid="{00000000-0005-0000-0000-0000C1C10000}"/>
    <cellStyle name="Normal 11 5 2 3 4 4 2" xfId="50081" xr:uid="{00000000-0005-0000-0000-0000C2C10000}"/>
    <cellStyle name="Normal 11 5 2 3 4 5" xfId="50082" xr:uid="{00000000-0005-0000-0000-0000C3C10000}"/>
    <cellStyle name="Normal 11 5 2 3 5" xfId="50083" xr:uid="{00000000-0005-0000-0000-0000C4C10000}"/>
    <cellStyle name="Normal 11 5 2 3 5 2" xfId="50084" xr:uid="{00000000-0005-0000-0000-0000C5C10000}"/>
    <cellStyle name="Normal 11 5 2 3 5 2 2" xfId="50085" xr:uid="{00000000-0005-0000-0000-0000C6C10000}"/>
    <cellStyle name="Normal 11 5 2 3 5 2 2 2" xfId="50086" xr:uid="{00000000-0005-0000-0000-0000C7C10000}"/>
    <cellStyle name="Normal 11 5 2 3 5 2 2 2 2" xfId="50087" xr:uid="{00000000-0005-0000-0000-0000C8C10000}"/>
    <cellStyle name="Normal 11 5 2 3 5 2 2 3" xfId="50088" xr:uid="{00000000-0005-0000-0000-0000C9C10000}"/>
    <cellStyle name="Normal 11 5 2 3 5 2 3" xfId="50089" xr:uid="{00000000-0005-0000-0000-0000CAC10000}"/>
    <cellStyle name="Normal 11 5 2 3 5 2 3 2" xfId="50090" xr:uid="{00000000-0005-0000-0000-0000CBC10000}"/>
    <cellStyle name="Normal 11 5 2 3 5 2 4" xfId="50091" xr:uid="{00000000-0005-0000-0000-0000CCC10000}"/>
    <cellStyle name="Normal 11 5 2 3 5 3" xfId="50092" xr:uid="{00000000-0005-0000-0000-0000CDC10000}"/>
    <cellStyle name="Normal 11 5 2 3 5 3 2" xfId="50093" xr:uid="{00000000-0005-0000-0000-0000CEC10000}"/>
    <cellStyle name="Normal 11 5 2 3 5 3 2 2" xfId="50094" xr:uid="{00000000-0005-0000-0000-0000CFC10000}"/>
    <cellStyle name="Normal 11 5 2 3 5 3 3" xfId="50095" xr:uid="{00000000-0005-0000-0000-0000D0C10000}"/>
    <cellStyle name="Normal 11 5 2 3 5 4" xfId="50096" xr:uid="{00000000-0005-0000-0000-0000D1C10000}"/>
    <cellStyle name="Normal 11 5 2 3 5 4 2" xfId="50097" xr:uid="{00000000-0005-0000-0000-0000D2C10000}"/>
    <cellStyle name="Normal 11 5 2 3 5 5" xfId="50098" xr:uid="{00000000-0005-0000-0000-0000D3C10000}"/>
    <cellStyle name="Normal 11 5 2 3 6" xfId="50099" xr:uid="{00000000-0005-0000-0000-0000D4C10000}"/>
    <cellStyle name="Normal 11 5 2 3 6 2" xfId="50100" xr:uid="{00000000-0005-0000-0000-0000D5C10000}"/>
    <cellStyle name="Normal 11 5 2 3 6 2 2" xfId="50101" xr:uid="{00000000-0005-0000-0000-0000D6C10000}"/>
    <cellStyle name="Normal 11 5 2 3 6 2 2 2" xfId="50102" xr:uid="{00000000-0005-0000-0000-0000D7C10000}"/>
    <cellStyle name="Normal 11 5 2 3 6 2 3" xfId="50103" xr:uid="{00000000-0005-0000-0000-0000D8C10000}"/>
    <cellStyle name="Normal 11 5 2 3 6 3" xfId="50104" xr:uid="{00000000-0005-0000-0000-0000D9C10000}"/>
    <cellStyle name="Normal 11 5 2 3 6 3 2" xfId="50105" xr:uid="{00000000-0005-0000-0000-0000DAC10000}"/>
    <cellStyle name="Normal 11 5 2 3 6 4" xfId="50106" xr:uid="{00000000-0005-0000-0000-0000DBC10000}"/>
    <cellStyle name="Normal 11 5 2 3 7" xfId="50107" xr:uid="{00000000-0005-0000-0000-0000DCC10000}"/>
    <cellStyle name="Normal 11 5 2 3 7 2" xfId="50108" xr:uid="{00000000-0005-0000-0000-0000DDC10000}"/>
    <cellStyle name="Normal 11 5 2 3 7 2 2" xfId="50109" xr:uid="{00000000-0005-0000-0000-0000DEC10000}"/>
    <cellStyle name="Normal 11 5 2 3 7 2 2 2" xfId="50110" xr:uid="{00000000-0005-0000-0000-0000DFC10000}"/>
    <cellStyle name="Normal 11 5 2 3 7 2 3" xfId="50111" xr:uid="{00000000-0005-0000-0000-0000E0C10000}"/>
    <cellStyle name="Normal 11 5 2 3 7 3" xfId="50112" xr:uid="{00000000-0005-0000-0000-0000E1C10000}"/>
    <cellStyle name="Normal 11 5 2 3 7 3 2" xfId="50113" xr:uid="{00000000-0005-0000-0000-0000E2C10000}"/>
    <cellStyle name="Normal 11 5 2 3 7 4" xfId="50114" xr:uid="{00000000-0005-0000-0000-0000E3C10000}"/>
    <cellStyle name="Normal 11 5 2 3 8" xfId="50115" xr:uid="{00000000-0005-0000-0000-0000E4C10000}"/>
    <cellStyle name="Normal 11 5 2 3 8 2" xfId="50116" xr:uid="{00000000-0005-0000-0000-0000E5C10000}"/>
    <cellStyle name="Normal 11 5 2 3 8 2 2" xfId="50117" xr:uid="{00000000-0005-0000-0000-0000E6C10000}"/>
    <cellStyle name="Normal 11 5 2 3 8 2 2 2" xfId="50118" xr:uid="{00000000-0005-0000-0000-0000E7C10000}"/>
    <cellStyle name="Normal 11 5 2 3 8 2 3" xfId="50119" xr:uid="{00000000-0005-0000-0000-0000E8C10000}"/>
    <cellStyle name="Normal 11 5 2 3 8 3" xfId="50120" xr:uid="{00000000-0005-0000-0000-0000E9C10000}"/>
    <cellStyle name="Normal 11 5 2 3 8 3 2" xfId="50121" xr:uid="{00000000-0005-0000-0000-0000EAC10000}"/>
    <cellStyle name="Normal 11 5 2 3 8 4" xfId="50122" xr:uid="{00000000-0005-0000-0000-0000EBC10000}"/>
    <cellStyle name="Normal 11 5 2 3 9" xfId="50123" xr:uid="{00000000-0005-0000-0000-0000ECC10000}"/>
    <cellStyle name="Normal 11 5 2 3 9 2" xfId="50124" xr:uid="{00000000-0005-0000-0000-0000EDC10000}"/>
    <cellStyle name="Normal 11 5 2 3 9 2 2" xfId="50125" xr:uid="{00000000-0005-0000-0000-0000EEC10000}"/>
    <cellStyle name="Normal 11 5 2 3 9 3" xfId="50126" xr:uid="{00000000-0005-0000-0000-0000EFC10000}"/>
    <cellStyle name="Normal 11 5 2 4" xfId="661" xr:uid="{00000000-0005-0000-0000-0000F0C10000}"/>
    <cellStyle name="Normal 11 5 2 4 10" xfId="50128" xr:uid="{00000000-0005-0000-0000-0000F1C10000}"/>
    <cellStyle name="Normal 11 5 2 4 10 2" xfId="50129" xr:uid="{00000000-0005-0000-0000-0000F2C10000}"/>
    <cellStyle name="Normal 11 5 2 4 10 2 2" xfId="50130" xr:uid="{00000000-0005-0000-0000-0000F3C10000}"/>
    <cellStyle name="Normal 11 5 2 4 10 3" xfId="50131" xr:uid="{00000000-0005-0000-0000-0000F4C10000}"/>
    <cellStyle name="Normal 11 5 2 4 11" xfId="50132" xr:uid="{00000000-0005-0000-0000-0000F5C10000}"/>
    <cellStyle name="Normal 11 5 2 4 11 2" xfId="50133" xr:uid="{00000000-0005-0000-0000-0000F6C10000}"/>
    <cellStyle name="Normal 11 5 2 4 11 2 2" xfId="50134" xr:uid="{00000000-0005-0000-0000-0000F7C10000}"/>
    <cellStyle name="Normal 11 5 2 4 11 3" xfId="50135" xr:uid="{00000000-0005-0000-0000-0000F8C10000}"/>
    <cellStyle name="Normal 11 5 2 4 12" xfId="50136" xr:uid="{00000000-0005-0000-0000-0000F9C10000}"/>
    <cellStyle name="Normal 11 5 2 4 12 2" xfId="50137" xr:uid="{00000000-0005-0000-0000-0000FAC10000}"/>
    <cellStyle name="Normal 11 5 2 4 13" xfId="50138" xr:uid="{00000000-0005-0000-0000-0000FBC10000}"/>
    <cellStyle name="Normal 11 5 2 4 14" xfId="50139" xr:uid="{00000000-0005-0000-0000-0000FCC10000}"/>
    <cellStyle name="Normal 11 5 2 4 15" xfId="50127" xr:uid="{00000000-0005-0000-0000-0000FDC10000}"/>
    <cellStyle name="Normal 11 5 2 4 2" xfId="1103" xr:uid="{00000000-0005-0000-0000-0000FEC10000}"/>
    <cellStyle name="Normal 11 5 2 4 2 10" xfId="50141" xr:uid="{00000000-0005-0000-0000-0000FFC10000}"/>
    <cellStyle name="Normal 11 5 2 4 2 11" xfId="50140" xr:uid="{00000000-0005-0000-0000-000000C20000}"/>
    <cellStyle name="Normal 11 5 2 4 2 2" xfId="1832" xr:uid="{00000000-0005-0000-0000-000001C20000}"/>
    <cellStyle name="Normal 11 5 2 4 2 2 2" xfId="50143" xr:uid="{00000000-0005-0000-0000-000002C20000}"/>
    <cellStyle name="Normal 11 5 2 4 2 2 2 2" xfId="50144" xr:uid="{00000000-0005-0000-0000-000003C20000}"/>
    <cellStyle name="Normal 11 5 2 4 2 2 2 2 2" xfId="50145" xr:uid="{00000000-0005-0000-0000-000004C20000}"/>
    <cellStyle name="Normal 11 5 2 4 2 2 2 2 2 2" xfId="50146" xr:uid="{00000000-0005-0000-0000-000005C20000}"/>
    <cellStyle name="Normal 11 5 2 4 2 2 2 2 3" xfId="50147" xr:uid="{00000000-0005-0000-0000-000006C20000}"/>
    <cellStyle name="Normal 11 5 2 4 2 2 2 3" xfId="50148" xr:uid="{00000000-0005-0000-0000-000007C20000}"/>
    <cellStyle name="Normal 11 5 2 4 2 2 2 3 2" xfId="50149" xr:uid="{00000000-0005-0000-0000-000008C20000}"/>
    <cellStyle name="Normal 11 5 2 4 2 2 2 4" xfId="50150" xr:uid="{00000000-0005-0000-0000-000009C20000}"/>
    <cellStyle name="Normal 11 5 2 4 2 2 3" xfId="50151" xr:uid="{00000000-0005-0000-0000-00000AC20000}"/>
    <cellStyle name="Normal 11 5 2 4 2 2 3 2" xfId="50152" xr:uid="{00000000-0005-0000-0000-00000BC20000}"/>
    <cellStyle name="Normal 11 5 2 4 2 2 3 2 2" xfId="50153" xr:uid="{00000000-0005-0000-0000-00000CC20000}"/>
    <cellStyle name="Normal 11 5 2 4 2 2 3 2 2 2" xfId="50154" xr:uid="{00000000-0005-0000-0000-00000DC20000}"/>
    <cellStyle name="Normal 11 5 2 4 2 2 3 2 3" xfId="50155" xr:uid="{00000000-0005-0000-0000-00000EC20000}"/>
    <cellStyle name="Normal 11 5 2 4 2 2 3 3" xfId="50156" xr:uid="{00000000-0005-0000-0000-00000FC20000}"/>
    <cellStyle name="Normal 11 5 2 4 2 2 3 3 2" xfId="50157" xr:uid="{00000000-0005-0000-0000-000010C20000}"/>
    <cellStyle name="Normal 11 5 2 4 2 2 3 4" xfId="50158" xr:uid="{00000000-0005-0000-0000-000011C20000}"/>
    <cellStyle name="Normal 11 5 2 4 2 2 4" xfId="50159" xr:uid="{00000000-0005-0000-0000-000012C20000}"/>
    <cellStyle name="Normal 11 5 2 4 2 2 4 2" xfId="50160" xr:uid="{00000000-0005-0000-0000-000013C20000}"/>
    <cellStyle name="Normal 11 5 2 4 2 2 4 2 2" xfId="50161" xr:uid="{00000000-0005-0000-0000-000014C20000}"/>
    <cellStyle name="Normal 11 5 2 4 2 2 4 3" xfId="50162" xr:uid="{00000000-0005-0000-0000-000015C20000}"/>
    <cellStyle name="Normal 11 5 2 4 2 2 5" xfId="50163" xr:uid="{00000000-0005-0000-0000-000016C20000}"/>
    <cellStyle name="Normal 11 5 2 4 2 2 5 2" xfId="50164" xr:uid="{00000000-0005-0000-0000-000017C20000}"/>
    <cellStyle name="Normal 11 5 2 4 2 2 6" xfId="50165" xr:uid="{00000000-0005-0000-0000-000018C20000}"/>
    <cellStyle name="Normal 11 5 2 4 2 2 7" xfId="50142" xr:uid="{00000000-0005-0000-0000-000019C20000}"/>
    <cellStyle name="Normal 11 5 2 4 2 3" xfId="50166" xr:uid="{00000000-0005-0000-0000-00001AC20000}"/>
    <cellStyle name="Normal 11 5 2 4 2 3 2" xfId="50167" xr:uid="{00000000-0005-0000-0000-00001BC20000}"/>
    <cellStyle name="Normal 11 5 2 4 2 3 2 2" xfId="50168" xr:uid="{00000000-0005-0000-0000-00001CC20000}"/>
    <cellStyle name="Normal 11 5 2 4 2 3 2 2 2" xfId="50169" xr:uid="{00000000-0005-0000-0000-00001DC20000}"/>
    <cellStyle name="Normal 11 5 2 4 2 3 2 2 2 2" xfId="50170" xr:uid="{00000000-0005-0000-0000-00001EC20000}"/>
    <cellStyle name="Normal 11 5 2 4 2 3 2 2 3" xfId="50171" xr:uid="{00000000-0005-0000-0000-00001FC20000}"/>
    <cellStyle name="Normal 11 5 2 4 2 3 2 3" xfId="50172" xr:uid="{00000000-0005-0000-0000-000020C20000}"/>
    <cellStyle name="Normal 11 5 2 4 2 3 2 3 2" xfId="50173" xr:uid="{00000000-0005-0000-0000-000021C20000}"/>
    <cellStyle name="Normal 11 5 2 4 2 3 2 4" xfId="50174" xr:uid="{00000000-0005-0000-0000-000022C20000}"/>
    <cellStyle name="Normal 11 5 2 4 2 3 3" xfId="50175" xr:uid="{00000000-0005-0000-0000-000023C20000}"/>
    <cellStyle name="Normal 11 5 2 4 2 3 3 2" xfId="50176" xr:uid="{00000000-0005-0000-0000-000024C20000}"/>
    <cellStyle name="Normal 11 5 2 4 2 3 3 2 2" xfId="50177" xr:uid="{00000000-0005-0000-0000-000025C20000}"/>
    <cellStyle name="Normal 11 5 2 4 2 3 3 3" xfId="50178" xr:uid="{00000000-0005-0000-0000-000026C20000}"/>
    <cellStyle name="Normal 11 5 2 4 2 3 4" xfId="50179" xr:uid="{00000000-0005-0000-0000-000027C20000}"/>
    <cellStyle name="Normal 11 5 2 4 2 3 4 2" xfId="50180" xr:uid="{00000000-0005-0000-0000-000028C20000}"/>
    <cellStyle name="Normal 11 5 2 4 2 3 5" xfId="50181" xr:uid="{00000000-0005-0000-0000-000029C20000}"/>
    <cellStyle name="Normal 11 5 2 4 2 4" xfId="50182" xr:uid="{00000000-0005-0000-0000-00002AC20000}"/>
    <cellStyle name="Normal 11 5 2 4 2 4 2" xfId="50183" xr:uid="{00000000-0005-0000-0000-00002BC20000}"/>
    <cellStyle name="Normal 11 5 2 4 2 4 2 2" xfId="50184" xr:uid="{00000000-0005-0000-0000-00002CC20000}"/>
    <cellStyle name="Normal 11 5 2 4 2 4 2 2 2" xfId="50185" xr:uid="{00000000-0005-0000-0000-00002DC20000}"/>
    <cellStyle name="Normal 11 5 2 4 2 4 2 2 2 2" xfId="50186" xr:uid="{00000000-0005-0000-0000-00002EC20000}"/>
    <cellStyle name="Normal 11 5 2 4 2 4 2 2 3" xfId="50187" xr:uid="{00000000-0005-0000-0000-00002FC20000}"/>
    <cellStyle name="Normal 11 5 2 4 2 4 2 3" xfId="50188" xr:uid="{00000000-0005-0000-0000-000030C20000}"/>
    <cellStyle name="Normal 11 5 2 4 2 4 2 3 2" xfId="50189" xr:uid="{00000000-0005-0000-0000-000031C20000}"/>
    <cellStyle name="Normal 11 5 2 4 2 4 2 4" xfId="50190" xr:uid="{00000000-0005-0000-0000-000032C20000}"/>
    <cellStyle name="Normal 11 5 2 4 2 4 3" xfId="50191" xr:uid="{00000000-0005-0000-0000-000033C20000}"/>
    <cellStyle name="Normal 11 5 2 4 2 4 3 2" xfId="50192" xr:uid="{00000000-0005-0000-0000-000034C20000}"/>
    <cellStyle name="Normal 11 5 2 4 2 4 3 2 2" xfId="50193" xr:uid="{00000000-0005-0000-0000-000035C20000}"/>
    <cellStyle name="Normal 11 5 2 4 2 4 3 3" xfId="50194" xr:uid="{00000000-0005-0000-0000-000036C20000}"/>
    <cellStyle name="Normal 11 5 2 4 2 4 4" xfId="50195" xr:uid="{00000000-0005-0000-0000-000037C20000}"/>
    <cellStyle name="Normal 11 5 2 4 2 4 4 2" xfId="50196" xr:uid="{00000000-0005-0000-0000-000038C20000}"/>
    <cellStyle name="Normal 11 5 2 4 2 4 5" xfId="50197" xr:uid="{00000000-0005-0000-0000-000039C20000}"/>
    <cellStyle name="Normal 11 5 2 4 2 5" xfId="50198" xr:uid="{00000000-0005-0000-0000-00003AC20000}"/>
    <cellStyle name="Normal 11 5 2 4 2 5 2" xfId="50199" xr:uid="{00000000-0005-0000-0000-00003BC20000}"/>
    <cellStyle name="Normal 11 5 2 4 2 5 2 2" xfId="50200" xr:uid="{00000000-0005-0000-0000-00003CC20000}"/>
    <cellStyle name="Normal 11 5 2 4 2 5 2 2 2" xfId="50201" xr:uid="{00000000-0005-0000-0000-00003DC20000}"/>
    <cellStyle name="Normal 11 5 2 4 2 5 2 3" xfId="50202" xr:uid="{00000000-0005-0000-0000-00003EC20000}"/>
    <cellStyle name="Normal 11 5 2 4 2 5 3" xfId="50203" xr:uid="{00000000-0005-0000-0000-00003FC20000}"/>
    <cellStyle name="Normal 11 5 2 4 2 5 3 2" xfId="50204" xr:uid="{00000000-0005-0000-0000-000040C20000}"/>
    <cellStyle name="Normal 11 5 2 4 2 5 4" xfId="50205" xr:uid="{00000000-0005-0000-0000-000041C20000}"/>
    <cellStyle name="Normal 11 5 2 4 2 6" xfId="50206" xr:uid="{00000000-0005-0000-0000-000042C20000}"/>
    <cellStyle name="Normal 11 5 2 4 2 6 2" xfId="50207" xr:uid="{00000000-0005-0000-0000-000043C20000}"/>
    <cellStyle name="Normal 11 5 2 4 2 6 2 2" xfId="50208" xr:uid="{00000000-0005-0000-0000-000044C20000}"/>
    <cellStyle name="Normal 11 5 2 4 2 6 2 2 2" xfId="50209" xr:uid="{00000000-0005-0000-0000-000045C20000}"/>
    <cellStyle name="Normal 11 5 2 4 2 6 2 3" xfId="50210" xr:uid="{00000000-0005-0000-0000-000046C20000}"/>
    <cellStyle name="Normal 11 5 2 4 2 6 3" xfId="50211" xr:uid="{00000000-0005-0000-0000-000047C20000}"/>
    <cellStyle name="Normal 11 5 2 4 2 6 3 2" xfId="50212" xr:uid="{00000000-0005-0000-0000-000048C20000}"/>
    <cellStyle name="Normal 11 5 2 4 2 6 4" xfId="50213" xr:uid="{00000000-0005-0000-0000-000049C20000}"/>
    <cellStyle name="Normal 11 5 2 4 2 7" xfId="50214" xr:uid="{00000000-0005-0000-0000-00004AC20000}"/>
    <cellStyle name="Normal 11 5 2 4 2 7 2" xfId="50215" xr:uid="{00000000-0005-0000-0000-00004BC20000}"/>
    <cellStyle name="Normal 11 5 2 4 2 7 2 2" xfId="50216" xr:uid="{00000000-0005-0000-0000-00004CC20000}"/>
    <cellStyle name="Normal 11 5 2 4 2 7 2 2 2" xfId="50217" xr:uid="{00000000-0005-0000-0000-00004DC20000}"/>
    <cellStyle name="Normal 11 5 2 4 2 7 2 3" xfId="50218" xr:uid="{00000000-0005-0000-0000-00004EC20000}"/>
    <cellStyle name="Normal 11 5 2 4 2 7 3" xfId="50219" xr:uid="{00000000-0005-0000-0000-00004FC20000}"/>
    <cellStyle name="Normal 11 5 2 4 2 7 3 2" xfId="50220" xr:uid="{00000000-0005-0000-0000-000050C20000}"/>
    <cellStyle name="Normal 11 5 2 4 2 7 4" xfId="50221" xr:uid="{00000000-0005-0000-0000-000051C20000}"/>
    <cellStyle name="Normal 11 5 2 4 2 8" xfId="50222" xr:uid="{00000000-0005-0000-0000-000052C20000}"/>
    <cellStyle name="Normal 11 5 2 4 2 8 2" xfId="50223" xr:uid="{00000000-0005-0000-0000-000053C20000}"/>
    <cellStyle name="Normal 11 5 2 4 2 8 2 2" xfId="50224" xr:uid="{00000000-0005-0000-0000-000054C20000}"/>
    <cellStyle name="Normal 11 5 2 4 2 8 3" xfId="50225" xr:uid="{00000000-0005-0000-0000-000055C20000}"/>
    <cellStyle name="Normal 11 5 2 4 2 9" xfId="50226" xr:uid="{00000000-0005-0000-0000-000056C20000}"/>
    <cellStyle name="Normal 11 5 2 4 2 9 2" xfId="50227" xr:uid="{00000000-0005-0000-0000-000057C20000}"/>
    <cellStyle name="Normal 11 5 2 4 3" xfId="1505" xr:uid="{00000000-0005-0000-0000-000058C20000}"/>
    <cellStyle name="Normal 11 5 2 4 3 2" xfId="50229" xr:uid="{00000000-0005-0000-0000-000059C20000}"/>
    <cellStyle name="Normal 11 5 2 4 3 2 2" xfId="50230" xr:uid="{00000000-0005-0000-0000-00005AC20000}"/>
    <cellStyle name="Normal 11 5 2 4 3 2 2 2" xfId="50231" xr:uid="{00000000-0005-0000-0000-00005BC20000}"/>
    <cellStyle name="Normal 11 5 2 4 3 2 2 2 2" xfId="50232" xr:uid="{00000000-0005-0000-0000-00005CC20000}"/>
    <cellStyle name="Normal 11 5 2 4 3 2 2 3" xfId="50233" xr:uid="{00000000-0005-0000-0000-00005DC20000}"/>
    <cellStyle name="Normal 11 5 2 4 3 2 3" xfId="50234" xr:uid="{00000000-0005-0000-0000-00005EC20000}"/>
    <cellStyle name="Normal 11 5 2 4 3 2 3 2" xfId="50235" xr:uid="{00000000-0005-0000-0000-00005FC20000}"/>
    <cellStyle name="Normal 11 5 2 4 3 2 4" xfId="50236" xr:uid="{00000000-0005-0000-0000-000060C20000}"/>
    <cellStyle name="Normal 11 5 2 4 3 3" xfId="50237" xr:uid="{00000000-0005-0000-0000-000061C20000}"/>
    <cellStyle name="Normal 11 5 2 4 3 3 2" xfId="50238" xr:uid="{00000000-0005-0000-0000-000062C20000}"/>
    <cellStyle name="Normal 11 5 2 4 3 3 2 2" xfId="50239" xr:uid="{00000000-0005-0000-0000-000063C20000}"/>
    <cellStyle name="Normal 11 5 2 4 3 3 2 2 2" xfId="50240" xr:uid="{00000000-0005-0000-0000-000064C20000}"/>
    <cellStyle name="Normal 11 5 2 4 3 3 2 3" xfId="50241" xr:uid="{00000000-0005-0000-0000-000065C20000}"/>
    <cellStyle name="Normal 11 5 2 4 3 3 3" xfId="50242" xr:uid="{00000000-0005-0000-0000-000066C20000}"/>
    <cellStyle name="Normal 11 5 2 4 3 3 3 2" xfId="50243" xr:uid="{00000000-0005-0000-0000-000067C20000}"/>
    <cellStyle name="Normal 11 5 2 4 3 3 4" xfId="50244" xr:uid="{00000000-0005-0000-0000-000068C20000}"/>
    <cellStyle name="Normal 11 5 2 4 3 4" xfId="50245" xr:uid="{00000000-0005-0000-0000-000069C20000}"/>
    <cellStyle name="Normal 11 5 2 4 3 4 2" xfId="50246" xr:uid="{00000000-0005-0000-0000-00006AC20000}"/>
    <cellStyle name="Normal 11 5 2 4 3 4 2 2" xfId="50247" xr:uid="{00000000-0005-0000-0000-00006BC20000}"/>
    <cellStyle name="Normal 11 5 2 4 3 4 3" xfId="50248" xr:uid="{00000000-0005-0000-0000-00006CC20000}"/>
    <cellStyle name="Normal 11 5 2 4 3 5" xfId="50249" xr:uid="{00000000-0005-0000-0000-00006DC20000}"/>
    <cellStyle name="Normal 11 5 2 4 3 5 2" xfId="50250" xr:uid="{00000000-0005-0000-0000-00006EC20000}"/>
    <cellStyle name="Normal 11 5 2 4 3 6" xfId="50251" xr:uid="{00000000-0005-0000-0000-00006FC20000}"/>
    <cellStyle name="Normal 11 5 2 4 3 7" xfId="50228" xr:uid="{00000000-0005-0000-0000-000070C20000}"/>
    <cellStyle name="Normal 11 5 2 4 4" xfId="50252" xr:uid="{00000000-0005-0000-0000-000071C20000}"/>
    <cellStyle name="Normal 11 5 2 4 4 2" xfId="50253" xr:uid="{00000000-0005-0000-0000-000072C20000}"/>
    <cellStyle name="Normal 11 5 2 4 4 2 2" xfId="50254" xr:uid="{00000000-0005-0000-0000-000073C20000}"/>
    <cellStyle name="Normal 11 5 2 4 4 2 2 2" xfId="50255" xr:uid="{00000000-0005-0000-0000-000074C20000}"/>
    <cellStyle name="Normal 11 5 2 4 4 2 2 2 2" xfId="50256" xr:uid="{00000000-0005-0000-0000-000075C20000}"/>
    <cellStyle name="Normal 11 5 2 4 4 2 2 3" xfId="50257" xr:uid="{00000000-0005-0000-0000-000076C20000}"/>
    <cellStyle name="Normal 11 5 2 4 4 2 3" xfId="50258" xr:uid="{00000000-0005-0000-0000-000077C20000}"/>
    <cellStyle name="Normal 11 5 2 4 4 2 3 2" xfId="50259" xr:uid="{00000000-0005-0000-0000-000078C20000}"/>
    <cellStyle name="Normal 11 5 2 4 4 2 4" xfId="50260" xr:uid="{00000000-0005-0000-0000-000079C20000}"/>
    <cellStyle name="Normal 11 5 2 4 4 3" xfId="50261" xr:uid="{00000000-0005-0000-0000-00007AC20000}"/>
    <cellStyle name="Normal 11 5 2 4 4 3 2" xfId="50262" xr:uid="{00000000-0005-0000-0000-00007BC20000}"/>
    <cellStyle name="Normal 11 5 2 4 4 3 2 2" xfId="50263" xr:uid="{00000000-0005-0000-0000-00007CC20000}"/>
    <cellStyle name="Normal 11 5 2 4 4 3 3" xfId="50264" xr:uid="{00000000-0005-0000-0000-00007DC20000}"/>
    <cellStyle name="Normal 11 5 2 4 4 4" xfId="50265" xr:uid="{00000000-0005-0000-0000-00007EC20000}"/>
    <cellStyle name="Normal 11 5 2 4 4 4 2" xfId="50266" xr:uid="{00000000-0005-0000-0000-00007FC20000}"/>
    <cellStyle name="Normal 11 5 2 4 4 5" xfId="50267" xr:uid="{00000000-0005-0000-0000-000080C20000}"/>
    <cellStyle name="Normal 11 5 2 4 5" xfId="50268" xr:uid="{00000000-0005-0000-0000-000081C20000}"/>
    <cellStyle name="Normal 11 5 2 4 5 2" xfId="50269" xr:uid="{00000000-0005-0000-0000-000082C20000}"/>
    <cellStyle name="Normal 11 5 2 4 5 2 2" xfId="50270" xr:uid="{00000000-0005-0000-0000-000083C20000}"/>
    <cellStyle name="Normal 11 5 2 4 5 2 2 2" xfId="50271" xr:uid="{00000000-0005-0000-0000-000084C20000}"/>
    <cellStyle name="Normal 11 5 2 4 5 2 2 2 2" xfId="50272" xr:uid="{00000000-0005-0000-0000-000085C20000}"/>
    <cellStyle name="Normal 11 5 2 4 5 2 2 3" xfId="50273" xr:uid="{00000000-0005-0000-0000-000086C20000}"/>
    <cellStyle name="Normal 11 5 2 4 5 2 3" xfId="50274" xr:uid="{00000000-0005-0000-0000-000087C20000}"/>
    <cellStyle name="Normal 11 5 2 4 5 2 3 2" xfId="50275" xr:uid="{00000000-0005-0000-0000-000088C20000}"/>
    <cellStyle name="Normal 11 5 2 4 5 2 4" xfId="50276" xr:uid="{00000000-0005-0000-0000-000089C20000}"/>
    <cellStyle name="Normal 11 5 2 4 5 3" xfId="50277" xr:uid="{00000000-0005-0000-0000-00008AC20000}"/>
    <cellStyle name="Normal 11 5 2 4 5 3 2" xfId="50278" xr:uid="{00000000-0005-0000-0000-00008BC20000}"/>
    <cellStyle name="Normal 11 5 2 4 5 3 2 2" xfId="50279" xr:uid="{00000000-0005-0000-0000-00008CC20000}"/>
    <cellStyle name="Normal 11 5 2 4 5 3 3" xfId="50280" xr:uid="{00000000-0005-0000-0000-00008DC20000}"/>
    <cellStyle name="Normal 11 5 2 4 5 4" xfId="50281" xr:uid="{00000000-0005-0000-0000-00008EC20000}"/>
    <cellStyle name="Normal 11 5 2 4 5 4 2" xfId="50282" xr:uid="{00000000-0005-0000-0000-00008FC20000}"/>
    <cellStyle name="Normal 11 5 2 4 5 5" xfId="50283" xr:uid="{00000000-0005-0000-0000-000090C20000}"/>
    <cellStyle name="Normal 11 5 2 4 6" xfId="50284" xr:uid="{00000000-0005-0000-0000-000091C20000}"/>
    <cellStyle name="Normal 11 5 2 4 6 2" xfId="50285" xr:uid="{00000000-0005-0000-0000-000092C20000}"/>
    <cellStyle name="Normal 11 5 2 4 6 2 2" xfId="50286" xr:uid="{00000000-0005-0000-0000-000093C20000}"/>
    <cellStyle name="Normal 11 5 2 4 6 2 2 2" xfId="50287" xr:uid="{00000000-0005-0000-0000-000094C20000}"/>
    <cellStyle name="Normal 11 5 2 4 6 2 3" xfId="50288" xr:uid="{00000000-0005-0000-0000-000095C20000}"/>
    <cellStyle name="Normal 11 5 2 4 6 3" xfId="50289" xr:uid="{00000000-0005-0000-0000-000096C20000}"/>
    <cellStyle name="Normal 11 5 2 4 6 3 2" xfId="50290" xr:uid="{00000000-0005-0000-0000-000097C20000}"/>
    <cellStyle name="Normal 11 5 2 4 6 4" xfId="50291" xr:uid="{00000000-0005-0000-0000-000098C20000}"/>
    <cellStyle name="Normal 11 5 2 4 7" xfId="50292" xr:uid="{00000000-0005-0000-0000-000099C20000}"/>
    <cellStyle name="Normal 11 5 2 4 7 2" xfId="50293" xr:uid="{00000000-0005-0000-0000-00009AC20000}"/>
    <cellStyle name="Normal 11 5 2 4 7 2 2" xfId="50294" xr:uid="{00000000-0005-0000-0000-00009BC20000}"/>
    <cellStyle name="Normal 11 5 2 4 7 2 2 2" xfId="50295" xr:uid="{00000000-0005-0000-0000-00009CC20000}"/>
    <cellStyle name="Normal 11 5 2 4 7 2 3" xfId="50296" xr:uid="{00000000-0005-0000-0000-00009DC20000}"/>
    <cellStyle name="Normal 11 5 2 4 7 3" xfId="50297" xr:uid="{00000000-0005-0000-0000-00009EC20000}"/>
    <cellStyle name="Normal 11 5 2 4 7 3 2" xfId="50298" xr:uid="{00000000-0005-0000-0000-00009FC20000}"/>
    <cellStyle name="Normal 11 5 2 4 7 4" xfId="50299" xr:uid="{00000000-0005-0000-0000-0000A0C20000}"/>
    <cellStyle name="Normal 11 5 2 4 8" xfId="50300" xr:uid="{00000000-0005-0000-0000-0000A1C20000}"/>
    <cellStyle name="Normal 11 5 2 4 8 2" xfId="50301" xr:uid="{00000000-0005-0000-0000-0000A2C20000}"/>
    <cellStyle name="Normal 11 5 2 4 8 2 2" xfId="50302" xr:uid="{00000000-0005-0000-0000-0000A3C20000}"/>
    <cellStyle name="Normal 11 5 2 4 8 2 2 2" xfId="50303" xr:uid="{00000000-0005-0000-0000-0000A4C20000}"/>
    <cellStyle name="Normal 11 5 2 4 8 2 3" xfId="50304" xr:uid="{00000000-0005-0000-0000-0000A5C20000}"/>
    <cellStyle name="Normal 11 5 2 4 8 3" xfId="50305" xr:uid="{00000000-0005-0000-0000-0000A6C20000}"/>
    <cellStyle name="Normal 11 5 2 4 8 3 2" xfId="50306" xr:uid="{00000000-0005-0000-0000-0000A7C20000}"/>
    <cellStyle name="Normal 11 5 2 4 8 4" xfId="50307" xr:uid="{00000000-0005-0000-0000-0000A8C20000}"/>
    <cellStyle name="Normal 11 5 2 4 9" xfId="50308" xr:uid="{00000000-0005-0000-0000-0000A9C20000}"/>
    <cellStyle name="Normal 11 5 2 4 9 2" xfId="50309" xr:uid="{00000000-0005-0000-0000-0000AAC20000}"/>
    <cellStyle name="Normal 11 5 2 4 9 2 2" xfId="50310" xr:uid="{00000000-0005-0000-0000-0000ABC20000}"/>
    <cellStyle name="Normal 11 5 2 4 9 3" xfId="50311" xr:uid="{00000000-0005-0000-0000-0000ACC20000}"/>
    <cellStyle name="Normal 11 5 2 5" xfId="1098" xr:uid="{00000000-0005-0000-0000-0000ADC20000}"/>
    <cellStyle name="Normal 11 5 2 5 10" xfId="50313" xr:uid="{00000000-0005-0000-0000-0000AEC20000}"/>
    <cellStyle name="Normal 11 5 2 5 11" xfId="50312" xr:uid="{00000000-0005-0000-0000-0000AFC20000}"/>
    <cellStyle name="Normal 11 5 2 5 2" xfId="1827" xr:uid="{00000000-0005-0000-0000-0000B0C20000}"/>
    <cellStyle name="Normal 11 5 2 5 2 2" xfId="50315" xr:uid="{00000000-0005-0000-0000-0000B1C20000}"/>
    <cellStyle name="Normal 11 5 2 5 2 2 2" xfId="50316" xr:uid="{00000000-0005-0000-0000-0000B2C20000}"/>
    <cellStyle name="Normal 11 5 2 5 2 2 2 2" xfId="50317" xr:uid="{00000000-0005-0000-0000-0000B3C20000}"/>
    <cellStyle name="Normal 11 5 2 5 2 2 2 2 2" xfId="50318" xr:uid="{00000000-0005-0000-0000-0000B4C20000}"/>
    <cellStyle name="Normal 11 5 2 5 2 2 2 3" xfId="50319" xr:uid="{00000000-0005-0000-0000-0000B5C20000}"/>
    <cellStyle name="Normal 11 5 2 5 2 2 3" xfId="50320" xr:uid="{00000000-0005-0000-0000-0000B6C20000}"/>
    <cellStyle name="Normal 11 5 2 5 2 2 3 2" xfId="50321" xr:uid="{00000000-0005-0000-0000-0000B7C20000}"/>
    <cellStyle name="Normal 11 5 2 5 2 2 4" xfId="50322" xr:uid="{00000000-0005-0000-0000-0000B8C20000}"/>
    <cellStyle name="Normal 11 5 2 5 2 3" xfId="50323" xr:uid="{00000000-0005-0000-0000-0000B9C20000}"/>
    <cellStyle name="Normal 11 5 2 5 2 3 2" xfId="50324" xr:uid="{00000000-0005-0000-0000-0000BAC20000}"/>
    <cellStyle name="Normal 11 5 2 5 2 3 2 2" xfId="50325" xr:uid="{00000000-0005-0000-0000-0000BBC20000}"/>
    <cellStyle name="Normal 11 5 2 5 2 3 2 2 2" xfId="50326" xr:uid="{00000000-0005-0000-0000-0000BCC20000}"/>
    <cellStyle name="Normal 11 5 2 5 2 3 2 3" xfId="50327" xr:uid="{00000000-0005-0000-0000-0000BDC20000}"/>
    <cellStyle name="Normal 11 5 2 5 2 3 3" xfId="50328" xr:uid="{00000000-0005-0000-0000-0000BEC20000}"/>
    <cellStyle name="Normal 11 5 2 5 2 3 3 2" xfId="50329" xr:uid="{00000000-0005-0000-0000-0000BFC20000}"/>
    <cellStyle name="Normal 11 5 2 5 2 3 4" xfId="50330" xr:uid="{00000000-0005-0000-0000-0000C0C20000}"/>
    <cellStyle name="Normal 11 5 2 5 2 4" xfId="50331" xr:uid="{00000000-0005-0000-0000-0000C1C20000}"/>
    <cellStyle name="Normal 11 5 2 5 2 4 2" xfId="50332" xr:uid="{00000000-0005-0000-0000-0000C2C20000}"/>
    <cellStyle name="Normal 11 5 2 5 2 4 2 2" xfId="50333" xr:uid="{00000000-0005-0000-0000-0000C3C20000}"/>
    <cellStyle name="Normal 11 5 2 5 2 4 3" xfId="50334" xr:uid="{00000000-0005-0000-0000-0000C4C20000}"/>
    <cellStyle name="Normal 11 5 2 5 2 5" xfId="50335" xr:uid="{00000000-0005-0000-0000-0000C5C20000}"/>
    <cellStyle name="Normal 11 5 2 5 2 5 2" xfId="50336" xr:uid="{00000000-0005-0000-0000-0000C6C20000}"/>
    <cellStyle name="Normal 11 5 2 5 2 6" xfId="50337" xr:uid="{00000000-0005-0000-0000-0000C7C20000}"/>
    <cellStyle name="Normal 11 5 2 5 2 7" xfId="50314" xr:uid="{00000000-0005-0000-0000-0000C8C20000}"/>
    <cellStyle name="Normal 11 5 2 5 3" xfId="50338" xr:uid="{00000000-0005-0000-0000-0000C9C20000}"/>
    <cellStyle name="Normal 11 5 2 5 3 2" xfId="50339" xr:uid="{00000000-0005-0000-0000-0000CAC20000}"/>
    <cellStyle name="Normal 11 5 2 5 3 2 2" xfId="50340" xr:uid="{00000000-0005-0000-0000-0000CBC20000}"/>
    <cellStyle name="Normal 11 5 2 5 3 2 2 2" xfId="50341" xr:uid="{00000000-0005-0000-0000-0000CCC20000}"/>
    <cellStyle name="Normal 11 5 2 5 3 2 2 2 2" xfId="50342" xr:uid="{00000000-0005-0000-0000-0000CDC20000}"/>
    <cellStyle name="Normal 11 5 2 5 3 2 2 3" xfId="50343" xr:uid="{00000000-0005-0000-0000-0000CEC20000}"/>
    <cellStyle name="Normal 11 5 2 5 3 2 3" xfId="50344" xr:uid="{00000000-0005-0000-0000-0000CFC20000}"/>
    <cellStyle name="Normal 11 5 2 5 3 2 3 2" xfId="50345" xr:uid="{00000000-0005-0000-0000-0000D0C20000}"/>
    <cellStyle name="Normal 11 5 2 5 3 2 4" xfId="50346" xr:uid="{00000000-0005-0000-0000-0000D1C20000}"/>
    <cellStyle name="Normal 11 5 2 5 3 3" xfId="50347" xr:uid="{00000000-0005-0000-0000-0000D2C20000}"/>
    <cellStyle name="Normal 11 5 2 5 3 3 2" xfId="50348" xr:uid="{00000000-0005-0000-0000-0000D3C20000}"/>
    <cellStyle name="Normal 11 5 2 5 3 3 2 2" xfId="50349" xr:uid="{00000000-0005-0000-0000-0000D4C20000}"/>
    <cellStyle name="Normal 11 5 2 5 3 3 3" xfId="50350" xr:uid="{00000000-0005-0000-0000-0000D5C20000}"/>
    <cellStyle name="Normal 11 5 2 5 3 4" xfId="50351" xr:uid="{00000000-0005-0000-0000-0000D6C20000}"/>
    <cellStyle name="Normal 11 5 2 5 3 4 2" xfId="50352" xr:uid="{00000000-0005-0000-0000-0000D7C20000}"/>
    <cellStyle name="Normal 11 5 2 5 3 5" xfId="50353" xr:uid="{00000000-0005-0000-0000-0000D8C20000}"/>
    <cellStyle name="Normal 11 5 2 5 4" xfId="50354" xr:uid="{00000000-0005-0000-0000-0000D9C20000}"/>
    <cellStyle name="Normal 11 5 2 5 4 2" xfId="50355" xr:uid="{00000000-0005-0000-0000-0000DAC20000}"/>
    <cellStyle name="Normal 11 5 2 5 4 2 2" xfId="50356" xr:uid="{00000000-0005-0000-0000-0000DBC20000}"/>
    <cellStyle name="Normal 11 5 2 5 4 2 2 2" xfId="50357" xr:uid="{00000000-0005-0000-0000-0000DCC20000}"/>
    <cellStyle name="Normal 11 5 2 5 4 2 2 2 2" xfId="50358" xr:uid="{00000000-0005-0000-0000-0000DDC20000}"/>
    <cellStyle name="Normal 11 5 2 5 4 2 2 3" xfId="50359" xr:uid="{00000000-0005-0000-0000-0000DEC20000}"/>
    <cellStyle name="Normal 11 5 2 5 4 2 3" xfId="50360" xr:uid="{00000000-0005-0000-0000-0000DFC20000}"/>
    <cellStyle name="Normal 11 5 2 5 4 2 3 2" xfId="50361" xr:uid="{00000000-0005-0000-0000-0000E0C20000}"/>
    <cellStyle name="Normal 11 5 2 5 4 2 4" xfId="50362" xr:uid="{00000000-0005-0000-0000-0000E1C20000}"/>
    <cellStyle name="Normal 11 5 2 5 4 3" xfId="50363" xr:uid="{00000000-0005-0000-0000-0000E2C20000}"/>
    <cellStyle name="Normal 11 5 2 5 4 3 2" xfId="50364" xr:uid="{00000000-0005-0000-0000-0000E3C20000}"/>
    <cellStyle name="Normal 11 5 2 5 4 3 2 2" xfId="50365" xr:uid="{00000000-0005-0000-0000-0000E4C20000}"/>
    <cellStyle name="Normal 11 5 2 5 4 3 3" xfId="50366" xr:uid="{00000000-0005-0000-0000-0000E5C20000}"/>
    <cellStyle name="Normal 11 5 2 5 4 4" xfId="50367" xr:uid="{00000000-0005-0000-0000-0000E6C20000}"/>
    <cellStyle name="Normal 11 5 2 5 4 4 2" xfId="50368" xr:uid="{00000000-0005-0000-0000-0000E7C20000}"/>
    <cellStyle name="Normal 11 5 2 5 4 5" xfId="50369" xr:uid="{00000000-0005-0000-0000-0000E8C20000}"/>
    <cellStyle name="Normal 11 5 2 5 5" xfId="50370" xr:uid="{00000000-0005-0000-0000-0000E9C20000}"/>
    <cellStyle name="Normal 11 5 2 5 5 2" xfId="50371" xr:uid="{00000000-0005-0000-0000-0000EAC20000}"/>
    <cellStyle name="Normal 11 5 2 5 5 2 2" xfId="50372" xr:uid="{00000000-0005-0000-0000-0000EBC20000}"/>
    <cellStyle name="Normal 11 5 2 5 5 2 2 2" xfId="50373" xr:uid="{00000000-0005-0000-0000-0000ECC20000}"/>
    <cellStyle name="Normal 11 5 2 5 5 2 3" xfId="50374" xr:uid="{00000000-0005-0000-0000-0000EDC20000}"/>
    <cellStyle name="Normal 11 5 2 5 5 3" xfId="50375" xr:uid="{00000000-0005-0000-0000-0000EEC20000}"/>
    <cellStyle name="Normal 11 5 2 5 5 3 2" xfId="50376" xr:uid="{00000000-0005-0000-0000-0000EFC20000}"/>
    <cellStyle name="Normal 11 5 2 5 5 4" xfId="50377" xr:uid="{00000000-0005-0000-0000-0000F0C20000}"/>
    <cellStyle name="Normal 11 5 2 5 6" xfId="50378" xr:uid="{00000000-0005-0000-0000-0000F1C20000}"/>
    <cellStyle name="Normal 11 5 2 5 6 2" xfId="50379" xr:uid="{00000000-0005-0000-0000-0000F2C20000}"/>
    <cellStyle name="Normal 11 5 2 5 6 2 2" xfId="50380" xr:uid="{00000000-0005-0000-0000-0000F3C20000}"/>
    <cellStyle name="Normal 11 5 2 5 6 2 2 2" xfId="50381" xr:uid="{00000000-0005-0000-0000-0000F4C20000}"/>
    <cellStyle name="Normal 11 5 2 5 6 2 3" xfId="50382" xr:uid="{00000000-0005-0000-0000-0000F5C20000}"/>
    <cellStyle name="Normal 11 5 2 5 6 3" xfId="50383" xr:uid="{00000000-0005-0000-0000-0000F6C20000}"/>
    <cellStyle name="Normal 11 5 2 5 6 3 2" xfId="50384" xr:uid="{00000000-0005-0000-0000-0000F7C20000}"/>
    <cellStyle name="Normal 11 5 2 5 6 4" xfId="50385" xr:uid="{00000000-0005-0000-0000-0000F8C20000}"/>
    <cellStyle name="Normal 11 5 2 5 7" xfId="50386" xr:uid="{00000000-0005-0000-0000-0000F9C20000}"/>
    <cellStyle name="Normal 11 5 2 5 7 2" xfId="50387" xr:uid="{00000000-0005-0000-0000-0000FAC20000}"/>
    <cellStyle name="Normal 11 5 2 5 7 2 2" xfId="50388" xr:uid="{00000000-0005-0000-0000-0000FBC20000}"/>
    <cellStyle name="Normal 11 5 2 5 7 2 2 2" xfId="50389" xr:uid="{00000000-0005-0000-0000-0000FCC20000}"/>
    <cellStyle name="Normal 11 5 2 5 7 2 3" xfId="50390" xr:uid="{00000000-0005-0000-0000-0000FDC20000}"/>
    <cellStyle name="Normal 11 5 2 5 7 3" xfId="50391" xr:uid="{00000000-0005-0000-0000-0000FEC20000}"/>
    <cellStyle name="Normal 11 5 2 5 7 3 2" xfId="50392" xr:uid="{00000000-0005-0000-0000-0000FFC20000}"/>
    <cellStyle name="Normal 11 5 2 5 7 4" xfId="50393" xr:uid="{00000000-0005-0000-0000-000000C30000}"/>
    <cellStyle name="Normal 11 5 2 5 8" xfId="50394" xr:uid="{00000000-0005-0000-0000-000001C30000}"/>
    <cellStyle name="Normal 11 5 2 5 8 2" xfId="50395" xr:uid="{00000000-0005-0000-0000-000002C30000}"/>
    <cellStyle name="Normal 11 5 2 5 8 2 2" xfId="50396" xr:uid="{00000000-0005-0000-0000-000003C30000}"/>
    <cellStyle name="Normal 11 5 2 5 8 3" xfId="50397" xr:uid="{00000000-0005-0000-0000-000004C30000}"/>
    <cellStyle name="Normal 11 5 2 5 9" xfId="50398" xr:uid="{00000000-0005-0000-0000-000005C30000}"/>
    <cellStyle name="Normal 11 5 2 5 9 2" xfId="50399" xr:uid="{00000000-0005-0000-0000-000006C30000}"/>
    <cellStyle name="Normal 11 5 2 6" xfId="1500" xr:uid="{00000000-0005-0000-0000-000007C30000}"/>
    <cellStyle name="Normal 11 5 2 6 2" xfId="50401" xr:uid="{00000000-0005-0000-0000-000008C30000}"/>
    <cellStyle name="Normal 11 5 2 6 2 2" xfId="50402" xr:uid="{00000000-0005-0000-0000-000009C30000}"/>
    <cellStyle name="Normal 11 5 2 6 2 2 2" xfId="50403" xr:uid="{00000000-0005-0000-0000-00000AC30000}"/>
    <cellStyle name="Normal 11 5 2 6 2 2 2 2" xfId="50404" xr:uid="{00000000-0005-0000-0000-00000BC30000}"/>
    <cellStyle name="Normal 11 5 2 6 2 2 3" xfId="50405" xr:uid="{00000000-0005-0000-0000-00000CC30000}"/>
    <cellStyle name="Normal 11 5 2 6 2 3" xfId="50406" xr:uid="{00000000-0005-0000-0000-00000DC30000}"/>
    <cellStyle name="Normal 11 5 2 6 2 3 2" xfId="50407" xr:uid="{00000000-0005-0000-0000-00000EC30000}"/>
    <cellStyle name="Normal 11 5 2 6 2 4" xfId="50408" xr:uid="{00000000-0005-0000-0000-00000FC30000}"/>
    <cellStyle name="Normal 11 5 2 6 3" xfId="50409" xr:uid="{00000000-0005-0000-0000-000010C30000}"/>
    <cellStyle name="Normal 11 5 2 6 3 2" xfId="50410" xr:uid="{00000000-0005-0000-0000-000011C30000}"/>
    <cellStyle name="Normal 11 5 2 6 3 2 2" xfId="50411" xr:uid="{00000000-0005-0000-0000-000012C30000}"/>
    <cellStyle name="Normal 11 5 2 6 3 2 2 2" xfId="50412" xr:uid="{00000000-0005-0000-0000-000013C30000}"/>
    <cellStyle name="Normal 11 5 2 6 3 2 3" xfId="50413" xr:uid="{00000000-0005-0000-0000-000014C30000}"/>
    <cellStyle name="Normal 11 5 2 6 3 3" xfId="50414" xr:uid="{00000000-0005-0000-0000-000015C30000}"/>
    <cellStyle name="Normal 11 5 2 6 3 3 2" xfId="50415" xr:uid="{00000000-0005-0000-0000-000016C30000}"/>
    <cellStyle name="Normal 11 5 2 6 3 4" xfId="50416" xr:uid="{00000000-0005-0000-0000-000017C30000}"/>
    <cellStyle name="Normal 11 5 2 6 4" xfId="50417" xr:uid="{00000000-0005-0000-0000-000018C30000}"/>
    <cellStyle name="Normal 11 5 2 6 4 2" xfId="50418" xr:uid="{00000000-0005-0000-0000-000019C30000}"/>
    <cellStyle name="Normal 11 5 2 6 4 2 2" xfId="50419" xr:uid="{00000000-0005-0000-0000-00001AC30000}"/>
    <cellStyle name="Normal 11 5 2 6 4 3" xfId="50420" xr:uid="{00000000-0005-0000-0000-00001BC30000}"/>
    <cellStyle name="Normal 11 5 2 6 5" xfId="50421" xr:uid="{00000000-0005-0000-0000-00001CC30000}"/>
    <cellStyle name="Normal 11 5 2 6 5 2" xfId="50422" xr:uid="{00000000-0005-0000-0000-00001DC30000}"/>
    <cellStyle name="Normal 11 5 2 6 6" xfId="50423" xr:uid="{00000000-0005-0000-0000-00001EC30000}"/>
    <cellStyle name="Normal 11 5 2 6 7" xfId="50400" xr:uid="{00000000-0005-0000-0000-00001FC30000}"/>
    <cellStyle name="Normal 11 5 2 7" xfId="50424" xr:uid="{00000000-0005-0000-0000-000020C30000}"/>
    <cellStyle name="Normal 11 5 2 7 2" xfId="50425" xr:uid="{00000000-0005-0000-0000-000021C30000}"/>
    <cellStyle name="Normal 11 5 2 7 2 2" xfId="50426" xr:uid="{00000000-0005-0000-0000-000022C30000}"/>
    <cellStyle name="Normal 11 5 2 7 2 2 2" xfId="50427" xr:uid="{00000000-0005-0000-0000-000023C30000}"/>
    <cellStyle name="Normal 11 5 2 7 2 2 2 2" xfId="50428" xr:uid="{00000000-0005-0000-0000-000024C30000}"/>
    <cellStyle name="Normal 11 5 2 7 2 2 3" xfId="50429" xr:uid="{00000000-0005-0000-0000-000025C30000}"/>
    <cellStyle name="Normal 11 5 2 7 2 3" xfId="50430" xr:uid="{00000000-0005-0000-0000-000026C30000}"/>
    <cellStyle name="Normal 11 5 2 7 2 3 2" xfId="50431" xr:uid="{00000000-0005-0000-0000-000027C30000}"/>
    <cellStyle name="Normal 11 5 2 7 2 4" xfId="50432" xr:uid="{00000000-0005-0000-0000-000028C30000}"/>
    <cellStyle name="Normal 11 5 2 7 3" xfId="50433" xr:uid="{00000000-0005-0000-0000-000029C30000}"/>
    <cellStyle name="Normal 11 5 2 7 3 2" xfId="50434" xr:uid="{00000000-0005-0000-0000-00002AC30000}"/>
    <cellStyle name="Normal 11 5 2 7 3 2 2" xfId="50435" xr:uid="{00000000-0005-0000-0000-00002BC30000}"/>
    <cellStyle name="Normal 11 5 2 7 3 3" xfId="50436" xr:uid="{00000000-0005-0000-0000-00002CC30000}"/>
    <cellStyle name="Normal 11 5 2 7 4" xfId="50437" xr:uid="{00000000-0005-0000-0000-00002DC30000}"/>
    <cellStyle name="Normal 11 5 2 7 4 2" xfId="50438" xr:uid="{00000000-0005-0000-0000-00002EC30000}"/>
    <cellStyle name="Normal 11 5 2 7 5" xfId="50439" xr:uid="{00000000-0005-0000-0000-00002FC30000}"/>
    <cellStyle name="Normal 11 5 2 8" xfId="50440" xr:uid="{00000000-0005-0000-0000-000030C30000}"/>
    <cellStyle name="Normal 11 5 2 8 2" xfId="50441" xr:uid="{00000000-0005-0000-0000-000031C30000}"/>
    <cellStyle name="Normal 11 5 2 8 2 2" xfId="50442" xr:uid="{00000000-0005-0000-0000-000032C30000}"/>
    <cellStyle name="Normal 11 5 2 8 2 2 2" xfId="50443" xr:uid="{00000000-0005-0000-0000-000033C30000}"/>
    <cellStyle name="Normal 11 5 2 8 2 2 2 2" xfId="50444" xr:uid="{00000000-0005-0000-0000-000034C30000}"/>
    <cellStyle name="Normal 11 5 2 8 2 2 3" xfId="50445" xr:uid="{00000000-0005-0000-0000-000035C30000}"/>
    <cellStyle name="Normal 11 5 2 8 2 3" xfId="50446" xr:uid="{00000000-0005-0000-0000-000036C30000}"/>
    <cellStyle name="Normal 11 5 2 8 2 3 2" xfId="50447" xr:uid="{00000000-0005-0000-0000-000037C30000}"/>
    <cellStyle name="Normal 11 5 2 8 2 4" xfId="50448" xr:uid="{00000000-0005-0000-0000-000038C30000}"/>
    <cellStyle name="Normal 11 5 2 8 3" xfId="50449" xr:uid="{00000000-0005-0000-0000-000039C30000}"/>
    <cellStyle name="Normal 11 5 2 8 3 2" xfId="50450" xr:uid="{00000000-0005-0000-0000-00003AC30000}"/>
    <cellStyle name="Normal 11 5 2 8 3 2 2" xfId="50451" xr:uid="{00000000-0005-0000-0000-00003BC30000}"/>
    <cellStyle name="Normal 11 5 2 8 3 3" xfId="50452" xr:uid="{00000000-0005-0000-0000-00003CC30000}"/>
    <cellStyle name="Normal 11 5 2 8 4" xfId="50453" xr:uid="{00000000-0005-0000-0000-00003DC30000}"/>
    <cellStyle name="Normal 11 5 2 8 4 2" xfId="50454" xr:uid="{00000000-0005-0000-0000-00003EC30000}"/>
    <cellStyle name="Normal 11 5 2 8 5" xfId="50455" xr:uid="{00000000-0005-0000-0000-00003FC30000}"/>
    <cellStyle name="Normal 11 5 2 9" xfId="50456" xr:uid="{00000000-0005-0000-0000-000040C30000}"/>
    <cellStyle name="Normal 11 5 2 9 2" xfId="50457" xr:uid="{00000000-0005-0000-0000-000041C30000}"/>
    <cellStyle name="Normal 11 5 2 9 2 2" xfId="50458" xr:uid="{00000000-0005-0000-0000-000042C30000}"/>
    <cellStyle name="Normal 11 5 2 9 2 2 2" xfId="50459" xr:uid="{00000000-0005-0000-0000-000043C30000}"/>
    <cellStyle name="Normal 11 5 2 9 2 3" xfId="50460" xr:uid="{00000000-0005-0000-0000-000044C30000}"/>
    <cellStyle name="Normal 11 5 2 9 3" xfId="50461" xr:uid="{00000000-0005-0000-0000-000045C30000}"/>
    <cellStyle name="Normal 11 5 2 9 3 2" xfId="50462" xr:uid="{00000000-0005-0000-0000-000046C30000}"/>
    <cellStyle name="Normal 11 5 2 9 4" xfId="50463" xr:uid="{00000000-0005-0000-0000-000047C30000}"/>
    <cellStyle name="Normal 11 5 3" xfId="662" xr:uid="{00000000-0005-0000-0000-000048C30000}"/>
    <cellStyle name="Normal 11 5 3 10" xfId="50465" xr:uid="{00000000-0005-0000-0000-000049C30000}"/>
    <cellStyle name="Normal 11 5 3 10 2" xfId="50466" xr:uid="{00000000-0005-0000-0000-00004AC30000}"/>
    <cellStyle name="Normal 11 5 3 10 2 2" xfId="50467" xr:uid="{00000000-0005-0000-0000-00004BC30000}"/>
    <cellStyle name="Normal 11 5 3 10 2 2 2" xfId="50468" xr:uid="{00000000-0005-0000-0000-00004CC30000}"/>
    <cellStyle name="Normal 11 5 3 10 2 3" xfId="50469" xr:uid="{00000000-0005-0000-0000-00004DC30000}"/>
    <cellStyle name="Normal 11 5 3 10 3" xfId="50470" xr:uid="{00000000-0005-0000-0000-00004EC30000}"/>
    <cellStyle name="Normal 11 5 3 10 3 2" xfId="50471" xr:uid="{00000000-0005-0000-0000-00004FC30000}"/>
    <cellStyle name="Normal 11 5 3 10 4" xfId="50472" xr:uid="{00000000-0005-0000-0000-000050C30000}"/>
    <cellStyle name="Normal 11 5 3 11" xfId="50473" xr:uid="{00000000-0005-0000-0000-000051C30000}"/>
    <cellStyle name="Normal 11 5 3 11 2" xfId="50474" xr:uid="{00000000-0005-0000-0000-000052C30000}"/>
    <cellStyle name="Normal 11 5 3 11 2 2" xfId="50475" xr:uid="{00000000-0005-0000-0000-000053C30000}"/>
    <cellStyle name="Normal 11 5 3 11 3" xfId="50476" xr:uid="{00000000-0005-0000-0000-000054C30000}"/>
    <cellStyle name="Normal 11 5 3 12" xfId="50477" xr:uid="{00000000-0005-0000-0000-000055C30000}"/>
    <cellStyle name="Normal 11 5 3 12 2" xfId="50478" xr:uid="{00000000-0005-0000-0000-000056C30000}"/>
    <cellStyle name="Normal 11 5 3 12 2 2" xfId="50479" xr:uid="{00000000-0005-0000-0000-000057C30000}"/>
    <cellStyle name="Normal 11 5 3 12 3" xfId="50480" xr:uid="{00000000-0005-0000-0000-000058C30000}"/>
    <cellStyle name="Normal 11 5 3 13" xfId="50481" xr:uid="{00000000-0005-0000-0000-000059C30000}"/>
    <cellStyle name="Normal 11 5 3 13 2" xfId="50482" xr:uid="{00000000-0005-0000-0000-00005AC30000}"/>
    <cellStyle name="Normal 11 5 3 13 2 2" xfId="50483" xr:uid="{00000000-0005-0000-0000-00005BC30000}"/>
    <cellStyle name="Normal 11 5 3 13 3" xfId="50484" xr:uid="{00000000-0005-0000-0000-00005CC30000}"/>
    <cellStyle name="Normal 11 5 3 14" xfId="50485" xr:uid="{00000000-0005-0000-0000-00005DC30000}"/>
    <cellStyle name="Normal 11 5 3 14 2" xfId="50486" xr:uid="{00000000-0005-0000-0000-00005EC30000}"/>
    <cellStyle name="Normal 11 5 3 15" xfId="50487" xr:uid="{00000000-0005-0000-0000-00005FC30000}"/>
    <cellStyle name="Normal 11 5 3 16" xfId="50488" xr:uid="{00000000-0005-0000-0000-000060C30000}"/>
    <cellStyle name="Normal 11 5 3 17" xfId="50464" xr:uid="{00000000-0005-0000-0000-000061C30000}"/>
    <cellStyle name="Normal 11 5 3 2" xfId="663" xr:uid="{00000000-0005-0000-0000-000062C30000}"/>
    <cellStyle name="Normal 11 5 3 2 10" xfId="50490" xr:uid="{00000000-0005-0000-0000-000063C30000}"/>
    <cellStyle name="Normal 11 5 3 2 10 2" xfId="50491" xr:uid="{00000000-0005-0000-0000-000064C30000}"/>
    <cellStyle name="Normal 11 5 3 2 10 2 2" xfId="50492" xr:uid="{00000000-0005-0000-0000-000065C30000}"/>
    <cellStyle name="Normal 11 5 3 2 10 3" xfId="50493" xr:uid="{00000000-0005-0000-0000-000066C30000}"/>
    <cellStyle name="Normal 11 5 3 2 11" xfId="50494" xr:uid="{00000000-0005-0000-0000-000067C30000}"/>
    <cellStyle name="Normal 11 5 3 2 11 2" xfId="50495" xr:uid="{00000000-0005-0000-0000-000068C30000}"/>
    <cellStyle name="Normal 11 5 3 2 11 2 2" xfId="50496" xr:uid="{00000000-0005-0000-0000-000069C30000}"/>
    <cellStyle name="Normal 11 5 3 2 11 3" xfId="50497" xr:uid="{00000000-0005-0000-0000-00006AC30000}"/>
    <cellStyle name="Normal 11 5 3 2 12" xfId="50498" xr:uid="{00000000-0005-0000-0000-00006BC30000}"/>
    <cellStyle name="Normal 11 5 3 2 12 2" xfId="50499" xr:uid="{00000000-0005-0000-0000-00006CC30000}"/>
    <cellStyle name="Normal 11 5 3 2 13" xfId="50500" xr:uid="{00000000-0005-0000-0000-00006DC30000}"/>
    <cellStyle name="Normal 11 5 3 2 14" xfId="50501" xr:uid="{00000000-0005-0000-0000-00006EC30000}"/>
    <cellStyle name="Normal 11 5 3 2 15" xfId="50489" xr:uid="{00000000-0005-0000-0000-00006FC30000}"/>
    <cellStyle name="Normal 11 5 3 2 2" xfId="1105" xr:uid="{00000000-0005-0000-0000-000070C30000}"/>
    <cellStyle name="Normal 11 5 3 2 2 10" xfId="50503" xr:uid="{00000000-0005-0000-0000-000071C30000}"/>
    <cellStyle name="Normal 11 5 3 2 2 11" xfId="50502" xr:uid="{00000000-0005-0000-0000-000072C30000}"/>
    <cellStyle name="Normal 11 5 3 2 2 2" xfId="1834" xr:uid="{00000000-0005-0000-0000-000073C30000}"/>
    <cellStyle name="Normal 11 5 3 2 2 2 2" xfId="50505" xr:uid="{00000000-0005-0000-0000-000074C30000}"/>
    <cellStyle name="Normal 11 5 3 2 2 2 2 2" xfId="50506" xr:uid="{00000000-0005-0000-0000-000075C30000}"/>
    <cellStyle name="Normal 11 5 3 2 2 2 2 2 2" xfId="50507" xr:uid="{00000000-0005-0000-0000-000076C30000}"/>
    <cellStyle name="Normal 11 5 3 2 2 2 2 2 2 2" xfId="50508" xr:uid="{00000000-0005-0000-0000-000077C30000}"/>
    <cellStyle name="Normal 11 5 3 2 2 2 2 2 3" xfId="50509" xr:uid="{00000000-0005-0000-0000-000078C30000}"/>
    <cellStyle name="Normal 11 5 3 2 2 2 2 3" xfId="50510" xr:uid="{00000000-0005-0000-0000-000079C30000}"/>
    <cellStyle name="Normal 11 5 3 2 2 2 2 3 2" xfId="50511" xr:uid="{00000000-0005-0000-0000-00007AC30000}"/>
    <cellStyle name="Normal 11 5 3 2 2 2 2 4" xfId="50512" xr:uid="{00000000-0005-0000-0000-00007BC30000}"/>
    <cellStyle name="Normal 11 5 3 2 2 2 3" xfId="50513" xr:uid="{00000000-0005-0000-0000-00007CC30000}"/>
    <cellStyle name="Normal 11 5 3 2 2 2 3 2" xfId="50514" xr:uid="{00000000-0005-0000-0000-00007DC30000}"/>
    <cellStyle name="Normal 11 5 3 2 2 2 3 2 2" xfId="50515" xr:uid="{00000000-0005-0000-0000-00007EC30000}"/>
    <cellStyle name="Normal 11 5 3 2 2 2 3 2 2 2" xfId="50516" xr:uid="{00000000-0005-0000-0000-00007FC30000}"/>
    <cellStyle name="Normal 11 5 3 2 2 2 3 2 3" xfId="50517" xr:uid="{00000000-0005-0000-0000-000080C30000}"/>
    <cellStyle name="Normal 11 5 3 2 2 2 3 3" xfId="50518" xr:uid="{00000000-0005-0000-0000-000081C30000}"/>
    <cellStyle name="Normal 11 5 3 2 2 2 3 3 2" xfId="50519" xr:uid="{00000000-0005-0000-0000-000082C30000}"/>
    <cellStyle name="Normal 11 5 3 2 2 2 3 4" xfId="50520" xr:uid="{00000000-0005-0000-0000-000083C30000}"/>
    <cellStyle name="Normal 11 5 3 2 2 2 4" xfId="50521" xr:uid="{00000000-0005-0000-0000-000084C30000}"/>
    <cellStyle name="Normal 11 5 3 2 2 2 4 2" xfId="50522" xr:uid="{00000000-0005-0000-0000-000085C30000}"/>
    <cellStyle name="Normal 11 5 3 2 2 2 4 2 2" xfId="50523" xr:uid="{00000000-0005-0000-0000-000086C30000}"/>
    <cellStyle name="Normal 11 5 3 2 2 2 4 3" xfId="50524" xr:uid="{00000000-0005-0000-0000-000087C30000}"/>
    <cellStyle name="Normal 11 5 3 2 2 2 5" xfId="50525" xr:uid="{00000000-0005-0000-0000-000088C30000}"/>
    <cellStyle name="Normal 11 5 3 2 2 2 5 2" xfId="50526" xr:uid="{00000000-0005-0000-0000-000089C30000}"/>
    <cellStyle name="Normal 11 5 3 2 2 2 6" xfId="50527" xr:uid="{00000000-0005-0000-0000-00008AC30000}"/>
    <cellStyle name="Normal 11 5 3 2 2 2 7" xfId="50504" xr:uid="{00000000-0005-0000-0000-00008BC30000}"/>
    <cellStyle name="Normal 11 5 3 2 2 3" xfId="50528" xr:uid="{00000000-0005-0000-0000-00008CC30000}"/>
    <cellStyle name="Normal 11 5 3 2 2 3 2" xfId="50529" xr:uid="{00000000-0005-0000-0000-00008DC30000}"/>
    <cellStyle name="Normal 11 5 3 2 2 3 2 2" xfId="50530" xr:uid="{00000000-0005-0000-0000-00008EC30000}"/>
    <cellStyle name="Normal 11 5 3 2 2 3 2 2 2" xfId="50531" xr:uid="{00000000-0005-0000-0000-00008FC30000}"/>
    <cellStyle name="Normal 11 5 3 2 2 3 2 2 2 2" xfId="50532" xr:uid="{00000000-0005-0000-0000-000090C30000}"/>
    <cellStyle name="Normal 11 5 3 2 2 3 2 2 3" xfId="50533" xr:uid="{00000000-0005-0000-0000-000091C30000}"/>
    <cellStyle name="Normal 11 5 3 2 2 3 2 3" xfId="50534" xr:uid="{00000000-0005-0000-0000-000092C30000}"/>
    <cellStyle name="Normal 11 5 3 2 2 3 2 3 2" xfId="50535" xr:uid="{00000000-0005-0000-0000-000093C30000}"/>
    <cellStyle name="Normal 11 5 3 2 2 3 2 4" xfId="50536" xr:uid="{00000000-0005-0000-0000-000094C30000}"/>
    <cellStyle name="Normal 11 5 3 2 2 3 3" xfId="50537" xr:uid="{00000000-0005-0000-0000-000095C30000}"/>
    <cellStyle name="Normal 11 5 3 2 2 3 3 2" xfId="50538" xr:uid="{00000000-0005-0000-0000-000096C30000}"/>
    <cellStyle name="Normal 11 5 3 2 2 3 3 2 2" xfId="50539" xr:uid="{00000000-0005-0000-0000-000097C30000}"/>
    <cellStyle name="Normal 11 5 3 2 2 3 3 3" xfId="50540" xr:uid="{00000000-0005-0000-0000-000098C30000}"/>
    <cellStyle name="Normal 11 5 3 2 2 3 4" xfId="50541" xr:uid="{00000000-0005-0000-0000-000099C30000}"/>
    <cellStyle name="Normal 11 5 3 2 2 3 4 2" xfId="50542" xr:uid="{00000000-0005-0000-0000-00009AC30000}"/>
    <cellStyle name="Normal 11 5 3 2 2 3 5" xfId="50543" xr:uid="{00000000-0005-0000-0000-00009BC30000}"/>
    <cellStyle name="Normal 11 5 3 2 2 4" xfId="50544" xr:uid="{00000000-0005-0000-0000-00009CC30000}"/>
    <cellStyle name="Normal 11 5 3 2 2 4 2" xfId="50545" xr:uid="{00000000-0005-0000-0000-00009DC30000}"/>
    <cellStyle name="Normal 11 5 3 2 2 4 2 2" xfId="50546" xr:uid="{00000000-0005-0000-0000-00009EC30000}"/>
    <cellStyle name="Normal 11 5 3 2 2 4 2 2 2" xfId="50547" xr:uid="{00000000-0005-0000-0000-00009FC30000}"/>
    <cellStyle name="Normal 11 5 3 2 2 4 2 2 2 2" xfId="50548" xr:uid="{00000000-0005-0000-0000-0000A0C30000}"/>
    <cellStyle name="Normal 11 5 3 2 2 4 2 2 3" xfId="50549" xr:uid="{00000000-0005-0000-0000-0000A1C30000}"/>
    <cellStyle name="Normal 11 5 3 2 2 4 2 3" xfId="50550" xr:uid="{00000000-0005-0000-0000-0000A2C30000}"/>
    <cellStyle name="Normal 11 5 3 2 2 4 2 3 2" xfId="50551" xr:uid="{00000000-0005-0000-0000-0000A3C30000}"/>
    <cellStyle name="Normal 11 5 3 2 2 4 2 4" xfId="50552" xr:uid="{00000000-0005-0000-0000-0000A4C30000}"/>
    <cellStyle name="Normal 11 5 3 2 2 4 3" xfId="50553" xr:uid="{00000000-0005-0000-0000-0000A5C30000}"/>
    <cellStyle name="Normal 11 5 3 2 2 4 3 2" xfId="50554" xr:uid="{00000000-0005-0000-0000-0000A6C30000}"/>
    <cellStyle name="Normal 11 5 3 2 2 4 3 2 2" xfId="50555" xr:uid="{00000000-0005-0000-0000-0000A7C30000}"/>
    <cellStyle name="Normal 11 5 3 2 2 4 3 3" xfId="50556" xr:uid="{00000000-0005-0000-0000-0000A8C30000}"/>
    <cellStyle name="Normal 11 5 3 2 2 4 4" xfId="50557" xr:uid="{00000000-0005-0000-0000-0000A9C30000}"/>
    <cellStyle name="Normal 11 5 3 2 2 4 4 2" xfId="50558" xr:uid="{00000000-0005-0000-0000-0000AAC30000}"/>
    <cellStyle name="Normal 11 5 3 2 2 4 5" xfId="50559" xr:uid="{00000000-0005-0000-0000-0000ABC30000}"/>
    <cellStyle name="Normal 11 5 3 2 2 5" xfId="50560" xr:uid="{00000000-0005-0000-0000-0000ACC30000}"/>
    <cellStyle name="Normal 11 5 3 2 2 5 2" xfId="50561" xr:uid="{00000000-0005-0000-0000-0000ADC30000}"/>
    <cellStyle name="Normal 11 5 3 2 2 5 2 2" xfId="50562" xr:uid="{00000000-0005-0000-0000-0000AEC30000}"/>
    <cellStyle name="Normal 11 5 3 2 2 5 2 2 2" xfId="50563" xr:uid="{00000000-0005-0000-0000-0000AFC30000}"/>
    <cellStyle name="Normal 11 5 3 2 2 5 2 3" xfId="50564" xr:uid="{00000000-0005-0000-0000-0000B0C30000}"/>
    <cellStyle name="Normal 11 5 3 2 2 5 3" xfId="50565" xr:uid="{00000000-0005-0000-0000-0000B1C30000}"/>
    <cellStyle name="Normal 11 5 3 2 2 5 3 2" xfId="50566" xr:uid="{00000000-0005-0000-0000-0000B2C30000}"/>
    <cellStyle name="Normal 11 5 3 2 2 5 4" xfId="50567" xr:uid="{00000000-0005-0000-0000-0000B3C30000}"/>
    <cellStyle name="Normal 11 5 3 2 2 6" xfId="50568" xr:uid="{00000000-0005-0000-0000-0000B4C30000}"/>
    <cellStyle name="Normal 11 5 3 2 2 6 2" xfId="50569" xr:uid="{00000000-0005-0000-0000-0000B5C30000}"/>
    <cellStyle name="Normal 11 5 3 2 2 6 2 2" xfId="50570" xr:uid="{00000000-0005-0000-0000-0000B6C30000}"/>
    <cellStyle name="Normal 11 5 3 2 2 6 2 2 2" xfId="50571" xr:uid="{00000000-0005-0000-0000-0000B7C30000}"/>
    <cellStyle name="Normal 11 5 3 2 2 6 2 3" xfId="50572" xr:uid="{00000000-0005-0000-0000-0000B8C30000}"/>
    <cellStyle name="Normal 11 5 3 2 2 6 3" xfId="50573" xr:uid="{00000000-0005-0000-0000-0000B9C30000}"/>
    <cellStyle name="Normal 11 5 3 2 2 6 3 2" xfId="50574" xr:uid="{00000000-0005-0000-0000-0000BAC30000}"/>
    <cellStyle name="Normal 11 5 3 2 2 6 4" xfId="50575" xr:uid="{00000000-0005-0000-0000-0000BBC30000}"/>
    <cellStyle name="Normal 11 5 3 2 2 7" xfId="50576" xr:uid="{00000000-0005-0000-0000-0000BCC30000}"/>
    <cellStyle name="Normal 11 5 3 2 2 7 2" xfId="50577" xr:uid="{00000000-0005-0000-0000-0000BDC30000}"/>
    <cellStyle name="Normal 11 5 3 2 2 7 2 2" xfId="50578" xr:uid="{00000000-0005-0000-0000-0000BEC30000}"/>
    <cellStyle name="Normal 11 5 3 2 2 7 2 2 2" xfId="50579" xr:uid="{00000000-0005-0000-0000-0000BFC30000}"/>
    <cellStyle name="Normal 11 5 3 2 2 7 2 3" xfId="50580" xr:uid="{00000000-0005-0000-0000-0000C0C30000}"/>
    <cellStyle name="Normal 11 5 3 2 2 7 3" xfId="50581" xr:uid="{00000000-0005-0000-0000-0000C1C30000}"/>
    <cellStyle name="Normal 11 5 3 2 2 7 3 2" xfId="50582" xr:uid="{00000000-0005-0000-0000-0000C2C30000}"/>
    <cellStyle name="Normal 11 5 3 2 2 7 4" xfId="50583" xr:uid="{00000000-0005-0000-0000-0000C3C30000}"/>
    <cellStyle name="Normal 11 5 3 2 2 8" xfId="50584" xr:uid="{00000000-0005-0000-0000-0000C4C30000}"/>
    <cellStyle name="Normal 11 5 3 2 2 8 2" xfId="50585" xr:uid="{00000000-0005-0000-0000-0000C5C30000}"/>
    <cellStyle name="Normal 11 5 3 2 2 8 2 2" xfId="50586" xr:uid="{00000000-0005-0000-0000-0000C6C30000}"/>
    <cellStyle name="Normal 11 5 3 2 2 8 3" xfId="50587" xr:uid="{00000000-0005-0000-0000-0000C7C30000}"/>
    <cellStyle name="Normal 11 5 3 2 2 9" xfId="50588" xr:uid="{00000000-0005-0000-0000-0000C8C30000}"/>
    <cellStyle name="Normal 11 5 3 2 2 9 2" xfId="50589" xr:uid="{00000000-0005-0000-0000-0000C9C30000}"/>
    <cellStyle name="Normal 11 5 3 2 3" xfId="1507" xr:uid="{00000000-0005-0000-0000-0000CAC30000}"/>
    <cellStyle name="Normal 11 5 3 2 3 2" xfId="50591" xr:uid="{00000000-0005-0000-0000-0000CBC30000}"/>
    <cellStyle name="Normal 11 5 3 2 3 2 2" xfId="50592" xr:uid="{00000000-0005-0000-0000-0000CCC30000}"/>
    <cellStyle name="Normal 11 5 3 2 3 2 2 2" xfId="50593" xr:uid="{00000000-0005-0000-0000-0000CDC30000}"/>
    <cellStyle name="Normal 11 5 3 2 3 2 2 2 2" xfId="50594" xr:uid="{00000000-0005-0000-0000-0000CEC30000}"/>
    <cellStyle name="Normal 11 5 3 2 3 2 2 3" xfId="50595" xr:uid="{00000000-0005-0000-0000-0000CFC30000}"/>
    <cellStyle name="Normal 11 5 3 2 3 2 3" xfId="50596" xr:uid="{00000000-0005-0000-0000-0000D0C30000}"/>
    <cellStyle name="Normal 11 5 3 2 3 2 3 2" xfId="50597" xr:uid="{00000000-0005-0000-0000-0000D1C30000}"/>
    <cellStyle name="Normal 11 5 3 2 3 2 4" xfId="50598" xr:uid="{00000000-0005-0000-0000-0000D2C30000}"/>
    <cellStyle name="Normal 11 5 3 2 3 3" xfId="50599" xr:uid="{00000000-0005-0000-0000-0000D3C30000}"/>
    <cellStyle name="Normal 11 5 3 2 3 3 2" xfId="50600" xr:uid="{00000000-0005-0000-0000-0000D4C30000}"/>
    <cellStyle name="Normal 11 5 3 2 3 3 2 2" xfId="50601" xr:uid="{00000000-0005-0000-0000-0000D5C30000}"/>
    <cellStyle name="Normal 11 5 3 2 3 3 2 2 2" xfId="50602" xr:uid="{00000000-0005-0000-0000-0000D6C30000}"/>
    <cellStyle name="Normal 11 5 3 2 3 3 2 3" xfId="50603" xr:uid="{00000000-0005-0000-0000-0000D7C30000}"/>
    <cellStyle name="Normal 11 5 3 2 3 3 3" xfId="50604" xr:uid="{00000000-0005-0000-0000-0000D8C30000}"/>
    <cellStyle name="Normal 11 5 3 2 3 3 3 2" xfId="50605" xr:uid="{00000000-0005-0000-0000-0000D9C30000}"/>
    <cellStyle name="Normal 11 5 3 2 3 3 4" xfId="50606" xr:uid="{00000000-0005-0000-0000-0000DAC30000}"/>
    <cellStyle name="Normal 11 5 3 2 3 4" xfId="50607" xr:uid="{00000000-0005-0000-0000-0000DBC30000}"/>
    <cellStyle name="Normal 11 5 3 2 3 4 2" xfId="50608" xr:uid="{00000000-0005-0000-0000-0000DCC30000}"/>
    <cellStyle name="Normal 11 5 3 2 3 4 2 2" xfId="50609" xr:uid="{00000000-0005-0000-0000-0000DDC30000}"/>
    <cellStyle name="Normal 11 5 3 2 3 4 3" xfId="50610" xr:uid="{00000000-0005-0000-0000-0000DEC30000}"/>
    <cellStyle name="Normal 11 5 3 2 3 5" xfId="50611" xr:uid="{00000000-0005-0000-0000-0000DFC30000}"/>
    <cellStyle name="Normal 11 5 3 2 3 5 2" xfId="50612" xr:uid="{00000000-0005-0000-0000-0000E0C30000}"/>
    <cellStyle name="Normal 11 5 3 2 3 6" xfId="50613" xr:uid="{00000000-0005-0000-0000-0000E1C30000}"/>
    <cellStyle name="Normal 11 5 3 2 3 7" xfId="50590" xr:uid="{00000000-0005-0000-0000-0000E2C30000}"/>
    <cellStyle name="Normal 11 5 3 2 4" xfId="50614" xr:uid="{00000000-0005-0000-0000-0000E3C30000}"/>
    <cellStyle name="Normal 11 5 3 2 4 2" xfId="50615" xr:uid="{00000000-0005-0000-0000-0000E4C30000}"/>
    <cellStyle name="Normal 11 5 3 2 4 2 2" xfId="50616" xr:uid="{00000000-0005-0000-0000-0000E5C30000}"/>
    <cellStyle name="Normal 11 5 3 2 4 2 2 2" xfId="50617" xr:uid="{00000000-0005-0000-0000-0000E6C30000}"/>
    <cellStyle name="Normal 11 5 3 2 4 2 2 2 2" xfId="50618" xr:uid="{00000000-0005-0000-0000-0000E7C30000}"/>
    <cellStyle name="Normal 11 5 3 2 4 2 2 3" xfId="50619" xr:uid="{00000000-0005-0000-0000-0000E8C30000}"/>
    <cellStyle name="Normal 11 5 3 2 4 2 3" xfId="50620" xr:uid="{00000000-0005-0000-0000-0000E9C30000}"/>
    <cellStyle name="Normal 11 5 3 2 4 2 3 2" xfId="50621" xr:uid="{00000000-0005-0000-0000-0000EAC30000}"/>
    <cellStyle name="Normal 11 5 3 2 4 2 4" xfId="50622" xr:uid="{00000000-0005-0000-0000-0000EBC30000}"/>
    <cellStyle name="Normal 11 5 3 2 4 3" xfId="50623" xr:uid="{00000000-0005-0000-0000-0000ECC30000}"/>
    <cellStyle name="Normal 11 5 3 2 4 3 2" xfId="50624" xr:uid="{00000000-0005-0000-0000-0000EDC30000}"/>
    <cellStyle name="Normal 11 5 3 2 4 3 2 2" xfId="50625" xr:uid="{00000000-0005-0000-0000-0000EEC30000}"/>
    <cellStyle name="Normal 11 5 3 2 4 3 3" xfId="50626" xr:uid="{00000000-0005-0000-0000-0000EFC30000}"/>
    <cellStyle name="Normal 11 5 3 2 4 4" xfId="50627" xr:uid="{00000000-0005-0000-0000-0000F0C30000}"/>
    <cellStyle name="Normal 11 5 3 2 4 4 2" xfId="50628" xr:uid="{00000000-0005-0000-0000-0000F1C30000}"/>
    <cellStyle name="Normal 11 5 3 2 4 5" xfId="50629" xr:uid="{00000000-0005-0000-0000-0000F2C30000}"/>
    <cellStyle name="Normal 11 5 3 2 5" xfId="50630" xr:uid="{00000000-0005-0000-0000-0000F3C30000}"/>
    <cellStyle name="Normal 11 5 3 2 5 2" xfId="50631" xr:uid="{00000000-0005-0000-0000-0000F4C30000}"/>
    <cellStyle name="Normal 11 5 3 2 5 2 2" xfId="50632" xr:uid="{00000000-0005-0000-0000-0000F5C30000}"/>
    <cellStyle name="Normal 11 5 3 2 5 2 2 2" xfId="50633" xr:uid="{00000000-0005-0000-0000-0000F6C30000}"/>
    <cellStyle name="Normal 11 5 3 2 5 2 2 2 2" xfId="50634" xr:uid="{00000000-0005-0000-0000-0000F7C30000}"/>
    <cellStyle name="Normal 11 5 3 2 5 2 2 3" xfId="50635" xr:uid="{00000000-0005-0000-0000-0000F8C30000}"/>
    <cellStyle name="Normal 11 5 3 2 5 2 3" xfId="50636" xr:uid="{00000000-0005-0000-0000-0000F9C30000}"/>
    <cellStyle name="Normal 11 5 3 2 5 2 3 2" xfId="50637" xr:uid="{00000000-0005-0000-0000-0000FAC30000}"/>
    <cellStyle name="Normal 11 5 3 2 5 2 4" xfId="50638" xr:uid="{00000000-0005-0000-0000-0000FBC30000}"/>
    <cellStyle name="Normal 11 5 3 2 5 3" xfId="50639" xr:uid="{00000000-0005-0000-0000-0000FCC30000}"/>
    <cellStyle name="Normal 11 5 3 2 5 3 2" xfId="50640" xr:uid="{00000000-0005-0000-0000-0000FDC30000}"/>
    <cellStyle name="Normal 11 5 3 2 5 3 2 2" xfId="50641" xr:uid="{00000000-0005-0000-0000-0000FEC30000}"/>
    <cellStyle name="Normal 11 5 3 2 5 3 3" xfId="50642" xr:uid="{00000000-0005-0000-0000-0000FFC30000}"/>
    <cellStyle name="Normal 11 5 3 2 5 4" xfId="50643" xr:uid="{00000000-0005-0000-0000-000000C40000}"/>
    <cellStyle name="Normal 11 5 3 2 5 4 2" xfId="50644" xr:uid="{00000000-0005-0000-0000-000001C40000}"/>
    <cellStyle name="Normal 11 5 3 2 5 5" xfId="50645" xr:uid="{00000000-0005-0000-0000-000002C40000}"/>
    <cellStyle name="Normal 11 5 3 2 6" xfId="50646" xr:uid="{00000000-0005-0000-0000-000003C40000}"/>
    <cellStyle name="Normal 11 5 3 2 6 2" xfId="50647" xr:uid="{00000000-0005-0000-0000-000004C40000}"/>
    <cellStyle name="Normal 11 5 3 2 6 2 2" xfId="50648" xr:uid="{00000000-0005-0000-0000-000005C40000}"/>
    <cellStyle name="Normal 11 5 3 2 6 2 2 2" xfId="50649" xr:uid="{00000000-0005-0000-0000-000006C40000}"/>
    <cellStyle name="Normal 11 5 3 2 6 2 3" xfId="50650" xr:uid="{00000000-0005-0000-0000-000007C40000}"/>
    <cellStyle name="Normal 11 5 3 2 6 3" xfId="50651" xr:uid="{00000000-0005-0000-0000-000008C40000}"/>
    <cellStyle name="Normal 11 5 3 2 6 3 2" xfId="50652" xr:uid="{00000000-0005-0000-0000-000009C40000}"/>
    <cellStyle name="Normal 11 5 3 2 6 4" xfId="50653" xr:uid="{00000000-0005-0000-0000-00000AC40000}"/>
    <cellStyle name="Normal 11 5 3 2 7" xfId="50654" xr:uid="{00000000-0005-0000-0000-00000BC40000}"/>
    <cellStyle name="Normal 11 5 3 2 7 2" xfId="50655" xr:uid="{00000000-0005-0000-0000-00000CC40000}"/>
    <cellStyle name="Normal 11 5 3 2 7 2 2" xfId="50656" xr:uid="{00000000-0005-0000-0000-00000DC40000}"/>
    <cellStyle name="Normal 11 5 3 2 7 2 2 2" xfId="50657" xr:uid="{00000000-0005-0000-0000-00000EC40000}"/>
    <cellStyle name="Normal 11 5 3 2 7 2 3" xfId="50658" xr:uid="{00000000-0005-0000-0000-00000FC40000}"/>
    <cellStyle name="Normal 11 5 3 2 7 3" xfId="50659" xr:uid="{00000000-0005-0000-0000-000010C40000}"/>
    <cellStyle name="Normal 11 5 3 2 7 3 2" xfId="50660" xr:uid="{00000000-0005-0000-0000-000011C40000}"/>
    <cellStyle name="Normal 11 5 3 2 7 4" xfId="50661" xr:uid="{00000000-0005-0000-0000-000012C40000}"/>
    <cellStyle name="Normal 11 5 3 2 8" xfId="50662" xr:uid="{00000000-0005-0000-0000-000013C40000}"/>
    <cellStyle name="Normal 11 5 3 2 8 2" xfId="50663" xr:uid="{00000000-0005-0000-0000-000014C40000}"/>
    <cellStyle name="Normal 11 5 3 2 8 2 2" xfId="50664" xr:uid="{00000000-0005-0000-0000-000015C40000}"/>
    <cellStyle name="Normal 11 5 3 2 8 2 2 2" xfId="50665" xr:uid="{00000000-0005-0000-0000-000016C40000}"/>
    <cellStyle name="Normal 11 5 3 2 8 2 3" xfId="50666" xr:uid="{00000000-0005-0000-0000-000017C40000}"/>
    <cellStyle name="Normal 11 5 3 2 8 3" xfId="50667" xr:uid="{00000000-0005-0000-0000-000018C40000}"/>
    <cellStyle name="Normal 11 5 3 2 8 3 2" xfId="50668" xr:uid="{00000000-0005-0000-0000-000019C40000}"/>
    <cellStyle name="Normal 11 5 3 2 8 4" xfId="50669" xr:uid="{00000000-0005-0000-0000-00001AC40000}"/>
    <cellStyle name="Normal 11 5 3 2 9" xfId="50670" xr:uid="{00000000-0005-0000-0000-00001BC40000}"/>
    <cellStyle name="Normal 11 5 3 2 9 2" xfId="50671" xr:uid="{00000000-0005-0000-0000-00001CC40000}"/>
    <cellStyle name="Normal 11 5 3 2 9 2 2" xfId="50672" xr:uid="{00000000-0005-0000-0000-00001DC40000}"/>
    <cellStyle name="Normal 11 5 3 2 9 3" xfId="50673" xr:uid="{00000000-0005-0000-0000-00001EC40000}"/>
    <cellStyle name="Normal 11 5 3 3" xfId="664" xr:uid="{00000000-0005-0000-0000-00001FC40000}"/>
    <cellStyle name="Normal 11 5 3 3 10" xfId="50675" xr:uid="{00000000-0005-0000-0000-000020C40000}"/>
    <cellStyle name="Normal 11 5 3 3 10 2" xfId="50676" xr:uid="{00000000-0005-0000-0000-000021C40000}"/>
    <cellStyle name="Normal 11 5 3 3 10 2 2" xfId="50677" xr:uid="{00000000-0005-0000-0000-000022C40000}"/>
    <cellStyle name="Normal 11 5 3 3 10 3" xfId="50678" xr:uid="{00000000-0005-0000-0000-000023C40000}"/>
    <cellStyle name="Normal 11 5 3 3 11" xfId="50679" xr:uid="{00000000-0005-0000-0000-000024C40000}"/>
    <cellStyle name="Normal 11 5 3 3 11 2" xfId="50680" xr:uid="{00000000-0005-0000-0000-000025C40000}"/>
    <cellStyle name="Normal 11 5 3 3 11 2 2" xfId="50681" xr:uid="{00000000-0005-0000-0000-000026C40000}"/>
    <cellStyle name="Normal 11 5 3 3 11 3" xfId="50682" xr:uid="{00000000-0005-0000-0000-000027C40000}"/>
    <cellStyle name="Normal 11 5 3 3 12" xfId="50683" xr:uid="{00000000-0005-0000-0000-000028C40000}"/>
    <cellStyle name="Normal 11 5 3 3 12 2" xfId="50684" xr:uid="{00000000-0005-0000-0000-000029C40000}"/>
    <cellStyle name="Normal 11 5 3 3 13" xfId="50685" xr:uid="{00000000-0005-0000-0000-00002AC40000}"/>
    <cellStyle name="Normal 11 5 3 3 14" xfId="50686" xr:uid="{00000000-0005-0000-0000-00002BC40000}"/>
    <cellStyle name="Normal 11 5 3 3 15" xfId="50674" xr:uid="{00000000-0005-0000-0000-00002CC40000}"/>
    <cellStyle name="Normal 11 5 3 3 2" xfId="1106" xr:uid="{00000000-0005-0000-0000-00002DC40000}"/>
    <cellStyle name="Normal 11 5 3 3 2 10" xfId="50688" xr:uid="{00000000-0005-0000-0000-00002EC40000}"/>
    <cellStyle name="Normal 11 5 3 3 2 11" xfId="50687" xr:uid="{00000000-0005-0000-0000-00002FC40000}"/>
    <cellStyle name="Normal 11 5 3 3 2 2" xfId="1835" xr:uid="{00000000-0005-0000-0000-000030C40000}"/>
    <cellStyle name="Normal 11 5 3 3 2 2 2" xfId="50690" xr:uid="{00000000-0005-0000-0000-000031C40000}"/>
    <cellStyle name="Normal 11 5 3 3 2 2 2 2" xfId="50691" xr:uid="{00000000-0005-0000-0000-000032C40000}"/>
    <cellStyle name="Normal 11 5 3 3 2 2 2 2 2" xfId="50692" xr:uid="{00000000-0005-0000-0000-000033C40000}"/>
    <cellStyle name="Normal 11 5 3 3 2 2 2 2 2 2" xfId="50693" xr:uid="{00000000-0005-0000-0000-000034C40000}"/>
    <cellStyle name="Normal 11 5 3 3 2 2 2 2 3" xfId="50694" xr:uid="{00000000-0005-0000-0000-000035C40000}"/>
    <cellStyle name="Normal 11 5 3 3 2 2 2 3" xfId="50695" xr:uid="{00000000-0005-0000-0000-000036C40000}"/>
    <cellStyle name="Normal 11 5 3 3 2 2 2 3 2" xfId="50696" xr:uid="{00000000-0005-0000-0000-000037C40000}"/>
    <cellStyle name="Normal 11 5 3 3 2 2 2 4" xfId="50697" xr:uid="{00000000-0005-0000-0000-000038C40000}"/>
    <cellStyle name="Normal 11 5 3 3 2 2 3" xfId="50698" xr:uid="{00000000-0005-0000-0000-000039C40000}"/>
    <cellStyle name="Normal 11 5 3 3 2 2 3 2" xfId="50699" xr:uid="{00000000-0005-0000-0000-00003AC40000}"/>
    <cellStyle name="Normal 11 5 3 3 2 2 3 2 2" xfId="50700" xr:uid="{00000000-0005-0000-0000-00003BC40000}"/>
    <cellStyle name="Normal 11 5 3 3 2 2 3 2 2 2" xfId="50701" xr:uid="{00000000-0005-0000-0000-00003CC40000}"/>
    <cellStyle name="Normal 11 5 3 3 2 2 3 2 3" xfId="50702" xr:uid="{00000000-0005-0000-0000-00003DC40000}"/>
    <cellStyle name="Normal 11 5 3 3 2 2 3 3" xfId="50703" xr:uid="{00000000-0005-0000-0000-00003EC40000}"/>
    <cellStyle name="Normal 11 5 3 3 2 2 3 3 2" xfId="50704" xr:uid="{00000000-0005-0000-0000-00003FC40000}"/>
    <cellStyle name="Normal 11 5 3 3 2 2 3 4" xfId="50705" xr:uid="{00000000-0005-0000-0000-000040C40000}"/>
    <cellStyle name="Normal 11 5 3 3 2 2 4" xfId="50706" xr:uid="{00000000-0005-0000-0000-000041C40000}"/>
    <cellStyle name="Normal 11 5 3 3 2 2 4 2" xfId="50707" xr:uid="{00000000-0005-0000-0000-000042C40000}"/>
    <cellStyle name="Normal 11 5 3 3 2 2 4 2 2" xfId="50708" xr:uid="{00000000-0005-0000-0000-000043C40000}"/>
    <cellStyle name="Normal 11 5 3 3 2 2 4 3" xfId="50709" xr:uid="{00000000-0005-0000-0000-000044C40000}"/>
    <cellStyle name="Normal 11 5 3 3 2 2 5" xfId="50710" xr:uid="{00000000-0005-0000-0000-000045C40000}"/>
    <cellStyle name="Normal 11 5 3 3 2 2 5 2" xfId="50711" xr:uid="{00000000-0005-0000-0000-000046C40000}"/>
    <cellStyle name="Normal 11 5 3 3 2 2 6" xfId="50712" xr:uid="{00000000-0005-0000-0000-000047C40000}"/>
    <cellStyle name="Normal 11 5 3 3 2 2 7" xfId="50689" xr:uid="{00000000-0005-0000-0000-000048C40000}"/>
    <cellStyle name="Normal 11 5 3 3 2 3" xfId="50713" xr:uid="{00000000-0005-0000-0000-000049C40000}"/>
    <cellStyle name="Normal 11 5 3 3 2 3 2" xfId="50714" xr:uid="{00000000-0005-0000-0000-00004AC40000}"/>
    <cellStyle name="Normal 11 5 3 3 2 3 2 2" xfId="50715" xr:uid="{00000000-0005-0000-0000-00004BC40000}"/>
    <cellStyle name="Normal 11 5 3 3 2 3 2 2 2" xfId="50716" xr:uid="{00000000-0005-0000-0000-00004CC40000}"/>
    <cellStyle name="Normal 11 5 3 3 2 3 2 2 2 2" xfId="50717" xr:uid="{00000000-0005-0000-0000-00004DC40000}"/>
    <cellStyle name="Normal 11 5 3 3 2 3 2 2 3" xfId="50718" xr:uid="{00000000-0005-0000-0000-00004EC40000}"/>
    <cellStyle name="Normal 11 5 3 3 2 3 2 3" xfId="50719" xr:uid="{00000000-0005-0000-0000-00004FC40000}"/>
    <cellStyle name="Normal 11 5 3 3 2 3 2 3 2" xfId="50720" xr:uid="{00000000-0005-0000-0000-000050C40000}"/>
    <cellStyle name="Normal 11 5 3 3 2 3 2 4" xfId="50721" xr:uid="{00000000-0005-0000-0000-000051C40000}"/>
    <cellStyle name="Normal 11 5 3 3 2 3 3" xfId="50722" xr:uid="{00000000-0005-0000-0000-000052C40000}"/>
    <cellStyle name="Normal 11 5 3 3 2 3 3 2" xfId="50723" xr:uid="{00000000-0005-0000-0000-000053C40000}"/>
    <cellStyle name="Normal 11 5 3 3 2 3 3 2 2" xfId="50724" xr:uid="{00000000-0005-0000-0000-000054C40000}"/>
    <cellStyle name="Normal 11 5 3 3 2 3 3 3" xfId="50725" xr:uid="{00000000-0005-0000-0000-000055C40000}"/>
    <cellStyle name="Normal 11 5 3 3 2 3 4" xfId="50726" xr:uid="{00000000-0005-0000-0000-000056C40000}"/>
    <cellStyle name="Normal 11 5 3 3 2 3 4 2" xfId="50727" xr:uid="{00000000-0005-0000-0000-000057C40000}"/>
    <cellStyle name="Normal 11 5 3 3 2 3 5" xfId="50728" xr:uid="{00000000-0005-0000-0000-000058C40000}"/>
    <cellStyle name="Normal 11 5 3 3 2 4" xfId="50729" xr:uid="{00000000-0005-0000-0000-000059C40000}"/>
    <cellStyle name="Normal 11 5 3 3 2 4 2" xfId="50730" xr:uid="{00000000-0005-0000-0000-00005AC40000}"/>
    <cellStyle name="Normal 11 5 3 3 2 4 2 2" xfId="50731" xr:uid="{00000000-0005-0000-0000-00005BC40000}"/>
    <cellStyle name="Normal 11 5 3 3 2 4 2 2 2" xfId="50732" xr:uid="{00000000-0005-0000-0000-00005CC40000}"/>
    <cellStyle name="Normal 11 5 3 3 2 4 2 2 2 2" xfId="50733" xr:uid="{00000000-0005-0000-0000-00005DC40000}"/>
    <cellStyle name="Normal 11 5 3 3 2 4 2 2 3" xfId="50734" xr:uid="{00000000-0005-0000-0000-00005EC40000}"/>
    <cellStyle name="Normal 11 5 3 3 2 4 2 3" xfId="50735" xr:uid="{00000000-0005-0000-0000-00005FC40000}"/>
    <cellStyle name="Normal 11 5 3 3 2 4 2 3 2" xfId="50736" xr:uid="{00000000-0005-0000-0000-000060C40000}"/>
    <cellStyle name="Normal 11 5 3 3 2 4 2 4" xfId="50737" xr:uid="{00000000-0005-0000-0000-000061C40000}"/>
    <cellStyle name="Normal 11 5 3 3 2 4 3" xfId="50738" xr:uid="{00000000-0005-0000-0000-000062C40000}"/>
    <cellStyle name="Normal 11 5 3 3 2 4 3 2" xfId="50739" xr:uid="{00000000-0005-0000-0000-000063C40000}"/>
    <cellStyle name="Normal 11 5 3 3 2 4 3 2 2" xfId="50740" xr:uid="{00000000-0005-0000-0000-000064C40000}"/>
    <cellStyle name="Normal 11 5 3 3 2 4 3 3" xfId="50741" xr:uid="{00000000-0005-0000-0000-000065C40000}"/>
    <cellStyle name="Normal 11 5 3 3 2 4 4" xfId="50742" xr:uid="{00000000-0005-0000-0000-000066C40000}"/>
    <cellStyle name="Normal 11 5 3 3 2 4 4 2" xfId="50743" xr:uid="{00000000-0005-0000-0000-000067C40000}"/>
    <cellStyle name="Normal 11 5 3 3 2 4 5" xfId="50744" xr:uid="{00000000-0005-0000-0000-000068C40000}"/>
    <cellStyle name="Normal 11 5 3 3 2 5" xfId="50745" xr:uid="{00000000-0005-0000-0000-000069C40000}"/>
    <cellStyle name="Normal 11 5 3 3 2 5 2" xfId="50746" xr:uid="{00000000-0005-0000-0000-00006AC40000}"/>
    <cellStyle name="Normal 11 5 3 3 2 5 2 2" xfId="50747" xr:uid="{00000000-0005-0000-0000-00006BC40000}"/>
    <cellStyle name="Normal 11 5 3 3 2 5 2 2 2" xfId="50748" xr:uid="{00000000-0005-0000-0000-00006CC40000}"/>
    <cellStyle name="Normal 11 5 3 3 2 5 2 3" xfId="50749" xr:uid="{00000000-0005-0000-0000-00006DC40000}"/>
    <cellStyle name="Normal 11 5 3 3 2 5 3" xfId="50750" xr:uid="{00000000-0005-0000-0000-00006EC40000}"/>
    <cellStyle name="Normal 11 5 3 3 2 5 3 2" xfId="50751" xr:uid="{00000000-0005-0000-0000-00006FC40000}"/>
    <cellStyle name="Normal 11 5 3 3 2 5 4" xfId="50752" xr:uid="{00000000-0005-0000-0000-000070C40000}"/>
    <cellStyle name="Normal 11 5 3 3 2 6" xfId="50753" xr:uid="{00000000-0005-0000-0000-000071C40000}"/>
    <cellStyle name="Normal 11 5 3 3 2 6 2" xfId="50754" xr:uid="{00000000-0005-0000-0000-000072C40000}"/>
    <cellStyle name="Normal 11 5 3 3 2 6 2 2" xfId="50755" xr:uid="{00000000-0005-0000-0000-000073C40000}"/>
    <cellStyle name="Normal 11 5 3 3 2 6 2 2 2" xfId="50756" xr:uid="{00000000-0005-0000-0000-000074C40000}"/>
    <cellStyle name="Normal 11 5 3 3 2 6 2 3" xfId="50757" xr:uid="{00000000-0005-0000-0000-000075C40000}"/>
    <cellStyle name="Normal 11 5 3 3 2 6 3" xfId="50758" xr:uid="{00000000-0005-0000-0000-000076C40000}"/>
    <cellStyle name="Normal 11 5 3 3 2 6 3 2" xfId="50759" xr:uid="{00000000-0005-0000-0000-000077C40000}"/>
    <cellStyle name="Normal 11 5 3 3 2 6 4" xfId="50760" xr:uid="{00000000-0005-0000-0000-000078C40000}"/>
    <cellStyle name="Normal 11 5 3 3 2 7" xfId="50761" xr:uid="{00000000-0005-0000-0000-000079C40000}"/>
    <cellStyle name="Normal 11 5 3 3 2 7 2" xfId="50762" xr:uid="{00000000-0005-0000-0000-00007AC40000}"/>
    <cellStyle name="Normal 11 5 3 3 2 7 2 2" xfId="50763" xr:uid="{00000000-0005-0000-0000-00007BC40000}"/>
    <cellStyle name="Normal 11 5 3 3 2 7 2 2 2" xfId="50764" xr:uid="{00000000-0005-0000-0000-00007CC40000}"/>
    <cellStyle name="Normal 11 5 3 3 2 7 2 3" xfId="50765" xr:uid="{00000000-0005-0000-0000-00007DC40000}"/>
    <cellStyle name="Normal 11 5 3 3 2 7 3" xfId="50766" xr:uid="{00000000-0005-0000-0000-00007EC40000}"/>
    <cellStyle name="Normal 11 5 3 3 2 7 3 2" xfId="50767" xr:uid="{00000000-0005-0000-0000-00007FC40000}"/>
    <cellStyle name="Normal 11 5 3 3 2 7 4" xfId="50768" xr:uid="{00000000-0005-0000-0000-000080C40000}"/>
    <cellStyle name="Normal 11 5 3 3 2 8" xfId="50769" xr:uid="{00000000-0005-0000-0000-000081C40000}"/>
    <cellStyle name="Normal 11 5 3 3 2 8 2" xfId="50770" xr:uid="{00000000-0005-0000-0000-000082C40000}"/>
    <cellStyle name="Normal 11 5 3 3 2 8 2 2" xfId="50771" xr:uid="{00000000-0005-0000-0000-000083C40000}"/>
    <cellStyle name="Normal 11 5 3 3 2 8 3" xfId="50772" xr:uid="{00000000-0005-0000-0000-000084C40000}"/>
    <cellStyle name="Normal 11 5 3 3 2 9" xfId="50773" xr:uid="{00000000-0005-0000-0000-000085C40000}"/>
    <cellStyle name="Normal 11 5 3 3 2 9 2" xfId="50774" xr:uid="{00000000-0005-0000-0000-000086C40000}"/>
    <cellStyle name="Normal 11 5 3 3 3" xfId="1508" xr:uid="{00000000-0005-0000-0000-000087C40000}"/>
    <cellStyle name="Normal 11 5 3 3 3 2" xfId="50776" xr:uid="{00000000-0005-0000-0000-000088C40000}"/>
    <cellStyle name="Normal 11 5 3 3 3 2 2" xfId="50777" xr:uid="{00000000-0005-0000-0000-000089C40000}"/>
    <cellStyle name="Normal 11 5 3 3 3 2 2 2" xfId="50778" xr:uid="{00000000-0005-0000-0000-00008AC40000}"/>
    <cellStyle name="Normal 11 5 3 3 3 2 2 2 2" xfId="50779" xr:uid="{00000000-0005-0000-0000-00008BC40000}"/>
    <cellStyle name="Normal 11 5 3 3 3 2 2 3" xfId="50780" xr:uid="{00000000-0005-0000-0000-00008CC40000}"/>
    <cellStyle name="Normal 11 5 3 3 3 2 3" xfId="50781" xr:uid="{00000000-0005-0000-0000-00008DC40000}"/>
    <cellStyle name="Normal 11 5 3 3 3 2 3 2" xfId="50782" xr:uid="{00000000-0005-0000-0000-00008EC40000}"/>
    <cellStyle name="Normal 11 5 3 3 3 2 4" xfId="50783" xr:uid="{00000000-0005-0000-0000-00008FC40000}"/>
    <cellStyle name="Normal 11 5 3 3 3 3" xfId="50784" xr:uid="{00000000-0005-0000-0000-000090C40000}"/>
    <cellStyle name="Normal 11 5 3 3 3 3 2" xfId="50785" xr:uid="{00000000-0005-0000-0000-000091C40000}"/>
    <cellStyle name="Normal 11 5 3 3 3 3 2 2" xfId="50786" xr:uid="{00000000-0005-0000-0000-000092C40000}"/>
    <cellStyle name="Normal 11 5 3 3 3 3 2 2 2" xfId="50787" xr:uid="{00000000-0005-0000-0000-000093C40000}"/>
    <cellStyle name="Normal 11 5 3 3 3 3 2 3" xfId="50788" xr:uid="{00000000-0005-0000-0000-000094C40000}"/>
    <cellStyle name="Normal 11 5 3 3 3 3 3" xfId="50789" xr:uid="{00000000-0005-0000-0000-000095C40000}"/>
    <cellStyle name="Normal 11 5 3 3 3 3 3 2" xfId="50790" xr:uid="{00000000-0005-0000-0000-000096C40000}"/>
    <cellStyle name="Normal 11 5 3 3 3 3 4" xfId="50791" xr:uid="{00000000-0005-0000-0000-000097C40000}"/>
    <cellStyle name="Normal 11 5 3 3 3 4" xfId="50792" xr:uid="{00000000-0005-0000-0000-000098C40000}"/>
    <cellStyle name="Normal 11 5 3 3 3 4 2" xfId="50793" xr:uid="{00000000-0005-0000-0000-000099C40000}"/>
    <cellStyle name="Normal 11 5 3 3 3 4 2 2" xfId="50794" xr:uid="{00000000-0005-0000-0000-00009AC40000}"/>
    <cellStyle name="Normal 11 5 3 3 3 4 3" xfId="50795" xr:uid="{00000000-0005-0000-0000-00009BC40000}"/>
    <cellStyle name="Normal 11 5 3 3 3 5" xfId="50796" xr:uid="{00000000-0005-0000-0000-00009CC40000}"/>
    <cellStyle name="Normal 11 5 3 3 3 5 2" xfId="50797" xr:uid="{00000000-0005-0000-0000-00009DC40000}"/>
    <cellStyle name="Normal 11 5 3 3 3 6" xfId="50798" xr:uid="{00000000-0005-0000-0000-00009EC40000}"/>
    <cellStyle name="Normal 11 5 3 3 3 7" xfId="50775" xr:uid="{00000000-0005-0000-0000-00009FC40000}"/>
    <cellStyle name="Normal 11 5 3 3 4" xfId="50799" xr:uid="{00000000-0005-0000-0000-0000A0C40000}"/>
    <cellStyle name="Normal 11 5 3 3 4 2" xfId="50800" xr:uid="{00000000-0005-0000-0000-0000A1C40000}"/>
    <cellStyle name="Normal 11 5 3 3 4 2 2" xfId="50801" xr:uid="{00000000-0005-0000-0000-0000A2C40000}"/>
    <cellStyle name="Normal 11 5 3 3 4 2 2 2" xfId="50802" xr:uid="{00000000-0005-0000-0000-0000A3C40000}"/>
    <cellStyle name="Normal 11 5 3 3 4 2 2 2 2" xfId="50803" xr:uid="{00000000-0005-0000-0000-0000A4C40000}"/>
    <cellStyle name="Normal 11 5 3 3 4 2 2 3" xfId="50804" xr:uid="{00000000-0005-0000-0000-0000A5C40000}"/>
    <cellStyle name="Normal 11 5 3 3 4 2 3" xfId="50805" xr:uid="{00000000-0005-0000-0000-0000A6C40000}"/>
    <cellStyle name="Normal 11 5 3 3 4 2 3 2" xfId="50806" xr:uid="{00000000-0005-0000-0000-0000A7C40000}"/>
    <cellStyle name="Normal 11 5 3 3 4 2 4" xfId="50807" xr:uid="{00000000-0005-0000-0000-0000A8C40000}"/>
    <cellStyle name="Normal 11 5 3 3 4 3" xfId="50808" xr:uid="{00000000-0005-0000-0000-0000A9C40000}"/>
    <cellStyle name="Normal 11 5 3 3 4 3 2" xfId="50809" xr:uid="{00000000-0005-0000-0000-0000AAC40000}"/>
    <cellStyle name="Normal 11 5 3 3 4 3 2 2" xfId="50810" xr:uid="{00000000-0005-0000-0000-0000ABC40000}"/>
    <cellStyle name="Normal 11 5 3 3 4 3 3" xfId="50811" xr:uid="{00000000-0005-0000-0000-0000ACC40000}"/>
    <cellStyle name="Normal 11 5 3 3 4 4" xfId="50812" xr:uid="{00000000-0005-0000-0000-0000ADC40000}"/>
    <cellStyle name="Normal 11 5 3 3 4 4 2" xfId="50813" xr:uid="{00000000-0005-0000-0000-0000AEC40000}"/>
    <cellStyle name="Normal 11 5 3 3 4 5" xfId="50814" xr:uid="{00000000-0005-0000-0000-0000AFC40000}"/>
    <cellStyle name="Normal 11 5 3 3 5" xfId="50815" xr:uid="{00000000-0005-0000-0000-0000B0C40000}"/>
    <cellStyle name="Normal 11 5 3 3 5 2" xfId="50816" xr:uid="{00000000-0005-0000-0000-0000B1C40000}"/>
    <cellStyle name="Normal 11 5 3 3 5 2 2" xfId="50817" xr:uid="{00000000-0005-0000-0000-0000B2C40000}"/>
    <cellStyle name="Normal 11 5 3 3 5 2 2 2" xfId="50818" xr:uid="{00000000-0005-0000-0000-0000B3C40000}"/>
    <cellStyle name="Normal 11 5 3 3 5 2 2 2 2" xfId="50819" xr:uid="{00000000-0005-0000-0000-0000B4C40000}"/>
    <cellStyle name="Normal 11 5 3 3 5 2 2 3" xfId="50820" xr:uid="{00000000-0005-0000-0000-0000B5C40000}"/>
    <cellStyle name="Normal 11 5 3 3 5 2 3" xfId="50821" xr:uid="{00000000-0005-0000-0000-0000B6C40000}"/>
    <cellStyle name="Normal 11 5 3 3 5 2 3 2" xfId="50822" xr:uid="{00000000-0005-0000-0000-0000B7C40000}"/>
    <cellStyle name="Normal 11 5 3 3 5 2 4" xfId="50823" xr:uid="{00000000-0005-0000-0000-0000B8C40000}"/>
    <cellStyle name="Normal 11 5 3 3 5 3" xfId="50824" xr:uid="{00000000-0005-0000-0000-0000B9C40000}"/>
    <cellStyle name="Normal 11 5 3 3 5 3 2" xfId="50825" xr:uid="{00000000-0005-0000-0000-0000BAC40000}"/>
    <cellStyle name="Normal 11 5 3 3 5 3 2 2" xfId="50826" xr:uid="{00000000-0005-0000-0000-0000BBC40000}"/>
    <cellStyle name="Normal 11 5 3 3 5 3 3" xfId="50827" xr:uid="{00000000-0005-0000-0000-0000BCC40000}"/>
    <cellStyle name="Normal 11 5 3 3 5 4" xfId="50828" xr:uid="{00000000-0005-0000-0000-0000BDC40000}"/>
    <cellStyle name="Normal 11 5 3 3 5 4 2" xfId="50829" xr:uid="{00000000-0005-0000-0000-0000BEC40000}"/>
    <cellStyle name="Normal 11 5 3 3 5 5" xfId="50830" xr:uid="{00000000-0005-0000-0000-0000BFC40000}"/>
    <cellStyle name="Normal 11 5 3 3 6" xfId="50831" xr:uid="{00000000-0005-0000-0000-0000C0C40000}"/>
    <cellStyle name="Normal 11 5 3 3 6 2" xfId="50832" xr:uid="{00000000-0005-0000-0000-0000C1C40000}"/>
    <cellStyle name="Normal 11 5 3 3 6 2 2" xfId="50833" xr:uid="{00000000-0005-0000-0000-0000C2C40000}"/>
    <cellStyle name="Normal 11 5 3 3 6 2 2 2" xfId="50834" xr:uid="{00000000-0005-0000-0000-0000C3C40000}"/>
    <cellStyle name="Normal 11 5 3 3 6 2 3" xfId="50835" xr:uid="{00000000-0005-0000-0000-0000C4C40000}"/>
    <cellStyle name="Normal 11 5 3 3 6 3" xfId="50836" xr:uid="{00000000-0005-0000-0000-0000C5C40000}"/>
    <cellStyle name="Normal 11 5 3 3 6 3 2" xfId="50837" xr:uid="{00000000-0005-0000-0000-0000C6C40000}"/>
    <cellStyle name="Normal 11 5 3 3 6 4" xfId="50838" xr:uid="{00000000-0005-0000-0000-0000C7C40000}"/>
    <cellStyle name="Normal 11 5 3 3 7" xfId="50839" xr:uid="{00000000-0005-0000-0000-0000C8C40000}"/>
    <cellStyle name="Normal 11 5 3 3 7 2" xfId="50840" xr:uid="{00000000-0005-0000-0000-0000C9C40000}"/>
    <cellStyle name="Normal 11 5 3 3 7 2 2" xfId="50841" xr:uid="{00000000-0005-0000-0000-0000CAC40000}"/>
    <cellStyle name="Normal 11 5 3 3 7 2 2 2" xfId="50842" xr:uid="{00000000-0005-0000-0000-0000CBC40000}"/>
    <cellStyle name="Normal 11 5 3 3 7 2 3" xfId="50843" xr:uid="{00000000-0005-0000-0000-0000CCC40000}"/>
    <cellStyle name="Normal 11 5 3 3 7 3" xfId="50844" xr:uid="{00000000-0005-0000-0000-0000CDC40000}"/>
    <cellStyle name="Normal 11 5 3 3 7 3 2" xfId="50845" xr:uid="{00000000-0005-0000-0000-0000CEC40000}"/>
    <cellStyle name="Normal 11 5 3 3 7 4" xfId="50846" xr:uid="{00000000-0005-0000-0000-0000CFC40000}"/>
    <cellStyle name="Normal 11 5 3 3 8" xfId="50847" xr:uid="{00000000-0005-0000-0000-0000D0C40000}"/>
    <cellStyle name="Normal 11 5 3 3 8 2" xfId="50848" xr:uid="{00000000-0005-0000-0000-0000D1C40000}"/>
    <cellStyle name="Normal 11 5 3 3 8 2 2" xfId="50849" xr:uid="{00000000-0005-0000-0000-0000D2C40000}"/>
    <cellStyle name="Normal 11 5 3 3 8 2 2 2" xfId="50850" xr:uid="{00000000-0005-0000-0000-0000D3C40000}"/>
    <cellStyle name="Normal 11 5 3 3 8 2 3" xfId="50851" xr:uid="{00000000-0005-0000-0000-0000D4C40000}"/>
    <cellStyle name="Normal 11 5 3 3 8 3" xfId="50852" xr:uid="{00000000-0005-0000-0000-0000D5C40000}"/>
    <cellStyle name="Normal 11 5 3 3 8 3 2" xfId="50853" xr:uid="{00000000-0005-0000-0000-0000D6C40000}"/>
    <cellStyle name="Normal 11 5 3 3 8 4" xfId="50854" xr:uid="{00000000-0005-0000-0000-0000D7C40000}"/>
    <cellStyle name="Normal 11 5 3 3 9" xfId="50855" xr:uid="{00000000-0005-0000-0000-0000D8C40000}"/>
    <cellStyle name="Normal 11 5 3 3 9 2" xfId="50856" xr:uid="{00000000-0005-0000-0000-0000D9C40000}"/>
    <cellStyle name="Normal 11 5 3 3 9 2 2" xfId="50857" xr:uid="{00000000-0005-0000-0000-0000DAC40000}"/>
    <cellStyle name="Normal 11 5 3 3 9 3" xfId="50858" xr:uid="{00000000-0005-0000-0000-0000DBC40000}"/>
    <cellStyle name="Normal 11 5 3 4" xfId="1104" xr:uid="{00000000-0005-0000-0000-0000DCC40000}"/>
    <cellStyle name="Normal 11 5 3 4 10" xfId="50860" xr:uid="{00000000-0005-0000-0000-0000DDC40000}"/>
    <cellStyle name="Normal 11 5 3 4 11" xfId="50859" xr:uid="{00000000-0005-0000-0000-0000DEC40000}"/>
    <cellStyle name="Normal 11 5 3 4 2" xfId="1833" xr:uid="{00000000-0005-0000-0000-0000DFC40000}"/>
    <cellStyle name="Normal 11 5 3 4 2 2" xfId="50862" xr:uid="{00000000-0005-0000-0000-0000E0C40000}"/>
    <cellStyle name="Normal 11 5 3 4 2 2 2" xfId="50863" xr:uid="{00000000-0005-0000-0000-0000E1C40000}"/>
    <cellStyle name="Normal 11 5 3 4 2 2 2 2" xfId="50864" xr:uid="{00000000-0005-0000-0000-0000E2C40000}"/>
    <cellStyle name="Normal 11 5 3 4 2 2 2 2 2" xfId="50865" xr:uid="{00000000-0005-0000-0000-0000E3C40000}"/>
    <cellStyle name="Normal 11 5 3 4 2 2 2 3" xfId="50866" xr:uid="{00000000-0005-0000-0000-0000E4C40000}"/>
    <cellStyle name="Normal 11 5 3 4 2 2 3" xfId="50867" xr:uid="{00000000-0005-0000-0000-0000E5C40000}"/>
    <cellStyle name="Normal 11 5 3 4 2 2 3 2" xfId="50868" xr:uid="{00000000-0005-0000-0000-0000E6C40000}"/>
    <cellStyle name="Normal 11 5 3 4 2 2 4" xfId="50869" xr:uid="{00000000-0005-0000-0000-0000E7C40000}"/>
    <cellStyle name="Normal 11 5 3 4 2 3" xfId="50870" xr:uid="{00000000-0005-0000-0000-0000E8C40000}"/>
    <cellStyle name="Normal 11 5 3 4 2 3 2" xfId="50871" xr:uid="{00000000-0005-0000-0000-0000E9C40000}"/>
    <cellStyle name="Normal 11 5 3 4 2 3 2 2" xfId="50872" xr:uid="{00000000-0005-0000-0000-0000EAC40000}"/>
    <cellStyle name="Normal 11 5 3 4 2 3 2 2 2" xfId="50873" xr:uid="{00000000-0005-0000-0000-0000EBC40000}"/>
    <cellStyle name="Normal 11 5 3 4 2 3 2 3" xfId="50874" xr:uid="{00000000-0005-0000-0000-0000ECC40000}"/>
    <cellStyle name="Normal 11 5 3 4 2 3 3" xfId="50875" xr:uid="{00000000-0005-0000-0000-0000EDC40000}"/>
    <cellStyle name="Normal 11 5 3 4 2 3 3 2" xfId="50876" xr:uid="{00000000-0005-0000-0000-0000EEC40000}"/>
    <cellStyle name="Normal 11 5 3 4 2 3 4" xfId="50877" xr:uid="{00000000-0005-0000-0000-0000EFC40000}"/>
    <cellStyle name="Normal 11 5 3 4 2 4" xfId="50878" xr:uid="{00000000-0005-0000-0000-0000F0C40000}"/>
    <cellStyle name="Normal 11 5 3 4 2 4 2" xfId="50879" xr:uid="{00000000-0005-0000-0000-0000F1C40000}"/>
    <cellStyle name="Normal 11 5 3 4 2 4 2 2" xfId="50880" xr:uid="{00000000-0005-0000-0000-0000F2C40000}"/>
    <cellStyle name="Normal 11 5 3 4 2 4 3" xfId="50881" xr:uid="{00000000-0005-0000-0000-0000F3C40000}"/>
    <cellStyle name="Normal 11 5 3 4 2 5" xfId="50882" xr:uid="{00000000-0005-0000-0000-0000F4C40000}"/>
    <cellStyle name="Normal 11 5 3 4 2 5 2" xfId="50883" xr:uid="{00000000-0005-0000-0000-0000F5C40000}"/>
    <cellStyle name="Normal 11 5 3 4 2 6" xfId="50884" xr:uid="{00000000-0005-0000-0000-0000F6C40000}"/>
    <cellStyle name="Normal 11 5 3 4 2 7" xfId="50861" xr:uid="{00000000-0005-0000-0000-0000F7C40000}"/>
    <cellStyle name="Normal 11 5 3 4 3" xfId="50885" xr:uid="{00000000-0005-0000-0000-0000F8C40000}"/>
    <cellStyle name="Normal 11 5 3 4 3 2" xfId="50886" xr:uid="{00000000-0005-0000-0000-0000F9C40000}"/>
    <cellStyle name="Normal 11 5 3 4 3 2 2" xfId="50887" xr:uid="{00000000-0005-0000-0000-0000FAC40000}"/>
    <cellStyle name="Normal 11 5 3 4 3 2 2 2" xfId="50888" xr:uid="{00000000-0005-0000-0000-0000FBC40000}"/>
    <cellStyle name="Normal 11 5 3 4 3 2 2 2 2" xfId="50889" xr:uid="{00000000-0005-0000-0000-0000FCC40000}"/>
    <cellStyle name="Normal 11 5 3 4 3 2 2 3" xfId="50890" xr:uid="{00000000-0005-0000-0000-0000FDC40000}"/>
    <cellStyle name="Normal 11 5 3 4 3 2 3" xfId="50891" xr:uid="{00000000-0005-0000-0000-0000FEC40000}"/>
    <cellStyle name="Normal 11 5 3 4 3 2 3 2" xfId="50892" xr:uid="{00000000-0005-0000-0000-0000FFC40000}"/>
    <cellStyle name="Normal 11 5 3 4 3 2 4" xfId="50893" xr:uid="{00000000-0005-0000-0000-000000C50000}"/>
    <cellStyle name="Normal 11 5 3 4 3 3" xfId="50894" xr:uid="{00000000-0005-0000-0000-000001C50000}"/>
    <cellStyle name="Normal 11 5 3 4 3 3 2" xfId="50895" xr:uid="{00000000-0005-0000-0000-000002C50000}"/>
    <cellStyle name="Normal 11 5 3 4 3 3 2 2" xfId="50896" xr:uid="{00000000-0005-0000-0000-000003C50000}"/>
    <cellStyle name="Normal 11 5 3 4 3 3 3" xfId="50897" xr:uid="{00000000-0005-0000-0000-000004C50000}"/>
    <cellStyle name="Normal 11 5 3 4 3 4" xfId="50898" xr:uid="{00000000-0005-0000-0000-000005C50000}"/>
    <cellStyle name="Normal 11 5 3 4 3 4 2" xfId="50899" xr:uid="{00000000-0005-0000-0000-000006C50000}"/>
    <cellStyle name="Normal 11 5 3 4 3 5" xfId="50900" xr:uid="{00000000-0005-0000-0000-000007C50000}"/>
    <cellStyle name="Normal 11 5 3 4 4" xfId="50901" xr:uid="{00000000-0005-0000-0000-000008C50000}"/>
    <cellStyle name="Normal 11 5 3 4 4 2" xfId="50902" xr:uid="{00000000-0005-0000-0000-000009C50000}"/>
    <cellStyle name="Normal 11 5 3 4 4 2 2" xfId="50903" xr:uid="{00000000-0005-0000-0000-00000AC50000}"/>
    <cellStyle name="Normal 11 5 3 4 4 2 2 2" xfId="50904" xr:uid="{00000000-0005-0000-0000-00000BC50000}"/>
    <cellStyle name="Normal 11 5 3 4 4 2 2 2 2" xfId="50905" xr:uid="{00000000-0005-0000-0000-00000CC50000}"/>
    <cellStyle name="Normal 11 5 3 4 4 2 2 3" xfId="50906" xr:uid="{00000000-0005-0000-0000-00000DC50000}"/>
    <cellStyle name="Normal 11 5 3 4 4 2 3" xfId="50907" xr:uid="{00000000-0005-0000-0000-00000EC50000}"/>
    <cellStyle name="Normal 11 5 3 4 4 2 3 2" xfId="50908" xr:uid="{00000000-0005-0000-0000-00000FC50000}"/>
    <cellStyle name="Normal 11 5 3 4 4 2 4" xfId="50909" xr:uid="{00000000-0005-0000-0000-000010C50000}"/>
    <cellStyle name="Normal 11 5 3 4 4 3" xfId="50910" xr:uid="{00000000-0005-0000-0000-000011C50000}"/>
    <cellStyle name="Normal 11 5 3 4 4 3 2" xfId="50911" xr:uid="{00000000-0005-0000-0000-000012C50000}"/>
    <cellStyle name="Normal 11 5 3 4 4 3 2 2" xfId="50912" xr:uid="{00000000-0005-0000-0000-000013C50000}"/>
    <cellStyle name="Normal 11 5 3 4 4 3 3" xfId="50913" xr:uid="{00000000-0005-0000-0000-000014C50000}"/>
    <cellStyle name="Normal 11 5 3 4 4 4" xfId="50914" xr:uid="{00000000-0005-0000-0000-000015C50000}"/>
    <cellStyle name="Normal 11 5 3 4 4 4 2" xfId="50915" xr:uid="{00000000-0005-0000-0000-000016C50000}"/>
    <cellStyle name="Normal 11 5 3 4 4 5" xfId="50916" xr:uid="{00000000-0005-0000-0000-000017C50000}"/>
    <cellStyle name="Normal 11 5 3 4 5" xfId="50917" xr:uid="{00000000-0005-0000-0000-000018C50000}"/>
    <cellStyle name="Normal 11 5 3 4 5 2" xfId="50918" xr:uid="{00000000-0005-0000-0000-000019C50000}"/>
    <cellStyle name="Normal 11 5 3 4 5 2 2" xfId="50919" xr:uid="{00000000-0005-0000-0000-00001AC50000}"/>
    <cellStyle name="Normal 11 5 3 4 5 2 2 2" xfId="50920" xr:uid="{00000000-0005-0000-0000-00001BC50000}"/>
    <cellStyle name="Normal 11 5 3 4 5 2 3" xfId="50921" xr:uid="{00000000-0005-0000-0000-00001CC50000}"/>
    <cellStyle name="Normal 11 5 3 4 5 3" xfId="50922" xr:uid="{00000000-0005-0000-0000-00001DC50000}"/>
    <cellStyle name="Normal 11 5 3 4 5 3 2" xfId="50923" xr:uid="{00000000-0005-0000-0000-00001EC50000}"/>
    <cellStyle name="Normal 11 5 3 4 5 4" xfId="50924" xr:uid="{00000000-0005-0000-0000-00001FC50000}"/>
    <cellStyle name="Normal 11 5 3 4 6" xfId="50925" xr:uid="{00000000-0005-0000-0000-000020C50000}"/>
    <cellStyle name="Normal 11 5 3 4 6 2" xfId="50926" xr:uid="{00000000-0005-0000-0000-000021C50000}"/>
    <cellStyle name="Normal 11 5 3 4 6 2 2" xfId="50927" xr:uid="{00000000-0005-0000-0000-000022C50000}"/>
    <cellStyle name="Normal 11 5 3 4 6 2 2 2" xfId="50928" xr:uid="{00000000-0005-0000-0000-000023C50000}"/>
    <cellStyle name="Normal 11 5 3 4 6 2 3" xfId="50929" xr:uid="{00000000-0005-0000-0000-000024C50000}"/>
    <cellStyle name="Normal 11 5 3 4 6 3" xfId="50930" xr:uid="{00000000-0005-0000-0000-000025C50000}"/>
    <cellStyle name="Normal 11 5 3 4 6 3 2" xfId="50931" xr:uid="{00000000-0005-0000-0000-000026C50000}"/>
    <cellStyle name="Normal 11 5 3 4 6 4" xfId="50932" xr:uid="{00000000-0005-0000-0000-000027C50000}"/>
    <cellStyle name="Normal 11 5 3 4 7" xfId="50933" xr:uid="{00000000-0005-0000-0000-000028C50000}"/>
    <cellStyle name="Normal 11 5 3 4 7 2" xfId="50934" xr:uid="{00000000-0005-0000-0000-000029C50000}"/>
    <cellStyle name="Normal 11 5 3 4 7 2 2" xfId="50935" xr:uid="{00000000-0005-0000-0000-00002AC50000}"/>
    <cellStyle name="Normal 11 5 3 4 7 2 2 2" xfId="50936" xr:uid="{00000000-0005-0000-0000-00002BC50000}"/>
    <cellStyle name="Normal 11 5 3 4 7 2 3" xfId="50937" xr:uid="{00000000-0005-0000-0000-00002CC50000}"/>
    <cellStyle name="Normal 11 5 3 4 7 3" xfId="50938" xr:uid="{00000000-0005-0000-0000-00002DC50000}"/>
    <cellStyle name="Normal 11 5 3 4 7 3 2" xfId="50939" xr:uid="{00000000-0005-0000-0000-00002EC50000}"/>
    <cellStyle name="Normal 11 5 3 4 7 4" xfId="50940" xr:uid="{00000000-0005-0000-0000-00002FC50000}"/>
    <cellStyle name="Normal 11 5 3 4 8" xfId="50941" xr:uid="{00000000-0005-0000-0000-000030C50000}"/>
    <cellStyle name="Normal 11 5 3 4 8 2" xfId="50942" xr:uid="{00000000-0005-0000-0000-000031C50000}"/>
    <cellStyle name="Normal 11 5 3 4 8 2 2" xfId="50943" xr:uid="{00000000-0005-0000-0000-000032C50000}"/>
    <cellStyle name="Normal 11 5 3 4 8 3" xfId="50944" xr:uid="{00000000-0005-0000-0000-000033C50000}"/>
    <cellStyle name="Normal 11 5 3 4 9" xfId="50945" xr:uid="{00000000-0005-0000-0000-000034C50000}"/>
    <cellStyle name="Normal 11 5 3 4 9 2" xfId="50946" xr:uid="{00000000-0005-0000-0000-000035C50000}"/>
    <cellStyle name="Normal 11 5 3 5" xfId="1506" xr:uid="{00000000-0005-0000-0000-000036C50000}"/>
    <cellStyle name="Normal 11 5 3 5 2" xfId="50948" xr:uid="{00000000-0005-0000-0000-000037C50000}"/>
    <cellStyle name="Normal 11 5 3 5 2 2" xfId="50949" xr:uid="{00000000-0005-0000-0000-000038C50000}"/>
    <cellStyle name="Normal 11 5 3 5 2 2 2" xfId="50950" xr:uid="{00000000-0005-0000-0000-000039C50000}"/>
    <cellStyle name="Normal 11 5 3 5 2 2 2 2" xfId="50951" xr:uid="{00000000-0005-0000-0000-00003AC50000}"/>
    <cellStyle name="Normal 11 5 3 5 2 2 3" xfId="50952" xr:uid="{00000000-0005-0000-0000-00003BC50000}"/>
    <cellStyle name="Normal 11 5 3 5 2 3" xfId="50953" xr:uid="{00000000-0005-0000-0000-00003CC50000}"/>
    <cellStyle name="Normal 11 5 3 5 2 3 2" xfId="50954" xr:uid="{00000000-0005-0000-0000-00003DC50000}"/>
    <cellStyle name="Normal 11 5 3 5 2 4" xfId="50955" xr:uid="{00000000-0005-0000-0000-00003EC50000}"/>
    <cellStyle name="Normal 11 5 3 5 3" xfId="50956" xr:uid="{00000000-0005-0000-0000-00003FC50000}"/>
    <cellStyle name="Normal 11 5 3 5 3 2" xfId="50957" xr:uid="{00000000-0005-0000-0000-000040C50000}"/>
    <cellStyle name="Normal 11 5 3 5 3 2 2" xfId="50958" xr:uid="{00000000-0005-0000-0000-000041C50000}"/>
    <cellStyle name="Normal 11 5 3 5 3 2 2 2" xfId="50959" xr:uid="{00000000-0005-0000-0000-000042C50000}"/>
    <cellStyle name="Normal 11 5 3 5 3 2 3" xfId="50960" xr:uid="{00000000-0005-0000-0000-000043C50000}"/>
    <cellStyle name="Normal 11 5 3 5 3 3" xfId="50961" xr:uid="{00000000-0005-0000-0000-000044C50000}"/>
    <cellStyle name="Normal 11 5 3 5 3 3 2" xfId="50962" xr:uid="{00000000-0005-0000-0000-000045C50000}"/>
    <cellStyle name="Normal 11 5 3 5 3 4" xfId="50963" xr:uid="{00000000-0005-0000-0000-000046C50000}"/>
    <cellStyle name="Normal 11 5 3 5 4" xfId="50964" xr:uid="{00000000-0005-0000-0000-000047C50000}"/>
    <cellStyle name="Normal 11 5 3 5 4 2" xfId="50965" xr:uid="{00000000-0005-0000-0000-000048C50000}"/>
    <cellStyle name="Normal 11 5 3 5 4 2 2" xfId="50966" xr:uid="{00000000-0005-0000-0000-000049C50000}"/>
    <cellStyle name="Normal 11 5 3 5 4 3" xfId="50967" xr:uid="{00000000-0005-0000-0000-00004AC50000}"/>
    <cellStyle name="Normal 11 5 3 5 5" xfId="50968" xr:uid="{00000000-0005-0000-0000-00004BC50000}"/>
    <cellStyle name="Normal 11 5 3 5 5 2" xfId="50969" xr:uid="{00000000-0005-0000-0000-00004CC50000}"/>
    <cellStyle name="Normal 11 5 3 5 6" xfId="50970" xr:uid="{00000000-0005-0000-0000-00004DC50000}"/>
    <cellStyle name="Normal 11 5 3 5 7" xfId="50947" xr:uid="{00000000-0005-0000-0000-00004EC50000}"/>
    <cellStyle name="Normal 11 5 3 6" xfId="50971" xr:uid="{00000000-0005-0000-0000-00004FC50000}"/>
    <cellStyle name="Normal 11 5 3 6 2" xfId="50972" xr:uid="{00000000-0005-0000-0000-000050C50000}"/>
    <cellStyle name="Normal 11 5 3 6 2 2" xfId="50973" xr:uid="{00000000-0005-0000-0000-000051C50000}"/>
    <cellStyle name="Normal 11 5 3 6 2 2 2" xfId="50974" xr:uid="{00000000-0005-0000-0000-000052C50000}"/>
    <cellStyle name="Normal 11 5 3 6 2 2 2 2" xfId="50975" xr:uid="{00000000-0005-0000-0000-000053C50000}"/>
    <cellStyle name="Normal 11 5 3 6 2 2 3" xfId="50976" xr:uid="{00000000-0005-0000-0000-000054C50000}"/>
    <cellStyle name="Normal 11 5 3 6 2 3" xfId="50977" xr:uid="{00000000-0005-0000-0000-000055C50000}"/>
    <cellStyle name="Normal 11 5 3 6 2 3 2" xfId="50978" xr:uid="{00000000-0005-0000-0000-000056C50000}"/>
    <cellStyle name="Normal 11 5 3 6 2 4" xfId="50979" xr:uid="{00000000-0005-0000-0000-000057C50000}"/>
    <cellStyle name="Normal 11 5 3 6 3" xfId="50980" xr:uid="{00000000-0005-0000-0000-000058C50000}"/>
    <cellStyle name="Normal 11 5 3 6 3 2" xfId="50981" xr:uid="{00000000-0005-0000-0000-000059C50000}"/>
    <cellStyle name="Normal 11 5 3 6 3 2 2" xfId="50982" xr:uid="{00000000-0005-0000-0000-00005AC50000}"/>
    <cellStyle name="Normal 11 5 3 6 3 3" xfId="50983" xr:uid="{00000000-0005-0000-0000-00005BC50000}"/>
    <cellStyle name="Normal 11 5 3 6 4" xfId="50984" xr:uid="{00000000-0005-0000-0000-00005CC50000}"/>
    <cellStyle name="Normal 11 5 3 6 4 2" xfId="50985" xr:uid="{00000000-0005-0000-0000-00005DC50000}"/>
    <cellStyle name="Normal 11 5 3 6 5" xfId="50986" xr:uid="{00000000-0005-0000-0000-00005EC50000}"/>
    <cellStyle name="Normal 11 5 3 7" xfId="50987" xr:uid="{00000000-0005-0000-0000-00005FC50000}"/>
    <cellStyle name="Normal 11 5 3 7 2" xfId="50988" xr:uid="{00000000-0005-0000-0000-000060C50000}"/>
    <cellStyle name="Normal 11 5 3 7 2 2" xfId="50989" xr:uid="{00000000-0005-0000-0000-000061C50000}"/>
    <cellStyle name="Normal 11 5 3 7 2 2 2" xfId="50990" xr:uid="{00000000-0005-0000-0000-000062C50000}"/>
    <cellStyle name="Normal 11 5 3 7 2 2 2 2" xfId="50991" xr:uid="{00000000-0005-0000-0000-000063C50000}"/>
    <cellStyle name="Normal 11 5 3 7 2 2 3" xfId="50992" xr:uid="{00000000-0005-0000-0000-000064C50000}"/>
    <cellStyle name="Normal 11 5 3 7 2 3" xfId="50993" xr:uid="{00000000-0005-0000-0000-000065C50000}"/>
    <cellStyle name="Normal 11 5 3 7 2 3 2" xfId="50994" xr:uid="{00000000-0005-0000-0000-000066C50000}"/>
    <cellStyle name="Normal 11 5 3 7 2 4" xfId="50995" xr:uid="{00000000-0005-0000-0000-000067C50000}"/>
    <cellStyle name="Normal 11 5 3 7 3" xfId="50996" xr:uid="{00000000-0005-0000-0000-000068C50000}"/>
    <cellStyle name="Normal 11 5 3 7 3 2" xfId="50997" xr:uid="{00000000-0005-0000-0000-000069C50000}"/>
    <cellStyle name="Normal 11 5 3 7 3 2 2" xfId="50998" xr:uid="{00000000-0005-0000-0000-00006AC50000}"/>
    <cellStyle name="Normal 11 5 3 7 3 3" xfId="50999" xr:uid="{00000000-0005-0000-0000-00006BC50000}"/>
    <cellStyle name="Normal 11 5 3 7 4" xfId="51000" xr:uid="{00000000-0005-0000-0000-00006CC50000}"/>
    <cellStyle name="Normal 11 5 3 7 4 2" xfId="51001" xr:uid="{00000000-0005-0000-0000-00006DC50000}"/>
    <cellStyle name="Normal 11 5 3 7 5" xfId="51002" xr:uid="{00000000-0005-0000-0000-00006EC50000}"/>
    <cellStyle name="Normal 11 5 3 8" xfId="51003" xr:uid="{00000000-0005-0000-0000-00006FC50000}"/>
    <cellStyle name="Normal 11 5 3 8 2" xfId="51004" xr:uid="{00000000-0005-0000-0000-000070C50000}"/>
    <cellStyle name="Normal 11 5 3 8 2 2" xfId="51005" xr:uid="{00000000-0005-0000-0000-000071C50000}"/>
    <cellStyle name="Normal 11 5 3 8 2 2 2" xfId="51006" xr:uid="{00000000-0005-0000-0000-000072C50000}"/>
    <cellStyle name="Normal 11 5 3 8 2 3" xfId="51007" xr:uid="{00000000-0005-0000-0000-000073C50000}"/>
    <cellStyle name="Normal 11 5 3 8 3" xfId="51008" xr:uid="{00000000-0005-0000-0000-000074C50000}"/>
    <cellStyle name="Normal 11 5 3 8 3 2" xfId="51009" xr:uid="{00000000-0005-0000-0000-000075C50000}"/>
    <cellStyle name="Normal 11 5 3 8 4" xfId="51010" xr:uid="{00000000-0005-0000-0000-000076C50000}"/>
    <cellStyle name="Normal 11 5 3 9" xfId="51011" xr:uid="{00000000-0005-0000-0000-000077C50000}"/>
    <cellStyle name="Normal 11 5 3 9 2" xfId="51012" xr:uid="{00000000-0005-0000-0000-000078C50000}"/>
    <cellStyle name="Normal 11 5 3 9 2 2" xfId="51013" xr:uid="{00000000-0005-0000-0000-000079C50000}"/>
    <cellStyle name="Normal 11 5 3 9 2 2 2" xfId="51014" xr:uid="{00000000-0005-0000-0000-00007AC50000}"/>
    <cellStyle name="Normal 11 5 3 9 2 3" xfId="51015" xr:uid="{00000000-0005-0000-0000-00007BC50000}"/>
    <cellStyle name="Normal 11 5 3 9 3" xfId="51016" xr:uid="{00000000-0005-0000-0000-00007CC50000}"/>
    <cellStyle name="Normal 11 5 3 9 3 2" xfId="51017" xr:uid="{00000000-0005-0000-0000-00007DC50000}"/>
    <cellStyle name="Normal 11 5 3 9 4" xfId="51018" xr:uid="{00000000-0005-0000-0000-00007EC50000}"/>
    <cellStyle name="Normal 11 5 4" xfId="665" xr:uid="{00000000-0005-0000-0000-00007FC50000}"/>
    <cellStyle name="Normal 11 5 4 10" xfId="51020" xr:uid="{00000000-0005-0000-0000-000080C50000}"/>
    <cellStyle name="Normal 11 5 4 10 2" xfId="51021" xr:uid="{00000000-0005-0000-0000-000081C50000}"/>
    <cellStyle name="Normal 11 5 4 10 2 2" xfId="51022" xr:uid="{00000000-0005-0000-0000-000082C50000}"/>
    <cellStyle name="Normal 11 5 4 10 3" xfId="51023" xr:uid="{00000000-0005-0000-0000-000083C50000}"/>
    <cellStyle name="Normal 11 5 4 11" xfId="51024" xr:uid="{00000000-0005-0000-0000-000084C50000}"/>
    <cellStyle name="Normal 11 5 4 11 2" xfId="51025" xr:uid="{00000000-0005-0000-0000-000085C50000}"/>
    <cellStyle name="Normal 11 5 4 11 2 2" xfId="51026" xr:uid="{00000000-0005-0000-0000-000086C50000}"/>
    <cellStyle name="Normal 11 5 4 11 3" xfId="51027" xr:uid="{00000000-0005-0000-0000-000087C50000}"/>
    <cellStyle name="Normal 11 5 4 12" xfId="51028" xr:uid="{00000000-0005-0000-0000-000088C50000}"/>
    <cellStyle name="Normal 11 5 4 12 2" xfId="51029" xr:uid="{00000000-0005-0000-0000-000089C50000}"/>
    <cellStyle name="Normal 11 5 4 13" xfId="51030" xr:uid="{00000000-0005-0000-0000-00008AC50000}"/>
    <cellStyle name="Normal 11 5 4 14" xfId="51031" xr:uid="{00000000-0005-0000-0000-00008BC50000}"/>
    <cellStyle name="Normal 11 5 4 15" xfId="51019" xr:uid="{00000000-0005-0000-0000-00008CC50000}"/>
    <cellStyle name="Normal 11 5 4 2" xfId="1107" xr:uid="{00000000-0005-0000-0000-00008DC50000}"/>
    <cellStyle name="Normal 11 5 4 2 10" xfId="51033" xr:uid="{00000000-0005-0000-0000-00008EC50000}"/>
    <cellStyle name="Normal 11 5 4 2 11" xfId="51032" xr:uid="{00000000-0005-0000-0000-00008FC50000}"/>
    <cellStyle name="Normal 11 5 4 2 2" xfId="1836" xr:uid="{00000000-0005-0000-0000-000090C50000}"/>
    <cellStyle name="Normal 11 5 4 2 2 2" xfId="51035" xr:uid="{00000000-0005-0000-0000-000091C50000}"/>
    <cellStyle name="Normal 11 5 4 2 2 2 2" xfId="51036" xr:uid="{00000000-0005-0000-0000-000092C50000}"/>
    <cellStyle name="Normal 11 5 4 2 2 2 2 2" xfId="51037" xr:uid="{00000000-0005-0000-0000-000093C50000}"/>
    <cellStyle name="Normal 11 5 4 2 2 2 2 2 2" xfId="51038" xr:uid="{00000000-0005-0000-0000-000094C50000}"/>
    <cellStyle name="Normal 11 5 4 2 2 2 2 3" xfId="51039" xr:uid="{00000000-0005-0000-0000-000095C50000}"/>
    <cellStyle name="Normal 11 5 4 2 2 2 3" xfId="51040" xr:uid="{00000000-0005-0000-0000-000096C50000}"/>
    <cellStyle name="Normal 11 5 4 2 2 2 3 2" xfId="51041" xr:uid="{00000000-0005-0000-0000-000097C50000}"/>
    <cellStyle name="Normal 11 5 4 2 2 2 4" xfId="51042" xr:uid="{00000000-0005-0000-0000-000098C50000}"/>
    <cellStyle name="Normal 11 5 4 2 2 3" xfId="51043" xr:uid="{00000000-0005-0000-0000-000099C50000}"/>
    <cellStyle name="Normal 11 5 4 2 2 3 2" xfId="51044" xr:uid="{00000000-0005-0000-0000-00009AC50000}"/>
    <cellStyle name="Normal 11 5 4 2 2 3 2 2" xfId="51045" xr:uid="{00000000-0005-0000-0000-00009BC50000}"/>
    <cellStyle name="Normal 11 5 4 2 2 3 2 2 2" xfId="51046" xr:uid="{00000000-0005-0000-0000-00009CC50000}"/>
    <cellStyle name="Normal 11 5 4 2 2 3 2 3" xfId="51047" xr:uid="{00000000-0005-0000-0000-00009DC50000}"/>
    <cellStyle name="Normal 11 5 4 2 2 3 3" xfId="51048" xr:uid="{00000000-0005-0000-0000-00009EC50000}"/>
    <cellStyle name="Normal 11 5 4 2 2 3 3 2" xfId="51049" xr:uid="{00000000-0005-0000-0000-00009FC50000}"/>
    <cellStyle name="Normal 11 5 4 2 2 3 4" xfId="51050" xr:uid="{00000000-0005-0000-0000-0000A0C50000}"/>
    <cellStyle name="Normal 11 5 4 2 2 4" xfId="51051" xr:uid="{00000000-0005-0000-0000-0000A1C50000}"/>
    <cellStyle name="Normal 11 5 4 2 2 4 2" xfId="51052" xr:uid="{00000000-0005-0000-0000-0000A2C50000}"/>
    <cellStyle name="Normal 11 5 4 2 2 4 2 2" xfId="51053" xr:uid="{00000000-0005-0000-0000-0000A3C50000}"/>
    <cellStyle name="Normal 11 5 4 2 2 4 3" xfId="51054" xr:uid="{00000000-0005-0000-0000-0000A4C50000}"/>
    <cellStyle name="Normal 11 5 4 2 2 5" xfId="51055" xr:uid="{00000000-0005-0000-0000-0000A5C50000}"/>
    <cellStyle name="Normal 11 5 4 2 2 5 2" xfId="51056" xr:uid="{00000000-0005-0000-0000-0000A6C50000}"/>
    <cellStyle name="Normal 11 5 4 2 2 6" xfId="51057" xr:uid="{00000000-0005-0000-0000-0000A7C50000}"/>
    <cellStyle name="Normal 11 5 4 2 2 7" xfId="51034" xr:uid="{00000000-0005-0000-0000-0000A8C50000}"/>
    <cellStyle name="Normal 11 5 4 2 3" xfId="51058" xr:uid="{00000000-0005-0000-0000-0000A9C50000}"/>
    <cellStyle name="Normal 11 5 4 2 3 2" xfId="51059" xr:uid="{00000000-0005-0000-0000-0000AAC50000}"/>
    <cellStyle name="Normal 11 5 4 2 3 2 2" xfId="51060" xr:uid="{00000000-0005-0000-0000-0000ABC50000}"/>
    <cellStyle name="Normal 11 5 4 2 3 2 2 2" xfId="51061" xr:uid="{00000000-0005-0000-0000-0000ACC50000}"/>
    <cellStyle name="Normal 11 5 4 2 3 2 2 2 2" xfId="51062" xr:uid="{00000000-0005-0000-0000-0000ADC50000}"/>
    <cellStyle name="Normal 11 5 4 2 3 2 2 3" xfId="51063" xr:uid="{00000000-0005-0000-0000-0000AEC50000}"/>
    <cellStyle name="Normal 11 5 4 2 3 2 3" xfId="51064" xr:uid="{00000000-0005-0000-0000-0000AFC50000}"/>
    <cellStyle name="Normal 11 5 4 2 3 2 3 2" xfId="51065" xr:uid="{00000000-0005-0000-0000-0000B0C50000}"/>
    <cellStyle name="Normal 11 5 4 2 3 2 4" xfId="51066" xr:uid="{00000000-0005-0000-0000-0000B1C50000}"/>
    <cellStyle name="Normal 11 5 4 2 3 3" xfId="51067" xr:uid="{00000000-0005-0000-0000-0000B2C50000}"/>
    <cellStyle name="Normal 11 5 4 2 3 3 2" xfId="51068" xr:uid="{00000000-0005-0000-0000-0000B3C50000}"/>
    <cellStyle name="Normal 11 5 4 2 3 3 2 2" xfId="51069" xr:uid="{00000000-0005-0000-0000-0000B4C50000}"/>
    <cellStyle name="Normal 11 5 4 2 3 3 3" xfId="51070" xr:uid="{00000000-0005-0000-0000-0000B5C50000}"/>
    <cellStyle name="Normal 11 5 4 2 3 4" xfId="51071" xr:uid="{00000000-0005-0000-0000-0000B6C50000}"/>
    <cellStyle name="Normal 11 5 4 2 3 4 2" xfId="51072" xr:uid="{00000000-0005-0000-0000-0000B7C50000}"/>
    <cellStyle name="Normal 11 5 4 2 3 5" xfId="51073" xr:uid="{00000000-0005-0000-0000-0000B8C50000}"/>
    <cellStyle name="Normal 11 5 4 2 4" xfId="51074" xr:uid="{00000000-0005-0000-0000-0000B9C50000}"/>
    <cellStyle name="Normal 11 5 4 2 4 2" xfId="51075" xr:uid="{00000000-0005-0000-0000-0000BAC50000}"/>
    <cellStyle name="Normal 11 5 4 2 4 2 2" xfId="51076" xr:uid="{00000000-0005-0000-0000-0000BBC50000}"/>
    <cellStyle name="Normal 11 5 4 2 4 2 2 2" xfId="51077" xr:uid="{00000000-0005-0000-0000-0000BCC50000}"/>
    <cellStyle name="Normal 11 5 4 2 4 2 2 2 2" xfId="51078" xr:uid="{00000000-0005-0000-0000-0000BDC50000}"/>
    <cellStyle name="Normal 11 5 4 2 4 2 2 3" xfId="51079" xr:uid="{00000000-0005-0000-0000-0000BEC50000}"/>
    <cellStyle name="Normal 11 5 4 2 4 2 3" xfId="51080" xr:uid="{00000000-0005-0000-0000-0000BFC50000}"/>
    <cellStyle name="Normal 11 5 4 2 4 2 3 2" xfId="51081" xr:uid="{00000000-0005-0000-0000-0000C0C50000}"/>
    <cellStyle name="Normal 11 5 4 2 4 2 4" xfId="51082" xr:uid="{00000000-0005-0000-0000-0000C1C50000}"/>
    <cellStyle name="Normal 11 5 4 2 4 3" xfId="51083" xr:uid="{00000000-0005-0000-0000-0000C2C50000}"/>
    <cellStyle name="Normal 11 5 4 2 4 3 2" xfId="51084" xr:uid="{00000000-0005-0000-0000-0000C3C50000}"/>
    <cellStyle name="Normal 11 5 4 2 4 3 2 2" xfId="51085" xr:uid="{00000000-0005-0000-0000-0000C4C50000}"/>
    <cellStyle name="Normal 11 5 4 2 4 3 3" xfId="51086" xr:uid="{00000000-0005-0000-0000-0000C5C50000}"/>
    <cellStyle name="Normal 11 5 4 2 4 4" xfId="51087" xr:uid="{00000000-0005-0000-0000-0000C6C50000}"/>
    <cellStyle name="Normal 11 5 4 2 4 4 2" xfId="51088" xr:uid="{00000000-0005-0000-0000-0000C7C50000}"/>
    <cellStyle name="Normal 11 5 4 2 4 5" xfId="51089" xr:uid="{00000000-0005-0000-0000-0000C8C50000}"/>
    <cellStyle name="Normal 11 5 4 2 5" xfId="51090" xr:uid="{00000000-0005-0000-0000-0000C9C50000}"/>
    <cellStyle name="Normal 11 5 4 2 5 2" xfId="51091" xr:uid="{00000000-0005-0000-0000-0000CAC50000}"/>
    <cellStyle name="Normal 11 5 4 2 5 2 2" xfId="51092" xr:uid="{00000000-0005-0000-0000-0000CBC50000}"/>
    <cellStyle name="Normal 11 5 4 2 5 2 2 2" xfId="51093" xr:uid="{00000000-0005-0000-0000-0000CCC50000}"/>
    <cellStyle name="Normal 11 5 4 2 5 2 3" xfId="51094" xr:uid="{00000000-0005-0000-0000-0000CDC50000}"/>
    <cellStyle name="Normal 11 5 4 2 5 3" xfId="51095" xr:uid="{00000000-0005-0000-0000-0000CEC50000}"/>
    <cellStyle name="Normal 11 5 4 2 5 3 2" xfId="51096" xr:uid="{00000000-0005-0000-0000-0000CFC50000}"/>
    <cellStyle name="Normal 11 5 4 2 5 4" xfId="51097" xr:uid="{00000000-0005-0000-0000-0000D0C50000}"/>
    <cellStyle name="Normal 11 5 4 2 6" xfId="51098" xr:uid="{00000000-0005-0000-0000-0000D1C50000}"/>
    <cellStyle name="Normal 11 5 4 2 6 2" xfId="51099" xr:uid="{00000000-0005-0000-0000-0000D2C50000}"/>
    <cellStyle name="Normal 11 5 4 2 6 2 2" xfId="51100" xr:uid="{00000000-0005-0000-0000-0000D3C50000}"/>
    <cellStyle name="Normal 11 5 4 2 6 2 2 2" xfId="51101" xr:uid="{00000000-0005-0000-0000-0000D4C50000}"/>
    <cellStyle name="Normal 11 5 4 2 6 2 3" xfId="51102" xr:uid="{00000000-0005-0000-0000-0000D5C50000}"/>
    <cellStyle name="Normal 11 5 4 2 6 3" xfId="51103" xr:uid="{00000000-0005-0000-0000-0000D6C50000}"/>
    <cellStyle name="Normal 11 5 4 2 6 3 2" xfId="51104" xr:uid="{00000000-0005-0000-0000-0000D7C50000}"/>
    <cellStyle name="Normal 11 5 4 2 6 4" xfId="51105" xr:uid="{00000000-0005-0000-0000-0000D8C50000}"/>
    <cellStyle name="Normal 11 5 4 2 7" xfId="51106" xr:uid="{00000000-0005-0000-0000-0000D9C50000}"/>
    <cellStyle name="Normal 11 5 4 2 7 2" xfId="51107" xr:uid="{00000000-0005-0000-0000-0000DAC50000}"/>
    <cellStyle name="Normal 11 5 4 2 7 2 2" xfId="51108" xr:uid="{00000000-0005-0000-0000-0000DBC50000}"/>
    <cellStyle name="Normal 11 5 4 2 7 2 2 2" xfId="51109" xr:uid="{00000000-0005-0000-0000-0000DCC50000}"/>
    <cellStyle name="Normal 11 5 4 2 7 2 3" xfId="51110" xr:uid="{00000000-0005-0000-0000-0000DDC50000}"/>
    <cellStyle name="Normal 11 5 4 2 7 3" xfId="51111" xr:uid="{00000000-0005-0000-0000-0000DEC50000}"/>
    <cellStyle name="Normal 11 5 4 2 7 3 2" xfId="51112" xr:uid="{00000000-0005-0000-0000-0000DFC50000}"/>
    <cellStyle name="Normal 11 5 4 2 7 4" xfId="51113" xr:uid="{00000000-0005-0000-0000-0000E0C50000}"/>
    <cellStyle name="Normal 11 5 4 2 8" xfId="51114" xr:uid="{00000000-0005-0000-0000-0000E1C50000}"/>
    <cellStyle name="Normal 11 5 4 2 8 2" xfId="51115" xr:uid="{00000000-0005-0000-0000-0000E2C50000}"/>
    <cellStyle name="Normal 11 5 4 2 8 2 2" xfId="51116" xr:uid="{00000000-0005-0000-0000-0000E3C50000}"/>
    <cellStyle name="Normal 11 5 4 2 8 3" xfId="51117" xr:uid="{00000000-0005-0000-0000-0000E4C50000}"/>
    <cellStyle name="Normal 11 5 4 2 9" xfId="51118" xr:uid="{00000000-0005-0000-0000-0000E5C50000}"/>
    <cellStyle name="Normal 11 5 4 2 9 2" xfId="51119" xr:uid="{00000000-0005-0000-0000-0000E6C50000}"/>
    <cellStyle name="Normal 11 5 4 3" xfId="1509" xr:uid="{00000000-0005-0000-0000-0000E7C50000}"/>
    <cellStyle name="Normal 11 5 4 3 2" xfId="51121" xr:uid="{00000000-0005-0000-0000-0000E8C50000}"/>
    <cellStyle name="Normal 11 5 4 3 2 2" xfId="51122" xr:uid="{00000000-0005-0000-0000-0000E9C50000}"/>
    <cellStyle name="Normal 11 5 4 3 2 2 2" xfId="51123" xr:uid="{00000000-0005-0000-0000-0000EAC50000}"/>
    <cellStyle name="Normal 11 5 4 3 2 2 2 2" xfId="51124" xr:uid="{00000000-0005-0000-0000-0000EBC50000}"/>
    <cellStyle name="Normal 11 5 4 3 2 2 3" xfId="51125" xr:uid="{00000000-0005-0000-0000-0000ECC50000}"/>
    <cellStyle name="Normal 11 5 4 3 2 3" xfId="51126" xr:uid="{00000000-0005-0000-0000-0000EDC50000}"/>
    <cellStyle name="Normal 11 5 4 3 2 3 2" xfId="51127" xr:uid="{00000000-0005-0000-0000-0000EEC50000}"/>
    <cellStyle name="Normal 11 5 4 3 2 4" xfId="51128" xr:uid="{00000000-0005-0000-0000-0000EFC50000}"/>
    <cellStyle name="Normal 11 5 4 3 3" xfId="51129" xr:uid="{00000000-0005-0000-0000-0000F0C50000}"/>
    <cellStyle name="Normal 11 5 4 3 3 2" xfId="51130" xr:uid="{00000000-0005-0000-0000-0000F1C50000}"/>
    <cellStyle name="Normal 11 5 4 3 3 2 2" xfId="51131" xr:uid="{00000000-0005-0000-0000-0000F2C50000}"/>
    <cellStyle name="Normal 11 5 4 3 3 2 2 2" xfId="51132" xr:uid="{00000000-0005-0000-0000-0000F3C50000}"/>
    <cellStyle name="Normal 11 5 4 3 3 2 3" xfId="51133" xr:uid="{00000000-0005-0000-0000-0000F4C50000}"/>
    <cellStyle name="Normal 11 5 4 3 3 3" xfId="51134" xr:uid="{00000000-0005-0000-0000-0000F5C50000}"/>
    <cellStyle name="Normal 11 5 4 3 3 3 2" xfId="51135" xr:uid="{00000000-0005-0000-0000-0000F6C50000}"/>
    <cellStyle name="Normal 11 5 4 3 3 4" xfId="51136" xr:uid="{00000000-0005-0000-0000-0000F7C50000}"/>
    <cellStyle name="Normal 11 5 4 3 4" xfId="51137" xr:uid="{00000000-0005-0000-0000-0000F8C50000}"/>
    <cellStyle name="Normal 11 5 4 3 4 2" xfId="51138" xr:uid="{00000000-0005-0000-0000-0000F9C50000}"/>
    <cellStyle name="Normal 11 5 4 3 4 2 2" xfId="51139" xr:uid="{00000000-0005-0000-0000-0000FAC50000}"/>
    <cellStyle name="Normal 11 5 4 3 4 3" xfId="51140" xr:uid="{00000000-0005-0000-0000-0000FBC50000}"/>
    <cellStyle name="Normal 11 5 4 3 5" xfId="51141" xr:uid="{00000000-0005-0000-0000-0000FCC50000}"/>
    <cellStyle name="Normal 11 5 4 3 5 2" xfId="51142" xr:uid="{00000000-0005-0000-0000-0000FDC50000}"/>
    <cellStyle name="Normal 11 5 4 3 6" xfId="51143" xr:uid="{00000000-0005-0000-0000-0000FEC50000}"/>
    <cellStyle name="Normal 11 5 4 3 7" xfId="51120" xr:uid="{00000000-0005-0000-0000-0000FFC50000}"/>
    <cellStyle name="Normal 11 5 4 4" xfId="51144" xr:uid="{00000000-0005-0000-0000-000000C60000}"/>
    <cellStyle name="Normal 11 5 4 4 2" xfId="51145" xr:uid="{00000000-0005-0000-0000-000001C60000}"/>
    <cellStyle name="Normal 11 5 4 4 2 2" xfId="51146" xr:uid="{00000000-0005-0000-0000-000002C60000}"/>
    <cellStyle name="Normal 11 5 4 4 2 2 2" xfId="51147" xr:uid="{00000000-0005-0000-0000-000003C60000}"/>
    <cellStyle name="Normal 11 5 4 4 2 2 2 2" xfId="51148" xr:uid="{00000000-0005-0000-0000-000004C60000}"/>
    <cellStyle name="Normal 11 5 4 4 2 2 3" xfId="51149" xr:uid="{00000000-0005-0000-0000-000005C60000}"/>
    <cellStyle name="Normal 11 5 4 4 2 3" xfId="51150" xr:uid="{00000000-0005-0000-0000-000006C60000}"/>
    <cellStyle name="Normal 11 5 4 4 2 3 2" xfId="51151" xr:uid="{00000000-0005-0000-0000-000007C60000}"/>
    <cellStyle name="Normal 11 5 4 4 2 4" xfId="51152" xr:uid="{00000000-0005-0000-0000-000008C60000}"/>
    <cellStyle name="Normal 11 5 4 4 3" xfId="51153" xr:uid="{00000000-0005-0000-0000-000009C60000}"/>
    <cellStyle name="Normal 11 5 4 4 3 2" xfId="51154" xr:uid="{00000000-0005-0000-0000-00000AC60000}"/>
    <cellStyle name="Normal 11 5 4 4 3 2 2" xfId="51155" xr:uid="{00000000-0005-0000-0000-00000BC60000}"/>
    <cellStyle name="Normal 11 5 4 4 3 3" xfId="51156" xr:uid="{00000000-0005-0000-0000-00000CC60000}"/>
    <cellStyle name="Normal 11 5 4 4 4" xfId="51157" xr:uid="{00000000-0005-0000-0000-00000DC60000}"/>
    <cellStyle name="Normal 11 5 4 4 4 2" xfId="51158" xr:uid="{00000000-0005-0000-0000-00000EC60000}"/>
    <cellStyle name="Normal 11 5 4 4 5" xfId="51159" xr:uid="{00000000-0005-0000-0000-00000FC60000}"/>
    <cellStyle name="Normal 11 5 4 5" xfId="51160" xr:uid="{00000000-0005-0000-0000-000010C60000}"/>
    <cellStyle name="Normal 11 5 4 5 2" xfId="51161" xr:uid="{00000000-0005-0000-0000-000011C60000}"/>
    <cellStyle name="Normal 11 5 4 5 2 2" xfId="51162" xr:uid="{00000000-0005-0000-0000-000012C60000}"/>
    <cellStyle name="Normal 11 5 4 5 2 2 2" xfId="51163" xr:uid="{00000000-0005-0000-0000-000013C60000}"/>
    <cellStyle name="Normal 11 5 4 5 2 2 2 2" xfId="51164" xr:uid="{00000000-0005-0000-0000-000014C60000}"/>
    <cellStyle name="Normal 11 5 4 5 2 2 3" xfId="51165" xr:uid="{00000000-0005-0000-0000-000015C60000}"/>
    <cellStyle name="Normal 11 5 4 5 2 3" xfId="51166" xr:uid="{00000000-0005-0000-0000-000016C60000}"/>
    <cellStyle name="Normal 11 5 4 5 2 3 2" xfId="51167" xr:uid="{00000000-0005-0000-0000-000017C60000}"/>
    <cellStyle name="Normal 11 5 4 5 2 4" xfId="51168" xr:uid="{00000000-0005-0000-0000-000018C60000}"/>
    <cellStyle name="Normal 11 5 4 5 3" xfId="51169" xr:uid="{00000000-0005-0000-0000-000019C60000}"/>
    <cellStyle name="Normal 11 5 4 5 3 2" xfId="51170" xr:uid="{00000000-0005-0000-0000-00001AC60000}"/>
    <cellStyle name="Normal 11 5 4 5 3 2 2" xfId="51171" xr:uid="{00000000-0005-0000-0000-00001BC60000}"/>
    <cellStyle name="Normal 11 5 4 5 3 3" xfId="51172" xr:uid="{00000000-0005-0000-0000-00001CC60000}"/>
    <cellStyle name="Normal 11 5 4 5 4" xfId="51173" xr:uid="{00000000-0005-0000-0000-00001DC60000}"/>
    <cellStyle name="Normal 11 5 4 5 4 2" xfId="51174" xr:uid="{00000000-0005-0000-0000-00001EC60000}"/>
    <cellStyle name="Normal 11 5 4 5 5" xfId="51175" xr:uid="{00000000-0005-0000-0000-00001FC60000}"/>
    <cellStyle name="Normal 11 5 4 6" xfId="51176" xr:uid="{00000000-0005-0000-0000-000020C60000}"/>
    <cellStyle name="Normal 11 5 4 6 2" xfId="51177" xr:uid="{00000000-0005-0000-0000-000021C60000}"/>
    <cellStyle name="Normal 11 5 4 6 2 2" xfId="51178" xr:uid="{00000000-0005-0000-0000-000022C60000}"/>
    <cellStyle name="Normal 11 5 4 6 2 2 2" xfId="51179" xr:uid="{00000000-0005-0000-0000-000023C60000}"/>
    <cellStyle name="Normal 11 5 4 6 2 3" xfId="51180" xr:uid="{00000000-0005-0000-0000-000024C60000}"/>
    <cellStyle name="Normal 11 5 4 6 3" xfId="51181" xr:uid="{00000000-0005-0000-0000-000025C60000}"/>
    <cellStyle name="Normal 11 5 4 6 3 2" xfId="51182" xr:uid="{00000000-0005-0000-0000-000026C60000}"/>
    <cellStyle name="Normal 11 5 4 6 4" xfId="51183" xr:uid="{00000000-0005-0000-0000-000027C60000}"/>
    <cellStyle name="Normal 11 5 4 7" xfId="51184" xr:uid="{00000000-0005-0000-0000-000028C60000}"/>
    <cellStyle name="Normal 11 5 4 7 2" xfId="51185" xr:uid="{00000000-0005-0000-0000-000029C60000}"/>
    <cellStyle name="Normal 11 5 4 7 2 2" xfId="51186" xr:uid="{00000000-0005-0000-0000-00002AC60000}"/>
    <cellStyle name="Normal 11 5 4 7 2 2 2" xfId="51187" xr:uid="{00000000-0005-0000-0000-00002BC60000}"/>
    <cellStyle name="Normal 11 5 4 7 2 3" xfId="51188" xr:uid="{00000000-0005-0000-0000-00002CC60000}"/>
    <cellStyle name="Normal 11 5 4 7 3" xfId="51189" xr:uid="{00000000-0005-0000-0000-00002DC60000}"/>
    <cellStyle name="Normal 11 5 4 7 3 2" xfId="51190" xr:uid="{00000000-0005-0000-0000-00002EC60000}"/>
    <cellStyle name="Normal 11 5 4 7 4" xfId="51191" xr:uid="{00000000-0005-0000-0000-00002FC60000}"/>
    <cellStyle name="Normal 11 5 4 8" xfId="51192" xr:uid="{00000000-0005-0000-0000-000030C60000}"/>
    <cellStyle name="Normal 11 5 4 8 2" xfId="51193" xr:uid="{00000000-0005-0000-0000-000031C60000}"/>
    <cellStyle name="Normal 11 5 4 8 2 2" xfId="51194" xr:uid="{00000000-0005-0000-0000-000032C60000}"/>
    <cellStyle name="Normal 11 5 4 8 2 2 2" xfId="51195" xr:uid="{00000000-0005-0000-0000-000033C60000}"/>
    <cellStyle name="Normal 11 5 4 8 2 3" xfId="51196" xr:uid="{00000000-0005-0000-0000-000034C60000}"/>
    <cellStyle name="Normal 11 5 4 8 3" xfId="51197" xr:uid="{00000000-0005-0000-0000-000035C60000}"/>
    <cellStyle name="Normal 11 5 4 8 3 2" xfId="51198" xr:uid="{00000000-0005-0000-0000-000036C60000}"/>
    <cellStyle name="Normal 11 5 4 8 4" xfId="51199" xr:uid="{00000000-0005-0000-0000-000037C60000}"/>
    <cellStyle name="Normal 11 5 4 9" xfId="51200" xr:uid="{00000000-0005-0000-0000-000038C60000}"/>
    <cellStyle name="Normal 11 5 4 9 2" xfId="51201" xr:uid="{00000000-0005-0000-0000-000039C60000}"/>
    <cellStyle name="Normal 11 5 4 9 2 2" xfId="51202" xr:uid="{00000000-0005-0000-0000-00003AC60000}"/>
    <cellStyle name="Normal 11 5 4 9 3" xfId="51203" xr:uid="{00000000-0005-0000-0000-00003BC60000}"/>
    <cellStyle name="Normal 11 5 5" xfId="666" xr:uid="{00000000-0005-0000-0000-00003CC60000}"/>
    <cellStyle name="Normal 11 5 5 10" xfId="51205" xr:uid="{00000000-0005-0000-0000-00003DC60000}"/>
    <cellStyle name="Normal 11 5 5 10 2" xfId="51206" xr:uid="{00000000-0005-0000-0000-00003EC60000}"/>
    <cellStyle name="Normal 11 5 5 10 2 2" xfId="51207" xr:uid="{00000000-0005-0000-0000-00003FC60000}"/>
    <cellStyle name="Normal 11 5 5 10 3" xfId="51208" xr:uid="{00000000-0005-0000-0000-000040C60000}"/>
    <cellStyle name="Normal 11 5 5 11" xfId="51209" xr:uid="{00000000-0005-0000-0000-000041C60000}"/>
    <cellStyle name="Normal 11 5 5 11 2" xfId="51210" xr:uid="{00000000-0005-0000-0000-000042C60000}"/>
    <cellStyle name="Normal 11 5 5 11 2 2" xfId="51211" xr:uid="{00000000-0005-0000-0000-000043C60000}"/>
    <cellStyle name="Normal 11 5 5 11 3" xfId="51212" xr:uid="{00000000-0005-0000-0000-000044C60000}"/>
    <cellStyle name="Normal 11 5 5 12" xfId="51213" xr:uid="{00000000-0005-0000-0000-000045C60000}"/>
    <cellStyle name="Normal 11 5 5 12 2" xfId="51214" xr:uid="{00000000-0005-0000-0000-000046C60000}"/>
    <cellStyle name="Normal 11 5 5 13" xfId="51215" xr:uid="{00000000-0005-0000-0000-000047C60000}"/>
    <cellStyle name="Normal 11 5 5 14" xfId="51216" xr:uid="{00000000-0005-0000-0000-000048C60000}"/>
    <cellStyle name="Normal 11 5 5 15" xfId="51204" xr:uid="{00000000-0005-0000-0000-000049C60000}"/>
    <cellStyle name="Normal 11 5 5 2" xfId="1108" xr:uid="{00000000-0005-0000-0000-00004AC60000}"/>
    <cellStyle name="Normal 11 5 5 2 10" xfId="51218" xr:uid="{00000000-0005-0000-0000-00004BC60000}"/>
    <cellStyle name="Normal 11 5 5 2 11" xfId="51217" xr:uid="{00000000-0005-0000-0000-00004CC60000}"/>
    <cellStyle name="Normal 11 5 5 2 2" xfId="1837" xr:uid="{00000000-0005-0000-0000-00004DC60000}"/>
    <cellStyle name="Normal 11 5 5 2 2 2" xfId="51220" xr:uid="{00000000-0005-0000-0000-00004EC60000}"/>
    <cellStyle name="Normal 11 5 5 2 2 2 2" xfId="51221" xr:uid="{00000000-0005-0000-0000-00004FC60000}"/>
    <cellStyle name="Normal 11 5 5 2 2 2 2 2" xfId="51222" xr:uid="{00000000-0005-0000-0000-000050C60000}"/>
    <cellStyle name="Normal 11 5 5 2 2 2 2 2 2" xfId="51223" xr:uid="{00000000-0005-0000-0000-000051C60000}"/>
    <cellStyle name="Normal 11 5 5 2 2 2 2 3" xfId="51224" xr:uid="{00000000-0005-0000-0000-000052C60000}"/>
    <cellStyle name="Normal 11 5 5 2 2 2 3" xfId="51225" xr:uid="{00000000-0005-0000-0000-000053C60000}"/>
    <cellStyle name="Normal 11 5 5 2 2 2 3 2" xfId="51226" xr:uid="{00000000-0005-0000-0000-000054C60000}"/>
    <cellStyle name="Normal 11 5 5 2 2 2 4" xfId="51227" xr:uid="{00000000-0005-0000-0000-000055C60000}"/>
    <cellStyle name="Normal 11 5 5 2 2 3" xfId="51228" xr:uid="{00000000-0005-0000-0000-000056C60000}"/>
    <cellStyle name="Normal 11 5 5 2 2 3 2" xfId="51229" xr:uid="{00000000-0005-0000-0000-000057C60000}"/>
    <cellStyle name="Normal 11 5 5 2 2 3 2 2" xfId="51230" xr:uid="{00000000-0005-0000-0000-000058C60000}"/>
    <cellStyle name="Normal 11 5 5 2 2 3 2 2 2" xfId="51231" xr:uid="{00000000-0005-0000-0000-000059C60000}"/>
    <cellStyle name="Normal 11 5 5 2 2 3 2 3" xfId="51232" xr:uid="{00000000-0005-0000-0000-00005AC60000}"/>
    <cellStyle name="Normal 11 5 5 2 2 3 3" xfId="51233" xr:uid="{00000000-0005-0000-0000-00005BC60000}"/>
    <cellStyle name="Normal 11 5 5 2 2 3 3 2" xfId="51234" xr:uid="{00000000-0005-0000-0000-00005CC60000}"/>
    <cellStyle name="Normal 11 5 5 2 2 3 4" xfId="51235" xr:uid="{00000000-0005-0000-0000-00005DC60000}"/>
    <cellStyle name="Normal 11 5 5 2 2 4" xfId="51236" xr:uid="{00000000-0005-0000-0000-00005EC60000}"/>
    <cellStyle name="Normal 11 5 5 2 2 4 2" xfId="51237" xr:uid="{00000000-0005-0000-0000-00005FC60000}"/>
    <cellStyle name="Normal 11 5 5 2 2 4 2 2" xfId="51238" xr:uid="{00000000-0005-0000-0000-000060C60000}"/>
    <cellStyle name="Normal 11 5 5 2 2 4 3" xfId="51239" xr:uid="{00000000-0005-0000-0000-000061C60000}"/>
    <cellStyle name="Normal 11 5 5 2 2 5" xfId="51240" xr:uid="{00000000-0005-0000-0000-000062C60000}"/>
    <cellStyle name="Normal 11 5 5 2 2 5 2" xfId="51241" xr:uid="{00000000-0005-0000-0000-000063C60000}"/>
    <cellStyle name="Normal 11 5 5 2 2 6" xfId="51242" xr:uid="{00000000-0005-0000-0000-000064C60000}"/>
    <cellStyle name="Normal 11 5 5 2 2 7" xfId="51219" xr:uid="{00000000-0005-0000-0000-000065C60000}"/>
    <cellStyle name="Normal 11 5 5 2 3" xfId="51243" xr:uid="{00000000-0005-0000-0000-000066C60000}"/>
    <cellStyle name="Normal 11 5 5 2 3 2" xfId="51244" xr:uid="{00000000-0005-0000-0000-000067C60000}"/>
    <cellStyle name="Normal 11 5 5 2 3 2 2" xfId="51245" xr:uid="{00000000-0005-0000-0000-000068C60000}"/>
    <cellStyle name="Normal 11 5 5 2 3 2 2 2" xfId="51246" xr:uid="{00000000-0005-0000-0000-000069C60000}"/>
    <cellStyle name="Normal 11 5 5 2 3 2 2 2 2" xfId="51247" xr:uid="{00000000-0005-0000-0000-00006AC60000}"/>
    <cellStyle name="Normal 11 5 5 2 3 2 2 3" xfId="51248" xr:uid="{00000000-0005-0000-0000-00006BC60000}"/>
    <cellStyle name="Normal 11 5 5 2 3 2 3" xfId="51249" xr:uid="{00000000-0005-0000-0000-00006CC60000}"/>
    <cellStyle name="Normal 11 5 5 2 3 2 3 2" xfId="51250" xr:uid="{00000000-0005-0000-0000-00006DC60000}"/>
    <cellStyle name="Normal 11 5 5 2 3 2 4" xfId="51251" xr:uid="{00000000-0005-0000-0000-00006EC60000}"/>
    <cellStyle name="Normal 11 5 5 2 3 3" xfId="51252" xr:uid="{00000000-0005-0000-0000-00006FC60000}"/>
    <cellStyle name="Normal 11 5 5 2 3 3 2" xfId="51253" xr:uid="{00000000-0005-0000-0000-000070C60000}"/>
    <cellStyle name="Normal 11 5 5 2 3 3 2 2" xfId="51254" xr:uid="{00000000-0005-0000-0000-000071C60000}"/>
    <cellStyle name="Normal 11 5 5 2 3 3 3" xfId="51255" xr:uid="{00000000-0005-0000-0000-000072C60000}"/>
    <cellStyle name="Normal 11 5 5 2 3 4" xfId="51256" xr:uid="{00000000-0005-0000-0000-000073C60000}"/>
    <cellStyle name="Normal 11 5 5 2 3 4 2" xfId="51257" xr:uid="{00000000-0005-0000-0000-000074C60000}"/>
    <cellStyle name="Normal 11 5 5 2 3 5" xfId="51258" xr:uid="{00000000-0005-0000-0000-000075C60000}"/>
    <cellStyle name="Normal 11 5 5 2 4" xfId="51259" xr:uid="{00000000-0005-0000-0000-000076C60000}"/>
    <cellStyle name="Normal 11 5 5 2 4 2" xfId="51260" xr:uid="{00000000-0005-0000-0000-000077C60000}"/>
    <cellStyle name="Normal 11 5 5 2 4 2 2" xfId="51261" xr:uid="{00000000-0005-0000-0000-000078C60000}"/>
    <cellStyle name="Normal 11 5 5 2 4 2 2 2" xfId="51262" xr:uid="{00000000-0005-0000-0000-000079C60000}"/>
    <cellStyle name="Normal 11 5 5 2 4 2 2 2 2" xfId="51263" xr:uid="{00000000-0005-0000-0000-00007AC60000}"/>
    <cellStyle name="Normal 11 5 5 2 4 2 2 3" xfId="51264" xr:uid="{00000000-0005-0000-0000-00007BC60000}"/>
    <cellStyle name="Normal 11 5 5 2 4 2 3" xfId="51265" xr:uid="{00000000-0005-0000-0000-00007CC60000}"/>
    <cellStyle name="Normal 11 5 5 2 4 2 3 2" xfId="51266" xr:uid="{00000000-0005-0000-0000-00007DC60000}"/>
    <cellStyle name="Normal 11 5 5 2 4 2 4" xfId="51267" xr:uid="{00000000-0005-0000-0000-00007EC60000}"/>
    <cellStyle name="Normal 11 5 5 2 4 3" xfId="51268" xr:uid="{00000000-0005-0000-0000-00007FC60000}"/>
    <cellStyle name="Normal 11 5 5 2 4 3 2" xfId="51269" xr:uid="{00000000-0005-0000-0000-000080C60000}"/>
    <cellStyle name="Normal 11 5 5 2 4 3 2 2" xfId="51270" xr:uid="{00000000-0005-0000-0000-000081C60000}"/>
    <cellStyle name="Normal 11 5 5 2 4 3 3" xfId="51271" xr:uid="{00000000-0005-0000-0000-000082C60000}"/>
    <cellStyle name="Normal 11 5 5 2 4 4" xfId="51272" xr:uid="{00000000-0005-0000-0000-000083C60000}"/>
    <cellStyle name="Normal 11 5 5 2 4 4 2" xfId="51273" xr:uid="{00000000-0005-0000-0000-000084C60000}"/>
    <cellStyle name="Normal 11 5 5 2 4 5" xfId="51274" xr:uid="{00000000-0005-0000-0000-000085C60000}"/>
    <cellStyle name="Normal 11 5 5 2 5" xfId="51275" xr:uid="{00000000-0005-0000-0000-000086C60000}"/>
    <cellStyle name="Normal 11 5 5 2 5 2" xfId="51276" xr:uid="{00000000-0005-0000-0000-000087C60000}"/>
    <cellStyle name="Normal 11 5 5 2 5 2 2" xfId="51277" xr:uid="{00000000-0005-0000-0000-000088C60000}"/>
    <cellStyle name="Normal 11 5 5 2 5 2 2 2" xfId="51278" xr:uid="{00000000-0005-0000-0000-000089C60000}"/>
    <cellStyle name="Normal 11 5 5 2 5 2 3" xfId="51279" xr:uid="{00000000-0005-0000-0000-00008AC60000}"/>
    <cellStyle name="Normal 11 5 5 2 5 3" xfId="51280" xr:uid="{00000000-0005-0000-0000-00008BC60000}"/>
    <cellStyle name="Normal 11 5 5 2 5 3 2" xfId="51281" xr:uid="{00000000-0005-0000-0000-00008CC60000}"/>
    <cellStyle name="Normal 11 5 5 2 5 4" xfId="51282" xr:uid="{00000000-0005-0000-0000-00008DC60000}"/>
    <cellStyle name="Normal 11 5 5 2 6" xfId="51283" xr:uid="{00000000-0005-0000-0000-00008EC60000}"/>
    <cellStyle name="Normal 11 5 5 2 6 2" xfId="51284" xr:uid="{00000000-0005-0000-0000-00008FC60000}"/>
    <cellStyle name="Normal 11 5 5 2 6 2 2" xfId="51285" xr:uid="{00000000-0005-0000-0000-000090C60000}"/>
    <cellStyle name="Normal 11 5 5 2 6 2 2 2" xfId="51286" xr:uid="{00000000-0005-0000-0000-000091C60000}"/>
    <cellStyle name="Normal 11 5 5 2 6 2 3" xfId="51287" xr:uid="{00000000-0005-0000-0000-000092C60000}"/>
    <cellStyle name="Normal 11 5 5 2 6 3" xfId="51288" xr:uid="{00000000-0005-0000-0000-000093C60000}"/>
    <cellStyle name="Normal 11 5 5 2 6 3 2" xfId="51289" xr:uid="{00000000-0005-0000-0000-000094C60000}"/>
    <cellStyle name="Normal 11 5 5 2 6 4" xfId="51290" xr:uid="{00000000-0005-0000-0000-000095C60000}"/>
    <cellStyle name="Normal 11 5 5 2 7" xfId="51291" xr:uid="{00000000-0005-0000-0000-000096C60000}"/>
    <cellStyle name="Normal 11 5 5 2 7 2" xfId="51292" xr:uid="{00000000-0005-0000-0000-000097C60000}"/>
    <cellStyle name="Normal 11 5 5 2 7 2 2" xfId="51293" xr:uid="{00000000-0005-0000-0000-000098C60000}"/>
    <cellStyle name="Normal 11 5 5 2 7 2 2 2" xfId="51294" xr:uid="{00000000-0005-0000-0000-000099C60000}"/>
    <cellStyle name="Normal 11 5 5 2 7 2 3" xfId="51295" xr:uid="{00000000-0005-0000-0000-00009AC60000}"/>
    <cellStyle name="Normal 11 5 5 2 7 3" xfId="51296" xr:uid="{00000000-0005-0000-0000-00009BC60000}"/>
    <cellStyle name="Normal 11 5 5 2 7 3 2" xfId="51297" xr:uid="{00000000-0005-0000-0000-00009CC60000}"/>
    <cellStyle name="Normal 11 5 5 2 7 4" xfId="51298" xr:uid="{00000000-0005-0000-0000-00009DC60000}"/>
    <cellStyle name="Normal 11 5 5 2 8" xfId="51299" xr:uid="{00000000-0005-0000-0000-00009EC60000}"/>
    <cellStyle name="Normal 11 5 5 2 8 2" xfId="51300" xr:uid="{00000000-0005-0000-0000-00009FC60000}"/>
    <cellStyle name="Normal 11 5 5 2 8 2 2" xfId="51301" xr:uid="{00000000-0005-0000-0000-0000A0C60000}"/>
    <cellStyle name="Normal 11 5 5 2 8 3" xfId="51302" xr:uid="{00000000-0005-0000-0000-0000A1C60000}"/>
    <cellStyle name="Normal 11 5 5 2 9" xfId="51303" xr:uid="{00000000-0005-0000-0000-0000A2C60000}"/>
    <cellStyle name="Normal 11 5 5 2 9 2" xfId="51304" xr:uid="{00000000-0005-0000-0000-0000A3C60000}"/>
    <cellStyle name="Normal 11 5 5 3" xfId="1510" xr:uid="{00000000-0005-0000-0000-0000A4C60000}"/>
    <cellStyle name="Normal 11 5 5 3 2" xfId="51306" xr:uid="{00000000-0005-0000-0000-0000A5C60000}"/>
    <cellStyle name="Normal 11 5 5 3 2 2" xfId="51307" xr:uid="{00000000-0005-0000-0000-0000A6C60000}"/>
    <cellStyle name="Normal 11 5 5 3 2 2 2" xfId="51308" xr:uid="{00000000-0005-0000-0000-0000A7C60000}"/>
    <cellStyle name="Normal 11 5 5 3 2 2 2 2" xfId="51309" xr:uid="{00000000-0005-0000-0000-0000A8C60000}"/>
    <cellStyle name="Normal 11 5 5 3 2 2 3" xfId="51310" xr:uid="{00000000-0005-0000-0000-0000A9C60000}"/>
    <cellStyle name="Normal 11 5 5 3 2 3" xfId="51311" xr:uid="{00000000-0005-0000-0000-0000AAC60000}"/>
    <cellStyle name="Normal 11 5 5 3 2 3 2" xfId="51312" xr:uid="{00000000-0005-0000-0000-0000ABC60000}"/>
    <cellStyle name="Normal 11 5 5 3 2 4" xfId="51313" xr:uid="{00000000-0005-0000-0000-0000ACC60000}"/>
    <cellStyle name="Normal 11 5 5 3 3" xfId="51314" xr:uid="{00000000-0005-0000-0000-0000ADC60000}"/>
    <cellStyle name="Normal 11 5 5 3 3 2" xfId="51315" xr:uid="{00000000-0005-0000-0000-0000AEC60000}"/>
    <cellStyle name="Normal 11 5 5 3 3 2 2" xfId="51316" xr:uid="{00000000-0005-0000-0000-0000AFC60000}"/>
    <cellStyle name="Normal 11 5 5 3 3 2 2 2" xfId="51317" xr:uid="{00000000-0005-0000-0000-0000B0C60000}"/>
    <cellStyle name="Normal 11 5 5 3 3 2 3" xfId="51318" xr:uid="{00000000-0005-0000-0000-0000B1C60000}"/>
    <cellStyle name="Normal 11 5 5 3 3 3" xfId="51319" xr:uid="{00000000-0005-0000-0000-0000B2C60000}"/>
    <cellStyle name="Normal 11 5 5 3 3 3 2" xfId="51320" xr:uid="{00000000-0005-0000-0000-0000B3C60000}"/>
    <cellStyle name="Normal 11 5 5 3 3 4" xfId="51321" xr:uid="{00000000-0005-0000-0000-0000B4C60000}"/>
    <cellStyle name="Normal 11 5 5 3 4" xfId="51322" xr:uid="{00000000-0005-0000-0000-0000B5C60000}"/>
    <cellStyle name="Normal 11 5 5 3 4 2" xfId="51323" xr:uid="{00000000-0005-0000-0000-0000B6C60000}"/>
    <cellStyle name="Normal 11 5 5 3 4 2 2" xfId="51324" xr:uid="{00000000-0005-0000-0000-0000B7C60000}"/>
    <cellStyle name="Normal 11 5 5 3 4 3" xfId="51325" xr:uid="{00000000-0005-0000-0000-0000B8C60000}"/>
    <cellStyle name="Normal 11 5 5 3 5" xfId="51326" xr:uid="{00000000-0005-0000-0000-0000B9C60000}"/>
    <cellStyle name="Normal 11 5 5 3 5 2" xfId="51327" xr:uid="{00000000-0005-0000-0000-0000BAC60000}"/>
    <cellStyle name="Normal 11 5 5 3 6" xfId="51328" xr:uid="{00000000-0005-0000-0000-0000BBC60000}"/>
    <cellStyle name="Normal 11 5 5 3 7" xfId="51305" xr:uid="{00000000-0005-0000-0000-0000BCC60000}"/>
    <cellStyle name="Normal 11 5 5 4" xfId="51329" xr:uid="{00000000-0005-0000-0000-0000BDC60000}"/>
    <cellStyle name="Normal 11 5 5 4 2" xfId="51330" xr:uid="{00000000-0005-0000-0000-0000BEC60000}"/>
    <cellStyle name="Normal 11 5 5 4 2 2" xfId="51331" xr:uid="{00000000-0005-0000-0000-0000BFC60000}"/>
    <cellStyle name="Normal 11 5 5 4 2 2 2" xfId="51332" xr:uid="{00000000-0005-0000-0000-0000C0C60000}"/>
    <cellStyle name="Normal 11 5 5 4 2 2 2 2" xfId="51333" xr:uid="{00000000-0005-0000-0000-0000C1C60000}"/>
    <cellStyle name="Normal 11 5 5 4 2 2 3" xfId="51334" xr:uid="{00000000-0005-0000-0000-0000C2C60000}"/>
    <cellStyle name="Normal 11 5 5 4 2 3" xfId="51335" xr:uid="{00000000-0005-0000-0000-0000C3C60000}"/>
    <cellStyle name="Normal 11 5 5 4 2 3 2" xfId="51336" xr:uid="{00000000-0005-0000-0000-0000C4C60000}"/>
    <cellStyle name="Normal 11 5 5 4 2 4" xfId="51337" xr:uid="{00000000-0005-0000-0000-0000C5C60000}"/>
    <cellStyle name="Normal 11 5 5 4 3" xfId="51338" xr:uid="{00000000-0005-0000-0000-0000C6C60000}"/>
    <cellStyle name="Normal 11 5 5 4 3 2" xfId="51339" xr:uid="{00000000-0005-0000-0000-0000C7C60000}"/>
    <cellStyle name="Normal 11 5 5 4 3 2 2" xfId="51340" xr:uid="{00000000-0005-0000-0000-0000C8C60000}"/>
    <cellStyle name="Normal 11 5 5 4 3 3" xfId="51341" xr:uid="{00000000-0005-0000-0000-0000C9C60000}"/>
    <cellStyle name="Normal 11 5 5 4 4" xfId="51342" xr:uid="{00000000-0005-0000-0000-0000CAC60000}"/>
    <cellStyle name="Normal 11 5 5 4 4 2" xfId="51343" xr:uid="{00000000-0005-0000-0000-0000CBC60000}"/>
    <cellStyle name="Normal 11 5 5 4 5" xfId="51344" xr:uid="{00000000-0005-0000-0000-0000CCC60000}"/>
    <cellStyle name="Normal 11 5 5 5" xfId="51345" xr:uid="{00000000-0005-0000-0000-0000CDC60000}"/>
    <cellStyle name="Normal 11 5 5 5 2" xfId="51346" xr:uid="{00000000-0005-0000-0000-0000CEC60000}"/>
    <cellStyle name="Normal 11 5 5 5 2 2" xfId="51347" xr:uid="{00000000-0005-0000-0000-0000CFC60000}"/>
    <cellStyle name="Normal 11 5 5 5 2 2 2" xfId="51348" xr:uid="{00000000-0005-0000-0000-0000D0C60000}"/>
    <cellStyle name="Normal 11 5 5 5 2 2 2 2" xfId="51349" xr:uid="{00000000-0005-0000-0000-0000D1C60000}"/>
    <cellStyle name="Normal 11 5 5 5 2 2 3" xfId="51350" xr:uid="{00000000-0005-0000-0000-0000D2C60000}"/>
    <cellStyle name="Normal 11 5 5 5 2 3" xfId="51351" xr:uid="{00000000-0005-0000-0000-0000D3C60000}"/>
    <cellStyle name="Normal 11 5 5 5 2 3 2" xfId="51352" xr:uid="{00000000-0005-0000-0000-0000D4C60000}"/>
    <cellStyle name="Normal 11 5 5 5 2 4" xfId="51353" xr:uid="{00000000-0005-0000-0000-0000D5C60000}"/>
    <cellStyle name="Normal 11 5 5 5 3" xfId="51354" xr:uid="{00000000-0005-0000-0000-0000D6C60000}"/>
    <cellStyle name="Normal 11 5 5 5 3 2" xfId="51355" xr:uid="{00000000-0005-0000-0000-0000D7C60000}"/>
    <cellStyle name="Normal 11 5 5 5 3 2 2" xfId="51356" xr:uid="{00000000-0005-0000-0000-0000D8C60000}"/>
    <cellStyle name="Normal 11 5 5 5 3 3" xfId="51357" xr:uid="{00000000-0005-0000-0000-0000D9C60000}"/>
    <cellStyle name="Normal 11 5 5 5 4" xfId="51358" xr:uid="{00000000-0005-0000-0000-0000DAC60000}"/>
    <cellStyle name="Normal 11 5 5 5 4 2" xfId="51359" xr:uid="{00000000-0005-0000-0000-0000DBC60000}"/>
    <cellStyle name="Normal 11 5 5 5 5" xfId="51360" xr:uid="{00000000-0005-0000-0000-0000DCC60000}"/>
    <cellStyle name="Normal 11 5 5 6" xfId="51361" xr:uid="{00000000-0005-0000-0000-0000DDC60000}"/>
    <cellStyle name="Normal 11 5 5 6 2" xfId="51362" xr:uid="{00000000-0005-0000-0000-0000DEC60000}"/>
    <cellStyle name="Normal 11 5 5 6 2 2" xfId="51363" xr:uid="{00000000-0005-0000-0000-0000DFC60000}"/>
    <cellStyle name="Normal 11 5 5 6 2 2 2" xfId="51364" xr:uid="{00000000-0005-0000-0000-0000E0C60000}"/>
    <cellStyle name="Normal 11 5 5 6 2 3" xfId="51365" xr:uid="{00000000-0005-0000-0000-0000E1C60000}"/>
    <cellStyle name="Normal 11 5 5 6 3" xfId="51366" xr:uid="{00000000-0005-0000-0000-0000E2C60000}"/>
    <cellStyle name="Normal 11 5 5 6 3 2" xfId="51367" xr:uid="{00000000-0005-0000-0000-0000E3C60000}"/>
    <cellStyle name="Normal 11 5 5 6 4" xfId="51368" xr:uid="{00000000-0005-0000-0000-0000E4C60000}"/>
    <cellStyle name="Normal 11 5 5 7" xfId="51369" xr:uid="{00000000-0005-0000-0000-0000E5C60000}"/>
    <cellStyle name="Normal 11 5 5 7 2" xfId="51370" xr:uid="{00000000-0005-0000-0000-0000E6C60000}"/>
    <cellStyle name="Normal 11 5 5 7 2 2" xfId="51371" xr:uid="{00000000-0005-0000-0000-0000E7C60000}"/>
    <cellStyle name="Normal 11 5 5 7 2 2 2" xfId="51372" xr:uid="{00000000-0005-0000-0000-0000E8C60000}"/>
    <cellStyle name="Normal 11 5 5 7 2 3" xfId="51373" xr:uid="{00000000-0005-0000-0000-0000E9C60000}"/>
    <cellStyle name="Normal 11 5 5 7 3" xfId="51374" xr:uid="{00000000-0005-0000-0000-0000EAC60000}"/>
    <cellStyle name="Normal 11 5 5 7 3 2" xfId="51375" xr:uid="{00000000-0005-0000-0000-0000EBC60000}"/>
    <cellStyle name="Normal 11 5 5 7 4" xfId="51376" xr:uid="{00000000-0005-0000-0000-0000ECC60000}"/>
    <cellStyle name="Normal 11 5 5 8" xfId="51377" xr:uid="{00000000-0005-0000-0000-0000EDC60000}"/>
    <cellStyle name="Normal 11 5 5 8 2" xfId="51378" xr:uid="{00000000-0005-0000-0000-0000EEC60000}"/>
    <cellStyle name="Normal 11 5 5 8 2 2" xfId="51379" xr:uid="{00000000-0005-0000-0000-0000EFC60000}"/>
    <cellStyle name="Normal 11 5 5 8 2 2 2" xfId="51380" xr:uid="{00000000-0005-0000-0000-0000F0C60000}"/>
    <cellStyle name="Normal 11 5 5 8 2 3" xfId="51381" xr:uid="{00000000-0005-0000-0000-0000F1C60000}"/>
    <cellStyle name="Normal 11 5 5 8 3" xfId="51382" xr:uid="{00000000-0005-0000-0000-0000F2C60000}"/>
    <cellStyle name="Normal 11 5 5 8 3 2" xfId="51383" xr:uid="{00000000-0005-0000-0000-0000F3C60000}"/>
    <cellStyle name="Normal 11 5 5 8 4" xfId="51384" xr:uid="{00000000-0005-0000-0000-0000F4C60000}"/>
    <cellStyle name="Normal 11 5 5 9" xfId="51385" xr:uid="{00000000-0005-0000-0000-0000F5C60000}"/>
    <cellStyle name="Normal 11 5 5 9 2" xfId="51386" xr:uid="{00000000-0005-0000-0000-0000F6C60000}"/>
    <cellStyle name="Normal 11 5 5 9 2 2" xfId="51387" xr:uid="{00000000-0005-0000-0000-0000F7C60000}"/>
    <cellStyle name="Normal 11 5 5 9 3" xfId="51388" xr:uid="{00000000-0005-0000-0000-0000F8C60000}"/>
    <cellStyle name="Normal 11 5 6" xfId="1097" xr:uid="{00000000-0005-0000-0000-0000F9C60000}"/>
    <cellStyle name="Normal 11 5 6 10" xfId="51390" xr:uid="{00000000-0005-0000-0000-0000FAC60000}"/>
    <cellStyle name="Normal 11 5 6 11" xfId="51389" xr:uid="{00000000-0005-0000-0000-0000FBC60000}"/>
    <cellStyle name="Normal 11 5 6 2" xfId="1826" xr:uid="{00000000-0005-0000-0000-0000FCC60000}"/>
    <cellStyle name="Normal 11 5 6 2 2" xfId="51392" xr:uid="{00000000-0005-0000-0000-0000FDC60000}"/>
    <cellStyle name="Normal 11 5 6 2 2 2" xfId="51393" xr:uid="{00000000-0005-0000-0000-0000FEC60000}"/>
    <cellStyle name="Normal 11 5 6 2 2 2 2" xfId="51394" xr:uid="{00000000-0005-0000-0000-0000FFC60000}"/>
    <cellStyle name="Normal 11 5 6 2 2 2 2 2" xfId="51395" xr:uid="{00000000-0005-0000-0000-000000C70000}"/>
    <cellStyle name="Normal 11 5 6 2 2 2 3" xfId="51396" xr:uid="{00000000-0005-0000-0000-000001C70000}"/>
    <cellStyle name="Normal 11 5 6 2 2 3" xfId="51397" xr:uid="{00000000-0005-0000-0000-000002C70000}"/>
    <cellStyle name="Normal 11 5 6 2 2 3 2" xfId="51398" xr:uid="{00000000-0005-0000-0000-000003C70000}"/>
    <cellStyle name="Normal 11 5 6 2 2 4" xfId="51399" xr:uid="{00000000-0005-0000-0000-000004C70000}"/>
    <cellStyle name="Normal 11 5 6 2 3" xfId="51400" xr:uid="{00000000-0005-0000-0000-000005C70000}"/>
    <cellStyle name="Normal 11 5 6 2 3 2" xfId="51401" xr:uid="{00000000-0005-0000-0000-000006C70000}"/>
    <cellStyle name="Normal 11 5 6 2 3 2 2" xfId="51402" xr:uid="{00000000-0005-0000-0000-000007C70000}"/>
    <cellStyle name="Normal 11 5 6 2 3 2 2 2" xfId="51403" xr:uid="{00000000-0005-0000-0000-000008C70000}"/>
    <cellStyle name="Normal 11 5 6 2 3 2 3" xfId="51404" xr:uid="{00000000-0005-0000-0000-000009C70000}"/>
    <cellStyle name="Normal 11 5 6 2 3 3" xfId="51405" xr:uid="{00000000-0005-0000-0000-00000AC70000}"/>
    <cellStyle name="Normal 11 5 6 2 3 3 2" xfId="51406" xr:uid="{00000000-0005-0000-0000-00000BC70000}"/>
    <cellStyle name="Normal 11 5 6 2 3 4" xfId="51407" xr:uid="{00000000-0005-0000-0000-00000CC70000}"/>
    <cellStyle name="Normal 11 5 6 2 4" xfId="51408" xr:uid="{00000000-0005-0000-0000-00000DC70000}"/>
    <cellStyle name="Normal 11 5 6 2 4 2" xfId="51409" xr:uid="{00000000-0005-0000-0000-00000EC70000}"/>
    <cellStyle name="Normal 11 5 6 2 4 2 2" xfId="51410" xr:uid="{00000000-0005-0000-0000-00000FC70000}"/>
    <cellStyle name="Normal 11 5 6 2 4 3" xfId="51411" xr:uid="{00000000-0005-0000-0000-000010C70000}"/>
    <cellStyle name="Normal 11 5 6 2 5" xfId="51412" xr:uid="{00000000-0005-0000-0000-000011C70000}"/>
    <cellStyle name="Normal 11 5 6 2 5 2" xfId="51413" xr:uid="{00000000-0005-0000-0000-000012C70000}"/>
    <cellStyle name="Normal 11 5 6 2 6" xfId="51414" xr:uid="{00000000-0005-0000-0000-000013C70000}"/>
    <cellStyle name="Normal 11 5 6 2 7" xfId="51391" xr:uid="{00000000-0005-0000-0000-000014C70000}"/>
    <cellStyle name="Normal 11 5 6 3" xfId="51415" xr:uid="{00000000-0005-0000-0000-000015C70000}"/>
    <cellStyle name="Normal 11 5 6 3 2" xfId="51416" xr:uid="{00000000-0005-0000-0000-000016C70000}"/>
    <cellStyle name="Normal 11 5 6 3 2 2" xfId="51417" xr:uid="{00000000-0005-0000-0000-000017C70000}"/>
    <cellStyle name="Normal 11 5 6 3 2 2 2" xfId="51418" xr:uid="{00000000-0005-0000-0000-000018C70000}"/>
    <cellStyle name="Normal 11 5 6 3 2 2 2 2" xfId="51419" xr:uid="{00000000-0005-0000-0000-000019C70000}"/>
    <cellStyle name="Normal 11 5 6 3 2 2 3" xfId="51420" xr:uid="{00000000-0005-0000-0000-00001AC70000}"/>
    <cellStyle name="Normal 11 5 6 3 2 3" xfId="51421" xr:uid="{00000000-0005-0000-0000-00001BC70000}"/>
    <cellStyle name="Normal 11 5 6 3 2 3 2" xfId="51422" xr:uid="{00000000-0005-0000-0000-00001CC70000}"/>
    <cellStyle name="Normal 11 5 6 3 2 4" xfId="51423" xr:uid="{00000000-0005-0000-0000-00001DC70000}"/>
    <cellStyle name="Normal 11 5 6 3 3" xfId="51424" xr:uid="{00000000-0005-0000-0000-00001EC70000}"/>
    <cellStyle name="Normal 11 5 6 3 3 2" xfId="51425" xr:uid="{00000000-0005-0000-0000-00001FC70000}"/>
    <cellStyle name="Normal 11 5 6 3 3 2 2" xfId="51426" xr:uid="{00000000-0005-0000-0000-000020C70000}"/>
    <cellStyle name="Normal 11 5 6 3 3 3" xfId="51427" xr:uid="{00000000-0005-0000-0000-000021C70000}"/>
    <cellStyle name="Normal 11 5 6 3 4" xfId="51428" xr:uid="{00000000-0005-0000-0000-000022C70000}"/>
    <cellStyle name="Normal 11 5 6 3 4 2" xfId="51429" xr:uid="{00000000-0005-0000-0000-000023C70000}"/>
    <cellStyle name="Normal 11 5 6 3 5" xfId="51430" xr:uid="{00000000-0005-0000-0000-000024C70000}"/>
    <cellStyle name="Normal 11 5 6 4" xfId="51431" xr:uid="{00000000-0005-0000-0000-000025C70000}"/>
    <cellStyle name="Normal 11 5 6 4 2" xfId="51432" xr:uid="{00000000-0005-0000-0000-000026C70000}"/>
    <cellStyle name="Normal 11 5 6 4 2 2" xfId="51433" xr:uid="{00000000-0005-0000-0000-000027C70000}"/>
    <cellStyle name="Normal 11 5 6 4 2 2 2" xfId="51434" xr:uid="{00000000-0005-0000-0000-000028C70000}"/>
    <cellStyle name="Normal 11 5 6 4 2 2 2 2" xfId="51435" xr:uid="{00000000-0005-0000-0000-000029C70000}"/>
    <cellStyle name="Normal 11 5 6 4 2 2 3" xfId="51436" xr:uid="{00000000-0005-0000-0000-00002AC70000}"/>
    <cellStyle name="Normal 11 5 6 4 2 3" xfId="51437" xr:uid="{00000000-0005-0000-0000-00002BC70000}"/>
    <cellStyle name="Normal 11 5 6 4 2 3 2" xfId="51438" xr:uid="{00000000-0005-0000-0000-00002CC70000}"/>
    <cellStyle name="Normal 11 5 6 4 2 4" xfId="51439" xr:uid="{00000000-0005-0000-0000-00002DC70000}"/>
    <cellStyle name="Normal 11 5 6 4 3" xfId="51440" xr:uid="{00000000-0005-0000-0000-00002EC70000}"/>
    <cellStyle name="Normal 11 5 6 4 3 2" xfId="51441" xr:uid="{00000000-0005-0000-0000-00002FC70000}"/>
    <cellStyle name="Normal 11 5 6 4 3 2 2" xfId="51442" xr:uid="{00000000-0005-0000-0000-000030C70000}"/>
    <cellStyle name="Normal 11 5 6 4 3 3" xfId="51443" xr:uid="{00000000-0005-0000-0000-000031C70000}"/>
    <cellStyle name="Normal 11 5 6 4 4" xfId="51444" xr:uid="{00000000-0005-0000-0000-000032C70000}"/>
    <cellStyle name="Normal 11 5 6 4 4 2" xfId="51445" xr:uid="{00000000-0005-0000-0000-000033C70000}"/>
    <cellStyle name="Normal 11 5 6 4 5" xfId="51446" xr:uid="{00000000-0005-0000-0000-000034C70000}"/>
    <cellStyle name="Normal 11 5 6 5" xfId="51447" xr:uid="{00000000-0005-0000-0000-000035C70000}"/>
    <cellStyle name="Normal 11 5 6 5 2" xfId="51448" xr:uid="{00000000-0005-0000-0000-000036C70000}"/>
    <cellStyle name="Normal 11 5 6 5 2 2" xfId="51449" xr:uid="{00000000-0005-0000-0000-000037C70000}"/>
    <cellStyle name="Normal 11 5 6 5 2 2 2" xfId="51450" xr:uid="{00000000-0005-0000-0000-000038C70000}"/>
    <cellStyle name="Normal 11 5 6 5 2 3" xfId="51451" xr:uid="{00000000-0005-0000-0000-000039C70000}"/>
    <cellStyle name="Normal 11 5 6 5 3" xfId="51452" xr:uid="{00000000-0005-0000-0000-00003AC70000}"/>
    <cellStyle name="Normal 11 5 6 5 3 2" xfId="51453" xr:uid="{00000000-0005-0000-0000-00003BC70000}"/>
    <cellStyle name="Normal 11 5 6 5 4" xfId="51454" xr:uid="{00000000-0005-0000-0000-00003CC70000}"/>
    <cellStyle name="Normal 11 5 6 6" xfId="51455" xr:uid="{00000000-0005-0000-0000-00003DC70000}"/>
    <cellStyle name="Normal 11 5 6 6 2" xfId="51456" xr:uid="{00000000-0005-0000-0000-00003EC70000}"/>
    <cellStyle name="Normal 11 5 6 6 2 2" xfId="51457" xr:uid="{00000000-0005-0000-0000-00003FC70000}"/>
    <cellStyle name="Normal 11 5 6 6 2 2 2" xfId="51458" xr:uid="{00000000-0005-0000-0000-000040C70000}"/>
    <cellStyle name="Normal 11 5 6 6 2 3" xfId="51459" xr:uid="{00000000-0005-0000-0000-000041C70000}"/>
    <cellStyle name="Normal 11 5 6 6 3" xfId="51460" xr:uid="{00000000-0005-0000-0000-000042C70000}"/>
    <cellStyle name="Normal 11 5 6 6 3 2" xfId="51461" xr:uid="{00000000-0005-0000-0000-000043C70000}"/>
    <cellStyle name="Normal 11 5 6 6 4" xfId="51462" xr:uid="{00000000-0005-0000-0000-000044C70000}"/>
    <cellStyle name="Normal 11 5 6 7" xfId="51463" xr:uid="{00000000-0005-0000-0000-000045C70000}"/>
    <cellStyle name="Normal 11 5 6 7 2" xfId="51464" xr:uid="{00000000-0005-0000-0000-000046C70000}"/>
    <cellStyle name="Normal 11 5 6 7 2 2" xfId="51465" xr:uid="{00000000-0005-0000-0000-000047C70000}"/>
    <cellStyle name="Normal 11 5 6 7 2 2 2" xfId="51466" xr:uid="{00000000-0005-0000-0000-000048C70000}"/>
    <cellStyle name="Normal 11 5 6 7 2 3" xfId="51467" xr:uid="{00000000-0005-0000-0000-000049C70000}"/>
    <cellStyle name="Normal 11 5 6 7 3" xfId="51468" xr:uid="{00000000-0005-0000-0000-00004AC70000}"/>
    <cellStyle name="Normal 11 5 6 7 3 2" xfId="51469" xr:uid="{00000000-0005-0000-0000-00004BC70000}"/>
    <cellStyle name="Normal 11 5 6 7 4" xfId="51470" xr:uid="{00000000-0005-0000-0000-00004CC70000}"/>
    <cellStyle name="Normal 11 5 6 8" xfId="51471" xr:uid="{00000000-0005-0000-0000-00004DC70000}"/>
    <cellStyle name="Normal 11 5 6 8 2" xfId="51472" xr:uid="{00000000-0005-0000-0000-00004EC70000}"/>
    <cellStyle name="Normal 11 5 6 8 2 2" xfId="51473" xr:uid="{00000000-0005-0000-0000-00004FC70000}"/>
    <cellStyle name="Normal 11 5 6 8 3" xfId="51474" xr:uid="{00000000-0005-0000-0000-000050C70000}"/>
    <cellStyle name="Normal 11 5 6 9" xfId="51475" xr:uid="{00000000-0005-0000-0000-000051C70000}"/>
    <cellStyle name="Normal 11 5 6 9 2" xfId="51476" xr:uid="{00000000-0005-0000-0000-000052C70000}"/>
    <cellStyle name="Normal 11 5 7" xfId="1499" xr:uid="{00000000-0005-0000-0000-000053C70000}"/>
    <cellStyle name="Normal 11 5 7 2" xfId="51478" xr:uid="{00000000-0005-0000-0000-000054C70000}"/>
    <cellStyle name="Normal 11 5 7 2 2" xfId="51479" xr:uid="{00000000-0005-0000-0000-000055C70000}"/>
    <cellStyle name="Normal 11 5 7 2 2 2" xfId="51480" xr:uid="{00000000-0005-0000-0000-000056C70000}"/>
    <cellStyle name="Normal 11 5 7 2 2 2 2" xfId="51481" xr:uid="{00000000-0005-0000-0000-000057C70000}"/>
    <cellStyle name="Normal 11 5 7 2 2 3" xfId="51482" xr:uid="{00000000-0005-0000-0000-000058C70000}"/>
    <cellStyle name="Normal 11 5 7 2 3" xfId="51483" xr:uid="{00000000-0005-0000-0000-000059C70000}"/>
    <cellStyle name="Normal 11 5 7 2 3 2" xfId="51484" xr:uid="{00000000-0005-0000-0000-00005AC70000}"/>
    <cellStyle name="Normal 11 5 7 2 4" xfId="51485" xr:uid="{00000000-0005-0000-0000-00005BC70000}"/>
    <cellStyle name="Normal 11 5 7 3" xfId="51486" xr:uid="{00000000-0005-0000-0000-00005CC70000}"/>
    <cellStyle name="Normal 11 5 7 3 2" xfId="51487" xr:uid="{00000000-0005-0000-0000-00005DC70000}"/>
    <cellStyle name="Normal 11 5 7 3 2 2" xfId="51488" xr:uid="{00000000-0005-0000-0000-00005EC70000}"/>
    <cellStyle name="Normal 11 5 7 3 2 2 2" xfId="51489" xr:uid="{00000000-0005-0000-0000-00005FC70000}"/>
    <cellStyle name="Normal 11 5 7 3 2 3" xfId="51490" xr:uid="{00000000-0005-0000-0000-000060C70000}"/>
    <cellStyle name="Normal 11 5 7 3 3" xfId="51491" xr:uid="{00000000-0005-0000-0000-000061C70000}"/>
    <cellStyle name="Normal 11 5 7 3 3 2" xfId="51492" xr:uid="{00000000-0005-0000-0000-000062C70000}"/>
    <cellStyle name="Normal 11 5 7 3 4" xfId="51493" xr:uid="{00000000-0005-0000-0000-000063C70000}"/>
    <cellStyle name="Normal 11 5 7 4" xfId="51494" xr:uid="{00000000-0005-0000-0000-000064C70000}"/>
    <cellStyle name="Normal 11 5 7 4 2" xfId="51495" xr:uid="{00000000-0005-0000-0000-000065C70000}"/>
    <cellStyle name="Normal 11 5 7 4 2 2" xfId="51496" xr:uid="{00000000-0005-0000-0000-000066C70000}"/>
    <cellStyle name="Normal 11 5 7 4 3" xfId="51497" xr:uid="{00000000-0005-0000-0000-000067C70000}"/>
    <cellStyle name="Normal 11 5 7 5" xfId="51498" xr:uid="{00000000-0005-0000-0000-000068C70000}"/>
    <cellStyle name="Normal 11 5 7 5 2" xfId="51499" xr:uid="{00000000-0005-0000-0000-000069C70000}"/>
    <cellStyle name="Normal 11 5 7 6" xfId="51500" xr:uid="{00000000-0005-0000-0000-00006AC70000}"/>
    <cellStyle name="Normal 11 5 7 7" xfId="51477" xr:uid="{00000000-0005-0000-0000-00006BC70000}"/>
    <cellStyle name="Normal 11 5 8" xfId="51501" xr:uid="{00000000-0005-0000-0000-00006CC70000}"/>
    <cellStyle name="Normal 11 5 8 2" xfId="51502" xr:uid="{00000000-0005-0000-0000-00006DC70000}"/>
    <cellStyle name="Normal 11 5 8 2 2" xfId="51503" xr:uid="{00000000-0005-0000-0000-00006EC70000}"/>
    <cellStyle name="Normal 11 5 8 2 2 2" xfId="51504" xr:uid="{00000000-0005-0000-0000-00006FC70000}"/>
    <cellStyle name="Normal 11 5 8 2 2 2 2" xfId="51505" xr:uid="{00000000-0005-0000-0000-000070C70000}"/>
    <cellStyle name="Normal 11 5 8 2 2 3" xfId="51506" xr:uid="{00000000-0005-0000-0000-000071C70000}"/>
    <cellStyle name="Normal 11 5 8 2 3" xfId="51507" xr:uid="{00000000-0005-0000-0000-000072C70000}"/>
    <cellStyle name="Normal 11 5 8 2 3 2" xfId="51508" xr:uid="{00000000-0005-0000-0000-000073C70000}"/>
    <cellStyle name="Normal 11 5 8 2 4" xfId="51509" xr:uid="{00000000-0005-0000-0000-000074C70000}"/>
    <cellStyle name="Normal 11 5 8 3" xfId="51510" xr:uid="{00000000-0005-0000-0000-000075C70000}"/>
    <cellStyle name="Normal 11 5 8 3 2" xfId="51511" xr:uid="{00000000-0005-0000-0000-000076C70000}"/>
    <cellStyle name="Normal 11 5 8 3 2 2" xfId="51512" xr:uid="{00000000-0005-0000-0000-000077C70000}"/>
    <cellStyle name="Normal 11 5 8 3 3" xfId="51513" xr:uid="{00000000-0005-0000-0000-000078C70000}"/>
    <cellStyle name="Normal 11 5 8 4" xfId="51514" xr:uid="{00000000-0005-0000-0000-000079C70000}"/>
    <cellStyle name="Normal 11 5 8 4 2" xfId="51515" xr:uid="{00000000-0005-0000-0000-00007AC70000}"/>
    <cellStyle name="Normal 11 5 8 5" xfId="51516" xr:uid="{00000000-0005-0000-0000-00007BC70000}"/>
    <cellStyle name="Normal 11 5 9" xfId="51517" xr:uid="{00000000-0005-0000-0000-00007CC70000}"/>
    <cellStyle name="Normal 11 5 9 2" xfId="51518" xr:uid="{00000000-0005-0000-0000-00007DC70000}"/>
    <cellStyle name="Normal 11 5 9 2 2" xfId="51519" xr:uid="{00000000-0005-0000-0000-00007EC70000}"/>
    <cellStyle name="Normal 11 5 9 2 2 2" xfId="51520" xr:uid="{00000000-0005-0000-0000-00007FC70000}"/>
    <cellStyle name="Normal 11 5 9 2 2 2 2" xfId="51521" xr:uid="{00000000-0005-0000-0000-000080C70000}"/>
    <cellStyle name="Normal 11 5 9 2 2 3" xfId="51522" xr:uid="{00000000-0005-0000-0000-000081C70000}"/>
    <cellStyle name="Normal 11 5 9 2 3" xfId="51523" xr:uid="{00000000-0005-0000-0000-000082C70000}"/>
    <cellStyle name="Normal 11 5 9 2 3 2" xfId="51524" xr:uid="{00000000-0005-0000-0000-000083C70000}"/>
    <cellStyle name="Normal 11 5 9 2 4" xfId="51525" xr:uid="{00000000-0005-0000-0000-000084C70000}"/>
    <cellStyle name="Normal 11 5 9 3" xfId="51526" xr:uid="{00000000-0005-0000-0000-000085C70000}"/>
    <cellStyle name="Normal 11 5 9 3 2" xfId="51527" xr:uid="{00000000-0005-0000-0000-000086C70000}"/>
    <cellStyle name="Normal 11 5 9 3 2 2" xfId="51528" xr:uid="{00000000-0005-0000-0000-000087C70000}"/>
    <cellStyle name="Normal 11 5 9 3 3" xfId="51529" xr:uid="{00000000-0005-0000-0000-000088C70000}"/>
    <cellStyle name="Normal 11 5 9 4" xfId="51530" xr:uid="{00000000-0005-0000-0000-000089C70000}"/>
    <cellStyle name="Normal 11 5 9 4 2" xfId="51531" xr:uid="{00000000-0005-0000-0000-00008AC70000}"/>
    <cellStyle name="Normal 11 5 9 5" xfId="51532" xr:uid="{00000000-0005-0000-0000-00008BC70000}"/>
    <cellStyle name="Normal 11 6" xfId="667" xr:uid="{00000000-0005-0000-0000-00008CC70000}"/>
    <cellStyle name="Normal 11 6 10" xfId="51534" xr:uid="{00000000-0005-0000-0000-00008DC70000}"/>
    <cellStyle name="Normal 11 6 10 2" xfId="51535" xr:uid="{00000000-0005-0000-0000-00008EC70000}"/>
    <cellStyle name="Normal 11 6 10 2 2" xfId="51536" xr:uid="{00000000-0005-0000-0000-00008FC70000}"/>
    <cellStyle name="Normal 11 6 10 2 2 2" xfId="51537" xr:uid="{00000000-0005-0000-0000-000090C70000}"/>
    <cellStyle name="Normal 11 6 10 2 3" xfId="51538" xr:uid="{00000000-0005-0000-0000-000091C70000}"/>
    <cellStyle name="Normal 11 6 10 3" xfId="51539" xr:uid="{00000000-0005-0000-0000-000092C70000}"/>
    <cellStyle name="Normal 11 6 10 3 2" xfId="51540" xr:uid="{00000000-0005-0000-0000-000093C70000}"/>
    <cellStyle name="Normal 11 6 10 4" xfId="51541" xr:uid="{00000000-0005-0000-0000-000094C70000}"/>
    <cellStyle name="Normal 11 6 11" xfId="51542" xr:uid="{00000000-0005-0000-0000-000095C70000}"/>
    <cellStyle name="Normal 11 6 11 2" xfId="51543" xr:uid="{00000000-0005-0000-0000-000096C70000}"/>
    <cellStyle name="Normal 11 6 11 2 2" xfId="51544" xr:uid="{00000000-0005-0000-0000-000097C70000}"/>
    <cellStyle name="Normal 11 6 11 2 2 2" xfId="51545" xr:uid="{00000000-0005-0000-0000-000098C70000}"/>
    <cellStyle name="Normal 11 6 11 2 3" xfId="51546" xr:uid="{00000000-0005-0000-0000-000099C70000}"/>
    <cellStyle name="Normal 11 6 11 3" xfId="51547" xr:uid="{00000000-0005-0000-0000-00009AC70000}"/>
    <cellStyle name="Normal 11 6 11 3 2" xfId="51548" xr:uid="{00000000-0005-0000-0000-00009BC70000}"/>
    <cellStyle name="Normal 11 6 11 4" xfId="51549" xr:uid="{00000000-0005-0000-0000-00009CC70000}"/>
    <cellStyle name="Normal 11 6 12" xfId="51550" xr:uid="{00000000-0005-0000-0000-00009DC70000}"/>
    <cellStyle name="Normal 11 6 12 2" xfId="51551" xr:uid="{00000000-0005-0000-0000-00009EC70000}"/>
    <cellStyle name="Normal 11 6 12 2 2" xfId="51552" xr:uid="{00000000-0005-0000-0000-00009FC70000}"/>
    <cellStyle name="Normal 11 6 12 3" xfId="51553" xr:uid="{00000000-0005-0000-0000-0000A0C70000}"/>
    <cellStyle name="Normal 11 6 13" xfId="51554" xr:uid="{00000000-0005-0000-0000-0000A1C70000}"/>
    <cellStyle name="Normal 11 6 13 2" xfId="51555" xr:uid="{00000000-0005-0000-0000-0000A2C70000}"/>
    <cellStyle name="Normal 11 6 13 2 2" xfId="51556" xr:uid="{00000000-0005-0000-0000-0000A3C70000}"/>
    <cellStyle name="Normal 11 6 13 3" xfId="51557" xr:uid="{00000000-0005-0000-0000-0000A4C70000}"/>
    <cellStyle name="Normal 11 6 14" xfId="51558" xr:uid="{00000000-0005-0000-0000-0000A5C70000}"/>
    <cellStyle name="Normal 11 6 14 2" xfId="51559" xr:uid="{00000000-0005-0000-0000-0000A6C70000}"/>
    <cellStyle name="Normal 11 6 14 2 2" xfId="51560" xr:uid="{00000000-0005-0000-0000-0000A7C70000}"/>
    <cellStyle name="Normal 11 6 14 3" xfId="51561" xr:uid="{00000000-0005-0000-0000-0000A8C70000}"/>
    <cellStyle name="Normal 11 6 15" xfId="51562" xr:uid="{00000000-0005-0000-0000-0000A9C70000}"/>
    <cellStyle name="Normal 11 6 15 2" xfId="51563" xr:uid="{00000000-0005-0000-0000-0000AAC70000}"/>
    <cellStyle name="Normal 11 6 16" xfId="51564" xr:uid="{00000000-0005-0000-0000-0000ABC70000}"/>
    <cellStyle name="Normal 11 6 17" xfId="51565" xr:uid="{00000000-0005-0000-0000-0000ACC70000}"/>
    <cellStyle name="Normal 11 6 18" xfId="51533" xr:uid="{00000000-0005-0000-0000-0000ADC70000}"/>
    <cellStyle name="Normal 11 6 2" xfId="668" xr:uid="{00000000-0005-0000-0000-0000AEC70000}"/>
    <cellStyle name="Normal 11 6 2 10" xfId="51567" xr:uid="{00000000-0005-0000-0000-0000AFC70000}"/>
    <cellStyle name="Normal 11 6 2 10 2" xfId="51568" xr:uid="{00000000-0005-0000-0000-0000B0C70000}"/>
    <cellStyle name="Normal 11 6 2 10 2 2" xfId="51569" xr:uid="{00000000-0005-0000-0000-0000B1C70000}"/>
    <cellStyle name="Normal 11 6 2 10 2 2 2" xfId="51570" xr:uid="{00000000-0005-0000-0000-0000B2C70000}"/>
    <cellStyle name="Normal 11 6 2 10 2 3" xfId="51571" xr:uid="{00000000-0005-0000-0000-0000B3C70000}"/>
    <cellStyle name="Normal 11 6 2 10 3" xfId="51572" xr:uid="{00000000-0005-0000-0000-0000B4C70000}"/>
    <cellStyle name="Normal 11 6 2 10 3 2" xfId="51573" xr:uid="{00000000-0005-0000-0000-0000B5C70000}"/>
    <cellStyle name="Normal 11 6 2 10 4" xfId="51574" xr:uid="{00000000-0005-0000-0000-0000B6C70000}"/>
    <cellStyle name="Normal 11 6 2 11" xfId="51575" xr:uid="{00000000-0005-0000-0000-0000B7C70000}"/>
    <cellStyle name="Normal 11 6 2 11 2" xfId="51576" xr:uid="{00000000-0005-0000-0000-0000B8C70000}"/>
    <cellStyle name="Normal 11 6 2 11 2 2" xfId="51577" xr:uid="{00000000-0005-0000-0000-0000B9C70000}"/>
    <cellStyle name="Normal 11 6 2 11 3" xfId="51578" xr:uid="{00000000-0005-0000-0000-0000BAC70000}"/>
    <cellStyle name="Normal 11 6 2 12" xfId="51579" xr:uid="{00000000-0005-0000-0000-0000BBC70000}"/>
    <cellStyle name="Normal 11 6 2 12 2" xfId="51580" xr:uid="{00000000-0005-0000-0000-0000BCC70000}"/>
    <cellStyle name="Normal 11 6 2 12 2 2" xfId="51581" xr:uid="{00000000-0005-0000-0000-0000BDC70000}"/>
    <cellStyle name="Normal 11 6 2 12 3" xfId="51582" xr:uid="{00000000-0005-0000-0000-0000BEC70000}"/>
    <cellStyle name="Normal 11 6 2 13" xfId="51583" xr:uid="{00000000-0005-0000-0000-0000BFC70000}"/>
    <cellStyle name="Normal 11 6 2 13 2" xfId="51584" xr:uid="{00000000-0005-0000-0000-0000C0C70000}"/>
    <cellStyle name="Normal 11 6 2 13 2 2" xfId="51585" xr:uid="{00000000-0005-0000-0000-0000C1C70000}"/>
    <cellStyle name="Normal 11 6 2 13 3" xfId="51586" xr:uid="{00000000-0005-0000-0000-0000C2C70000}"/>
    <cellStyle name="Normal 11 6 2 14" xfId="51587" xr:uid="{00000000-0005-0000-0000-0000C3C70000}"/>
    <cellStyle name="Normal 11 6 2 14 2" xfId="51588" xr:uid="{00000000-0005-0000-0000-0000C4C70000}"/>
    <cellStyle name="Normal 11 6 2 15" xfId="51589" xr:uid="{00000000-0005-0000-0000-0000C5C70000}"/>
    <cellStyle name="Normal 11 6 2 16" xfId="51590" xr:uid="{00000000-0005-0000-0000-0000C6C70000}"/>
    <cellStyle name="Normal 11 6 2 17" xfId="51566" xr:uid="{00000000-0005-0000-0000-0000C7C70000}"/>
    <cellStyle name="Normal 11 6 2 2" xfId="669" xr:uid="{00000000-0005-0000-0000-0000C8C70000}"/>
    <cellStyle name="Normal 11 6 2 2 10" xfId="51592" xr:uid="{00000000-0005-0000-0000-0000C9C70000}"/>
    <cellStyle name="Normal 11 6 2 2 10 2" xfId="51593" xr:uid="{00000000-0005-0000-0000-0000CAC70000}"/>
    <cellStyle name="Normal 11 6 2 2 10 2 2" xfId="51594" xr:uid="{00000000-0005-0000-0000-0000CBC70000}"/>
    <cellStyle name="Normal 11 6 2 2 10 3" xfId="51595" xr:uid="{00000000-0005-0000-0000-0000CCC70000}"/>
    <cellStyle name="Normal 11 6 2 2 11" xfId="51596" xr:uid="{00000000-0005-0000-0000-0000CDC70000}"/>
    <cellStyle name="Normal 11 6 2 2 11 2" xfId="51597" xr:uid="{00000000-0005-0000-0000-0000CEC70000}"/>
    <cellStyle name="Normal 11 6 2 2 11 2 2" xfId="51598" xr:uid="{00000000-0005-0000-0000-0000CFC70000}"/>
    <cellStyle name="Normal 11 6 2 2 11 3" xfId="51599" xr:uid="{00000000-0005-0000-0000-0000D0C70000}"/>
    <cellStyle name="Normal 11 6 2 2 12" xfId="51600" xr:uid="{00000000-0005-0000-0000-0000D1C70000}"/>
    <cellStyle name="Normal 11 6 2 2 12 2" xfId="51601" xr:uid="{00000000-0005-0000-0000-0000D2C70000}"/>
    <cellStyle name="Normal 11 6 2 2 13" xfId="51602" xr:uid="{00000000-0005-0000-0000-0000D3C70000}"/>
    <cellStyle name="Normal 11 6 2 2 14" xfId="51603" xr:uid="{00000000-0005-0000-0000-0000D4C70000}"/>
    <cellStyle name="Normal 11 6 2 2 15" xfId="51591" xr:uid="{00000000-0005-0000-0000-0000D5C70000}"/>
    <cellStyle name="Normal 11 6 2 2 2" xfId="1111" xr:uid="{00000000-0005-0000-0000-0000D6C70000}"/>
    <cellStyle name="Normal 11 6 2 2 2 10" xfId="51605" xr:uid="{00000000-0005-0000-0000-0000D7C70000}"/>
    <cellStyle name="Normal 11 6 2 2 2 11" xfId="51604" xr:uid="{00000000-0005-0000-0000-0000D8C70000}"/>
    <cellStyle name="Normal 11 6 2 2 2 2" xfId="1840" xr:uid="{00000000-0005-0000-0000-0000D9C70000}"/>
    <cellStyle name="Normal 11 6 2 2 2 2 2" xfId="51607" xr:uid="{00000000-0005-0000-0000-0000DAC70000}"/>
    <cellStyle name="Normal 11 6 2 2 2 2 2 2" xfId="51608" xr:uid="{00000000-0005-0000-0000-0000DBC70000}"/>
    <cellStyle name="Normal 11 6 2 2 2 2 2 2 2" xfId="51609" xr:uid="{00000000-0005-0000-0000-0000DCC70000}"/>
    <cellStyle name="Normal 11 6 2 2 2 2 2 2 2 2" xfId="51610" xr:uid="{00000000-0005-0000-0000-0000DDC70000}"/>
    <cellStyle name="Normal 11 6 2 2 2 2 2 2 3" xfId="51611" xr:uid="{00000000-0005-0000-0000-0000DEC70000}"/>
    <cellStyle name="Normal 11 6 2 2 2 2 2 3" xfId="51612" xr:uid="{00000000-0005-0000-0000-0000DFC70000}"/>
    <cellStyle name="Normal 11 6 2 2 2 2 2 3 2" xfId="51613" xr:uid="{00000000-0005-0000-0000-0000E0C70000}"/>
    <cellStyle name="Normal 11 6 2 2 2 2 2 4" xfId="51614" xr:uid="{00000000-0005-0000-0000-0000E1C70000}"/>
    <cellStyle name="Normal 11 6 2 2 2 2 3" xfId="51615" xr:uid="{00000000-0005-0000-0000-0000E2C70000}"/>
    <cellStyle name="Normal 11 6 2 2 2 2 3 2" xfId="51616" xr:uid="{00000000-0005-0000-0000-0000E3C70000}"/>
    <cellStyle name="Normal 11 6 2 2 2 2 3 2 2" xfId="51617" xr:uid="{00000000-0005-0000-0000-0000E4C70000}"/>
    <cellStyle name="Normal 11 6 2 2 2 2 3 2 2 2" xfId="51618" xr:uid="{00000000-0005-0000-0000-0000E5C70000}"/>
    <cellStyle name="Normal 11 6 2 2 2 2 3 2 3" xfId="51619" xr:uid="{00000000-0005-0000-0000-0000E6C70000}"/>
    <cellStyle name="Normal 11 6 2 2 2 2 3 3" xfId="51620" xr:uid="{00000000-0005-0000-0000-0000E7C70000}"/>
    <cellStyle name="Normal 11 6 2 2 2 2 3 3 2" xfId="51621" xr:uid="{00000000-0005-0000-0000-0000E8C70000}"/>
    <cellStyle name="Normal 11 6 2 2 2 2 3 4" xfId="51622" xr:uid="{00000000-0005-0000-0000-0000E9C70000}"/>
    <cellStyle name="Normal 11 6 2 2 2 2 4" xfId="51623" xr:uid="{00000000-0005-0000-0000-0000EAC70000}"/>
    <cellStyle name="Normal 11 6 2 2 2 2 4 2" xfId="51624" xr:uid="{00000000-0005-0000-0000-0000EBC70000}"/>
    <cellStyle name="Normal 11 6 2 2 2 2 4 2 2" xfId="51625" xr:uid="{00000000-0005-0000-0000-0000ECC70000}"/>
    <cellStyle name="Normal 11 6 2 2 2 2 4 3" xfId="51626" xr:uid="{00000000-0005-0000-0000-0000EDC70000}"/>
    <cellStyle name="Normal 11 6 2 2 2 2 5" xfId="51627" xr:uid="{00000000-0005-0000-0000-0000EEC70000}"/>
    <cellStyle name="Normal 11 6 2 2 2 2 5 2" xfId="51628" xr:uid="{00000000-0005-0000-0000-0000EFC70000}"/>
    <cellStyle name="Normal 11 6 2 2 2 2 6" xfId="51629" xr:uid="{00000000-0005-0000-0000-0000F0C70000}"/>
    <cellStyle name="Normal 11 6 2 2 2 2 7" xfId="51606" xr:uid="{00000000-0005-0000-0000-0000F1C70000}"/>
    <cellStyle name="Normal 11 6 2 2 2 3" xfId="51630" xr:uid="{00000000-0005-0000-0000-0000F2C70000}"/>
    <cellStyle name="Normal 11 6 2 2 2 3 2" xfId="51631" xr:uid="{00000000-0005-0000-0000-0000F3C70000}"/>
    <cellStyle name="Normal 11 6 2 2 2 3 2 2" xfId="51632" xr:uid="{00000000-0005-0000-0000-0000F4C70000}"/>
    <cellStyle name="Normal 11 6 2 2 2 3 2 2 2" xfId="51633" xr:uid="{00000000-0005-0000-0000-0000F5C70000}"/>
    <cellStyle name="Normal 11 6 2 2 2 3 2 2 2 2" xfId="51634" xr:uid="{00000000-0005-0000-0000-0000F6C70000}"/>
    <cellStyle name="Normal 11 6 2 2 2 3 2 2 3" xfId="51635" xr:uid="{00000000-0005-0000-0000-0000F7C70000}"/>
    <cellStyle name="Normal 11 6 2 2 2 3 2 3" xfId="51636" xr:uid="{00000000-0005-0000-0000-0000F8C70000}"/>
    <cellStyle name="Normal 11 6 2 2 2 3 2 3 2" xfId="51637" xr:uid="{00000000-0005-0000-0000-0000F9C70000}"/>
    <cellStyle name="Normal 11 6 2 2 2 3 2 4" xfId="51638" xr:uid="{00000000-0005-0000-0000-0000FAC70000}"/>
    <cellStyle name="Normal 11 6 2 2 2 3 3" xfId="51639" xr:uid="{00000000-0005-0000-0000-0000FBC70000}"/>
    <cellStyle name="Normal 11 6 2 2 2 3 3 2" xfId="51640" xr:uid="{00000000-0005-0000-0000-0000FCC70000}"/>
    <cellStyle name="Normal 11 6 2 2 2 3 3 2 2" xfId="51641" xr:uid="{00000000-0005-0000-0000-0000FDC70000}"/>
    <cellStyle name="Normal 11 6 2 2 2 3 3 3" xfId="51642" xr:uid="{00000000-0005-0000-0000-0000FEC70000}"/>
    <cellStyle name="Normal 11 6 2 2 2 3 4" xfId="51643" xr:uid="{00000000-0005-0000-0000-0000FFC70000}"/>
    <cellStyle name="Normal 11 6 2 2 2 3 4 2" xfId="51644" xr:uid="{00000000-0005-0000-0000-000000C80000}"/>
    <cellStyle name="Normal 11 6 2 2 2 3 5" xfId="51645" xr:uid="{00000000-0005-0000-0000-000001C80000}"/>
    <cellStyle name="Normal 11 6 2 2 2 4" xfId="51646" xr:uid="{00000000-0005-0000-0000-000002C80000}"/>
    <cellStyle name="Normal 11 6 2 2 2 4 2" xfId="51647" xr:uid="{00000000-0005-0000-0000-000003C80000}"/>
    <cellStyle name="Normal 11 6 2 2 2 4 2 2" xfId="51648" xr:uid="{00000000-0005-0000-0000-000004C80000}"/>
    <cellStyle name="Normal 11 6 2 2 2 4 2 2 2" xfId="51649" xr:uid="{00000000-0005-0000-0000-000005C80000}"/>
    <cellStyle name="Normal 11 6 2 2 2 4 2 2 2 2" xfId="51650" xr:uid="{00000000-0005-0000-0000-000006C80000}"/>
    <cellStyle name="Normal 11 6 2 2 2 4 2 2 3" xfId="51651" xr:uid="{00000000-0005-0000-0000-000007C80000}"/>
    <cellStyle name="Normal 11 6 2 2 2 4 2 3" xfId="51652" xr:uid="{00000000-0005-0000-0000-000008C80000}"/>
    <cellStyle name="Normal 11 6 2 2 2 4 2 3 2" xfId="51653" xr:uid="{00000000-0005-0000-0000-000009C80000}"/>
    <cellStyle name="Normal 11 6 2 2 2 4 2 4" xfId="51654" xr:uid="{00000000-0005-0000-0000-00000AC80000}"/>
    <cellStyle name="Normal 11 6 2 2 2 4 3" xfId="51655" xr:uid="{00000000-0005-0000-0000-00000BC80000}"/>
    <cellStyle name="Normal 11 6 2 2 2 4 3 2" xfId="51656" xr:uid="{00000000-0005-0000-0000-00000CC80000}"/>
    <cellStyle name="Normal 11 6 2 2 2 4 3 2 2" xfId="51657" xr:uid="{00000000-0005-0000-0000-00000DC80000}"/>
    <cellStyle name="Normal 11 6 2 2 2 4 3 3" xfId="51658" xr:uid="{00000000-0005-0000-0000-00000EC80000}"/>
    <cellStyle name="Normal 11 6 2 2 2 4 4" xfId="51659" xr:uid="{00000000-0005-0000-0000-00000FC80000}"/>
    <cellStyle name="Normal 11 6 2 2 2 4 4 2" xfId="51660" xr:uid="{00000000-0005-0000-0000-000010C80000}"/>
    <cellStyle name="Normal 11 6 2 2 2 4 5" xfId="51661" xr:uid="{00000000-0005-0000-0000-000011C80000}"/>
    <cellStyle name="Normal 11 6 2 2 2 5" xfId="51662" xr:uid="{00000000-0005-0000-0000-000012C80000}"/>
    <cellStyle name="Normal 11 6 2 2 2 5 2" xfId="51663" xr:uid="{00000000-0005-0000-0000-000013C80000}"/>
    <cellStyle name="Normal 11 6 2 2 2 5 2 2" xfId="51664" xr:uid="{00000000-0005-0000-0000-000014C80000}"/>
    <cellStyle name="Normal 11 6 2 2 2 5 2 2 2" xfId="51665" xr:uid="{00000000-0005-0000-0000-000015C80000}"/>
    <cellStyle name="Normal 11 6 2 2 2 5 2 3" xfId="51666" xr:uid="{00000000-0005-0000-0000-000016C80000}"/>
    <cellStyle name="Normal 11 6 2 2 2 5 3" xfId="51667" xr:uid="{00000000-0005-0000-0000-000017C80000}"/>
    <cellStyle name="Normal 11 6 2 2 2 5 3 2" xfId="51668" xr:uid="{00000000-0005-0000-0000-000018C80000}"/>
    <cellStyle name="Normal 11 6 2 2 2 5 4" xfId="51669" xr:uid="{00000000-0005-0000-0000-000019C80000}"/>
    <cellStyle name="Normal 11 6 2 2 2 6" xfId="51670" xr:uid="{00000000-0005-0000-0000-00001AC80000}"/>
    <cellStyle name="Normal 11 6 2 2 2 6 2" xfId="51671" xr:uid="{00000000-0005-0000-0000-00001BC80000}"/>
    <cellStyle name="Normal 11 6 2 2 2 6 2 2" xfId="51672" xr:uid="{00000000-0005-0000-0000-00001CC80000}"/>
    <cellStyle name="Normal 11 6 2 2 2 6 2 2 2" xfId="51673" xr:uid="{00000000-0005-0000-0000-00001DC80000}"/>
    <cellStyle name="Normal 11 6 2 2 2 6 2 3" xfId="51674" xr:uid="{00000000-0005-0000-0000-00001EC80000}"/>
    <cellStyle name="Normal 11 6 2 2 2 6 3" xfId="51675" xr:uid="{00000000-0005-0000-0000-00001FC80000}"/>
    <cellStyle name="Normal 11 6 2 2 2 6 3 2" xfId="51676" xr:uid="{00000000-0005-0000-0000-000020C80000}"/>
    <cellStyle name="Normal 11 6 2 2 2 6 4" xfId="51677" xr:uid="{00000000-0005-0000-0000-000021C80000}"/>
    <cellStyle name="Normal 11 6 2 2 2 7" xfId="51678" xr:uid="{00000000-0005-0000-0000-000022C80000}"/>
    <cellStyle name="Normal 11 6 2 2 2 7 2" xfId="51679" xr:uid="{00000000-0005-0000-0000-000023C80000}"/>
    <cellStyle name="Normal 11 6 2 2 2 7 2 2" xfId="51680" xr:uid="{00000000-0005-0000-0000-000024C80000}"/>
    <cellStyle name="Normal 11 6 2 2 2 7 2 2 2" xfId="51681" xr:uid="{00000000-0005-0000-0000-000025C80000}"/>
    <cellStyle name="Normal 11 6 2 2 2 7 2 3" xfId="51682" xr:uid="{00000000-0005-0000-0000-000026C80000}"/>
    <cellStyle name="Normal 11 6 2 2 2 7 3" xfId="51683" xr:uid="{00000000-0005-0000-0000-000027C80000}"/>
    <cellStyle name="Normal 11 6 2 2 2 7 3 2" xfId="51684" xr:uid="{00000000-0005-0000-0000-000028C80000}"/>
    <cellStyle name="Normal 11 6 2 2 2 7 4" xfId="51685" xr:uid="{00000000-0005-0000-0000-000029C80000}"/>
    <cellStyle name="Normal 11 6 2 2 2 8" xfId="51686" xr:uid="{00000000-0005-0000-0000-00002AC80000}"/>
    <cellStyle name="Normal 11 6 2 2 2 8 2" xfId="51687" xr:uid="{00000000-0005-0000-0000-00002BC80000}"/>
    <cellStyle name="Normal 11 6 2 2 2 8 2 2" xfId="51688" xr:uid="{00000000-0005-0000-0000-00002CC80000}"/>
    <cellStyle name="Normal 11 6 2 2 2 8 3" xfId="51689" xr:uid="{00000000-0005-0000-0000-00002DC80000}"/>
    <cellStyle name="Normal 11 6 2 2 2 9" xfId="51690" xr:uid="{00000000-0005-0000-0000-00002EC80000}"/>
    <cellStyle name="Normal 11 6 2 2 2 9 2" xfId="51691" xr:uid="{00000000-0005-0000-0000-00002FC80000}"/>
    <cellStyle name="Normal 11 6 2 2 3" xfId="1513" xr:uid="{00000000-0005-0000-0000-000030C80000}"/>
    <cellStyle name="Normal 11 6 2 2 3 2" xfId="51693" xr:uid="{00000000-0005-0000-0000-000031C80000}"/>
    <cellStyle name="Normal 11 6 2 2 3 2 2" xfId="51694" xr:uid="{00000000-0005-0000-0000-000032C80000}"/>
    <cellStyle name="Normal 11 6 2 2 3 2 2 2" xfId="51695" xr:uid="{00000000-0005-0000-0000-000033C80000}"/>
    <cellStyle name="Normal 11 6 2 2 3 2 2 2 2" xfId="51696" xr:uid="{00000000-0005-0000-0000-000034C80000}"/>
    <cellStyle name="Normal 11 6 2 2 3 2 2 3" xfId="51697" xr:uid="{00000000-0005-0000-0000-000035C80000}"/>
    <cellStyle name="Normal 11 6 2 2 3 2 3" xfId="51698" xr:uid="{00000000-0005-0000-0000-000036C80000}"/>
    <cellStyle name="Normal 11 6 2 2 3 2 3 2" xfId="51699" xr:uid="{00000000-0005-0000-0000-000037C80000}"/>
    <cellStyle name="Normal 11 6 2 2 3 2 4" xfId="51700" xr:uid="{00000000-0005-0000-0000-000038C80000}"/>
    <cellStyle name="Normal 11 6 2 2 3 3" xfId="51701" xr:uid="{00000000-0005-0000-0000-000039C80000}"/>
    <cellStyle name="Normal 11 6 2 2 3 3 2" xfId="51702" xr:uid="{00000000-0005-0000-0000-00003AC80000}"/>
    <cellStyle name="Normal 11 6 2 2 3 3 2 2" xfId="51703" xr:uid="{00000000-0005-0000-0000-00003BC80000}"/>
    <cellStyle name="Normal 11 6 2 2 3 3 2 2 2" xfId="51704" xr:uid="{00000000-0005-0000-0000-00003CC80000}"/>
    <cellStyle name="Normal 11 6 2 2 3 3 2 3" xfId="51705" xr:uid="{00000000-0005-0000-0000-00003DC80000}"/>
    <cellStyle name="Normal 11 6 2 2 3 3 3" xfId="51706" xr:uid="{00000000-0005-0000-0000-00003EC80000}"/>
    <cellStyle name="Normal 11 6 2 2 3 3 3 2" xfId="51707" xr:uid="{00000000-0005-0000-0000-00003FC80000}"/>
    <cellStyle name="Normal 11 6 2 2 3 3 4" xfId="51708" xr:uid="{00000000-0005-0000-0000-000040C80000}"/>
    <cellStyle name="Normal 11 6 2 2 3 4" xfId="51709" xr:uid="{00000000-0005-0000-0000-000041C80000}"/>
    <cellStyle name="Normal 11 6 2 2 3 4 2" xfId="51710" xr:uid="{00000000-0005-0000-0000-000042C80000}"/>
    <cellStyle name="Normal 11 6 2 2 3 4 2 2" xfId="51711" xr:uid="{00000000-0005-0000-0000-000043C80000}"/>
    <cellStyle name="Normal 11 6 2 2 3 4 3" xfId="51712" xr:uid="{00000000-0005-0000-0000-000044C80000}"/>
    <cellStyle name="Normal 11 6 2 2 3 5" xfId="51713" xr:uid="{00000000-0005-0000-0000-000045C80000}"/>
    <cellStyle name="Normal 11 6 2 2 3 5 2" xfId="51714" xr:uid="{00000000-0005-0000-0000-000046C80000}"/>
    <cellStyle name="Normal 11 6 2 2 3 6" xfId="51715" xr:uid="{00000000-0005-0000-0000-000047C80000}"/>
    <cellStyle name="Normal 11 6 2 2 3 7" xfId="51692" xr:uid="{00000000-0005-0000-0000-000048C80000}"/>
    <cellStyle name="Normal 11 6 2 2 4" xfId="51716" xr:uid="{00000000-0005-0000-0000-000049C80000}"/>
    <cellStyle name="Normal 11 6 2 2 4 2" xfId="51717" xr:uid="{00000000-0005-0000-0000-00004AC80000}"/>
    <cellStyle name="Normal 11 6 2 2 4 2 2" xfId="51718" xr:uid="{00000000-0005-0000-0000-00004BC80000}"/>
    <cellStyle name="Normal 11 6 2 2 4 2 2 2" xfId="51719" xr:uid="{00000000-0005-0000-0000-00004CC80000}"/>
    <cellStyle name="Normal 11 6 2 2 4 2 2 2 2" xfId="51720" xr:uid="{00000000-0005-0000-0000-00004DC80000}"/>
    <cellStyle name="Normal 11 6 2 2 4 2 2 3" xfId="51721" xr:uid="{00000000-0005-0000-0000-00004EC80000}"/>
    <cellStyle name="Normal 11 6 2 2 4 2 3" xfId="51722" xr:uid="{00000000-0005-0000-0000-00004FC80000}"/>
    <cellStyle name="Normal 11 6 2 2 4 2 3 2" xfId="51723" xr:uid="{00000000-0005-0000-0000-000050C80000}"/>
    <cellStyle name="Normal 11 6 2 2 4 2 4" xfId="51724" xr:uid="{00000000-0005-0000-0000-000051C80000}"/>
    <cellStyle name="Normal 11 6 2 2 4 3" xfId="51725" xr:uid="{00000000-0005-0000-0000-000052C80000}"/>
    <cellStyle name="Normal 11 6 2 2 4 3 2" xfId="51726" xr:uid="{00000000-0005-0000-0000-000053C80000}"/>
    <cellStyle name="Normal 11 6 2 2 4 3 2 2" xfId="51727" xr:uid="{00000000-0005-0000-0000-000054C80000}"/>
    <cellStyle name="Normal 11 6 2 2 4 3 3" xfId="51728" xr:uid="{00000000-0005-0000-0000-000055C80000}"/>
    <cellStyle name="Normal 11 6 2 2 4 4" xfId="51729" xr:uid="{00000000-0005-0000-0000-000056C80000}"/>
    <cellStyle name="Normal 11 6 2 2 4 4 2" xfId="51730" xr:uid="{00000000-0005-0000-0000-000057C80000}"/>
    <cellStyle name="Normal 11 6 2 2 4 5" xfId="51731" xr:uid="{00000000-0005-0000-0000-000058C80000}"/>
    <cellStyle name="Normal 11 6 2 2 5" xfId="51732" xr:uid="{00000000-0005-0000-0000-000059C80000}"/>
    <cellStyle name="Normal 11 6 2 2 5 2" xfId="51733" xr:uid="{00000000-0005-0000-0000-00005AC80000}"/>
    <cellStyle name="Normal 11 6 2 2 5 2 2" xfId="51734" xr:uid="{00000000-0005-0000-0000-00005BC80000}"/>
    <cellStyle name="Normal 11 6 2 2 5 2 2 2" xfId="51735" xr:uid="{00000000-0005-0000-0000-00005CC80000}"/>
    <cellStyle name="Normal 11 6 2 2 5 2 2 2 2" xfId="51736" xr:uid="{00000000-0005-0000-0000-00005DC80000}"/>
    <cellStyle name="Normal 11 6 2 2 5 2 2 3" xfId="51737" xr:uid="{00000000-0005-0000-0000-00005EC80000}"/>
    <cellStyle name="Normal 11 6 2 2 5 2 3" xfId="51738" xr:uid="{00000000-0005-0000-0000-00005FC80000}"/>
    <cellStyle name="Normal 11 6 2 2 5 2 3 2" xfId="51739" xr:uid="{00000000-0005-0000-0000-000060C80000}"/>
    <cellStyle name="Normal 11 6 2 2 5 2 4" xfId="51740" xr:uid="{00000000-0005-0000-0000-000061C80000}"/>
    <cellStyle name="Normal 11 6 2 2 5 3" xfId="51741" xr:uid="{00000000-0005-0000-0000-000062C80000}"/>
    <cellStyle name="Normal 11 6 2 2 5 3 2" xfId="51742" xr:uid="{00000000-0005-0000-0000-000063C80000}"/>
    <cellStyle name="Normal 11 6 2 2 5 3 2 2" xfId="51743" xr:uid="{00000000-0005-0000-0000-000064C80000}"/>
    <cellStyle name="Normal 11 6 2 2 5 3 3" xfId="51744" xr:uid="{00000000-0005-0000-0000-000065C80000}"/>
    <cellStyle name="Normal 11 6 2 2 5 4" xfId="51745" xr:uid="{00000000-0005-0000-0000-000066C80000}"/>
    <cellStyle name="Normal 11 6 2 2 5 4 2" xfId="51746" xr:uid="{00000000-0005-0000-0000-000067C80000}"/>
    <cellStyle name="Normal 11 6 2 2 5 5" xfId="51747" xr:uid="{00000000-0005-0000-0000-000068C80000}"/>
    <cellStyle name="Normal 11 6 2 2 6" xfId="51748" xr:uid="{00000000-0005-0000-0000-000069C80000}"/>
    <cellStyle name="Normal 11 6 2 2 6 2" xfId="51749" xr:uid="{00000000-0005-0000-0000-00006AC80000}"/>
    <cellStyle name="Normal 11 6 2 2 6 2 2" xfId="51750" xr:uid="{00000000-0005-0000-0000-00006BC80000}"/>
    <cellStyle name="Normal 11 6 2 2 6 2 2 2" xfId="51751" xr:uid="{00000000-0005-0000-0000-00006CC80000}"/>
    <cellStyle name="Normal 11 6 2 2 6 2 3" xfId="51752" xr:uid="{00000000-0005-0000-0000-00006DC80000}"/>
    <cellStyle name="Normal 11 6 2 2 6 3" xfId="51753" xr:uid="{00000000-0005-0000-0000-00006EC80000}"/>
    <cellStyle name="Normal 11 6 2 2 6 3 2" xfId="51754" xr:uid="{00000000-0005-0000-0000-00006FC80000}"/>
    <cellStyle name="Normal 11 6 2 2 6 4" xfId="51755" xr:uid="{00000000-0005-0000-0000-000070C80000}"/>
    <cellStyle name="Normal 11 6 2 2 7" xfId="51756" xr:uid="{00000000-0005-0000-0000-000071C80000}"/>
    <cellStyle name="Normal 11 6 2 2 7 2" xfId="51757" xr:uid="{00000000-0005-0000-0000-000072C80000}"/>
    <cellStyle name="Normal 11 6 2 2 7 2 2" xfId="51758" xr:uid="{00000000-0005-0000-0000-000073C80000}"/>
    <cellStyle name="Normal 11 6 2 2 7 2 2 2" xfId="51759" xr:uid="{00000000-0005-0000-0000-000074C80000}"/>
    <cellStyle name="Normal 11 6 2 2 7 2 3" xfId="51760" xr:uid="{00000000-0005-0000-0000-000075C80000}"/>
    <cellStyle name="Normal 11 6 2 2 7 3" xfId="51761" xr:uid="{00000000-0005-0000-0000-000076C80000}"/>
    <cellStyle name="Normal 11 6 2 2 7 3 2" xfId="51762" xr:uid="{00000000-0005-0000-0000-000077C80000}"/>
    <cellStyle name="Normal 11 6 2 2 7 4" xfId="51763" xr:uid="{00000000-0005-0000-0000-000078C80000}"/>
    <cellStyle name="Normal 11 6 2 2 8" xfId="51764" xr:uid="{00000000-0005-0000-0000-000079C80000}"/>
    <cellStyle name="Normal 11 6 2 2 8 2" xfId="51765" xr:uid="{00000000-0005-0000-0000-00007AC80000}"/>
    <cellStyle name="Normal 11 6 2 2 8 2 2" xfId="51766" xr:uid="{00000000-0005-0000-0000-00007BC80000}"/>
    <cellStyle name="Normal 11 6 2 2 8 2 2 2" xfId="51767" xr:uid="{00000000-0005-0000-0000-00007CC80000}"/>
    <cellStyle name="Normal 11 6 2 2 8 2 3" xfId="51768" xr:uid="{00000000-0005-0000-0000-00007DC80000}"/>
    <cellStyle name="Normal 11 6 2 2 8 3" xfId="51769" xr:uid="{00000000-0005-0000-0000-00007EC80000}"/>
    <cellStyle name="Normal 11 6 2 2 8 3 2" xfId="51770" xr:uid="{00000000-0005-0000-0000-00007FC80000}"/>
    <cellStyle name="Normal 11 6 2 2 8 4" xfId="51771" xr:uid="{00000000-0005-0000-0000-000080C80000}"/>
    <cellStyle name="Normal 11 6 2 2 9" xfId="51772" xr:uid="{00000000-0005-0000-0000-000081C80000}"/>
    <cellStyle name="Normal 11 6 2 2 9 2" xfId="51773" xr:uid="{00000000-0005-0000-0000-000082C80000}"/>
    <cellStyle name="Normal 11 6 2 2 9 2 2" xfId="51774" xr:uid="{00000000-0005-0000-0000-000083C80000}"/>
    <cellStyle name="Normal 11 6 2 2 9 3" xfId="51775" xr:uid="{00000000-0005-0000-0000-000084C80000}"/>
    <cellStyle name="Normal 11 6 2 3" xfId="670" xr:uid="{00000000-0005-0000-0000-000085C80000}"/>
    <cellStyle name="Normal 11 6 2 3 10" xfId="51777" xr:uid="{00000000-0005-0000-0000-000086C80000}"/>
    <cellStyle name="Normal 11 6 2 3 10 2" xfId="51778" xr:uid="{00000000-0005-0000-0000-000087C80000}"/>
    <cellStyle name="Normal 11 6 2 3 10 2 2" xfId="51779" xr:uid="{00000000-0005-0000-0000-000088C80000}"/>
    <cellStyle name="Normal 11 6 2 3 10 3" xfId="51780" xr:uid="{00000000-0005-0000-0000-000089C80000}"/>
    <cellStyle name="Normal 11 6 2 3 11" xfId="51781" xr:uid="{00000000-0005-0000-0000-00008AC80000}"/>
    <cellStyle name="Normal 11 6 2 3 11 2" xfId="51782" xr:uid="{00000000-0005-0000-0000-00008BC80000}"/>
    <cellStyle name="Normal 11 6 2 3 11 2 2" xfId="51783" xr:uid="{00000000-0005-0000-0000-00008CC80000}"/>
    <cellStyle name="Normal 11 6 2 3 11 3" xfId="51784" xr:uid="{00000000-0005-0000-0000-00008DC80000}"/>
    <cellStyle name="Normal 11 6 2 3 12" xfId="51785" xr:uid="{00000000-0005-0000-0000-00008EC80000}"/>
    <cellStyle name="Normal 11 6 2 3 12 2" xfId="51786" xr:uid="{00000000-0005-0000-0000-00008FC80000}"/>
    <cellStyle name="Normal 11 6 2 3 13" xfId="51787" xr:uid="{00000000-0005-0000-0000-000090C80000}"/>
    <cellStyle name="Normal 11 6 2 3 14" xfId="51788" xr:uid="{00000000-0005-0000-0000-000091C80000}"/>
    <cellStyle name="Normal 11 6 2 3 15" xfId="51776" xr:uid="{00000000-0005-0000-0000-000092C80000}"/>
    <cellStyle name="Normal 11 6 2 3 2" xfId="1112" xr:uid="{00000000-0005-0000-0000-000093C80000}"/>
    <cellStyle name="Normal 11 6 2 3 2 10" xfId="51790" xr:uid="{00000000-0005-0000-0000-000094C80000}"/>
    <cellStyle name="Normal 11 6 2 3 2 11" xfId="51789" xr:uid="{00000000-0005-0000-0000-000095C80000}"/>
    <cellStyle name="Normal 11 6 2 3 2 2" xfId="1841" xr:uid="{00000000-0005-0000-0000-000096C80000}"/>
    <cellStyle name="Normal 11 6 2 3 2 2 2" xfId="51792" xr:uid="{00000000-0005-0000-0000-000097C80000}"/>
    <cellStyle name="Normal 11 6 2 3 2 2 2 2" xfId="51793" xr:uid="{00000000-0005-0000-0000-000098C80000}"/>
    <cellStyle name="Normal 11 6 2 3 2 2 2 2 2" xfId="51794" xr:uid="{00000000-0005-0000-0000-000099C80000}"/>
    <cellStyle name="Normal 11 6 2 3 2 2 2 2 2 2" xfId="51795" xr:uid="{00000000-0005-0000-0000-00009AC80000}"/>
    <cellStyle name="Normal 11 6 2 3 2 2 2 2 3" xfId="51796" xr:uid="{00000000-0005-0000-0000-00009BC80000}"/>
    <cellStyle name="Normal 11 6 2 3 2 2 2 3" xfId="51797" xr:uid="{00000000-0005-0000-0000-00009CC80000}"/>
    <cellStyle name="Normal 11 6 2 3 2 2 2 3 2" xfId="51798" xr:uid="{00000000-0005-0000-0000-00009DC80000}"/>
    <cellStyle name="Normal 11 6 2 3 2 2 2 4" xfId="51799" xr:uid="{00000000-0005-0000-0000-00009EC80000}"/>
    <cellStyle name="Normal 11 6 2 3 2 2 3" xfId="51800" xr:uid="{00000000-0005-0000-0000-00009FC80000}"/>
    <cellStyle name="Normal 11 6 2 3 2 2 3 2" xfId="51801" xr:uid="{00000000-0005-0000-0000-0000A0C80000}"/>
    <cellStyle name="Normal 11 6 2 3 2 2 3 2 2" xfId="51802" xr:uid="{00000000-0005-0000-0000-0000A1C80000}"/>
    <cellStyle name="Normal 11 6 2 3 2 2 3 2 2 2" xfId="51803" xr:uid="{00000000-0005-0000-0000-0000A2C80000}"/>
    <cellStyle name="Normal 11 6 2 3 2 2 3 2 3" xfId="51804" xr:uid="{00000000-0005-0000-0000-0000A3C80000}"/>
    <cellStyle name="Normal 11 6 2 3 2 2 3 3" xfId="51805" xr:uid="{00000000-0005-0000-0000-0000A4C80000}"/>
    <cellStyle name="Normal 11 6 2 3 2 2 3 3 2" xfId="51806" xr:uid="{00000000-0005-0000-0000-0000A5C80000}"/>
    <cellStyle name="Normal 11 6 2 3 2 2 3 4" xfId="51807" xr:uid="{00000000-0005-0000-0000-0000A6C80000}"/>
    <cellStyle name="Normal 11 6 2 3 2 2 4" xfId="51808" xr:uid="{00000000-0005-0000-0000-0000A7C80000}"/>
    <cellStyle name="Normal 11 6 2 3 2 2 4 2" xfId="51809" xr:uid="{00000000-0005-0000-0000-0000A8C80000}"/>
    <cellStyle name="Normal 11 6 2 3 2 2 4 2 2" xfId="51810" xr:uid="{00000000-0005-0000-0000-0000A9C80000}"/>
    <cellStyle name="Normal 11 6 2 3 2 2 4 3" xfId="51811" xr:uid="{00000000-0005-0000-0000-0000AAC80000}"/>
    <cellStyle name="Normal 11 6 2 3 2 2 5" xfId="51812" xr:uid="{00000000-0005-0000-0000-0000ABC80000}"/>
    <cellStyle name="Normal 11 6 2 3 2 2 5 2" xfId="51813" xr:uid="{00000000-0005-0000-0000-0000ACC80000}"/>
    <cellStyle name="Normal 11 6 2 3 2 2 6" xfId="51814" xr:uid="{00000000-0005-0000-0000-0000ADC80000}"/>
    <cellStyle name="Normal 11 6 2 3 2 2 7" xfId="51791" xr:uid="{00000000-0005-0000-0000-0000AEC80000}"/>
    <cellStyle name="Normal 11 6 2 3 2 3" xfId="51815" xr:uid="{00000000-0005-0000-0000-0000AFC80000}"/>
    <cellStyle name="Normal 11 6 2 3 2 3 2" xfId="51816" xr:uid="{00000000-0005-0000-0000-0000B0C80000}"/>
    <cellStyle name="Normal 11 6 2 3 2 3 2 2" xfId="51817" xr:uid="{00000000-0005-0000-0000-0000B1C80000}"/>
    <cellStyle name="Normal 11 6 2 3 2 3 2 2 2" xfId="51818" xr:uid="{00000000-0005-0000-0000-0000B2C80000}"/>
    <cellStyle name="Normal 11 6 2 3 2 3 2 2 2 2" xfId="51819" xr:uid="{00000000-0005-0000-0000-0000B3C80000}"/>
    <cellStyle name="Normal 11 6 2 3 2 3 2 2 3" xfId="51820" xr:uid="{00000000-0005-0000-0000-0000B4C80000}"/>
    <cellStyle name="Normal 11 6 2 3 2 3 2 3" xfId="51821" xr:uid="{00000000-0005-0000-0000-0000B5C80000}"/>
    <cellStyle name="Normal 11 6 2 3 2 3 2 3 2" xfId="51822" xr:uid="{00000000-0005-0000-0000-0000B6C80000}"/>
    <cellStyle name="Normal 11 6 2 3 2 3 2 4" xfId="51823" xr:uid="{00000000-0005-0000-0000-0000B7C80000}"/>
    <cellStyle name="Normal 11 6 2 3 2 3 3" xfId="51824" xr:uid="{00000000-0005-0000-0000-0000B8C80000}"/>
    <cellStyle name="Normal 11 6 2 3 2 3 3 2" xfId="51825" xr:uid="{00000000-0005-0000-0000-0000B9C80000}"/>
    <cellStyle name="Normal 11 6 2 3 2 3 3 2 2" xfId="51826" xr:uid="{00000000-0005-0000-0000-0000BAC80000}"/>
    <cellStyle name="Normal 11 6 2 3 2 3 3 3" xfId="51827" xr:uid="{00000000-0005-0000-0000-0000BBC80000}"/>
    <cellStyle name="Normal 11 6 2 3 2 3 4" xfId="51828" xr:uid="{00000000-0005-0000-0000-0000BCC80000}"/>
    <cellStyle name="Normal 11 6 2 3 2 3 4 2" xfId="51829" xr:uid="{00000000-0005-0000-0000-0000BDC80000}"/>
    <cellStyle name="Normal 11 6 2 3 2 3 5" xfId="51830" xr:uid="{00000000-0005-0000-0000-0000BEC80000}"/>
    <cellStyle name="Normal 11 6 2 3 2 4" xfId="51831" xr:uid="{00000000-0005-0000-0000-0000BFC80000}"/>
    <cellStyle name="Normal 11 6 2 3 2 4 2" xfId="51832" xr:uid="{00000000-0005-0000-0000-0000C0C80000}"/>
    <cellStyle name="Normal 11 6 2 3 2 4 2 2" xfId="51833" xr:uid="{00000000-0005-0000-0000-0000C1C80000}"/>
    <cellStyle name="Normal 11 6 2 3 2 4 2 2 2" xfId="51834" xr:uid="{00000000-0005-0000-0000-0000C2C80000}"/>
    <cellStyle name="Normal 11 6 2 3 2 4 2 2 2 2" xfId="51835" xr:uid="{00000000-0005-0000-0000-0000C3C80000}"/>
    <cellStyle name="Normal 11 6 2 3 2 4 2 2 3" xfId="51836" xr:uid="{00000000-0005-0000-0000-0000C4C80000}"/>
    <cellStyle name="Normal 11 6 2 3 2 4 2 3" xfId="51837" xr:uid="{00000000-0005-0000-0000-0000C5C80000}"/>
    <cellStyle name="Normal 11 6 2 3 2 4 2 3 2" xfId="51838" xr:uid="{00000000-0005-0000-0000-0000C6C80000}"/>
    <cellStyle name="Normal 11 6 2 3 2 4 2 4" xfId="51839" xr:uid="{00000000-0005-0000-0000-0000C7C80000}"/>
    <cellStyle name="Normal 11 6 2 3 2 4 3" xfId="51840" xr:uid="{00000000-0005-0000-0000-0000C8C80000}"/>
    <cellStyle name="Normal 11 6 2 3 2 4 3 2" xfId="51841" xr:uid="{00000000-0005-0000-0000-0000C9C80000}"/>
    <cellStyle name="Normal 11 6 2 3 2 4 3 2 2" xfId="51842" xr:uid="{00000000-0005-0000-0000-0000CAC80000}"/>
    <cellStyle name="Normal 11 6 2 3 2 4 3 3" xfId="51843" xr:uid="{00000000-0005-0000-0000-0000CBC80000}"/>
    <cellStyle name="Normal 11 6 2 3 2 4 4" xfId="51844" xr:uid="{00000000-0005-0000-0000-0000CCC80000}"/>
    <cellStyle name="Normal 11 6 2 3 2 4 4 2" xfId="51845" xr:uid="{00000000-0005-0000-0000-0000CDC80000}"/>
    <cellStyle name="Normal 11 6 2 3 2 4 5" xfId="51846" xr:uid="{00000000-0005-0000-0000-0000CEC80000}"/>
    <cellStyle name="Normal 11 6 2 3 2 5" xfId="51847" xr:uid="{00000000-0005-0000-0000-0000CFC80000}"/>
    <cellStyle name="Normal 11 6 2 3 2 5 2" xfId="51848" xr:uid="{00000000-0005-0000-0000-0000D0C80000}"/>
    <cellStyle name="Normal 11 6 2 3 2 5 2 2" xfId="51849" xr:uid="{00000000-0005-0000-0000-0000D1C80000}"/>
    <cellStyle name="Normal 11 6 2 3 2 5 2 2 2" xfId="51850" xr:uid="{00000000-0005-0000-0000-0000D2C80000}"/>
    <cellStyle name="Normal 11 6 2 3 2 5 2 3" xfId="51851" xr:uid="{00000000-0005-0000-0000-0000D3C80000}"/>
    <cellStyle name="Normal 11 6 2 3 2 5 3" xfId="51852" xr:uid="{00000000-0005-0000-0000-0000D4C80000}"/>
    <cellStyle name="Normal 11 6 2 3 2 5 3 2" xfId="51853" xr:uid="{00000000-0005-0000-0000-0000D5C80000}"/>
    <cellStyle name="Normal 11 6 2 3 2 5 4" xfId="51854" xr:uid="{00000000-0005-0000-0000-0000D6C80000}"/>
    <cellStyle name="Normal 11 6 2 3 2 6" xfId="51855" xr:uid="{00000000-0005-0000-0000-0000D7C80000}"/>
    <cellStyle name="Normal 11 6 2 3 2 6 2" xfId="51856" xr:uid="{00000000-0005-0000-0000-0000D8C80000}"/>
    <cellStyle name="Normal 11 6 2 3 2 6 2 2" xfId="51857" xr:uid="{00000000-0005-0000-0000-0000D9C80000}"/>
    <cellStyle name="Normal 11 6 2 3 2 6 2 2 2" xfId="51858" xr:uid="{00000000-0005-0000-0000-0000DAC80000}"/>
    <cellStyle name="Normal 11 6 2 3 2 6 2 3" xfId="51859" xr:uid="{00000000-0005-0000-0000-0000DBC80000}"/>
    <cellStyle name="Normal 11 6 2 3 2 6 3" xfId="51860" xr:uid="{00000000-0005-0000-0000-0000DCC80000}"/>
    <cellStyle name="Normal 11 6 2 3 2 6 3 2" xfId="51861" xr:uid="{00000000-0005-0000-0000-0000DDC80000}"/>
    <cellStyle name="Normal 11 6 2 3 2 6 4" xfId="51862" xr:uid="{00000000-0005-0000-0000-0000DEC80000}"/>
    <cellStyle name="Normal 11 6 2 3 2 7" xfId="51863" xr:uid="{00000000-0005-0000-0000-0000DFC80000}"/>
    <cellStyle name="Normal 11 6 2 3 2 7 2" xfId="51864" xr:uid="{00000000-0005-0000-0000-0000E0C80000}"/>
    <cellStyle name="Normal 11 6 2 3 2 7 2 2" xfId="51865" xr:uid="{00000000-0005-0000-0000-0000E1C80000}"/>
    <cellStyle name="Normal 11 6 2 3 2 7 2 2 2" xfId="51866" xr:uid="{00000000-0005-0000-0000-0000E2C80000}"/>
    <cellStyle name="Normal 11 6 2 3 2 7 2 3" xfId="51867" xr:uid="{00000000-0005-0000-0000-0000E3C80000}"/>
    <cellStyle name="Normal 11 6 2 3 2 7 3" xfId="51868" xr:uid="{00000000-0005-0000-0000-0000E4C80000}"/>
    <cellStyle name="Normal 11 6 2 3 2 7 3 2" xfId="51869" xr:uid="{00000000-0005-0000-0000-0000E5C80000}"/>
    <cellStyle name="Normal 11 6 2 3 2 7 4" xfId="51870" xr:uid="{00000000-0005-0000-0000-0000E6C80000}"/>
    <cellStyle name="Normal 11 6 2 3 2 8" xfId="51871" xr:uid="{00000000-0005-0000-0000-0000E7C80000}"/>
    <cellStyle name="Normal 11 6 2 3 2 8 2" xfId="51872" xr:uid="{00000000-0005-0000-0000-0000E8C80000}"/>
    <cellStyle name="Normal 11 6 2 3 2 8 2 2" xfId="51873" xr:uid="{00000000-0005-0000-0000-0000E9C80000}"/>
    <cellStyle name="Normal 11 6 2 3 2 8 3" xfId="51874" xr:uid="{00000000-0005-0000-0000-0000EAC80000}"/>
    <cellStyle name="Normal 11 6 2 3 2 9" xfId="51875" xr:uid="{00000000-0005-0000-0000-0000EBC80000}"/>
    <cellStyle name="Normal 11 6 2 3 2 9 2" xfId="51876" xr:uid="{00000000-0005-0000-0000-0000ECC80000}"/>
    <cellStyle name="Normal 11 6 2 3 3" xfId="1514" xr:uid="{00000000-0005-0000-0000-0000EDC80000}"/>
    <cellStyle name="Normal 11 6 2 3 3 2" xfId="51878" xr:uid="{00000000-0005-0000-0000-0000EEC80000}"/>
    <cellStyle name="Normal 11 6 2 3 3 2 2" xfId="51879" xr:uid="{00000000-0005-0000-0000-0000EFC80000}"/>
    <cellStyle name="Normal 11 6 2 3 3 2 2 2" xfId="51880" xr:uid="{00000000-0005-0000-0000-0000F0C80000}"/>
    <cellStyle name="Normal 11 6 2 3 3 2 2 2 2" xfId="51881" xr:uid="{00000000-0005-0000-0000-0000F1C80000}"/>
    <cellStyle name="Normal 11 6 2 3 3 2 2 3" xfId="51882" xr:uid="{00000000-0005-0000-0000-0000F2C80000}"/>
    <cellStyle name="Normal 11 6 2 3 3 2 3" xfId="51883" xr:uid="{00000000-0005-0000-0000-0000F3C80000}"/>
    <cellStyle name="Normal 11 6 2 3 3 2 3 2" xfId="51884" xr:uid="{00000000-0005-0000-0000-0000F4C80000}"/>
    <cellStyle name="Normal 11 6 2 3 3 2 4" xfId="51885" xr:uid="{00000000-0005-0000-0000-0000F5C80000}"/>
    <cellStyle name="Normal 11 6 2 3 3 3" xfId="51886" xr:uid="{00000000-0005-0000-0000-0000F6C80000}"/>
    <cellStyle name="Normal 11 6 2 3 3 3 2" xfId="51887" xr:uid="{00000000-0005-0000-0000-0000F7C80000}"/>
    <cellStyle name="Normal 11 6 2 3 3 3 2 2" xfId="51888" xr:uid="{00000000-0005-0000-0000-0000F8C80000}"/>
    <cellStyle name="Normal 11 6 2 3 3 3 2 2 2" xfId="51889" xr:uid="{00000000-0005-0000-0000-0000F9C80000}"/>
    <cellStyle name="Normal 11 6 2 3 3 3 2 3" xfId="51890" xr:uid="{00000000-0005-0000-0000-0000FAC80000}"/>
    <cellStyle name="Normal 11 6 2 3 3 3 3" xfId="51891" xr:uid="{00000000-0005-0000-0000-0000FBC80000}"/>
    <cellStyle name="Normal 11 6 2 3 3 3 3 2" xfId="51892" xr:uid="{00000000-0005-0000-0000-0000FCC80000}"/>
    <cellStyle name="Normal 11 6 2 3 3 3 4" xfId="51893" xr:uid="{00000000-0005-0000-0000-0000FDC80000}"/>
    <cellStyle name="Normal 11 6 2 3 3 4" xfId="51894" xr:uid="{00000000-0005-0000-0000-0000FEC80000}"/>
    <cellStyle name="Normal 11 6 2 3 3 4 2" xfId="51895" xr:uid="{00000000-0005-0000-0000-0000FFC80000}"/>
    <cellStyle name="Normal 11 6 2 3 3 4 2 2" xfId="51896" xr:uid="{00000000-0005-0000-0000-000000C90000}"/>
    <cellStyle name="Normal 11 6 2 3 3 4 3" xfId="51897" xr:uid="{00000000-0005-0000-0000-000001C90000}"/>
    <cellStyle name="Normal 11 6 2 3 3 5" xfId="51898" xr:uid="{00000000-0005-0000-0000-000002C90000}"/>
    <cellStyle name="Normal 11 6 2 3 3 5 2" xfId="51899" xr:uid="{00000000-0005-0000-0000-000003C90000}"/>
    <cellStyle name="Normal 11 6 2 3 3 6" xfId="51900" xr:uid="{00000000-0005-0000-0000-000004C90000}"/>
    <cellStyle name="Normal 11 6 2 3 3 7" xfId="51877" xr:uid="{00000000-0005-0000-0000-000005C90000}"/>
    <cellStyle name="Normal 11 6 2 3 4" xfId="51901" xr:uid="{00000000-0005-0000-0000-000006C90000}"/>
    <cellStyle name="Normal 11 6 2 3 4 2" xfId="51902" xr:uid="{00000000-0005-0000-0000-000007C90000}"/>
    <cellStyle name="Normal 11 6 2 3 4 2 2" xfId="51903" xr:uid="{00000000-0005-0000-0000-000008C90000}"/>
    <cellStyle name="Normal 11 6 2 3 4 2 2 2" xfId="51904" xr:uid="{00000000-0005-0000-0000-000009C90000}"/>
    <cellStyle name="Normal 11 6 2 3 4 2 2 2 2" xfId="51905" xr:uid="{00000000-0005-0000-0000-00000AC90000}"/>
    <cellStyle name="Normal 11 6 2 3 4 2 2 3" xfId="51906" xr:uid="{00000000-0005-0000-0000-00000BC90000}"/>
    <cellStyle name="Normal 11 6 2 3 4 2 3" xfId="51907" xr:uid="{00000000-0005-0000-0000-00000CC90000}"/>
    <cellStyle name="Normal 11 6 2 3 4 2 3 2" xfId="51908" xr:uid="{00000000-0005-0000-0000-00000DC90000}"/>
    <cellStyle name="Normal 11 6 2 3 4 2 4" xfId="51909" xr:uid="{00000000-0005-0000-0000-00000EC90000}"/>
    <cellStyle name="Normal 11 6 2 3 4 3" xfId="51910" xr:uid="{00000000-0005-0000-0000-00000FC90000}"/>
    <cellStyle name="Normal 11 6 2 3 4 3 2" xfId="51911" xr:uid="{00000000-0005-0000-0000-000010C90000}"/>
    <cellStyle name="Normal 11 6 2 3 4 3 2 2" xfId="51912" xr:uid="{00000000-0005-0000-0000-000011C90000}"/>
    <cellStyle name="Normal 11 6 2 3 4 3 3" xfId="51913" xr:uid="{00000000-0005-0000-0000-000012C90000}"/>
    <cellStyle name="Normal 11 6 2 3 4 4" xfId="51914" xr:uid="{00000000-0005-0000-0000-000013C90000}"/>
    <cellStyle name="Normal 11 6 2 3 4 4 2" xfId="51915" xr:uid="{00000000-0005-0000-0000-000014C90000}"/>
    <cellStyle name="Normal 11 6 2 3 4 5" xfId="51916" xr:uid="{00000000-0005-0000-0000-000015C90000}"/>
    <cellStyle name="Normal 11 6 2 3 5" xfId="51917" xr:uid="{00000000-0005-0000-0000-000016C90000}"/>
    <cellStyle name="Normal 11 6 2 3 5 2" xfId="51918" xr:uid="{00000000-0005-0000-0000-000017C90000}"/>
    <cellStyle name="Normal 11 6 2 3 5 2 2" xfId="51919" xr:uid="{00000000-0005-0000-0000-000018C90000}"/>
    <cellStyle name="Normal 11 6 2 3 5 2 2 2" xfId="51920" xr:uid="{00000000-0005-0000-0000-000019C90000}"/>
    <cellStyle name="Normal 11 6 2 3 5 2 2 2 2" xfId="51921" xr:uid="{00000000-0005-0000-0000-00001AC90000}"/>
    <cellStyle name="Normal 11 6 2 3 5 2 2 3" xfId="51922" xr:uid="{00000000-0005-0000-0000-00001BC90000}"/>
    <cellStyle name="Normal 11 6 2 3 5 2 3" xfId="51923" xr:uid="{00000000-0005-0000-0000-00001CC90000}"/>
    <cellStyle name="Normal 11 6 2 3 5 2 3 2" xfId="51924" xr:uid="{00000000-0005-0000-0000-00001DC90000}"/>
    <cellStyle name="Normal 11 6 2 3 5 2 4" xfId="51925" xr:uid="{00000000-0005-0000-0000-00001EC90000}"/>
    <cellStyle name="Normal 11 6 2 3 5 3" xfId="51926" xr:uid="{00000000-0005-0000-0000-00001FC90000}"/>
    <cellStyle name="Normal 11 6 2 3 5 3 2" xfId="51927" xr:uid="{00000000-0005-0000-0000-000020C90000}"/>
    <cellStyle name="Normal 11 6 2 3 5 3 2 2" xfId="51928" xr:uid="{00000000-0005-0000-0000-000021C90000}"/>
    <cellStyle name="Normal 11 6 2 3 5 3 3" xfId="51929" xr:uid="{00000000-0005-0000-0000-000022C90000}"/>
    <cellStyle name="Normal 11 6 2 3 5 4" xfId="51930" xr:uid="{00000000-0005-0000-0000-000023C90000}"/>
    <cellStyle name="Normal 11 6 2 3 5 4 2" xfId="51931" xr:uid="{00000000-0005-0000-0000-000024C90000}"/>
    <cellStyle name="Normal 11 6 2 3 5 5" xfId="51932" xr:uid="{00000000-0005-0000-0000-000025C90000}"/>
    <cellStyle name="Normal 11 6 2 3 6" xfId="51933" xr:uid="{00000000-0005-0000-0000-000026C90000}"/>
    <cellStyle name="Normal 11 6 2 3 6 2" xfId="51934" xr:uid="{00000000-0005-0000-0000-000027C90000}"/>
    <cellStyle name="Normal 11 6 2 3 6 2 2" xfId="51935" xr:uid="{00000000-0005-0000-0000-000028C90000}"/>
    <cellStyle name="Normal 11 6 2 3 6 2 2 2" xfId="51936" xr:uid="{00000000-0005-0000-0000-000029C90000}"/>
    <cellStyle name="Normal 11 6 2 3 6 2 3" xfId="51937" xr:uid="{00000000-0005-0000-0000-00002AC90000}"/>
    <cellStyle name="Normal 11 6 2 3 6 3" xfId="51938" xr:uid="{00000000-0005-0000-0000-00002BC90000}"/>
    <cellStyle name="Normal 11 6 2 3 6 3 2" xfId="51939" xr:uid="{00000000-0005-0000-0000-00002CC90000}"/>
    <cellStyle name="Normal 11 6 2 3 6 4" xfId="51940" xr:uid="{00000000-0005-0000-0000-00002DC90000}"/>
    <cellStyle name="Normal 11 6 2 3 7" xfId="51941" xr:uid="{00000000-0005-0000-0000-00002EC90000}"/>
    <cellStyle name="Normal 11 6 2 3 7 2" xfId="51942" xr:uid="{00000000-0005-0000-0000-00002FC90000}"/>
    <cellStyle name="Normal 11 6 2 3 7 2 2" xfId="51943" xr:uid="{00000000-0005-0000-0000-000030C90000}"/>
    <cellStyle name="Normal 11 6 2 3 7 2 2 2" xfId="51944" xr:uid="{00000000-0005-0000-0000-000031C90000}"/>
    <cellStyle name="Normal 11 6 2 3 7 2 3" xfId="51945" xr:uid="{00000000-0005-0000-0000-000032C90000}"/>
    <cellStyle name="Normal 11 6 2 3 7 3" xfId="51946" xr:uid="{00000000-0005-0000-0000-000033C90000}"/>
    <cellStyle name="Normal 11 6 2 3 7 3 2" xfId="51947" xr:uid="{00000000-0005-0000-0000-000034C90000}"/>
    <cellStyle name="Normal 11 6 2 3 7 4" xfId="51948" xr:uid="{00000000-0005-0000-0000-000035C90000}"/>
    <cellStyle name="Normal 11 6 2 3 8" xfId="51949" xr:uid="{00000000-0005-0000-0000-000036C90000}"/>
    <cellStyle name="Normal 11 6 2 3 8 2" xfId="51950" xr:uid="{00000000-0005-0000-0000-000037C90000}"/>
    <cellStyle name="Normal 11 6 2 3 8 2 2" xfId="51951" xr:uid="{00000000-0005-0000-0000-000038C90000}"/>
    <cellStyle name="Normal 11 6 2 3 8 2 2 2" xfId="51952" xr:uid="{00000000-0005-0000-0000-000039C90000}"/>
    <cellStyle name="Normal 11 6 2 3 8 2 3" xfId="51953" xr:uid="{00000000-0005-0000-0000-00003AC90000}"/>
    <cellStyle name="Normal 11 6 2 3 8 3" xfId="51954" xr:uid="{00000000-0005-0000-0000-00003BC90000}"/>
    <cellStyle name="Normal 11 6 2 3 8 3 2" xfId="51955" xr:uid="{00000000-0005-0000-0000-00003CC90000}"/>
    <cellStyle name="Normal 11 6 2 3 8 4" xfId="51956" xr:uid="{00000000-0005-0000-0000-00003DC90000}"/>
    <cellStyle name="Normal 11 6 2 3 9" xfId="51957" xr:uid="{00000000-0005-0000-0000-00003EC90000}"/>
    <cellStyle name="Normal 11 6 2 3 9 2" xfId="51958" xr:uid="{00000000-0005-0000-0000-00003FC90000}"/>
    <cellStyle name="Normal 11 6 2 3 9 2 2" xfId="51959" xr:uid="{00000000-0005-0000-0000-000040C90000}"/>
    <cellStyle name="Normal 11 6 2 3 9 3" xfId="51960" xr:uid="{00000000-0005-0000-0000-000041C90000}"/>
    <cellStyle name="Normal 11 6 2 4" xfId="1110" xr:uid="{00000000-0005-0000-0000-000042C90000}"/>
    <cellStyle name="Normal 11 6 2 4 10" xfId="51962" xr:uid="{00000000-0005-0000-0000-000043C90000}"/>
    <cellStyle name="Normal 11 6 2 4 11" xfId="51961" xr:uid="{00000000-0005-0000-0000-000044C90000}"/>
    <cellStyle name="Normal 11 6 2 4 2" xfId="1839" xr:uid="{00000000-0005-0000-0000-000045C90000}"/>
    <cellStyle name="Normal 11 6 2 4 2 2" xfId="51964" xr:uid="{00000000-0005-0000-0000-000046C90000}"/>
    <cellStyle name="Normal 11 6 2 4 2 2 2" xfId="51965" xr:uid="{00000000-0005-0000-0000-000047C90000}"/>
    <cellStyle name="Normal 11 6 2 4 2 2 2 2" xfId="51966" xr:uid="{00000000-0005-0000-0000-000048C90000}"/>
    <cellStyle name="Normal 11 6 2 4 2 2 2 2 2" xfId="51967" xr:uid="{00000000-0005-0000-0000-000049C90000}"/>
    <cellStyle name="Normal 11 6 2 4 2 2 2 3" xfId="51968" xr:uid="{00000000-0005-0000-0000-00004AC90000}"/>
    <cellStyle name="Normal 11 6 2 4 2 2 3" xfId="51969" xr:uid="{00000000-0005-0000-0000-00004BC90000}"/>
    <cellStyle name="Normal 11 6 2 4 2 2 3 2" xfId="51970" xr:uid="{00000000-0005-0000-0000-00004CC90000}"/>
    <cellStyle name="Normal 11 6 2 4 2 2 4" xfId="51971" xr:uid="{00000000-0005-0000-0000-00004DC90000}"/>
    <cellStyle name="Normal 11 6 2 4 2 3" xfId="51972" xr:uid="{00000000-0005-0000-0000-00004EC90000}"/>
    <cellStyle name="Normal 11 6 2 4 2 3 2" xfId="51973" xr:uid="{00000000-0005-0000-0000-00004FC90000}"/>
    <cellStyle name="Normal 11 6 2 4 2 3 2 2" xfId="51974" xr:uid="{00000000-0005-0000-0000-000050C90000}"/>
    <cellStyle name="Normal 11 6 2 4 2 3 2 2 2" xfId="51975" xr:uid="{00000000-0005-0000-0000-000051C90000}"/>
    <cellStyle name="Normal 11 6 2 4 2 3 2 3" xfId="51976" xr:uid="{00000000-0005-0000-0000-000052C90000}"/>
    <cellStyle name="Normal 11 6 2 4 2 3 3" xfId="51977" xr:uid="{00000000-0005-0000-0000-000053C90000}"/>
    <cellStyle name="Normal 11 6 2 4 2 3 3 2" xfId="51978" xr:uid="{00000000-0005-0000-0000-000054C90000}"/>
    <cellStyle name="Normal 11 6 2 4 2 3 4" xfId="51979" xr:uid="{00000000-0005-0000-0000-000055C90000}"/>
    <cellStyle name="Normal 11 6 2 4 2 4" xfId="51980" xr:uid="{00000000-0005-0000-0000-000056C90000}"/>
    <cellStyle name="Normal 11 6 2 4 2 4 2" xfId="51981" xr:uid="{00000000-0005-0000-0000-000057C90000}"/>
    <cellStyle name="Normal 11 6 2 4 2 4 2 2" xfId="51982" xr:uid="{00000000-0005-0000-0000-000058C90000}"/>
    <cellStyle name="Normal 11 6 2 4 2 4 3" xfId="51983" xr:uid="{00000000-0005-0000-0000-000059C90000}"/>
    <cellStyle name="Normal 11 6 2 4 2 5" xfId="51984" xr:uid="{00000000-0005-0000-0000-00005AC90000}"/>
    <cellStyle name="Normal 11 6 2 4 2 5 2" xfId="51985" xr:uid="{00000000-0005-0000-0000-00005BC90000}"/>
    <cellStyle name="Normal 11 6 2 4 2 6" xfId="51986" xr:uid="{00000000-0005-0000-0000-00005CC90000}"/>
    <cellStyle name="Normal 11 6 2 4 2 7" xfId="51963" xr:uid="{00000000-0005-0000-0000-00005DC90000}"/>
    <cellStyle name="Normal 11 6 2 4 3" xfId="51987" xr:uid="{00000000-0005-0000-0000-00005EC90000}"/>
    <cellStyle name="Normal 11 6 2 4 3 2" xfId="51988" xr:uid="{00000000-0005-0000-0000-00005FC90000}"/>
    <cellStyle name="Normal 11 6 2 4 3 2 2" xfId="51989" xr:uid="{00000000-0005-0000-0000-000060C90000}"/>
    <cellStyle name="Normal 11 6 2 4 3 2 2 2" xfId="51990" xr:uid="{00000000-0005-0000-0000-000061C90000}"/>
    <cellStyle name="Normal 11 6 2 4 3 2 2 2 2" xfId="51991" xr:uid="{00000000-0005-0000-0000-000062C90000}"/>
    <cellStyle name="Normal 11 6 2 4 3 2 2 3" xfId="51992" xr:uid="{00000000-0005-0000-0000-000063C90000}"/>
    <cellStyle name="Normal 11 6 2 4 3 2 3" xfId="51993" xr:uid="{00000000-0005-0000-0000-000064C90000}"/>
    <cellStyle name="Normal 11 6 2 4 3 2 3 2" xfId="51994" xr:uid="{00000000-0005-0000-0000-000065C90000}"/>
    <cellStyle name="Normal 11 6 2 4 3 2 4" xfId="51995" xr:uid="{00000000-0005-0000-0000-000066C90000}"/>
    <cellStyle name="Normal 11 6 2 4 3 3" xfId="51996" xr:uid="{00000000-0005-0000-0000-000067C90000}"/>
    <cellStyle name="Normal 11 6 2 4 3 3 2" xfId="51997" xr:uid="{00000000-0005-0000-0000-000068C90000}"/>
    <cellStyle name="Normal 11 6 2 4 3 3 2 2" xfId="51998" xr:uid="{00000000-0005-0000-0000-000069C90000}"/>
    <cellStyle name="Normal 11 6 2 4 3 3 3" xfId="51999" xr:uid="{00000000-0005-0000-0000-00006AC90000}"/>
    <cellStyle name="Normal 11 6 2 4 3 4" xfId="52000" xr:uid="{00000000-0005-0000-0000-00006BC90000}"/>
    <cellStyle name="Normal 11 6 2 4 3 4 2" xfId="52001" xr:uid="{00000000-0005-0000-0000-00006CC90000}"/>
    <cellStyle name="Normal 11 6 2 4 3 5" xfId="52002" xr:uid="{00000000-0005-0000-0000-00006DC90000}"/>
    <cellStyle name="Normal 11 6 2 4 4" xfId="52003" xr:uid="{00000000-0005-0000-0000-00006EC90000}"/>
    <cellStyle name="Normal 11 6 2 4 4 2" xfId="52004" xr:uid="{00000000-0005-0000-0000-00006FC90000}"/>
    <cellStyle name="Normal 11 6 2 4 4 2 2" xfId="52005" xr:uid="{00000000-0005-0000-0000-000070C90000}"/>
    <cellStyle name="Normal 11 6 2 4 4 2 2 2" xfId="52006" xr:uid="{00000000-0005-0000-0000-000071C90000}"/>
    <cellStyle name="Normal 11 6 2 4 4 2 2 2 2" xfId="52007" xr:uid="{00000000-0005-0000-0000-000072C90000}"/>
    <cellStyle name="Normal 11 6 2 4 4 2 2 3" xfId="52008" xr:uid="{00000000-0005-0000-0000-000073C90000}"/>
    <cellStyle name="Normal 11 6 2 4 4 2 3" xfId="52009" xr:uid="{00000000-0005-0000-0000-000074C90000}"/>
    <cellStyle name="Normal 11 6 2 4 4 2 3 2" xfId="52010" xr:uid="{00000000-0005-0000-0000-000075C90000}"/>
    <cellStyle name="Normal 11 6 2 4 4 2 4" xfId="52011" xr:uid="{00000000-0005-0000-0000-000076C90000}"/>
    <cellStyle name="Normal 11 6 2 4 4 3" xfId="52012" xr:uid="{00000000-0005-0000-0000-000077C90000}"/>
    <cellStyle name="Normal 11 6 2 4 4 3 2" xfId="52013" xr:uid="{00000000-0005-0000-0000-000078C90000}"/>
    <cellStyle name="Normal 11 6 2 4 4 3 2 2" xfId="52014" xr:uid="{00000000-0005-0000-0000-000079C90000}"/>
    <cellStyle name="Normal 11 6 2 4 4 3 3" xfId="52015" xr:uid="{00000000-0005-0000-0000-00007AC90000}"/>
    <cellStyle name="Normal 11 6 2 4 4 4" xfId="52016" xr:uid="{00000000-0005-0000-0000-00007BC90000}"/>
    <cellStyle name="Normal 11 6 2 4 4 4 2" xfId="52017" xr:uid="{00000000-0005-0000-0000-00007CC90000}"/>
    <cellStyle name="Normal 11 6 2 4 4 5" xfId="52018" xr:uid="{00000000-0005-0000-0000-00007DC90000}"/>
    <cellStyle name="Normal 11 6 2 4 5" xfId="52019" xr:uid="{00000000-0005-0000-0000-00007EC90000}"/>
    <cellStyle name="Normal 11 6 2 4 5 2" xfId="52020" xr:uid="{00000000-0005-0000-0000-00007FC90000}"/>
    <cellStyle name="Normal 11 6 2 4 5 2 2" xfId="52021" xr:uid="{00000000-0005-0000-0000-000080C90000}"/>
    <cellStyle name="Normal 11 6 2 4 5 2 2 2" xfId="52022" xr:uid="{00000000-0005-0000-0000-000081C90000}"/>
    <cellStyle name="Normal 11 6 2 4 5 2 3" xfId="52023" xr:uid="{00000000-0005-0000-0000-000082C90000}"/>
    <cellStyle name="Normal 11 6 2 4 5 3" xfId="52024" xr:uid="{00000000-0005-0000-0000-000083C90000}"/>
    <cellStyle name="Normal 11 6 2 4 5 3 2" xfId="52025" xr:uid="{00000000-0005-0000-0000-000084C90000}"/>
    <cellStyle name="Normal 11 6 2 4 5 4" xfId="52026" xr:uid="{00000000-0005-0000-0000-000085C90000}"/>
    <cellStyle name="Normal 11 6 2 4 6" xfId="52027" xr:uid="{00000000-0005-0000-0000-000086C90000}"/>
    <cellStyle name="Normal 11 6 2 4 6 2" xfId="52028" xr:uid="{00000000-0005-0000-0000-000087C90000}"/>
    <cellStyle name="Normal 11 6 2 4 6 2 2" xfId="52029" xr:uid="{00000000-0005-0000-0000-000088C90000}"/>
    <cellStyle name="Normal 11 6 2 4 6 2 2 2" xfId="52030" xr:uid="{00000000-0005-0000-0000-000089C90000}"/>
    <cellStyle name="Normal 11 6 2 4 6 2 3" xfId="52031" xr:uid="{00000000-0005-0000-0000-00008AC90000}"/>
    <cellStyle name="Normal 11 6 2 4 6 3" xfId="52032" xr:uid="{00000000-0005-0000-0000-00008BC90000}"/>
    <cellStyle name="Normal 11 6 2 4 6 3 2" xfId="52033" xr:uid="{00000000-0005-0000-0000-00008CC90000}"/>
    <cellStyle name="Normal 11 6 2 4 6 4" xfId="52034" xr:uid="{00000000-0005-0000-0000-00008DC90000}"/>
    <cellStyle name="Normal 11 6 2 4 7" xfId="52035" xr:uid="{00000000-0005-0000-0000-00008EC90000}"/>
    <cellStyle name="Normal 11 6 2 4 7 2" xfId="52036" xr:uid="{00000000-0005-0000-0000-00008FC90000}"/>
    <cellStyle name="Normal 11 6 2 4 7 2 2" xfId="52037" xr:uid="{00000000-0005-0000-0000-000090C90000}"/>
    <cellStyle name="Normal 11 6 2 4 7 2 2 2" xfId="52038" xr:uid="{00000000-0005-0000-0000-000091C90000}"/>
    <cellStyle name="Normal 11 6 2 4 7 2 3" xfId="52039" xr:uid="{00000000-0005-0000-0000-000092C90000}"/>
    <cellStyle name="Normal 11 6 2 4 7 3" xfId="52040" xr:uid="{00000000-0005-0000-0000-000093C90000}"/>
    <cellStyle name="Normal 11 6 2 4 7 3 2" xfId="52041" xr:uid="{00000000-0005-0000-0000-000094C90000}"/>
    <cellStyle name="Normal 11 6 2 4 7 4" xfId="52042" xr:uid="{00000000-0005-0000-0000-000095C90000}"/>
    <cellStyle name="Normal 11 6 2 4 8" xfId="52043" xr:uid="{00000000-0005-0000-0000-000096C90000}"/>
    <cellStyle name="Normal 11 6 2 4 8 2" xfId="52044" xr:uid="{00000000-0005-0000-0000-000097C90000}"/>
    <cellStyle name="Normal 11 6 2 4 8 2 2" xfId="52045" xr:uid="{00000000-0005-0000-0000-000098C90000}"/>
    <cellStyle name="Normal 11 6 2 4 8 3" xfId="52046" xr:uid="{00000000-0005-0000-0000-000099C90000}"/>
    <cellStyle name="Normal 11 6 2 4 9" xfId="52047" xr:uid="{00000000-0005-0000-0000-00009AC90000}"/>
    <cellStyle name="Normal 11 6 2 4 9 2" xfId="52048" xr:uid="{00000000-0005-0000-0000-00009BC90000}"/>
    <cellStyle name="Normal 11 6 2 5" xfId="1512" xr:uid="{00000000-0005-0000-0000-00009CC90000}"/>
    <cellStyle name="Normal 11 6 2 5 2" xfId="52050" xr:uid="{00000000-0005-0000-0000-00009DC90000}"/>
    <cellStyle name="Normal 11 6 2 5 2 2" xfId="52051" xr:uid="{00000000-0005-0000-0000-00009EC90000}"/>
    <cellStyle name="Normal 11 6 2 5 2 2 2" xfId="52052" xr:uid="{00000000-0005-0000-0000-00009FC90000}"/>
    <cellStyle name="Normal 11 6 2 5 2 2 2 2" xfId="52053" xr:uid="{00000000-0005-0000-0000-0000A0C90000}"/>
    <cellStyle name="Normal 11 6 2 5 2 2 3" xfId="52054" xr:uid="{00000000-0005-0000-0000-0000A1C90000}"/>
    <cellStyle name="Normal 11 6 2 5 2 3" xfId="52055" xr:uid="{00000000-0005-0000-0000-0000A2C90000}"/>
    <cellStyle name="Normal 11 6 2 5 2 3 2" xfId="52056" xr:uid="{00000000-0005-0000-0000-0000A3C90000}"/>
    <cellStyle name="Normal 11 6 2 5 2 4" xfId="52057" xr:uid="{00000000-0005-0000-0000-0000A4C90000}"/>
    <cellStyle name="Normal 11 6 2 5 3" xfId="52058" xr:uid="{00000000-0005-0000-0000-0000A5C90000}"/>
    <cellStyle name="Normal 11 6 2 5 3 2" xfId="52059" xr:uid="{00000000-0005-0000-0000-0000A6C90000}"/>
    <cellStyle name="Normal 11 6 2 5 3 2 2" xfId="52060" xr:uid="{00000000-0005-0000-0000-0000A7C90000}"/>
    <cellStyle name="Normal 11 6 2 5 3 2 2 2" xfId="52061" xr:uid="{00000000-0005-0000-0000-0000A8C90000}"/>
    <cellStyle name="Normal 11 6 2 5 3 2 3" xfId="52062" xr:uid="{00000000-0005-0000-0000-0000A9C90000}"/>
    <cellStyle name="Normal 11 6 2 5 3 3" xfId="52063" xr:uid="{00000000-0005-0000-0000-0000AAC90000}"/>
    <cellStyle name="Normal 11 6 2 5 3 3 2" xfId="52064" xr:uid="{00000000-0005-0000-0000-0000ABC90000}"/>
    <cellStyle name="Normal 11 6 2 5 3 4" xfId="52065" xr:uid="{00000000-0005-0000-0000-0000ACC90000}"/>
    <cellStyle name="Normal 11 6 2 5 4" xfId="52066" xr:uid="{00000000-0005-0000-0000-0000ADC90000}"/>
    <cellStyle name="Normal 11 6 2 5 4 2" xfId="52067" xr:uid="{00000000-0005-0000-0000-0000AEC90000}"/>
    <cellStyle name="Normal 11 6 2 5 4 2 2" xfId="52068" xr:uid="{00000000-0005-0000-0000-0000AFC90000}"/>
    <cellStyle name="Normal 11 6 2 5 4 3" xfId="52069" xr:uid="{00000000-0005-0000-0000-0000B0C90000}"/>
    <cellStyle name="Normal 11 6 2 5 5" xfId="52070" xr:uid="{00000000-0005-0000-0000-0000B1C90000}"/>
    <cellStyle name="Normal 11 6 2 5 5 2" xfId="52071" xr:uid="{00000000-0005-0000-0000-0000B2C90000}"/>
    <cellStyle name="Normal 11 6 2 5 6" xfId="52072" xr:uid="{00000000-0005-0000-0000-0000B3C90000}"/>
    <cellStyle name="Normal 11 6 2 5 7" xfId="52049" xr:uid="{00000000-0005-0000-0000-0000B4C90000}"/>
    <cellStyle name="Normal 11 6 2 6" xfId="52073" xr:uid="{00000000-0005-0000-0000-0000B5C90000}"/>
    <cellStyle name="Normal 11 6 2 6 2" xfId="52074" xr:uid="{00000000-0005-0000-0000-0000B6C90000}"/>
    <cellStyle name="Normal 11 6 2 6 2 2" xfId="52075" xr:uid="{00000000-0005-0000-0000-0000B7C90000}"/>
    <cellStyle name="Normal 11 6 2 6 2 2 2" xfId="52076" xr:uid="{00000000-0005-0000-0000-0000B8C90000}"/>
    <cellStyle name="Normal 11 6 2 6 2 2 2 2" xfId="52077" xr:uid="{00000000-0005-0000-0000-0000B9C90000}"/>
    <cellStyle name="Normal 11 6 2 6 2 2 3" xfId="52078" xr:uid="{00000000-0005-0000-0000-0000BAC90000}"/>
    <cellStyle name="Normal 11 6 2 6 2 3" xfId="52079" xr:uid="{00000000-0005-0000-0000-0000BBC90000}"/>
    <cellStyle name="Normal 11 6 2 6 2 3 2" xfId="52080" xr:uid="{00000000-0005-0000-0000-0000BCC90000}"/>
    <cellStyle name="Normal 11 6 2 6 2 4" xfId="52081" xr:uid="{00000000-0005-0000-0000-0000BDC90000}"/>
    <cellStyle name="Normal 11 6 2 6 3" xfId="52082" xr:uid="{00000000-0005-0000-0000-0000BEC90000}"/>
    <cellStyle name="Normal 11 6 2 6 3 2" xfId="52083" xr:uid="{00000000-0005-0000-0000-0000BFC90000}"/>
    <cellStyle name="Normal 11 6 2 6 3 2 2" xfId="52084" xr:uid="{00000000-0005-0000-0000-0000C0C90000}"/>
    <cellStyle name="Normal 11 6 2 6 3 3" xfId="52085" xr:uid="{00000000-0005-0000-0000-0000C1C90000}"/>
    <cellStyle name="Normal 11 6 2 6 4" xfId="52086" xr:uid="{00000000-0005-0000-0000-0000C2C90000}"/>
    <cellStyle name="Normal 11 6 2 6 4 2" xfId="52087" xr:uid="{00000000-0005-0000-0000-0000C3C90000}"/>
    <cellStyle name="Normal 11 6 2 6 5" xfId="52088" xr:uid="{00000000-0005-0000-0000-0000C4C90000}"/>
    <cellStyle name="Normal 11 6 2 7" xfId="52089" xr:uid="{00000000-0005-0000-0000-0000C5C90000}"/>
    <cellStyle name="Normal 11 6 2 7 2" xfId="52090" xr:uid="{00000000-0005-0000-0000-0000C6C90000}"/>
    <cellStyle name="Normal 11 6 2 7 2 2" xfId="52091" xr:uid="{00000000-0005-0000-0000-0000C7C90000}"/>
    <cellStyle name="Normal 11 6 2 7 2 2 2" xfId="52092" xr:uid="{00000000-0005-0000-0000-0000C8C90000}"/>
    <cellStyle name="Normal 11 6 2 7 2 2 2 2" xfId="52093" xr:uid="{00000000-0005-0000-0000-0000C9C90000}"/>
    <cellStyle name="Normal 11 6 2 7 2 2 3" xfId="52094" xr:uid="{00000000-0005-0000-0000-0000CAC90000}"/>
    <cellStyle name="Normal 11 6 2 7 2 3" xfId="52095" xr:uid="{00000000-0005-0000-0000-0000CBC90000}"/>
    <cellStyle name="Normal 11 6 2 7 2 3 2" xfId="52096" xr:uid="{00000000-0005-0000-0000-0000CCC90000}"/>
    <cellStyle name="Normal 11 6 2 7 2 4" xfId="52097" xr:uid="{00000000-0005-0000-0000-0000CDC90000}"/>
    <cellStyle name="Normal 11 6 2 7 3" xfId="52098" xr:uid="{00000000-0005-0000-0000-0000CEC90000}"/>
    <cellStyle name="Normal 11 6 2 7 3 2" xfId="52099" xr:uid="{00000000-0005-0000-0000-0000CFC90000}"/>
    <cellStyle name="Normal 11 6 2 7 3 2 2" xfId="52100" xr:uid="{00000000-0005-0000-0000-0000D0C90000}"/>
    <cellStyle name="Normal 11 6 2 7 3 3" xfId="52101" xr:uid="{00000000-0005-0000-0000-0000D1C90000}"/>
    <cellStyle name="Normal 11 6 2 7 4" xfId="52102" xr:uid="{00000000-0005-0000-0000-0000D2C90000}"/>
    <cellStyle name="Normal 11 6 2 7 4 2" xfId="52103" xr:uid="{00000000-0005-0000-0000-0000D3C90000}"/>
    <cellStyle name="Normal 11 6 2 7 5" xfId="52104" xr:uid="{00000000-0005-0000-0000-0000D4C90000}"/>
    <cellStyle name="Normal 11 6 2 8" xfId="52105" xr:uid="{00000000-0005-0000-0000-0000D5C90000}"/>
    <cellStyle name="Normal 11 6 2 8 2" xfId="52106" xr:uid="{00000000-0005-0000-0000-0000D6C90000}"/>
    <cellStyle name="Normal 11 6 2 8 2 2" xfId="52107" xr:uid="{00000000-0005-0000-0000-0000D7C90000}"/>
    <cellStyle name="Normal 11 6 2 8 2 2 2" xfId="52108" xr:uid="{00000000-0005-0000-0000-0000D8C90000}"/>
    <cellStyle name="Normal 11 6 2 8 2 3" xfId="52109" xr:uid="{00000000-0005-0000-0000-0000D9C90000}"/>
    <cellStyle name="Normal 11 6 2 8 3" xfId="52110" xr:uid="{00000000-0005-0000-0000-0000DAC90000}"/>
    <cellStyle name="Normal 11 6 2 8 3 2" xfId="52111" xr:uid="{00000000-0005-0000-0000-0000DBC90000}"/>
    <cellStyle name="Normal 11 6 2 8 4" xfId="52112" xr:uid="{00000000-0005-0000-0000-0000DCC90000}"/>
    <cellStyle name="Normal 11 6 2 9" xfId="52113" xr:uid="{00000000-0005-0000-0000-0000DDC90000}"/>
    <cellStyle name="Normal 11 6 2 9 2" xfId="52114" xr:uid="{00000000-0005-0000-0000-0000DEC90000}"/>
    <cellStyle name="Normal 11 6 2 9 2 2" xfId="52115" xr:uid="{00000000-0005-0000-0000-0000DFC90000}"/>
    <cellStyle name="Normal 11 6 2 9 2 2 2" xfId="52116" xr:uid="{00000000-0005-0000-0000-0000E0C90000}"/>
    <cellStyle name="Normal 11 6 2 9 2 3" xfId="52117" xr:uid="{00000000-0005-0000-0000-0000E1C90000}"/>
    <cellStyle name="Normal 11 6 2 9 3" xfId="52118" xr:uid="{00000000-0005-0000-0000-0000E2C90000}"/>
    <cellStyle name="Normal 11 6 2 9 3 2" xfId="52119" xr:uid="{00000000-0005-0000-0000-0000E3C90000}"/>
    <cellStyle name="Normal 11 6 2 9 4" xfId="52120" xr:uid="{00000000-0005-0000-0000-0000E4C90000}"/>
    <cellStyle name="Normal 11 6 3" xfId="671" xr:uid="{00000000-0005-0000-0000-0000E5C90000}"/>
    <cellStyle name="Normal 11 6 3 10" xfId="52122" xr:uid="{00000000-0005-0000-0000-0000E6C90000}"/>
    <cellStyle name="Normal 11 6 3 10 2" xfId="52123" xr:uid="{00000000-0005-0000-0000-0000E7C90000}"/>
    <cellStyle name="Normal 11 6 3 10 2 2" xfId="52124" xr:uid="{00000000-0005-0000-0000-0000E8C90000}"/>
    <cellStyle name="Normal 11 6 3 10 3" xfId="52125" xr:uid="{00000000-0005-0000-0000-0000E9C90000}"/>
    <cellStyle name="Normal 11 6 3 11" xfId="52126" xr:uid="{00000000-0005-0000-0000-0000EAC90000}"/>
    <cellStyle name="Normal 11 6 3 11 2" xfId="52127" xr:uid="{00000000-0005-0000-0000-0000EBC90000}"/>
    <cellStyle name="Normal 11 6 3 11 2 2" xfId="52128" xr:uid="{00000000-0005-0000-0000-0000ECC90000}"/>
    <cellStyle name="Normal 11 6 3 11 3" xfId="52129" xr:uid="{00000000-0005-0000-0000-0000EDC90000}"/>
    <cellStyle name="Normal 11 6 3 12" xfId="52130" xr:uid="{00000000-0005-0000-0000-0000EEC90000}"/>
    <cellStyle name="Normal 11 6 3 12 2" xfId="52131" xr:uid="{00000000-0005-0000-0000-0000EFC90000}"/>
    <cellStyle name="Normal 11 6 3 13" xfId="52132" xr:uid="{00000000-0005-0000-0000-0000F0C90000}"/>
    <cellStyle name="Normal 11 6 3 14" xfId="52133" xr:uid="{00000000-0005-0000-0000-0000F1C90000}"/>
    <cellStyle name="Normal 11 6 3 15" xfId="52121" xr:uid="{00000000-0005-0000-0000-0000F2C90000}"/>
    <cellStyle name="Normal 11 6 3 2" xfId="1113" xr:uid="{00000000-0005-0000-0000-0000F3C90000}"/>
    <cellStyle name="Normal 11 6 3 2 10" xfId="52135" xr:uid="{00000000-0005-0000-0000-0000F4C90000}"/>
    <cellStyle name="Normal 11 6 3 2 11" xfId="52134" xr:uid="{00000000-0005-0000-0000-0000F5C90000}"/>
    <cellStyle name="Normal 11 6 3 2 2" xfId="1842" xr:uid="{00000000-0005-0000-0000-0000F6C90000}"/>
    <cellStyle name="Normal 11 6 3 2 2 2" xfId="52137" xr:uid="{00000000-0005-0000-0000-0000F7C90000}"/>
    <cellStyle name="Normal 11 6 3 2 2 2 2" xfId="52138" xr:uid="{00000000-0005-0000-0000-0000F8C90000}"/>
    <cellStyle name="Normal 11 6 3 2 2 2 2 2" xfId="52139" xr:uid="{00000000-0005-0000-0000-0000F9C90000}"/>
    <cellStyle name="Normal 11 6 3 2 2 2 2 2 2" xfId="52140" xr:uid="{00000000-0005-0000-0000-0000FAC90000}"/>
    <cellStyle name="Normal 11 6 3 2 2 2 2 3" xfId="52141" xr:uid="{00000000-0005-0000-0000-0000FBC90000}"/>
    <cellStyle name="Normal 11 6 3 2 2 2 3" xfId="52142" xr:uid="{00000000-0005-0000-0000-0000FCC90000}"/>
    <cellStyle name="Normal 11 6 3 2 2 2 3 2" xfId="52143" xr:uid="{00000000-0005-0000-0000-0000FDC90000}"/>
    <cellStyle name="Normal 11 6 3 2 2 2 4" xfId="52144" xr:uid="{00000000-0005-0000-0000-0000FEC90000}"/>
    <cellStyle name="Normal 11 6 3 2 2 3" xfId="52145" xr:uid="{00000000-0005-0000-0000-0000FFC90000}"/>
    <cellStyle name="Normal 11 6 3 2 2 3 2" xfId="52146" xr:uid="{00000000-0005-0000-0000-000000CA0000}"/>
    <cellStyle name="Normal 11 6 3 2 2 3 2 2" xfId="52147" xr:uid="{00000000-0005-0000-0000-000001CA0000}"/>
    <cellStyle name="Normal 11 6 3 2 2 3 2 2 2" xfId="52148" xr:uid="{00000000-0005-0000-0000-000002CA0000}"/>
    <cellStyle name="Normal 11 6 3 2 2 3 2 3" xfId="52149" xr:uid="{00000000-0005-0000-0000-000003CA0000}"/>
    <cellStyle name="Normal 11 6 3 2 2 3 3" xfId="52150" xr:uid="{00000000-0005-0000-0000-000004CA0000}"/>
    <cellStyle name="Normal 11 6 3 2 2 3 3 2" xfId="52151" xr:uid="{00000000-0005-0000-0000-000005CA0000}"/>
    <cellStyle name="Normal 11 6 3 2 2 3 4" xfId="52152" xr:uid="{00000000-0005-0000-0000-000006CA0000}"/>
    <cellStyle name="Normal 11 6 3 2 2 4" xfId="52153" xr:uid="{00000000-0005-0000-0000-000007CA0000}"/>
    <cellStyle name="Normal 11 6 3 2 2 4 2" xfId="52154" xr:uid="{00000000-0005-0000-0000-000008CA0000}"/>
    <cellStyle name="Normal 11 6 3 2 2 4 2 2" xfId="52155" xr:uid="{00000000-0005-0000-0000-000009CA0000}"/>
    <cellStyle name="Normal 11 6 3 2 2 4 3" xfId="52156" xr:uid="{00000000-0005-0000-0000-00000ACA0000}"/>
    <cellStyle name="Normal 11 6 3 2 2 5" xfId="52157" xr:uid="{00000000-0005-0000-0000-00000BCA0000}"/>
    <cellStyle name="Normal 11 6 3 2 2 5 2" xfId="52158" xr:uid="{00000000-0005-0000-0000-00000CCA0000}"/>
    <cellStyle name="Normal 11 6 3 2 2 6" xfId="52159" xr:uid="{00000000-0005-0000-0000-00000DCA0000}"/>
    <cellStyle name="Normal 11 6 3 2 2 7" xfId="52136" xr:uid="{00000000-0005-0000-0000-00000ECA0000}"/>
    <cellStyle name="Normal 11 6 3 2 3" xfId="52160" xr:uid="{00000000-0005-0000-0000-00000FCA0000}"/>
    <cellStyle name="Normal 11 6 3 2 3 2" xfId="52161" xr:uid="{00000000-0005-0000-0000-000010CA0000}"/>
    <cellStyle name="Normal 11 6 3 2 3 2 2" xfId="52162" xr:uid="{00000000-0005-0000-0000-000011CA0000}"/>
    <cellStyle name="Normal 11 6 3 2 3 2 2 2" xfId="52163" xr:uid="{00000000-0005-0000-0000-000012CA0000}"/>
    <cellStyle name="Normal 11 6 3 2 3 2 2 2 2" xfId="52164" xr:uid="{00000000-0005-0000-0000-000013CA0000}"/>
    <cellStyle name="Normal 11 6 3 2 3 2 2 3" xfId="52165" xr:uid="{00000000-0005-0000-0000-000014CA0000}"/>
    <cellStyle name="Normal 11 6 3 2 3 2 3" xfId="52166" xr:uid="{00000000-0005-0000-0000-000015CA0000}"/>
    <cellStyle name="Normal 11 6 3 2 3 2 3 2" xfId="52167" xr:uid="{00000000-0005-0000-0000-000016CA0000}"/>
    <cellStyle name="Normal 11 6 3 2 3 2 4" xfId="52168" xr:uid="{00000000-0005-0000-0000-000017CA0000}"/>
    <cellStyle name="Normal 11 6 3 2 3 3" xfId="52169" xr:uid="{00000000-0005-0000-0000-000018CA0000}"/>
    <cellStyle name="Normal 11 6 3 2 3 3 2" xfId="52170" xr:uid="{00000000-0005-0000-0000-000019CA0000}"/>
    <cellStyle name="Normal 11 6 3 2 3 3 2 2" xfId="52171" xr:uid="{00000000-0005-0000-0000-00001ACA0000}"/>
    <cellStyle name="Normal 11 6 3 2 3 3 3" xfId="52172" xr:uid="{00000000-0005-0000-0000-00001BCA0000}"/>
    <cellStyle name="Normal 11 6 3 2 3 4" xfId="52173" xr:uid="{00000000-0005-0000-0000-00001CCA0000}"/>
    <cellStyle name="Normal 11 6 3 2 3 4 2" xfId="52174" xr:uid="{00000000-0005-0000-0000-00001DCA0000}"/>
    <cellStyle name="Normal 11 6 3 2 3 5" xfId="52175" xr:uid="{00000000-0005-0000-0000-00001ECA0000}"/>
    <cellStyle name="Normal 11 6 3 2 4" xfId="52176" xr:uid="{00000000-0005-0000-0000-00001FCA0000}"/>
    <cellStyle name="Normal 11 6 3 2 4 2" xfId="52177" xr:uid="{00000000-0005-0000-0000-000020CA0000}"/>
    <cellStyle name="Normal 11 6 3 2 4 2 2" xfId="52178" xr:uid="{00000000-0005-0000-0000-000021CA0000}"/>
    <cellStyle name="Normal 11 6 3 2 4 2 2 2" xfId="52179" xr:uid="{00000000-0005-0000-0000-000022CA0000}"/>
    <cellStyle name="Normal 11 6 3 2 4 2 2 2 2" xfId="52180" xr:uid="{00000000-0005-0000-0000-000023CA0000}"/>
    <cellStyle name="Normal 11 6 3 2 4 2 2 3" xfId="52181" xr:uid="{00000000-0005-0000-0000-000024CA0000}"/>
    <cellStyle name="Normal 11 6 3 2 4 2 3" xfId="52182" xr:uid="{00000000-0005-0000-0000-000025CA0000}"/>
    <cellStyle name="Normal 11 6 3 2 4 2 3 2" xfId="52183" xr:uid="{00000000-0005-0000-0000-000026CA0000}"/>
    <cellStyle name="Normal 11 6 3 2 4 2 4" xfId="52184" xr:uid="{00000000-0005-0000-0000-000027CA0000}"/>
    <cellStyle name="Normal 11 6 3 2 4 3" xfId="52185" xr:uid="{00000000-0005-0000-0000-000028CA0000}"/>
    <cellStyle name="Normal 11 6 3 2 4 3 2" xfId="52186" xr:uid="{00000000-0005-0000-0000-000029CA0000}"/>
    <cellStyle name="Normal 11 6 3 2 4 3 2 2" xfId="52187" xr:uid="{00000000-0005-0000-0000-00002ACA0000}"/>
    <cellStyle name="Normal 11 6 3 2 4 3 3" xfId="52188" xr:uid="{00000000-0005-0000-0000-00002BCA0000}"/>
    <cellStyle name="Normal 11 6 3 2 4 4" xfId="52189" xr:uid="{00000000-0005-0000-0000-00002CCA0000}"/>
    <cellStyle name="Normal 11 6 3 2 4 4 2" xfId="52190" xr:uid="{00000000-0005-0000-0000-00002DCA0000}"/>
    <cellStyle name="Normal 11 6 3 2 4 5" xfId="52191" xr:uid="{00000000-0005-0000-0000-00002ECA0000}"/>
    <cellStyle name="Normal 11 6 3 2 5" xfId="52192" xr:uid="{00000000-0005-0000-0000-00002FCA0000}"/>
    <cellStyle name="Normal 11 6 3 2 5 2" xfId="52193" xr:uid="{00000000-0005-0000-0000-000030CA0000}"/>
    <cellStyle name="Normal 11 6 3 2 5 2 2" xfId="52194" xr:uid="{00000000-0005-0000-0000-000031CA0000}"/>
    <cellStyle name="Normal 11 6 3 2 5 2 2 2" xfId="52195" xr:uid="{00000000-0005-0000-0000-000032CA0000}"/>
    <cellStyle name="Normal 11 6 3 2 5 2 3" xfId="52196" xr:uid="{00000000-0005-0000-0000-000033CA0000}"/>
    <cellStyle name="Normal 11 6 3 2 5 3" xfId="52197" xr:uid="{00000000-0005-0000-0000-000034CA0000}"/>
    <cellStyle name="Normal 11 6 3 2 5 3 2" xfId="52198" xr:uid="{00000000-0005-0000-0000-000035CA0000}"/>
    <cellStyle name="Normal 11 6 3 2 5 4" xfId="52199" xr:uid="{00000000-0005-0000-0000-000036CA0000}"/>
    <cellStyle name="Normal 11 6 3 2 6" xfId="52200" xr:uid="{00000000-0005-0000-0000-000037CA0000}"/>
    <cellStyle name="Normal 11 6 3 2 6 2" xfId="52201" xr:uid="{00000000-0005-0000-0000-000038CA0000}"/>
    <cellStyle name="Normal 11 6 3 2 6 2 2" xfId="52202" xr:uid="{00000000-0005-0000-0000-000039CA0000}"/>
    <cellStyle name="Normal 11 6 3 2 6 2 2 2" xfId="52203" xr:uid="{00000000-0005-0000-0000-00003ACA0000}"/>
    <cellStyle name="Normal 11 6 3 2 6 2 3" xfId="52204" xr:uid="{00000000-0005-0000-0000-00003BCA0000}"/>
    <cellStyle name="Normal 11 6 3 2 6 3" xfId="52205" xr:uid="{00000000-0005-0000-0000-00003CCA0000}"/>
    <cellStyle name="Normal 11 6 3 2 6 3 2" xfId="52206" xr:uid="{00000000-0005-0000-0000-00003DCA0000}"/>
    <cellStyle name="Normal 11 6 3 2 6 4" xfId="52207" xr:uid="{00000000-0005-0000-0000-00003ECA0000}"/>
    <cellStyle name="Normal 11 6 3 2 7" xfId="52208" xr:uid="{00000000-0005-0000-0000-00003FCA0000}"/>
    <cellStyle name="Normal 11 6 3 2 7 2" xfId="52209" xr:uid="{00000000-0005-0000-0000-000040CA0000}"/>
    <cellStyle name="Normal 11 6 3 2 7 2 2" xfId="52210" xr:uid="{00000000-0005-0000-0000-000041CA0000}"/>
    <cellStyle name="Normal 11 6 3 2 7 2 2 2" xfId="52211" xr:uid="{00000000-0005-0000-0000-000042CA0000}"/>
    <cellStyle name="Normal 11 6 3 2 7 2 3" xfId="52212" xr:uid="{00000000-0005-0000-0000-000043CA0000}"/>
    <cellStyle name="Normal 11 6 3 2 7 3" xfId="52213" xr:uid="{00000000-0005-0000-0000-000044CA0000}"/>
    <cellStyle name="Normal 11 6 3 2 7 3 2" xfId="52214" xr:uid="{00000000-0005-0000-0000-000045CA0000}"/>
    <cellStyle name="Normal 11 6 3 2 7 4" xfId="52215" xr:uid="{00000000-0005-0000-0000-000046CA0000}"/>
    <cellStyle name="Normal 11 6 3 2 8" xfId="52216" xr:uid="{00000000-0005-0000-0000-000047CA0000}"/>
    <cellStyle name="Normal 11 6 3 2 8 2" xfId="52217" xr:uid="{00000000-0005-0000-0000-000048CA0000}"/>
    <cellStyle name="Normal 11 6 3 2 8 2 2" xfId="52218" xr:uid="{00000000-0005-0000-0000-000049CA0000}"/>
    <cellStyle name="Normal 11 6 3 2 8 3" xfId="52219" xr:uid="{00000000-0005-0000-0000-00004ACA0000}"/>
    <cellStyle name="Normal 11 6 3 2 9" xfId="52220" xr:uid="{00000000-0005-0000-0000-00004BCA0000}"/>
    <cellStyle name="Normal 11 6 3 2 9 2" xfId="52221" xr:uid="{00000000-0005-0000-0000-00004CCA0000}"/>
    <cellStyle name="Normal 11 6 3 3" xfId="1515" xr:uid="{00000000-0005-0000-0000-00004DCA0000}"/>
    <cellStyle name="Normal 11 6 3 3 2" xfId="52223" xr:uid="{00000000-0005-0000-0000-00004ECA0000}"/>
    <cellStyle name="Normal 11 6 3 3 2 2" xfId="52224" xr:uid="{00000000-0005-0000-0000-00004FCA0000}"/>
    <cellStyle name="Normal 11 6 3 3 2 2 2" xfId="52225" xr:uid="{00000000-0005-0000-0000-000050CA0000}"/>
    <cellStyle name="Normal 11 6 3 3 2 2 2 2" xfId="52226" xr:uid="{00000000-0005-0000-0000-000051CA0000}"/>
    <cellStyle name="Normal 11 6 3 3 2 2 3" xfId="52227" xr:uid="{00000000-0005-0000-0000-000052CA0000}"/>
    <cellStyle name="Normal 11 6 3 3 2 3" xfId="52228" xr:uid="{00000000-0005-0000-0000-000053CA0000}"/>
    <cellStyle name="Normal 11 6 3 3 2 3 2" xfId="52229" xr:uid="{00000000-0005-0000-0000-000054CA0000}"/>
    <cellStyle name="Normal 11 6 3 3 2 4" xfId="52230" xr:uid="{00000000-0005-0000-0000-000055CA0000}"/>
    <cellStyle name="Normal 11 6 3 3 3" xfId="52231" xr:uid="{00000000-0005-0000-0000-000056CA0000}"/>
    <cellStyle name="Normal 11 6 3 3 3 2" xfId="52232" xr:uid="{00000000-0005-0000-0000-000057CA0000}"/>
    <cellStyle name="Normal 11 6 3 3 3 2 2" xfId="52233" xr:uid="{00000000-0005-0000-0000-000058CA0000}"/>
    <cellStyle name="Normal 11 6 3 3 3 2 2 2" xfId="52234" xr:uid="{00000000-0005-0000-0000-000059CA0000}"/>
    <cellStyle name="Normal 11 6 3 3 3 2 3" xfId="52235" xr:uid="{00000000-0005-0000-0000-00005ACA0000}"/>
    <cellStyle name="Normal 11 6 3 3 3 3" xfId="52236" xr:uid="{00000000-0005-0000-0000-00005BCA0000}"/>
    <cellStyle name="Normal 11 6 3 3 3 3 2" xfId="52237" xr:uid="{00000000-0005-0000-0000-00005CCA0000}"/>
    <cellStyle name="Normal 11 6 3 3 3 4" xfId="52238" xr:uid="{00000000-0005-0000-0000-00005DCA0000}"/>
    <cellStyle name="Normal 11 6 3 3 4" xfId="52239" xr:uid="{00000000-0005-0000-0000-00005ECA0000}"/>
    <cellStyle name="Normal 11 6 3 3 4 2" xfId="52240" xr:uid="{00000000-0005-0000-0000-00005FCA0000}"/>
    <cellStyle name="Normal 11 6 3 3 4 2 2" xfId="52241" xr:uid="{00000000-0005-0000-0000-000060CA0000}"/>
    <cellStyle name="Normal 11 6 3 3 4 3" xfId="52242" xr:uid="{00000000-0005-0000-0000-000061CA0000}"/>
    <cellStyle name="Normal 11 6 3 3 5" xfId="52243" xr:uid="{00000000-0005-0000-0000-000062CA0000}"/>
    <cellStyle name="Normal 11 6 3 3 5 2" xfId="52244" xr:uid="{00000000-0005-0000-0000-000063CA0000}"/>
    <cellStyle name="Normal 11 6 3 3 6" xfId="52245" xr:uid="{00000000-0005-0000-0000-000064CA0000}"/>
    <cellStyle name="Normal 11 6 3 3 7" xfId="52222" xr:uid="{00000000-0005-0000-0000-000065CA0000}"/>
    <cellStyle name="Normal 11 6 3 4" xfId="52246" xr:uid="{00000000-0005-0000-0000-000066CA0000}"/>
    <cellStyle name="Normal 11 6 3 4 2" xfId="52247" xr:uid="{00000000-0005-0000-0000-000067CA0000}"/>
    <cellStyle name="Normal 11 6 3 4 2 2" xfId="52248" xr:uid="{00000000-0005-0000-0000-000068CA0000}"/>
    <cellStyle name="Normal 11 6 3 4 2 2 2" xfId="52249" xr:uid="{00000000-0005-0000-0000-000069CA0000}"/>
    <cellStyle name="Normal 11 6 3 4 2 2 2 2" xfId="52250" xr:uid="{00000000-0005-0000-0000-00006ACA0000}"/>
    <cellStyle name="Normal 11 6 3 4 2 2 3" xfId="52251" xr:uid="{00000000-0005-0000-0000-00006BCA0000}"/>
    <cellStyle name="Normal 11 6 3 4 2 3" xfId="52252" xr:uid="{00000000-0005-0000-0000-00006CCA0000}"/>
    <cellStyle name="Normal 11 6 3 4 2 3 2" xfId="52253" xr:uid="{00000000-0005-0000-0000-00006DCA0000}"/>
    <cellStyle name="Normal 11 6 3 4 2 4" xfId="52254" xr:uid="{00000000-0005-0000-0000-00006ECA0000}"/>
    <cellStyle name="Normal 11 6 3 4 3" xfId="52255" xr:uid="{00000000-0005-0000-0000-00006FCA0000}"/>
    <cellStyle name="Normal 11 6 3 4 3 2" xfId="52256" xr:uid="{00000000-0005-0000-0000-000070CA0000}"/>
    <cellStyle name="Normal 11 6 3 4 3 2 2" xfId="52257" xr:uid="{00000000-0005-0000-0000-000071CA0000}"/>
    <cellStyle name="Normal 11 6 3 4 3 3" xfId="52258" xr:uid="{00000000-0005-0000-0000-000072CA0000}"/>
    <cellStyle name="Normal 11 6 3 4 4" xfId="52259" xr:uid="{00000000-0005-0000-0000-000073CA0000}"/>
    <cellStyle name="Normal 11 6 3 4 4 2" xfId="52260" xr:uid="{00000000-0005-0000-0000-000074CA0000}"/>
    <cellStyle name="Normal 11 6 3 4 5" xfId="52261" xr:uid="{00000000-0005-0000-0000-000075CA0000}"/>
    <cellStyle name="Normal 11 6 3 5" xfId="52262" xr:uid="{00000000-0005-0000-0000-000076CA0000}"/>
    <cellStyle name="Normal 11 6 3 5 2" xfId="52263" xr:uid="{00000000-0005-0000-0000-000077CA0000}"/>
    <cellStyle name="Normal 11 6 3 5 2 2" xfId="52264" xr:uid="{00000000-0005-0000-0000-000078CA0000}"/>
    <cellStyle name="Normal 11 6 3 5 2 2 2" xfId="52265" xr:uid="{00000000-0005-0000-0000-000079CA0000}"/>
    <cellStyle name="Normal 11 6 3 5 2 2 2 2" xfId="52266" xr:uid="{00000000-0005-0000-0000-00007ACA0000}"/>
    <cellStyle name="Normal 11 6 3 5 2 2 3" xfId="52267" xr:uid="{00000000-0005-0000-0000-00007BCA0000}"/>
    <cellStyle name="Normal 11 6 3 5 2 3" xfId="52268" xr:uid="{00000000-0005-0000-0000-00007CCA0000}"/>
    <cellStyle name="Normal 11 6 3 5 2 3 2" xfId="52269" xr:uid="{00000000-0005-0000-0000-00007DCA0000}"/>
    <cellStyle name="Normal 11 6 3 5 2 4" xfId="52270" xr:uid="{00000000-0005-0000-0000-00007ECA0000}"/>
    <cellStyle name="Normal 11 6 3 5 3" xfId="52271" xr:uid="{00000000-0005-0000-0000-00007FCA0000}"/>
    <cellStyle name="Normal 11 6 3 5 3 2" xfId="52272" xr:uid="{00000000-0005-0000-0000-000080CA0000}"/>
    <cellStyle name="Normal 11 6 3 5 3 2 2" xfId="52273" xr:uid="{00000000-0005-0000-0000-000081CA0000}"/>
    <cellStyle name="Normal 11 6 3 5 3 3" xfId="52274" xr:uid="{00000000-0005-0000-0000-000082CA0000}"/>
    <cellStyle name="Normal 11 6 3 5 4" xfId="52275" xr:uid="{00000000-0005-0000-0000-000083CA0000}"/>
    <cellStyle name="Normal 11 6 3 5 4 2" xfId="52276" xr:uid="{00000000-0005-0000-0000-000084CA0000}"/>
    <cellStyle name="Normal 11 6 3 5 5" xfId="52277" xr:uid="{00000000-0005-0000-0000-000085CA0000}"/>
    <cellStyle name="Normal 11 6 3 6" xfId="52278" xr:uid="{00000000-0005-0000-0000-000086CA0000}"/>
    <cellStyle name="Normal 11 6 3 6 2" xfId="52279" xr:uid="{00000000-0005-0000-0000-000087CA0000}"/>
    <cellStyle name="Normal 11 6 3 6 2 2" xfId="52280" xr:uid="{00000000-0005-0000-0000-000088CA0000}"/>
    <cellStyle name="Normal 11 6 3 6 2 2 2" xfId="52281" xr:uid="{00000000-0005-0000-0000-000089CA0000}"/>
    <cellStyle name="Normal 11 6 3 6 2 3" xfId="52282" xr:uid="{00000000-0005-0000-0000-00008ACA0000}"/>
    <cellStyle name="Normal 11 6 3 6 3" xfId="52283" xr:uid="{00000000-0005-0000-0000-00008BCA0000}"/>
    <cellStyle name="Normal 11 6 3 6 3 2" xfId="52284" xr:uid="{00000000-0005-0000-0000-00008CCA0000}"/>
    <cellStyle name="Normal 11 6 3 6 4" xfId="52285" xr:uid="{00000000-0005-0000-0000-00008DCA0000}"/>
    <cellStyle name="Normal 11 6 3 7" xfId="52286" xr:uid="{00000000-0005-0000-0000-00008ECA0000}"/>
    <cellStyle name="Normal 11 6 3 7 2" xfId="52287" xr:uid="{00000000-0005-0000-0000-00008FCA0000}"/>
    <cellStyle name="Normal 11 6 3 7 2 2" xfId="52288" xr:uid="{00000000-0005-0000-0000-000090CA0000}"/>
    <cellStyle name="Normal 11 6 3 7 2 2 2" xfId="52289" xr:uid="{00000000-0005-0000-0000-000091CA0000}"/>
    <cellStyle name="Normal 11 6 3 7 2 3" xfId="52290" xr:uid="{00000000-0005-0000-0000-000092CA0000}"/>
    <cellStyle name="Normal 11 6 3 7 3" xfId="52291" xr:uid="{00000000-0005-0000-0000-000093CA0000}"/>
    <cellStyle name="Normal 11 6 3 7 3 2" xfId="52292" xr:uid="{00000000-0005-0000-0000-000094CA0000}"/>
    <cellStyle name="Normal 11 6 3 7 4" xfId="52293" xr:uid="{00000000-0005-0000-0000-000095CA0000}"/>
    <cellStyle name="Normal 11 6 3 8" xfId="52294" xr:uid="{00000000-0005-0000-0000-000096CA0000}"/>
    <cellStyle name="Normal 11 6 3 8 2" xfId="52295" xr:uid="{00000000-0005-0000-0000-000097CA0000}"/>
    <cellStyle name="Normal 11 6 3 8 2 2" xfId="52296" xr:uid="{00000000-0005-0000-0000-000098CA0000}"/>
    <cellStyle name="Normal 11 6 3 8 2 2 2" xfId="52297" xr:uid="{00000000-0005-0000-0000-000099CA0000}"/>
    <cellStyle name="Normal 11 6 3 8 2 3" xfId="52298" xr:uid="{00000000-0005-0000-0000-00009ACA0000}"/>
    <cellStyle name="Normal 11 6 3 8 3" xfId="52299" xr:uid="{00000000-0005-0000-0000-00009BCA0000}"/>
    <cellStyle name="Normal 11 6 3 8 3 2" xfId="52300" xr:uid="{00000000-0005-0000-0000-00009CCA0000}"/>
    <cellStyle name="Normal 11 6 3 8 4" xfId="52301" xr:uid="{00000000-0005-0000-0000-00009DCA0000}"/>
    <cellStyle name="Normal 11 6 3 9" xfId="52302" xr:uid="{00000000-0005-0000-0000-00009ECA0000}"/>
    <cellStyle name="Normal 11 6 3 9 2" xfId="52303" xr:uid="{00000000-0005-0000-0000-00009FCA0000}"/>
    <cellStyle name="Normal 11 6 3 9 2 2" xfId="52304" xr:uid="{00000000-0005-0000-0000-0000A0CA0000}"/>
    <cellStyle name="Normal 11 6 3 9 3" xfId="52305" xr:uid="{00000000-0005-0000-0000-0000A1CA0000}"/>
    <cellStyle name="Normal 11 6 4" xfId="672" xr:uid="{00000000-0005-0000-0000-0000A2CA0000}"/>
    <cellStyle name="Normal 11 6 4 10" xfId="52307" xr:uid="{00000000-0005-0000-0000-0000A3CA0000}"/>
    <cellStyle name="Normal 11 6 4 10 2" xfId="52308" xr:uid="{00000000-0005-0000-0000-0000A4CA0000}"/>
    <cellStyle name="Normal 11 6 4 10 2 2" xfId="52309" xr:uid="{00000000-0005-0000-0000-0000A5CA0000}"/>
    <cellStyle name="Normal 11 6 4 10 3" xfId="52310" xr:uid="{00000000-0005-0000-0000-0000A6CA0000}"/>
    <cellStyle name="Normal 11 6 4 11" xfId="52311" xr:uid="{00000000-0005-0000-0000-0000A7CA0000}"/>
    <cellStyle name="Normal 11 6 4 11 2" xfId="52312" xr:uid="{00000000-0005-0000-0000-0000A8CA0000}"/>
    <cellStyle name="Normal 11 6 4 11 2 2" xfId="52313" xr:uid="{00000000-0005-0000-0000-0000A9CA0000}"/>
    <cellStyle name="Normal 11 6 4 11 3" xfId="52314" xr:uid="{00000000-0005-0000-0000-0000AACA0000}"/>
    <cellStyle name="Normal 11 6 4 12" xfId="52315" xr:uid="{00000000-0005-0000-0000-0000ABCA0000}"/>
    <cellStyle name="Normal 11 6 4 12 2" xfId="52316" xr:uid="{00000000-0005-0000-0000-0000ACCA0000}"/>
    <cellStyle name="Normal 11 6 4 13" xfId="52317" xr:uid="{00000000-0005-0000-0000-0000ADCA0000}"/>
    <cellStyle name="Normal 11 6 4 14" xfId="52318" xr:uid="{00000000-0005-0000-0000-0000AECA0000}"/>
    <cellStyle name="Normal 11 6 4 15" xfId="52306" xr:uid="{00000000-0005-0000-0000-0000AFCA0000}"/>
    <cellStyle name="Normal 11 6 4 2" xfId="1114" xr:uid="{00000000-0005-0000-0000-0000B0CA0000}"/>
    <cellStyle name="Normal 11 6 4 2 10" xfId="52320" xr:uid="{00000000-0005-0000-0000-0000B1CA0000}"/>
    <cellStyle name="Normal 11 6 4 2 11" xfId="52319" xr:uid="{00000000-0005-0000-0000-0000B2CA0000}"/>
    <cellStyle name="Normal 11 6 4 2 2" xfId="1843" xr:uid="{00000000-0005-0000-0000-0000B3CA0000}"/>
    <cellStyle name="Normal 11 6 4 2 2 2" xfId="52322" xr:uid="{00000000-0005-0000-0000-0000B4CA0000}"/>
    <cellStyle name="Normal 11 6 4 2 2 2 2" xfId="52323" xr:uid="{00000000-0005-0000-0000-0000B5CA0000}"/>
    <cellStyle name="Normal 11 6 4 2 2 2 2 2" xfId="52324" xr:uid="{00000000-0005-0000-0000-0000B6CA0000}"/>
    <cellStyle name="Normal 11 6 4 2 2 2 2 2 2" xfId="52325" xr:uid="{00000000-0005-0000-0000-0000B7CA0000}"/>
    <cellStyle name="Normal 11 6 4 2 2 2 2 3" xfId="52326" xr:uid="{00000000-0005-0000-0000-0000B8CA0000}"/>
    <cellStyle name="Normal 11 6 4 2 2 2 3" xfId="52327" xr:uid="{00000000-0005-0000-0000-0000B9CA0000}"/>
    <cellStyle name="Normal 11 6 4 2 2 2 3 2" xfId="52328" xr:uid="{00000000-0005-0000-0000-0000BACA0000}"/>
    <cellStyle name="Normal 11 6 4 2 2 2 4" xfId="52329" xr:uid="{00000000-0005-0000-0000-0000BBCA0000}"/>
    <cellStyle name="Normal 11 6 4 2 2 3" xfId="52330" xr:uid="{00000000-0005-0000-0000-0000BCCA0000}"/>
    <cellStyle name="Normal 11 6 4 2 2 3 2" xfId="52331" xr:uid="{00000000-0005-0000-0000-0000BDCA0000}"/>
    <cellStyle name="Normal 11 6 4 2 2 3 2 2" xfId="52332" xr:uid="{00000000-0005-0000-0000-0000BECA0000}"/>
    <cellStyle name="Normal 11 6 4 2 2 3 2 2 2" xfId="52333" xr:uid="{00000000-0005-0000-0000-0000BFCA0000}"/>
    <cellStyle name="Normal 11 6 4 2 2 3 2 3" xfId="52334" xr:uid="{00000000-0005-0000-0000-0000C0CA0000}"/>
    <cellStyle name="Normal 11 6 4 2 2 3 3" xfId="52335" xr:uid="{00000000-0005-0000-0000-0000C1CA0000}"/>
    <cellStyle name="Normal 11 6 4 2 2 3 3 2" xfId="52336" xr:uid="{00000000-0005-0000-0000-0000C2CA0000}"/>
    <cellStyle name="Normal 11 6 4 2 2 3 4" xfId="52337" xr:uid="{00000000-0005-0000-0000-0000C3CA0000}"/>
    <cellStyle name="Normal 11 6 4 2 2 4" xfId="52338" xr:uid="{00000000-0005-0000-0000-0000C4CA0000}"/>
    <cellStyle name="Normal 11 6 4 2 2 4 2" xfId="52339" xr:uid="{00000000-0005-0000-0000-0000C5CA0000}"/>
    <cellStyle name="Normal 11 6 4 2 2 4 2 2" xfId="52340" xr:uid="{00000000-0005-0000-0000-0000C6CA0000}"/>
    <cellStyle name="Normal 11 6 4 2 2 4 3" xfId="52341" xr:uid="{00000000-0005-0000-0000-0000C7CA0000}"/>
    <cellStyle name="Normal 11 6 4 2 2 5" xfId="52342" xr:uid="{00000000-0005-0000-0000-0000C8CA0000}"/>
    <cellStyle name="Normal 11 6 4 2 2 5 2" xfId="52343" xr:uid="{00000000-0005-0000-0000-0000C9CA0000}"/>
    <cellStyle name="Normal 11 6 4 2 2 6" xfId="52344" xr:uid="{00000000-0005-0000-0000-0000CACA0000}"/>
    <cellStyle name="Normal 11 6 4 2 2 7" xfId="52321" xr:uid="{00000000-0005-0000-0000-0000CBCA0000}"/>
    <cellStyle name="Normal 11 6 4 2 3" xfId="52345" xr:uid="{00000000-0005-0000-0000-0000CCCA0000}"/>
    <cellStyle name="Normal 11 6 4 2 3 2" xfId="52346" xr:uid="{00000000-0005-0000-0000-0000CDCA0000}"/>
    <cellStyle name="Normal 11 6 4 2 3 2 2" xfId="52347" xr:uid="{00000000-0005-0000-0000-0000CECA0000}"/>
    <cellStyle name="Normal 11 6 4 2 3 2 2 2" xfId="52348" xr:uid="{00000000-0005-0000-0000-0000CFCA0000}"/>
    <cellStyle name="Normal 11 6 4 2 3 2 2 2 2" xfId="52349" xr:uid="{00000000-0005-0000-0000-0000D0CA0000}"/>
    <cellStyle name="Normal 11 6 4 2 3 2 2 3" xfId="52350" xr:uid="{00000000-0005-0000-0000-0000D1CA0000}"/>
    <cellStyle name="Normal 11 6 4 2 3 2 3" xfId="52351" xr:uid="{00000000-0005-0000-0000-0000D2CA0000}"/>
    <cellStyle name="Normal 11 6 4 2 3 2 3 2" xfId="52352" xr:uid="{00000000-0005-0000-0000-0000D3CA0000}"/>
    <cellStyle name="Normal 11 6 4 2 3 2 4" xfId="52353" xr:uid="{00000000-0005-0000-0000-0000D4CA0000}"/>
    <cellStyle name="Normal 11 6 4 2 3 3" xfId="52354" xr:uid="{00000000-0005-0000-0000-0000D5CA0000}"/>
    <cellStyle name="Normal 11 6 4 2 3 3 2" xfId="52355" xr:uid="{00000000-0005-0000-0000-0000D6CA0000}"/>
    <cellStyle name="Normal 11 6 4 2 3 3 2 2" xfId="52356" xr:uid="{00000000-0005-0000-0000-0000D7CA0000}"/>
    <cellStyle name="Normal 11 6 4 2 3 3 3" xfId="52357" xr:uid="{00000000-0005-0000-0000-0000D8CA0000}"/>
    <cellStyle name="Normal 11 6 4 2 3 4" xfId="52358" xr:uid="{00000000-0005-0000-0000-0000D9CA0000}"/>
    <cellStyle name="Normal 11 6 4 2 3 4 2" xfId="52359" xr:uid="{00000000-0005-0000-0000-0000DACA0000}"/>
    <cellStyle name="Normal 11 6 4 2 3 5" xfId="52360" xr:uid="{00000000-0005-0000-0000-0000DBCA0000}"/>
    <cellStyle name="Normal 11 6 4 2 4" xfId="52361" xr:uid="{00000000-0005-0000-0000-0000DCCA0000}"/>
    <cellStyle name="Normal 11 6 4 2 4 2" xfId="52362" xr:uid="{00000000-0005-0000-0000-0000DDCA0000}"/>
    <cellStyle name="Normal 11 6 4 2 4 2 2" xfId="52363" xr:uid="{00000000-0005-0000-0000-0000DECA0000}"/>
    <cellStyle name="Normal 11 6 4 2 4 2 2 2" xfId="52364" xr:uid="{00000000-0005-0000-0000-0000DFCA0000}"/>
    <cellStyle name="Normal 11 6 4 2 4 2 2 2 2" xfId="52365" xr:uid="{00000000-0005-0000-0000-0000E0CA0000}"/>
    <cellStyle name="Normal 11 6 4 2 4 2 2 3" xfId="52366" xr:uid="{00000000-0005-0000-0000-0000E1CA0000}"/>
    <cellStyle name="Normal 11 6 4 2 4 2 3" xfId="52367" xr:uid="{00000000-0005-0000-0000-0000E2CA0000}"/>
    <cellStyle name="Normal 11 6 4 2 4 2 3 2" xfId="52368" xr:uid="{00000000-0005-0000-0000-0000E3CA0000}"/>
    <cellStyle name="Normal 11 6 4 2 4 2 4" xfId="52369" xr:uid="{00000000-0005-0000-0000-0000E4CA0000}"/>
    <cellStyle name="Normal 11 6 4 2 4 3" xfId="52370" xr:uid="{00000000-0005-0000-0000-0000E5CA0000}"/>
    <cellStyle name="Normal 11 6 4 2 4 3 2" xfId="52371" xr:uid="{00000000-0005-0000-0000-0000E6CA0000}"/>
    <cellStyle name="Normal 11 6 4 2 4 3 2 2" xfId="52372" xr:uid="{00000000-0005-0000-0000-0000E7CA0000}"/>
    <cellStyle name="Normal 11 6 4 2 4 3 3" xfId="52373" xr:uid="{00000000-0005-0000-0000-0000E8CA0000}"/>
    <cellStyle name="Normal 11 6 4 2 4 4" xfId="52374" xr:uid="{00000000-0005-0000-0000-0000E9CA0000}"/>
    <cellStyle name="Normal 11 6 4 2 4 4 2" xfId="52375" xr:uid="{00000000-0005-0000-0000-0000EACA0000}"/>
    <cellStyle name="Normal 11 6 4 2 4 5" xfId="52376" xr:uid="{00000000-0005-0000-0000-0000EBCA0000}"/>
    <cellStyle name="Normal 11 6 4 2 5" xfId="52377" xr:uid="{00000000-0005-0000-0000-0000ECCA0000}"/>
    <cellStyle name="Normal 11 6 4 2 5 2" xfId="52378" xr:uid="{00000000-0005-0000-0000-0000EDCA0000}"/>
    <cellStyle name="Normal 11 6 4 2 5 2 2" xfId="52379" xr:uid="{00000000-0005-0000-0000-0000EECA0000}"/>
    <cellStyle name="Normal 11 6 4 2 5 2 2 2" xfId="52380" xr:uid="{00000000-0005-0000-0000-0000EFCA0000}"/>
    <cellStyle name="Normal 11 6 4 2 5 2 3" xfId="52381" xr:uid="{00000000-0005-0000-0000-0000F0CA0000}"/>
    <cellStyle name="Normal 11 6 4 2 5 3" xfId="52382" xr:uid="{00000000-0005-0000-0000-0000F1CA0000}"/>
    <cellStyle name="Normal 11 6 4 2 5 3 2" xfId="52383" xr:uid="{00000000-0005-0000-0000-0000F2CA0000}"/>
    <cellStyle name="Normal 11 6 4 2 5 4" xfId="52384" xr:uid="{00000000-0005-0000-0000-0000F3CA0000}"/>
    <cellStyle name="Normal 11 6 4 2 6" xfId="52385" xr:uid="{00000000-0005-0000-0000-0000F4CA0000}"/>
    <cellStyle name="Normal 11 6 4 2 6 2" xfId="52386" xr:uid="{00000000-0005-0000-0000-0000F5CA0000}"/>
    <cellStyle name="Normal 11 6 4 2 6 2 2" xfId="52387" xr:uid="{00000000-0005-0000-0000-0000F6CA0000}"/>
    <cellStyle name="Normal 11 6 4 2 6 2 2 2" xfId="52388" xr:uid="{00000000-0005-0000-0000-0000F7CA0000}"/>
    <cellStyle name="Normal 11 6 4 2 6 2 3" xfId="52389" xr:uid="{00000000-0005-0000-0000-0000F8CA0000}"/>
    <cellStyle name="Normal 11 6 4 2 6 3" xfId="52390" xr:uid="{00000000-0005-0000-0000-0000F9CA0000}"/>
    <cellStyle name="Normal 11 6 4 2 6 3 2" xfId="52391" xr:uid="{00000000-0005-0000-0000-0000FACA0000}"/>
    <cellStyle name="Normal 11 6 4 2 6 4" xfId="52392" xr:uid="{00000000-0005-0000-0000-0000FBCA0000}"/>
    <cellStyle name="Normal 11 6 4 2 7" xfId="52393" xr:uid="{00000000-0005-0000-0000-0000FCCA0000}"/>
    <cellStyle name="Normal 11 6 4 2 7 2" xfId="52394" xr:uid="{00000000-0005-0000-0000-0000FDCA0000}"/>
    <cellStyle name="Normal 11 6 4 2 7 2 2" xfId="52395" xr:uid="{00000000-0005-0000-0000-0000FECA0000}"/>
    <cellStyle name="Normal 11 6 4 2 7 2 2 2" xfId="52396" xr:uid="{00000000-0005-0000-0000-0000FFCA0000}"/>
    <cellStyle name="Normal 11 6 4 2 7 2 3" xfId="52397" xr:uid="{00000000-0005-0000-0000-000000CB0000}"/>
    <cellStyle name="Normal 11 6 4 2 7 3" xfId="52398" xr:uid="{00000000-0005-0000-0000-000001CB0000}"/>
    <cellStyle name="Normal 11 6 4 2 7 3 2" xfId="52399" xr:uid="{00000000-0005-0000-0000-000002CB0000}"/>
    <cellStyle name="Normal 11 6 4 2 7 4" xfId="52400" xr:uid="{00000000-0005-0000-0000-000003CB0000}"/>
    <cellStyle name="Normal 11 6 4 2 8" xfId="52401" xr:uid="{00000000-0005-0000-0000-000004CB0000}"/>
    <cellStyle name="Normal 11 6 4 2 8 2" xfId="52402" xr:uid="{00000000-0005-0000-0000-000005CB0000}"/>
    <cellStyle name="Normal 11 6 4 2 8 2 2" xfId="52403" xr:uid="{00000000-0005-0000-0000-000006CB0000}"/>
    <cellStyle name="Normal 11 6 4 2 8 3" xfId="52404" xr:uid="{00000000-0005-0000-0000-000007CB0000}"/>
    <cellStyle name="Normal 11 6 4 2 9" xfId="52405" xr:uid="{00000000-0005-0000-0000-000008CB0000}"/>
    <cellStyle name="Normal 11 6 4 2 9 2" xfId="52406" xr:uid="{00000000-0005-0000-0000-000009CB0000}"/>
    <cellStyle name="Normal 11 6 4 3" xfId="1516" xr:uid="{00000000-0005-0000-0000-00000ACB0000}"/>
    <cellStyle name="Normal 11 6 4 3 2" xfId="52408" xr:uid="{00000000-0005-0000-0000-00000BCB0000}"/>
    <cellStyle name="Normal 11 6 4 3 2 2" xfId="52409" xr:uid="{00000000-0005-0000-0000-00000CCB0000}"/>
    <cellStyle name="Normal 11 6 4 3 2 2 2" xfId="52410" xr:uid="{00000000-0005-0000-0000-00000DCB0000}"/>
    <cellStyle name="Normal 11 6 4 3 2 2 2 2" xfId="52411" xr:uid="{00000000-0005-0000-0000-00000ECB0000}"/>
    <cellStyle name="Normal 11 6 4 3 2 2 3" xfId="52412" xr:uid="{00000000-0005-0000-0000-00000FCB0000}"/>
    <cellStyle name="Normal 11 6 4 3 2 3" xfId="52413" xr:uid="{00000000-0005-0000-0000-000010CB0000}"/>
    <cellStyle name="Normal 11 6 4 3 2 3 2" xfId="52414" xr:uid="{00000000-0005-0000-0000-000011CB0000}"/>
    <cellStyle name="Normal 11 6 4 3 2 4" xfId="52415" xr:uid="{00000000-0005-0000-0000-000012CB0000}"/>
    <cellStyle name="Normal 11 6 4 3 3" xfId="52416" xr:uid="{00000000-0005-0000-0000-000013CB0000}"/>
    <cellStyle name="Normal 11 6 4 3 3 2" xfId="52417" xr:uid="{00000000-0005-0000-0000-000014CB0000}"/>
    <cellStyle name="Normal 11 6 4 3 3 2 2" xfId="52418" xr:uid="{00000000-0005-0000-0000-000015CB0000}"/>
    <cellStyle name="Normal 11 6 4 3 3 2 2 2" xfId="52419" xr:uid="{00000000-0005-0000-0000-000016CB0000}"/>
    <cellStyle name="Normal 11 6 4 3 3 2 3" xfId="52420" xr:uid="{00000000-0005-0000-0000-000017CB0000}"/>
    <cellStyle name="Normal 11 6 4 3 3 3" xfId="52421" xr:uid="{00000000-0005-0000-0000-000018CB0000}"/>
    <cellStyle name="Normal 11 6 4 3 3 3 2" xfId="52422" xr:uid="{00000000-0005-0000-0000-000019CB0000}"/>
    <cellStyle name="Normal 11 6 4 3 3 4" xfId="52423" xr:uid="{00000000-0005-0000-0000-00001ACB0000}"/>
    <cellStyle name="Normal 11 6 4 3 4" xfId="52424" xr:uid="{00000000-0005-0000-0000-00001BCB0000}"/>
    <cellStyle name="Normal 11 6 4 3 4 2" xfId="52425" xr:uid="{00000000-0005-0000-0000-00001CCB0000}"/>
    <cellStyle name="Normal 11 6 4 3 4 2 2" xfId="52426" xr:uid="{00000000-0005-0000-0000-00001DCB0000}"/>
    <cellStyle name="Normal 11 6 4 3 4 3" xfId="52427" xr:uid="{00000000-0005-0000-0000-00001ECB0000}"/>
    <cellStyle name="Normal 11 6 4 3 5" xfId="52428" xr:uid="{00000000-0005-0000-0000-00001FCB0000}"/>
    <cellStyle name="Normal 11 6 4 3 5 2" xfId="52429" xr:uid="{00000000-0005-0000-0000-000020CB0000}"/>
    <cellStyle name="Normal 11 6 4 3 6" xfId="52430" xr:uid="{00000000-0005-0000-0000-000021CB0000}"/>
    <cellStyle name="Normal 11 6 4 3 7" xfId="52407" xr:uid="{00000000-0005-0000-0000-000022CB0000}"/>
    <cellStyle name="Normal 11 6 4 4" xfId="52431" xr:uid="{00000000-0005-0000-0000-000023CB0000}"/>
    <cellStyle name="Normal 11 6 4 4 2" xfId="52432" xr:uid="{00000000-0005-0000-0000-000024CB0000}"/>
    <cellStyle name="Normal 11 6 4 4 2 2" xfId="52433" xr:uid="{00000000-0005-0000-0000-000025CB0000}"/>
    <cellStyle name="Normal 11 6 4 4 2 2 2" xfId="52434" xr:uid="{00000000-0005-0000-0000-000026CB0000}"/>
    <cellStyle name="Normal 11 6 4 4 2 2 2 2" xfId="52435" xr:uid="{00000000-0005-0000-0000-000027CB0000}"/>
    <cellStyle name="Normal 11 6 4 4 2 2 3" xfId="52436" xr:uid="{00000000-0005-0000-0000-000028CB0000}"/>
    <cellStyle name="Normal 11 6 4 4 2 3" xfId="52437" xr:uid="{00000000-0005-0000-0000-000029CB0000}"/>
    <cellStyle name="Normal 11 6 4 4 2 3 2" xfId="52438" xr:uid="{00000000-0005-0000-0000-00002ACB0000}"/>
    <cellStyle name="Normal 11 6 4 4 2 4" xfId="52439" xr:uid="{00000000-0005-0000-0000-00002BCB0000}"/>
    <cellStyle name="Normal 11 6 4 4 3" xfId="52440" xr:uid="{00000000-0005-0000-0000-00002CCB0000}"/>
    <cellStyle name="Normal 11 6 4 4 3 2" xfId="52441" xr:uid="{00000000-0005-0000-0000-00002DCB0000}"/>
    <cellStyle name="Normal 11 6 4 4 3 2 2" xfId="52442" xr:uid="{00000000-0005-0000-0000-00002ECB0000}"/>
    <cellStyle name="Normal 11 6 4 4 3 3" xfId="52443" xr:uid="{00000000-0005-0000-0000-00002FCB0000}"/>
    <cellStyle name="Normal 11 6 4 4 4" xfId="52444" xr:uid="{00000000-0005-0000-0000-000030CB0000}"/>
    <cellStyle name="Normal 11 6 4 4 4 2" xfId="52445" xr:uid="{00000000-0005-0000-0000-000031CB0000}"/>
    <cellStyle name="Normal 11 6 4 4 5" xfId="52446" xr:uid="{00000000-0005-0000-0000-000032CB0000}"/>
    <cellStyle name="Normal 11 6 4 5" xfId="52447" xr:uid="{00000000-0005-0000-0000-000033CB0000}"/>
    <cellStyle name="Normal 11 6 4 5 2" xfId="52448" xr:uid="{00000000-0005-0000-0000-000034CB0000}"/>
    <cellStyle name="Normal 11 6 4 5 2 2" xfId="52449" xr:uid="{00000000-0005-0000-0000-000035CB0000}"/>
    <cellStyle name="Normal 11 6 4 5 2 2 2" xfId="52450" xr:uid="{00000000-0005-0000-0000-000036CB0000}"/>
    <cellStyle name="Normal 11 6 4 5 2 2 2 2" xfId="52451" xr:uid="{00000000-0005-0000-0000-000037CB0000}"/>
    <cellStyle name="Normal 11 6 4 5 2 2 3" xfId="52452" xr:uid="{00000000-0005-0000-0000-000038CB0000}"/>
    <cellStyle name="Normal 11 6 4 5 2 3" xfId="52453" xr:uid="{00000000-0005-0000-0000-000039CB0000}"/>
    <cellStyle name="Normal 11 6 4 5 2 3 2" xfId="52454" xr:uid="{00000000-0005-0000-0000-00003ACB0000}"/>
    <cellStyle name="Normal 11 6 4 5 2 4" xfId="52455" xr:uid="{00000000-0005-0000-0000-00003BCB0000}"/>
    <cellStyle name="Normal 11 6 4 5 3" xfId="52456" xr:uid="{00000000-0005-0000-0000-00003CCB0000}"/>
    <cellStyle name="Normal 11 6 4 5 3 2" xfId="52457" xr:uid="{00000000-0005-0000-0000-00003DCB0000}"/>
    <cellStyle name="Normal 11 6 4 5 3 2 2" xfId="52458" xr:uid="{00000000-0005-0000-0000-00003ECB0000}"/>
    <cellStyle name="Normal 11 6 4 5 3 3" xfId="52459" xr:uid="{00000000-0005-0000-0000-00003FCB0000}"/>
    <cellStyle name="Normal 11 6 4 5 4" xfId="52460" xr:uid="{00000000-0005-0000-0000-000040CB0000}"/>
    <cellStyle name="Normal 11 6 4 5 4 2" xfId="52461" xr:uid="{00000000-0005-0000-0000-000041CB0000}"/>
    <cellStyle name="Normal 11 6 4 5 5" xfId="52462" xr:uid="{00000000-0005-0000-0000-000042CB0000}"/>
    <cellStyle name="Normal 11 6 4 6" xfId="52463" xr:uid="{00000000-0005-0000-0000-000043CB0000}"/>
    <cellStyle name="Normal 11 6 4 6 2" xfId="52464" xr:uid="{00000000-0005-0000-0000-000044CB0000}"/>
    <cellStyle name="Normal 11 6 4 6 2 2" xfId="52465" xr:uid="{00000000-0005-0000-0000-000045CB0000}"/>
    <cellStyle name="Normal 11 6 4 6 2 2 2" xfId="52466" xr:uid="{00000000-0005-0000-0000-000046CB0000}"/>
    <cellStyle name="Normal 11 6 4 6 2 3" xfId="52467" xr:uid="{00000000-0005-0000-0000-000047CB0000}"/>
    <cellStyle name="Normal 11 6 4 6 3" xfId="52468" xr:uid="{00000000-0005-0000-0000-000048CB0000}"/>
    <cellStyle name="Normal 11 6 4 6 3 2" xfId="52469" xr:uid="{00000000-0005-0000-0000-000049CB0000}"/>
    <cellStyle name="Normal 11 6 4 6 4" xfId="52470" xr:uid="{00000000-0005-0000-0000-00004ACB0000}"/>
    <cellStyle name="Normal 11 6 4 7" xfId="52471" xr:uid="{00000000-0005-0000-0000-00004BCB0000}"/>
    <cellStyle name="Normal 11 6 4 7 2" xfId="52472" xr:uid="{00000000-0005-0000-0000-00004CCB0000}"/>
    <cellStyle name="Normal 11 6 4 7 2 2" xfId="52473" xr:uid="{00000000-0005-0000-0000-00004DCB0000}"/>
    <cellStyle name="Normal 11 6 4 7 2 2 2" xfId="52474" xr:uid="{00000000-0005-0000-0000-00004ECB0000}"/>
    <cellStyle name="Normal 11 6 4 7 2 3" xfId="52475" xr:uid="{00000000-0005-0000-0000-00004FCB0000}"/>
    <cellStyle name="Normal 11 6 4 7 3" xfId="52476" xr:uid="{00000000-0005-0000-0000-000050CB0000}"/>
    <cellStyle name="Normal 11 6 4 7 3 2" xfId="52477" xr:uid="{00000000-0005-0000-0000-000051CB0000}"/>
    <cellStyle name="Normal 11 6 4 7 4" xfId="52478" xr:uid="{00000000-0005-0000-0000-000052CB0000}"/>
    <cellStyle name="Normal 11 6 4 8" xfId="52479" xr:uid="{00000000-0005-0000-0000-000053CB0000}"/>
    <cellStyle name="Normal 11 6 4 8 2" xfId="52480" xr:uid="{00000000-0005-0000-0000-000054CB0000}"/>
    <cellStyle name="Normal 11 6 4 8 2 2" xfId="52481" xr:uid="{00000000-0005-0000-0000-000055CB0000}"/>
    <cellStyle name="Normal 11 6 4 8 2 2 2" xfId="52482" xr:uid="{00000000-0005-0000-0000-000056CB0000}"/>
    <cellStyle name="Normal 11 6 4 8 2 3" xfId="52483" xr:uid="{00000000-0005-0000-0000-000057CB0000}"/>
    <cellStyle name="Normal 11 6 4 8 3" xfId="52484" xr:uid="{00000000-0005-0000-0000-000058CB0000}"/>
    <cellStyle name="Normal 11 6 4 8 3 2" xfId="52485" xr:uid="{00000000-0005-0000-0000-000059CB0000}"/>
    <cellStyle name="Normal 11 6 4 8 4" xfId="52486" xr:uid="{00000000-0005-0000-0000-00005ACB0000}"/>
    <cellStyle name="Normal 11 6 4 9" xfId="52487" xr:uid="{00000000-0005-0000-0000-00005BCB0000}"/>
    <cellStyle name="Normal 11 6 4 9 2" xfId="52488" xr:uid="{00000000-0005-0000-0000-00005CCB0000}"/>
    <cellStyle name="Normal 11 6 4 9 2 2" xfId="52489" xr:uid="{00000000-0005-0000-0000-00005DCB0000}"/>
    <cellStyle name="Normal 11 6 4 9 3" xfId="52490" xr:uid="{00000000-0005-0000-0000-00005ECB0000}"/>
    <cellStyle name="Normal 11 6 5" xfId="1109" xr:uid="{00000000-0005-0000-0000-00005FCB0000}"/>
    <cellStyle name="Normal 11 6 5 10" xfId="52492" xr:uid="{00000000-0005-0000-0000-000060CB0000}"/>
    <cellStyle name="Normal 11 6 5 11" xfId="52491" xr:uid="{00000000-0005-0000-0000-000061CB0000}"/>
    <cellStyle name="Normal 11 6 5 2" xfId="1838" xr:uid="{00000000-0005-0000-0000-000062CB0000}"/>
    <cellStyle name="Normal 11 6 5 2 2" xfId="52494" xr:uid="{00000000-0005-0000-0000-000063CB0000}"/>
    <cellStyle name="Normal 11 6 5 2 2 2" xfId="52495" xr:uid="{00000000-0005-0000-0000-000064CB0000}"/>
    <cellStyle name="Normal 11 6 5 2 2 2 2" xfId="52496" xr:uid="{00000000-0005-0000-0000-000065CB0000}"/>
    <cellStyle name="Normal 11 6 5 2 2 2 2 2" xfId="52497" xr:uid="{00000000-0005-0000-0000-000066CB0000}"/>
    <cellStyle name="Normal 11 6 5 2 2 2 3" xfId="52498" xr:uid="{00000000-0005-0000-0000-000067CB0000}"/>
    <cellStyle name="Normal 11 6 5 2 2 3" xfId="52499" xr:uid="{00000000-0005-0000-0000-000068CB0000}"/>
    <cellStyle name="Normal 11 6 5 2 2 3 2" xfId="52500" xr:uid="{00000000-0005-0000-0000-000069CB0000}"/>
    <cellStyle name="Normal 11 6 5 2 2 4" xfId="52501" xr:uid="{00000000-0005-0000-0000-00006ACB0000}"/>
    <cellStyle name="Normal 11 6 5 2 3" xfId="52502" xr:uid="{00000000-0005-0000-0000-00006BCB0000}"/>
    <cellStyle name="Normal 11 6 5 2 3 2" xfId="52503" xr:uid="{00000000-0005-0000-0000-00006CCB0000}"/>
    <cellStyle name="Normal 11 6 5 2 3 2 2" xfId="52504" xr:uid="{00000000-0005-0000-0000-00006DCB0000}"/>
    <cellStyle name="Normal 11 6 5 2 3 2 2 2" xfId="52505" xr:uid="{00000000-0005-0000-0000-00006ECB0000}"/>
    <cellStyle name="Normal 11 6 5 2 3 2 3" xfId="52506" xr:uid="{00000000-0005-0000-0000-00006FCB0000}"/>
    <cellStyle name="Normal 11 6 5 2 3 3" xfId="52507" xr:uid="{00000000-0005-0000-0000-000070CB0000}"/>
    <cellStyle name="Normal 11 6 5 2 3 3 2" xfId="52508" xr:uid="{00000000-0005-0000-0000-000071CB0000}"/>
    <cellStyle name="Normal 11 6 5 2 3 4" xfId="52509" xr:uid="{00000000-0005-0000-0000-000072CB0000}"/>
    <cellStyle name="Normal 11 6 5 2 4" xfId="52510" xr:uid="{00000000-0005-0000-0000-000073CB0000}"/>
    <cellStyle name="Normal 11 6 5 2 4 2" xfId="52511" xr:uid="{00000000-0005-0000-0000-000074CB0000}"/>
    <cellStyle name="Normal 11 6 5 2 4 2 2" xfId="52512" xr:uid="{00000000-0005-0000-0000-000075CB0000}"/>
    <cellStyle name="Normal 11 6 5 2 4 3" xfId="52513" xr:uid="{00000000-0005-0000-0000-000076CB0000}"/>
    <cellStyle name="Normal 11 6 5 2 5" xfId="52514" xr:uid="{00000000-0005-0000-0000-000077CB0000}"/>
    <cellStyle name="Normal 11 6 5 2 5 2" xfId="52515" xr:uid="{00000000-0005-0000-0000-000078CB0000}"/>
    <cellStyle name="Normal 11 6 5 2 6" xfId="52516" xr:uid="{00000000-0005-0000-0000-000079CB0000}"/>
    <cellStyle name="Normal 11 6 5 2 7" xfId="52493" xr:uid="{00000000-0005-0000-0000-00007ACB0000}"/>
    <cellStyle name="Normal 11 6 5 3" xfId="52517" xr:uid="{00000000-0005-0000-0000-00007BCB0000}"/>
    <cellStyle name="Normal 11 6 5 3 2" xfId="52518" xr:uid="{00000000-0005-0000-0000-00007CCB0000}"/>
    <cellStyle name="Normal 11 6 5 3 2 2" xfId="52519" xr:uid="{00000000-0005-0000-0000-00007DCB0000}"/>
    <cellStyle name="Normal 11 6 5 3 2 2 2" xfId="52520" xr:uid="{00000000-0005-0000-0000-00007ECB0000}"/>
    <cellStyle name="Normal 11 6 5 3 2 2 2 2" xfId="52521" xr:uid="{00000000-0005-0000-0000-00007FCB0000}"/>
    <cellStyle name="Normal 11 6 5 3 2 2 3" xfId="52522" xr:uid="{00000000-0005-0000-0000-000080CB0000}"/>
    <cellStyle name="Normal 11 6 5 3 2 3" xfId="52523" xr:uid="{00000000-0005-0000-0000-000081CB0000}"/>
    <cellStyle name="Normal 11 6 5 3 2 3 2" xfId="52524" xr:uid="{00000000-0005-0000-0000-000082CB0000}"/>
    <cellStyle name="Normal 11 6 5 3 2 4" xfId="52525" xr:uid="{00000000-0005-0000-0000-000083CB0000}"/>
    <cellStyle name="Normal 11 6 5 3 3" xfId="52526" xr:uid="{00000000-0005-0000-0000-000084CB0000}"/>
    <cellStyle name="Normal 11 6 5 3 3 2" xfId="52527" xr:uid="{00000000-0005-0000-0000-000085CB0000}"/>
    <cellStyle name="Normal 11 6 5 3 3 2 2" xfId="52528" xr:uid="{00000000-0005-0000-0000-000086CB0000}"/>
    <cellStyle name="Normal 11 6 5 3 3 3" xfId="52529" xr:uid="{00000000-0005-0000-0000-000087CB0000}"/>
    <cellStyle name="Normal 11 6 5 3 4" xfId="52530" xr:uid="{00000000-0005-0000-0000-000088CB0000}"/>
    <cellStyle name="Normal 11 6 5 3 4 2" xfId="52531" xr:uid="{00000000-0005-0000-0000-000089CB0000}"/>
    <cellStyle name="Normal 11 6 5 3 5" xfId="52532" xr:uid="{00000000-0005-0000-0000-00008ACB0000}"/>
    <cellStyle name="Normal 11 6 5 4" xfId="52533" xr:uid="{00000000-0005-0000-0000-00008BCB0000}"/>
    <cellStyle name="Normal 11 6 5 4 2" xfId="52534" xr:uid="{00000000-0005-0000-0000-00008CCB0000}"/>
    <cellStyle name="Normal 11 6 5 4 2 2" xfId="52535" xr:uid="{00000000-0005-0000-0000-00008DCB0000}"/>
    <cellStyle name="Normal 11 6 5 4 2 2 2" xfId="52536" xr:uid="{00000000-0005-0000-0000-00008ECB0000}"/>
    <cellStyle name="Normal 11 6 5 4 2 2 2 2" xfId="52537" xr:uid="{00000000-0005-0000-0000-00008FCB0000}"/>
    <cellStyle name="Normal 11 6 5 4 2 2 3" xfId="52538" xr:uid="{00000000-0005-0000-0000-000090CB0000}"/>
    <cellStyle name="Normal 11 6 5 4 2 3" xfId="52539" xr:uid="{00000000-0005-0000-0000-000091CB0000}"/>
    <cellStyle name="Normal 11 6 5 4 2 3 2" xfId="52540" xr:uid="{00000000-0005-0000-0000-000092CB0000}"/>
    <cellStyle name="Normal 11 6 5 4 2 4" xfId="52541" xr:uid="{00000000-0005-0000-0000-000093CB0000}"/>
    <cellStyle name="Normal 11 6 5 4 3" xfId="52542" xr:uid="{00000000-0005-0000-0000-000094CB0000}"/>
    <cellStyle name="Normal 11 6 5 4 3 2" xfId="52543" xr:uid="{00000000-0005-0000-0000-000095CB0000}"/>
    <cellStyle name="Normal 11 6 5 4 3 2 2" xfId="52544" xr:uid="{00000000-0005-0000-0000-000096CB0000}"/>
    <cellStyle name="Normal 11 6 5 4 3 3" xfId="52545" xr:uid="{00000000-0005-0000-0000-000097CB0000}"/>
    <cellStyle name="Normal 11 6 5 4 4" xfId="52546" xr:uid="{00000000-0005-0000-0000-000098CB0000}"/>
    <cellStyle name="Normal 11 6 5 4 4 2" xfId="52547" xr:uid="{00000000-0005-0000-0000-000099CB0000}"/>
    <cellStyle name="Normal 11 6 5 4 5" xfId="52548" xr:uid="{00000000-0005-0000-0000-00009ACB0000}"/>
    <cellStyle name="Normal 11 6 5 5" xfId="52549" xr:uid="{00000000-0005-0000-0000-00009BCB0000}"/>
    <cellStyle name="Normal 11 6 5 5 2" xfId="52550" xr:uid="{00000000-0005-0000-0000-00009CCB0000}"/>
    <cellStyle name="Normal 11 6 5 5 2 2" xfId="52551" xr:uid="{00000000-0005-0000-0000-00009DCB0000}"/>
    <cellStyle name="Normal 11 6 5 5 2 2 2" xfId="52552" xr:uid="{00000000-0005-0000-0000-00009ECB0000}"/>
    <cellStyle name="Normal 11 6 5 5 2 3" xfId="52553" xr:uid="{00000000-0005-0000-0000-00009FCB0000}"/>
    <cellStyle name="Normal 11 6 5 5 3" xfId="52554" xr:uid="{00000000-0005-0000-0000-0000A0CB0000}"/>
    <cellStyle name="Normal 11 6 5 5 3 2" xfId="52555" xr:uid="{00000000-0005-0000-0000-0000A1CB0000}"/>
    <cellStyle name="Normal 11 6 5 5 4" xfId="52556" xr:uid="{00000000-0005-0000-0000-0000A2CB0000}"/>
    <cellStyle name="Normal 11 6 5 6" xfId="52557" xr:uid="{00000000-0005-0000-0000-0000A3CB0000}"/>
    <cellStyle name="Normal 11 6 5 6 2" xfId="52558" xr:uid="{00000000-0005-0000-0000-0000A4CB0000}"/>
    <cellStyle name="Normal 11 6 5 6 2 2" xfId="52559" xr:uid="{00000000-0005-0000-0000-0000A5CB0000}"/>
    <cellStyle name="Normal 11 6 5 6 2 2 2" xfId="52560" xr:uid="{00000000-0005-0000-0000-0000A6CB0000}"/>
    <cellStyle name="Normal 11 6 5 6 2 3" xfId="52561" xr:uid="{00000000-0005-0000-0000-0000A7CB0000}"/>
    <cellStyle name="Normal 11 6 5 6 3" xfId="52562" xr:uid="{00000000-0005-0000-0000-0000A8CB0000}"/>
    <cellStyle name="Normal 11 6 5 6 3 2" xfId="52563" xr:uid="{00000000-0005-0000-0000-0000A9CB0000}"/>
    <cellStyle name="Normal 11 6 5 6 4" xfId="52564" xr:uid="{00000000-0005-0000-0000-0000AACB0000}"/>
    <cellStyle name="Normal 11 6 5 7" xfId="52565" xr:uid="{00000000-0005-0000-0000-0000ABCB0000}"/>
    <cellStyle name="Normal 11 6 5 7 2" xfId="52566" xr:uid="{00000000-0005-0000-0000-0000ACCB0000}"/>
    <cellStyle name="Normal 11 6 5 7 2 2" xfId="52567" xr:uid="{00000000-0005-0000-0000-0000ADCB0000}"/>
    <cellStyle name="Normal 11 6 5 7 2 2 2" xfId="52568" xr:uid="{00000000-0005-0000-0000-0000AECB0000}"/>
    <cellStyle name="Normal 11 6 5 7 2 3" xfId="52569" xr:uid="{00000000-0005-0000-0000-0000AFCB0000}"/>
    <cellStyle name="Normal 11 6 5 7 3" xfId="52570" xr:uid="{00000000-0005-0000-0000-0000B0CB0000}"/>
    <cellStyle name="Normal 11 6 5 7 3 2" xfId="52571" xr:uid="{00000000-0005-0000-0000-0000B1CB0000}"/>
    <cellStyle name="Normal 11 6 5 7 4" xfId="52572" xr:uid="{00000000-0005-0000-0000-0000B2CB0000}"/>
    <cellStyle name="Normal 11 6 5 8" xfId="52573" xr:uid="{00000000-0005-0000-0000-0000B3CB0000}"/>
    <cellStyle name="Normal 11 6 5 8 2" xfId="52574" xr:uid="{00000000-0005-0000-0000-0000B4CB0000}"/>
    <cellStyle name="Normal 11 6 5 8 2 2" xfId="52575" xr:uid="{00000000-0005-0000-0000-0000B5CB0000}"/>
    <cellStyle name="Normal 11 6 5 8 3" xfId="52576" xr:uid="{00000000-0005-0000-0000-0000B6CB0000}"/>
    <cellStyle name="Normal 11 6 5 9" xfId="52577" xr:uid="{00000000-0005-0000-0000-0000B7CB0000}"/>
    <cellStyle name="Normal 11 6 5 9 2" xfId="52578" xr:uid="{00000000-0005-0000-0000-0000B8CB0000}"/>
    <cellStyle name="Normal 11 6 6" xfId="1511" xr:uid="{00000000-0005-0000-0000-0000B9CB0000}"/>
    <cellStyle name="Normal 11 6 6 2" xfId="52580" xr:uid="{00000000-0005-0000-0000-0000BACB0000}"/>
    <cellStyle name="Normal 11 6 6 2 2" xfId="52581" xr:uid="{00000000-0005-0000-0000-0000BBCB0000}"/>
    <cellStyle name="Normal 11 6 6 2 2 2" xfId="52582" xr:uid="{00000000-0005-0000-0000-0000BCCB0000}"/>
    <cellStyle name="Normal 11 6 6 2 2 2 2" xfId="52583" xr:uid="{00000000-0005-0000-0000-0000BDCB0000}"/>
    <cellStyle name="Normal 11 6 6 2 2 3" xfId="52584" xr:uid="{00000000-0005-0000-0000-0000BECB0000}"/>
    <cellStyle name="Normal 11 6 6 2 3" xfId="52585" xr:uid="{00000000-0005-0000-0000-0000BFCB0000}"/>
    <cellStyle name="Normal 11 6 6 2 3 2" xfId="52586" xr:uid="{00000000-0005-0000-0000-0000C0CB0000}"/>
    <cellStyle name="Normal 11 6 6 2 4" xfId="52587" xr:uid="{00000000-0005-0000-0000-0000C1CB0000}"/>
    <cellStyle name="Normal 11 6 6 3" xfId="52588" xr:uid="{00000000-0005-0000-0000-0000C2CB0000}"/>
    <cellStyle name="Normal 11 6 6 3 2" xfId="52589" xr:uid="{00000000-0005-0000-0000-0000C3CB0000}"/>
    <cellStyle name="Normal 11 6 6 3 2 2" xfId="52590" xr:uid="{00000000-0005-0000-0000-0000C4CB0000}"/>
    <cellStyle name="Normal 11 6 6 3 2 2 2" xfId="52591" xr:uid="{00000000-0005-0000-0000-0000C5CB0000}"/>
    <cellStyle name="Normal 11 6 6 3 2 3" xfId="52592" xr:uid="{00000000-0005-0000-0000-0000C6CB0000}"/>
    <cellStyle name="Normal 11 6 6 3 3" xfId="52593" xr:uid="{00000000-0005-0000-0000-0000C7CB0000}"/>
    <cellStyle name="Normal 11 6 6 3 3 2" xfId="52594" xr:uid="{00000000-0005-0000-0000-0000C8CB0000}"/>
    <cellStyle name="Normal 11 6 6 3 4" xfId="52595" xr:uid="{00000000-0005-0000-0000-0000C9CB0000}"/>
    <cellStyle name="Normal 11 6 6 4" xfId="52596" xr:uid="{00000000-0005-0000-0000-0000CACB0000}"/>
    <cellStyle name="Normal 11 6 6 4 2" xfId="52597" xr:uid="{00000000-0005-0000-0000-0000CBCB0000}"/>
    <cellStyle name="Normal 11 6 6 4 2 2" xfId="52598" xr:uid="{00000000-0005-0000-0000-0000CCCB0000}"/>
    <cellStyle name="Normal 11 6 6 4 3" xfId="52599" xr:uid="{00000000-0005-0000-0000-0000CDCB0000}"/>
    <cellStyle name="Normal 11 6 6 5" xfId="52600" xr:uid="{00000000-0005-0000-0000-0000CECB0000}"/>
    <cellStyle name="Normal 11 6 6 5 2" xfId="52601" xr:uid="{00000000-0005-0000-0000-0000CFCB0000}"/>
    <cellStyle name="Normal 11 6 6 6" xfId="52602" xr:uid="{00000000-0005-0000-0000-0000D0CB0000}"/>
    <cellStyle name="Normal 11 6 6 7" xfId="52579" xr:uid="{00000000-0005-0000-0000-0000D1CB0000}"/>
    <cellStyle name="Normal 11 6 7" xfId="52603" xr:uid="{00000000-0005-0000-0000-0000D2CB0000}"/>
    <cellStyle name="Normal 11 6 7 2" xfId="52604" xr:uid="{00000000-0005-0000-0000-0000D3CB0000}"/>
    <cellStyle name="Normal 11 6 7 2 2" xfId="52605" xr:uid="{00000000-0005-0000-0000-0000D4CB0000}"/>
    <cellStyle name="Normal 11 6 7 2 2 2" xfId="52606" xr:uid="{00000000-0005-0000-0000-0000D5CB0000}"/>
    <cellStyle name="Normal 11 6 7 2 2 2 2" xfId="52607" xr:uid="{00000000-0005-0000-0000-0000D6CB0000}"/>
    <cellStyle name="Normal 11 6 7 2 2 3" xfId="52608" xr:uid="{00000000-0005-0000-0000-0000D7CB0000}"/>
    <cellStyle name="Normal 11 6 7 2 3" xfId="52609" xr:uid="{00000000-0005-0000-0000-0000D8CB0000}"/>
    <cellStyle name="Normal 11 6 7 2 3 2" xfId="52610" xr:uid="{00000000-0005-0000-0000-0000D9CB0000}"/>
    <cellStyle name="Normal 11 6 7 2 4" xfId="52611" xr:uid="{00000000-0005-0000-0000-0000DACB0000}"/>
    <cellStyle name="Normal 11 6 7 3" xfId="52612" xr:uid="{00000000-0005-0000-0000-0000DBCB0000}"/>
    <cellStyle name="Normal 11 6 7 3 2" xfId="52613" xr:uid="{00000000-0005-0000-0000-0000DCCB0000}"/>
    <cellStyle name="Normal 11 6 7 3 2 2" xfId="52614" xr:uid="{00000000-0005-0000-0000-0000DDCB0000}"/>
    <cellStyle name="Normal 11 6 7 3 3" xfId="52615" xr:uid="{00000000-0005-0000-0000-0000DECB0000}"/>
    <cellStyle name="Normal 11 6 7 4" xfId="52616" xr:uid="{00000000-0005-0000-0000-0000DFCB0000}"/>
    <cellStyle name="Normal 11 6 7 4 2" xfId="52617" xr:uid="{00000000-0005-0000-0000-0000E0CB0000}"/>
    <cellStyle name="Normal 11 6 7 5" xfId="52618" xr:uid="{00000000-0005-0000-0000-0000E1CB0000}"/>
    <cellStyle name="Normal 11 6 8" xfId="52619" xr:uid="{00000000-0005-0000-0000-0000E2CB0000}"/>
    <cellStyle name="Normal 11 6 8 2" xfId="52620" xr:uid="{00000000-0005-0000-0000-0000E3CB0000}"/>
    <cellStyle name="Normal 11 6 8 2 2" xfId="52621" xr:uid="{00000000-0005-0000-0000-0000E4CB0000}"/>
    <cellStyle name="Normal 11 6 8 2 2 2" xfId="52622" xr:uid="{00000000-0005-0000-0000-0000E5CB0000}"/>
    <cellStyle name="Normal 11 6 8 2 2 2 2" xfId="52623" xr:uid="{00000000-0005-0000-0000-0000E6CB0000}"/>
    <cellStyle name="Normal 11 6 8 2 2 3" xfId="52624" xr:uid="{00000000-0005-0000-0000-0000E7CB0000}"/>
    <cellStyle name="Normal 11 6 8 2 3" xfId="52625" xr:uid="{00000000-0005-0000-0000-0000E8CB0000}"/>
    <cellStyle name="Normal 11 6 8 2 3 2" xfId="52626" xr:uid="{00000000-0005-0000-0000-0000E9CB0000}"/>
    <cellStyle name="Normal 11 6 8 2 4" xfId="52627" xr:uid="{00000000-0005-0000-0000-0000EACB0000}"/>
    <cellStyle name="Normal 11 6 8 3" xfId="52628" xr:uid="{00000000-0005-0000-0000-0000EBCB0000}"/>
    <cellStyle name="Normal 11 6 8 3 2" xfId="52629" xr:uid="{00000000-0005-0000-0000-0000ECCB0000}"/>
    <cellStyle name="Normal 11 6 8 3 2 2" xfId="52630" xr:uid="{00000000-0005-0000-0000-0000EDCB0000}"/>
    <cellStyle name="Normal 11 6 8 3 3" xfId="52631" xr:uid="{00000000-0005-0000-0000-0000EECB0000}"/>
    <cellStyle name="Normal 11 6 8 4" xfId="52632" xr:uid="{00000000-0005-0000-0000-0000EFCB0000}"/>
    <cellStyle name="Normal 11 6 8 4 2" xfId="52633" xr:uid="{00000000-0005-0000-0000-0000F0CB0000}"/>
    <cellStyle name="Normal 11 6 8 5" xfId="52634" xr:uid="{00000000-0005-0000-0000-0000F1CB0000}"/>
    <cellStyle name="Normal 11 6 9" xfId="52635" xr:uid="{00000000-0005-0000-0000-0000F2CB0000}"/>
    <cellStyle name="Normal 11 6 9 2" xfId="52636" xr:uid="{00000000-0005-0000-0000-0000F3CB0000}"/>
    <cellStyle name="Normal 11 6 9 2 2" xfId="52637" xr:uid="{00000000-0005-0000-0000-0000F4CB0000}"/>
    <cellStyle name="Normal 11 6 9 2 2 2" xfId="52638" xr:uid="{00000000-0005-0000-0000-0000F5CB0000}"/>
    <cellStyle name="Normal 11 6 9 2 3" xfId="52639" xr:uid="{00000000-0005-0000-0000-0000F6CB0000}"/>
    <cellStyle name="Normal 11 6 9 3" xfId="52640" xr:uid="{00000000-0005-0000-0000-0000F7CB0000}"/>
    <cellStyle name="Normal 11 6 9 3 2" xfId="52641" xr:uid="{00000000-0005-0000-0000-0000F8CB0000}"/>
    <cellStyle name="Normal 11 6 9 4" xfId="52642" xr:uid="{00000000-0005-0000-0000-0000F9CB0000}"/>
    <cellStyle name="Normal 11 7" xfId="673" xr:uid="{00000000-0005-0000-0000-0000FACB0000}"/>
    <cellStyle name="Normal 11 7 10" xfId="52644" xr:uid="{00000000-0005-0000-0000-0000FBCB0000}"/>
    <cellStyle name="Normal 11 7 10 2" xfId="52645" xr:uid="{00000000-0005-0000-0000-0000FCCB0000}"/>
    <cellStyle name="Normal 11 7 10 2 2" xfId="52646" xr:uid="{00000000-0005-0000-0000-0000FDCB0000}"/>
    <cellStyle name="Normal 11 7 10 2 2 2" xfId="52647" xr:uid="{00000000-0005-0000-0000-0000FECB0000}"/>
    <cellStyle name="Normal 11 7 10 2 3" xfId="52648" xr:uid="{00000000-0005-0000-0000-0000FFCB0000}"/>
    <cellStyle name="Normal 11 7 10 3" xfId="52649" xr:uid="{00000000-0005-0000-0000-000000CC0000}"/>
    <cellStyle name="Normal 11 7 10 3 2" xfId="52650" xr:uid="{00000000-0005-0000-0000-000001CC0000}"/>
    <cellStyle name="Normal 11 7 10 4" xfId="52651" xr:uid="{00000000-0005-0000-0000-000002CC0000}"/>
    <cellStyle name="Normal 11 7 11" xfId="52652" xr:uid="{00000000-0005-0000-0000-000003CC0000}"/>
    <cellStyle name="Normal 11 7 11 2" xfId="52653" xr:uid="{00000000-0005-0000-0000-000004CC0000}"/>
    <cellStyle name="Normal 11 7 11 2 2" xfId="52654" xr:uid="{00000000-0005-0000-0000-000005CC0000}"/>
    <cellStyle name="Normal 11 7 11 3" xfId="52655" xr:uid="{00000000-0005-0000-0000-000006CC0000}"/>
    <cellStyle name="Normal 11 7 12" xfId="52656" xr:uid="{00000000-0005-0000-0000-000007CC0000}"/>
    <cellStyle name="Normal 11 7 12 2" xfId="52657" xr:uid="{00000000-0005-0000-0000-000008CC0000}"/>
    <cellStyle name="Normal 11 7 12 2 2" xfId="52658" xr:uid="{00000000-0005-0000-0000-000009CC0000}"/>
    <cellStyle name="Normal 11 7 12 3" xfId="52659" xr:uid="{00000000-0005-0000-0000-00000ACC0000}"/>
    <cellStyle name="Normal 11 7 13" xfId="52660" xr:uid="{00000000-0005-0000-0000-00000BCC0000}"/>
    <cellStyle name="Normal 11 7 13 2" xfId="52661" xr:uid="{00000000-0005-0000-0000-00000CCC0000}"/>
    <cellStyle name="Normal 11 7 13 2 2" xfId="52662" xr:uid="{00000000-0005-0000-0000-00000DCC0000}"/>
    <cellStyle name="Normal 11 7 13 3" xfId="52663" xr:uid="{00000000-0005-0000-0000-00000ECC0000}"/>
    <cellStyle name="Normal 11 7 14" xfId="52664" xr:uid="{00000000-0005-0000-0000-00000FCC0000}"/>
    <cellStyle name="Normal 11 7 14 2" xfId="52665" xr:uid="{00000000-0005-0000-0000-000010CC0000}"/>
    <cellStyle name="Normal 11 7 15" xfId="52666" xr:uid="{00000000-0005-0000-0000-000011CC0000}"/>
    <cellStyle name="Normal 11 7 16" xfId="52667" xr:uid="{00000000-0005-0000-0000-000012CC0000}"/>
    <cellStyle name="Normal 11 7 17" xfId="52643" xr:uid="{00000000-0005-0000-0000-000013CC0000}"/>
    <cellStyle name="Normal 11 7 2" xfId="674" xr:uid="{00000000-0005-0000-0000-000014CC0000}"/>
    <cellStyle name="Normal 11 7 2 10" xfId="52669" xr:uid="{00000000-0005-0000-0000-000015CC0000}"/>
    <cellStyle name="Normal 11 7 2 10 2" xfId="52670" xr:uid="{00000000-0005-0000-0000-000016CC0000}"/>
    <cellStyle name="Normal 11 7 2 10 2 2" xfId="52671" xr:uid="{00000000-0005-0000-0000-000017CC0000}"/>
    <cellStyle name="Normal 11 7 2 10 3" xfId="52672" xr:uid="{00000000-0005-0000-0000-000018CC0000}"/>
    <cellStyle name="Normal 11 7 2 11" xfId="52673" xr:uid="{00000000-0005-0000-0000-000019CC0000}"/>
    <cellStyle name="Normal 11 7 2 11 2" xfId="52674" xr:uid="{00000000-0005-0000-0000-00001ACC0000}"/>
    <cellStyle name="Normal 11 7 2 11 2 2" xfId="52675" xr:uid="{00000000-0005-0000-0000-00001BCC0000}"/>
    <cellStyle name="Normal 11 7 2 11 3" xfId="52676" xr:uid="{00000000-0005-0000-0000-00001CCC0000}"/>
    <cellStyle name="Normal 11 7 2 12" xfId="52677" xr:uid="{00000000-0005-0000-0000-00001DCC0000}"/>
    <cellStyle name="Normal 11 7 2 12 2" xfId="52678" xr:uid="{00000000-0005-0000-0000-00001ECC0000}"/>
    <cellStyle name="Normal 11 7 2 13" xfId="52679" xr:uid="{00000000-0005-0000-0000-00001FCC0000}"/>
    <cellStyle name="Normal 11 7 2 14" xfId="52680" xr:uid="{00000000-0005-0000-0000-000020CC0000}"/>
    <cellStyle name="Normal 11 7 2 15" xfId="52668" xr:uid="{00000000-0005-0000-0000-000021CC0000}"/>
    <cellStyle name="Normal 11 7 2 2" xfId="1116" xr:uid="{00000000-0005-0000-0000-000022CC0000}"/>
    <cellStyle name="Normal 11 7 2 2 10" xfId="52682" xr:uid="{00000000-0005-0000-0000-000023CC0000}"/>
    <cellStyle name="Normal 11 7 2 2 11" xfId="52681" xr:uid="{00000000-0005-0000-0000-000024CC0000}"/>
    <cellStyle name="Normal 11 7 2 2 2" xfId="1845" xr:uid="{00000000-0005-0000-0000-000025CC0000}"/>
    <cellStyle name="Normal 11 7 2 2 2 2" xfId="52684" xr:uid="{00000000-0005-0000-0000-000026CC0000}"/>
    <cellStyle name="Normal 11 7 2 2 2 2 2" xfId="52685" xr:uid="{00000000-0005-0000-0000-000027CC0000}"/>
    <cellStyle name="Normal 11 7 2 2 2 2 2 2" xfId="52686" xr:uid="{00000000-0005-0000-0000-000028CC0000}"/>
    <cellStyle name="Normal 11 7 2 2 2 2 2 2 2" xfId="52687" xr:uid="{00000000-0005-0000-0000-000029CC0000}"/>
    <cellStyle name="Normal 11 7 2 2 2 2 2 3" xfId="52688" xr:uid="{00000000-0005-0000-0000-00002ACC0000}"/>
    <cellStyle name="Normal 11 7 2 2 2 2 3" xfId="52689" xr:uid="{00000000-0005-0000-0000-00002BCC0000}"/>
    <cellStyle name="Normal 11 7 2 2 2 2 3 2" xfId="52690" xr:uid="{00000000-0005-0000-0000-00002CCC0000}"/>
    <cellStyle name="Normal 11 7 2 2 2 2 4" xfId="52691" xr:uid="{00000000-0005-0000-0000-00002DCC0000}"/>
    <cellStyle name="Normal 11 7 2 2 2 3" xfId="52692" xr:uid="{00000000-0005-0000-0000-00002ECC0000}"/>
    <cellStyle name="Normal 11 7 2 2 2 3 2" xfId="52693" xr:uid="{00000000-0005-0000-0000-00002FCC0000}"/>
    <cellStyle name="Normal 11 7 2 2 2 3 2 2" xfId="52694" xr:uid="{00000000-0005-0000-0000-000030CC0000}"/>
    <cellStyle name="Normal 11 7 2 2 2 3 2 2 2" xfId="52695" xr:uid="{00000000-0005-0000-0000-000031CC0000}"/>
    <cellStyle name="Normal 11 7 2 2 2 3 2 3" xfId="52696" xr:uid="{00000000-0005-0000-0000-000032CC0000}"/>
    <cellStyle name="Normal 11 7 2 2 2 3 3" xfId="52697" xr:uid="{00000000-0005-0000-0000-000033CC0000}"/>
    <cellStyle name="Normal 11 7 2 2 2 3 3 2" xfId="52698" xr:uid="{00000000-0005-0000-0000-000034CC0000}"/>
    <cellStyle name="Normal 11 7 2 2 2 3 4" xfId="52699" xr:uid="{00000000-0005-0000-0000-000035CC0000}"/>
    <cellStyle name="Normal 11 7 2 2 2 4" xfId="52700" xr:uid="{00000000-0005-0000-0000-000036CC0000}"/>
    <cellStyle name="Normal 11 7 2 2 2 4 2" xfId="52701" xr:uid="{00000000-0005-0000-0000-000037CC0000}"/>
    <cellStyle name="Normal 11 7 2 2 2 4 2 2" xfId="52702" xr:uid="{00000000-0005-0000-0000-000038CC0000}"/>
    <cellStyle name="Normal 11 7 2 2 2 4 3" xfId="52703" xr:uid="{00000000-0005-0000-0000-000039CC0000}"/>
    <cellStyle name="Normal 11 7 2 2 2 5" xfId="52704" xr:uid="{00000000-0005-0000-0000-00003ACC0000}"/>
    <cellStyle name="Normal 11 7 2 2 2 5 2" xfId="52705" xr:uid="{00000000-0005-0000-0000-00003BCC0000}"/>
    <cellStyle name="Normal 11 7 2 2 2 6" xfId="52706" xr:uid="{00000000-0005-0000-0000-00003CCC0000}"/>
    <cellStyle name="Normal 11 7 2 2 2 7" xfId="52683" xr:uid="{00000000-0005-0000-0000-00003DCC0000}"/>
    <cellStyle name="Normal 11 7 2 2 3" xfId="52707" xr:uid="{00000000-0005-0000-0000-00003ECC0000}"/>
    <cellStyle name="Normal 11 7 2 2 3 2" xfId="52708" xr:uid="{00000000-0005-0000-0000-00003FCC0000}"/>
    <cellStyle name="Normal 11 7 2 2 3 2 2" xfId="52709" xr:uid="{00000000-0005-0000-0000-000040CC0000}"/>
    <cellStyle name="Normal 11 7 2 2 3 2 2 2" xfId="52710" xr:uid="{00000000-0005-0000-0000-000041CC0000}"/>
    <cellStyle name="Normal 11 7 2 2 3 2 2 2 2" xfId="52711" xr:uid="{00000000-0005-0000-0000-000042CC0000}"/>
    <cellStyle name="Normal 11 7 2 2 3 2 2 3" xfId="52712" xr:uid="{00000000-0005-0000-0000-000043CC0000}"/>
    <cellStyle name="Normal 11 7 2 2 3 2 3" xfId="52713" xr:uid="{00000000-0005-0000-0000-000044CC0000}"/>
    <cellStyle name="Normal 11 7 2 2 3 2 3 2" xfId="52714" xr:uid="{00000000-0005-0000-0000-000045CC0000}"/>
    <cellStyle name="Normal 11 7 2 2 3 2 4" xfId="52715" xr:uid="{00000000-0005-0000-0000-000046CC0000}"/>
    <cellStyle name="Normal 11 7 2 2 3 3" xfId="52716" xr:uid="{00000000-0005-0000-0000-000047CC0000}"/>
    <cellStyle name="Normal 11 7 2 2 3 3 2" xfId="52717" xr:uid="{00000000-0005-0000-0000-000048CC0000}"/>
    <cellStyle name="Normal 11 7 2 2 3 3 2 2" xfId="52718" xr:uid="{00000000-0005-0000-0000-000049CC0000}"/>
    <cellStyle name="Normal 11 7 2 2 3 3 3" xfId="52719" xr:uid="{00000000-0005-0000-0000-00004ACC0000}"/>
    <cellStyle name="Normal 11 7 2 2 3 4" xfId="52720" xr:uid="{00000000-0005-0000-0000-00004BCC0000}"/>
    <cellStyle name="Normal 11 7 2 2 3 4 2" xfId="52721" xr:uid="{00000000-0005-0000-0000-00004CCC0000}"/>
    <cellStyle name="Normal 11 7 2 2 3 5" xfId="52722" xr:uid="{00000000-0005-0000-0000-00004DCC0000}"/>
    <cellStyle name="Normal 11 7 2 2 4" xfId="52723" xr:uid="{00000000-0005-0000-0000-00004ECC0000}"/>
    <cellStyle name="Normal 11 7 2 2 4 2" xfId="52724" xr:uid="{00000000-0005-0000-0000-00004FCC0000}"/>
    <cellStyle name="Normal 11 7 2 2 4 2 2" xfId="52725" xr:uid="{00000000-0005-0000-0000-000050CC0000}"/>
    <cellStyle name="Normal 11 7 2 2 4 2 2 2" xfId="52726" xr:uid="{00000000-0005-0000-0000-000051CC0000}"/>
    <cellStyle name="Normal 11 7 2 2 4 2 2 2 2" xfId="52727" xr:uid="{00000000-0005-0000-0000-000052CC0000}"/>
    <cellStyle name="Normal 11 7 2 2 4 2 2 3" xfId="52728" xr:uid="{00000000-0005-0000-0000-000053CC0000}"/>
    <cellStyle name="Normal 11 7 2 2 4 2 3" xfId="52729" xr:uid="{00000000-0005-0000-0000-000054CC0000}"/>
    <cellStyle name="Normal 11 7 2 2 4 2 3 2" xfId="52730" xr:uid="{00000000-0005-0000-0000-000055CC0000}"/>
    <cellStyle name="Normal 11 7 2 2 4 2 4" xfId="52731" xr:uid="{00000000-0005-0000-0000-000056CC0000}"/>
    <cellStyle name="Normal 11 7 2 2 4 3" xfId="52732" xr:uid="{00000000-0005-0000-0000-000057CC0000}"/>
    <cellStyle name="Normal 11 7 2 2 4 3 2" xfId="52733" xr:uid="{00000000-0005-0000-0000-000058CC0000}"/>
    <cellStyle name="Normal 11 7 2 2 4 3 2 2" xfId="52734" xr:uid="{00000000-0005-0000-0000-000059CC0000}"/>
    <cellStyle name="Normal 11 7 2 2 4 3 3" xfId="52735" xr:uid="{00000000-0005-0000-0000-00005ACC0000}"/>
    <cellStyle name="Normal 11 7 2 2 4 4" xfId="52736" xr:uid="{00000000-0005-0000-0000-00005BCC0000}"/>
    <cellStyle name="Normal 11 7 2 2 4 4 2" xfId="52737" xr:uid="{00000000-0005-0000-0000-00005CCC0000}"/>
    <cellStyle name="Normal 11 7 2 2 4 5" xfId="52738" xr:uid="{00000000-0005-0000-0000-00005DCC0000}"/>
    <cellStyle name="Normal 11 7 2 2 5" xfId="52739" xr:uid="{00000000-0005-0000-0000-00005ECC0000}"/>
    <cellStyle name="Normal 11 7 2 2 5 2" xfId="52740" xr:uid="{00000000-0005-0000-0000-00005FCC0000}"/>
    <cellStyle name="Normal 11 7 2 2 5 2 2" xfId="52741" xr:uid="{00000000-0005-0000-0000-000060CC0000}"/>
    <cellStyle name="Normal 11 7 2 2 5 2 2 2" xfId="52742" xr:uid="{00000000-0005-0000-0000-000061CC0000}"/>
    <cellStyle name="Normal 11 7 2 2 5 2 3" xfId="52743" xr:uid="{00000000-0005-0000-0000-000062CC0000}"/>
    <cellStyle name="Normal 11 7 2 2 5 3" xfId="52744" xr:uid="{00000000-0005-0000-0000-000063CC0000}"/>
    <cellStyle name="Normal 11 7 2 2 5 3 2" xfId="52745" xr:uid="{00000000-0005-0000-0000-000064CC0000}"/>
    <cellStyle name="Normal 11 7 2 2 5 4" xfId="52746" xr:uid="{00000000-0005-0000-0000-000065CC0000}"/>
    <cellStyle name="Normal 11 7 2 2 6" xfId="52747" xr:uid="{00000000-0005-0000-0000-000066CC0000}"/>
    <cellStyle name="Normal 11 7 2 2 6 2" xfId="52748" xr:uid="{00000000-0005-0000-0000-000067CC0000}"/>
    <cellStyle name="Normal 11 7 2 2 6 2 2" xfId="52749" xr:uid="{00000000-0005-0000-0000-000068CC0000}"/>
    <cellStyle name="Normal 11 7 2 2 6 2 2 2" xfId="52750" xr:uid="{00000000-0005-0000-0000-000069CC0000}"/>
    <cellStyle name="Normal 11 7 2 2 6 2 3" xfId="52751" xr:uid="{00000000-0005-0000-0000-00006ACC0000}"/>
    <cellStyle name="Normal 11 7 2 2 6 3" xfId="52752" xr:uid="{00000000-0005-0000-0000-00006BCC0000}"/>
    <cellStyle name="Normal 11 7 2 2 6 3 2" xfId="52753" xr:uid="{00000000-0005-0000-0000-00006CCC0000}"/>
    <cellStyle name="Normal 11 7 2 2 6 4" xfId="52754" xr:uid="{00000000-0005-0000-0000-00006DCC0000}"/>
    <cellStyle name="Normal 11 7 2 2 7" xfId="52755" xr:uid="{00000000-0005-0000-0000-00006ECC0000}"/>
    <cellStyle name="Normal 11 7 2 2 7 2" xfId="52756" xr:uid="{00000000-0005-0000-0000-00006FCC0000}"/>
    <cellStyle name="Normal 11 7 2 2 7 2 2" xfId="52757" xr:uid="{00000000-0005-0000-0000-000070CC0000}"/>
    <cellStyle name="Normal 11 7 2 2 7 2 2 2" xfId="52758" xr:uid="{00000000-0005-0000-0000-000071CC0000}"/>
    <cellStyle name="Normal 11 7 2 2 7 2 3" xfId="52759" xr:uid="{00000000-0005-0000-0000-000072CC0000}"/>
    <cellStyle name="Normal 11 7 2 2 7 3" xfId="52760" xr:uid="{00000000-0005-0000-0000-000073CC0000}"/>
    <cellStyle name="Normal 11 7 2 2 7 3 2" xfId="52761" xr:uid="{00000000-0005-0000-0000-000074CC0000}"/>
    <cellStyle name="Normal 11 7 2 2 7 4" xfId="52762" xr:uid="{00000000-0005-0000-0000-000075CC0000}"/>
    <cellStyle name="Normal 11 7 2 2 8" xfId="52763" xr:uid="{00000000-0005-0000-0000-000076CC0000}"/>
    <cellStyle name="Normal 11 7 2 2 8 2" xfId="52764" xr:uid="{00000000-0005-0000-0000-000077CC0000}"/>
    <cellStyle name="Normal 11 7 2 2 8 2 2" xfId="52765" xr:uid="{00000000-0005-0000-0000-000078CC0000}"/>
    <cellStyle name="Normal 11 7 2 2 8 3" xfId="52766" xr:uid="{00000000-0005-0000-0000-000079CC0000}"/>
    <cellStyle name="Normal 11 7 2 2 9" xfId="52767" xr:uid="{00000000-0005-0000-0000-00007ACC0000}"/>
    <cellStyle name="Normal 11 7 2 2 9 2" xfId="52768" xr:uid="{00000000-0005-0000-0000-00007BCC0000}"/>
    <cellStyle name="Normal 11 7 2 3" xfId="1518" xr:uid="{00000000-0005-0000-0000-00007CCC0000}"/>
    <cellStyle name="Normal 11 7 2 3 2" xfId="52770" xr:uid="{00000000-0005-0000-0000-00007DCC0000}"/>
    <cellStyle name="Normal 11 7 2 3 2 2" xfId="52771" xr:uid="{00000000-0005-0000-0000-00007ECC0000}"/>
    <cellStyle name="Normal 11 7 2 3 2 2 2" xfId="52772" xr:uid="{00000000-0005-0000-0000-00007FCC0000}"/>
    <cellStyle name="Normal 11 7 2 3 2 2 2 2" xfId="52773" xr:uid="{00000000-0005-0000-0000-000080CC0000}"/>
    <cellStyle name="Normal 11 7 2 3 2 2 3" xfId="52774" xr:uid="{00000000-0005-0000-0000-000081CC0000}"/>
    <cellStyle name="Normal 11 7 2 3 2 3" xfId="52775" xr:uid="{00000000-0005-0000-0000-000082CC0000}"/>
    <cellStyle name="Normal 11 7 2 3 2 3 2" xfId="52776" xr:uid="{00000000-0005-0000-0000-000083CC0000}"/>
    <cellStyle name="Normal 11 7 2 3 2 4" xfId="52777" xr:uid="{00000000-0005-0000-0000-000084CC0000}"/>
    <cellStyle name="Normal 11 7 2 3 3" xfId="52778" xr:uid="{00000000-0005-0000-0000-000085CC0000}"/>
    <cellStyle name="Normal 11 7 2 3 3 2" xfId="52779" xr:uid="{00000000-0005-0000-0000-000086CC0000}"/>
    <cellStyle name="Normal 11 7 2 3 3 2 2" xfId="52780" xr:uid="{00000000-0005-0000-0000-000087CC0000}"/>
    <cellStyle name="Normal 11 7 2 3 3 2 2 2" xfId="52781" xr:uid="{00000000-0005-0000-0000-000088CC0000}"/>
    <cellStyle name="Normal 11 7 2 3 3 2 3" xfId="52782" xr:uid="{00000000-0005-0000-0000-000089CC0000}"/>
    <cellStyle name="Normal 11 7 2 3 3 3" xfId="52783" xr:uid="{00000000-0005-0000-0000-00008ACC0000}"/>
    <cellStyle name="Normal 11 7 2 3 3 3 2" xfId="52784" xr:uid="{00000000-0005-0000-0000-00008BCC0000}"/>
    <cellStyle name="Normal 11 7 2 3 3 4" xfId="52785" xr:uid="{00000000-0005-0000-0000-00008CCC0000}"/>
    <cellStyle name="Normal 11 7 2 3 4" xfId="52786" xr:uid="{00000000-0005-0000-0000-00008DCC0000}"/>
    <cellStyle name="Normal 11 7 2 3 4 2" xfId="52787" xr:uid="{00000000-0005-0000-0000-00008ECC0000}"/>
    <cellStyle name="Normal 11 7 2 3 4 2 2" xfId="52788" xr:uid="{00000000-0005-0000-0000-00008FCC0000}"/>
    <cellStyle name="Normal 11 7 2 3 4 3" xfId="52789" xr:uid="{00000000-0005-0000-0000-000090CC0000}"/>
    <cellStyle name="Normal 11 7 2 3 5" xfId="52790" xr:uid="{00000000-0005-0000-0000-000091CC0000}"/>
    <cellStyle name="Normal 11 7 2 3 5 2" xfId="52791" xr:uid="{00000000-0005-0000-0000-000092CC0000}"/>
    <cellStyle name="Normal 11 7 2 3 6" xfId="52792" xr:uid="{00000000-0005-0000-0000-000093CC0000}"/>
    <cellStyle name="Normal 11 7 2 3 7" xfId="52769" xr:uid="{00000000-0005-0000-0000-000094CC0000}"/>
    <cellStyle name="Normal 11 7 2 4" xfId="52793" xr:uid="{00000000-0005-0000-0000-000095CC0000}"/>
    <cellStyle name="Normal 11 7 2 4 2" xfId="52794" xr:uid="{00000000-0005-0000-0000-000096CC0000}"/>
    <cellStyle name="Normal 11 7 2 4 2 2" xfId="52795" xr:uid="{00000000-0005-0000-0000-000097CC0000}"/>
    <cellStyle name="Normal 11 7 2 4 2 2 2" xfId="52796" xr:uid="{00000000-0005-0000-0000-000098CC0000}"/>
    <cellStyle name="Normal 11 7 2 4 2 2 2 2" xfId="52797" xr:uid="{00000000-0005-0000-0000-000099CC0000}"/>
    <cellStyle name="Normal 11 7 2 4 2 2 3" xfId="52798" xr:uid="{00000000-0005-0000-0000-00009ACC0000}"/>
    <cellStyle name="Normal 11 7 2 4 2 3" xfId="52799" xr:uid="{00000000-0005-0000-0000-00009BCC0000}"/>
    <cellStyle name="Normal 11 7 2 4 2 3 2" xfId="52800" xr:uid="{00000000-0005-0000-0000-00009CCC0000}"/>
    <cellStyle name="Normal 11 7 2 4 2 4" xfId="52801" xr:uid="{00000000-0005-0000-0000-00009DCC0000}"/>
    <cellStyle name="Normal 11 7 2 4 3" xfId="52802" xr:uid="{00000000-0005-0000-0000-00009ECC0000}"/>
    <cellStyle name="Normal 11 7 2 4 3 2" xfId="52803" xr:uid="{00000000-0005-0000-0000-00009FCC0000}"/>
    <cellStyle name="Normal 11 7 2 4 3 2 2" xfId="52804" xr:uid="{00000000-0005-0000-0000-0000A0CC0000}"/>
    <cellStyle name="Normal 11 7 2 4 3 3" xfId="52805" xr:uid="{00000000-0005-0000-0000-0000A1CC0000}"/>
    <cellStyle name="Normal 11 7 2 4 4" xfId="52806" xr:uid="{00000000-0005-0000-0000-0000A2CC0000}"/>
    <cellStyle name="Normal 11 7 2 4 4 2" xfId="52807" xr:uid="{00000000-0005-0000-0000-0000A3CC0000}"/>
    <cellStyle name="Normal 11 7 2 4 5" xfId="52808" xr:uid="{00000000-0005-0000-0000-0000A4CC0000}"/>
    <cellStyle name="Normal 11 7 2 5" xfId="52809" xr:uid="{00000000-0005-0000-0000-0000A5CC0000}"/>
    <cellStyle name="Normal 11 7 2 5 2" xfId="52810" xr:uid="{00000000-0005-0000-0000-0000A6CC0000}"/>
    <cellStyle name="Normal 11 7 2 5 2 2" xfId="52811" xr:uid="{00000000-0005-0000-0000-0000A7CC0000}"/>
    <cellStyle name="Normal 11 7 2 5 2 2 2" xfId="52812" xr:uid="{00000000-0005-0000-0000-0000A8CC0000}"/>
    <cellStyle name="Normal 11 7 2 5 2 2 2 2" xfId="52813" xr:uid="{00000000-0005-0000-0000-0000A9CC0000}"/>
    <cellStyle name="Normal 11 7 2 5 2 2 3" xfId="52814" xr:uid="{00000000-0005-0000-0000-0000AACC0000}"/>
    <cellStyle name="Normal 11 7 2 5 2 3" xfId="52815" xr:uid="{00000000-0005-0000-0000-0000ABCC0000}"/>
    <cellStyle name="Normal 11 7 2 5 2 3 2" xfId="52816" xr:uid="{00000000-0005-0000-0000-0000ACCC0000}"/>
    <cellStyle name="Normal 11 7 2 5 2 4" xfId="52817" xr:uid="{00000000-0005-0000-0000-0000ADCC0000}"/>
    <cellStyle name="Normal 11 7 2 5 3" xfId="52818" xr:uid="{00000000-0005-0000-0000-0000AECC0000}"/>
    <cellStyle name="Normal 11 7 2 5 3 2" xfId="52819" xr:uid="{00000000-0005-0000-0000-0000AFCC0000}"/>
    <cellStyle name="Normal 11 7 2 5 3 2 2" xfId="52820" xr:uid="{00000000-0005-0000-0000-0000B0CC0000}"/>
    <cellStyle name="Normal 11 7 2 5 3 3" xfId="52821" xr:uid="{00000000-0005-0000-0000-0000B1CC0000}"/>
    <cellStyle name="Normal 11 7 2 5 4" xfId="52822" xr:uid="{00000000-0005-0000-0000-0000B2CC0000}"/>
    <cellStyle name="Normal 11 7 2 5 4 2" xfId="52823" xr:uid="{00000000-0005-0000-0000-0000B3CC0000}"/>
    <cellStyle name="Normal 11 7 2 5 5" xfId="52824" xr:uid="{00000000-0005-0000-0000-0000B4CC0000}"/>
    <cellStyle name="Normal 11 7 2 6" xfId="52825" xr:uid="{00000000-0005-0000-0000-0000B5CC0000}"/>
    <cellStyle name="Normal 11 7 2 6 2" xfId="52826" xr:uid="{00000000-0005-0000-0000-0000B6CC0000}"/>
    <cellStyle name="Normal 11 7 2 6 2 2" xfId="52827" xr:uid="{00000000-0005-0000-0000-0000B7CC0000}"/>
    <cellStyle name="Normal 11 7 2 6 2 2 2" xfId="52828" xr:uid="{00000000-0005-0000-0000-0000B8CC0000}"/>
    <cellStyle name="Normal 11 7 2 6 2 3" xfId="52829" xr:uid="{00000000-0005-0000-0000-0000B9CC0000}"/>
    <cellStyle name="Normal 11 7 2 6 3" xfId="52830" xr:uid="{00000000-0005-0000-0000-0000BACC0000}"/>
    <cellStyle name="Normal 11 7 2 6 3 2" xfId="52831" xr:uid="{00000000-0005-0000-0000-0000BBCC0000}"/>
    <cellStyle name="Normal 11 7 2 6 4" xfId="52832" xr:uid="{00000000-0005-0000-0000-0000BCCC0000}"/>
    <cellStyle name="Normal 11 7 2 7" xfId="52833" xr:uid="{00000000-0005-0000-0000-0000BDCC0000}"/>
    <cellStyle name="Normal 11 7 2 7 2" xfId="52834" xr:uid="{00000000-0005-0000-0000-0000BECC0000}"/>
    <cellStyle name="Normal 11 7 2 7 2 2" xfId="52835" xr:uid="{00000000-0005-0000-0000-0000BFCC0000}"/>
    <cellStyle name="Normal 11 7 2 7 2 2 2" xfId="52836" xr:uid="{00000000-0005-0000-0000-0000C0CC0000}"/>
    <cellStyle name="Normal 11 7 2 7 2 3" xfId="52837" xr:uid="{00000000-0005-0000-0000-0000C1CC0000}"/>
    <cellStyle name="Normal 11 7 2 7 3" xfId="52838" xr:uid="{00000000-0005-0000-0000-0000C2CC0000}"/>
    <cellStyle name="Normal 11 7 2 7 3 2" xfId="52839" xr:uid="{00000000-0005-0000-0000-0000C3CC0000}"/>
    <cellStyle name="Normal 11 7 2 7 4" xfId="52840" xr:uid="{00000000-0005-0000-0000-0000C4CC0000}"/>
    <cellStyle name="Normal 11 7 2 8" xfId="52841" xr:uid="{00000000-0005-0000-0000-0000C5CC0000}"/>
    <cellStyle name="Normal 11 7 2 8 2" xfId="52842" xr:uid="{00000000-0005-0000-0000-0000C6CC0000}"/>
    <cellStyle name="Normal 11 7 2 8 2 2" xfId="52843" xr:uid="{00000000-0005-0000-0000-0000C7CC0000}"/>
    <cellStyle name="Normal 11 7 2 8 2 2 2" xfId="52844" xr:uid="{00000000-0005-0000-0000-0000C8CC0000}"/>
    <cellStyle name="Normal 11 7 2 8 2 3" xfId="52845" xr:uid="{00000000-0005-0000-0000-0000C9CC0000}"/>
    <cellStyle name="Normal 11 7 2 8 3" xfId="52846" xr:uid="{00000000-0005-0000-0000-0000CACC0000}"/>
    <cellStyle name="Normal 11 7 2 8 3 2" xfId="52847" xr:uid="{00000000-0005-0000-0000-0000CBCC0000}"/>
    <cellStyle name="Normal 11 7 2 8 4" xfId="52848" xr:uid="{00000000-0005-0000-0000-0000CCCC0000}"/>
    <cellStyle name="Normal 11 7 2 9" xfId="52849" xr:uid="{00000000-0005-0000-0000-0000CDCC0000}"/>
    <cellStyle name="Normal 11 7 2 9 2" xfId="52850" xr:uid="{00000000-0005-0000-0000-0000CECC0000}"/>
    <cellStyle name="Normal 11 7 2 9 2 2" xfId="52851" xr:uid="{00000000-0005-0000-0000-0000CFCC0000}"/>
    <cellStyle name="Normal 11 7 2 9 3" xfId="52852" xr:uid="{00000000-0005-0000-0000-0000D0CC0000}"/>
    <cellStyle name="Normal 11 7 3" xfId="675" xr:uid="{00000000-0005-0000-0000-0000D1CC0000}"/>
    <cellStyle name="Normal 11 7 3 10" xfId="52854" xr:uid="{00000000-0005-0000-0000-0000D2CC0000}"/>
    <cellStyle name="Normal 11 7 3 10 2" xfId="52855" xr:uid="{00000000-0005-0000-0000-0000D3CC0000}"/>
    <cellStyle name="Normal 11 7 3 10 2 2" xfId="52856" xr:uid="{00000000-0005-0000-0000-0000D4CC0000}"/>
    <cellStyle name="Normal 11 7 3 10 3" xfId="52857" xr:uid="{00000000-0005-0000-0000-0000D5CC0000}"/>
    <cellStyle name="Normal 11 7 3 11" xfId="52858" xr:uid="{00000000-0005-0000-0000-0000D6CC0000}"/>
    <cellStyle name="Normal 11 7 3 11 2" xfId="52859" xr:uid="{00000000-0005-0000-0000-0000D7CC0000}"/>
    <cellStyle name="Normal 11 7 3 11 2 2" xfId="52860" xr:uid="{00000000-0005-0000-0000-0000D8CC0000}"/>
    <cellStyle name="Normal 11 7 3 11 3" xfId="52861" xr:uid="{00000000-0005-0000-0000-0000D9CC0000}"/>
    <cellStyle name="Normal 11 7 3 12" xfId="52862" xr:uid="{00000000-0005-0000-0000-0000DACC0000}"/>
    <cellStyle name="Normal 11 7 3 12 2" xfId="52863" xr:uid="{00000000-0005-0000-0000-0000DBCC0000}"/>
    <cellStyle name="Normal 11 7 3 13" xfId="52864" xr:uid="{00000000-0005-0000-0000-0000DCCC0000}"/>
    <cellStyle name="Normal 11 7 3 14" xfId="52865" xr:uid="{00000000-0005-0000-0000-0000DDCC0000}"/>
    <cellStyle name="Normal 11 7 3 15" xfId="52853" xr:uid="{00000000-0005-0000-0000-0000DECC0000}"/>
    <cellStyle name="Normal 11 7 3 2" xfId="1117" xr:uid="{00000000-0005-0000-0000-0000DFCC0000}"/>
    <cellStyle name="Normal 11 7 3 2 10" xfId="52867" xr:uid="{00000000-0005-0000-0000-0000E0CC0000}"/>
    <cellStyle name="Normal 11 7 3 2 11" xfId="52866" xr:uid="{00000000-0005-0000-0000-0000E1CC0000}"/>
    <cellStyle name="Normal 11 7 3 2 2" xfId="1846" xr:uid="{00000000-0005-0000-0000-0000E2CC0000}"/>
    <cellStyle name="Normal 11 7 3 2 2 2" xfId="52869" xr:uid="{00000000-0005-0000-0000-0000E3CC0000}"/>
    <cellStyle name="Normal 11 7 3 2 2 2 2" xfId="52870" xr:uid="{00000000-0005-0000-0000-0000E4CC0000}"/>
    <cellStyle name="Normal 11 7 3 2 2 2 2 2" xfId="52871" xr:uid="{00000000-0005-0000-0000-0000E5CC0000}"/>
    <cellStyle name="Normal 11 7 3 2 2 2 2 2 2" xfId="52872" xr:uid="{00000000-0005-0000-0000-0000E6CC0000}"/>
    <cellStyle name="Normal 11 7 3 2 2 2 2 3" xfId="52873" xr:uid="{00000000-0005-0000-0000-0000E7CC0000}"/>
    <cellStyle name="Normal 11 7 3 2 2 2 3" xfId="52874" xr:uid="{00000000-0005-0000-0000-0000E8CC0000}"/>
    <cellStyle name="Normal 11 7 3 2 2 2 3 2" xfId="52875" xr:uid="{00000000-0005-0000-0000-0000E9CC0000}"/>
    <cellStyle name="Normal 11 7 3 2 2 2 4" xfId="52876" xr:uid="{00000000-0005-0000-0000-0000EACC0000}"/>
    <cellStyle name="Normal 11 7 3 2 2 3" xfId="52877" xr:uid="{00000000-0005-0000-0000-0000EBCC0000}"/>
    <cellStyle name="Normal 11 7 3 2 2 3 2" xfId="52878" xr:uid="{00000000-0005-0000-0000-0000ECCC0000}"/>
    <cellStyle name="Normal 11 7 3 2 2 3 2 2" xfId="52879" xr:uid="{00000000-0005-0000-0000-0000EDCC0000}"/>
    <cellStyle name="Normal 11 7 3 2 2 3 2 2 2" xfId="52880" xr:uid="{00000000-0005-0000-0000-0000EECC0000}"/>
    <cellStyle name="Normal 11 7 3 2 2 3 2 3" xfId="52881" xr:uid="{00000000-0005-0000-0000-0000EFCC0000}"/>
    <cellStyle name="Normal 11 7 3 2 2 3 3" xfId="52882" xr:uid="{00000000-0005-0000-0000-0000F0CC0000}"/>
    <cellStyle name="Normal 11 7 3 2 2 3 3 2" xfId="52883" xr:uid="{00000000-0005-0000-0000-0000F1CC0000}"/>
    <cellStyle name="Normal 11 7 3 2 2 3 4" xfId="52884" xr:uid="{00000000-0005-0000-0000-0000F2CC0000}"/>
    <cellStyle name="Normal 11 7 3 2 2 4" xfId="52885" xr:uid="{00000000-0005-0000-0000-0000F3CC0000}"/>
    <cellStyle name="Normal 11 7 3 2 2 4 2" xfId="52886" xr:uid="{00000000-0005-0000-0000-0000F4CC0000}"/>
    <cellStyle name="Normal 11 7 3 2 2 4 2 2" xfId="52887" xr:uid="{00000000-0005-0000-0000-0000F5CC0000}"/>
    <cellStyle name="Normal 11 7 3 2 2 4 3" xfId="52888" xr:uid="{00000000-0005-0000-0000-0000F6CC0000}"/>
    <cellStyle name="Normal 11 7 3 2 2 5" xfId="52889" xr:uid="{00000000-0005-0000-0000-0000F7CC0000}"/>
    <cellStyle name="Normal 11 7 3 2 2 5 2" xfId="52890" xr:uid="{00000000-0005-0000-0000-0000F8CC0000}"/>
    <cellStyle name="Normal 11 7 3 2 2 6" xfId="52891" xr:uid="{00000000-0005-0000-0000-0000F9CC0000}"/>
    <cellStyle name="Normal 11 7 3 2 2 7" xfId="52868" xr:uid="{00000000-0005-0000-0000-0000FACC0000}"/>
    <cellStyle name="Normal 11 7 3 2 3" xfId="52892" xr:uid="{00000000-0005-0000-0000-0000FBCC0000}"/>
    <cellStyle name="Normal 11 7 3 2 3 2" xfId="52893" xr:uid="{00000000-0005-0000-0000-0000FCCC0000}"/>
    <cellStyle name="Normal 11 7 3 2 3 2 2" xfId="52894" xr:uid="{00000000-0005-0000-0000-0000FDCC0000}"/>
    <cellStyle name="Normal 11 7 3 2 3 2 2 2" xfId="52895" xr:uid="{00000000-0005-0000-0000-0000FECC0000}"/>
    <cellStyle name="Normal 11 7 3 2 3 2 2 2 2" xfId="52896" xr:uid="{00000000-0005-0000-0000-0000FFCC0000}"/>
    <cellStyle name="Normal 11 7 3 2 3 2 2 3" xfId="52897" xr:uid="{00000000-0005-0000-0000-000000CD0000}"/>
    <cellStyle name="Normal 11 7 3 2 3 2 3" xfId="52898" xr:uid="{00000000-0005-0000-0000-000001CD0000}"/>
    <cellStyle name="Normal 11 7 3 2 3 2 3 2" xfId="52899" xr:uid="{00000000-0005-0000-0000-000002CD0000}"/>
    <cellStyle name="Normal 11 7 3 2 3 2 4" xfId="52900" xr:uid="{00000000-0005-0000-0000-000003CD0000}"/>
    <cellStyle name="Normal 11 7 3 2 3 3" xfId="52901" xr:uid="{00000000-0005-0000-0000-000004CD0000}"/>
    <cellStyle name="Normal 11 7 3 2 3 3 2" xfId="52902" xr:uid="{00000000-0005-0000-0000-000005CD0000}"/>
    <cellStyle name="Normal 11 7 3 2 3 3 2 2" xfId="52903" xr:uid="{00000000-0005-0000-0000-000006CD0000}"/>
    <cellStyle name="Normal 11 7 3 2 3 3 3" xfId="52904" xr:uid="{00000000-0005-0000-0000-000007CD0000}"/>
    <cellStyle name="Normal 11 7 3 2 3 4" xfId="52905" xr:uid="{00000000-0005-0000-0000-000008CD0000}"/>
    <cellStyle name="Normal 11 7 3 2 3 4 2" xfId="52906" xr:uid="{00000000-0005-0000-0000-000009CD0000}"/>
    <cellStyle name="Normal 11 7 3 2 3 5" xfId="52907" xr:uid="{00000000-0005-0000-0000-00000ACD0000}"/>
    <cellStyle name="Normal 11 7 3 2 4" xfId="52908" xr:uid="{00000000-0005-0000-0000-00000BCD0000}"/>
    <cellStyle name="Normal 11 7 3 2 4 2" xfId="52909" xr:uid="{00000000-0005-0000-0000-00000CCD0000}"/>
    <cellStyle name="Normal 11 7 3 2 4 2 2" xfId="52910" xr:uid="{00000000-0005-0000-0000-00000DCD0000}"/>
    <cellStyle name="Normal 11 7 3 2 4 2 2 2" xfId="52911" xr:uid="{00000000-0005-0000-0000-00000ECD0000}"/>
    <cellStyle name="Normal 11 7 3 2 4 2 2 2 2" xfId="52912" xr:uid="{00000000-0005-0000-0000-00000FCD0000}"/>
    <cellStyle name="Normal 11 7 3 2 4 2 2 3" xfId="52913" xr:uid="{00000000-0005-0000-0000-000010CD0000}"/>
    <cellStyle name="Normal 11 7 3 2 4 2 3" xfId="52914" xr:uid="{00000000-0005-0000-0000-000011CD0000}"/>
    <cellStyle name="Normal 11 7 3 2 4 2 3 2" xfId="52915" xr:uid="{00000000-0005-0000-0000-000012CD0000}"/>
    <cellStyle name="Normal 11 7 3 2 4 2 4" xfId="52916" xr:uid="{00000000-0005-0000-0000-000013CD0000}"/>
    <cellStyle name="Normal 11 7 3 2 4 3" xfId="52917" xr:uid="{00000000-0005-0000-0000-000014CD0000}"/>
    <cellStyle name="Normal 11 7 3 2 4 3 2" xfId="52918" xr:uid="{00000000-0005-0000-0000-000015CD0000}"/>
    <cellStyle name="Normal 11 7 3 2 4 3 2 2" xfId="52919" xr:uid="{00000000-0005-0000-0000-000016CD0000}"/>
    <cellStyle name="Normal 11 7 3 2 4 3 3" xfId="52920" xr:uid="{00000000-0005-0000-0000-000017CD0000}"/>
    <cellStyle name="Normal 11 7 3 2 4 4" xfId="52921" xr:uid="{00000000-0005-0000-0000-000018CD0000}"/>
    <cellStyle name="Normal 11 7 3 2 4 4 2" xfId="52922" xr:uid="{00000000-0005-0000-0000-000019CD0000}"/>
    <cellStyle name="Normal 11 7 3 2 4 5" xfId="52923" xr:uid="{00000000-0005-0000-0000-00001ACD0000}"/>
    <cellStyle name="Normal 11 7 3 2 5" xfId="52924" xr:uid="{00000000-0005-0000-0000-00001BCD0000}"/>
    <cellStyle name="Normal 11 7 3 2 5 2" xfId="52925" xr:uid="{00000000-0005-0000-0000-00001CCD0000}"/>
    <cellStyle name="Normal 11 7 3 2 5 2 2" xfId="52926" xr:uid="{00000000-0005-0000-0000-00001DCD0000}"/>
    <cellStyle name="Normal 11 7 3 2 5 2 2 2" xfId="52927" xr:uid="{00000000-0005-0000-0000-00001ECD0000}"/>
    <cellStyle name="Normal 11 7 3 2 5 2 3" xfId="52928" xr:uid="{00000000-0005-0000-0000-00001FCD0000}"/>
    <cellStyle name="Normal 11 7 3 2 5 3" xfId="52929" xr:uid="{00000000-0005-0000-0000-000020CD0000}"/>
    <cellStyle name="Normal 11 7 3 2 5 3 2" xfId="52930" xr:uid="{00000000-0005-0000-0000-000021CD0000}"/>
    <cellStyle name="Normal 11 7 3 2 5 4" xfId="52931" xr:uid="{00000000-0005-0000-0000-000022CD0000}"/>
    <cellStyle name="Normal 11 7 3 2 6" xfId="52932" xr:uid="{00000000-0005-0000-0000-000023CD0000}"/>
    <cellStyle name="Normal 11 7 3 2 6 2" xfId="52933" xr:uid="{00000000-0005-0000-0000-000024CD0000}"/>
    <cellStyle name="Normal 11 7 3 2 6 2 2" xfId="52934" xr:uid="{00000000-0005-0000-0000-000025CD0000}"/>
    <cellStyle name="Normal 11 7 3 2 6 2 2 2" xfId="52935" xr:uid="{00000000-0005-0000-0000-000026CD0000}"/>
    <cellStyle name="Normal 11 7 3 2 6 2 3" xfId="52936" xr:uid="{00000000-0005-0000-0000-000027CD0000}"/>
    <cellStyle name="Normal 11 7 3 2 6 3" xfId="52937" xr:uid="{00000000-0005-0000-0000-000028CD0000}"/>
    <cellStyle name="Normal 11 7 3 2 6 3 2" xfId="52938" xr:uid="{00000000-0005-0000-0000-000029CD0000}"/>
    <cellStyle name="Normal 11 7 3 2 6 4" xfId="52939" xr:uid="{00000000-0005-0000-0000-00002ACD0000}"/>
    <cellStyle name="Normal 11 7 3 2 7" xfId="52940" xr:uid="{00000000-0005-0000-0000-00002BCD0000}"/>
    <cellStyle name="Normal 11 7 3 2 7 2" xfId="52941" xr:uid="{00000000-0005-0000-0000-00002CCD0000}"/>
    <cellStyle name="Normal 11 7 3 2 7 2 2" xfId="52942" xr:uid="{00000000-0005-0000-0000-00002DCD0000}"/>
    <cellStyle name="Normal 11 7 3 2 7 2 2 2" xfId="52943" xr:uid="{00000000-0005-0000-0000-00002ECD0000}"/>
    <cellStyle name="Normal 11 7 3 2 7 2 3" xfId="52944" xr:uid="{00000000-0005-0000-0000-00002FCD0000}"/>
    <cellStyle name="Normal 11 7 3 2 7 3" xfId="52945" xr:uid="{00000000-0005-0000-0000-000030CD0000}"/>
    <cellStyle name="Normal 11 7 3 2 7 3 2" xfId="52946" xr:uid="{00000000-0005-0000-0000-000031CD0000}"/>
    <cellStyle name="Normal 11 7 3 2 7 4" xfId="52947" xr:uid="{00000000-0005-0000-0000-000032CD0000}"/>
    <cellStyle name="Normal 11 7 3 2 8" xfId="52948" xr:uid="{00000000-0005-0000-0000-000033CD0000}"/>
    <cellStyle name="Normal 11 7 3 2 8 2" xfId="52949" xr:uid="{00000000-0005-0000-0000-000034CD0000}"/>
    <cellStyle name="Normal 11 7 3 2 8 2 2" xfId="52950" xr:uid="{00000000-0005-0000-0000-000035CD0000}"/>
    <cellStyle name="Normal 11 7 3 2 8 3" xfId="52951" xr:uid="{00000000-0005-0000-0000-000036CD0000}"/>
    <cellStyle name="Normal 11 7 3 2 9" xfId="52952" xr:uid="{00000000-0005-0000-0000-000037CD0000}"/>
    <cellStyle name="Normal 11 7 3 2 9 2" xfId="52953" xr:uid="{00000000-0005-0000-0000-000038CD0000}"/>
    <cellStyle name="Normal 11 7 3 3" xfId="1519" xr:uid="{00000000-0005-0000-0000-000039CD0000}"/>
    <cellStyle name="Normal 11 7 3 3 2" xfId="52955" xr:uid="{00000000-0005-0000-0000-00003ACD0000}"/>
    <cellStyle name="Normal 11 7 3 3 2 2" xfId="52956" xr:uid="{00000000-0005-0000-0000-00003BCD0000}"/>
    <cellStyle name="Normal 11 7 3 3 2 2 2" xfId="52957" xr:uid="{00000000-0005-0000-0000-00003CCD0000}"/>
    <cellStyle name="Normal 11 7 3 3 2 2 2 2" xfId="52958" xr:uid="{00000000-0005-0000-0000-00003DCD0000}"/>
    <cellStyle name="Normal 11 7 3 3 2 2 3" xfId="52959" xr:uid="{00000000-0005-0000-0000-00003ECD0000}"/>
    <cellStyle name="Normal 11 7 3 3 2 3" xfId="52960" xr:uid="{00000000-0005-0000-0000-00003FCD0000}"/>
    <cellStyle name="Normal 11 7 3 3 2 3 2" xfId="52961" xr:uid="{00000000-0005-0000-0000-000040CD0000}"/>
    <cellStyle name="Normal 11 7 3 3 2 4" xfId="52962" xr:uid="{00000000-0005-0000-0000-000041CD0000}"/>
    <cellStyle name="Normal 11 7 3 3 3" xfId="52963" xr:uid="{00000000-0005-0000-0000-000042CD0000}"/>
    <cellStyle name="Normal 11 7 3 3 3 2" xfId="52964" xr:uid="{00000000-0005-0000-0000-000043CD0000}"/>
    <cellStyle name="Normal 11 7 3 3 3 2 2" xfId="52965" xr:uid="{00000000-0005-0000-0000-000044CD0000}"/>
    <cellStyle name="Normal 11 7 3 3 3 2 2 2" xfId="52966" xr:uid="{00000000-0005-0000-0000-000045CD0000}"/>
    <cellStyle name="Normal 11 7 3 3 3 2 3" xfId="52967" xr:uid="{00000000-0005-0000-0000-000046CD0000}"/>
    <cellStyle name="Normal 11 7 3 3 3 3" xfId="52968" xr:uid="{00000000-0005-0000-0000-000047CD0000}"/>
    <cellStyle name="Normal 11 7 3 3 3 3 2" xfId="52969" xr:uid="{00000000-0005-0000-0000-000048CD0000}"/>
    <cellStyle name="Normal 11 7 3 3 3 4" xfId="52970" xr:uid="{00000000-0005-0000-0000-000049CD0000}"/>
    <cellStyle name="Normal 11 7 3 3 4" xfId="52971" xr:uid="{00000000-0005-0000-0000-00004ACD0000}"/>
    <cellStyle name="Normal 11 7 3 3 4 2" xfId="52972" xr:uid="{00000000-0005-0000-0000-00004BCD0000}"/>
    <cellStyle name="Normal 11 7 3 3 4 2 2" xfId="52973" xr:uid="{00000000-0005-0000-0000-00004CCD0000}"/>
    <cellStyle name="Normal 11 7 3 3 4 3" xfId="52974" xr:uid="{00000000-0005-0000-0000-00004DCD0000}"/>
    <cellStyle name="Normal 11 7 3 3 5" xfId="52975" xr:uid="{00000000-0005-0000-0000-00004ECD0000}"/>
    <cellStyle name="Normal 11 7 3 3 5 2" xfId="52976" xr:uid="{00000000-0005-0000-0000-00004FCD0000}"/>
    <cellStyle name="Normal 11 7 3 3 6" xfId="52977" xr:uid="{00000000-0005-0000-0000-000050CD0000}"/>
    <cellStyle name="Normal 11 7 3 3 7" xfId="52954" xr:uid="{00000000-0005-0000-0000-000051CD0000}"/>
    <cellStyle name="Normal 11 7 3 4" xfId="52978" xr:uid="{00000000-0005-0000-0000-000052CD0000}"/>
    <cellStyle name="Normal 11 7 3 4 2" xfId="52979" xr:uid="{00000000-0005-0000-0000-000053CD0000}"/>
    <cellStyle name="Normal 11 7 3 4 2 2" xfId="52980" xr:uid="{00000000-0005-0000-0000-000054CD0000}"/>
    <cellStyle name="Normal 11 7 3 4 2 2 2" xfId="52981" xr:uid="{00000000-0005-0000-0000-000055CD0000}"/>
    <cellStyle name="Normal 11 7 3 4 2 2 2 2" xfId="52982" xr:uid="{00000000-0005-0000-0000-000056CD0000}"/>
    <cellStyle name="Normal 11 7 3 4 2 2 3" xfId="52983" xr:uid="{00000000-0005-0000-0000-000057CD0000}"/>
    <cellStyle name="Normal 11 7 3 4 2 3" xfId="52984" xr:uid="{00000000-0005-0000-0000-000058CD0000}"/>
    <cellStyle name="Normal 11 7 3 4 2 3 2" xfId="52985" xr:uid="{00000000-0005-0000-0000-000059CD0000}"/>
    <cellStyle name="Normal 11 7 3 4 2 4" xfId="52986" xr:uid="{00000000-0005-0000-0000-00005ACD0000}"/>
    <cellStyle name="Normal 11 7 3 4 3" xfId="52987" xr:uid="{00000000-0005-0000-0000-00005BCD0000}"/>
    <cellStyle name="Normal 11 7 3 4 3 2" xfId="52988" xr:uid="{00000000-0005-0000-0000-00005CCD0000}"/>
    <cellStyle name="Normal 11 7 3 4 3 2 2" xfId="52989" xr:uid="{00000000-0005-0000-0000-00005DCD0000}"/>
    <cellStyle name="Normal 11 7 3 4 3 3" xfId="52990" xr:uid="{00000000-0005-0000-0000-00005ECD0000}"/>
    <cellStyle name="Normal 11 7 3 4 4" xfId="52991" xr:uid="{00000000-0005-0000-0000-00005FCD0000}"/>
    <cellStyle name="Normal 11 7 3 4 4 2" xfId="52992" xr:uid="{00000000-0005-0000-0000-000060CD0000}"/>
    <cellStyle name="Normal 11 7 3 4 5" xfId="52993" xr:uid="{00000000-0005-0000-0000-000061CD0000}"/>
    <cellStyle name="Normal 11 7 3 5" xfId="52994" xr:uid="{00000000-0005-0000-0000-000062CD0000}"/>
    <cellStyle name="Normal 11 7 3 5 2" xfId="52995" xr:uid="{00000000-0005-0000-0000-000063CD0000}"/>
    <cellStyle name="Normal 11 7 3 5 2 2" xfId="52996" xr:uid="{00000000-0005-0000-0000-000064CD0000}"/>
    <cellStyle name="Normal 11 7 3 5 2 2 2" xfId="52997" xr:uid="{00000000-0005-0000-0000-000065CD0000}"/>
    <cellStyle name="Normal 11 7 3 5 2 2 2 2" xfId="52998" xr:uid="{00000000-0005-0000-0000-000066CD0000}"/>
    <cellStyle name="Normal 11 7 3 5 2 2 3" xfId="52999" xr:uid="{00000000-0005-0000-0000-000067CD0000}"/>
    <cellStyle name="Normal 11 7 3 5 2 3" xfId="53000" xr:uid="{00000000-0005-0000-0000-000068CD0000}"/>
    <cellStyle name="Normal 11 7 3 5 2 3 2" xfId="53001" xr:uid="{00000000-0005-0000-0000-000069CD0000}"/>
    <cellStyle name="Normal 11 7 3 5 2 4" xfId="53002" xr:uid="{00000000-0005-0000-0000-00006ACD0000}"/>
    <cellStyle name="Normal 11 7 3 5 3" xfId="53003" xr:uid="{00000000-0005-0000-0000-00006BCD0000}"/>
    <cellStyle name="Normal 11 7 3 5 3 2" xfId="53004" xr:uid="{00000000-0005-0000-0000-00006CCD0000}"/>
    <cellStyle name="Normal 11 7 3 5 3 2 2" xfId="53005" xr:uid="{00000000-0005-0000-0000-00006DCD0000}"/>
    <cellStyle name="Normal 11 7 3 5 3 3" xfId="53006" xr:uid="{00000000-0005-0000-0000-00006ECD0000}"/>
    <cellStyle name="Normal 11 7 3 5 4" xfId="53007" xr:uid="{00000000-0005-0000-0000-00006FCD0000}"/>
    <cellStyle name="Normal 11 7 3 5 4 2" xfId="53008" xr:uid="{00000000-0005-0000-0000-000070CD0000}"/>
    <cellStyle name="Normal 11 7 3 5 5" xfId="53009" xr:uid="{00000000-0005-0000-0000-000071CD0000}"/>
    <cellStyle name="Normal 11 7 3 6" xfId="53010" xr:uid="{00000000-0005-0000-0000-000072CD0000}"/>
    <cellStyle name="Normal 11 7 3 6 2" xfId="53011" xr:uid="{00000000-0005-0000-0000-000073CD0000}"/>
    <cellStyle name="Normal 11 7 3 6 2 2" xfId="53012" xr:uid="{00000000-0005-0000-0000-000074CD0000}"/>
    <cellStyle name="Normal 11 7 3 6 2 2 2" xfId="53013" xr:uid="{00000000-0005-0000-0000-000075CD0000}"/>
    <cellStyle name="Normal 11 7 3 6 2 3" xfId="53014" xr:uid="{00000000-0005-0000-0000-000076CD0000}"/>
    <cellStyle name="Normal 11 7 3 6 3" xfId="53015" xr:uid="{00000000-0005-0000-0000-000077CD0000}"/>
    <cellStyle name="Normal 11 7 3 6 3 2" xfId="53016" xr:uid="{00000000-0005-0000-0000-000078CD0000}"/>
    <cellStyle name="Normal 11 7 3 6 4" xfId="53017" xr:uid="{00000000-0005-0000-0000-000079CD0000}"/>
    <cellStyle name="Normal 11 7 3 7" xfId="53018" xr:uid="{00000000-0005-0000-0000-00007ACD0000}"/>
    <cellStyle name="Normal 11 7 3 7 2" xfId="53019" xr:uid="{00000000-0005-0000-0000-00007BCD0000}"/>
    <cellStyle name="Normal 11 7 3 7 2 2" xfId="53020" xr:uid="{00000000-0005-0000-0000-00007CCD0000}"/>
    <cellStyle name="Normal 11 7 3 7 2 2 2" xfId="53021" xr:uid="{00000000-0005-0000-0000-00007DCD0000}"/>
    <cellStyle name="Normal 11 7 3 7 2 3" xfId="53022" xr:uid="{00000000-0005-0000-0000-00007ECD0000}"/>
    <cellStyle name="Normal 11 7 3 7 3" xfId="53023" xr:uid="{00000000-0005-0000-0000-00007FCD0000}"/>
    <cellStyle name="Normal 11 7 3 7 3 2" xfId="53024" xr:uid="{00000000-0005-0000-0000-000080CD0000}"/>
    <cellStyle name="Normal 11 7 3 7 4" xfId="53025" xr:uid="{00000000-0005-0000-0000-000081CD0000}"/>
    <cellStyle name="Normal 11 7 3 8" xfId="53026" xr:uid="{00000000-0005-0000-0000-000082CD0000}"/>
    <cellStyle name="Normal 11 7 3 8 2" xfId="53027" xr:uid="{00000000-0005-0000-0000-000083CD0000}"/>
    <cellStyle name="Normal 11 7 3 8 2 2" xfId="53028" xr:uid="{00000000-0005-0000-0000-000084CD0000}"/>
    <cellStyle name="Normal 11 7 3 8 2 2 2" xfId="53029" xr:uid="{00000000-0005-0000-0000-000085CD0000}"/>
    <cellStyle name="Normal 11 7 3 8 2 3" xfId="53030" xr:uid="{00000000-0005-0000-0000-000086CD0000}"/>
    <cellStyle name="Normal 11 7 3 8 3" xfId="53031" xr:uid="{00000000-0005-0000-0000-000087CD0000}"/>
    <cellStyle name="Normal 11 7 3 8 3 2" xfId="53032" xr:uid="{00000000-0005-0000-0000-000088CD0000}"/>
    <cellStyle name="Normal 11 7 3 8 4" xfId="53033" xr:uid="{00000000-0005-0000-0000-000089CD0000}"/>
    <cellStyle name="Normal 11 7 3 9" xfId="53034" xr:uid="{00000000-0005-0000-0000-00008ACD0000}"/>
    <cellStyle name="Normal 11 7 3 9 2" xfId="53035" xr:uid="{00000000-0005-0000-0000-00008BCD0000}"/>
    <cellStyle name="Normal 11 7 3 9 2 2" xfId="53036" xr:uid="{00000000-0005-0000-0000-00008CCD0000}"/>
    <cellStyle name="Normal 11 7 3 9 3" xfId="53037" xr:uid="{00000000-0005-0000-0000-00008DCD0000}"/>
    <cellStyle name="Normal 11 7 4" xfId="1115" xr:uid="{00000000-0005-0000-0000-00008ECD0000}"/>
    <cellStyle name="Normal 11 7 4 10" xfId="53039" xr:uid="{00000000-0005-0000-0000-00008FCD0000}"/>
    <cellStyle name="Normal 11 7 4 11" xfId="53038" xr:uid="{00000000-0005-0000-0000-000090CD0000}"/>
    <cellStyle name="Normal 11 7 4 2" xfId="1844" xr:uid="{00000000-0005-0000-0000-000091CD0000}"/>
    <cellStyle name="Normal 11 7 4 2 2" xfId="53041" xr:uid="{00000000-0005-0000-0000-000092CD0000}"/>
    <cellStyle name="Normal 11 7 4 2 2 2" xfId="53042" xr:uid="{00000000-0005-0000-0000-000093CD0000}"/>
    <cellStyle name="Normal 11 7 4 2 2 2 2" xfId="53043" xr:uid="{00000000-0005-0000-0000-000094CD0000}"/>
    <cellStyle name="Normal 11 7 4 2 2 2 2 2" xfId="53044" xr:uid="{00000000-0005-0000-0000-000095CD0000}"/>
    <cellStyle name="Normal 11 7 4 2 2 2 3" xfId="53045" xr:uid="{00000000-0005-0000-0000-000096CD0000}"/>
    <cellStyle name="Normal 11 7 4 2 2 3" xfId="53046" xr:uid="{00000000-0005-0000-0000-000097CD0000}"/>
    <cellStyle name="Normal 11 7 4 2 2 3 2" xfId="53047" xr:uid="{00000000-0005-0000-0000-000098CD0000}"/>
    <cellStyle name="Normal 11 7 4 2 2 4" xfId="53048" xr:uid="{00000000-0005-0000-0000-000099CD0000}"/>
    <cellStyle name="Normal 11 7 4 2 3" xfId="53049" xr:uid="{00000000-0005-0000-0000-00009ACD0000}"/>
    <cellStyle name="Normal 11 7 4 2 3 2" xfId="53050" xr:uid="{00000000-0005-0000-0000-00009BCD0000}"/>
    <cellStyle name="Normal 11 7 4 2 3 2 2" xfId="53051" xr:uid="{00000000-0005-0000-0000-00009CCD0000}"/>
    <cellStyle name="Normal 11 7 4 2 3 2 2 2" xfId="53052" xr:uid="{00000000-0005-0000-0000-00009DCD0000}"/>
    <cellStyle name="Normal 11 7 4 2 3 2 3" xfId="53053" xr:uid="{00000000-0005-0000-0000-00009ECD0000}"/>
    <cellStyle name="Normal 11 7 4 2 3 3" xfId="53054" xr:uid="{00000000-0005-0000-0000-00009FCD0000}"/>
    <cellStyle name="Normal 11 7 4 2 3 3 2" xfId="53055" xr:uid="{00000000-0005-0000-0000-0000A0CD0000}"/>
    <cellStyle name="Normal 11 7 4 2 3 4" xfId="53056" xr:uid="{00000000-0005-0000-0000-0000A1CD0000}"/>
    <cellStyle name="Normal 11 7 4 2 4" xfId="53057" xr:uid="{00000000-0005-0000-0000-0000A2CD0000}"/>
    <cellStyle name="Normal 11 7 4 2 4 2" xfId="53058" xr:uid="{00000000-0005-0000-0000-0000A3CD0000}"/>
    <cellStyle name="Normal 11 7 4 2 4 2 2" xfId="53059" xr:uid="{00000000-0005-0000-0000-0000A4CD0000}"/>
    <cellStyle name="Normal 11 7 4 2 4 3" xfId="53060" xr:uid="{00000000-0005-0000-0000-0000A5CD0000}"/>
    <cellStyle name="Normal 11 7 4 2 5" xfId="53061" xr:uid="{00000000-0005-0000-0000-0000A6CD0000}"/>
    <cellStyle name="Normal 11 7 4 2 5 2" xfId="53062" xr:uid="{00000000-0005-0000-0000-0000A7CD0000}"/>
    <cellStyle name="Normal 11 7 4 2 6" xfId="53063" xr:uid="{00000000-0005-0000-0000-0000A8CD0000}"/>
    <cellStyle name="Normal 11 7 4 2 7" xfId="53040" xr:uid="{00000000-0005-0000-0000-0000A9CD0000}"/>
    <cellStyle name="Normal 11 7 4 3" xfId="53064" xr:uid="{00000000-0005-0000-0000-0000AACD0000}"/>
    <cellStyle name="Normal 11 7 4 3 2" xfId="53065" xr:uid="{00000000-0005-0000-0000-0000ABCD0000}"/>
    <cellStyle name="Normal 11 7 4 3 2 2" xfId="53066" xr:uid="{00000000-0005-0000-0000-0000ACCD0000}"/>
    <cellStyle name="Normal 11 7 4 3 2 2 2" xfId="53067" xr:uid="{00000000-0005-0000-0000-0000ADCD0000}"/>
    <cellStyle name="Normal 11 7 4 3 2 2 2 2" xfId="53068" xr:uid="{00000000-0005-0000-0000-0000AECD0000}"/>
    <cellStyle name="Normal 11 7 4 3 2 2 3" xfId="53069" xr:uid="{00000000-0005-0000-0000-0000AFCD0000}"/>
    <cellStyle name="Normal 11 7 4 3 2 3" xfId="53070" xr:uid="{00000000-0005-0000-0000-0000B0CD0000}"/>
    <cellStyle name="Normal 11 7 4 3 2 3 2" xfId="53071" xr:uid="{00000000-0005-0000-0000-0000B1CD0000}"/>
    <cellStyle name="Normal 11 7 4 3 2 4" xfId="53072" xr:uid="{00000000-0005-0000-0000-0000B2CD0000}"/>
    <cellStyle name="Normal 11 7 4 3 3" xfId="53073" xr:uid="{00000000-0005-0000-0000-0000B3CD0000}"/>
    <cellStyle name="Normal 11 7 4 3 3 2" xfId="53074" xr:uid="{00000000-0005-0000-0000-0000B4CD0000}"/>
    <cellStyle name="Normal 11 7 4 3 3 2 2" xfId="53075" xr:uid="{00000000-0005-0000-0000-0000B5CD0000}"/>
    <cellStyle name="Normal 11 7 4 3 3 3" xfId="53076" xr:uid="{00000000-0005-0000-0000-0000B6CD0000}"/>
    <cellStyle name="Normal 11 7 4 3 4" xfId="53077" xr:uid="{00000000-0005-0000-0000-0000B7CD0000}"/>
    <cellStyle name="Normal 11 7 4 3 4 2" xfId="53078" xr:uid="{00000000-0005-0000-0000-0000B8CD0000}"/>
    <cellStyle name="Normal 11 7 4 3 5" xfId="53079" xr:uid="{00000000-0005-0000-0000-0000B9CD0000}"/>
    <cellStyle name="Normal 11 7 4 4" xfId="53080" xr:uid="{00000000-0005-0000-0000-0000BACD0000}"/>
    <cellStyle name="Normal 11 7 4 4 2" xfId="53081" xr:uid="{00000000-0005-0000-0000-0000BBCD0000}"/>
    <cellStyle name="Normal 11 7 4 4 2 2" xfId="53082" xr:uid="{00000000-0005-0000-0000-0000BCCD0000}"/>
    <cellStyle name="Normal 11 7 4 4 2 2 2" xfId="53083" xr:uid="{00000000-0005-0000-0000-0000BDCD0000}"/>
    <cellStyle name="Normal 11 7 4 4 2 2 2 2" xfId="53084" xr:uid="{00000000-0005-0000-0000-0000BECD0000}"/>
    <cellStyle name="Normal 11 7 4 4 2 2 3" xfId="53085" xr:uid="{00000000-0005-0000-0000-0000BFCD0000}"/>
    <cellStyle name="Normal 11 7 4 4 2 3" xfId="53086" xr:uid="{00000000-0005-0000-0000-0000C0CD0000}"/>
    <cellStyle name="Normal 11 7 4 4 2 3 2" xfId="53087" xr:uid="{00000000-0005-0000-0000-0000C1CD0000}"/>
    <cellStyle name="Normal 11 7 4 4 2 4" xfId="53088" xr:uid="{00000000-0005-0000-0000-0000C2CD0000}"/>
    <cellStyle name="Normal 11 7 4 4 3" xfId="53089" xr:uid="{00000000-0005-0000-0000-0000C3CD0000}"/>
    <cellStyle name="Normal 11 7 4 4 3 2" xfId="53090" xr:uid="{00000000-0005-0000-0000-0000C4CD0000}"/>
    <cellStyle name="Normal 11 7 4 4 3 2 2" xfId="53091" xr:uid="{00000000-0005-0000-0000-0000C5CD0000}"/>
    <cellStyle name="Normal 11 7 4 4 3 3" xfId="53092" xr:uid="{00000000-0005-0000-0000-0000C6CD0000}"/>
    <cellStyle name="Normal 11 7 4 4 4" xfId="53093" xr:uid="{00000000-0005-0000-0000-0000C7CD0000}"/>
    <cellStyle name="Normal 11 7 4 4 4 2" xfId="53094" xr:uid="{00000000-0005-0000-0000-0000C8CD0000}"/>
    <cellStyle name="Normal 11 7 4 4 5" xfId="53095" xr:uid="{00000000-0005-0000-0000-0000C9CD0000}"/>
    <cellStyle name="Normal 11 7 4 5" xfId="53096" xr:uid="{00000000-0005-0000-0000-0000CACD0000}"/>
    <cellStyle name="Normal 11 7 4 5 2" xfId="53097" xr:uid="{00000000-0005-0000-0000-0000CBCD0000}"/>
    <cellStyle name="Normal 11 7 4 5 2 2" xfId="53098" xr:uid="{00000000-0005-0000-0000-0000CCCD0000}"/>
    <cellStyle name="Normal 11 7 4 5 2 2 2" xfId="53099" xr:uid="{00000000-0005-0000-0000-0000CDCD0000}"/>
    <cellStyle name="Normal 11 7 4 5 2 3" xfId="53100" xr:uid="{00000000-0005-0000-0000-0000CECD0000}"/>
    <cellStyle name="Normal 11 7 4 5 3" xfId="53101" xr:uid="{00000000-0005-0000-0000-0000CFCD0000}"/>
    <cellStyle name="Normal 11 7 4 5 3 2" xfId="53102" xr:uid="{00000000-0005-0000-0000-0000D0CD0000}"/>
    <cellStyle name="Normal 11 7 4 5 4" xfId="53103" xr:uid="{00000000-0005-0000-0000-0000D1CD0000}"/>
    <cellStyle name="Normal 11 7 4 6" xfId="53104" xr:uid="{00000000-0005-0000-0000-0000D2CD0000}"/>
    <cellStyle name="Normal 11 7 4 6 2" xfId="53105" xr:uid="{00000000-0005-0000-0000-0000D3CD0000}"/>
    <cellStyle name="Normal 11 7 4 6 2 2" xfId="53106" xr:uid="{00000000-0005-0000-0000-0000D4CD0000}"/>
    <cellStyle name="Normal 11 7 4 6 2 2 2" xfId="53107" xr:uid="{00000000-0005-0000-0000-0000D5CD0000}"/>
    <cellStyle name="Normal 11 7 4 6 2 3" xfId="53108" xr:uid="{00000000-0005-0000-0000-0000D6CD0000}"/>
    <cellStyle name="Normal 11 7 4 6 3" xfId="53109" xr:uid="{00000000-0005-0000-0000-0000D7CD0000}"/>
    <cellStyle name="Normal 11 7 4 6 3 2" xfId="53110" xr:uid="{00000000-0005-0000-0000-0000D8CD0000}"/>
    <cellStyle name="Normal 11 7 4 6 4" xfId="53111" xr:uid="{00000000-0005-0000-0000-0000D9CD0000}"/>
    <cellStyle name="Normal 11 7 4 7" xfId="53112" xr:uid="{00000000-0005-0000-0000-0000DACD0000}"/>
    <cellStyle name="Normal 11 7 4 7 2" xfId="53113" xr:uid="{00000000-0005-0000-0000-0000DBCD0000}"/>
    <cellStyle name="Normal 11 7 4 7 2 2" xfId="53114" xr:uid="{00000000-0005-0000-0000-0000DCCD0000}"/>
    <cellStyle name="Normal 11 7 4 7 2 2 2" xfId="53115" xr:uid="{00000000-0005-0000-0000-0000DDCD0000}"/>
    <cellStyle name="Normal 11 7 4 7 2 3" xfId="53116" xr:uid="{00000000-0005-0000-0000-0000DECD0000}"/>
    <cellStyle name="Normal 11 7 4 7 3" xfId="53117" xr:uid="{00000000-0005-0000-0000-0000DFCD0000}"/>
    <cellStyle name="Normal 11 7 4 7 3 2" xfId="53118" xr:uid="{00000000-0005-0000-0000-0000E0CD0000}"/>
    <cellStyle name="Normal 11 7 4 7 4" xfId="53119" xr:uid="{00000000-0005-0000-0000-0000E1CD0000}"/>
    <cellStyle name="Normal 11 7 4 8" xfId="53120" xr:uid="{00000000-0005-0000-0000-0000E2CD0000}"/>
    <cellStyle name="Normal 11 7 4 8 2" xfId="53121" xr:uid="{00000000-0005-0000-0000-0000E3CD0000}"/>
    <cellStyle name="Normal 11 7 4 8 2 2" xfId="53122" xr:uid="{00000000-0005-0000-0000-0000E4CD0000}"/>
    <cellStyle name="Normal 11 7 4 8 3" xfId="53123" xr:uid="{00000000-0005-0000-0000-0000E5CD0000}"/>
    <cellStyle name="Normal 11 7 4 9" xfId="53124" xr:uid="{00000000-0005-0000-0000-0000E6CD0000}"/>
    <cellStyle name="Normal 11 7 4 9 2" xfId="53125" xr:uid="{00000000-0005-0000-0000-0000E7CD0000}"/>
    <cellStyle name="Normal 11 7 5" xfId="1517" xr:uid="{00000000-0005-0000-0000-0000E8CD0000}"/>
    <cellStyle name="Normal 11 7 5 2" xfId="53127" xr:uid="{00000000-0005-0000-0000-0000E9CD0000}"/>
    <cellStyle name="Normal 11 7 5 2 2" xfId="53128" xr:uid="{00000000-0005-0000-0000-0000EACD0000}"/>
    <cellStyle name="Normal 11 7 5 2 2 2" xfId="53129" xr:uid="{00000000-0005-0000-0000-0000EBCD0000}"/>
    <cellStyle name="Normal 11 7 5 2 2 2 2" xfId="53130" xr:uid="{00000000-0005-0000-0000-0000ECCD0000}"/>
    <cellStyle name="Normal 11 7 5 2 2 3" xfId="53131" xr:uid="{00000000-0005-0000-0000-0000EDCD0000}"/>
    <cellStyle name="Normal 11 7 5 2 3" xfId="53132" xr:uid="{00000000-0005-0000-0000-0000EECD0000}"/>
    <cellStyle name="Normal 11 7 5 2 3 2" xfId="53133" xr:uid="{00000000-0005-0000-0000-0000EFCD0000}"/>
    <cellStyle name="Normal 11 7 5 2 4" xfId="53134" xr:uid="{00000000-0005-0000-0000-0000F0CD0000}"/>
    <cellStyle name="Normal 11 7 5 3" xfId="53135" xr:uid="{00000000-0005-0000-0000-0000F1CD0000}"/>
    <cellStyle name="Normal 11 7 5 3 2" xfId="53136" xr:uid="{00000000-0005-0000-0000-0000F2CD0000}"/>
    <cellStyle name="Normal 11 7 5 3 2 2" xfId="53137" xr:uid="{00000000-0005-0000-0000-0000F3CD0000}"/>
    <cellStyle name="Normal 11 7 5 3 2 2 2" xfId="53138" xr:uid="{00000000-0005-0000-0000-0000F4CD0000}"/>
    <cellStyle name="Normal 11 7 5 3 2 3" xfId="53139" xr:uid="{00000000-0005-0000-0000-0000F5CD0000}"/>
    <cellStyle name="Normal 11 7 5 3 3" xfId="53140" xr:uid="{00000000-0005-0000-0000-0000F6CD0000}"/>
    <cellStyle name="Normal 11 7 5 3 3 2" xfId="53141" xr:uid="{00000000-0005-0000-0000-0000F7CD0000}"/>
    <cellStyle name="Normal 11 7 5 3 4" xfId="53142" xr:uid="{00000000-0005-0000-0000-0000F8CD0000}"/>
    <cellStyle name="Normal 11 7 5 4" xfId="53143" xr:uid="{00000000-0005-0000-0000-0000F9CD0000}"/>
    <cellStyle name="Normal 11 7 5 4 2" xfId="53144" xr:uid="{00000000-0005-0000-0000-0000FACD0000}"/>
    <cellStyle name="Normal 11 7 5 4 2 2" xfId="53145" xr:uid="{00000000-0005-0000-0000-0000FBCD0000}"/>
    <cellStyle name="Normal 11 7 5 4 3" xfId="53146" xr:uid="{00000000-0005-0000-0000-0000FCCD0000}"/>
    <cellStyle name="Normal 11 7 5 5" xfId="53147" xr:uid="{00000000-0005-0000-0000-0000FDCD0000}"/>
    <cellStyle name="Normal 11 7 5 5 2" xfId="53148" xr:uid="{00000000-0005-0000-0000-0000FECD0000}"/>
    <cellStyle name="Normal 11 7 5 6" xfId="53149" xr:uid="{00000000-0005-0000-0000-0000FFCD0000}"/>
    <cellStyle name="Normal 11 7 5 7" xfId="53126" xr:uid="{00000000-0005-0000-0000-000000CE0000}"/>
    <cellStyle name="Normal 11 7 6" xfId="53150" xr:uid="{00000000-0005-0000-0000-000001CE0000}"/>
    <cellStyle name="Normal 11 7 6 2" xfId="53151" xr:uid="{00000000-0005-0000-0000-000002CE0000}"/>
    <cellStyle name="Normal 11 7 6 2 2" xfId="53152" xr:uid="{00000000-0005-0000-0000-000003CE0000}"/>
    <cellStyle name="Normal 11 7 6 2 2 2" xfId="53153" xr:uid="{00000000-0005-0000-0000-000004CE0000}"/>
    <cellStyle name="Normal 11 7 6 2 2 2 2" xfId="53154" xr:uid="{00000000-0005-0000-0000-000005CE0000}"/>
    <cellStyle name="Normal 11 7 6 2 2 3" xfId="53155" xr:uid="{00000000-0005-0000-0000-000006CE0000}"/>
    <cellStyle name="Normal 11 7 6 2 3" xfId="53156" xr:uid="{00000000-0005-0000-0000-000007CE0000}"/>
    <cellStyle name="Normal 11 7 6 2 3 2" xfId="53157" xr:uid="{00000000-0005-0000-0000-000008CE0000}"/>
    <cellStyle name="Normal 11 7 6 2 4" xfId="53158" xr:uid="{00000000-0005-0000-0000-000009CE0000}"/>
    <cellStyle name="Normal 11 7 6 3" xfId="53159" xr:uid="{00000000-0005-0000-0000-00000ACE0000}"/>
    <cellStyle name="Normal 11 7 6 3 2" xfId="53160" xr:uid="{00000000-0005-0000-0000-00000BCE0000}"/>
    <cellStyle name="Normal 11 7 6 3 2 2" xfId="53161" xr:uid="{00000000-0005-0000-0000-00000CCE0000}"/>
    <cellStyle name="Normal 11 7 6 3 3" xfId="53162" xr:uid="{00000000-0005-0000-0000-00000DCE0000}"/>
    <cellStyle name="Normal 11 7 6 4" xfId="53163" xr:uid="{00000000-0005-0000-0000-00000ECE0000}"/>
    <cellStyle name="Normal 11 7 6 4 2" xfId="53164" xr:uid="{00000000-0005-0000-0000-00000FCE0000}"/>
    <cellStyle name="Normal 11 7 6 5" xfId="53165" xr:uid="{00000000-0005-0000-0000-000010CE0000}"/>
    <cellStyle name="Normal 11 7 7" xfId="53166" xr:uid="{00000000-0005-0000-0000-000011CE0000}"/>
    <cellStyle name="Normal 11 7 7 2" xfId="53167" xr:uid="{00000000-0005-0000-0000-000012CE0000}"/>
    <cellStyle name="Normal 11 7 7 2 2" xfId="53168" xr:uid="{00000000-0005-0000-0000-000013CE0000}"/>
    <cellStyle name="Normal 11 7 7 2 2 2" xfId="53169" xr:uid="{00000000-0005-0000-0000-000014CE0000}"/>
    <cellStyle name="Normal 11 7 7 2 2 2 2" xfId="53170" xr:uid="{00000000-0005-0000-0000-000015CE0000}"/>
    <cellStyle name="Normal 11 7 7 2 2 3" xfId="53171" xr:uid="{00000000-0005-0000-0000-000016CE0000}"/>
    <cellStyle name="Normal 11 7 7 2 3" xfId="53172" xr:uid="{00000000-0005-0000-0000-000017CE0000}"/>
    <cellStyle name="Normal 11 7 7 2 3 2" xfId="53173" xr:uid="{00000000-0005-0000-0000-000018CE0000}"/>
    <cellStyle name="Normal 11 7 7 2 4" xfId="53174" xr:uid="{00000000-0005-0000-0000-000019CE0000}"/>
    <cellStyle name="Normal 11 7 7 3" xfId="53175" xr:uid="{00000000-0005-0000-0000-00001ACE0000}"/>
    <cellStyle name="Normal 11 7 7 3 2" xfId="53176" xr:uid="{00000000-0005-0000-0000-00001BCE0000}"/>
    <cellStyle name="Normal 11 7 7 3 2 2" xfId="53177" xr:uid="{00000000-0005-0000-0000-00001CCE0000}"/>
    <cellStyle name="Normal 11 7 7 3 3" xfId="53178" xr:uid="{00000000-0005-0000-0000-00001DCE0000}"/>
    <cellStyle name="Normal 11 7 7 4" xfId="53179" xr:uid="{00000000-0005-0000-0000-00001ECE0000}"/>
    <cellStyle name="Normal 11 7 7 4 2" xfId="53180" xr:uid="{00000000-0005-0000-0000-00001FCE0000}"/>
    <cellStyle name="Normal 11 7 7 5" xfId="53181" xr:uid="{00000000-0005-0000-0000-000020CE0000}"/>
    <cellStyle name="Normal 11 7 8" xfId="53182" xr:uid="{00000000-0005-0000-0000-000021CE0000}"/>
    <cellStyle name="Normal 11 7 8 2" xfId="53183" xr:uid="{00000000-0005-0000-0000-000022CE0000}"/>
    <cellStyle name="Normal 11 7 8 2 2" xfId="53184" xr:uid="{00000000-0005-0000-0000-000023CE0000}"/>
    <cellStyle name="Normal 11 7 8 2 2 2" xfId="53185" xr:uid="{00000000-0005-0000-0000-000024CE0000}"/>
    <cellStyle name="Normal 11 7 8 2 3" xfId="53186" xr:uid="{00000000-0005-0000-0000-000025CE0000}"/>
    <cellStyle name="Normal 11 7 8 3" xfId="53187" xr:uid="{00000000-0005-0000-0000-000026CE0000}"/>
    <cellStyle name="Normal 11 7 8 3 2" xfId="53188" xr:uid="{00000000-0005-0000-0000-000027CE0000}"/>
    <cellStyle name="Normal 11 7 8 4" xfId="53189" xr:uid="{00000000-0005-0000-0000-000028CE0000}"/>
    <cellStyle name="Normal 11 7 9" xfId="53190" xr:uid="{00000000-0005-0000-0000-000029CE0000}"/>
    <cellStyle name="Normal 11 7 9 2" xfId="53191" xr:uid="{00000000-0005-0000-0000-00002ACE0000}"/>
    <cellStyle name="Normal 11 7 9 2 2" xfId="53192" xr:uid="{00000000-0005-0000-0000-00002BCE0000}"/>
    <cellStyle name="Normal 11 7 9 2 2 2" xfId="53193" xr:uid="{00000000-0005-0000-0000-00002CCE0000}"/>
    <cellStyle name="Normal 11 7 9 2 3" xfId="53194" xr:uid="{00000000-0005-0000-0000-00002DCE0000}"/>
    <cellStyle name="Normal 11 7 9 3" xfId="53195" xr:uid="{00000000-0005-0000-0000-00002ECE0000}"/>
    <cellStyle name="Normal 11 7 9 3 2" xfId="53196" xr:uid="{00000000-0005-0000-0000-00002FCE0000}"/>
    <cellStyle name="Normal 11 7 9 4" xfId="53197" xr:uid="{00000000-0005-0000-0000-000030CE0000}"/>
    <cellStyle name="Normal 11 8" xfId="676" xr:uid="{00000000-0005-0000-0000-000031CE0000}"/>
    <cellStyle name="Normal 11 8 10" xfId="53199" xr:uid="{00000000-0005-0000-0000-000032CE0000}"/>
    <cellStyle name="Normal 11 8 10 2" xfId="53200" xr:uid="{00000000-0005-0000-0000-000033CE0000}"/>
    <cellStyle name="Normal 11 8 10 2 2" xfId="53201" xr:uid="{00000000-0005-0000-0000-000034CE0000}"/>
    <cellStyle name="Normal 11 8 10 3" xfId="53202" xr:uid="{00000000-0005-0000-0000-000035CE0000}"/>
    <cellStyle name="Normal 11 8 11" xfId="53203" xr:uid="{00000000-0005-0000-0000-000036CE0000}"/>
    <cellStyle name="Normal 11 8 11 2" xfId="53204" xr:uid="{00000000-0005-0000-0000-000037CE0000}"/>
    <cellStyle name="Normal 11 8 11 2 2" xfId="53205" xr:uid="{00000000-0005-0000-0000-000038CE0000}"/>
    <cellStyle name="Normal 11 8 11 3" xfId="53206" xr:uid="{00000000-0005-0000-0000-000039CE0000}"/>
    <cellStyle name="Normal 11 8 12" xfId="53207" xr:uid="{00000000-0005-0000-0000-00003ACE0000}"/>
    <cellStyle name="Normal 11 8 12 2" xfId="53208" xr:uid="{00000000-0005-0000-0000-00003BCE0000}"/>
    <cellStyle name="Normal 11 8 13" xfId="53209" xr:uid="{00000000-0005-0000-0000-00003CCE0000}"/>
    <cellStyle name="Normal 11 8 14" xfId="53210" xr:uid="{00000000-0005-0000-0000-00003DCE0000}"/>
    <cellStyle name="Normal 11 8 15" xfId="53198" xr:uid="{00000000-0005-0000-0000-00003ECE0000}"/>
    <cellStyle name="Normal 11 8 2" xfId="1118" xr:uid="{00000000-0005-0000-0000-00003FCE0000}"/>
    <cellStyle name="Normal 11 8 2 10" xfId="53212" xr:uid="{00000000-0005-0000-0000-000040CE0000}"/>
    <cellStyle name="Normal 11 8 2 11" xfId="53211" xr:uid="{00000000-0005-0000-0000-000041CE0000}"/>
    <cellStyle name="Normal 11 8 2 2" xfId="1847" xr:uid="{00000000-0005-0000-0000-000042CE0000}"/>
    <cellStyle name="Normal 11 8 2 2 2" xfId="53214" xr:uid="{00000000-0005-0000-0000-000043CE0000}"/>
    <cellStyle name="Normal 11 8 2 2 2 2" xfId="53215" xr:uid="{00000000-0005-0000-0000-000044CE0000}"/>
    <cellStyle name="Normal 11 8 2 2 2 2 2" xfId="53216" xr:uid="{00000000-0005-0000-0000-000045CE0000}"/>
    <cellStyle name="Normal 11 8 2 2 2 2 2 2" xfId="53217" xr:uid="{00000000-0005-0000-0000-000046CE0000}"/>
    <cellStyle name="Normal 11 8 2 2 2 2 3" xfId="53218" xr:uid="{00000000-0005-0000-0000-000047CE0000}"/>
    <cellStyle name="Normal 11 8 2 2 2 3" xfId="53219" xr:uid="{00000000-0005-0000-0000-000048CE0000}"/>
    <cellStyle name="Normal 11 8 2 2 2 3 2" xfId="53220" xr:uid="{00000000-0005-0000-0000-000049CE0000}"/>
    <cellStyle name="Normal 11 8 2 2 2 4" xfId="53221" xr:uid="{00000000-0005-0000-0000-00004ACE0000}"/>
    <cellStyle name="Normal 11 8 2 2 3" xfId="53222" xr:uid="{00000000-0005-0000-0000-00004BCE0000}"/>
    <cellStyle name="Normal 11 8 2 2 3 2" xfId="53223" xr:uid="{00000000-0005-0000-0000-00004CCE0000}"/>
    <cellStyle name="Normal 11 8 2 2 3 2 2" xfId="53224" xr:uid="{00000000-0005-0000-0000-00004DCE0000}"/>
    <cellStyle name="Normal 11 8 2 2 3 2 2 2" xfId="53225" xr:uid="{00000000-0005-0000-0000-00004ECE0000}"/>
    <cellStyle name="Normal 11 8 2 2 3 2 3" xfId="53226" xr:uid="{00000000-0005-0000-0000-00004FCE0000}"/>
    <cellStyle name="Normal 11 8 2 2 3 3" xfId="53227" xr:uid="{00000000-0005-0000-0000-000050CE0000}"/>
    <cellStyle name="Normal 11 8 2 2 3 3 2" xfId="53228" xr:uid="{00000000-0005-0000-0000-000051CE0000}"/>
    <cellStyle name="Normal 11 8 2 2 3 4" xfId="53229" xr:uid="{00000000-0005-0000-0000-000052CE0000}"/>
    <cellStyle name="Normal 11 8 2 2 4" xfId="53230" xr:uid="{00000000-0005-0000-0000-000053CE0000}"/>
    <cellStyle name="Normal 11 8 2 2 4 2" xfId="53231" xr:uid="{00000000-0005-0000-0000-000054CE0000}"/>
    <cellStyle name="Normal 11 8 2 2 4 2 2" xfId="53232" xr:uid="{00000000-0005-0000-0000-000055CE0000}"/>
    <cellStyle name="Normal 11 8 2 2 4 3" xfId="53233" xr:uid="{00000000-0005-0000-0000-000056CE0000}"/>
    <cellStyle name="Normal 11 8 2 2 5" xfId="53234" xr:uid="{00000000-0005-0000-0000-000057CE0000}"/>
    <cellStyle name="Normal 11 8 2 2 5 2" xfId="53235" xr:uid="{00000000-0005-0000-0000-000058CE0000}"/>
    <cellStyle name="Normal 11 8 2 2 6" xfId="53236" xr:uid="{00000000-0005-0000-0000-000059CE0000}"/>
    <cellStyle name="Normal 11 8 2 2 7" xfId="53213" xr:uid="{00000000-0005-0000-0000-00005ACE0000}"/>
    <cellStyle name="Normal 11 8 2 3" xfId="53237" xr:uid="{00000000-0005-0000-0000-00005BCE0000}"/>
    <cellStyle name="Normal 11 8 2 3 2" xfId="53238" xr:uid="{00000000-0005-0000-0000-00005CCE0000}"/>
    <cellStyle name="Normal 11 8 2 3 2 2" xfId="53239" xr:uid="{00000000-0005-0000-0000-00005DCE0000}"/>
    <cellStyle name="Normal 11 8 2 3 2 2 2" xfId="53240" xr:uid="{00000000-0005-0000-0000-00005ECE0000}"/>
    <cellStyle name="Normal 11 8 2 3 2 2 2 2" xfId="53241" xr:uid="{00000000-0005-0000-0000-00005FCE0000}"/>
    <cellStyle name="Normal 11 8 2 3 2 2 3" xfId="53242" xr:uid="{00000000-0005-0000-0000-000060CE0000}"/>
    <cellStyle name="Normal 11 8 2 3 2 3" xfId="53243" xr:uid="{00000000-0005-0000-0000-000061CE0000}"/>
    <cellStyle name="Normal 11 8 2 3 2 3 2" xfId="53244" xr:uid="{00000000-0005-0000-0000-000062CE0000}"/>
    <cellStyle name="Normal 11 8 2 3 2 4" xfId="53245" xr:uid="{00000000-0005-0000-0000-000063CE0000}"/>
    <cellStyle name="Normal 11 8 2 3 3" xfId="53246" xr:uid="{00000000-0005-0000-0000-000064CE0000}"/>
    <cellStyle name="Normal 11 8 2 3 3 2" xfId="53247" xr:uid="{00000000-0005-0000-0000-000065CE0000}"/>
    <cellStyle name="Normal 11 8 2 3 3 2 2" xfId="53248" xr:uid="{00000000-0005-0000-0000-000066CE0000}"/>
    <cellStyle name="Normal 11 8 2 3 3 3" xfId="53249" xr:uid="{00000000-0005-0000-0000-000067CE0000}"/>
    <cellStyle name="Normal 11 8 2 3 4" xfId="53250" xr:uid="{00000000-0005-0000-0000-000068CE0000}"/>
    <cellStyle name="Normal 11 8 2 3 4 2" xfId="53251" xr:uid="{00000000-0005-0000-0000-000069CE0000}"/>
    <cellStyle name="Normal 11 8 2 3 5" xfId="53252" xr:uid="{00000000-0005-0000-0000-00006ACE0000}"/>
    <cellStyle name="Normal 11 8 2 4" xfId="53253" xr:uid="{00000000-0005-0000-0000-00006BCE0000}"/>
    <cellStyle name="Normal 11 8 2 4 2" xfId="53254" xr:uid="{00000000-0005-0000-0000-00006CCE0000}"/>
    <cellStyle name="Normal 11 8 2 4 2 2" xfId="53255" xr:uid="{00000000-0005-0000-0000-00006DCE0000}"/>
    <cellStyle name="Normal 11 8 2 4 2 2 2" xfId="53256" xr:uid="{00000000-0005-0000-0000-00006ECE0000}"/>
    <cellStyle name="Normal 11 8 2 4 2 2 2 2" xfId="53257" xr:uid="{00000000-0005-0000-0000-00006FCE0000}"/>
    <cellStyle name="Normal 11 8 2 4 2 2 3" xfId="53258" xr:uid="{00000000-0005-0000-0000-000070CE0000}"/>
    <cellStyle name="Normal 11 8 2 4 2 3" xfId="53259" xr:uid="{00000000-0005-0000-0000-000071CE0000}"/>
    <cellStyle name="Normal 11 8 2 4 2 3 2" xfId="53260" xr:uid="{00000000-0005-0000-0000-000072CE0000}"/>
    <cellStyle name="Normal 11 8 2 4 2 4" xfId="53261" xr:uid="{00000000-0005-0000-0000-000073CE0000}"/>
    <cellStyle name="Normal 11 8 2 4 3" xfId="53262" xr:uid="{00000000-0005-0000-0000-000074CE0000}"/>
    <cellStyle name="Normal 11 8 2 4 3 2" xfId="53263" xr:uid="{00000000-0005-0000-0000-000075CE0000}"/>
    <cellStyle name="Normal 11 8 2 4 3 2 2" xfId="53264" xr:uid="{00000000-0005-0000-0000-000076CE0000}"/>
    <cellStyle name="Normal 11 8 2 4 3 3" xfId="53265" xr:uid="{00000000-0005-0000-0000-000077CE0000}"/>
    <cellStyle name="Normal 11 8 2 4 4" xfId="53266" xr:uid="{00000000-0005-0000-0000-000078CE0000}"/>
    <cellStyle name="Normal 11 8 2 4 4 2" xfId="53267" xr:uid="{00000000-0005-0000-0000-000079CE0000}"/>
    <cellStyle name="Normal 11 8 2 4 5" xfId="53268" xr:uid="{00000000-0005-0000-0000-00007ACE0000}"/>
    <cellStyle name="Normal 11 8 2 5" xfId="53269" xr:uid="{00000000-0005-0000-0000-00007BCE0000}"/>
    <cellStyle name="Normal 11 8 2 5 2" xfId="53270" xr:uid="{00000000-0005-0000-0000-00007CCE0000}"/>
    <cellStyle name="Normal 11 8 2 5 2 2" xfId="53271" xr:uid="{00000000-0005-0000-0000-00007DCE0000}"/>
    <cellStyle name="Normal 11 8 2 5 2 2 2" xfId="53272" xr:uid="{00000000-0005-0000-0000-00007ECE0000}"/>
    <cellStyle name="Normal 11 8 2 5 2 3" xfId="53273" xr:uid="{00000000-0005-0000-0000-00007FCE0000}"/>
    <cellStyle name="Normal 11 8 2 5 3" xfId="53274" xr:uid="{00000000-0005-0000-0000-000080CE0000}"/>
    <cellStyle name="Normal 11 8 2 5 3 2" xfId="53275" xr:uid="{00000000-0005-0000-0000-000081CE0000}"/>
    <cellStyle name="Normal 11 8 2 5 4" xfId="53276" xr:uid="{00000000-0005-0000-0000-000082CE0000}"/>
    <cellStyle name="Normal 11 8 2 6" xfId="53277" xr:uid="{00000000-0005-0000-0000-000083CE0000}"/>
    <cellStyle name="Normal 11 8 2 6 2" xfId="53278" xr:uid="{00000000-0005-0000-0000-000084CE0000}"/>
    <cellStyle name="Normal 11 8 2 6 2 2" xfId="53279" xr:uid="{00000000-0005-0000-0000-000085CE0000}"/>
    <cellStyle name="Normal 11 8 2 6 2 2 2" xfId="53280" xr:uid="{00000000-0005-0000-0000-000086CE0000}"/>
    <cellStyle name="Normal 11 8 2 6 2 3" xfId="53281" xr:uid="{00000000-0005-0000-0000-000087CE0000}"/>
    <cellStyle name="Normal 11 8 2 6 3" xfId="53282" xr:uid="{00000000-0005-0000-0000-000088CE0000}"/>
    <cellStyle name="Normal 11 8 2 6 3 2" xfId="53283" xr:uid="{00000000-0005-0000-0000-000089CE0000}"/>
    <cellStyle name="Normal 11 8 2 6 4" xfId="53284" xr:uid="{00000000-0005-0000-0000-00008ACE0000}"/>
    <cellStyle name="Normal 11 8 2 7" xfId="53285" xr:uid="{00000000-0005-0000-0000-00008BCE0000}"/>
    <cellStyle name="Normal 11 8 2 7 2" xfId="53286" xr:uid="{00000000-0005-0000-0000-00008CCE0000}"/>
    <cellStyle name="Normal 11 8 2 7 2 2" xfId="53287" xr:uid="{00000000-0005-0000-0000-00008DCE0000}"/>
    <cellStyle name="Normal 11 8 2 7 2 2 2" xfId="53288" xr:uid="{00000000-0005-0000-0000-00008ECE0000}"/>
    <cellStyle name="Normal 11 8 2 7 2 3" xfId="53289" xr:uid="{00000000-0005-0000-0000-00008FCE0000}"/>
    <cellStyle name="Normal 11 8 2 7 3" xfId="53290" xr:uid="{00000000-0005-0000-0000-000090CE0000}"/>
    <cellStyle name="Normal 11 8 2 7 3 2" xfId="53291" xr:uid="{00000000-0005-0000-0000-000091CE0000}"/>
    <cellStyle name="Normal 11 8 2 7 4" xfId="53292" xr:uid="{00000000-0005-0000-0000-000092CE0000}"/>
    <cellStyle name="Normal 11 8 2 8" xfId="53293" xr:uid="{00000000-0005-0000-0000-000093CE0000}"/>
    <cellStyle name="Normal 11 8 2 8 2" xfId="53294" xr:uid="{00000000-0005-0000-0000-000094CE0000}"/>
    <cellStyle name="Normal 11 8 2 8 2 2" xfId="53295" xr:uid="{00000000-0005-0000-0000-000095CE0000}"/>
    <cellStyle name="Normal 11 8 2 8 3" xfId="53296" xr:uid="{00000000-0005-0000-0000-000096CE0000}"/>
    <cellStyle name="Normal 11 8 2 9" xfId="53297" xr:uid="{00000000-0005-0000-0000-000097CE0000}"/>
    <cellStyle name="Normal 11 8 2 9 2" xfId="53298" xr:uid="{00000000-0005-0000-0000-000098CE0000}"/>
    <cellStyle name="Normal 11 8 3" xfId="1520" xr:uid="{00000000-0005-0000-0000-000099CE0000}"/>
    <cellStyle name="Normal 11 8 3 2" xfId="53300" xr:uid="{00000000-0005-0000-0000-00009ACE0000}"/>
    <cellStyle name="Normal 11 8 3 2 2" xfId="53301" xr:uid="{00000000-0005-0000-0000-00009BCE0000}"/>
    <cellStyle name="Normal 11 8 3 2 2 2" xfId="53302" xr:uid="{00000000-0005-0000-0000-00009CCE0000}"/>
    <cellStyle name="Normal 11 8 3 2 2 2 2" xfId="53303" xr:uid="{00000000-0005-0000-0000-00009DCE0000}"/>
    <cellStyle name="Normal 11 8 3 2 2 3" xfId="53304" xr:uid="{00000000-0005-0000-0000-00009ECE0000}"/>
    <cellStyle name="Normal 11 8 3 2 3" xfId="53305" xr:uid="{00000000-0005-0000-0000-00009FCE0000}"/>
    <cellStyle name="Normal 11 8 3 2 3 2" xfId="53306" xr:uid="{00000000-0005-0000-0000-0000A0CE0000}"/>
    <cellStyle name="Normal 11 8 3 2 4" xfId="53307" xr:uid="{00000000-0005-0000-0000-0000A1CE0000}"/>
    <cellStyle name="Normal 11 8 3 3" xfId="53308" xr:uid="{00000000-0005-0000-0000-0000A2CE0000}"/>
    <cellStyle name="Normal 11 8 3 3 2" xfId="53309" xr:uid="{00000000-0005-0000-0000-0000A3CE0000}"/>
    <cellStyle name="Normal 11 8 3 3 2 2" xfId="53310" xr:uid="{00000000-0005-0000-0000-0000A4CE0000}"/>
    <cellStyle name="Normal 11 8 3 3 2 2 2" xfId="53311" xr:uid="{00000000-0005-0000-0000-0000A5CE0000}"/>
    <cellStyle name="Normal 11 8 3 3 2 3" xfId="53312" xr:uid="{00000000-0005-0000-0000-0000A6CE0000}"/>
    <cellStyle name="Normal 11 8 3 3 3" xfId="53313" xr:uid="{00000000-0005-0000-0000-0000A7CE0000}"/>
    <cellStyle name="Normal 11 8 3 3 3 2" xfId="53314" xr:uid="{00000000-0005-0000-0000-0000A8CE0000}"/>
    <cellStyle name="Normal 11 8 3 3 4" xfId="53315" xr:uid="{00000000-0005-0000-0000-0000A9CE0000}"/>
    <cellStyle name="Normal 11 8 3 4" xfId="53316" xr:uid="{00000000-0005-0000-0000-0000AACE0000}"/>
    <cellStyle name="Normal 11 8 3 4 2" xfId="53317" xr:uid="{00000000-0005-0000-0000-0000ABCE0000}"/>
    <cellStyle name="Normal 11 8 3 4 2 2" xfId="53318" xr:uid="{00000000-0005-0000-0000-0000ACCE0000}"/>
    <cellStyle name="Normal 11 8 3 4 3" xfId="53319" xr:uid="{00000000-0005-0000-0000-0000ADCE0000}"/>
    <cellStyle name="Normal 11 8 3 5" xfId="53320" xr:uid="{00000000-0005-0000-0000-0000AECE0000}"/>
    <cellStyle name="Normal 11 8 3 5 2" xfId="53321" xr:uid="{00000000-0005-0000-0000-0000AFCE0000}"/>
    <cellStyle name="Normal 11 8 3 6" xfId="53322" xr:uid="{00000000-0005-0000-0000-0000B0CE0000}"/>
    <cellStyle name="Normal 11 8 3 7" xfId="53299" xr:uid="{00000000-0005-0000-0000-0000B1CE0000}"/>
    <cellStyle name="Normal 11 8 4" xfId="53323" xr:uid="{00000000-0005-0000-0000-0000B2CE0000}"/>
    <cellStyle name="Normal 11 8 4 2" xfId="53324" xr:uid="{00000000-0005-0000-0000-0000B3CE0000}"/>
    <cellStyle name="Normal 11 8 4 2 2" xfId="53325" xr:uid="{00000000-0005-0000-0000-0000B4CE0000}"/>
    <cellStyle name="Normal 11 8 4 2 2 2" xfId="53326" xr:uid="{00000000-0005-0000-0000-0000B5CE0000}"/>
    <cellStyle name="Normal 11 8 4 2 2 2 2" xfId="53327" xr:uid="{00000000-0005-0000-0000-0000B6CE0000}"/>
    <cellStyle name="Normal 11 8 4 2 2 3" xfId="53328" xr:uid="{00000000-0005-0000-0000-0000B7CE0000}"/>
    <cellStyle name="Normal 11 8 4 2 3" xfId="53329" xr:uid="{00000000-0005-0000-0000-0000B8CE0000}"/>
    <cellStyle name="Normal 11 8 4 2 3 2" xfId="53330" xr:uid="{00000000-0005-0000-0000-0000B9CE0000}"/>
    <cellStyle name="Normal 11 8 4 2 4" xfId="53331" xr:uid="{00000000-0005-0000-0000-0000BACE0000}"/>
    <cellStyle name="Normal 11 8 4 3" xfId="53332" xr:uid="{00000000-0005-0000-0000-0000BBCE0000}"/>
    <cellStyle name="Normal 11 8 4 3 2" xfId="53333" xr:uid="{00000000-0005-0000-0000-0000BCCE0000}"/>
    <cellStyle name="Normal 11 8 4 3 2 2" xfId="53334" xr:uid="{00000000-0005-0000-0000-0000BDCE0000}"/>
    <cellStyle name="Normal 11 8 4 3 3" xfId="53335" xr:uid="{00000000-0005-0000-0000-0000BECE0000}"/>
    <cellStyle name="Normal 11 8 4 4" xfId="53336" xr:uid="{00000000-0005-0000-0000-0000BFCE0000}"/>
    <cellStyle name="Normal 11 8 4 4 2" xfId="53337" xr:uid="{00000000-0005-0000-0000-0000C0CE0000}"/>
    <cellStyle name="Normal 11 8 4 5" xfId="53338" xr:uid="{00000000-0005-0000-0000-0000C1CE0000}"/>
    <cellStyle name="Normal 11 8 5" xfId="53339" xr:uid="{00000000-0005-0000-0000-0000C2CE0000}"/>
    <cellStyle name="Normal 11 8 5 2" xfId="53340" xr:uid="{00000000-0005-0000-0000-0000C3CE0000}"/>
    <cellStyle name="Normal 11 8 5 2 2" xfId="53341" xr:uid="{00000000-0005-0000-0000-0000C4CE0000}"/>
    <cellStyle name="Normal 11 8 5 2 2 2" xfId="53342" xr:uid="{00000000-0005-0000-0000-0000C5CE0000}"/>
    <cellStyle name="Normal 11 8 5 2 2 2 2" xfId="53343" xr:uid="{00000000-0005-0000-0000-0000C6CE0000}"/>
    <cellStyle name="Normal 11 8 5 2 2 3" xfId="53344" xr:uid="{00000000-0005-0000-0000-0000C7CE0000}"/>
    <cellStyle name="Normal 11 8 5 2 3" xfId="53345" xr:uid="{00000000-0005-0000-0000-0000C8CE0000}"/>
    <cellStyle name="Normal 11 8 5 2 3 2" xfId="53346" xr:uid="{00000000-0005-0000-0000-0000C9CE0000}"/>
    <cellStyle name="Normal 11 8 5 2 4" xfId="53347" xr:uid="{00000000-0005-0000-0000-0000CACE0000}"/>
    <cellStyle name="Normal 11 8 5 3" xfId="53348" xr:uid="{00000000-0005-0000-0000-0000CBCE0000}"/>
    <cellStyle name="Normal 11 8 5 3 2" xfId="53349" xr:uid="{00000000-0005-0000-0000-0000CCCE0000}"/>
    <cellStyle name="Normal 11 8 5 3 2 2" xfId="53350" xr:uid="{00000000-0005-0000-0000-0000CDCE0000}"/>
    <cellStyle name="Normal 11 8 5 3 3" xfId="53351" xr:uid="{00000000-0005-0000-0000-0000CECE0000}"/>
    <cellStyle name="Normal 11 8 5 4" xfId="53352" xr:uid="{00000000-0005-0000-0000-0000CFCE0000}"/>
    <cellStyle name="Normal 11 8 5 4 2" xfId="53353" xr:uid="{00000000-0005-0000-0000-0000D0CE0000}"/>
    <cellStyle name="Normal 11 8 5 5" xfId="53354" xr:uid="{00000000-0005-0000-0000-0000D1CE0000}"/>
    <cellStyle name="Normal 11 8 6" xfId="53355" xr:uid="{00000000-0005-0000-0000-0000D2CE0000}"/>
    <cellStyle name="Normal 11 8 6 2" xfId="53356" xr:uid="{00000000-0005-0000-0000-0000D3CE0000}"/>
    <cellStyle name="Normal 11 8 6 2 2" xfId="53357" xr:uid="{00000000-0005-0000-0000-0000D4CE0000}"/>
    <cellStyle name="Normal 11 8 6 2 2 2" xfId="53358" xr:uid="{00000000-0005-0000-0000-0000D5CE0000}"/>
    <cellStyle name="Normal 11 8 6 2 3" xfId="53359" xr:uid="{00000000-0005-0000-0000-0000D6CE0000}"/>
    <cellStyle name="Normal 11 8 6 3" xfId="53360" xr:uid="{00000000-0005-0000-0000-0000D7CE0000}"/>
    <cellStyle name="Normal 11 8 6 3 2" xfId="53361" xr:uid="{00000000-0005-0000-0000-0000D8CE0000}"/>
    <cellStyle name="Normal 11 8 6 4" xfId="53362" xr:uid="{00000000-0005-0000-0000-0000D9CE0000}"/>
    <cellStyle name="Normal 11 8 7" xfId="53363" xr:uid="{00000000-0005-0000-0000-0000DACE0000}"/>
    <cellStyle name="Normal 11 8 7 2" xfId="53364" xr:uid="{00000000-0005-0000-0000-0000DBCE0000}"/>
    <cellStyle name="Normal 11 8 7 2 2" xfId="53365" xr:uid="{00000000-0005-0000-0000-0000DCCE0000}"/>
    <cellStyle name="Normal 11 8 7 2 2 2" xfId="53366" xr:uid="{00000000-0005-0000-0000-0000DDCE0000}"/>
    <cellStyle name="Normal 11 8 7 2 3" xfId="53367" xr:uid="{00000000-0005-0000-0000-0000DECE0000}"/>
    <cellStyle name="Normal 11 8 7 3" xfId="53368" xr:uid="{00000000-0005-0000-0000-0000DFCE0000}"/>
    <cellStyle name="Normal 11 8 7 3 2" xfId="53369" xr:uid="{00000000-0005-0000-0000-0000E0CE0000}"/>
    <cellStyle name="Normal 11 8 7 4" xfId="53370" xr:uid="{00000000-0005-0000-0000-0000E1CE0000}"/>
    <cellStyle name="Normal 11 8 8" xfId="53371" xr:uid="{00000000-0005-0000-0000-0000E2CE0000}"/>
    <cellStyle name="Normal 11 8 8 2" xfId="53372" xr:uid="{00000000-0005-0000-0000-0000E3CE0000}"/>
    <cellStyle name="Normal 11 8 8 2 2" xfId="53373" xr:uid="{00000000-0005-0000-0000-0000E4CE0000}"/>
    <cellStyle name="Normal 11 8 8 2 2 2" xfId="53374" xr:uid="{00000000-0005-0000-0000-0000E5CE0000}"/>
    <cellStyle name="Normal 11 8 8 2 3" xfId="53375" xr:uid="{00000000-0005-0000-0000-0000E6CE0000}"/>
    <cellStyle name="Normal 11 8 8 3" xfId="53376" xr:uid="{00000000-0005-0000-0000-0000E7CE0000}"/>
    <cellStyle name="Normal 11 8 8 3 2" xfId="53377" xr:uid="{00000000-0005-0000-0000-0000E8CE0000}"/>
    <cellStyle name="Normal 11 8 8 4" xfId="53378" xr:uid="{00000000-0005-0000-0000-0000E9CE0000}"/>
    <cellStyle name="Normal 11 8 9" xfId="53379" xr:uid="{00000000-0005-0000-0000-0000EACE0000}"/>
    <cellStyle name="Normal 11 8 9 2" xfId="53380" xr:uid="{00000000-0005-0000-0000-0000EBCE0000}"/>
    <cellStyle name="Normal 11 8 9 2 2" xfId="53381" xr:uid="{00000000-0005-0000-0000-0000ECCE0000}"/>
    <cellStyle name="Normal 11 8 9 3" xfId="53382" xr:uid="{00000000-0005-0000-0000-0000EDCE0000}"/>
    <cellStyle name="Normal 11 9" xfId="677" xr:uid="{00000000-0005-0000-0000-0000EECE0000}"/>
    <cellStyle name="Normal 11 9 10" xfId="53384" xr:uid="{00000000-0005-0000-0000-0000EFCE0000}"/>
    <cellStyle name="Normal 11 9 10 2" xfId="53385" xr:uid="{00000000-0005-0000-0000-0000F0CE0000}"/>
    <cellStyle name="Normal 11 9 10 2 2" xfId="53386" xr:uid="{00000000-0005-0000-0000-0000F1CE0000}"/>
    <cellStyle name="Normal 11 9 10 3" xfId="53387" xr:uid="{00000000-0005-0000-0000-0000F2CE0000}"/>
    <cellStyle name="Normal 11 9 11" xfId="53388" xr:uid="{00000000-0005-0000-0000-0000F3CE0000}"/>
    <cellStyle name="Normal 11 9 11 2" xfId="53389" xr:uid="{00000000-0005-0000-0000-0000F4CE0000}"/>
    <cellStyle name="Normal 11 9 11 2 2" xfId="53390" xr:uid="{00000000-0005-0000-0000-0000F5CE0000}"/>
    <cellStyle name="Normal 11 9 11 3" xfId="53391" xr:uid="{00000000-0005-0000-0000-0000F6CE0000}"/>
    <cellStyle name="Normal 11 9 12" xfId="53392" xr:uid="{00000000-0005-0000-0000-0000F7CE0000}"/>
    <cellStyle name="Normal 11 9 12 2" xfId="53393" xr:uid="{00000000-0005-0000-0000-0000F8CE0000}"/>
    <cellStyle name="Normal 11 9 13" xfId="53394" xr:uid="{00000000-0005-0000-0000-0000F9CE0000}"/>
    <cellStyle name="Normal 11 9 14" xfId="53395" xr:uid="{00000000-0005-0000-0000-0000FACE0000}"/>
    <cellStyle name="Normal 11 9 15" xfId="53383" xr:uid="{00000000-0005-0000-0000-0000FBCE0000}"/>
    <cellStyle name="Normal 11 9 2" xfId="1119" xr:uid="{00000000-0005-0000-0000-0000FCCE0000}"/>
    <cellStyle name="Normal 11 9 2 10" xfId="53397" xr:uid="{00000000-0005-0000-0000-0000FDCE0000}"/>
    <cellStyle name="Normal 11 9 2 11" xfId="53396" xr:uid="{00000000-0005-0000-0000-0000FECE0000}"/>
    <cellStyle name="Normal 11 9 2 2" xfId="1848" xr:uid="{00000000-0005-0000-0000-0000FFCE0000}"/>
    <cellStyle name="Normal 11 9 2 2 2" xfId="53399" xr:uid="{00000000-0005-0000-0000-000000CF0000}"/>
    <cellStyle name="Normal 11 9 2 2 2 2" xfId="53400" xr:uid="{00000000-0005-0000-0000-000001CF0000}"/>
    <cellStyle name="Normal 11 9 2 2 2 2 2" xfId="53401" xr:uid="{00000000-0005-0000-0000-000002CF0000}"/>
    <cellStyle name="Normal 11 9 2 2 2 2 2 2" xfId="53402" xr:uid="{00000000-0005-0000-0000-000003CF0000}"/>
    <cellStyle name="Normal 11 9 2 2 2 2 3" xfId="53403" xr:uid="{00000000-0005-0000-0000-000004CF0000}"/>
    <cellStyle name="Normal 11 9 2 2 2 3" xfId="53404" xr:uid="{00000000-0005-0000-0000-000005CF0000}"/>
    <cellStyle name="Normal 11 9 2 2 2 3 2" xfId="53405" xr:uid="{00000000-0005-0000-0000-000006CF0000}"/>
    <cellStyle name="Normal 11 9 2 2 2 4" xfId="53406" xr:uid="{00000000-0005-0000-0000-000007CF0000}"/>
    <cellStyle name="Normal 11 9 2 2 3" xfId="53407" xr:uid="{00000000-0005-0000-0000-000008CF0000}"/>
    <cellStyle name="Normal 11 9 2 2 3 2" xfId="53408" xr:uid="{00000000-0005-0000-0000-000009CF0000}"/>
    <cellStyle name="Normal 11 9 2 2 3 2 2" xfId="53409" xr:uid="{00000000-0005-0000-0000-00000ACF0000}"/>
    <cellStyle name="Normal 11 9 2 2 3 2 2 2" xfId="53410" xr:uid="{00000000-0005-0000-0000-00000BCF0000}"/>
    <cellStyle name="Normal 11 9 2 2 3 2 3" xfId="53411" xr:uid="{00000000-0005-0000-0000-00000CCF0000}"/>
    <cellStyle name="Normal 11 9 2 2 3 3" xfId="53412" xr:uid="{00000000-0005-0000-0000-00000DCF0000}"/>
    <cellStyle name="Normal 11 9 2 2 3 3 2" xfId="53413" xr:uid="{00000000-0005-0000-0000-00000ECF0000}"/>
    <cellStyle name="Normal 11 9 2 2 3 4" xfId="53414" xr:uid="{00000000-0005-0000-0000-00000FCF0000}"/>
    <cellStyle name="Normal 11 9 2 2 4" xfId="53415" xr:uid="{00000000-0005-0000-0000-000010CF0000}"/>
    <cellStyle name="Normal 11 9 2 2 4 2" xfId="53416" xr:uid="{00000000-0005-0000-0000-000011CF0000}"/>
    <cellStyle name="Normal 11 9 2 2 4 2 2" xfId="53417" xr:uid="{00000000-0005-0000-0000-000012CF0000}"/>
    <cellStyle name="Normal 11 9 2 2 4 3" xfId="53418" xr:uid="{00000000-0005-0000-0000-000013CF0000}"/>
    <cellStyle name="Normal 11 9 2 2 5" xfId="53419" xr:uid="{00000000-0005-0000-0000-000014CF0000}"/>
    <cellStyle name="Normal 11 9 2 2 5 2" xfId="53420" xr:uid="{00000000-0005-0000-0000-000015CF0000}"/>
    <cellStyle name="Normal 11 9 2 2 6" xfId="53421" xr:uid="{00000000-0005-0000-0000-000016CF0000}"/>
    <cellStyle name="Normal 11 9 2 2 7" xfId="53398" xr:uid="{00000000-0005-0000-0000-000017CF0000}"/>
    <cellStyle name="Normal 11 9 2 3" xfId="53422" xr:uid="{00000000-0005-0000-0000-000018CF0000}"/>
    <cellStyle name="Normal 11 9 2 3 2" xfId="53423" xr:uid="{00000000-0005-0000-0000-000019CF0000}"/>
    <cellStyle name="Normal 11 9 2 3 2 2" xfId="53424" xr:uid="{00000000-0005-0000-0000-00001ACF0000}"/>
    <cellStyle name="Normal 11 9 2 3 2 2 2" xfId="53425" xr:uid="{00000000-0005-0000-0000-00001BCF0000}"/>
    <cellStyle name="Normal 11 9 2 3 2 2 2 2" xfId="53426" xr:uid="{00000000-0005-0000-0000-00001CCF0000}"/>
    <cellStyle name="Normal 11 9 2 3 2 2 3" xfId="53427" xr:uid="{00000000-0005-0000-0000-00001DCF0000}"/>
    <cellStyle name="Normal 11 9 2 3 2 3" xfId="53428" xr:uid="{00000000-0005-0000-0000-00001ECF0000}"/>
    <cellStyle name="Normal 11 9 2 3 2 3 2" xfId="53429" xr:uid="{00000000-0005-0000-0000-00001FCF0000}"/>
    <cellStyle name="Normal 11 9 2 3 2 4" xfId="53430" xr:uid="{00000000-0005-0000-0000-000020CF0000}"/>
    <cellStyle name="Normal 11 9 2 3 3" xfId="53431" xr:uid="{00000000-0005-0000-0000-000021CF0000}"/>
    <cellStyle name="Normal 11 9 2 3 3 2" xfId="53432" xr:uid="{00000000-0005-0000-0000-000022CF0000}"/>
    <cellStyle name="Normal 11 9 2 3 3 2 2" xfId="53433" xr:uid="{00000000-0005-0000-0000-000023CF0000}"/>
    <cellStyle name="Normal 11 9 2 3 3 3" xfId="53434" xr:uid="{00000000-0005-0000-0000-000024CF0000}"/>
    <cellStyle name="Normal 11 9 2 3 4" xfId="53435" xr:uid="{00000000-0005-0000-0000-000025CF0000}"/>
    <cellStyle name="Normal 11 9 2 3 4 2" xfId="53436" xr:uid="{00000000-0005-0000-0000-000026CF0000}"/>
    <cellStyle name="Normal 11 9 2 3 5" xfId="53437" xr:uid="{00000000-0005-0000-0000-000027CF0000}"/>
    <cellStyle name="Normal 11 9 2 4" xfId="53438" xr:uid="{00000000-0005-0000-0000-000028CF0000}"/>
    <cellStyle name="Normal 11 9 2 4 2" xfId="53439" xr:uid="{00000000-0005-0000-0000-000029CF0000}"/>
    <cellStyle name="Normal 11 9 2 4 2 2" xfId="53440" xr:uid="{00000000-0005-0000-0000-00002ACF0000}"/>
    <cellStyle name="Normal 11 9 2 4 2 2 2" xfId="53441" xr:uid="{00000000-0005-0000-0000-00002BCF0000}"/>
    <cellStyle name="Normal 11 9 2 4 2 2 2 2" xfId="53442" xr:uid="{00000000-0005-0000-0000-00002CCF0000}"/>
    <cellStyle name="Normal 11 9 2 4 2 2 3" xfId="53443" xr:uid="{00000000-0005-0000-0000-00002DCF0000}"/>
    <cellStyle name="Normal 11 9 2 4 2 3" xfId="53444" xr:uid="{00000000-0005-0000-0000-00002ECF0000}"/>
    <cellStyle name="Normal 11 9 2 4 2 3 2" xfId="53445" xr:uid="{00000000-0005-0000-0000-00002FCF0000}"/>
    <cellStyle name="Normal 11 9 2 4 2 4" xfId="53446" xr:uid="{00000000-0005-0000-0000-000030CF0000}"/>
    <cellStyle name="Normal 11 9 2 4 3" xfId="53447" xr:uid="{00000000-0005-0000-0000-000031CF0000}"/>
    <cellStyle name="Normal 11 9 2 4 3 2" xfId="53448" xr:uid="{00000000-0005-0000-0000-000032CF0000}"/>
    <cellStyle name="Normal 11 9 2 4 3 2 2" xfId="53449" xr:uid="{00000000-0005-0000-0000-000033CF0000}"/>
    <cellStyle name="Normal 11 9 2 4 3 3" xfId="53450" xr:uid="{00000000-0005-0000-0000-000034CF0000}"/>
    <cellStyle name="Normal 11 9 2 4 4" xfId="53451" xr:uid="{00000000-0005-0000-0000-000035CF0000}"/>
    <cellStyle name="Normal 11 9 2 4 4 2" xfId="53452" xr:uid="{00000000-0005-0000-0000-000036CF0000}"/>
    <cellStyle name="Normal 11 9 2 4 5" xfId="53453" xr:uid="{00000000-0005-0000-0000-000037CF0000}"/>
    <cellStyle name="Normal 11 9 2 5" xfId="53454" xr:uid="{00000000-0005-0000-0000-000038CF0000}"/>
    <cellStyle name="Normal 11 9 2 5 2" xfId="53455" xr:uid="{00000000-0005-0000-0000-000039CF0000}"/>
    <cellStyle name="Normal 11 9 2 5 2 2" xfId="53456" xr:uid="{00000000-0005-0000-0000-00003ACF0000}"/>
    <cellStyle name="Normal 11 9 2 5 2 2 2" xfId="53457" xr:uid="{00000000-0005-0000-0000-00003BCF0000}"/>
    <cellStyle name="Normal 11 9 2 5 2 3" xfId="53458" xr:uid="{00000000-0005-0000-0000-00003CCF0000}"/>
    <cellStyle name="Normal 11 9 2 5 3" xfId="53459" xr:uid="{00000000-0005-0000-0000-00003DCF0000}"/>
    <cellStyle name="Normal 11 9 2 5 3 2" xfId="53460" xr:uid="{00000000-0005-0000-0000-00003ECF0000}"/>
    <cellStyle name="Normal 11 9 2 5 4" xfId="53461" xr:uid="{00000000-0005-0000-0000-00003FCF0000}"/>
    <cellStyle name="Normal 11 9 2 6" xfId="53462" xr:uid="{00000000-0005-0000-0000-000040CF0000}"/>
    <cellStyle name="Normal 11 9 2 6 2" xfId="53463" xr:uid="{00000000-0005-0000-0000-000041CF0000}"/>
    <cellStyle name="Normal 11 9 2 6 2 2" xfId="53464" xr:uid="{00000000-0005-0000-0000-000042CF0000}"/>
    <cellStyle name="Normal 11 9 2 6 2 2 2" xfId="53465" xr:uid="{00000000-0005-0000-0000-000043CF0000}"/>
    <cellStyle name="Normal 11 9 2 6 2 3" xfId="53466" xr:uid="{00000000-0005-0000-0000-000044CF0000}"/>
    <cellStyle name="Normal 11 9 2 6 3" xfId="53467" xr:uid="{00000000-0005-0000-0000-000045CF0000}"/>
    <cellStyle name="Normal 11 9 2 6 3 2" xfId="53468" xr:uid="{00000000-0005-0000-0000-000046CF0000}"/>
    <cellStyle name="Normal 11 9 2 6 4" xfId="53469" xr:uid="{00000000-0005-0000-0000-000047CF0000}"/>
    <cellStyle name="Normal 11 9 2 7" xfId="53470" xr:uid="{00000000-0005-0000-0000-000048CF0000}"/>
    <cellStyle name="Normal 11 9 2 7 2" xfId="53471" xr:uid="{00000000-0005-0000-0000-000049CF0000}"/>
    <cellStyle name="Normal 11 9 2 7 2 2" xfId="53472" xr:uid="{00000000-0005-0000-0000-00004ACF0000}"/>
    <cellStyle name="Normal 11 9 2 7 2 2 2" xfId="53473" xr:uid="{00000000-0005-0000-0000-00004BCF0000}"/>
    <cellStyle name="Normal 11 9 2 7 2 3" xfId="53474" xr:uid="{00000000-0005-0000-0000-00004CCF0000}"/>
    <cellStyle name="Normal 11 9 2 7 3" xfId="53475" xr:uid="{00000000-0005-0000-0000-00004DCF0000}"/>
    <cellStyle name="Normal 11 9 2 7 3 2" xfId="53476" xr:uid="{00000000-0005-0000-0000-00004ECF0000}"/>
    <cellStyle name="Normal 11 9 2 7 4" xfId="53477" xr:uid="{00000000-0005-0000-0000-00004FCF0000}"/>
    <cellStyle name="Normal 11 9 2 8" xfId="53478" xr:uid="{00000000-0005-0000-0000-000050CF0000}"/>
    <cellStyle name="Normal 11 9 2 8 2" xfId="53479" xr:uid="{00000000-0005-0000-0000-000051CF0000}"/>
    <cellStyle name="Normal 11 9 2 8 2 2" xfId="53480" xr:uid="{00000000-0005-0000-0000-000052CF0000}"/>
    <cellStyle name="Normal 11 9 2 8 3" xfId="53481" xr:uid="{00000000-0005-0000-0000-000053CF0000}"/>
    <cellStyle name="Normal 11 9 2 9" xfId="53482" xr:uid="{00000000-0005-0000-0000-000054CF0000}"/>
    <cellStyle name="Normal 11 9 2 9 2" xfId="53483" xr:uid="{00000000-0005-0000-0000-000055CF0000}"/>
    <cellStyle name="Normal 11 9 3" xfId="1521" xr:uid="{00000000-0005-0000-0000-000056CF0000}"/>
    <cellStyle name="Normal 11 9 3 2" xfId="53485" xr:uid="{00000000-0005-0000-0000-000057CF0000}"/>
    <cellStyle name="Normal 11 9 3 2 2" xfId="53486" xr:uid="{00000000-0005-0000-0000-000058CF0000}"/>
    <cellStyle name="Normal 11 9 3 2 2 2" xfId="53487" xr:uid="{00000000-0005-0000-0000-000059CF0000}"/>
    <cellStyle name="Normal 11 9 3 2 2 2 2" xfId="53488" xr:uid="{00000000-0005-0000-0000-00005ACF0000}"/>
    <cellStyle name="Normal 11 9 3 2 2 3" xfId="53489" xr:uid="{00000000-0005-0000-0000-00005BCF0000}"/>
    <cellStyle name="Normal 11 9 3 2 3" xfId="53490" xr:uid="{00000000-0005-0000-0000-00005CCF0000}"/>
    <cellStyle name="Normal 11 9 3 2 3 2" xfId="53491" xr:uid="{00000000-0005-0000-0000-00005DCF0000}"/>
    <cellStyle name="Normal 11 9 3 2 4" xfId="53492" xr:uid="{00000000-0005-0000-0000-00005ECF0000}"/>
    <cellStyle name="Normal 11 9 3 3" xfId="53493" xr:uid="{00000000-0005-0000-0000-00005FCF0000}"/>
    <cellStyle name="Normal 11 9 3 3 2" xfId="53494" xr:uid="{00000000-0005-0000-0000-000060CF0000}"/>
    <cellStyle name="Normal 11 9 3 3 2 2" xfId="53495" xr:uid="{00000000-0005-0000-0000-000061CF0000}"/>
    <cellStyle name="Normal 11 9 3 3 2 2 2" xfId="53496" xr:uid="{00000000-0005-0000-0000-000062CF0000}"/>
    <cellStyle name="Normal 11 9 3 3 2 3" xfId="53497" xr:uid="{00000000-0005-0000-0000-000063CF0000}"/>
    <cellStyle name="Normal 11 9 3 3 3" xfId="53498" xr:uid="{00000000-0005-0000-0000-000064CF0000}"/>
    <cellStyle name="Normal 11 9 3 3 3 2" xfId="53499" xr:uid="{00000000-0005-0000-0000-000065CF0000}"/>
    <cellStyle name="Normal 11 9 3 3 4" xfId="53500" xr:uid="{00000000-0005-0000-0000-000066CF0000}"/>
    <cellStyle name="Normal 11 9 3 4" xfId="53501" xr:uid="{00000000-0005-0000-0000-000067CF0000}"/>
    <cellStyle name="Normal 11 9 3 4 2" xfId="53502" xr:uid="{00000000-0005-0000-0000-000068CF0000}"/>
    <cellStyle name="Normal 11 9 3 4 2 2" xfId="53503" xr:uid="{00000000-0005-0000-0000-000069CF0000}"/>
    <cellStyle name="Normal 11 9 3 4 3" xfId="53504" xr:uid="{00000000-0005-0000-0000-00006ACF0000}"/>
    <cellStyle name="Normal 11 9 3 5" xfId="53505" xr:uid="{00000000-0005-0000-0000-00006BCF0000}"/>
    <cellStyle name="Normal 11 9 3 5 2" xfId="53506" xr:uid="{00000000-0005-0000-0000-00006CCF0000}"/>
    <cellStyle name="Normal 11 9 3 6" xfId="53507" xr:uid="{00000000-0005-0000-0000-00006DCF0000}"/>
    <cellStyle name="Normal 11 9 3 7" xfId="53484" xr:uid="{00000000-0005-0000-0000-00006ECF0000}"/>
    <cellStyle name="Normal 11 9 4" xfId="53508" xr:uid="{00000000-0005-0000-0000-00006FCF0000}"/>
    <cellStyle name="Normal 11 9 4 2" xfId="53509" xr:uid="{00000000-0005-0000-0000-000070CF0000}"/>
    <cellStyle name="Normal 11 9 4 2 2" xfId="53510" xr:uid="{00000000-0005-0000-0000-000071CF0000}"/>
    <cellStyle name="Normal 11 9 4 2 2 2" xfId="53511" xr:uid="{00000000-0005-0000-0000-000072CF0000}"/>
    <cellStyle name="Normal 11 9 4 2 2 2 2" xfId="53512" xr:uid="{00000000-0005-0000-0000-000073CF0000}"/>
    <cellStyle name="Normal 11 9 4 2 2 3" xfId="53513" xr:uid="{00000000-0005-0000-0000-000074CF0000}"/>
    <cellStyle name="Normal 11 9 4 2 3" xfId="53514" xr:uid="{00000000-0005-0000-0000-000075CF0000}"/>
    <cellStyle name="Normal 11 9 4 2 3 2" xfId="53515" xr:uid="{00000000-0005-0000-0000-000076CF0000}"/>
    <cellStyle name="Normal 11 9 4 2 4" xfId="53516" xr:uid="{00000000-0005-0000-0000-000077CF0000}"/>
    <cellStyle name="Normal 11 9 4 3" xfId="53517" xr:uid="{00000000-0005-0000-0000-000078CF0000}"/>
    <cellStyle name="Normal 11 9 4 3 2" xfId="53518" xr:uid="{00000000-0005-0000-0000-000079CF0000}"/>
    <cellStyle name="Normal 11 9 4 3 2 2" xfId="53519" xr:uid="{00000000-0005-0000-0000-00007ACF0000}"/>
    <cellStyle name="Normal 11 9 4 3 3" xfId="53520" xr:uid="{00000000-0005-0000-0000-00007BCF0000}"/>
    <cellStyle name="Normal 11 9 4 4" xfId="53521" xr:uid="{00000000-0005-0000-0000-00007CCF0000}"/>
    <cellStyle name="Normal 11 9 4 4 2" xfId="53522" xr:uid="{00000000-0005-0000-0000-00007DCF0000}"/>
    <cellStyle name="Normal 11 9 4 5" xfId="53523" xr:uid="{00000000-0005-0000-0000-00007ECF0000}"/>
    <cellStyle name="Normal 11 9 5" xfId="53524" xr:uid="{00000000-0005-0000-0000-00007FCF0000}"/>
    <cellStyle name="Normal 11 9 5 2" xfId="53525" xr:uid="{00000000-0005-0000-0000-000080CF0000}"/>
    <cellStyle name="Normal 11 9 5 2 2" xfId="53526" xr:uid="{00000000-0005-0000-0000-000081CF0000}"/>
    <cellStyle name="Normal 11 9 5 2 2 2" xfId="53527" xr:uid="{00000000-0005-0000-0000-000082CF0000}"/>
    <cellStyle name="Normal 11 9 5 2 2 2 2" xfId="53528" xr:uid="{00000000-0005-0000-0000-000083CF0000}"/>
    <cellStyle name="Normal 11 9 5 2 2 3" xfId="53529" xr:uid="{00000000-0005-0000-0000-000084CF0000}"/>
    <cellStyle name="Normal 11 9 5 2 3" xfId="53530" xr:uid="{00000000-0005-0000-0000-000085CF0000}"/>
    <cellStyle name="Normal 11 9 5 2 3 2" xfId="53531" xr:uid="{00000000-0005-0000-0000-000086CF0000}"/>
    <cellStyle name="Normal 11 9 5 2 4" xfId="53532" xr:uid="{00000000-0005-0000-0000-000087CF0000}"/>
    <cellStyle name="Normal 11 9 5 3" xfId="53533" xr:uid="{00000000-0005-0000-0000-000088CF0000}"/>
    <cellStyle name="Normal 11 9 5 3 2" xfId="53534" xr:uid="{00000000-0005-0000-0000-000089CF0000}"/>
    <cellStyle name="Normal 11 9 5 3 2 2" xfId="53535" xr:uid="{00000000-0005-0000-0000-00008ACF0000}"/>
    <cellStyle name="Normal 11 9 5 3 3" xfId="53536" xr:uid="{00000000-0005-0000-0000-00008BCF0000}"/>
    <cellStyle name="Normal 11 9 5 4" xfId="53537" xr:uid="{00000000-0005-0000-0000-00008CCF0000}"/>
    <cellStyle name="Normal 11 9 5 4 2" xfId="53538" xr:uid="{00000000-0005-0000-0000-00008DCF0000}"/>
    <cellStyle name="Normal 11 9 5 5" xfId="53539" xr:uid="{00000000-0005-0000-0000-00008ECF0000}"/>
    <cellStyle name="Normal 11 9 6" xfId="53540" xr:uid="{00000000-0005-0000-0000-00008FCF0000}"/>
    <cellStyle name="Normal 11 9 6 2" xfId="53541" xr:uid="{00000000-0005-0000-0000-000090CF0000}"/>
    <cellStyle name="Normal 11 9 6 2 2" xfId="53542" xr:uid="{00000000-0005-0000-0000-000091CF0000}"/>
    <cellStyle name="Normal 11 9 6 2 2 2" xfId="53543" xr:uid="{00000000-0005-0000-0000-000092CF0000}"/>
    <cellStyle name="Normal 11 9 6 2 3" xfId="53544" xr:uid="{00000000-0005-0000-0000-000093CF0000}"/>
    <cellStyle name="Normal 11 9 6 3" xfId="53545" xr:uid="{00000000-0005-0000-0000-000094CF0000}"/>
    <cellStyle name="Normal 11 9 6 3 2" xfId="53546" xr:uid="{00000000-0005-0000-0000-000095CF0000}"/>
    <cellStyle name="Normal 11 9 6 4" xfId="53547" xr:uid="{00000000-0005-0000-0000-000096CF0000}"/>
    <cellStyle name="Normal 11 9 7" xfId="53548" xr:uid="{00000000-0005-0000-0000-000097CF0000}"/>
    <cellStyle name="Normal 11 9 7 2" xfId="53549" xr:uid="{00000000-0005-0000-0000-000098CF0000}"/>
    <cellStyle name="Normal 11 9 7 2 2" xfId="53550" xr:uid="{00000000-0005-0000-0000-000099CF0000}"/>
    <cellStyle name="Normal 11 9 7 2 2 2" xfId="53551" xr:uid="{00000000-0005-0000-0000-00009ACF0000}"/>
    <cellStyle name="Normal 11 9 7 2 3" xfId="53552" xr:uid="{00000000-0005-0000-0000-00009BCF0000}"/>
    <cellStyle name="Normal 11 9 7 3" xfId="53553" xr:uid="{00000000-0005-0000-0000-00009CCF0000}"/>
    <cellStyle name="Normal 11 9 7 3 2" xfId="53554" xr:uid="{00000000-0005-0000-0000-00009DCF0000}"/>
    <cellStyle name="Normal 11 9 7 4" xfId="53555" xr:uid="{00000000-0005-0000-0000-00009ECF0000}"/>
    <cellStyle name="Normal 11 9 8" xfId="53556" xr:uid="{00000000-0005-0000-0000-00009FCF0000}"/>
    <cellStyle name="Normal 11 9 8 2" xfId="53557" xr:uid="{00000000-0005-0000-0000-0000A0CF0000}"/>
    <cellStyle name="Normal 11 9 8 2 2" xfId="53558" xr:uid="{00000000-0005-0000-0000-0000A1CF0000}"/>
    <cellStyle name="Normal 11 9 8 2 2 2" xfId="53559" xr:uid="{00000000-0005-0000-0000-0000A2CF0000}"/>
    <cellStyle name="Normal 11 9 8 2 3" xfId="53560" xr:uid="{00000000-0005-0000-0000-0000A3CF0000}"/>
    <cellStyle name="Normal 11 9 8 3" xfId="53561" xr:uid="{00000000-0005-0000-0000-0000A4CF0000}"/>
    <cellStyle name="Normal 11 9 8 3 2" xfId="53562" xr:uid="{00000000-0005-0000-0000-0000A5CF0000}"/>
    <cellStyle name="Normal 11 9 8 4" xfId="53563" xr:uid="{00000000-0005-0000-0000-0000A6CF0000}"/>
    <cellStyle name="Normal 11 9 9" xfId="53564" xr:uid="{00000000-0005-0000-0000-0000A7CF0000}"/>
    <cellStyle name="Normal 11 9 9 2" xfId="53565" xr:uid="{00000000-0005-0000-0000-0000A8CF0000}"/>
    <cellStyle name="Normal 11 9 9 2 2" xfId="53566" xr:uid="{00000000-0005-0000-0000-0000A9CF0000}"/>
    <cellStyle name="Normal 11 9 9 3" xfId="53567" xr:uid="{00000000-0005-0000-0000-0000AACF0000}"/>
    <cellStyle name="Normal 12" xfId="678" xr:uid="{00000000-0005-0000-0000-0000ABCF0000}"/>
    <cellStyle name="Normal 12 2" xfId="1120" xr:uid="{00000000-0005-0000-0000-0000ACCF0000}"/>
    <cellStyle name="Normal 12 2 2" xfId="1925" xr:uid="{00000000-0005-0000-0000-0000ADCF0000}"/>
    <cellStyle name="Normal 12 3" xfId="53568" xr:uid="{00000000-0005-0000-0000-0000AECF0000}"/>
    <cellStyle name="Normal 12 4" xfId="53569" xr:uid="{00000000-0005-0000-0000-0000AFCF0000}"/>
    <cellStyle name="Normal 13" xfId="679" xr:uid="{00000000-0005-0000-0000-0000B0CF0000}"/>
    <cellStyle name="Normal 13 2" xfId="1121" xr:uid="{00000000-0005-0000-0000-0000B1CF0000}"/>
    <cellStyle name="Normal 13 3" xfId="53570" xr:uid="{00000000-0005-0000-0000-0000B2CF0000}"/>
    <cellStyle name="Normal 13 4" xfId="53571" xr:uid="{00000000-0005-0000-0000-0000B3CF0000}"/>
    <cellStyle name="Normal 14" xfId="680" xr:uid="{00000000-0005-0000-0000-0000B4CF0000}"/>
    <cellStyle name="Normal 14 10" xfId="53573" xr:uid="{00000000-0005-0000-0000-0000B5CF0000}"/>
    <cellStyle name="Normal 14 10 2" xfId="53574" xr:uid="{00000000-0005-0000-0000-0000B6CF0000}"/>
    <cellStyle name="Normal 14 10 2 2" xfId="53575" xr:uid="{00000000-0005-0000-0000-0000B7CF0000}"/>
    <cellStyle name="Normal 14 10 2 2 2" xfId="53576" xr:uid="{00000000-0005-0000-0000-0000B8CF0000}"/>
    <cellStyle name="Normal 14 10 2 3" xfId="53577" xr:uid="{00000000-0005-0000-0000-0000B9CF0000}"/>
    <cellStyle name="Normal 14 10 3" xfId="53578" xr:uid="{00000000-0005-0000-0000-0000BACF0000}"/>
    <cellStyle name="Normal 14 10 3 2" xfId="53579" xr:uid="{00000000-0005-0000-0000-0000BBCF0000}"/>
    <cellStyle name="Normal 14 10 4" xfId="53580" xr:uid="{00000000-0005-0000-0000-0000BCCF0000}"/>
    <cellStyle name="Normal 14 11" xfId="53581" xr:uid="{00000000-0005-0000-0000-0000BDCF0000}"/>
    <cellStyle name="Normal 14 11 2" xfId="53582" xr:uid="{00000000-0005-0000-0000-0000BECF0000}"/>
    <cellStyle name="Normal 14 11 2 2" xfId="53583" xr:uid="{00000000-0005-0000-0000-0000BFCF0000}"/>
    <cellStyle name="Normal 14 11 2 2 2" xfId="53584" xr:uid="{00000000-0005-0000-0000-0000C0CF0000}"/>
    <cellStyle name="Normal 14 11 2 3" xfId="53585" xr:uid="{00000000-0005-0000-0000-0000C1CF0000}"/>
    <cellStyle name="Normal 14 11 3" xfId="53586" xr:uid="{00000000-0005-0000-0000-0000C2CF0000}"/>
    <cellStyle name="Normal 14 11 3 2" xfId="53587" xr:uid="{00000000-0005-0000-0000-0000C3CF0000}"/>
    <cellStyle name="Normal 14 11 4" xfId="53588" xr:uid="{00000000-0005-0000-0000-0000C4CF0000}"/>
    <cellStyle name="Normal 14 12" xfId="53589" xr:uid="{00000000-0005-0000-0000-0000C5CF0000}"/>
    <cellStyle name="Normal 14 12 2" xfId="53590" xr:uid="{00000000-0005-0000-0000-0000C6CF0000}"/>
    <cellStyle name="Normal 14 12 2 2" xfId="53591" xr:uid="{00000000-0005-0000-0000-0000C7CF0000}"/>
    <cellStyle name="Normal 14 12 3" xfId="53592" xr:uid="{00000000-0005-0000-0000-0000C8CF0000}"/>
    <cellStyle name="Normal 14 13" xfId="53593" xr:uid="{00000000-0005-0000-0000-0000C9CF0000}"/>
    <cellStyle name="Normal 14 13 2" xfId="53594" xr:uid="{00000000-0005-0000-0000-0000CACF0000}"/>
    <cellStyle name="Normal 14 13 2 2" xfId="53595" xr:uid="{00000000-0005-0000-0000-0000CBCF0000}"/>
    <cellStyle name="Normal 14 13 3" xfId="53596" xr:uid="{00000000-0005-0000-0000-0000CCCF0000}"/>
    <cellStyle name="Normal 14 14" xfId="53597" xr:uid="{00000000-0005-0000-0000-0000CDCF0000}"/>
    <cellStyle name="Normal 14 14 2" xfId="53598" xr:uid="{00000000-0005-0000-0000-0000CECF0000}"/>
    <cellStyle name="Normal 14 14 2 2" xfId="53599" xr:uid="{00000000-0005-0000-0000-0000CFCF0000}"/>
    <cellStyle name="Normal 14 14 3" xfId="53600" xr:uid="{00000000-0005-0000-0000-0000D0CF0000}"/>
    <cellStyle name="Normal 14 15" xfId="53601" xr:uid="{00000000-0005-0000-0000-0000D1CF0000}"/>
    <cellStyle name="Normal 14 15 2" xfId="53602" xr:uid="{00000000-0005-0000-0000-0000D2CF0000}"/>
    <cellStyle name="Normal 14 16" xfId="53603" xr:uid="{00000000-0005-0000-0000-0000D3CF0000}"/>
    <cellStyle name="Normal 14 17" xfId="53604" xr:uid="{00000000-0005-0000-0000-0000D4CF0000}"/>
    <cellStyle name="Normal 14 18" xfId="53572" xr:uid="{00000000-0005-0000-0000-0000D5CF0000}"/>
    <cellStyle name="Normal 14 2" xfId="681" xr:uid="{00000000-0005-0000-0000-0000D6CF0000}"/>
    <cellStyle name="Normal 14 2 10" xfId="53606" xr:uid="{00000000-0005-0000-0000-0000D7CF0000}"/>
    <cellStyle name="Normal 14 2 10 2" xfId="53607" xr:uid="{00000000-0005-0000-0000-0000D8CF0000}"/>
    <cellStyle name="Normal 14 2 10 2 2" xfId="53608" xr:uid="{00000000-0005-0000-0000-0000D9CF0000}"/>
    <cellStyle name="Normal 14 2 10 2 2 2" xfId="53609" xr:uid="{00000000-0005-0000-0000-0000DACF0000}"/>
    <cellStyle name="Normal 14 2 10 2 3" xfId="53610" xr:uid="{00000000-0005-0000-0000-0000DBCF0000}"/>
    <cellStyle name="Normal 14 2 10 3" xfId="53611" xr:uid="{00000000-0005-0000-0000-0000DCCF0000}"/>
    <cellStyle name="Normal 14 2 10 3 2" xfId="53612" xr:uid="{00000000-0005-0000-0000-0000DDCF0000}"/>
    <cellStyle name="Normal 14 2 10 4" xfId="53613" xr:uid="{00000000-0005-0000-0000-0000DECF0000}"/>
    <cellStyle name="Normal 14 2 11" xfId="53614" xr:uid="{00000000-0005-0000-0000-0000DFCF0000}"/>
    <cellStyle name="Normal 14 2 11 2" xfId="53615" xr:uid="{00000000-0005-0000-0000-0000E0CF0000}"/>
    <cellStyle name="Normal 14 2 11 2 2" xfId="53616" xr:uid="{00000000-0005-0000-0000-0000E1CF0000}"/>
    <cellStyle name="Normal 14 2 11 3" xfId="53617" xr:uid="{00000000-0005-0000-0000-0000E2CF0000}"/>
    <cellStyle name="Normal 14 2 12" xfId="53618" xr:uid="{00000000-0005-0000-0000-0000E3CF0000}"/>
    <cellStyle name="Normal 14 2 12 2" xfId="53619" xr:uid="{00000000-0005-0000-0000-0000E4CF0000}"/>
    <cellStyle name="Normal 14 2 12 2 2" xfId="53620" xr:uid="{00000000-0005-0000-0000-0000E5CF0000}"/>
    <cellStyle name="Normal 14 2 12 3" xfId="53621" xr:uid="{00000000-0005-0000-0000-0000E6CF0000}"/>
    <cellStyle name="Normal 14 2 13" xfId="53622" xr:uid="{00000000-0005-0000-0000-0000E7CF0000}"/>
    <cellStyle name="Normal 14 2 13 2" xfId="53623" xr:uid="{00000000-0005-0000-0000-0000E8CF0000}"/>
    <cellStyle name="Normal 14 2 13 2 2" xfId="53624" xr:uid="{00000000-0005-0000-0000-0000E9CF0000}"/>
    <cellStyle name="Normal 14 2 13 3" xfId="53625" xr:uid="{00000000-0005-0000-0000-0000EACF0000}"/>
    <cellStyle name="Normal 14 2 14" xfId="53626" xr:uid="{00000000-0005-0000-0000-0000EBCF0000}"/>
    <cellStyle name="Normal 14 2 14 2" xfId="53627" xr:uid="{00000000-0005-0000-0000-0000ECCF0000}"/>
    <cellStyle name="Normal 14 2 15" xfId="53628" xr:uid="{00000000-0005-0000-0000-0000EDCF0000}"/>
    <cellStyle name="Normal 14 2 16" xfId="53629" xr:uid="{00000000-0005-0000-0000-0000EECF0000}"/>
    <cellStyle name="Normal 14 2 17" xfId="53605" xr:uid="{00000000-0005-0000-0000-0000EFCF0000}"/>
    <cellStyle name="Normal 14 2 2" xfId="682" xr:uid="{00000000-0005-0000-0000-0000F0CF0000}"/>
    <cellStyle name="Normal 14 2 2 10" xfId="53631" xr:uid="{00000000-0005-0000-0000-0000F1CF0000}"/>
    <cellStyle name="Normal 14 2 2 10 2" xfId="53632" xr:uid="{00000000-0005-0000-0000-0000F2CF0000}"/>
    <cellStyle name="Normal 14 2 2 10 2 2" xfId="53633" xr:uid="{00000000-0005-0000-0000-0000F3CF0000}"/>
    <cellStyle name="Normal 14 2 2 10 3" xfId="53634" xr:uid="{00000000-0005-0000-0000-0000F4CF0000}"/>
    <cellStyle name="Normal 14 2 2 11" xfId="53635" xr:uid="{00000000-0005-0000-0000-0000F5CF0000}"/>
    <cellStyle name="Normal 14 2 2 11 2" xfId="53636" xr:uid="{00000000-0005-0000-0000-0000F6CF0000}"/>
    <cellStyle name="Normal 14 2 2 11 2 2" xfId="53637" xr:uid="{00000000-0005-0000-0000-0000F7CF0000}"/>
    <cellStyle name="Normal 14 2 2 11 3" xfId="53638" xr:uid="{00000000-0005-0000-0000-0000F8CF0000}"/>
    <cellStyle name="Normal 14 2 2 12" xfId="53639" xr:uid="{00000000-0005-0000-0000-0000F9CF0000}"/>
    <cellStyle name="Normal 14 2 2 12 2" xfId="53640" xr:uid="{00000000-0005-0000-0000-0000FACF0000}"/>
    <cellStyle name="Normal 14 2 2 13" xfId="53641" xr:uid="{00000000-0005-0000-0000-0000FBCF0000}"/>
    <cellStyle name="Normal 14 2 2 14" xfId="53642" xr:uid="{00000000-0005-0000-0000-0000FCCF0000}"/>
    <cellStyle name="Normal 14 2 2 15" xfId="53630" xr:uid="{00000000-0005-0000-0000-0000FDCF0000}"/>
    <cellStyle name="Normal 14 2 2 2" xfId="1124" xr:uid="{00000000-0005-0000-0000-0000FECF0000}"/>
    <cellStyle name="Normal 14 2 2 2 10" xfId="53644" xr:uid="{00000000-0005-0000-0000-0000FFCF0000}"/>
    <cellStyle name="Normal 14 2 2 2 11" xfId="53643" xr:uid="{00000000-0005-0000-0000-000000D00000}"/>
    <cellStyle name="Normal 14 2 2 2 2" xfId="1851" xr:uid="{00000000-0005-0000-0000-000001D00000}"/>
    <cellStyle name="Normal 14 2 2 2 2 2" xfId="53646" xr:uid="{00000000-0005-0000-0000-000002D00000}"/>
    <cellStyle name="Normal 14 2 2 2 2 2 2" xfId="53647" xr:uid="{00000000-0005-0000-0000-000003D00000}"/>
    <cellStyle name="Normal 14 2 2 2 2 2 2 2" xfId="53648" xr:uid="{00000000-0005-0000-0000-000004D00000}"/>
    <cellStyle name="Normal 14 2 2 2 2 2 2 2 2" xfId="53649" xr:uid="{00000000-0005-0000-0000-000005D00000}"/>
    <cellStyle name="Normal 14 2 2 2 2 2 2 3" xfId="53650" xr:uid="{00000000-0005-0000-0000-000006D00000}"/>
    <cellStyle name="Normal 14 2 2 2 2 2 3" xfId="53651" xr:uid="{00000000-0005-0000-0000-000007D00000}"/>
    <cellStyle name="Normal 14 2 2 2 2 2 3 2" xfId="53652" xr:uid="{00000000-0005-0000-0000-000008D00000}"/>
    <cellStyle name="Normal 14 2 2 2 2 2 4" xfId="53653" xr:uid="{00000000-0005-0000-0000-000009D00000}"/>
    <cellStyle name="Normal 14 2 2 2 2 3" xfId="53654" xr:uid="{00000000-0005-0000-0000-00000AD00000}"/>
    <cellStyle name="Normal 14 2 2 2 2 3 2" xfId="53655" xr:uid="{00000000-0005-0000-0000-00000BD00000}"/>
    <cellStyle name="Normal 14 2 2 2 2 3 2 2" xfId="53656" xr:uid="{00000000-0005-0000-0000-00000CD00000}"/>
    <cellStyle name="Normal 14 2 2 2 2 3 2 2 2" xfId="53657" xr:uid="{00000000-0005-0000-0000-00000DD00000}"/>
    <cellStyle name="Normal 14 2 2 2 2 3 2 3" xfId="53658" xr:uid="{00000000-0005-0000-0000-00000ED00000}"/>
    <cellStyle name="Normal 14 2 2 2 2 3 3" xfId="53659" xr:uid="{00000000-0005-0000-0000-00000FD00000}"/>
    <cellStyle name="Normal 14 2 2 2 2 3 3 2" xfId="53660" xr:uid="{00000000-0005-0000-0000-000010D00000}"/>
    <cellStyle name="Normal 14 2 2 2 2 3 4" xfId="53661" xr:uid="{00000000-0005-0000-0000-000011D00000}"/>
    <cellStyle name="Normal 14 2 2 2 2 4" xfId="53662" xr:uid="{00000000-0005-0000-0000-000012D00000}"/>
    <cellStyle name="Normal 14 2 2 2 2 4 2" xfId="53663" xr:uid="{00000000-0005-0000-0000-000013D00000}"/>
    <cellStyle name="Normal 14 2 2 2 2 4 2 2" xfId="53664" xr:uid="{00000000-0005-0000-0000-000014D00000}"/>
    <cellStyle name="Normal 14 2 2 2 2 4 3" xfId="53665" xr:uid="{00000000-0005-0000-0000-000015D00000}"/>
    <cellStyle name="Normal 14 2 2 2 2 5" xfId="53666" xr:uid="{00000000-0005-0000-0000-000016D00000}"/>
    <cellStyle name="Normal 14 2 2 2 2 5 2" xfId="53667" xr:uid="{00000000-0005-0000-0000-000017D00000}"/>
    <cellStyle name="Normal 14 2 2 2 2 6" xfId="53668" xr:uid="{00000000-0005-0000-0000-000018D00000}"/>
    <cellStyle name="Normal 14 2 2 2 2 7" xfId="53645" xr:uid="{00000000-0005-0000-0000-000019D00000}"/>
    <cellStyle name="Normal 14 2 2 2 3" xfId="53669" xr:uid="{00000000-0005-0000-0000-00001AD00000}"/>
    <cellStyle name="Normal 14 2 2 2 3 2" xfId="53670" xr:uid="{00000000-0005-0000-0000-00001BD00000}"/>
    <cellStyle name="Normal 14 2 2 2 3 2 2" xfId="53671" xr:uid="{00000000-0005-0000-0000-00001CD00000}"/>
    <cellStyle name="Normal 14 2 2 2 3 2 2 2" xfId="53672" xr:uid="{00000000-0005-0000-0000-00001DD00000}"/>
    <cellStyle name="Normal 14 2 2 2 3 2 2 2 2" xfId="53673" xr:uid="{00000000-0005-0000-0000-00001ED00000}"/>
    <cellStyle name="Normal 14 2 2 2 3 2 2 3" xfId="53674" xr:uid="{00000000-0005-0000-0000-00001FD00000}"/>
    <cellStyle name="Normal 14 2 2 2 3 2 3" xfId="53675" xr:uid="{00000000-0005-0000-0000-000020D00000}"/>
    <cellStyle name="Normal 14 2 2 2 3 2 3 2" xfId="53676" xr:uid="{00000000-0005-0000-0000-000021D00000}"/>
    <cellStyle name="Normal 14 2 2 2 3 2 4" xfId="53677" xr:uid="{00000000-0005-0000-0000-000022D00000}"/>
    <cellStyle name="Normal 14 2 2 2 3 3" xfId="53678" xr:uid="{00000000-0005-0000-0000-000023D00000}"/>
    <cellStyle name="Normal 14 2 2 2 3 3 2" xfId="53679" xr:uid="{00000000-0005-0000-0000-000024D00000}"/>
    <cellStyle name="Normal 14 2 2 2 3 3 2 2" xfId="53680" xr:uid="{00000000-0005-0000-0000-000025D00000}"/>
    <cellStyle name="Normal 14 2 2 2 3 3 3" xfId="53681" xr:uid="{00000000-0005-0000-0000-000026D00000}"/>
    <cellStyle name="Normal 14 2 2 2 3 4" xfId="53682" xr:uid="{00000000-0005-0000-0000-000027D00000}"/>
    <cellStyle name="Normal 14 2 2 2 3 4 2" xfId="53683" xr:uid="{00000000-0005-0000-0000-000028D00000}"/>
    <cellStyle name="Normal 14 2 2 2 3 5" xfId="53684" xr:uid="{00000000-0005-0000-0000-000029D00000}"/>
    <cellStyle name="Normal 14 2 2 2 4" xfId="53685" xr:uid="{00000000-0005-0000-0000-00002AD00000}"/>
    <cellStyle name="Normal 14 2 2 2 4 2" xfId="53686" xr:uid="{00000000-0005-0000-0000-00002BD00000}"/>
    <cellStyle name="Normal 14 2 2 2 4 2 2" xfId="53687" xr:uid="{00000000-0005-0000-0000-00002CD00000}"/>
    <cellStyle name="Normal 14 2 2 2 4 2 2 2" xfId="53688" xr:uid="{00000000-0005-0000-0000-00002DD00000}"/>
    <cellStyle name="Normal 14 2 2 2 4 2 2 2 2" xfId="53689" xr:uid="{00000000-0005-0000-0000-00002ED00000}"/>
    <cellStyle name="Normal 14 2 2 2 4 2 2 3" xfId="53690" xr:uid="{00000000-0005-0000-0000-00002FD00000}"/>
    <cellStyle name="Normal 14 2 2 2 4 2 3" xfId="53691" xr:uid="{00000000-0005-0000-0000-000030D00000}"/>
    <cellStyle name="Normal 14 2 2 2 4 2 3 2" xfId="53692" xr:uid="{00000000-0005-0000-0000-000031D00000}"/>
    <cellStyle name="Normal 14 2 2 2 4 2 4" xfId="53693" xr:uid="{00000000-0005-0000-0000-000032D00000}"/>
    <cellStyle name="Normal 14 2 2 2 4 3" xfId="53694" xr:uid="{00000000-0005-0000-0000-000033D00000}"/>
    <cellStyle name="Normal 14 2 2 2 4 3 2" xfId="53695" xr:uid="{00000000-0005-0000-0000-000034D00000}"/>
    <cellStyle name="Normal 14 2 2 2 4 3 2 2" xfId="53696" xr:uid="{00000000-0005-0000-0000-000035D00000}"/>
    <cellStyle name="Normal 14 2 2 2 4 3 3" xfId="53697" xr:uid="{00000000-0005-0000-0000-000036D00000}"/>
    <cellStyle name="Normal 14 2 2 2 4 4" xfId="53698" xr:uid="{00000000-0005-0000-0000-000037D00000}"/>
    <cellStyle name="Normal 14 2 2 2 4 4 2" xfId="53699" xr:uid="{00000000-0005-0000-0000-000038D00000}"/>
    <cellStyle name="Normal 14 2 2 2 4 5" xfId="53700" xr:uid="{00000000-0005-0000-0000-000039D00000}"/>
    <cellStyle name="Normal 14 2 2 2 5" xfId="53701" xr:uid="{00000000-0005-0000-0000-00003AD00000}"/>
    <cellStyle name="Normal 14 2 2 2 5 2" xfId="53702" xr:uid="{00000000-0005-0000-0000-00003BD00000}"/>
    <cellStyle name="Normal 14 2 2 2 5 2 2" xfId="53703" xr:uid="{00000000-0005-0000-0000-00003CD00000}"/>
    <cellStyle name="Normal 14 2 2 2 5 2 2 2" xfId="53704" xr:uid="{00000000-0005-0000-0000-00003DD00000}"/>
    <cellStyle name="Normal 14 2 2 2 5 2 3" xfId="53705" xr:uid="{00000000-0005-0000-0000-00003ED00000}"/>
    <cellStyle name="Normal 14 2 2 2 5 3" xfId="53706" xr:uid="{00000000-0005-0000-0000-00003FD00000}"/>
    <cellStyle name="Normal 14 2 2 2 5 3 2" xfId="53707" xr:uid="{00000000-0005-0000-0000-000040D00000}"/>
    <cellStyle name="Normal 14 2 2 2 5 4" xfId="53708" xr:uid="{00000000-0005-0000-0000-000041D00000}"/>
    <cellStyle name="Normal 14 2 2 2 6" xfId="53709" xr:uid="{00000000-0005-0000-0000-000042D00000}"/>
    <cellStyle name="Normal 14 2 2 2 6 2" xfId="53710" xr:uid="{00000000-0005-0000-0000-000043D00000}"/>
    <cellStyle name="Normal 14 2 2 2 6 2 2" xfId="53711" xr:uid="{00000000-0005-0000-0000-000044D00000}"/>
    <cellStyle name="Normal 14 2 2 2 6 2 2 2" xfId="53712" xr:uid="{00000000-0005-0000-0000-000045D00000}"/>
    <cellStyle name="Normal 14 2 2 2 6 2 3" xfId="53713" xr:uid="{00000000-0005-0000-0000-000046D00000}"/>
    <cellStyle name="Normal 14 2 2 2 6 3" xfId="53714" xr:uid="{00000000-0005-0000-0000-000047D00000}"/>
    <cellStyle name="Normal 14 2 2 2 6 3 2" xfId="53715" xr:uid="{00000000-0005-0000-0000-000048D00000}"/>
    <cellStyle name="Normal 14 2 2 2 6 4" xfId="53716" xr:uid="{00000000-0005-0000-0000-000049D00000}"/>
    <cellStyle name="Normal 14 2 2 2 7" xfId="53717" xr:uid="{00000000-0005-0000-0000-00004AD00000}"/>
    <cellStyle name="Normal 14 2 2 2 7 2" xfId="53718" xr:uid="{00000000-0005-0000-0000-00004BD00000}"/>
    <cellStyle name="Normal 14 2 2 2 7 2 2" xfId="53719" xr:uid="{00000000-0005-0000-0000-00004CD00000}"/>
    <cellStyle name="Normal 14 2 2 2 7 2 2 2" xfId="53720" xr:uid="{00000000-0005-0000-0000-00004DD00000}"/>
    <cellStyle name="Normal 14 2 2 2 7 2 3" xfId="53721" xr:uid="{00000000-0005-0000-0000-00004ED00000}"/>
    <cellStyle name="Normal 14 2 2 2 7 3" xfId="53722" xr:uid="{00000000-0005-0000-0000-00004FD00000}"/>
    <cellStyle name="Normal 14 2 2 2 7 3 2" xfId="53723" xr:uid="{00000000-0005-0000-0000-000050D00000}"/>
    <cellStyle name="Normal 14 2 2 2 7 4" xfId="53724" xr:uid="{00000000-0005-0000-0000-000051D00000}"/>
    <cellStyle name="Normal 14 2 2 2 8" xfId="53725" xr:uid="{00000000-0005-0000-0000-000052D00000}"/>
    <cellStyle name="Normal 14 2 2 2 8 2" xfId="53726" xr:uid="{00000000-0005-0000-0000-000053D00000}"/>
    <cellStyle name="Normal 14 2 2 2 8 2 2" xfId="53727" xr:uid="{00000000-0005-0000-0000-000054D00000}"/>
    <cellStyle name="Normal 14 2 2 2 8 3" xfId="53728" xr:uid="{00000000-0005-0000-0000-000055D00000}"/>
    <cellStyle name="Normal 14 2 2 2 9" xfId="53729" xr:uid="{00000000-0005-0000-0000-000056D00000}"/>
    <cellStyle name="Normal 14 2 2 2 9 2" xfId="53730" xr:uid="{00000000-0005-0000-0000-000057D00000}"/>
    <cellStyle name="Normal 14 2 2 3" xfId="1524" xr:uid="{00000000-0005-0000-0000-000058D00000}"/>
    <cellStyle name="Normal 14 2 2 3 2" xfId="53732" xr:uid="{00000000-0005-0000-0000-000059D00000}"/>
    <cellStyle name="Normal 14 2 2 3 2 2" xfId="53733" xr:uid="{00000000-0005-0000-0000-00005AD00000}"/>
    <cellStyle name="Normal 14 2 2 3 2 2 2" xfId="53734" xr:uid="{00000000-0005-0000-0000-00005BD00000}"/>
    <cellStyle name="Normal 14 2 2 3 2 2 2 2" xfId="53735" xr:uid="{00000000-0005-0000-0000-00005CD00000}"/>
    <cellStyle name="Normal 14 2 2 3 2 2 3" xfId="53736" xr:uid="{00000000-0005-0000-0000-00005DD00000}"/>
    <cellStyle name="Normal 14 2 2 3 2 3" xfId="53737" xr:uid="{00000000-0005-0000-0000-00005ED00000}"/>
    <cellStyle name="Normal 14 2 2 3 2 3 2" xfId="53738" xr:uid="{00000000-0005-0000-0000-00005FD00000}"/>
    <cellStyle name="Normal 14 2 2 3 2 4" xfId="53739" xr:uid="{00000000-0005-0000-0000-000060D00000}"/>
    <cellStyle name="Normal 14 2 2 3 3" xfId="53740" xr:uid="{00000000-0005-0000-0000-000061D00000}"/>
    <cellStyle name="Normal 14 2 2 3 3 2" xfId="53741" xr:uid="{00000000-0005-0000-0000-000062D00000}"/>
    <cellStyle name="Normal 14 2 2 3 3 2 2" xfId="53742" xr:uid="{00000000-0005-0000-0000-000063D00000}"/>
    <cellStyle name="Normal 14 2 2 3 3 2 2 2" xfId="53743" xr:uid="{00000000-0005-0000-0000-000064D00000}"/>
    <cellStyle name="Normal 14 2 2 3 3 2 3" xfId="53744" xr:uid="{00000000-0005-0000-0000-000065D00000}"/>
    <cellStyle name="Normal 14 2 2 3 3 3" xfId="53745" xr:uid="{00000000-0005-0000-0000-000066D00000}"/>
    <cellStyle name="Normal 14 2 2 3 3 3 2" xfId="53746" xr:uid="{00000000-0005-0000-0000-000067D00000}"/>
    <cellStyle name="Normal 14 2 2 3 3 4" xfId="53747" xr:uid="{00000000-0005-0000-0000-000068D00000}"/>
    <cellStyle name="Normal 14 2 2 3 4" xfId="53748" xr:uid="{00000000-0005-0000-0000-000069D00000}"/>
    <cellStyle name="Normal 14 2 2 3 4 2" xfId="53749" xr:uid="{00000000-0005-0000-0000-00006AD00000}"/>
    <cellStyle name="Normal 14 2 2 3 4 2 2" xfId="53750" xr:uid="{00000000-0005-0000-0000-00006BD00000}"/>
    <cellStyle name="Normal 14 2 2 3 4 3" xfId="53751" xr:uid="{00000000-0005-0000-0000-00006CD00000}"/>
    <cellStyle name="Normal 14 2 2 3 5" xfId="53752" xr:uid="{00000000-0005-0000-0000-00006DD00000}"/>
    <cellStyle name="Normal 14 2 2 3 5 2" xfId="53753" xr:uid="{00000000-0005-0000-0000-00006ED00000}"/>
    <cellStyle name="Normal 14 2 2 3 6" xfId="53754" xr:uid="{00000000-0005-0000-0000-00006FD00000}"/>
    <cellStyle name="Normal 14 2 2 3 7" xfId="53731" xr:uid="{00000000-0005-0000-0000-000070D00000}"/>
    <cellStyle name="Normal 14 2 2 4" xfId="53755" xr:uid="{00000000-0005-0000-0000-000071D00000}"/>
    <cellStyle name="Normal 14 2 2 4 2" xfId="53756" xr:uid="{00000000-0005-0000-0000-000072D00000}"/>
    <cellStyle name="Normal 14 2 2 4 2 2" xfId="53757" xr:uid="{00000000-0005-0000-0000-000073D00000}"/>
    <cellStyle name="Normal 14 2 2 4 2 2 2" xfId="53758" xr:uid="{00000000-0005-0000-0000-000074D00000}"/>
    <cellStyle name="Normal 14 2 2 4 2 2 2 2" xfId="53759" xr:uid="{00000000-0005-0000-0000-000075D00000}"/>
    <cellStyle name="Normal 14 2 2 4 2 2 3" xfId="53760" xr:uid="{00000000-0005-0000-0000-000076D00000}"/>
    <cellStyle name="Normal 14 2 2 4 2 3" xfId="53761" xr:uid="{00000000-0005-0000-0000-000077D00000}"/>
    <cellStyle name="Normal 14 2 2 4 2 3 2" xfId="53762" xr:uid="{00000000-0005-0000-0000-000078D00000}"/>
    <cellStyle name="Normal 14 2 2 4 2 4" xfId="53763" xr:uid="{00000000-0005-0000-0000-000079D00000}"/>
    <cellStyle name="Normal 14 2 2 4 3" xfId="53764" xr:uid="{00000000-0005-0000-0000-00007AD00000}"/>
    <cellStyle name="Normal 14 2 2 4 3 2" xfId="53765" xr:uid="{00000000-0005-0000-0000-00007BD00000}"/>
    <cellStyle name="Normal 14 2 2 4 3 2 2" xfId="53766" xr:uid="{00000000-0005-0000-0000-00007CD00000}"/>
    <cellStyle name="Normal 14 2 2 4 3 3" xfId="53767" xr:uid="{00000000-0005-0000-0000-00007DD00000}"/>
    <cellStyle name="Normal 14 2 2 4 4" xfId="53768" xr:uid="{00000000-0005-0000-0000-00007ED00000}"/>
    <cellStyle name="Normal 14 2 2 4 4 2" xfId="53769" xr:uid="{00000000-0005-0000-0000-00007FD00000}"/>
    <cellStyle name="Normal 14 2 2 4 5" xfId="53770" xr:uid="{00000000-0005-0000-0000-000080D00000}"/>
    <cellStyle name="Normal 14 2 2 5" xfId="53771" xr:uid="{00000000-0005-0000-0000-000081D00000}"/>
    <cellStyle name="Normal 14 2 2 5 2" xfId="53772" xr:uid="{00000000-0005-0000-0000-000082D00000}"/>
    <cellStyle name="Normal 14 2 2 5 2 2" xfId="53773" xr:uid="{00000000-0005-0000-0000-000083D00000}"/>
    <cellStyle name="Normal 14 2 2 5 2 2 2" xfId="53774" xr:uid="{00000000-0005-0000-0000-000084D00000}"/>
    <cellStyle name="Normal 14 2 2 5 2 2 2 2" xfId="53775" xr:uid="{00000000-0005-0000-0000-000085D00000}"/>
    <cellStyle name="Normal 14 2 2 5 2 2 3" xfId="53776" xr:uid="{00000000-0005-0000-0000-000086D00000}"/>
    <cellStyle name="Normal 14 2 2 5 2 3" xfId="53777" xr:uid="{00000000-0005-0000-0000-000087D00000}"/>
    <cellStyle name="Normal 14 2 2 5 2 3 2" xfId="53778" xr:uid="{00000000-0005-0000-0000-000088D00000}"/>
    <cellStyle name="Normal 14 2 2 5 2 4" xfId="53779" xr:uid="{00000000-0005-0000-0000-000089D00000}"/>
    <cellStyle name="Normal 14 2 2 5 3" xfId="53780" xr:uid="{00000000-0005-0000-0000-00008AD00000}"/>
    <cellStyle name="Normal 14 2 2 5 3 2" xfId="53781" xr:uid="{00000000-0005-0000-0000-00008BD00000}"/>
    <cellStyle name="Normal 14 2 2 5 3 2 2" xfId="53782" xr:uid="{00000000-0005-0000-0000-00008CD00000}"/>
    <cellStyle name="Normal 14 2 2 5 3 3" xfId="53783" xr:uid="{00000000-0005-0000-0000-00008DD00000}"/>
    <cellStyle name="Normal 14 2 2 5 4" xfId="53784" xr:uid="{00000000-0005-0000-0000-00008ED00000}"/>
    <cellStyle name="Normal 14 2 2 5 4 2" xfId="53785" xr:uid="{00000000-0005-0000-0000-00008FD00000}"/>
    <cellStyle name="Normal 14 2 2 5 5" xfId="53786" xr:uid="{00000000-0005-0000-0000-000090D00000}"/>
    <cellStyle name="Normal 14 2 2 6" xfId="53787" xr:uid="{00000000-0005-0000-0000-000091D00000}"/>
    <cellStyle name="Normal 14 2 2 6 2" xfId="53788" xr:uid="{00000000-0005-0000-0000-000092D00000}"/>
    <cellStyle name="Normal 14 2 2 6 2 2" xfId="53789" xr:uid="{00000000-0005-0000-0000-000093D00000}"/>
    <cellStyle name="Normal 14 2 2 6 2 2 2" xfId="53790" xr:uid="{00000000-0005-0000-0000-000094D00000}"/>
    <cellStyle name="Normal 14 2 2 6 2 3" xfId="53791" xr:uid="{00000000-0005-0000-0000-000095D00000}"/>
    <cellStyle name="Normal 14 2 2 6 3" xfId="53792" xr:uid="{00000000-0005-0000-0000-000096D00000}"/>
    <cellStyle name="Normal 14 2 2 6 3 2" xfId="53793" xr:uid="{00000000-0005-0000-0000-000097D00000}"/>
    <cellStyle name="Normal 14 2 2 6 4" xfId="53794" xr:uid="{00000000-0005-0000-0000-000098D00000}"/>
    <cellStyle name="Normal 14 2 2 7" xfId="53795" xr:uid="{00000000-0005-0000-0000-000099D00000}"/>
    <cellStyle name="Normal 14 2 2 7 2" xfId="53796" xr:uid="{00000000-0005-0000-0000-00009AD00000}"/>
    <cellStyle name="Normal 14 2 2 7 2 2" xfId="53797" xr:uid="{00000000-0005-0000-0000-00009BD00000}"/>
    <cellStyle name="Normal 14 2 2 7 2 2 2" xfId="53798" xr:uid="{00000000-0005-0000-0000-00009CD00000}"/>
    <cellStyle name="Normal 14 2 2 7 2 3" xfId="53799" xr:uid="{00000000-0005-0000-0000-00009DD00000}"/>
    <cellStyle name="Normal 14 2 2 7 3" xfId="53800" xr:uid="{00000000-0005-0000-0000-00009ED00000}"/>
    <cellStyle name="Normal 14 2 2 7 3 2" xfId="53801" xr:uid="{00000000-0005-0000-0000-00009FD00000}"/>
    <cellStyle name="Normal 14 2 2 7 4" xfId="53802" xr:uid="{00000000-0005-0000-0000-0000A0D00000}"/>
    <cellStyle name="Normal 14 2 2 8" xfId="53803" xr:uid="{00000000-0005-0000-0000-0000A1D00000}"/>
    <cellStyle name="Normal 14 2 2 8 2" xfId="53804" xr:uid="{00000000-0005-0000-0000-0000A2D00000}"/>
    <cellStyle name="Normal 14 2 2 8 2 2" xfId="53805" xr:uid="{00000000-0005-0000-0000-0000A3D00000}"/>
    <cellStyle name="Normal 14 2 2 8 2 2 2" xfId="53806" xr:uid="{00000000-0005-0000-0000-0000A4D00000}"/>
    <cellStyle name="Normal 14 2 2 8 2 3" xfId="53807" xr:uid="{00000000-0005-0000-0000-0000A5D00000}"/>
    <cellStyle name="Normal 14 2 2 8 3" xfId="53808" xr:uid="{00000000-0005-0000-0000-0000A6D00000}"/>
    <cellStyle name="Normal 14 2 2 8 3 2" xfId="53809" xr:uid="{00000000-0005-0000-0000-0000A7D00000}"/>
    <cellStyle name="Normal 14 2 2 8 4" xfId="53810" xr:uid="{00000000-0005-0000-0000-0000A8D00000}"/>
    <cellStyle name="Normal 14 2 2 9" xfId="53811" xr:uid="{00000000-0005-0000-0000-0000A9D00000}"/>
    <cellStyle name="Normal 14 2 2 9 2" xfId="53812" xr:uid="{00000000-0005-0000-0000-0000AAD00000}"/>
    <cellStyle name="Normal 14 2 2 9 2 2" xfId="53813" xr:uid="{00000000-0005-0000-0000-0000ABD00000}"/>
    <cellStyle name="Normal 14 2 2 9 3" xfId="53814" xr:uid="{00000000-0005-0000-0000-0000ACD00000}"/>
    <cellStyle name="Normal 14 2 3" xfId="683" xr:uid="{00000000-0005-0000-0000-0000ADD00000}"/>
    <cellStyle name="Normal 14 2 3 10" xfId="53816" xr:uid="{00000000-0005-0000-0000-0000AED00000}"/>
    <cellStyle name="Normal 14 2 3 10 2" xfId="53817" xr:uid="{00000000-0005-0000-0000-0000AFD00000}"/>
    <cellStyle name="Normal 14 2 3 10 2 2" xfId="53818" xr:uid="{00000000-0005-0000-0000-0000B0D00000}"/>
    <cellStyle name="Normal 14 2 3 10 3" xfId="53819" xr:uid="{00000000-0005-0000-0000-0000B1D00000}"/>
    <cellStyle name="Normal 14 2 3 11" xfId="53820" xr:uid="{00000000-0005-0000-0000-0000B2D00000}"/>
    <cellStyle name="Normal 14 2 3 11 2" xfId="53821" xr:uid="{00000000-0005-0000-0000-0000B3D00000}"/>
    <cellStyle name="Normal 14 2 3 11 2 2" xfId="53822" xr:uid="{00000000-0005-0000-0000-0000B4D00000}"/>
    <cellStyle name="Normal 14 2 3 11 3" xfId="53823" xr:uid="{00000000-0005-0000-0000-0000B5D00000}"/>
    <cellStyle name="Normal 14 2 3 12" xfId="53824" xr:uid="{00000000-0005-0000-0000-0000B6D00000}"/>
    <cellStyle name="Normal 14 2 3 12 2" xfId="53825" xr:uid="{00000000-0005-0000-0000-0000B7D00000}"/>
    <cellStyle name="Normal 14 2 3 13" xfId="53826" xr:uid="{00000000-0005-0000-0000-0000B8D00000}"/>
    <cellStyle name="Normal 14 2 3 14" xfId="53827" xr:uid="{00000000-0005-0000-0000-0000B9D00000}"/>
    <cellStyle name="Normal 14 2 3 15" xfId="53815" xr:uid="{00000000-0005-0000-0000-0000BAD00000}"/>
    <cellStyle name="Normal 14 2 3 2" xfId="1125" xr:uid="{00000000-0005-0000-0000-0000BBD00000}"/>
    <cellStyle name="Normal 14 2 3 2 10" xfId="53829" xr:uid="{00000000-0005-0000-0000-0000BCD00000}"/>
    <cellStyle name="Normal 14 2 3 2 11" xfId="53828" xr:uid="{00000000-0005-0000-0000-0000BDD00000}"/>
    <cellStyle name="Normal 14 2 3 2 2" xfId="1852" xr:uid="{00000000-0005-0000-0000-0000BED00000}"/>
    <cellStyle name="Normal 14 2 3 2 2 2" xfId="53831" xr:uid="{00000000-0005-0000-0000-0000BFD00000}"/>
    <cellStyle name="Normal 14 2 3 2 2 2 2" xfId="53832" xr:uid="{00000000-0005-0000-0000-0000C0D00000}"/>
    <cellStyle name="Normal 14 2 3 2 2 2 2 2" xfId="53833" xr:uid="{00000000-0005-0000-0000-0000C1D00000}"/>
    <cellStyle name="Normal 14 2 3 2 2 2 2 2 2" xfId="53834" xr:uid="{00000000-0005-0000-0000-0000C2D00000}"/>
    <cellStyle name="Normal 14 2 3 2 2 2 2 3" xfId="53835" xr:uid="{00000000-0005-0000-0000-0000C3D00000}"/>
    <cellStyle name="Normal 14 2 3 2 2 2 3" xfId="53836" xr:uid="{00000000-0005-0000-0000-0000C4D00000}"/>
    <cellStyle name="Normal 14 2 3 2 2 2 3 2" xfId="53837" xr:uid="{00000000-0005-0000-0000-0000C5D00000}"/>
    <cellStyle name="Normal 14 2 3 2 2 2 4" xfId="53838" xr:uid="{00000000-0005-0000-0000-0000C6D00000}"/>
    <cellStyle name="Normal 14 2 3 2 2 3" xfId="53839" xr:uid="{00000000-0005-0000-0000-0000C7D00000}"/>
    <cellStyle name="Normal 14 2 3 2 2 3 2" xfId="53840" xr:uid="{00000000-0005-0000-0000-0000C8D00000}"/>
    <cellStyle name="Normal 14 2 3 2 2 3 2 2" xfId="53841" xr:uid="{00000000-0005-0000-0000-0000C9D00000}"/>
    <cellStyle name="Normal 14 2 3 2 2 3 2 2 2" xfId="53842" xr:uid="{00000000-0005-0000-0000-0000CAD00000}"/>
    <cellStyle name="Normal 14 2 3 2 2 3 2 3" xfId="53843" xr:uid="{00000000-0005-0000-0000-0000CBD00000}"/>
    <cellStyle name="Normal 14 2 3 2 2 3 3" xfId="53844" xr:uid="{00000000-0005-0000-0000-0000CCD00000}"/>
    <cellStyle name="Normal 14 2 3 2 2 3 3 2" xfId="53845" xr:uid="{00000000-0005-0000-0000-0000CDD00000}"/>
    <cellStyle name="Normal 14 2 3 2 2 3 4" xfId="53846" xr:uid="{00000000-0005-0000-0000-0000CED00000}"/>
    <cellStyle name="Normal 14 2 3 2 2 4" xfId="53847" xr:uid="{00000000-0005-0000-0000-0000CFD00000}"/>
    <cellStyle name="Normal 14 2 3 2 2 4 2" xfId="53848" xr:uid="{00000000-0005-0000-0000-0000D0D00000}"/>
    <cellStyle name="Normal 14 2 3 2 2 4 2 2" xfId="53849" xr:uid="{00000000-0005-0000-0000-0000D1D00000}"/>
    <cellStyle name="Normal 14 2 3 2 2 4 3" xfId="53850" xr:uid="{00000000-0005-0000-0000-0000D2D00000}"/>
    <cellStyle name="Normal 14 2 3 2 2 5" xfId="53851" xr:uid="{00000000-0005-0000-0000-0000D3D00000}"/>
    <cellStyle name="Normal 14 2 3 2 2 5 2" xfId="53852" xr:uid="{00000000-0005-0000-0000-0000D4D00000}"/>
    <cellStyle name="Normal 14 2 3 2 2 6" xfId="53853" xr:uid="{00000000-0005-0000-0000-0000D5D00000}"/>
    <cellStyle name="Normal 14 2 3 2 2 7" xfId="53830" xr:uid="{00000000-0005-0000-0000-0000D6D00000}"/>
    <cellStyle name="Normal 14 2 3 2 3" xfId="53854" xr:uid="{00000000-0005-0000-0000-0000D7D00000}"/>
    <cellStyle name="Normal 14 2 3 2 3 2" xfId="53855" xr:uid="{00000000-0005-0000-0000-0000D8D00000}"/>
    <cellStyle name="Normal 14 2 3 2 3 2 2" xfId="53856" xr:uid="{00000000-0005-0000-0000-0000D9D00000}"/>
    <cellStyle name="Normal 14 2 3 2 3 2 2 2" xfId="53857" xr:uid="{00000000-0005-0000-0000-0000DAD00000}"/>
    <cellStyle name="Normal 14 2 3 2 3 2 2 2 2" xfId="53858" xr:uid="{00000000-0005-0000-0000-0000DBD00000}"/>
    <cellStyle name="Normal 14 2 3 2 3 2 2 3" xfId="53859" xr:uid="{00000000-0005-0000-0000-0000DCD00000}"/>
    <cellStyle name="Normal 14 2 3 2 3 2 3" xfId="53860" xr:uid="{00000000-0005-0000-0000-0000DDD00000}"/>
    <cellStyle name="Normal 14 2 3 2 3 2 3 2" xfId="53861" xr:uid="{00000000-0005-0000-0000-0000DED00000}"/>
    <cellStyle name="Normal 14 2 3 2 3 2 4" xfId="53862" xr:uid="{00000000-0005-0000-0000-0000DFD00000}"/>
    <cellStyle name="Normal 14 2 3 2 3 3" xfId="53863" xr:uid="{00000000-0005-0000-0000-0000E0D00000}"/>
    <cellStyle name="Normal 14 2 3 2 3 3 2" xfId="53864" xr:uid="{00000000-0005-0000-0000-0000E1D00000}"/>
    <cellStyle name="Normal 14 2 3 2 3 3 2 2" xfId="53865" xr:uid="{00000000-0005-0000-0000-0000E2D00000}"/>
    <cellStyle name="Normal 14 2 3 2 3 3 3" xfId="53866" xr:uid="{00000000-0005-0000-0000-0000E3D00000}"/>
    <cellStyle name="Normal 14 2 3 2 3 4" xfId="53867" xr:uid="{00000000-0005-0000-0000-0000E4D00000}"/>
    <cellStyle name="Normal 14 2 3 2 3 4 2" xfId="53868" xr:uid="{00000000-0005-0000-0000-0000E5D00000}"/>
    <cellStyle name="Normal 14 2 3 2 3 5" xfId="53869" xr:uid="{00000000-0005-0000-0000-0000E6D00000}"/>
    <cellStyle name="Normal 14 2 3 2 4" xfId="53870" xr:uid="{00000000-0005-0000-0000-0000E7D00000}"/>
    <cellStyle name="Normal 14 2 3 2 4 2" xfId="53871" xr:uid="{00000000-0005-0000-0000-0000E8D00000}"/>
    <cellStyle name="Normal 14 2 3 2 4 2 2" xfId="53872" xr:uid="{00000000-0005-0000-0000-0000E9D00000}"/>
    <cellStyle name="Normal 14 2 3 2 4 2 2 2" xfId="53873" xr:uid="{00000000-0005-0000-0000-0000EAD00000}"/>
    <cellStyle name="Normal 14 2 3 2 4 2 2 2 2" xfId="53874" xr:uid="{00000000-0005-0000-0000-0000EBD00000}"/>
    <cellStyle name="Normal 14 2 3 2 4 2 2 3" xfId="53875" xr:uid="{00000000-0005-0000-0000-0000ECD00000}"/>
    <cellStyle name="Normal 14 2 3 2 4 2 3" xfId="53876" xr:uid="{00000000-0005-0000-0000-0000EDD00000}"/>
    <cellStyle name="Normal 14 2 3 2 4 2 3 2" xfId="53877" xr:uid="{00000000-0005-0000-0000-0000EED00000}"/>
    <cellStyle name="Normal 14 2 3 2 4 2 4" xfId="53878" xr:uid="{00000000-0005-0000-0000-0000EFD00000}"/>
    <cellStyle name="Normal 14 2 3 2 4 3" xfId="53879" xr:uid="{00000000-0005-0000-0000-0000F0D00000}"/>
    <cellStyle name="Normal 14 2 3 2 4 3 2" xfId="53880" xr:uid="{00000000-0005-0000-0000-0000F1D00000}"/>
    <cellStyle name="Normal 14 2 3 2 4 3 2 2" xfId="53881" xr:uid="{00000000-0005-0000-0000-0000F2D00000}"/>
    <cellStyle name="Normal 14 2 3 2 4 3 3" xfId="53882" xr:uid="{00000000-0005-0000-0000-0000F3D00000}"/>
    <cellStyle name="Normal 14 2 3 2 4 4" xfId="53883" xr:uid="{00000000-0005-0000-0000-0000F4D00000}"/>
    <cellStyle name="Normal 14 2 3 2 4 4 2" xfId="53884" xr:uid="{00000000-0005-0000-0000-0000F5D00000}"/>
    <cellStyle name="Normal 14 2 3 2 4 5" xfId="53885" xr:uid="{00000000-0005-0000-0000-0000F6D00000}"/>
    <cellStyle name="Normal 14 2 3 2 5" xfId="53886" xr:uid="{00000000-0005-0000-0000-0000F7D00000}"/>
    <cellStyle name="Normal 14 2 3 2 5 2" xfId="53887" xr:uid="{00000000-0005-0000-0000-0000F8D00000}"/>
    <cellStyle name="Normal 14 2 3 2 5 2 2" xfId="53888" xr:uid="{00000000-0005-0000-0000-0000F9D00000}"/>
    <cellStyle name="Normal 14 2 3 2 5 2 2 2" xfId="53889" xr:uid="{00000000-0005-0000-0000-0000FAD00000}"/>
    <cellStyle name="Normal 14 2 3 2 5 2 3" xfId="53890" xr:uid="{00000000-0005-0000-0000-0000FBD00000}"/>
    <cellStyle name="Normal 14 2 3 2 5 3" xfId="53891" xr:uid="{00000000-0005-0000-0000-0000FCD00000}"/>
    <cellStyle name="Normal 14 2 3 2 5 3 2" xfId="53892" xr:uid="{00000000-0005-0000-0000-0000FDD00000}"/>
    <cellStyle name="Normal 14 2 3 2 5 4" xfId="53893" xr:uid="{00000000-0005-0000-0000-0000FED00000}"/>
    <cellStyle name="Normal 14 2 3 2 6" xfId="53894" xr:uid="{00000000-0005-0000-0000-0000FFD00000}"/>
    <cellStyle name="Normal 14 2 3 2 6 2" xfId="53895" xr:uid="{00000000-0005-0000-0000-000000D10000}"/>
    <cellStyle name="Normal 14 2 3 2 6 2 2" xfId="53896" xr:uid="{00000000-0005-0000-0000-000001D10000}"/>
    <cellStyle name="Normal 14 2 3 2 6 2 2 2" xfId="53897" xr:uid="{00000000-0005-0000-0000-000002D10000}"/>
    <cellStyle name="Normal 14 2 3 2 6 2 3" xfId="53898" xr:uid="{00000000-0005-0000-0000-000003D10000}"/>
    <cellStyle name="Normal 14 2 3 2 6 3" xfId="53899" xr:uid="{00000000-0005-0000-0000-000004D10000}"/>
    <cellStyle name="Normal 14 2 3 2 6 3 2" xfId="53900" xr:uid="{00000000-0005-0000-0000-000005D10000}"/>
    <cellStyle name="Normal 14 2 3 2 6 4" xfId="53901" xr:uid="{00000000-0005-0000-0000-000006D10000}"/>
    <cellStyle name="Normal 14 2 3 2 7" xfId="53902" xr:uid="{00000000-0005-0000-0000-000007D10000}"/>
    <cellStyle name="Normal 14 2 3 2 7 2" xfId="53903" xr:uid="{00000000-0005-0000-0000-000008D10000}"/>
    <cellStyle name="Normal 14 2 3 2 7 2 2" xfId="53904" xr:uid="{00000000-0005-0000-0000-000009D10000}"/>
    <cellStyle name="Normal 14 2 3 2 7 2 2 2" xfId="53905" xr:uid="{00000000-0005-0000-0000-00000AD10000}"/>
    <cellStyle name="Normal 14 2 3 2 7 2 3" xfId="53906" xr:uid="{00000000-0005-0000-0000-00000BD10000}"/>
    <cellStyle name="Normal 14 2 3 2 7 3" xfId="53907" xr:uid="{00000000-0005-0000-0000-00000CD10000}"/>
    <cellStyle name="Normal 14 2 3 2 7 3 2" xfId="53908" xr:uid="{00000000-0005-0000-0000-00000DD10000}"/>
    <cellStyle name="Normal 14 2 3 2 7 4" xfId="53909" xr:uid="{00000000-0005-0000-0000-00000ED10000}"/>
    <cellStyle name="Normal 14 2 3 2 8" xfId="53910" xr:uid="{00000000-0005-0000-0000-00000FD10000}"/>
    <cellStyle name="Normal 14 2 3 2 8 2" xfId="53911" xr:uid="{00000000-0005-0000-0000-000010D10000}"/>
    <cellStyle name="Normal 14 2 3 2 8 2 2" xfId="53912" xr:uid="{00000000-0005-0000-0000-000011D10000}"/>
    <cellStyle name="Normal 14 2 3 2 8 3" xfId="53913" xr:uid="{00000000-0005-0000-0000-000012D10000}"/>
    <cellStyle name="Normal 14 2 3 2 9" xfId="53914" xr:uid="{00000000-0005-0000-0000-000013D10000}"/>
    <cellStyle name="Normal 14 2 3 2 9 2" xfId="53915" xr:uid="{00000000-0005-0000-0000-000014D10000}"/>
    <cellStyle name="Normal 14 2 3 3" xfId="1525" xr:uid="{00000000-0005-0000-0000-000015D10000}"/>
    <cellStyle name="Normal 14 2 3 3 2" xfId="53917" xr:uid="{00000000-0005-0000-0000-000016D10000}"/>
    <cellStyle name="Normal 14 2 3 3 2 2" xfId="53918" xr:uid="{00000000-0005-0000-0000-000017D10000}"/>
    <cellStyle name="Normal 14 2 3 3 2 2 2" xfId="53919" xr:uid="{00000000-0005-0000-0000-000018D10000}"/>
    <cellStyle name="Normal 14 2 3 3 2 2 2 2" xfId="53920" xr:uid="{00000000-0005-0000-0000-000019D10000}"/>
    <cellStyle name="Normal 14 2 3 3 2 2 3" xfId="53921" xr:uid="{00000000-0005-0000-0000-00001AD10000}"/>
    <cellStyle name="Normal 14 2 3 3 2 3" xfId="53922" xr:uid="{00000000-0005-0000-0000-00001BD10000}"/>
    <cellStyle name="Normal 14 2 3 3 2 3 2" xfId="53923" xr:uid="{00000000-0005-0000-0000-00001CD10000}"/>
    <cellStyle name="Normal 14 2 3 3 2 4" xfId="53924" xr:uid="{00000000-0005-0000-0000-00001DD10000}"/>
    <cellStyle name="Normal 14 2 3 3 3" xfId="53925" xr:uid="{00000000-0005-0000-0000-00001ED10000}"/>
    <cellStyle name="Normal 14 2 3 3 3 2" xfId="53926" xr:uid="{00000000-0005-0000-0000-00001FD10000}"/>
    <cellStyle name="Normal 14 2 3 3 3 2 2" xfId="53927" xr:uid="{00000000-0005-0000-0000-000020D10000}"/>
    <cellStyle name="Normal 14 2 3 3 3 2 2 2" xfId="53928" xr:uid="{00000000-0005-0000-0000-000021D10000}"/>
    <cellStyle name="Normal 14 2 3 3 3 2 3" xfId="53929" xr:uid="{00000000-0005-0000-0000-000022D10000}"/>
    <cellStyle name="Normal 14 2 3 3 3 3" xfId="53930" xr:uid="{00000000-0005-0000-0000-000023D10000}"/>
    <cellStyle name="Normal 14 2 3 3 3 3 2" xfId="53931" xr:uid="{00000000-0005-0000-0000-000024D10000}"/>
    <cellStyle name="Normal 14 2 3 3 3 4" xfId="53932" xr:uid="{00000000-0005-0000-0000-000025D10000}"/>
    <cellStyle name="Normal 14 2 3 3 4" xfId="53933" xr:uid="{00000000-0005-0000-0000-000026D10000}"/>
    <cellStyle name="Normal 14 2 3 3 4 2" xfId="53934" xr:uid="{00000000-0005-0000-0000-000027D10000}"/>
    <cellStyle name="Normal 14 2 3 3 4 2 2" xfId="53935" xr:uid="{00000000-0005-0000-0000-000028D10000}"/>
    <cellStyle name="Normal 14 2 3 3 4 3" xfId="53936" xr:uid="{00000000-0005-0000-0000-000029D10000}"/>
    <cellStyle name="Normal 14 2 3 3 5" xfId="53937" xr:uid="{00000000-0005-0000-0000-00002AD10000}"/>
    <cellStyle name="Normal 14 2 3 3 5 2" xfId="53938" xr:uid="{00000000-0005-0000-0000-00002BD10000}"/>
    <cellStyle name="Normal 14 2 3 3 6" xfId="53939" xr:uid="{00000000-0005-0000-0000-00002CD10000}"/>
    <cellStyle name="Normal 14 2 3 3 7" xfId="53916" xr:uid="{00000000-0005-0000-0000-00002DD10000}"/>
    <cellStyle name="Normal 14 2 3 4" xfId="53940" xr:uid="{00000000-0005-0000-0000-00002ED10000}"/>
    <cellStyle name="Normal 14 2 3 4 2" xfId="53941" xr:uid="{00000000-0005-0000-0000-00002FD10000}"/>
    <cellStyle name="Normal 14 2 3 4 2 2" xfId="53942" xr:uid="{00000000-0005-0000-0000-000030D10000}"/>
    <cellStyle name="Normal 14 2 3 4 2 2 2" xfId="53943" xr:uid="{00000000-0005-0000-0000-000031D10000}"/>
    <cellStyle name="Normal 14 2 3 4 2 2 2 2" xfId="53944" xr:uid="{00000000-0005-0000-0000-000032D10000}"/>
    <cellStyle name="Normal 14 2 3 4 2 2 3" xfId="53945" xr:uid="{00000000-0005-0000-0000-000033D10000}"/>
    <cellStyle name="Normal 14 2 3 4 2 3" xfId="53946" xr:uid="{00000000-0005-0000-0000-000034D10000}"/>
    <cellStyle name="Normal 14 2 3 4 2 3 2" xfId="53947" xr:uid="{00000000-0005-0000-0000-000035D10000}"/>
    <cellStyle name="Normal 14 2 3 4 2 4" xfId="53948" xr:uid="{00000000-0005-0000-0000-000036D10000}"/>
    <cellStyle name="Normal 14 2 3 4 3" xfId="53949" xr:uid="{00000000-0005-0000-0000-000037D10000}"/>
    <cellStyle name="Normal 14 2 3 4 3 2" xfId="53950" xr:uid="{00000000-0005-0000-0000-000038D10000}"/>
    <cellStyle name="Normal 14 2 3 4 3 2 2" xfId="53951" xr:uid="{00000000-0005-0000-0000-000039D10000}"/>
    <cellStyle name="Normal 14 2 3 4 3 3" xfId="53952" xr:uid="{00000000-0005-0000-0000-00003AD10000}"/>
    <cellStyle name="Normal 14 2 3 4 4" xfId="53953" xr:uid="{00000000-0005-0000-0000-00003BD10000}"/>
    <cellStyle name="Normal 14 2 3 4 4 2" xfId="53954" xr:uid="{00000000-0005-0000-0000-00003CD10000}"/>
    <cellStyle name="Normal 14 2 3 4 5" xfId="53955" xr:uid="{00000000-0005-0000-0000-00003DD10000}"/>
    <cellStyle name="Normal 14 2 3 5" xfId="53956" xr:uid="{00000000-0005-0000-0000-00003ED10000}"/>
    <cellStyle name="Normal 14 2 3 5 2" xfId="53957" xr:uid="{00000000-0005-0000-0000-00003FD10000}"/>
    <cellStyle name="Normal 14 2 3 5 2 2" xfId="53958" xr:uid="{00000000-0005-0000-0000-000040D10000}"/>
    <cellStyle name="Normal 14 2 3 5 2 2 2" xfId="53959" xr:uid="{00000000-0005-0000-0000-000041D10000}"/>
    <cellStyle name="Normal 14 2 3 5 2 2 2 2" xfId="53960" xr:uid="{00000000-0005-0000-0000-000042D10000}"/>
    <cellStyle name="Normal 14 2 3 5 2 2 3" xfId="53961" xr:uid="{00000000-0005-0000-0000-000043D10000}"/>
    <cellStyle name="Normal 14 2 3 5 2 3" xfId="53962" xr:uid="{00000000-0005-0000-0000-000044D10000}"/>
    <cellStyle name="Normal 14 2 3 5 2 3 2" xfId="53963" xr:uid="{00000000-0005-0000-0000-000045D10000}"/>
    <cellStyle name="Normal 14 2 3 5 2 4" xfId="53964" xr:uid="{00000000-0005-0000-0000-000046D10000}"/>
    <cellStyle name="Normal 14 2 3 5 3" xfId="53965" xr:uid="{00000000-0005-0000-0000-000047D10000}"/>
    <cellStyle name="Normal 14 2 3 5 3 2" xfId="53966" xr:uid="{00000000-0005-0000-0000-000048D10000}"/>
    <cellStyle name="Normal 14 2 3 5 3 2 2" xfId="53967" xr:uid="{00000000-0005-0000-0000-000049D10000}"/>
    <cellStyle name="Normal 14 2 3 5 3 3" xfId="53968" xr:uid="{00000000-0005-0000-0000-00004AD10000}"/>
    <cellStyle name="Normal 14 2 3 5 4" xfId="53969" xr:uid="{00000000-0005-0000-0000-00004BD10000}"/>
    <cellStyle name="Normal 14 2 3 5 4 2" xfId="53970" xr:uid="{00000000-0005-0000-0000-00004CD10000}"/>
    <cellStyle name="Normal 14 2 3 5 5" xfId="53971" xr:uid="{00000000-0005-0000-0000-00004DD10000}"/>
    <cellStyle name="Normal 14 2 3 6" xfId="53972" xr:uid="{00000000-0005-0000-0000-00004ED10000}"/>
    <cellStyle name="Normal 14 2 3 6 2" xfId="53973" xr:uid="{00000000-0005-0000-0000-00004FD10000}"/>
    <cellStyle name="Normal 14 2 3 6 2 2" xfId="53974" xr:uid="{00000000-0005-0000-0000-000050D10000}"/>
    <cellStyle name="Normal 14 2 3 6 2 2 2" xfId="53975" xr:uid="{00000000-0005-0000-0000-000051D10000}"/>
    <cellStyle name="Normal 14 2 3 6 2 3" xfId="53976" xr:uid="{00000000-0005-0000-0000-000052D10000}"/>
    <cellStyle name="Normal 14 2 3 6 3" xfId="53977" xr:uid="{00000000-0005-0000-0000-000053D10000}"/>
    <cellStyle name="Normal 14 2 3 6 3 2" xfId="53978" xr:uid="{00000000-0005-0000-0000-000054D10000}"/>
    <cellStyle name="Normal 14 2 3 6 4" xfId="53979" xr:uid="{00000000-0005-0000-0000-000055D10000}"/>
    <cellStyle name="Normal 14 2 3 7" xfId="53980" xr:uid="{00000000-0005-0000-0000-000056D10000}"/>
    <cellStyle name="Normal 14 2 3 7 2" xfId="53981" xr:uid="{00000000-0005-0000-0000-000057D10000}"/>
    <cellStyle name="Normal 14 2 3 7 2 2" xfId="53982" xr:uid="{00000000-0005-0000-0000-000058D10000}"/>
    <cellStyle name="Normal 14 2 3 7 2 2 2" xfId="53983" xr:uid="{00000000-0005-0000-0000-000059D10000}"/>
    <cellStyle name="Normal 14 2 3 7 2 3" xfId="53984" xr:uid="{00000000-0005-0000-0000-00005AD10000}"/>
    <cellStyle name="Normal 14 2 3 7 3" xfId="53985" xr:uid="{00000000-0005-0000-0000-00005BD10000}"/>
    <cellStyle name="Normal 14 2 3 7 3 2" xfId="53986" xr:uid="{00000000-0005-0000-0000-00005CD10000}"/>
    <cellStyle name="Normal 14 2 3 7 4" xfId="53987" xr:uid="{00000000-0005-0000-0000-00005DD10000}"/>
    <cellStyle name="Normal 14 2 3 8" xfId="53988" xr:uid="{00000000-0005-0000-0000-00005ED10000}"/>
    <cellStyle name="Normal 14 2 3 8 2" xfId="53989" xr:uid="{00000000-0005-0000-0000-00005FD10000}"/>
    <cellStyle name="Normal 14 2 3 8 2 2" xfId="53990" xr:uid="{00000000-0005-0000-0000-000060D10000}"/>
    <cellStyle name="Normal 14 2 3 8 2 2 2" xfId="53991" xr:uid="{00000000-0005-0000-0000-000061D10000}"/>
    <cellStyle name="Normal 14 2 3 8 2 3" xfId="53992" xr:uid="{00000000-0005-0000-0000-000062D10000}"/>
    <cellStyle name="Normal 14 2 3 8 3" xfId="53993" xr:uid="{00000000-0005-0000-0000-000063D10000}"/>
    <cellStyle name="Normal 14 2 3 8 3 2" xfId="53994" xr:uid="{00000000-0005-0000-0000-000064D10000}"/>
    <cellStyle name="Normal 14 2 3 8 4" xfId="53995" xr:uid="{00000000-0005-0000-0000-000065D10000}"/>
    <cellStyle name="Normal 14 2 3 9" xfId="53996" xr:uid="{00000000-0005-0000-0000-000066D10000}"/>
    <cellStyle name="Normal 14 2 3 9 2" xfId="53997" xr:uid="{00000000-0005-0000-0000-000067D10000}"/>
    <cellStyle name="Normal 14 2 3 9 2 2" xfId="53998" xr:uid="{00000000-0005-0000-0000-000068D10000}"/>
    <cellStyle name="Normal 14 2 3 9 3" xfId="53999" xr:uid="{00000000-0005-0000-0000-000069D10000}"/>
    <cellStyle name="Normal 14 2 4" xfId="1123" xr:uid="{00000000-0005-0000-0000-00006AD10000}"/>
    <cellStyle name="Normal 14 2 4 10" xfId="54001" xr:uid="{00000000-0005-0000-0000-00006BD10000}"/>
    <cellStyle name="Normal 14 2 4 11" xfId="54000" xr:uid="{00000000-0005-0000-0000-00006CD10000}"/>
    <cellStyle name="Normal 14 2 4 2" xfId="1850" xr:uid="{00000000-0005-0000-0000-00006DD10000}"/>
    <cellStyle name="Normal 14 2 4 2 2" xfId="54003" xr:uid="{00000000-0005-0000-0000-00006ED10000}"/>
    <cellStyle name="Normal 14 2 4 2 2 2" xfId="54004" xr:uid="{00000000-0005-0000-0000-00006FD10000}"/>
    <cellStyle name="Normal 14 2 4 2 2 2 2" xfId="54005" xr:uid="{00000000-0005-0000-0000-000070D10000}"/>
    <cellStyle name="Normal 14 2 4 2 2 2 2 2" xfId="54006" xr:uid="{00000000-0005-0000-0000-000071D10000}"/>
    <cellStyle name="Normal 14 2 4 2 2 2 3" xfId="54007" xr:uid="{00000000-0005-0000-0000-000072D10000}"/>
    <cellStyle name="Normal 14 2 4 2 2 3" xfId="54008" xr:uid="{00000000-0005-0000-0000-000073D10000}"/>
    <cellStyle name="Normal 14 2 4 2 2 3 2" xfId="54009" xr:uid="{00000000-0005-0000-0000-000074D10000}"/>
    <cellStyle name="Normal 14 2 4 2 2 4" xfId="54010" xr:uid="{00000000-0005-0000-0000-000075D10000}"/>
    <cellStyle name="Normal 14 2 4 2 3" xfId="54011" xr:uid="{00000000-0005-0000-0000-000076D10000}"/>
    <cellStyle name="Normal 14 2 4 2 3 2" xfId="54012" xr:uid="{00000000-0005-0000-0000-000077D10000}"/>
    <cellStyle name="Normal 14 2 4 2 3 2 2" xfId="54013" xr:uid="{00000000-0005-0000-0000-000078D10000}"/>
    <cellStyle name="Normal 14 2 4 2 3 2 2 2" xfId="54014" xr:uid="{00000000-0005-0000-0000-000079D10000}"/>
    <cellStyle name="Normal 14 2 4 2 3 2 3" xfId="54015" xr:uid="{00000000-0005-0000-0000-00007AD10000}"/>
    <cellStyle name="Normal 14 2 4 2 3 3" xfId="54016" xr:uid="{00000000-0005-0000-0000-00007BD10000}"/>
    <cellStyle name="Normal 14 2 4 2 3 3 2" xfId="54017" xr:uid="{00000000-0005-0000-0000-00007CD10000}"/>
    <cellStyle name="Normal 14 2 4 2 3 4" xfId="54018" xr:uid="{00000000-0005-0000-0000-00007DD10000}"/>
    <cellStyle name="Normal 14 2 4 2 4" xfId="54019" xr:uid="{00000000-0005-0000-0000-00007ED10000}"/>
    <cellStyle name="Normal 14 2 4 2 4 2" xfId="54020" xr:uid="{00000000-0005-0000-0000-00007FD10000}"/>
    <cellStyle name="Normal 14 2 4 2 4 2 2" xfId="54021" xr:uid="{00000000-0005-0000-0000-000080D10000}"/>
    <cellStyle name="Normal 14 2 4 2 4 3" xfId="54022" xr:uid="{00000000-0005-0000-0000-000081D10000}"/>
    <cellStyle name="Normal 14 2 4 2 5" xfId="54023" xr:uid="{00000000-0005-0000-0000-000082D10000}"/>
    <cellStyle name="Normal 14 2 4 2 5 2" xfId="54024" xr:uid="{00000000-0005-0000-0000-000083D10000}"/>
    <cellStyle name="Normal 14 2 4 2 6" xfId="54025" xr:uid="{00000000-0005-0000-0000-000084D10000}"/>
    <cellStyle name="Normal 14 2 4 2 7" xfId="54002" xr:uid="{00000000-0005-0000-0000-000085D10000}"/>
    <cellStyle name="Normal 14 2 4 3" xfId="54026" xr:uid="{00000000-0005-0000-0000-000086D10000}"/>
    <cellStyle name="Normal 14 2 4 3 2" xfId="54027" xr:uid="{00000000-0005-0000-0000-000087D10000}"/>
    <cellStyle name="Normal 14 2 4 3 2 2" xfId="54028" xr:uid="{00000000-0005-0000-0000-000088D10000}"/>
    <cellStyle name="Normal 14 2 4 3 2 2 2" xfId="54029" xr:uid="{00000000-0005-0000-0000-000089D10000}"/>
    <cellStyle name="Normal 14 2 4 3 2 2 2 2" xfId="54030" xr:uid="{00000000-0005-0000-0000-00008AD10000}"/>
    <cellStyle name="Normal 14 2 4 3 2 2 3" xfId="54031" xr:uid="{00000000-0005-0000-0000-00008BD10000}"/>
    <cellStyle name="Normal 14 2 4 3 2 3" xfId="54032" xr:uid="{00000000-0005-0000-0000-00008CD10000}"/>
    <cellStyle name="Normal 14 2 4 3 2 3 2" xfId="54033" xr:uid="{00000000-0005-0000-0000-00008DD10000}"/>
    <cellStyle name="Normal 14 2 4 3 2 4" xfId="54034" xr:uid="{00000000-0005-0000-0000-00008ED10000}"/>
    <cellStyle name="Normal 14 2 4 3 3" xfId="54035" xr:uid="{00000000-0005-0000-0000-00008FD10000}"/>
    <cellStyle name="Normal 14 2 4 3 3 2" xfId="54036" xr:uid="{00000000-0005-0000-0000-000090D10000}"/>
    <cellStyle name="Normal 14 2 4 3 3 2 2" xfId="54037" xr:uid="{00000000-0005-0000-0000-000091D10000}"/>
    <cellStyle name="Normal 14 2 4 3 3 3" xfId="54038" xr:uid="{00000000-0005-0000-0000-000092D10000}"/>
    <cellStyle name="Normal 14 2 4 3 4" xfId="54039" xr:uid="{00000000-0005-0000-0000-000093D10000}"/>
    <cellStyle name="Normal 14 2 4 3 4 2" xfId="54040" xr:uid="{00000000-0005-0000-0000-000094D10000}"/>
    <cellStyle name="Normal 14 2 4 3 5" xfId="54041" xr:uid="{00000000-0005-0000-0000-000095D10000}"/>
    <cellStyle name="Normal 14 2 4 4" xfId="54042" xr:uid="{00000000-0005-0000-0000-000096D10000}"/>
    <cellStyle name="Normal 14 2 4 4 2" xfId="54043" xr:uid="{00000000-0005-0000-0000-000097D10000}"/>
    <cellStyle name="Normal 14 2 4 4 2 2" xfId="54044" xr:uid="{00000000-0005-0000-0000-000098D10000}"/>
    <cellStyle name="Normal 14 2 4 4 2 2 2" xfId="54045" xr:uid="{00000000-0005-0000-0000-000099D10000}"/>
    <cellStyle name="Normal 14 2 4 4 2 2 2 2" xfId="54046" xr:uid="{00000000-0005-0000-0000-00009AD10000}"/>
    <cellStyle name="Normal 14 2 4 4 2 2 3" xfId="54047" xr:uid="{00000000-0005-0000-0000-00009BD10000}"/>
    <cellStyle name="Normal 14 2 4 4 2 3" xfId="54048" xr:uid="{00000000-0005-0000-0000-00009CD10000}"/>
    <cellStyle name="Normal 14 2 4 4 2 3 2" xfId="54049" xr:uid="{00000000-0005-0000-0000-00009DD10000}"/>
    <cellStyle name="Normal 14 2 4 4 2 4" xfId="54050" xr:uid="{00000000-0005-0000-0000-00009ED10000}"/>
    <cellStyle name="Normal 14 2 4 4 3" xfId="54051" xr:uid="{00000000-0005-0000-0000-00009FD10000}"/>
    <cellStyle name="Normal 14 2 4 4 3 2" xfId="54052" xr:uid="{00000000-0005-0000-0000-0000A0D10000}"/>
    <cellStyle name="Normal 14 2 4 4 3 2 2" xfId="54053" xr:uid="{00000000-0005-0000-0000-0000A1D10000}"/>
    <cellStyle name="Normal 14 2 4 4 3 3" xfId="54054" xr:uid="{00000000-0005-0000-0000-0000A2D10000}"/>
    <cellStyle name="Normal 14 2 4 4 4" xfId="54055" xr:uid="{00000000-0005-0000-0000-0000A3D10000}"/>
    <cellStyle name="Normal 14 2 4 4 4 2" xfId="54056" xr:uid="{00000000-0005-0000-0000-0000A4D10000}"/>
    <cellStyle name="Normal 14 2 4 4 5" xfId="54057" xr:uid="{00000000-0005-0000-0000-0000A5D10000}"/>
    <cellStyle name="Normal 14 2 4 5" xfId="54058" xr:uid="{00000000-0005-0000-0000-0000A6D10000}"/>
    <cellStyle name="Normal 14 2 4 5 2" xfId="54059" xr:uid="{00000000-0005-0000-0000-0000A7D10000}"/>
    <cellStyle name="Normal 14 2 4 5 2 2" xfId="54060" xr:uid="{00000000-0005-0000-0000-0000A8D10000}"/>
    <cellStyle name="Normal 14 2 4 5 2 2 2" xfId="54061" xr:uid="{00000000-0005-0000-0000-0000A9D10000}"/>
    <cellStyle name="Normal 14 2 4 5 2 3" xfId="54062" xr:uid="{00000000-0005-0000-0000-0000AAD10000}"/>
    <cellStyle name="Normal 14 2 4 5 3" xfId="54063" xr:uid="{00000000-0005-0000-0000-0000ABD10000}"/>
    <cellStyle name="Normal 14 2 4 5 3 2" xfId="54064" xr:uid="{00000000-0005-0000-0000-0000ACD10000}"/>
    <cellStyle name="Normal 14 2 4 5 4" xfId="54065" xr:uid="{00000000-0005-0000-0000-0000ADD10000}"/>
    <cellStyle name="Normal 14 2 4 6" xfId="54066" xr:uid="{00000000-0005-0000-0000-0000AED10000}"/>
    <cellStyle name="Normal 14 2 4 6 2" xfId="54067" xr:uid="{00000000-0005-0000-0000-0000AFD10000}"/>
    <cellStyle name="Normal 14 2 4 6 2 2" xfId="54068" xr:uid="{00000000-0005-0000-0000-0000B0D10000}"/>
    <cellStyle name="Normal 14 2 4 6 2 2 2" xfId="54069" xr:uid="{00000000-0005-0000-0000-0000B1D10000}"/>
    <cellStyle name="Normal 14 2 4 6 2 3" xfId="54070" xr:uid="{00000000-0005-0000-0000-0000B2D10000}"/>
    <cellStyle name="Normal 14 2 4 6 3" xfId="54071" xr:uid="{00000000-0005-0000-0000-0000B3D10000}"/>
    <cellStyle name="Normal 14 2 4 6 3 2" xfId="54072" xr:uid="{00000000-0005-0000-0000-0000B4D10000}"/>
    <cellStyle name="Normal 14 2 4 6 4" xfId="54073" xr:uid="{00000000-0005-0000-0000-0000B5D10000}"/>
    <cellStyle name="Normal 14 2 4 7" xfId="54074" xr:uid="{00000000-0005-0000-0000-0000B6D10000}"/>
    <cellStyle name="Normal 14 2 4 7 2" xfId="54075" xr:uid="{00000000-0005-0000-0000-0000B7D10000}"/>
    <cellStyle name="Normal 14 2 4 7 2 2" xfId="54076" xr:uid="{00000000-0005-0000-0000-0000B8D10000}"/>
    <cellStyle name="Normal 14 2 4 7 2 2 2" xfId="54077" xr:uid="{00000000-0005-0000-0000-0000B9D10000}"/>
    <cellStyle name="Normal 14 2 4 7 2 3" xfId="54078" xr:uid="{00000000-0005-0000-0000-0000BAD10000}"/>
    <cellStyle name="Normal 14 2 4 7 3" xfId="54079" xr:uid="{00000000-0005-0000-0000-0000BBD10000}"/>
    <cellStyle name="Normal 14 2 4 7 3 2" xfId="54080" xr:uid="{00000000-0005-0000-0000-0000BCD10000}"/>
    <cellStyle name="Normal 14 2 4 7 4" xfId="54081" xr:uid="{00000000-0005-0000-0000-0000BDD10000}"/>
    <cellStyle name="Normal 14 2 4 8" xfId="54082" xr:uid="{00000000-0005-0000-0000-0000BED10000}"/>
    <cellStyle name="Normal 14 2 4 8 2" xfId="54083" xr:uid="{00000000-0005-0000-0000-0000BFD10000}"/>
    <cellStyle name="Normal 14 2 4 8 2 2" xfId="54084" xr:uid="{00000000-0005-0000-0000-0000C0D10000}"/>
    <cellStyle name="Normal 14 2 4 8 3" xfId="54085" xr:uid="{00000000-0005-0000-0000-0000C1D10000}"/>
    <cellStyle name="Normal 14 2 4 9" xfId="54086" xr:uid="{00000000-0005-0000-0000-0000C2D10000}"/>
    <cellStyle name="Normal 14 2 4 9 2" xfId="54087" xr:uid="{00000000-0005-0000-0000-0000C3D10000}"/>
    <cellStyle name="Normal 14 2 5" xfId="1523" xr:uid="{00000000-0005-0000-0000-0000C4D10000}"/>
    <cellStyle name="Normal 14 2 5 2" xfId="54089" xr:uid="{00000000-0005-0000-0000-0000C5D10000}"/>
    <cellStyle name="Normal 14 2 5 2 2" xfId="54090" xr:uid="{00000000-0005-0000-0000-0000C6D10000}"/>
    <cellStyle name="Normal 14 2 5 2 2 2" xfId="54091" xr:uid="{00000000-0005-0000-0000-0000C7D10000}"/>
    <cellStyle name="Normal 14 2 5 2 2 2 2" xfId="54092" xr:uid="{00000000-0005-0000-0000-0000C8D10000}"/>
    <cellStyle name="Normal 14 2 5 2 2 3" xfId="54093" xr:uid="{00000000-0005-0000-0000-0000C9D10000}"/>
    <cellStyle name="Normal 14 2 5 2 3" xfId="54094" xr:uid="{00000000-0005-0000-0000-0000CAD10000}"/>
    <cellStyle name="Normal 14 2 5 2 3 2" xfId="54095" xr:uid="{00000000-0005-0000-0000-0000CBD10000}"/>
    <cellStyle name="Normal 14 2 5 2 4" xfId="54096" xr:uid="{00000000-0005-0000-0000-0000CCD10000}"/>
    <cellStyle name="Normal 14 2 5 3" xfId="54097" xr:uid="{00000000-0005-0000-0000-0000CDD10000}"/>
    <cellStyle name="Normal 14 2 5 3 2" xfId="54098" xr:uid="{00000000-0005-0000-0000-0000CED10000}"/>
    <cellStyle name="Normal 14 2 5 3 2 2" xfId="54099" xr:uid="{00000000-0005-0000-0000-0000CFD10000}"/>
    <cellStyle name="Normal 14 2 5 3 2 2 2" xfId="54100" xr:uid="{00000000-0005-0000-0000-0000D0D10000}"/>
    <cellStyle name="Normal 14 2 5 3 2 3" xfId="54101" xr:uid="{00000000-0005-0000-0000-0000D1D10000}"/>
    <cellStyle name="Normal 14 2 5 3 3" xfId="54102" xr:uid="{00000000-0005-0000-0000-0000D2D10000}"/>
    <cellStyle name="Normal 14 2 5 3 3 2" xfId="54103" xr:uid="{00000000-0005-0000-0000-0000D3D10000}"/>
    <cellStyle name="Normal 14 2 5 3 4" xfId="54104" xr:uid="{00000000-0005-0000-0000-0000D4D10000}"/>
    <cellStyle name="Normal 14 2 5 4" xfId="54105" xr:uid="{00000000-0005-0000-0000-0000D5D10000}"/>
    <cellStyle name="Normal 14 2 5 4 2" xfId="54106" xr:uid="{00000000-0005-0000-0000-0000D6D10000}"/>
    <cellStyle name="Normal 14 2 5 4 2 2" xfId="54107" xr:uid="{00000000-0005-0000-0000-0000D7D10000}"/>
    <cellStyle name="Normal 14 2 5 4 3" xfId="54108" xr:uid="{00000000-0005-0000-0000-0000D8D10000}"/>
    <cellStyle name="Normal 14 2 5 5" xfId="54109" xr:uid="{00000000-0005-0000-0000-0000D9D10000}"/>
    <cellStyle name="Normal 14 2 5 5 2" xfId="54110" xr:uid="{00000000-0005-0000-0000-0000DAD10000}"/>
    <cellStyle name="Normal 14 2 5 6" xfId="54111" xr:uid="{00000000-0005-0000-0000-0000DBD10000}"/>
    <cellStyle name="Normal 14 2 5 7" xfId="54088" xr:uid="{00000000-0005-0000-0000-0000DCD10000}"/>
    <cellStyle name="Normal 14 2 6" xfId="54112" xr:uid="{00000000-0005-0000-0000-0000DDD10000}"/>
    <cellStyle name="Normal 14 2 6 2" xfId="54113" xr:uid="{00000000-0005-0000-0000-0000DED10000}"/>
    <cellStyle name="Normal 14 2 6 2 2" xfId="54114" xr:uid="{00000000-0005-0000-0000-0000DFD10000}"/>
    <cellStyle name="Normal 14 2 6 2 2 2" xfId="54115" xr:uid="{00000000-0005-0000-0000-0000E0D10000}"/>
    <cellStyle name="Normal 14 2 6 2 2 2 2" xfId="54116" xr:uid="{00000000-0005-0000-0000-0000E1D10000}"/>
    <cellStyle name="Normal 14 2 6 2 2 3" xfId="54117" xr:uid="{00000000-0005-0000-0000-0000E2D10000}"/>
    <cellStyle name="Normal 14 2 6 2 3" xfId="54118" xr:uid="{00000000-0005-0000-0000-0000E3D10000}"/>
    <cellStyle name="Normal 14 2 6 2 3 2" xfId="54119" xr:uid="{00000000-0005-0000-0000-0000E4D10000}"/>
    <cellStyle name="Normal 14 2 6 2 4" xfId="54120" xr:uid="{00000000-0005-0000-0000-0000E5D10000}"/>
    <cellStyle name="Normal 14 2 6 3" xfId="54121" xr:uid="{00000000-0005-0000-0000-0000E6D10000}"/>
    <cellStyle name="Normal 14 2 6 3 2" xfId="54122" xr:uid="{00000000-0005-0000-0000-0000E7D10000}"/>
    <cellStyle name="Normal 14 2 6 3 2 2" xfId="54123" xr:uid="{00000000-0005-0000-0000-0000E8D10000}"/>
    <cellStyle name="Normal 14 2 6 3 3" xfId="54124" xr:uid="{00000000-0005-0000-0000-0000E9D10000}"/>
    <cellStyle name="Normal 14 2 6 4" xfId="54125" xr:uid="{00000000-0005-0000-0000-0000EAD10000}"/>
    <cellStyle name="Normal 14 2 6 4 2" xfId="54126" xr:uid="{00000000-0005-0000-0000-0000EBD10000}"/>
    <cellStyle name="Normal 14 2 6 5" xfId="54127" xr:uid="{00000000-0005-0000-0000-0000ECD10000}"/>
    <cellStyle name="Normal 14 2 7" xfId="54128" xr:uid="{00000000-0005-0000-0000-0000EDD10000}"/>
    <cellStyle name="Normal 14 2 7 2" xfId="54129" xr:uid="{00000000-0005-0000-0000-0000EED10000}"/>
    <cellStyle name="Normal 14 2 7 2 2" xfId="54130" xr:uid="{00000000-0005-0000-0000-0000EFD10000}"/>
    <cellStyle name="Normal 14 2 7 2 2 2" xfId="54131" xr:uid="{00000000-0005-0000-0000-0000F0D10000}"/>
    <cellStyle name="Normal 14 2 7 2 2 2 2" xfId="54132" xr:uid="{00000000-0005-0000-0000-0000F1D10000}"/>
    <cellStyle name="Normal 14 2 7 2 2 3" xfId="54133" xr:uid="{00000000-0005-0000-0000-0000F2D10000}"/>
    <cellStyle name="Normal 14 2 7 2 3" xfId="54134" xr:uid="{00000000-0005-0000-0000-0000F3D10000}"/>
    <cellStyle name="Normal 14 2 7 2 3 2" xfId="54135" xr:uid="{00000000-0005-0000-0000-0000F4D10000}"/>
    <cellStyle name="Normal 14 2 7 2 4" xfId="54136" xr:uid="{00000000-0005-0000-0000-0000F5D10000}"/>
    <cellStyle name="Normal 14 2 7 3" xfId="54137" xr:uid="{00000000-0005-0000-0000-0000F6D10000}"/>
    <cellStyle name="Normal 14 2 7 3 2" xfId="54138" xr:uid="{00000000-0005-0000-0000-0000F7D10000}"/>
    <cellStyle name="Normal 14 2 7 3 2 2" xfId="54139" xr:uid="{00000000-0005-0000-0000-0000F8D10000}"/>
    <cellStyle name="Normal 14 2 7 3 3" xfId="54140" xr:uid="{00000000-0005-0000-0000-0000F9D10000}"/>
    <cellStyle name="Normal 14 2 7 4" xfId="54141" xr:uid="{00000000-0005-0000-0000-0000FAD10000}"/>
    <cellStyle name="Normal 14 2 7 4 2" xfId="54142" xr:uid="{00000000-0005-0000-0000-0000FBD10000}"/>
    <cellStyle name="Normal 14 2 7 5" xfId="54143" xr:uid="{00000000-0005-0000-0000-0000FCD10000}"/>
    <cellStyle name="Normal 14 2 8" xfId="54144" xr:uid="{00000000-0005-0000-0000-0000FDD10000}"/>
    <cellStyle name="Normal 14 2 8 2" xfId="54145" xr:uid="{00000000-0005-0000-0000-0000FED10000}"/>
    <cellStyle name="Normal 14 2 8 2 2" xfId="54146" xr:uid="{00000000-0005-0000-0000-0000FFD10000}"/>
    <cellStyle name="Normal 14 2 8 2 2 2" xfId="54147" xr:uid="{00000000-0005-0000-0000-000000D20000}"/>
    <cellStyle name="Normal 14 2 8 2 3" xfId="54148" xr:uid="{00000000-0005-0000-0000-000001D20000}"/>
    <cellStyle name="Normal 14 2 8 3" xfId="54149" xr:uid="{00000000-0005-0000-0000-000002D20000}"/>
    <cellStyle name="Normal 14 2 8 3 2" xfId="54150" xr:uid="{00000000-0005-0000-0000-000003D20000}"/>
    <cellStyle name="Normal 14 2 8 4" xfId="54151" xr:uid="{00000000-0005-0000-0000-000004D20000}"/>
    <cellStyle name="Normal 14 2 9" xfId="54152" xr:uid="{00000000-0005-0000-0000-000005D20000}"/>
    <cellStyle name="Normal 14 2 9 2" xfId="54153" xr:uid="{00000000-0005-0000-0000-000006D20000}"/>
    <cellStyle name="Normal 14 2 9 2 2" xfId="54154" xr:uid="{00000000-0005-0000-0000-000007D20000}"/>
    <cellStyle name="Normal 14 2 9 2 2 2" xfId="54155" xr:uid="{00000000-0005-0000-0000-000008D20000}"/>
    <cellStyle name="Normal 14 2 9 2 3" xfId="54156" xr:uid="{00000000-0005-0000-0000-000009D20000}"/>
    <cellStyle name="Normal 14 2 9 3" xfId="54157" xr:uid="{00000000-0005-0000-0000-00000AD20000}"/>
    <cellStyle name="Normal 14 2 9 3 2" xfId="54158" xr:uid="{00000000-0005-0000-0000-00000BD20000}"/>
    <cellStyle name="Normal 14 2 9 4" xfId="54159" xr:uid="{00000000-0005-0000-0000-00000CD20000}"/>
    <cellStyle name="Normal 14 3" xfId="684" xr:uid="{00000000-0005-0000-0000-00000DD20000}"/>
    <cellStyle name="Normal 14 3 10" xfId="54161" xr:uid="{00000000-0005-0000-0000-00000ED20000}"/>
    <cellStyle name="Normal 14 3 10 2" xfId="54162" xr:uid="{00000000-0005-0000-0000-00000FD20000}"/>
    <cellStyle name="Normal 14 3 10 2 2" xfId="54163" xr:uid="{00000000-0005-0000-0000-000010D20000}"/>
    <cellStyle name="Normal 14 3 10 3" xfId="54164" xr:uid="{00000000-0005-0000-0000-000011D20000}"/>
    <cellStyle name="Normal 14 3 11" xfId="54165" xr:uid="{00000000-0005-0000-0000-000012D20000}"/>
    <cellStyle name="Normal 14 3 11 2" xfId="54166" xr:uid="{00000000-0005-0000-0000-000013D20000}"/>
    <cellStyle name="Normal 14 3 11 2 2" xfId="54167" xr:uid="{00000000-0005-0000-0000-000014D20000}"/>
    <cellStyle name="Normal 14 3 11 3" xfId="54168" xr:uid="{00000000-0005-0000-0000-000015D20000}"/>
    <cellStyle name="Normal 14 3 12" xfId="54169" xr:uid="{00000000-0005-0000-0000-000016D20000}"/>
    <cellStyle name="Normal 14 3 12 2" xfId="54170" xr:uid="{00000000-0005-0000-0000-000017D20000}"/>
    <cellStyle name="Normal 14 3 13" xfId="54171" xr:uid="{00000000-0005-0000-0000-000018D20000}"/>
    <cellStyle name="Normal 14 3 14" xfId="54172" xr:uid="{00000000-0005-0000-0000-000019D20000}"/>
    <cellStyle name="Normal 14 3 15" xfId="54160" xr:uid="{00000000-0005-0000-0000-00001AD20000}"/>
    <cellStyle name="Normal 14 3 2" xfId="1126" xr:uid="{00000000-0005-0000-0000-00001BD20000}"/>
    <cellStyle name="Normal 14 3 2 10" xfId="54174" xr:uid="{00000000-0005-0000-0000-00001CD20000}"/>
    <cellStyle name="Normal 14 3 2 11" xfId="54173" xr:uid="{00000000-0005-0000-0000-00001DD20000}"/>
    <cellStyle name="Normal 14 3 2 2" xfId="1853" xr:uid="{00000000-0005-0000-0000-00001ED20000}"/>
    <cellStyle name="Normal 14 3 2 2 2" xfId="54176" xr:uid="{00000000-0005-0000-0000-00001FD20000}"/>
    <cellStyle name="Normal 14 3 2 2 2 2" xfId="54177" xr:uid="{00000000-0005-0000-0000-000020D20000}"/>
    <cellStyle name="Normal 14 3 2 2 2 2 2" xfId="54178" xr:uid="{00000000-0005-0000-0000-000021D20000}"/>
    <cellStyle name="Normal 14 3 2 2 2 2 2 2" xfId="54179" xr:uid="{00000000-0005-0000-0000-000022D20000}"/>
    <cellStyle name="Normal 14 3 2 2 2 2 3" xfId="54180" xr:uid="{00000000-0005-0000-0000-000023D20000}"/>
    <cellStyle name="Normal 14 3 2 2 2 3" xfId="54181" xr:uid="{00000000-0005-0000-0000-000024D20000}"/>
    <cellStyle name="Normal 14 3 2 2 2 3 2" xfId="54182" xr:uid="{00000000-0005-0000-0000-000025D20000}"/>
    <cellStyle name="Normal 14 3 2 2 2 4" xfId="54183" xr:uid="{00000000-0005-0000-0000-000026D20000}"/>
    <cellStyle name="Normal 14 3 2 2 3" xfId="54184" xr:uid="{00000000-0005-0000-0000-000027D20000}"/>
    <cellStyle name="Normal 14 3 2 2 3 2" xfId="54185" xr:uid="{00000000-0005-0000-0000-000028D20000}"/>
    <cellStyle name="Normal 14 3 2 2 3 2 2" xfId="54186" xr:uid="{00000000-0005-0000-0000-000029D20000}"/>
    <cellStyle name="Normal 14 3 2 2 3 2 2 2" xfId="54187" xr:uid="{00000000-0005-0000-0000-00002AD20000}"/>
    <cellStyle name="Normal 14 3 2 2 3 2 3" xfId="54188" xr:uid="{00000000-0005-0000-0000-00002BD20000}"/>
    <cellStyle name="Normal 14 3 2 2 3 3" xfId="54189" xr:uid="{00000000-0005-0000-0000-00002CD20000}"/>
    <cellStyle name="Normal 14 3 2 2 3 3 2" xfId="54190" xr:uid="{00000000-0005-0000-0000-00002DD20000}"/>
    <cellStyle name="Normal 14 3 2 2 3 4" xfId="54191" xr:uid="{00000000-0005-0000-0000-00002ED20000}"/>
    <cellStyle name="Normal 14 3 2 2 4" xfId="54192" xr:uid="{00000000-0005-0000-0000-00002FD20000}"/>
    <cellStyle name="Normal 14 3 2 2 4 2" xfId="54193" xr:uid="{00000000-0005-0000-0000-000030D20000}"/>
    <cellStyle name="Normal 14 3 2 2 4 2 2" xfId="54194" xr:uid="{00000000-0005-0000-0000-000031D20000}"/>
    <cellStyle name="Normal 14 3 2 2 4 3" xfId="54195" xr:uid="{00000000-0005-0000-0000-000032D20000}"/>
    <cellStyle name="Normal 14 3 2 2 5" xfId="54196" xr:uid="{00000000-0005-0000-0000-000033D20000}"/>
    <cellStyle name="Normal 14 3 2 2 5 2" xfId="54197" xr:uid="{00000000-0005-0000-0000-000034D20000}"/>
    <cellStyle name="Normal 14 3 2 2 6" xfId="54198" xr:uid="{00000000-0005-0000-0000-000035D20000}"/>
    <cellStyle name="Normal 14 3 2 2 7" xfId="54175" xr:uid="{00000000-0005-0000-0000-000036D20000}"/>
    <cellStyle name="Normal 14 3 2 3" xfId="54199" xr:uid="{00000000-0005-0000-0000-000037D20000}"/>
    <cellStyle name="Normal 14 3 2 3 2" xfId="54200" xr:uid="{00000000-0005-0000-0000-000038D20000}"/>
    <cellStyle name="Normal 14 3 2 3 2 2" xfId="54201" xr:uid="{00000000-0005-0000-0000-000039D20000}"/>
    <cellStyle name="Normal 14 3 2 3 2 2 2" xfId="54202" xr:uid="{00000000-0005-0000-0000-00003AD20000}"/>
    <cellStyle name="Normal 14 3 2 3 2 2 2 2" xfId="54203" xr:uid="{00000000-0005-0000-0000-00003BD20000}"/>
    <cellStyle name="Normal 14 3 2 3 2 2 3" xfId="54204" xr:uid="{00000000-0005-0000-0000-00003CD20000}"/>
    <cellStyle name="Normal 14 3 2 3 2 3" xfId="54205" xr:uid="{00000000-0005-0000-0000-00003DD20000}"/>
    <cellStyle name="Normal 14 3 2 3 2 3 2" xfId="54206" xr:uid="{00000000-0005-0000-0000-00003ED20000}"/>
    <cellStyle name="Normal 14 3 2 3 2 4" xfId="54207" xr:uid="{00000000-0005-0000-0000-00003FD20000}"/>
    <cellStyle name="Normal 14 3 2 3 3" xfId="54208" xr:uid="{00000000-0005-0000-0000-000040D20000}"/>
    <cellStyle name="Normal 14 3 2 3 3 2" xfId="54209" xr:uid="{00000000-0005-0000-0000-000041D20000}"/>
    <cellStyle name="Normal 14 3 2 3 3 2 2" xfId="54210" xr:uid="{00000000-0005-0000-0000-000042D20000}"/>
    <cellStyle name="Normal 14 3 2 3 3 3" xfId="54211" xr:uid="{00000000-0005-0000-0000-000043D20000}"/>
    <cellStyle name="Normal 14 3 2 3 4" xfId="54212" xr:uid="{00000000-0005-0000-0000-000044D20000}"/>
    <cellStyle name="Normal 14 3 2 3 4 2" xfId="54213" xr:uid="{00000000-0005-0000-0000-000045D20000}"/>
    <cellStyle name="Normal 14 3 2 3 5" xfId="54214" xr:uid="{00000000-0005-0000-0000-000046D20000}"/>
    <cellStyle name="Normal 14 3 2 4" xfId="54215" xr:uid="{00000000-0005-0000-0000-000047D20000}"/>
    <cellStyle name="Normal 14 3 2 4 2" xfId="54216" xr:uid="{00000000-0005-0000-0000-000048D20000}"/>
    <cellStyle name="Normal 14 3 2 4 2 2" xfId="54217" xr:uid="{00000000-0005-0000-0000-000049D20000}"/>
    <cellStyle name="Normal 14 3 2 4 2 2 2" xfId="54218" xr:uid="{00000000-0005-0000-0000-00004AD20000}"/>
    <cellStyle name="Normal 14 3 2 4 2 2 2 2" xfId="54219" xr:uid="{00000000-0005-0000-0000-00004BD20000}"/>
    <cellStyle name="Normal 14 3 2 4 2 2 3" xfId="54220" xr:uid="{00000000-0005-0000-0000-00004CD20000}"/>
    <cellStyle name="Normal 14 3 2 4 2 3" xfId="54221" xr:uid="{00000000-0005-0000-0000-00004DD20000}"/>
    <cellStyle name="Normal 14 3 2 4 2 3 2" xfId="54222" xr:uid="{00000000-0005-0000-0000-00004ED20000}"/>
    <cellStyle name="Normal 14 3 2 4 2 4" xfId="54223" xr:uid="{00000000-0005-0000-0000-00004FD20000}"/>
    <cellStyle name="Normal 14 3 2 4 3" xfId="54224" xr:uid="{00000000-0005-0000-0000-000050D20000}"/>
    <cellStyle name="Normal 14 3 2 4 3 2" xfId="54225" xr:uid="{00000000-0005-0000-0000-000051D20000}"/>
    <cellStyle name="Normal 14 3 2 4 3 2 2" xfId="54226" xr:uid="{00000000-0005-0000-0000-000052D20000}"/>
    <cellStyle name="Normal 14 3 2 4 3 3" xfId="54227" xr:uid="{00000000-0005-0000-0000-000053D20000}"/>
    <cellStyle name="Normal 14 3 2 4 4" xfId="54228" xr:uid="{00000000-0005-0000-0000-000054D20000}"/>
    <cellStyle name="Normal 14 3 2 4 4 2" xfId="54229" xr:uid="{00000000-0005-0000-0000-000055D20000}"/>
    <cellStyle name="Normal 14 3 2 4 5" xfId="54230" xr:uid="{00000000-0005-0000-0000-000056D20000}"/>
    <cellStyle name="Normal 14 3 2 5" xfId="54231" xr:uid="{00000000-0005-0000-0000-000057D20000}"/>
    <cellStyle name="Normal 14 3 2 5 2" xfId="54232" xr:uid="{00000000-0005-0000-0000-000058D20000}"/>
    <cellStyle name="Normal 14 3 2 5 2 2" xfId="54233" xr:uid="{00000000-0005-0000-0000-000059D20000}"/>
    <cellStyle name="Normal 14 3 2 5 2 2 2" xfId="54234" xr:uid="{00000000-0005-0000-0000-00005AD20000}"/>
    <cellStyle name="Normal 14 3 2 5 2 3" xfId="54235" xr:uid="{00000000-0005-0000-0000-00005BD20000}"/>
    <cellStyle name="Normal 14 3 2 5 3" xfId="54236" xr:uid="{00000000-0005-0000-0000-00005CD20000}"/>
    <cellStyle name="Normal 14 3 2 5 3 2" xfId="54237" xr:uid="{00000000-0005-0000-0000-00005DD20000}"/>
    <cellStyle name="Normal 14 3 2 5 4" xfId="54238" xr:uid="{00000000-0005-0000-0000-00005ED20000}"/>
    <cellStyle name="Normal 14 3 2 6" xfId="54239" xr:uid="{00000000-0005-0000-0000-00005FD20000}"/>
    <cellStyle name="Normal 14 3 2 6 2" xfId="54240" xr:uid="{00000000-0005-0000-0000-000060D20000}"/>
    <cellStyle name="Normal 14 3 2 6 2 2" xfId="54241" xr:uid="{00000000-0005-0000-0000-000061D20000}"/>
    <cellStyle name="Normal 14 3 2 6 2 2 2" xfId="54242" xr:uid="{00000000-0005-0000-0000-000062D20000}"/>
    <cellStyle name="Normal 14 3 2 6 2 3" xfId="54243" xr:uid="{00000000-0005-0000-0000-000063D20000}"/>
    <cellStyle name="Normal 14 3 2 6 3" xfId="54244" xr:uid="{00000000-0005-0000-0000-000064D20000}"/>
    <cellStyle name="Normal 14 3 2 6 3 2" xfId="54245" xr:uid="{00000000-0005-0000-0000-000065D20000}"/>
    <cellStyle name="Normal 14 3 2 6 4" xfId="54246" xr:uid="{00000000-0005-0000-0000-000066D20000}"/>
    <cellStyle name="Normal 14 3 2 7" xfId="54247" xr:uid="{00000000-0005-0000-0000-000067D20000}"/>
    <cellStyle name="Normal 14 3 2 7 2" xfId="54248" xr:uid="{00000000-0005-0000-0000-000068D20000}"/>
    <cellStyle name="Normal 14 3 2 7 2 2" xfId="54249" xr:uid="{00000000-0005-0000-0000-000069D20000}"/>
    <cellStyle name="Normal 14 3 2 7 2 2 2" xfId="54250" xr:uid="{00000000-0005-0000-0000-00006AD20000}"/>
    <cellStyle name="Normal 14 3 2 7 2 3" xfId="54251" xr:uid="{00000000-0005-0000-0000-00006BD20000}"/>
    <cellStyle name="Normal 14 3 2 7 3" xfId="54252" xr:uid="{00000000-0005-0000-0000-00006CD20000}"/>
    <cellStyle name="Normal 14 3 2 7 3 2" xfId="54253" xr:uid="{00000000-0005-0000-0000-00006DD20000}"/>
    <cellStyle name="Normal 14 3 2 7 4" xfId="54254" xr:uid="{00000000-0005-0000-0000-00006ED20000}"/>
    <cellStyle name="Normal 14 3 2 8" xfId="54255" xr:uid="{00000000-0005-0000-0000-00006FD20000}"/>
    <cellStyle name="Normal 14 3 2 8 2" xfId="54256" xr:uid="{00000000-0005-0000-0000-000070D20000}"/>
    <cellStyle name="Normal 14 3 2 8 2 2" xfId="54257" xr:uid="{00000000-0005-0000-0000-000071D20000}"/>
    <cellStyle name="Normal 14 3 2 8 3" xfId="54258" xr:uid="{00000000-0005-0000-0000-000072D20000}"/>
    <cellStyle name="Normal 14 3 2 9" xfId="54259" xr:uid="{00000000-0005-0000-0000-000073D20000}"/>
    <cellStyle name="Normal 14 3 2 9 2" xfId="54260" xr:uid="{00000000-0005-0000-0000-000074D20000}"/>
    <cellStyle name="Normal 14 3 3" xfId="1526" xr:uid="{00000000-0005-0000-0000-000075D20000}"/>
    <cellStyle name="Normal 14 3 3 2" xfId="54262" xr:uid="{00000000-0005-0000-0000-000076D20000}"/>
    <cellStyle name="Normal 14 3 3 2 2" xfId="54263" xr:uid="{00000000-0005-0000-0000-000077D20000}"/>
    <cellStyle name="Normal 14 3 3 2 2 2" xfId="54264" xr:uid="{00000000-0005-0000-0000-000078D20000}"/>
    <cellStyle name="Normal 14 3 3 2 2 2 2" xfId="54265" xr:uid="{00000000-0005-0000-0000-000079D20000}"/>
    <cellStyle name="Normal 14 3 3 2 2 3" xfId="54266" xr:uid="{00000000-0005-0000-0000-00007AD20000}"/>
    <cellStyle name="Normal 14 3 3 2 3" xfId="54267" xr:uid="{00000000-0005-0000-0000-00007BD20000}"/>
    <cellStyle name="Normal 14 3 3 2 3 2" xfId="54268" xr:uid="{00000000-0005-0000-0000-00007CD20000}"/>
    <cellStyle name="Normal 14 3 3 2 4" xfId="54269" xr:uid="{00000000-0005-0000-0000-00007DD20000}"/>
    <cellStyle name="Normal 14 3 3 3" xfId="54270" xr:uid="{00000000-0005-0000-0000-00007ED20000}"/>
    <cellStyle name="Normal 14 3 3 3 2" xfId="54271" xr:uid="{00000000-0005-0000-0000-00007FD20000}"/>
    <cellStyle name="Normal 14 3 3 3 2 2" xfId="54272" xr:uid="{00000000-0005-0000-0000-000080D20000}"/>
    <cellStyle name="Normal 14 3 3 3 2 2 2" xfId="54273" xr:uid="{00000000-0005-0000-0000-000081D20000}"/>
    <cellStyle name="Normal 14 3 3 3 2 3" xfId="54274" xr:uid="{00000000-0005-0000-0000-000082D20000}"/>
    <cellStyle name="Normal 14 3 3 3 3" xfId="54275" xr:uid="{00000000-0005-0000-0000-000083D20000}"/>
    <cellStyle name="Normal 14 3 3 3 3 2" xfId="54276" xr:uid="{00000000-0005-0000-0000-000084D20000}"/>
    <cellStyle name="Normal 14 3 3 3 4" xfId="54277" xr:uid="{00000000-0005-0000-0000-000085D20000}"/>
    <cellStyle name="Normal 14 3 3 4" xfId="54278" xr:uid="{00000000-0005-0000-0000-000086D20000}"/>
    <cellStyle name="Normal 14 3 3 4 2" xfId="54279" xr:uid="{00000000-0005-0000-0000-000087D20000}"/>
    <cellStyle name="Normal 14 3 3 4 2 2" xfId="54280" xr:uid="{00000000-0005-0000-0000-000088D20000}"/>
    <cellStyle name="Normal 14 3 3 4 3" xfId="54281" xr:uid="{00000000-0005-0000-0000-000089D20000}"/>
    <cellStyle name="Normal 14 3 3 5" xfId="54282" xr:uid="{00000000-0005-0000-0000-00008AD20000}"/>
    <cellStyle name="Normal 14 3 3 5 2" xfId="54283" xr:uid="{00000000-0005-0000-0000-00008BD20000}"/>
    <cellStyle name="Normal 14 3 3 6" xfId="54284" xr:uid="{00000000-0005-0000-0000-00008CD20000}"/>
    <cellStyle name="Normal 14 3 3 7" xfId="54261" xr:uid="{00000000-0005-0000-0000-00008DD20000}"/>
    <cellStyle name="Normal 14 3 4" xfId="54285" xr:uid="{00000000-0005-0000-0000-00008ED20000}"/>
    <cellStyle name="Normal 14 3 4 2" xfId="54286" xr:uid="{00000000-0005-0000-0000-00008FD20000}"/>
    <cellStyle name="Normal 14 3 4 2 2" xfId="54287" xr:uid="{00000000-0005-0000-0000-000090D20000}"/>
    <cellStyle name="Normal 14 3 4 2 2 2" xfId="54288" xr:uid="{00000000-0005-0000-0000-000091D20000}"/>
    <cellStyle name="Normal 14 3 4 2 2 2 2" xfId="54289" xr:uid="{00000000-0005-0000-0000-000092D20000}"/>
    <cellStyle name="Normal 14 3 4 2 2 3" xfId="54290" xr:uid="{00000000-0005-0000-0000-000093D20000}"/>
    <cellStyle name="Normal 14 3 4 2 3" xfId="54291" xr:uid="{00000000-0005-0000-0000-000094D20000}"/>
    <cellStyle name="Normal 14 3 4 2 3 2" xfId="54292" xr:uid="{00000000-0005-0000-0000-000095D20000}"/>
    <cellStyle name="Normal 14 3 4 2 4" xfId="54293" xr:uid="{00000000-0005-0000-0000-000096D20000}"/>
    <cellStyle name="Normal 14 3 4 3" xfId="54294" xr:uid="{00000000-0005-0000-0000-000097D20000}"/>
    <cellStyle name="Normal 14 3 4 3 2" xfId="54295" xr:uid="{00000000-0005-0000-0000-000098D20000}"/>
    <cellStyle name="Normal 14 3 4 3 2 2" xfId="54296" xr:uid="{00000000-0005-0000-0000-000099D20000}"/>
    <cellStyle name="Normal 14 3 4 3 3" xfId="54297" xr:uid="{00000000-0005-0000-0000-00009AD20000}"/>
    <cellStyle name="Normal 14 3 4 4" xfId="54298" xr:uid="{00000000-0005-0000-0000-00009BD20000}"/>
    <cellStyle name="Normal 14 3 4 4 2" xfId="54299" xr:uid="{00000000-0005-0000-0000-00009CD20000}"/>
    <cellStyle name="Normal 14 3 4 5" xfId="54300" xr:uid="{00000000-0005-0000-0000-00009DD20000}"/>
    <cellStyle name="Normal 14 3 5" xfId="54301" xr:uid="{00000000-0005-0000-0000-00009ED20000}"/>
    <cellStyle name="Normal 14 3 5 2" xfId="54302" xr:uid="{00000000-0005-0000-0000-00009FD20000}"/>
    <cellStyle name="Normal 14 3 5 2 2" xfId="54303" xr:uid="{00000000-0005-0000-0000-0000A0D20000}"/>
    <cellStyle name="Normal 14 3 5 2 2 2" xfId="54304" xr:uid="{00000000-0005-0000-0000-0000A1D20000}"/>
    <cellStyle name="Normal 14 3 5 2 2 2 2" xfId="54305" xr:uid="{00000000-0005-0000-0000-0000A2D20000}"/>
    <cellStyle name="Normal 14 3 5 2 2 3" xfId="54306" xr:uid="{00000000-0005-0000-0000-0000A3D20000}"/>
    <cellStyle name="Normal 14 3 5 2 3" xfId="54307" xr:uid="{00000000-0005-0000-0000-0000A4D20000}"/>
    <cellStyle name="Normal 14 3 5 2 3 2" xfId="54308" xr:uid="{00000000-0005-0000-0000-0000A5D20000}"/>
    <cellStyle name="Normal 14 3 5 2 4" xfId="54309" xr:uid="{00000000-0005-0000-0000-0000A6D20000}"/>
    <cellStyle name="Normal 14 3 5 3" xfId="54310" xr:uid="{00000000-0005-0000-0000-0000A7D20000}"/>
    <cellStyle name="Normal 14 3 5 3 2" xfId="54311" xr:uid="{00000000-0005-0000-0000-0000A8D20000}"/>
    <cellStyle name="Normal 14 3 5 3 2 2" xfId="54312" xr:uid="{00000000-0005-0000-0000-0000A9D20000}"/>
    <cellStyle name="Normal 14 3 5 3 3" xfId="54313" xr:uid="{00000000-0005-0000-0000-0000AAD20000}"/>
    <cellStyle name="Normal 14 3 5 4" xfId="54314" xr:uid="{00000000-0005-0000-0000-0000ABD20000}"/>
    <cellStyle name="Normal 14 3 5 4 2" xfId="54315" xr:uid="{00000000-0005-0000-0000-0000ACD20000}"/>
    <cellStyle name="Normal 14 3 5 5" xfId="54316" xr:uid="{00000000-0005-0000-0000-0000ADD20000}"/>
    <cellStyle name="Normal 14 3 6" xfId="54317" xr:uid="{00000000-0005-0000-0000-0000AED20000}"/>
    <cellStyle name="Normal 14 3 6 2" xfId="54318" xr:uid="{00000000-0005-0000-0000-0000AFD20000}"/>
    <cellStyle name="Normal 14 3 6 2 2" xfId="54319" xr:uid="{00000000-0005-0000-0000-0000B0D20000}"/>
    <cellStyle name="Normal 14 3 6 2 2 2" xfId="54320" xr:uid="{00000000-0005-0000-0000-0000B1D20000}"/>
    <cellStyle name="Normal 14 3 6 2 3" xfId="54321" xr:uid="{00000000-0005-0000-0000-0000B2D20000}"/>
    <cellStyle name="Normal 14 3 6 3" xfId="54322" xr:uid="{00000000-0005-0000-0000-0000B3D20000}"/>
    <cellStyle name="Normal 14 3 6 3 2" xfId="54323" xr:uid="{00000000-0005-0000-0000-0000B4D20000}"/>
    <cellStyle name="Normal 14 3 6 4" xfId="54324" xr:uid="{00000000-0005-0000-0000-0000B5D20000}"/>
    <cellStyle name="Normal 14 3 7" xfId="54325" xr:uid="{00000000-0005-0000-0000-0000B6D20000}"/>
    <cellStyle name="Normal 14 3 7 2" xfId="54326" xr:uid="{00000000-0005-0000-0000-0000B7D20000}"/>
    <cellStyle name="Normal 14 3 7 2 2" xfId="54327" xr:uid="{00000000-0005-0000-0000-0000B8D20000}"/>
    <cellStyle name="Normal 14 3 7 2 2 2" xfId="54328" xr:uid="{00000000-0005-0000-0000-0000B9D20000}"/>
    <cellStyle name="Normal 14 3 7 2 3" xfId="54329" xr:uid="{00000000-0005-0000-0000-0000BAD20000}"/>
    <cellStyle name="Normal 14 3 7 3" xfId="54330" xr:uid="{00000000-0005-0000-0000-0000BBD20000}"/>
    <cellStyle name="Normal 14 3 7 3 2" xfId="54331" xr:uid="{00000000-0005-0000-0000-0000BCD20000}"/>
    <cellStyle name="Normal 14 3 7 4" xfId="54332" xr:uid="{00000000-0005-0000-0000-0000BDD20000}"/>
    <cellStyle name="Normal 14 3 8" xfId="54333" xr:uid="{00000000-0005-0000-0000-0000BED20000}"/>
    <cellStyle name="Normal 14 3 8 2" xfId="54334" xr:uid="{00000000-0005-0000-0000-0000BFD20000}"/>
    <cellStyle name="Normal 14 3 8 2 2" xfId="54335" xr:uid="{00000000-0005-0000-0000-0000C0D20000}"/>
    <cellStyle name="Normal 14 3 8 2 2 2" xfId="54336" xr:uid="{00000000-0005-0000-0000-0000C1D20000}"/>
    <cellStyle name="Normal 14 3 8 2 3" xfId="54337" xr:uid="{00000000-0005-0000-0000-0000C2D20000}"/>
    <cellStyle name="Normal 14 3 8 3" xfId="54338" xr:uid="{00000000-0005-0000-0000-0000C3D20000}"/>
    <cellStyle name="Normal 14 3 8 3 2" xfId="54339" xr:uid="{00000000-0005-0000-0000-0000C4D20000}"/>
    <cellStyle name="Normal 14 3 8 4" xfId="54340" xr:uid="{00000000-0005-0000-0000-0000C5D20000}"/>
    <cellStyle name="Normal 14 3 9" xfId="54341" xr:uid="{00000000-0005-0000-0000-0000C6D20000}"/>
    <cellStyle name="Normal 14 3 9 2" xfId="54342" xr:uid="{00000000-0005-0000-0000-0000C7D20000}"/>
    <cellStyle name="Normal 14 3 9 2 2" xfId="54343" xr:uid="{00000000-0005-0000-0000-0000C8D20000}"/>
    <cellStyle name="Normal 14 3 9 3" xfId="54344" xr:uid="{00000000-0005-0000-0000-0000C9D20000}"/>
    <cellStyle name="Normal 14 4" xfId="685" xr:uid="{00000000-0005-0000-0000-0000CAD20000}"/>
    <cellStyle name="Normal 14 4 10" xfId="54346" xr:uid="{00000000-0005-0000-0000-0000CBD20000}"/>
    <cellStyle name="Normal 14 4 10 2" xfId="54347" xr:uid="{00000000-0005-0000-0000-0000CCD20000}"/>
    <cellStyle name="Normal 14 4 10 2 2" xfId="54348" xr:uid="{00000000-0005-0000-0000-0000CDD20000}"/>
    <cellStyle name="Normal 14 4 10 3" xfId="54349" xr:uid="{00000000-0005-0000-0000-0000CED20000}"/>
    <cellStyle name="Normal 14 4 11" xfId="54350" xr:uid="{00000000-0005-0000-0000-0000CFD20000}"/>
    <cellStyle name="Normal 14 4 11 2" xfId="54351" xr:uid="{00000000-0005-0000-0000-0000D0D20000}"/>
    <cellStyle name="Normal 14 4 11 2 2" xfId="54352" xr:uid="{00000000-0005-0000-0000-0000D1D20000}"/>
    <cellStyle name="Normal 14 4 11 3" xfId="54353" xr:uid="{00000000-0005-0000-0000-0000D2D20000}"/>
    <cellStyle name="Normal 14 4 12" xfId="54354" xr:uid="{00000000-0005-0000-0000-0000D3D20000}"/>
    <cellStyle name="Normal 14 4 12 2" xfId="54355" xr:uid="{00000000-0005-0000-0000-0000D4D20000}"/>
    <cellStyle name="Normal 14 4 13" xfId="54356" xr:uid="{00000000-0005-0000-0000-0000D5D20000}"/>
    <cellStyle name="Normal 14 4 14" xfId="54357" xr:uid="{00000000-0005-0000-0000-0000D6D20000}"/>
    <cellStyle name="Normal 14 4 15" xfId="54345" xr:uid="{00000000-0005-0000-0000-0000D7D20000}"/>
    <cellStyle name="Normal 14 4 2" xfId="1127" xr:uid="{00000000-0005-0000-0000-0000D8D20000}"/>
    <cellStyle name="Normal 14 4 2 10" xfId="54359" xr:uid="{00000000-0005-0000-0000-0000D9D20000}"/>
    <cellStyle name="Normal 14 4 2 11" xfId="54358" xr:uid="{00000000-0005-0000-0000-0000DAD20000}"/>
    <cellStyle name="Normal 14 4 2 2" xfId="1854" xr:uid="{00000000-0005-0000-0000-0000DBD20000}"/>
    <cellStyle name="Normal 14 4 2 2 2" xfId="54361" xr:uid="{00000000-0005-0000-0000-0000DCD20000}"/>
    <cellStyle name="Normal 14 4 2 2 2 2" xfId="54362" xr:uid="{00000000-0005-0000-0000-0000DDD20000}"/>
    <cellStyle name="Normal 14 4 2 2 2 2 2" xfId="54363" xr:uid="{00000000-0005-0000-0000-0000DED20000}"/>
    <cellStyle name="Normal 14 4 2 2 2 2 2 2" xfId="54364" xr:uid="{00000000-0005-0000-0000-0000DFD20000}"/>
    <cellStyle name="Normal 14 4 2 2 2 2 3" xfId="54365" xr:uid="{00000000-0005-0000-0000-0000E0D20000}"/>
    <cellStyle name="Normal 14 4 2 2 2 3" xfId="54366" xr:uid="{00000000-0005-0000-0000-0000E1D20000}"/>
    <cellStyle name="Normal 14 4 2 2 2 3 2" xfId="54367" xr:uid="{00000000-0005-0000-0000-0000E2D20000}"/>
    <cellStyle name="Normal 14 4 2 2 2 4" xfId="54368" xr:uid="{00000000-0005-0000-0000-0000E3D20000}"/>
    <cellStyle name="Normal 14 4 2 2 3" xfId="54369" xr:uid="{00000000-0005-0000-0000-0000E4D20000}"/>
    <cellStyle name="Normal 14 4 2 2 3 2" xfId="54370" xr:uid="{00000000-0005-0000-0000-0000E5D20000}"/>
    <cellStyle name="Normal 14 4 2 2 3 2 2" xfId="54371" xr:uid="{00000000-0005-0000-0000-0000E6D20000}"/>
    <cellStyle name="Normal 14 4 2 2 3 2 2 2" xfId="54372" xr:uid="{00000000-0005-0000-0000-0000E7D20000}"/>
    <cellStyle name="Normal 14 4 2 2 3 2 3" xfId="54373" xr:uid="{00000000-0005-0000-0000-0000E8D20000}"/>
    <cellStyle name="Normal 14 4 2 2 3 3" xfId="54374" xr:uid="{00000000-0005-0000-0000-0000E9D20000}"/>
    <cellStyle name="Normal 14 4 2 2 3 3 2" xfId="54375" xr:uid="{00000000-0005-0000-0000-0000EAD20000}"/>
    <cellStyle name="Normal 14 4 2 2 3 4" xfId="54376" xr:uid="{00000000-0005-0000-0000-0000EBD20000}"/>
    <cellStyle name="Normal 14 4 2 2 4" xfId="54377" xr:uid="{00000000-0005-0000-0000-0000ECD20000}"/>
    <cellStyle name="Normal 14 4 2 2 4 2" xfId="54378" xr:uid="{00000000-0005-0000-0000-0000EDD20000}"/>
    <cellStyle name="Normal 14 4 2 2 4 2 2" xfId="54379" xr:uid="{00000000-0005-0000-0000-0000EED20000}"/>
    <cellStyle name="Normal 14 4 2 2 4 3" xfId="54380" xr:uid="{00000000-0005-0000-0000-0000EFD20000}"/>
    <cellStyle name="Normal 14 4 2 2 5" xfId="54381" xr:uid="{00000000-0005-0000-0000-0000F0D20000}"/>
    <cellStyle name="Normal 14 4 2 2 5 2" xfId="54382" xr:uid="{00000000-0005-0000-0000-0000F1D20000}"/>
    <cellStyle name="Normal 14 4 2 2 6" xfId="54383" xr:uid="{00000000-0005-0000-0000-0000F2D20000}"/>
    <cellStyle name="Normal 14 4 2 2 7" xfId="54360" xr:uid="{00000000-0005-0000-0000-0000F3D20000}"/>
    <cellStyle name="Normal 14 4 2 3" xfId="54384" xr:uid="{00000000-0005-0000-0000-0000F4D20000}"/>
    <cellStyle name="Normal 14 4 2 3 2" xfId="54385" xr:uid="{00000000-0005-0000-0000-0000F5D20000}"/>
    <cellStyle name="Normal 14 4 2 3 2 2" xfId="54386" xr:uid="{00000000-0005-0000-0000-0000F6D20000}"/>
    <cellStyle name="Normal 14 4 2 3 2 2 2" xfId="54387" xr:uid="{00000000-0005-0000-0000-0000F7D20000}"/>
    <cellStyle name="Normal 14 4 2 3 2 2 2 2" xfId="54388" xr:uid="{00000000-0005-0000-0000-0000F8D20000}"/>
    <cellStyle name="Normal 14 4 2 3 2 2 3" xfId="54389" xr:uid="{00000000-0005-0000-0000-0000F9D20000}"/>
    <cellStyle name="Normal 14 4 2 3 2 3" xfId="54390" xr:uid="{00000000-0005-0000-0000-0000FAD20000}"/>
    <cellStyle name="Normal 14 4 2 3 2 3 2" xfId="54391" xr:uid="{00000000-0005-0000-0000-0000FBD20000}"/>
    <cellStyle name="Normal 14 4 2 3 2 4" xfId="54392" xr:uid="{00000000-0005-0000-0000-0000FCD20000}"/>
    <cellStyle name="Normal 14 4 2 3 3" xfId="54393" xr:uid="{00000000-0005-0000-0000-0000FDD20000}"/>
    <cellStyle name="Normal 14 4 2 3 3 2" xfId="54394" xr:uid="{00000000-0005-0000-0000-0000FED20000}"/>
    <cellStyle name="Normal 14 4 2 3 3 2 2" xfId="54395" xr:uid="{00000000-0005-0000-0000-0000FFD20000}"/>
    <cellStyle name="Normal 14 4 2 3 3 3" xfId="54396" xr:uid="{00000000-0005-0000-0000-000000D30000}"/>
    <cellStyle name="Normal 14 4 2 3 4" xfId="54397" xr:uid="{00000000-0005-0000-0000-000001D30000}"/>
    <cellStyle name="Normal 14 4 2 3 4 2" xfId="54398" xr:uid="{00000000-0005-0000-0000-000002D30000}"/>
    <cellStyle name="Normal 14 4 2 3 5" xfId="54399" xr:uid="{00000000-0005-0000-0000-000003D30000}"/>
    <cellStyle name="Normal 14 4 2 4" xfId="54400" xr:uid="{00000000-0005-0000-0000-000004D30000}"/>
    <cellStyle name="Normal 14 4 2 4 2" xfId="54401" xr:uid="{00000000-0005-0000-0000-000005D30000}"/>
    <cellStyle name="Normal 14 4 2 4 2 2" xfId="54402" xr:uid="{00000000-0005-0000-0000-000006D30000}"/>
    <cellStyle name="Normal 14 4 2 4 2 2 2" xfId="54403" xr:uid="{00000000-0005-0000-0000-000007D30000}"/>
    <cellStyle name="Normal 14 4 2 4 2 2 2 2" xfId="54404" xr:uid="{00000000-0005-0000-0000-000008D30000}"/>
    <cellStyle name="Normal 14 4 2 4 2 2 3" xfId="54405" xr:uid="{00000000-0005-0000-0000-000009D30000}"/>
    <cellStyle name="Normal 14 4 2 4 2 3" xfId="54406" xr:uid="{00000000-0005-0000-0000-00000AD30000}"/>
    <cellStyle name="Normal 14 4 2 4 2 3 2" xfId="54407" xr:uid="{00000000-0005-0000-0000-00000BD30000}"/>
    <cellStyle name="Normal 14 4 2 4 2 4" xfId="54408" xr:uid="{00000000-0005-0000-0000-00000CD30000}"/>
    <cellStyle name="Normal 14 4 2 4 3" xfId="54409" xr:uid="{00000000-0005-0000-0000-00000DD30000}"/>
    <cellStyle name="Normal 14 4 2 4 3 2" xfId="54410" xr:uid="{00000000-0005-0000-0000-00000ED30000}"/>
    <cellStyle name="Normal 14 4 2 4 3 2 2" xfId="54411" xr:uid="{00000000-0005-0000-0000-00000FD30000}"/>
    <cellStyle name="Normal 14 4 2 4 3 3" xfId="54412" xr:uid="{00000000-0005-0000-0000-000010D30000}"/>
    <cellStyle name="Normal 14 4 2 4 4" xfId="54413" xr:uid="{00000000-0005-0000-0000-000011D30000}"/>
    <cellStyle name="Normal 14 4 2 4 4 2" xfId="54414" xr:uid="{00000000-0005-0000-0000-000012D30000}"/>
    <cellStyle name="Normal 14 4 2 4 5" xfId="54415" xr:uid="{00000000-0005-0000-0000-000013D30000}"/>
    <cellStyle name="Normal 14 4 2 5" xfId="54416" xr:uid="{00000000-0005-0000-0000-000014D30000}"/>
    <cellStyle name="Normal 14 4 2 5 2" xfId="54417" xr:uid="{00000000-0005-0000-0000-000015D30000}"/>
    <cellStyle name="Normal 14 4 2 5 2 2" xfId="54418" xr:uid="{00000000-0005-0000-0000-000016D30000}"/>
    <cellStyle name="Normal 14 4 2 5 2 2 2" xfId="54419" xr:uid="{00000000-0005-0000-0000-000017D30000}"/>
    <cellStyle name="Normal 14 4 2 5 2 3" xfId="54420" xr:uid="{00000000-0005-0000-0000-000018D30000}"/>
    <cellStyle name="Normal 14 4 2 5 3" xfId="54421" xr:uid="{00000000-0005-0000-0000-000019D30000}"/>
    <cellStyle name="Normal 14 4 2 5 3 2" xfId="54422" xr:uid="{00000000-0005-0000-0000-00001AD30000}"/>
    <cellStyle name="Normal 14 4 2 5 4" xfId="54423" xr:uid="{00000000-0005-0000-0000-00001BD30000}"/>
    <cellStyle name="Normal 14 4 2 6" xfId="54424" xr:uid="{00000000-0005-0000-0000-00001CD30000}"/>
    <cellStyle name="Normal 14 4 2 6 2" xfId="54425" xr:uid="{00000000-0005-0000-0000-00001DD30000}"/>
    <cellStyle name="Normal 14 4 2 6 2 2" xfId="54426" xr:uid="{00000000-0005-0000-0000-00001ED30000}"/>
    <cellStyle name="Normal 14 4 2 6 2 2 2" xfId="54427" xr:uid="{00000000-0005-0000-0000-00001FD30000}"/>
    <cellStyle name="Normal 14 4 2 6 2 3" xfId="54428" xr:uid="{00000000-0005-0000-0000-000020D30000}"/>
    <cellStyle name="Normal 14 4 2 6 3" xfId="54429" xr:uid="{00000000-0005-0000-0000-000021D30000}"/>
    <cellStyle name="Normal 14 4 2 6 3 2" xfId="54430" xr:uid="{00000000-0005-0000-0000-000022D30000}"/>
    <cellStyle name="Normal 14 4 2 6 4" xfId="54431" xr:uid="{00000000-0005-0000-0000-000023D30000}"/>
    <cellStyle name="Normal 14 4 2 7" xfId="54432" xr:uid="{00000000-0005-0000-0000-000024D30000}"/>
    <cellStyle name="Normal 14 4 2 7 2" xfId="54433" xr:uid="{00000000-0005-0000-0000-000025D30000}"/>
    <cellStyle name="Normal 14 4 2 7 2 2" xfId="54434" xr:uid="{00000000-0005-0000-0000-000026D30000}"/>
    <cellStyle name="Normal 14 4 2 7 2 2 2" xfId="54435" xr:uid="{00000000-0005-0000-0000-000027D30000}"/>
    <cellStyle name="Normal 14 4 2 7 2 3" xfId="54436" xr:uid="{00000000-0005-0000-0000-000028D30000}"/>
    <cellStyle name="Normal 14 4 2 7 3" xfId="54437" xr:uid="{00000000-0005-0000-0000-000029D30000}"/>
    <cellStyle name="Normal 14 4 2 7 3 2" xfId="54438" xr:uid="{00000000-0005-0000-0000-00002AD30000}"/>
    <cellStyle name="Normal 14 4 2 7 4" xfId="54439" xr:uid="{00000000-0005-0000-0000-00002BD30000}"/>
    <cellStyle name="Normal 14 4 2 8" xfId="54440" xr:uid="{00000000-0005-0000-0000-00002CD30000}"/>
    <cellStyle name="Normal 14 4 2 8 2" xfId="54441" xr:uid="{00000000-0005-0000-0000-00002DD30000}"/>
    <cellStyle name="Normal 14 4 2 8 2 2" xfId="54442" xr:uid="{00000000-0005-0000-0000-00002ED30000}"/>
    <cellStyle name="Normal 14 4 2 8 3" xfId="54443" xr:uid="{00000000-0005-0000-0000-00002FD30000}"/>
    <cellStyle name="Normal 14 4 2 9" xfId="54444" xr:uid="{00000000-0005-0000-0000-000030D30000}"/>
    <cellStyle name="Normal 14 4 2 9 2" xfId="54445" xr:uid="{00000000-0005-0000-0000-000031D30000}"/>
    <cellStyle name="Normal 14 4 3" xfId="1527" xr:uid="{00000000-0005-0000-0000-000032D30000}"/>
    <cellStyle name="Normal 14 4 3 2" xfId="54447" xr:uid="{00000000-0005-0000-0000-000033D30000}"/>
    <cellStyle name="Normal 14 4 3 2 2" xfId="54448" xr:uid="{00000000-0005-0000-0000-000034D30000}"/>
    <cellStyle name="Normal 14 4 3 2 2 2" xfId="54449" xr:uid="{00000000-0005-0000-0000-000035D30000}"/>
    <cellStyle name="Normal 14 4 3 2 2 2 2" xfId="54450" xr:uid="{00000000-0005-0000-0000-000036D30000}"/>
    <cellStyle name="Normal 14 4 3 2 2 3" xfId="54451" xr:uid="{00000000-0005-0000-0000-000037D30000}"/>
    <cellStyle name="Normal 14 4 3 2 3" xfId="54452" xr:uid="{00000000-0005-0000-0000-000038D30000}"/>
    <cellStyle name="Normal 14 4 3 2 3 2" xfId="54453" xr:uid="{00000000-0005-0000-0000-000039D30000}"/>
    <cellStyle name="Normal 14 4 3 2 4" xfId="54454" xr:uid="{00000000-0005-0000-0000-00003AD30000}"/>
    <cellStyle name="Normal 14 4 3 3" xfId="54455" xr:uid="{00000000-0005-0000-0000-00003BD30000}"/>
    <cellStyle name="Normal 14 4 3 3 2" xfId="54456" xr:uid="{00000000-0005-0000-0000-00003CD30000}"/>
    <cellStyle name="Normal 14 4 3 3 2 2" xfId="54457" xr:uid="{00000000-0005-0000-0000-00003DD30000}"/>
    <cellStyle name="Normal 14 4 3 3 2 2 2" xfId="54458" xr:uid="{00000000-0005-0000-0000-00003ED30000}"/>
    <cellStyle name="Normal 14 4 3 3 2 3" xfId="54459" xr:uid="{00000000-0005-0000-0000-00003FD30000}"/>
    <cellStyle name="Normal 14 4 3 3 3" xfId="54460" xr:uid="{00000000-0005-0000-0000-000040D30000}"/>
    <cellStyle name="Normal 14 4 3 3 3 2" xfId="54461" xr:uid="{00000000-0005-0000-0000-000041D30000}"/>
    <cellStyle name="Normal 14 4 3 3 4" xfId="54462" xr:uid="{00000000-0005-0000-0000-000042D30000}"/>
    <cellStyle name="Normal 14 4 3 4" xfId="54463" xr:uid="{00000000-0005-0000-0000-000043D30000}"/>
    <cellStyle name="Normal 14 4 3 4 2" xfId="54464" xr:uid="{00000000-0005-0000-0000-000044D30000}"/>
    <cellStyle name="Normal 14 4 3 4 2 2" xfId="54465" xr:uid="{00000000-0005-0000-0000-000045D30000}"/>
    <cellStyle name="Normal 14 4 3 4 3" xfId="54466" xr:uid="{00000000-0005-0000-0000-000046D30000}"/>
    <cellStyle name="Normal 14 4 3 5" xfId="54467" xr:uid="{00000000-0005-0000-0000-000047D30000}"/>
    <cellStyle name="Normal 14 4 3 5 2" xfId="54468" xr:uid="{00000000-0005-0000-0000-000048D30000}"/>
    <cellStyle name="Normal 14 4 3 6" xfId="54469" xr:uid="{00000000-0005-0000-0000-000049D30000}"/>
    <cellStyle name="Normal 14 4 3 7" xfId="54446" xr:uid="{00000000-0005-0000-0000-00004AD30000}"/>
    <cellStyle name="Normal 14 4 4" xfId="54470" xr:uid="{00000000-0005-0000-0000-00004BD30000}"/>
    <cellStyle name="Normal 14 4 4 2" xfId="54471" xr:uid="{00000000-0005-0000-0000-00004CD30000}"/>
    <cellStyle name="Normal 14 4 4 2 2" xfId="54472" xr:uid="{00000000-0005-0000-0000-00004DD30000}"/>
    <cellStyle name="Normal 14 4 4 2 2 2" xfId="54473" xr:uid="{00000000-0005-0000-0000-00004ED30000}"/>
    <cellStyle name="Normal 14 4 4 2 2 2 2" xfId="54474" xr:uid="{00000000-0005-0000-0000-00004FD30000}"/>
    <cellStyle name="Normal 14 4 4 2 2 3" xfId="54475" xr:uid="{00000000-0005-0000-0000-000050D30000}"/>
    <cellStyle name="Normal 14 4 4 2 3" xfId="54476" xr:uid="{00000000-0005-0000-0000-000051D30000}"/>
    <cellStyle name="Normal 14 4 4 2 3 2" xfId="54477" xr:uid="{00000000-0005-0000-0000-000052D30000}"/>
    <cellStyle name="Normal 14 4 4 2 4" xfId="54478" xr:uid="{00000000-0005-0000-0000-000053D30000}"/>
    <cellStyle name="Normal 14 4 4 3" xfId="54479" xr:uid="{00000000-0005-0000-0000-000054D30000}"/>
    <cellStyle name="Normal 14 4 4 3 2" xfId="54480" xr:uid="{00000000-0005-0000-0000-000055D30000}"/>
    <cellStyle name="Normal 14 4 4 3 2 2" xfId="54481" xr:uid="{00000000-0005-0000-0000-000056D30000}"/>
    <cellStyle name="Normal 14 4 4 3 3" xfId="54482" xr:uid="{00000000-0005-0000-0000-000057D30000}"/>
    <cellStyle name="Normal 14 4 4 4" xfId="54483" xr:uid="{00000000-0005-0000-0000-000058D30000}"/>
    <cellStyle name="Normal 14 4 4 4 2" xfId="54484" xr:uid="{00000000-0005-0000-0000-000059D30000}"/>
    <cellStyle name="Normal 14 4 4 5" xfId="54485" xr:uid="{00000000-0005-0000-0000-00005AD30000}"/>
    <cellStyle name="Normal 14 4 5" xfId="54486" xr:uid="{00000000-0005-0000-0000-00005BD30000}"/>
    <cellStyle name="Normal 14 4 5 2" xfId="54487" xr:uid="{00000000-0005-0000-0000-00005CD30000}"/>
    <cellStyle name="Normal 14 4 5 2 2" xfId="54488" xr:uid="{00000000-0005-0000-0000-00005DD30000}"/>
    <cellStyle name="Normal 14 4 5 2 2 2" xfId="54489" xr:uid="{00000000-0005-0000-0000-00005ED30000}"/>
    <cellStyle name="Normal 14 4 5 2 2 2 2" xfId="54490" xr:uid="{00000000-0005-0000-0000-00005FD30000}"/>
    <cellStyle name="Normal 14 4 5 2 2 3" xfId="54491" xr:uid="{00000000-0005-0000-0000-000060D30000}"/>
    <cellStyle name="Normal 14 4 5 2 3" xfId="54492" xr:uid="{00000000-0005-0000-0000-000061D30000}"/>
    <cellStyle name="Normal 14 4 5 2 3 2" xfId="54493" xr:uid="{00000000-0005-0000-0000-000062D30000}"/>
    <cellStyle name="Normal 14 4 5 2 4" xfId="54494" xr:uid="{00000000-0005-0000-0000-000063D30000}"/>
    <cellStyle name="Normal 14 4 5 3" xfId="54495" xr:uid="{00000000-0005-0000-0000-000064D30000}"/>
    <cellStyle name="Normal 14 4 5 3 2" xfId="54496" xr:uid="{00000000-0005-0000-0000-000065D30000}"/>
    <cellStyle name="Normal 14 4 5 3 2 2" xfId="54497" xr:uid="{00000000-0005-0000-0000-000066D30000}"/>
    <cellStyle name="Normal 14 4 5 3 3" xfId="54498" xr:uid="{00000000-0005-0000-0000-000067D30000}"/>
    <cellStyle name="Normal 14 4 5 4" xfId="54499" xr:uid="{00000000-0005-0000-0000-000068D30000}"/>
    <cellStyle name="Normal 14 4 5 4 2" xfId="54500" xr:uid="{00000000-0005-0000-0000-000069D30000}"/>
    <cellStyle name="Normal 14 4 5 5" xfId="54501" xr:uid="{00000000-0005-0000-0000-00006AD30000}"/>
    <cellStyle name="Normal 14 4 6" xfId="54502" xr:uid="{00000000-0005-0000-0000-00006BD30000}"/>
    <cellStyle name="Normal 14 4 6 2" xfId="54503" xr:uid="{00000000-0005-0000-0000-00006CD30000}"/>
    <cellStyle name="Normal 14 4 6 2 2" xfId="54504" xr:uid="{00000000-0005-0000-0000-00006DD30000}"/>
    <cellStyle name="Normal 14 4 6 2 2 2" xfId="54505" xr:uid="{00000000-0005-0000-0000-00006ED30000}"/>
    <cellStyle name="Normal 14 4 6 2 3" xfId="54506" xr:uid="{00000000-0005-0000-0000-00006FD30000}"/>
    <cellStyle name="Normal 14 4 6 3" xfId="54507" xr:uid="{00000000-0005-0000-0000-000070D30000}"/>
    <cellStyle name="Normal 14 4 6 3 2" xfId="54508" xr:uid="{00000000-0005-0000-0000-000071D30000}"/>
    <cellStyle name="Normal 14 4 6 4" xfId="54509" xr:uid="{00000000-0005-0000-0000-000072D30000}"/>
    <cellStyle name="Normal 14 4 7" xfId="54510" xr:uid="{00000000-0005-0000-0000-000073D30000}"/>
    <cellStyle name="Normal 14 4 7 2" xfId="54511" xr:uid="{00000000-0005-0000-0000-000074D30000}"/>
    <cellStyle name="Normal 14 4 7 2 2" xfId="54512" xr:uid="{00000000-0005-0000-0000-000075D30000}"/>
    <cellStyle name="Normal 14 4 7 2 2 2" xfId="54513" xr:uid="{00000000-0005-0000-0000-000076D30000}"/>
    <cellStyle name="Normal 14 4 7 2 3" xfId="54514" xr:uid="{00000000-0005-0000-0000-000077D30000}"/>
    <cellStyle name="Normal 14 4 7 3" xfId="54515" xr:uid="{00000000-0005-0000-0000-000078D30000}"/>
    <cellStyle name="Normal 14 4 7 3 2" xfId="54516" xr:uid="{00000000-0005-0000-0000-000079D30000}"/>
    <cellStyle name="Normal 14 4 7 4" xfId="54517" xr:uid="{00000000-0005-0000-0000-00007AD30000}"/>
    <cellStyle name="Normal 14 4 8" xfId="54518" xr:uid="{00000000-0005-0000-0000-00007BD30000}"/>
    <cellStyle name="Normal 14 4 8 2" xfId="54519" xr:uid="{00000000-0005-0000-0000-00007CD30000}"/>
    <cellStyle name="Normal 14 4 8 2 2" xfId="54520" xr:uid="{00000000-0005-0000-0000-00007DD30000}"/>
    <cellStyle name="Normal 14 4 8 2 2 2" xfId="54521" xr:uid="{00000000-0005-0000-0000-00007ED30000}"/>
    <cellStyle name="Normal 14 4 8 2 3" xfId="54522" xr:uid="{00000000-0005-0000-0000-00007FD30000}"/>
    <cellStyle name="Normal 14 4 8 3" xfId="54523" xr:uid="{00000000-0005-0000-0000-000080D30000}"/>
    <cellStyle name="Normal 14 4 8 3 2" xfId="54524" xr:uid="{00000000-0005-0000-0000-000081D30000}"/>
    <cellStyle name="Normal 14 4 8 4" xfId="54525" xr:uid="{00000000-0005-0000-0000-000082D30000}"/>
    <cellStyle name="Normal 14 4 9" xfId="54526" xr:uid="{00000000-0005-0000-0000-000083D30000}"/>
    <cellStyle name="Normal 14 4 9 2" xfId="54527" xr:uid="{00000000-0005-0000-0000-000084D30000}"/>
    <cellStyle name="Normal 14 4 9 2 2" xfId="54528" xr:uid="{00000000-0005-0000-0000-000085D30000}"/>
    <cellStyle name="Normal 14 4 9 3" xfId="54529" xr:uid="{00000000-0005-0000-0000-000086D30000}"/>
    <cellStyle name="Normal 14 5" xfId="1122" xr:uid="{00000000-0005-0000-0000-000087D30000}"/>
    <cellStyle name="Normal 14 5 10" xfId="54531" xr:uid="{00000000-0005-0000-0000-000088D30000}"/>
    <cellStyle name="Normal 14 5 11" xfId="54530" xr:uid="{00000000-0005-0000-0000-000089D30000}"/>
    <cellStyle name="Normal 14 5 2" xfId="1849" xr:uid="{00000000-0005-0000-0000-00008AD30000}"/>
    <cellStyle name="Normal 14 5 2 2" xfId="54533" xr:uid="{00000000-0005-0000-0000-00008BD30000}"/>
    <cellStyle name="Normal 14 5 2 2 2" xfId="54534" xr:uid="{00000000-0005-0000-0000-00008CD30000}"/>
    <cellStyle name="Normal 14 5 2 2 2 2" xfId="54535" xr:uid="{00000000-0005-0000-0000-00008DD30000}"/>
    <cellStyle name="Normal 14 5 2 2 2 2 2" xfId="54536" xr:uid="{00000000-0005-0000-0000-00008ED30000}"/>
    <cellStyle name="Normal 14 5 2 2 2 3" xfId="54537" xr:uid="{00000000-0005-0000-0000-00008FD30000}"/>
    <cellStyle name="Normal 14 5 2 2 3" xfId="54538" xr:uid="{00000000-0005-0000-0000-000090D30000}"/>
    <cellStyle name="Normal 14 5 2 2 3 2" xfId="54539" xr:uid="{00000000-0005-0000-0000-000091D30000}"/>
    <cellStyle name="Normal 14 5 2 2 4" xfId="54540" xr:uid="{00000000-0005-0000-0000-000092D30000}"/>
    <cellStyle name="Normal 14 5 2 3" xfId="54541" xr:uid="{00000000-0005-0000-0000-000093D30000}"/>
    <cellStyle name="Normal 14 5 2 3 2" xfId="54542" xr:uid="{00000000-0005-0000-0000-000094D30000}"/>
    <cellStyle name="Normal 14 5 2 3 2 2" xfId="54543" xr:uid="{00000000-0005-0000-0000-000095D30000}"/>
    <cellStyle name="Normal 14 5 2 3 2 2 2" xfId="54544" xr:uid="{00000000-0005-0000-0000-000096D30000}"/>
    <cellStyle name="Normal 14 5 2 3 2 3" xfId="54545" xr:uid="{00000000-0005-0000-0000-000097D30000}"/>
    <cellStyle name="Normal 14 5 2 3 3" xfId="54546" xr:uid="{00000000-0005-0000-0000-000098D30000}"/>
    <cellStyle name="Normal 14 5 2 3 3 2" xfId="54547" xr:uid="{00000000-0005-0000-0000-000099D30000}"/>
    <cellStyle name="Normal 14 5 2 3 4" xfId="54548" xr:uid="{00000000-0005-0000-0000-00009AD30000}"/>
    <cellStyle name="Normal 14 5 2 4" xfId="54549" xr:uid="{00000000-0005-0000-0000-00009BD30000}"/>
    <cellStyle name="Normal 14 5 2 4 2" xfId="54550" xr:uid="{00000000-0005-0000-0000-00009CD30000}"/>
    <cellStyle name="Normal 14 5 2 4 2 2" xfId="54551" xr:uid="{00000000-0005-0000-0000-00009DD30000}"/>
    <cellStyle name="Normal 14 5 2 4 3" xfId="54552" xr:uid="{00000000-0005-0000-0000-00009ED30000}"/>
    <cellStyle name="Normal 14 5 2 5" xfId="54553" xr:uid="{00000000-0005-0000-0000-00009FD30000}"/>
    <cellStyle name="Normal 14 5 2 5 2" xfId="54554" xr:uid="{00000000-0005-0000-0000-0000A0D30000}"/>
    <cellStyle name="Normal 14 5 2 6" xfId="54555" xr:uid="{00000000-0005-0000-0000-0000A1D30000}"/>
    <cellStyle name="Normal 14 5 2 7" xfId="54532" xr:uid="{00000000-0005-0000-0000-0000A2D30000}"/>
    <cellStyle name="Normal 14 5 3" xfId="54556" xr:uid="{00000000-0005-0000-0000-0000A3D30000}"/>
    <cellStyle name="Normal 14 5 3 2" xfId="54557" xr:uid="{00000000-0005-0000-0000-0000A4D30000}"/>
    <cellStyle name="Normal 14 5 3 2 2" xfId="54558" xr:uid="{00000000-0005-0000-0000-0000A5D30000}"/>
    <cellStyle name="Normal 14 5 3 2 2 2" xfId="54559" xr:uid="{00000000-0005-0000-0000-0000A6D30000}"/>
    <cellStyle name="Normal 14 5 3 2 2 2 2" xfId="54560" xr:uid="{00000000-0005-0000-0000-0000A7D30000}"/>
    <cellStyle name="Normal 14 5 3 2 2 3" xfId="54561" xr:uid="{00000000-0005-0000-0000-0000A8D30000}"/>
    <cellStyle name="Normal 14 5 3 2 3" xfId="54562" xr:uid="{00000000-0005-0000-0000-0000A9D30000}"/>
    <cellStyle name="Normal 14 5 3 2 3 2" xfId="54563" xr:uid="{00000000-0005-0000-0000-0000AAD30000}"/>
    <cellStyle name="Normal 14 5 3 2 4" xfId="54564" xr:uid="{00000000-0005-0000-0000-0000ABD30000}"/>
    <cellStyle name="Normal 14 5 3 3" xfId="54565" xr:uid="{00000000-0005-0000-0000-0000ACD30000}"/>
    <cellStyle name="Normal 14 5 3 3 2" xfId="54566" xr:uid="{00000000-0005-0000-0000-0000ADD30000}"/>
    <cellStyle name="Normal 14 5 3 3 2 2" xfId="54567" xr:uid="{00000000-0005-0000-0000-0000AED30000}"/>
    <cellStyle name="Normal 14 5 3 3 3" xfId="54568" xr:uid="{00000000-0005-0000-0000-0000AFD30000}"/>
    <cellStyle name="Normal 14 5 3 4" xfId="54569" xr:uid="{00000000-0005-0000-0000-0000B0D30000}"/>
    <cellStyle name="Normal 14 5 3 4 2" xfId="54570" xr:uid="{00000000-0005-0000-0000-0000B1D30000}"/>
    <cellStyle name="Normal 14 5 3 5" xfId="54571" xr:uid="{00000000-0005-0000-0000-0000B2D30000}"/>
    <cellStyle name="Normal 14 5 4" xfId="54572" xr:uid="{00000000-0005-0000-0000-0000B3D30000}"/>
    <cellStyle name="Normal 14 5 4 2" xfId="54573" xr:uid="{00000000-0005-0000-0000-0000B4D30000}"/>
    <cellStyle name="Normal 14 5 4 2 2" xfId="54574" xr:uid="{00000000-0005-0000-0000-0000B5D30000}"/>
    <cellStyle name="Normal 14 5 4 2 2 2" xfId="54575" xr:uid="{00000000-0005-0000-0000-0000B6D30000}"/>
    <cellStyle name="Normal 14 5 4 2 2 2 2" xfId="54576" xr:uid="{00000000-0005-0000-0000-0000B7D30000}"/>
    <cellStyle name="Normal 14 5 4 2 2 3" xfId="54577" xr:uid="{00000000-0005-0000-0000-0000B8D30000}"/>
    <cellStyle name="Normal 14 5 4 2 3" xfId="54578" xr:uid="{00000000-0005-0000-0000-0000B9D30000}"/>
    <cellStyle name="Normal 14 5 4 2 3 2" xfId="54579" xr:uid="{00000000-0005-0000-0000-0000BAD30000}"/>
    <cellStyle name="Normal 14 5 4 2 4" xfId="54580" xr:uid="{00000000-0005-0000-0000-0000BBD30000}"/>
    <cellStyle name="Normal 14 5 4 3" xfId="54581" xr:uid="{00000000-0005-0000-0000-0000BCD30000}"/>
    <cellStyle name="Normal 14 5 4 3 2" xfId="54582" xr:uid="{00000000-0005-0000-0000-0000BDD30000}"/>
    <cellStyle name="Normal 14 5 4 3 2 2" xfId="54583" xr:uid="{00000000-0005-0000-0000-0000BED30000}"/>
    <cellStyle name="Normal 14 5 4 3 3" xfId="54584" xr:uid="{00000000-0005-0000-0000-0000BFD30000}"/>
    <cellStyle name="Normal 14 5 4 4" xfId="54585" xr:uid="{00000000-0005-0000-0000-0000C0D30000}"/>
    <cellStyle name="Normal 14 5 4 4 2" xfId="54586" xr:uid="{00000000-0005-0000-0000-0000C1D30000}"/>
    <cellStyle name="Normal 14 5 4 5" xfId="54587" xr:uid="{00000000-0005-0000-0000-0000C2D30000}"/>
    <cellStyle name="Normal 14 5 5" xfId="54588" xr:uid="{00000000-0005-0000-0000-0000C3D30000}"/>
    <cellStyle name="Normal 14 5 5 2" xfId="54589" xr:uid="{00000000-0005-0000-0000-0000C4D30000}"/>
    <cellStyle name="Normal 14 5 5 2 2" xfId="54590" xr:uid="{00000000-0005-0000-0000-0000C5D30000}"/>
    <cellStyle name="Normal 14 5 5 2 2 2" xfId="54591" xr:uid="{00000000-0005-0000-0000-0000C6D30000}"/>
    <cellStyle name="Normal 14 5 5 2 3" xfId="54592" xr:uid="{00000000-0005-0000-0000-0000C7D30000}"/>
    <cellStyle name="Normal 14 5 5 3" xfId="54593" xr:uid="{00000000-0005-0000-0000-0000C8D30000}"/>
    <cellStyle name="Normal 14 5 5 3 2" xfId="54594" xr:uid="{00000000-0005-0000-0000-0000C9D30000}"/>
    <cellStyle name="Normal 14 5 5 4" xfId="54595" xr:uid="{00000000-0005-0000-0000-0000CAD30000}"/>
    <cellStyle name="Normal 14 5 6" xfId="54596" xr:uid="{00000000-0005-0000-0000-0000CBD30000}"/>
    <cellStyle name="Normal 14 5 6 2" xfId="54597" xr:uid="{00000000-0005-0000-0000-0000CCD30000}"/>
    <cellStyle name="Normal 14 5 6 2 2" xfId="54598" xr:uid="{00000000-0005-0000-0000-0000CDD30000}"/>
    <cellStyle name="Normal 14 5 6 2 2 2" xfId="54599" xr:uid="{00000000-0005-0000-0000-0000CED30000}"/>
    <cellStyle name="Normal 14 5 6 2 3" xfId="54600" xr:uid="{00000000-0005-0000-0000-0000CFD30000}"/>
    <cellStyle name="Normal 14 5 6 3" xfId="54601" xr:uid="{00000000-0005-0000-0000-0000D0D30000}"/>
    <cellStyle name="Normal 14 5 6 3 2" xfId="54602" xr:uid="{00000000-0005-0000-0000-0000D1D30000}"/>
    <cellStyle name="Normal 14 5 6 4" xfId="54603" xr:uid="{00000000-0005-0000-0000-0000D2D30000}"/>
    <cellStyle name="Normal 14 5 7" xfId="54604" xr:uid="{00000000-0005-0000-0000-0000D3D30000}"/>
    <cellStyle name="Normal 14 5 7 2" xfId="54605" xr:uid="{00000000-0005-0000-0000-0000D4D30000}"/>
    <cellStyle name="Normal 14 5 7 2 2" xfId="54606" xr:uid="{00000000-0005-0000-0000-0000D5D30000}"/>
    <cellStyle name="Normal 14 5 7 2 2 2" xfId="54607" xr:uid="{00000000-0005-0000-0000-0000D6D30000}"/>
    <cellStyle name="Normal 14 5 7 2 3" xfId="54608" xr:uid="{00000000-0005-0000-0000-0000D7D30000}"/>
    <cellStyle name="Normal 14 5 7 3" xfId="54609" xr:uid="{00000000-0005-0000-0000-0000D8D30000}"/>
    <cellStyle name="Normal 14 5 7 3 2" xfId="54610" xr:uid="{00000000-0005-0000-0000-0000D9D30000}"/>
    <cellStyle name="Normal 14 5 7 4" xfId="54611" xr:uid="{00000000-0005-0000-0000-0000DAD30000}"/>
    <cellStyle name="Normal 14 5 8" xfId="54612" xr:uid="{00000000-0005-0000-0000-0000DBD30000}"/>
    <cellStyle name="Normal 14 5 8 2" xfId="54613" xr:uid="{00000000-0005-0000-0000-0000DCD30000}"/>
    <cellStyle name="Normal 14 5 8 2 2" xfId="54614" xr:uid="{00000000-0005-0000-0000-0000DDD30000}"/>
    <cellStyle name="Normal 14 5 8 3" xfId="54615" xr:uid="{00000000-0005-0000-0000-0000DED30000}"/>
    <cellStyle name="Normal 14 5 9" xfId="54616" xr:uid="{00000000-0005-0000-0000-0000DFD30000}"/>
    <cellStyle name="Normal 14 5 9 2" xfId="54617" xr:uid="{00000000-0005-0000-0000-0000E0D30000}"/>
    <cellStyle name="Normal 14 6" xfId="1522" xr:uid="{00000000-0005-0000-0000-0000E1D30000}"/>
    <cellStyle name="Normal 14 6 2" xfId="54619" xr:uid="{00000000-0005-0000-0000-0000E2D30000}"/>
    <cellStyle name="Normal 14 6 2 2" xfId="54620" xr:uid="{00000000-0005-0000-0000-0000E3D30000}"/>
    <cellStyle name="Normal 14 6 2 2 2" xfId="54621" xr:uid="{00000000-0005-0000-0000-0000E4D30000}"/>
    <cellStyle name="Normal 14 6 2 2 2 2" xfId="54622" xr:uid="{00000000-0005-0000-0000-0000E5D30000}"/>
    <cellStyle name="Normal 14 6 2 2 3" xfId="54623" xr:uid="{00000000-0005-0000-0000-0000E6D30000}"/>
    <cellStyle name="Normal 14 6 2 3" xfId="54624" xr:uid="{00000000-0005-0000-0000-0000E7D30000}"/>
    <cellStyle name="Normal 14 6 2 3 2" xfId="54625" xr:uid="{00000000-0005-0000-0000-0000E8D30000}"/>
    <cellStyle name="Normal 14 6 2 4" xfId="54626" xr:uid="{00000000-0005-0000-0000-0000E9D30000}"/>
    <cellStyle name="Normal 14 6 3" xfId="54627" xr:uid="{00000000-0005-0000-0000-0000EAD30000}"/>
    <cellStyle name="Normal 14 6 3 2" xfId="54628" xr:uid="{00000000-0005-0000-0000-0000EBD30000}"/>
    <cellStyle name="Normal 14 6 3 2 2" xfId="54629" xr:uid="{00000000-0005-0000-0000-0000ECD30000}"/>
    <cellStyle name="Normal 14 6 3 2 2 2" xfId="54630" xr:uid="{00000000-0005-0000-0000-0000EDD30000}"/>
    <cellStyle name="Normal 14 6 3 2 3" xfId="54631" xr:uid="{00000000-0005-0000-0000-0000EED30000}"/>
    <cellStyle name="Normal 14 6 3 3" xfId="54632" xr:uid="{00000000-0005-0000-0000-0000EFD30000}"/>
    <cellStyle name="Normal 14 6 3 3 2" xfId="54633" xr:uid="{00000000-0005-0000-0000-0000F0D30000}"/>
    <cellStyle name="Normal 14 6 3 4" xfId="54634" xr:uid="{00000000-0005-0000-0000-0000F1D30000}"/>
    <cellStyle name="Normal 14 6 4" xfId="54635" xr:uid="{00000000-0005-0000-0000-0000F2D30000}"/>
    <cellStyle name="Normal 14 6 4 2" xfId="54636" xr:uid="{00000000-0005-0000-0000-0000F3D30000}"/>
    <cellStyle name="Normal 14 6 4 2 2" xfId="54637" xr:uid="{00000000-0005-0000-0000-0000F4D30000}"/>
    <cellStyle name="Normal 14 6 4 3" xfId="54638" xr:uid="{00000000-0005-0000-0000-0000F5D30000}"/>
    <cellStyle name="Normal 14 6 5" xfId="54639" xr:uid="{00000000-0005-0000-0000-0000F6D30000}"/>
    <cellStyle name="Normal 14 6 5 2" xfId="54640" xr:uid="{00000000-0005-0000-0000-0000F7D30000}"/>
    <cellStyle name="Normal 14 6 6" xfId="54641" xr:uid="{00000000-0005-0000-0000-0000F8D30000}"/>
    <cellStyle name="Normal 14 6 7" xfId="54618" xr:uid="{00000000-0005-0000-0000-0000F9D30000}"/>
    <cellStyle name="Normal 14 7" xfId="54642" xr:uid="{00000000-0005-0000-0000-0000FAD30000}"/>
    <cellStyle name="Normal 14 7 2" xfId="54643" xr:uid="{00000000-0005-0000-0000-0000FBD30000}"/>
    <cellStyle name="Normal 14 7 2 2" xfId="54644" xr:uid="{00000000-0005-0000-0000-0000FCD30000}"/>
    <cellStyle name="Normal 14 7 2 2 2" xfId="54645" xr:uid="{00000000-0005-0000-0000-0000FDD30000}"/>
    <cellStyle name="Normal 14 7 2 2 2 2" xfId="54646" xr:uid="{00000000-0005-0000-0000-0000FED30000}"/>
    <cellStyle name="Normal 14 7 2 2 3" xfId="54647" xr:uid="{00000000-0005-0000-0000-0000FFD30000}"/>
    <cellStyle name="Normal 14 7 2 3" xfId="54648" xr:uid="{00000000-0005-0000-0000-000000D40000}"/>
    <cellStyle name="Normal 14 7 2 3 2" xfId="54649" xr:uid="{00000000-0005-0000-0000-000001D40000}"/>
    <cellStyle name="Normal 14 7 2 4" xfId="54650" xr:uid="{00000000-0005-0000-0000-000002D40000}"/>
    <cellStyle name="Normal 14 7 3" xfId="54651" xr:uid="{00000000-0005-0000-0000-000003D40000}"/>
    <cellStyle name="Normal 14 7 3 2" xfId="54652" xr:uid="{00000000-0005-0000-0000-000004D40000}"/>
    <cellStyle name="Normal 14 7 3 2 2" xfId="54653" xr:uid="{00000000-0005-0000-0000-000005D40000}"/>
    <cellStyle name="Normal 14 7 3 3" xfId="54654" xr:uid="{00000000-0005-0000-0000-000006D40000}"/>
    <cellStyle name="Normal 14 7 4" xfId="54655" xr:uid="{00000000-0005-0000-0000-000007D40000}"/>
    <cellStyle name="Normal 14 7 4 2" xfId="54656" xr:uid="{00000000-0005-0000-0000-000008D40000}"/>
    <cellStyle name="Normal 14 7 5" xfId="54657" xr:uid="{00000000-0005-0000-0000-000009D40000}"/>
    <cellStyle name="Normal 14 8" xfId="54658" xr:uid="{00000000-0005-0000-0000-00000AD40000}"/>
    <cellStyle name="Normal 14 8 2" xfId="54659" xr:uid="{00000000-0005-0000-0000-00000BD40000}"/>
    <cellStyle name="Normal 14 8 2 2" xfId="54660" xr:uid="{00000000-0005-0000-0000-00000CD40000}"/>
    <cellStyle name="Normal 14 8 2 2 2" xfId="54661" xr:uid="{00000000-0005-0000-0000-00000DD40000}"/>
    <cellStyle name="Normal 14 8 2 2 2 2" xfId="54662" xr:uid="{00000000-0005-0000-0000-00000ED40000}"/>
    <cellStyle name="Normal 14 8 2 2 3" xfId="54663" xr:uid="{00000000-0005-0000-0000-00000FD40000}"/>
    <cellStyle name="Normal 14 8 2 3" xfId="54664" xr:uid="{00000000-0005-0000-0000-000010D40000}"/>
    <cellStyle name="Normal 14 8 2 3 2" xfId="54665" xr:uid="{00000000-0005-0000-0000-000011D40000}"/>
    <cellStyle name="Normal 14 8 2 4" xfId="54666" xr:uid="{00000000-0005-0000-0000-000012D40000}"/>
    <cellStyle name="Normal 14 8 3" xfId="54667" xr:uid="{00000000-0005-0000-0000-000013D40000}"/>
    <cellStyle name="Normal 14 8 3 2" xfId="54668" xr:uid="{00000000-0005-0000-0000-000014D40000}"/>
    <cellStyle name="Normal 14 8 3 2 2" xfId="54669" xr:uid="{00000000-0005-0000-0000-000015D40000}"/>
    <cellStyle name="Normal 14 8 3 3" xfId="54670" xr:uid="{00000000-0005-0000-0000-000016D40000}"/>
    <cellStyle name="Normal 14 8 4" xfId="54671" xr:uid="{00000000-0005-0000-0000-000017D40000}"/>
    <cellStyle name="Normal 14 8 4 2" xfId="54672" xr:uid="{00000000-0005-0000-0000-000018D40000}"/>
    <cellStyle name="Normal 14 8 5" xfId="54673" xr:uid="{00000000-0005-0000-0000-000019D40000}"/>
    <cellStyle name="Normal 14 9" xfId="54674" xr:uid="{00000000-0005-0000-0000-00001AD40000}"/>
    <cellStyle name="Normal 14 9 2" xfId="54675" xr:uid="{00000000-0005-0000-0000-00001BD40000}"/>
    <cellStyle name="Normal 14 9 2 2" xfId="54676" xr:uid="{00000000-0005-0000-0000-00001CD40000}"/>
    <cellStyle name="Normal 14 9 2 2 2" xfId="54677" xr:uid="{00000000-0005-0000-0000-00001DD40000}"/>
    <cellStyle name="Normal 14 9 2 3" xfId="54678" xr:uid="{00000000-0005-0000-0000-00001ED40000}"/>
    <cellStyle name="Normal 14 9 3" xfId="54679" xr:uid="{00000000-0005-0000-0000-00001FD40000}"/>
    <cellStyle name="Normal 14 9 3 2" xfId="54680" xr:uid="{00000000-0005-0000-0000-000020D40000}"/>
    <cellStyle name="Normal 14 9 4" xfId="54681" xr:uid="{00000000-0005-0000-0000-000021D40000}"/>
    <cellStyle name="Normal 15" xfId="686" xr:uid="{00000000-0005-0000-0000-000022D40000}"/>
    <cellStyle name="Normal 15 10" xfId="54683" xr:uid="{00000000-0005-0000-0000-000023D40000}"/>
    <cellStyle name="Normal 15 10 2" xfId="54684" xr:uid="{00000000-0005-0000-0000-000024D40000}"/>
    <cellStyle name="Normal 15 10 2 2" xfId="54685" xr:uid="{00000000-0005-0000-0000-000025D40000}"/>
    <cellStyle name="Normal 15 10 2 2 2" xfId="54686" xr:uid="{00000000-0005-0000-0000-000026D40000}"/>
    <cellStyle name="Normal 15 10 2 3" xfId="54687" xr:uid="{00000000-0005-0000-0000-000027D40000}"/>
    <cellStyle name="Normal 15 10 3" xfId="54688" xr:uid="{00000000-0005-0000-0000-000028D40000}"/>
    <cellStyle name="Normal 15 10 3 2" xfId="54689" xr:uid="{00000000-0005-0000-0000-000029D40000}"/>
    <cellStyle name="Normal 15 10 4" xfId="54690" xr:uid="{00000000-0005-0000-0000-00002AD40000}"/>
    <cellStyle name="Normal 15 11" xfId="54691" xr:uid="{00000000-0005-0000-0000-00002BD40000}"/>
    <cellStyle name="Normal 15 11 2" xfId="54692" xr:uid="{00000000-0005-0000-0000-00002CD40000}"/>
    <cellStyle name="Normal 15 11 2 2" xfId="54693" xr:uid="{00000000-0005-0000-0000-00002DD40000}"/>
    <cellStyle name="Normal 15 11 2 2 2" xfId="54694" xr:uid="{00000000-0005-0000-0000-00002ED40000}"/>
    <cellStyle name="Normal 15 11 2 3" xfId="54695" xr:uid="{00000000-0005-0000-0000-00002FD40000}"/>
    <cellStyle name="Normal 15 11 3" xfId="54696" xr:uid="{00000000-0005-0000-0000-000030D40000}"/>
    <cellStyle name="Normal 15 11 3 2" xfId="54697" xr:uid="{00000000-0005-0000-0000-000031D40000}"/>
    <cellStyle name="Normal 15 11 4" xfId="54698" xr:uid="{00000000-0005-0000-0000-000032D40000}"/>
    <cellStyle name="Normal 15 12" xfId="54699" xr:uid="{00000000-0005-0000-0000-000033D40000}"/>
    <cellStyle name="Normal 15 12 2" xfId="54700" xr:uid="{00000000-0005-0000-0000-000034D40000}"/>
    <cellStyle name="Normal 15 12 2 2" xfId="54701" xr:uid="{00000000-0005-0000-0000-000035D40000}"/>
    <cellStyle name="Normal 15 12 3" xfId="54702" xr:uid="{00000000-0005-0000-0000-000036D40000}"/>
    <cellStyle name="Normal 15 13" xfId="54703" xr:uid="{00000000-0005-0000-0000-000037D40000}"/>
    <cellStyle name="Normal 15 13 2" xfId="54704" xr:uid="{00000000-0005-0000-0000-000038D40000}"/>
    <cellStyle name="Normal 15 13 2 2" xfId="54705" xr:uid="{00000000-0005-0000-0000-000039D40000}"/>
    <cellStyle name="Normal 15 13 3" xfId="54706" xr:uid="{00000000-0005-0000-0000-00003AD40000}"/>
    <cellStyle name="Normal 15 14" xfId="54707" xr:uid="{00000000-0005-0000-0000-00003BD40000}"/>
    <cellStyle name="Normal 15 14 2" xfId="54708" xr:uid="{00000000-0005-0000-0000-00003CD40000}"/>
    <cellStyle name="Normal 15 14 2 2" xfId="54709" xr:uid="{00000000-0005-0000-0000-00003DD40000}"/>
    <cellStyle name="Normal 15 14 3" xfId="54710" xr:uid="{00000000-0005-0000-0000-00003ED40000}"/>
    <cellStyle name="Normal 15 15" xfId="54711" xr:uid="{00000000-0005-0000-0000-00003FD40000}"/>
    <cellStyle name="Normal 15 15 2" xfId="54712" xr:uid="{00000000-0005-0000-0000-000040D40000}"/>
    <cellStyle name="Normal 15 16" xfId="54713" xr:uid="{00000000-0005-0000-0000-000041D40000}"/>
    <cellStyle name="Normal 15 17" xfId="54714" xr:uid="{00000000-0005-0000-0000-000042D40000}"/>
    <cellStyle name="Normal 15 18" xfId="54682" xr:uid="{00000000-0005-0000-0000-000043D40000}"/>
    <cellStyle name="Normal 15 2" xfId="687" xr:uid="{00000000-0005-0000-0000-000044D40000}"/>
    <cellStyle name="Normal 15 2 2" xfId="54715" xr:uid="{00000000-0005-0000-0000-000045D40000}"/>
    <cellStyle name="Normal 15 3" xfId="688" xr:uid="{00000000-0005-0000-0000-000046D40000}"/>
    <cellStyle name="Normal 15 3 10" xfId="54717" xr:uid="{00000000-0005-0000-0000-000047D40000}"/>
    <cellStyle name="Normal 15 3 10 2" xfId="54718" xr:uid="{00000000-0005-0000-0000-000048D40000}"/>
    <cellStyle name="Normal 15 3 10 2 2" xfId="54719" xr:uid="{00000000-0005-0000-0000-000049D40000}"/>
    <cellStyle name="Normal 15 3 10 3" xfId="54720" xr:uid="{00000000-0005-0000-0000-00004AD40000}"/>
    <cellStyle name="Normal 15 3 11" xfId="54721" xr:uid="{00000000-0005-0000-0000-00004BD40000}"/>
    <cellStyle name="Normal 15 3 11 2" xfId="54722" xr:uid="{00000000-0005-0000-0000-00004CD40000}"/>
    <cellStyle name="Normal 15 3 11 2 2" xfId="54723" xr:uid="{00000000-0005-0000-0000-00004DD40000}"/>
    <cellStyle name="Normal 15 3 11 3" xfId="54724" xr:uid="{00000000-0005-0000-0000-00004ED40000}"/>
    <cellStyle name="Normal 15 3 12" xfId="54725" xr:uid="{00000000-0005-0000-0000-00004FD40000}"/>
    <cellStyle name="Normal 15 3 12 2" xfId="54726" xr:uid="{00000000-0005-0000-0000-000050D40000}"/>
    <cellStyle name="Normal 15 3 13" xfId="54727" xr:uid="{00000000-0005-0000-0000-000051D40000}"/>
    <cellStyle name="Normal 15 3 14" xfId="54728" xr:uid="{00000000-0005-0000-0000-000052D40000}"/>
    <cellStyle name="Normal 15 3 15" xfId="54716" xr:uid="{00000000-0005-0000-0000-000053D40000}"/>
    <cellStyle name="Normal 15 3 2" xfId="1129" xr:uid="{00000000-0005-0000-0000-000054D40000}"/>
    <cellStyle name="Normal 15 3 2 10" xfId="54730" xr:uid="{00000000-0005-0000-0000-000055D40000}"/>
    <cellStyle name="Normal 15 3 2 11" xfId="54729" xr:uid="{00000000-0005-0000-0000-000056D40000}"/>
    <cellStyle name="Normal 15 3 2 2" xfId="1856" xr:uid="{00000000-0005-0000-0000-000057D40000}"/>
    <cellStyle name="Normal 15 3 2 2 2" xfId="54732" xr:uid="{00000000-0005-0000-0000-000058D40000}"/>
    <cellStyle name="Normal 15 3 2 2 2 2" xfId="54733" xr:uid="{00000000-0005-0000-0000-000059D40000}"/>
    <cellStyle name="Normal 15 3 2 2 2 2 2" xfId="54734" xr:uid="{00000000-0005-0000-0000-00005AD40000}"/>
    <cellStyle name="Normal 15 3 2 2 2 2 2 2" xfId="54735" xr:uid="{00000000-0005-0000-0000-00005BD40000}"/>
    <cellStyle name="Normal 15 3 2 2 2 2 3" xfId="54736" xr:uid="{00000000-0005-0000-0000-00005CD40000}"/>
    <cellStyle name="Normal 15 3 2 2 2 3" xfId="54737" xr:uid="{00000000-0005-0000-0000-00005DD40000}"/>
    <cellStyle name="Normal 15 3 2 2 2 3 2" xfId="54738" xr:uid="{00000000-0005-0000-0000-00005ED40000}"/>
    <cellStyle name="Normal 15 3 2 2 2 4" xfId="54739" xr:uid="{00000000-0005-0000-0000-00005FD40000}"/>
    <cellStyle name="Normal 15 3 2 2 3" xfId="54740" xr:uid="{00000000-0005-0000-0000-000060D40000}"/>
    <cellStyle name="Normal 15 3 2 2 3 2" xfId="54741" xr:uid="{00000000-0005-0000-0000-000061D40000}"/>
    <cellStyle name="Normal 15 3 2 2 3 2 2" xfId="54742" xr:uid="{00000000-0005-0000-0000-000062D40000}"/>
    <cellStyle name="Normal 15 3 2 2 3 2 2 2" xfId="54743" xr:uid="{00000000-0005-0000-0000-000063D40000}"/>
    <cellStyle name="Normal 15 3 2 2 3 2 3" xfId="54744" xr:uid="{00000000-0005-0000-0000-000064D40000}"/>
    <cellStyle name="Normal 15 3 2 2 3 3" xfId="54745" xr:uid="{00000000-0005-0000-0000-000065D40000}"/>
    <cellStyle name="Normal 15 3 2 2 3 3 2" xfId="54746" xr:uid="{00000000-0005-0000-0000-000066D40000}"/>
    <cellStyle name="Normal 15 3 2 2 3 4" xfId="54747" xr:uid="{00000000-0005-0000-0000-000067D40000}"/>
    <cellStyle name="Normal 15 3 2 2 4" xfId="54748" xr:uid="{00000000-0005-0000-0000-000068D40000}"/>
    <cellStyle name="Normal 15 3 2 2 4 2" xfId="54749" xr:uid="{00000000-0005-0000-0000-000069D40000}"/>
    <cellStyle name="Normal 15 3 2 2 4 2 2" xfId="54750" xr:uid="{00000000-0005-0000-0000-00006AD40000}"/>
    <cellStyle name="Normal 15 3 2 2 4 3" xfId="54751" xr:uid="{00000000-0005-0000-0000-00006BD40000}"/>
    <cellStyle name="Normal 15 3 2 2 5" xfId="54752" xr:uid="{00000000-0005-0000-0000-00006CD40000}"/>
    <cellStyle name="Normal 15 3 2 2 5 2" xfId="54753" xr:uid="{00000000-0005-0000-0000-00006DD40000}"/>
    <cellStyle name="Normal 15 3 2 2 6" xfId="54754" xr:uid="{00000000-0005-0000-0000-00006ED40000}"/>
    <cellStyle name="Normal 15 3 2 2 7" xfId="54731" xr:uid="{00000000-0005-0000-0000-00006FD40000}"/>
    <cellStyle name="Normal 15 3 2 3" xfId="54755" xr:uid="{00000000-0005-0000-0000-000070D40000}"/>
    <cellStyle name="Normal 15 3 2 3 2" xfId="54756" xr:uid="{00000000-0005-0000-0000-000071D40000}"/>
    <cellStyle name="Normal 15 3 2 3 2 2" xfId="54757" xr:uid="{00000000-0005-0000-0000-000072D40000}"/>
    <cellStyle name="Normal 15 3 2 3 2 2 2" xfId="54758" xr:uid="{00000000-0005-0000-0000-000073D40000}"/>
    <cellStyle name="Normal 15 3 2 3 2 2 2 2" xfId="54759" xr:uid="{00000000-0005-0000-0000-000074D40000}"/>
    <cellStyle name="Normal 15 3 2 3 2 2 3" xfId="54760" xr:uid="{00000000-0005-0000-0000-000075D40000}"/>
    <cellStyle name="Normal 15 3 2 3 2 3" xfId="54761" xr:uid="{00000000-0005-0000-0000-000076D40000}"/>
    <cellStyle name="Normal 15 3 2 3 2 3 2" xfId="54762" xr:uid="{00000000-0005-0000-0000-000077D40000}"/>
    <cellStyle name="Normal 15 3 2 3 2 4" xfId="54763" xr:uid="{00000000-0005-0000-0000-000078D40000}"/>
    <cellStyle name="Normal 15 3 2 3 3" xfId="54764" xr:uid="{00000000-0005-0000-0000-000079D40000}"/>
    <cellStyle name="Normal 15 3 2 3 3 2" xfId="54765" xr:uid="{00000000-0005-0000-0000-00007AD40000}"/>
    <cellStyle name="Normal 15 3 2 3 3 2 2" xfId="54766" xr:uid="{00000000-0005-0000-0000-00007BD40000}"/>
    <cellStyle name="Normal 15 3 2 3 3 3" xfId="54767" xr:uid="{00000000-0005-0000-0000-00007CD40000}"/>
    <cellStyle name="Normal 15 3 2 3 4" xfId="54768" xr:uid="{00000000-0005-0000-0000-00007DD40000}"/>
    <cellStyle name="Normal 15 3 2 3 4 2" xfId="54769" xr:uid="{00000000-0005-0000-0000-00007ED40000}"/>
    <cellStyle name="Normal 15 3 2 3 5" xfId="54770" xr:uid="{00000000-0005-0000-0000-00007FD40000}"/>
    <cellStyle name="Normal 15 3 2 4" xfId="54771" xr:uid="{00000000-0005-0000-0000-000080D40000}"/>
    <cellStyle name="Normal 15 3 2 4 2" xfId="54772" xr:uid="{00000000-0005-0000-0000-000081D40000}"/>
    <cellStyle name="Normal 15 3 2 4 2 2" xfId="54773" xr:uid="{00000000-0005-0000-0000-000082D40000}"/>
    <cellStyle name="Normal 15 3 2 4 2 2 2" xfId="54774" xr:uid="{00000000-0005-0000-0000-000083D40000}"/>
    <cellStyle name="Normal 15 3 2 4 2 2 2 2" xfId="54775" xr:uid="{00000000-0005-0000-0000-000084D40000}"/>
    <cellStyle name="Normal 15 3 2 4 2 2 3" xfId="54776" xr:uid="{00000000-0005-0000-0000-000085D40000}"/>
    <cellStyle name="Normal 15 3 2 4 2 3" xfId="54777" xr:uid="{00000000-0005-0000-0000-000086D40000}"/>
    <cellStyle name="Normal 15 3 2 4 2 3 2" xfId="54778" xr:uid="{00000000-0005-0000-0000-000087D40000}"/>
    <cellStyle name="Normal 15 3 2 4 2 4" xfId="54779" xr:uid="{00000000-0005-0000-0000-000088D40000}"/>
    <cellStyle name="Normal 15 3 2 4 3" xfId="54780" xr:uid="{00000000-0005-0000-0000-000089D40000}"/>
    <cellStyle name="Normal 15 3 2 4 3 2" xfId="54781" xr:uid="{00000000-0005-0000-0000-00008AD40000}"/>
    <cellStyle name="Normal 15 3 2 4 3 2 2" xfId="54782" xr:uid="{00000000-0005-0000-0000-00008BD40000}"/>
    <cellStyle name="Normal 15 3 2 4 3 3" xfId="54783" xr:uid="{00000000-0005-0000-0000-00008CD40000}"/>
    <cellStyle name="Normal 15 3 2 4 4" xfId="54784" xr:uid="{00000000-0005-0000-0000-00008DD40000}"/>
    <cellStyle name="Normal 15 3 2 4 4 2" xfId="54785" xr:uid="{00000000-0005-0000-0000-00008ED40000}"/>
    <cellStyle name="Normal 15 3 2 4 5" xfId="54786" xr:uid="{00000000-0005-0000-0000-00008FD40000}"/>
    <cellStyle name="Normal 15 3 2 5" xfId="54787" xr:uid="{00000000-0005-0000-0000-000090D40000}"/>
    <cellStyle name="Normal 15 3 2 5 2" xfId="54788" xr:uid="{00000000-0005-0000-0000-000091D40000}"/>
    <cellStyle name="Normal 15 3 2 5 2 2" xfId="54789" xr:uid="{00000000-0005-0000-0000-000092D40000}"/>
    <cellStyle name="Normal 15 3 2 5 2 2 2" xfId="54790" xr:uid="{00000000-0005-0000-0000-000093D40000}"/>
    <cellStyle name="Normal 15 3 2 5 2 3" xfId="54791" xr:uid="{00000000-0005-0000-0000-000094D40000}"/>
    <cellStyle name="Normal 15 3 2 5 3" xfId="54792" xr:uid="{00000000-0005-0000-0000-000095D40000}"/>
    <cellStyle name="Normal 15 3 2 5 3 2" xfId="54793" xr:uid="{00000000-0005-0000-0000-000096D40000}"/>
    <cellStyle name="Normal 15 3 2 5 4" xfId="54794" xr:uid="{00000000-0005-0000-0000-000097D40000}"/>
    <cellStyle name="Normal 15 3 2 6" xfId="54795" xr:uid="{00000000-0005-0000-0000-000098D40000}"/>
    <cellStyle name="Normal 15 3 2 6 2" xfId="54796" xr:uid="{00000000-0005-0000-0000-000099D40000}"/>
    <cellStyle name="Normal 15 3 2 6 2 2" xfId="54797" xr:uid="{00000000-0005-0000-0000-00009AD40000}"/>
    <cellStyle name="Normal 15 3 2 6 2 2 2" xfId="54798" xr:uid="{00000000-0005-0000-0000-00009BD40000}"/>
    <cellStyle name="Normal 15 3 2 6 2 3" xfId="54799" xr:uid="{00000000-0005-0000-0000-00009CD40000}"/>
    <cellStyle name="Normal 15 3 2 6 3" xfId="54800" xr:uid="{00000000-0005-0000-0000-00009DD40000}"/>
    <cellStyle name="Normal 15 3 2 6 3 2" xfId="54801" xr:uid="{00000000-0005-0000-0000-00009ED40000}"/>
    <cellStyle name="Normal 15 3 2 6 4" xfId="54802" xr:uid="{00000000-0005-0000-0000-00009FD40000}"/>
    <cellStyle name="Normal 15 3 2 7" xfId="54803" xr:uid="{00000000-0005-0000-0000-0000A0D40000}"/>
    <cellStyle name="Normal 15 3 2 7 2" xfId="54804" xr:uid="{00000000-0005-0000-0000-0000A1D40000}"/>
    <cellStyle name="Normal 15 3 2 7 2 2" xfId="54805" xr:uid="{00000000-0005-0000-0000-0000A2D40000}"/>
    <cellStyle name="Normal 15 3 2 7 2 2 2" xfId="54806" xr:uid="{00000000-0005-0000-0000-0000A3D40000}"/>
    <cellStyle name="Normal 15 3 2 7 2 3" xfId="54807" xr:uid="{00000000-0005-0000-0000-0000A4D40000}"/>
    <cellStyle name="Normal 15 3 2 7 3" xfId="54808" xr:uid="{00000000-0005-0000-0000-0000A5D40000}"/>
    <cellStyle name="Normal 15 3 2 7 3 2" xfId="54809" xr:uid="{00000000-0005-0000-0000-0000A6D40000}"/>
    <cellStyle name="Normal 15 3 2 7 4" xfId="54810" xr:uid="{00000000-0005-0000-0000-0000A7D40000}"/>
    <cellStyle name="Normal 15 3 2 8" xfId="54811" xr:uid="{00000000-0005-0000-0000-0000A8D40000}"/>
    <cellStyle name="Normal 15 3 2 8 2" xfId="54812" xr:uid="{00000000-0005-0000-0000-0000A9D40000}"/>
    <cellStyle name="Normal 15 3 2 8 2 2" xfId="54813" xr:uid="{00000000-0005-0000-0000-0000AAD40000}"/>
    <cellStyle name="Normal 15 3 2 8 3" xfId="54814" xr:uid="{00000000-0005-0000-0000-0000ABD40000}"/>
    <cellStyle name="Normal 15 3 2 9" xfId="54815" xr:uid="{00000000-0005-0000-0000-0000ACD40000}"/>
    <cellStyle name="Normal 15 3 2 9 2" xfId="54816" xr:uid="{00000000-0005-0000-0000-0000ADD40000}"/>
    <cellStyle name="Normal 15 3 3" xfId="1529" xr:uid="{00000000-0005-0000-0000-0000AED40000}"/>
    <cellStyle name="Normal 15 3 3 2" xfId="54818" xr:uid="{00000000-0005-0000-0000-0000AFD40000}"/>
    <cellStyle name="Normal 15 3 3 2 2" xfId="54819" xr:uid="{00000000-0005-0000-0000-0000B0D40000}"/>
    <cellStyle name="Normal 15 3 3 2 2 2" xfId="54820" xr:uid="{00000000-0005-0000-0000-0000B1D40000}"/>
    <cellStyle name="Normal 15 3 3 2 2 2 2" xfId="54821" xr:uid="{00000000-0005-0000-0000-0000B2D40000}"/>
    <cellStyle name="Normal 15 3 3 2 2 3" xfId="54822" xr:uid="{00000000-0005-0000-0000-0000B3D40000}"/>
    <cellStyle name="Normal 15 3 3 2 3" xfId="54823" xr:uid="{00000000-0005-0000-0000-0000B4D40000}"/>
    <cellStyle name="Normal 15 3 3 2 3 2" xfId="54824" xr:uid="{00000000-0005-0000-0000-0000B5D40000}"/>
    <cellStyle name="Normal 15 3 3 2 4" xfId="54825" xr:uid="{00000000-0005-0000-0000-0000B6D40000}"/>
    <cellStyle name="Normal 15 3 3 3" xfId="54826" xr:uid="{00000000-0005-0000-0000-0000B7D40000}"/>
    <cellStyle name="Normal 15 3 3 3 2" xfId="54827" xr:uid="{00000000-0005-0000-0000-0000B8D40000}"/>
    <cellStyle name="Normal 15 3 3 3 2 2" xfId="54828" xr:uid="{00000000-0005-0000-0000-0000B9D40000}"/>
    <cellStyle name="Normal 15 3 3 3 2 2 2" xfId="54829" xr:uid="{00000000-0005-0000-0000-0000BAD40000}"/>
    <cellStyle name="Normal 15 3 3 3 2 3" xfId="54830" xr:uid="{00000000-0005-0000-0000-0000BBD40000}"/>
    <cellStyle name="Normal 15 3 3 3 3" xfId="54831" xr:uid="{00000000-0005-0000-0000-0000BCD40000}"/>
    <cellStyle name="Normal 15 3 3 3 3 2" xfId="54832" xr:uid="{00000000-0005-0000-0000-0000BDD40000}"/>
    <cellStyle name="Normal 15 3 3 3 4" xfId="54833" xr:uid="{00000000-0005-0000-0000-0000BED40000}"/>
    <cellStyle name="Normal 15 3 3 4" xfId="54834" xr:uid="{00000000-0005-0000-0000-0000BFD40000}"/>
    <cellStyle name="Normal 15 3 3 4 2" xfId="54835" xr:uid="{00000000-0005-0000-0000-0000C0D40000}"/>
    <cellStyle name="Normal 15 3 3 4 2 2" xfId="54836" xr:uid="{00000000-0005-0000-0000-0000C1D40000}"/>
    <cellStyle name="Normal 15 3 3 4 3" xfId="54837" xr:uid="{00000000-0005-0000-0000-0000C2D40000}"/>
    <cellStyle name="Normal 15 3 3 5" xfId="54838" xr:uid="{00000000-0005-0000-0000-0000C3D40000}"/>
    <cellStyle name="Normal 15 3 3 5 2" xfId="54839" xr:uid="{00000000-0005-0000-0000-0000C4D40000}"/>
    <cellStyle name="Normal 15 3 3 6" xfId="54840" xr:uid="{00000000-0005-0000-0000-0000C5D40000}"/>
    <cellStyle name="Normal 15 3 3 7" xfId="54817" xr:uid="{00000000-0005-0000-0000-0000C6D40000}"/>
    <cellStyle name="Normal 15 3 4" xfId="54841" xr:uid="{00000000-0005-0000-0000-0000C7D40000}"/>
    <cellStyle name="Normal 15 3 4 2" xfId="54842" xr:uid="{00000000-0005-0000-0000-0000C8D40000}"/>
    <cellStyle name="Normal 15 3 4 2 2" xfId="54843" xr:uid="{00000000-0005-0000-0000-0000C9D40000}"/>
    <cellStyle name="Normal 15 3 4 2 2 2" xfId="54844" xr:uid="{00000000-0005-0000-0000-0000CAD40000}"/>
    <cellStyle name="Normal 15 3 4 2 2 2 2" xfId="54845" xr:uid="{00000000-0005-0000-0000-0000CBD40000}"/>
    <cellStyle name="Normal 15 3 4 2 2 3" xfId="54846" xr:uid="{00000000-0005-0000-0000-0000CCD40000}"/>
    <cellStyle name="Normal 15 3 4 2 3" xfId="54847" xr:uid="{00000000-0005-0000-0000-0000CDD40000}"/>
    <cellStyle name="Normal 15 3 4 2 3 2" xfId="54848" xr:uid="{00000000-0005-0000-0000-0000CED40000}"/>
    <cellStyle name="Normal 15 3 4 2 4" xfId="54849" xr:uid="{00000000-0005-0000-0000-0000CFD40000}"/>
    <cellStyle name="Normal 15 3 4 3" xfId="54850" xr:uid="{00000000-0005-0000-0000-0000D0D40000}"/>
    <cellStyle name="Normal 15 3 4 3 2" xfId="54851" xr:uid="{00000000-0005-0000-0000-0000D1D40000}"/>
    <cellStyle name="Normal 15 3 4 3 2 2" xfId="54852" xr:uid="{00000000-0005-0000-0000-0000D2D40000}"/>
    <cellStyle name="Normal 15 3 4 3 3" xfId="54853" xr:uid="{00000000-0005-0000-0000-0000D3D40000}"/>
    <cellStyle name="Normal 15 3 4 4" xfId="54854" xr:uid="{00000000-0005-0000-0000-0000D4D40000}"/>
    <cellStyle name="Normal 15 3 4 4 2" xfId="54855" xr:uid="{00000000-0005-0000-0000-0000D5D40000}"/>
    <cellStyle name="Normal 15 3 4 5" xfId="54856" xr:uid="{00000000-0005-0000-0000-0000D6D40000}"/>
    <cellStyle name="Normal 15 3 5" xfId="54857" xr:uid="{00000000-0005-0000-0000-0000D7D40000}"/>
    <cellStyle name="Normal 15 3 5 2" xfId="54858" xr:uid="{00000000-0005-0000-0000-0000D8D40000}"/>
    <cellStyle name="Normal 15 3 5 2 2" xfId="54859" xr:uid="{00000000-0005-0000-0000-0000D9D40000}"/>
    <cellStyle name="Normal 15 3 5 2 2 2" xfId="54860" xr:uid="{00000000-0005-0000-0000-0000DAD40000}"/>
    <cellStyle name="Normal 15 3 5 2 2 2 2" xfId="54861" xr:uid="{00000000-0005-0000-0000-0000DBD40000}"/>
    <cellStyle name="Normal 15 3 5 2 2 3" xfId="54862" xr:uid="{00000000-0005-0000-0000-0000DCD40000}"/>
    <cellStyle name="Normal 15 3 5 2 3" xfId="54863" xr:uid="{00000000-0005-0000-0000-0000DDD40000}"/>
    <cellStyle name="Normal 15 3 5 2 3 2" xfId="54864" xr:uid="{00000000-0005-0000-0000-0000DED40000}"/>
    <cellStyle name="Normal 15 3 5 2 4" xfId="54865" xr:uid="{00000000-0005-0000-0000-0000DFD40000}"/>
    <cellStyle name="Normal 15 3 5 3" xfId="54866" xr:uid="{00000000-0005-0000-0000-0000E0D40000}"/>
    <cellStyle name="Normal 15 3 5 3 2" xfId="54867" xr:uid="{00000000-0005-0000-0000-0000E1D40000}"/>
    <cellStyle name="Normal 15 3 5 3 2 2" xfId="54868" xr:uid="{00000000-0005-0000-0000-0000E2D40000}"/>
    <cellStyle name="Normal 15 3 5 3 3" xfId="54869" xr:uid="{00000000-0005-0000-0000-0000E3D40000}"/>
    <cellStyle name="Normal 15 3 5 4" xfId="54870" xr:uid="{00000000-0005-0000-0000-0000E4D40000}"/>
    <cellStyle name="Normal 15 3 5 4 2" xfId="54871" xr:uid="{00000000-0005-0000-0000-0000E5D40000}"/>
    <cellStyle name="Normal 15 3 5 5" xfId="54872" xr:uid="{00000000-0005-0000-0000-0000E6D40000}"/>
    <cellStyle name="Normal 15 3 6" xfId="54873" xr:uid="{00000000-0005-0000-0000-0000E7D40000}"/>
    <cellStyle name="Normal 15 3 6 2" xfId="54874" xr:uid="{00000000-0005-0000-0000-0000E8D40000}"/>
    <cellStyle name="Normal 15 3 6 2 2" xfId="54875" xr:uid="{00000000-0005-0000-0000-0000E9D40000}"/>
    <cellStyle name="Normal 15 3 6 2 2 2" xfId="54876" xr:uid="{00000000-0005-0000-0000-0000EAD40000}"/>
    <cellStyle name="Normal 15 3 6 2 3" xfId="54877" xr:uid="{00000000-0005-0000-0000-0000EBD40000}"/>
    <cellStyle name="Normal 15 3 6 3" xfId="54878" xr:uid="{00000000-0005-0000-0000-0000ECD40000}"/>
    <cellStyle name="Normal 15 3 6 3 2" xfId="54879" xr:uid="{00000000-0005-0000-0000-0000EDD40000}"/>
    <cellStyle name="Normal 15 3 6 4" xfId="54880" xr:uid="{00000000-0005-0000-0000-0000EED40000}"/>
    <cellStyle name="Normal 15 3 7" xfId="54881" xr:uid="{00000000-0005-0000-0000-0000EFD40000}"/>
    <cellStyle name="Normal 15 3 7 2" xfId="54882" xr:uid="{00000000-0005-0000-0000-0000F0D40000}"/>
    <cellStyle name="Normal 15 3 7 2 2" xfId="54883" xr:uid="{00000000-0005-0000-0000-0000F1D40000}"/>
    <cellStyle name="Normal 15 3 7 2 2 2" xfId="54884" xr:uid="{00000000-0005-0000-0000-0000F2D40000}"/>
    <cellStyle name="Normal 15 3 7 2 3" xfId="54885" xr:uid="{00000000-0005-0000-0000-0000F3D40000}"/>
    <cellStyle name="Normal 15 3 7 3" xfId="54886" xr:uid="{00000000-0005-0000-0000-0000F4D40000}"/>
    <cellStyle name="Normal 15 3 7 3 2" xfId="54887" xr:uid="{00000000-0005-0000-0000-0000F5D40000}"/>
    <cellStyle name="Normal 15 3 7 4" xfId="54888" xr:uid="{00000000-0005-0000-0000-0000F6D40000}"/>
    <cellStyle name="Normal 15 3 8" xfId="54889" xr:uid="{00000000-0005-0000-0000-0000F7D40000}"/>
    <cellStyle name="Normal 15 3 8 2" xfId="54890" xr:uid="{00000000-0005-0000-0000-0000F8D40000}"/>
    <cellStyle name="Normal 15 3 8 2 2" xfId="54891" xr:uid="{00000000-0005-0000-0000-0000F9D40000}"/>
    <cellStyle name="Normal 15 3 8 2 2 2" xfId="54892" xr:uid="{00000000-0005-0000-0000-0000FAD40000}"/>
    <cellStyle name="Normal 15 3 8 2 3" xfId="54893" xr:uid="{00000000-0005-0000-0000-0000FBD40000}"/>
    <cellStyle name="Normal 15 3 8 3" xfId="54894" xr:uid="{00000000-0005-0000-0000-0000FCD40000}"/>
    <cellStyle name="Normal 15 3 8 3 2" xfId="54895" xr:uid="{00000000-0005-0000-0000-0000FDD40000}"/>
    <cellStyle name="Normal 15 3 8 4" xfId="54896" xr:uid="{00000000-0005-0000-0000-0000FED40000}"/>
    <cellStyle name="Normal 15 3 9" xfId="54897" xr:uid="{00000000-0005-0000-0000-0000FFD40000}"/>
    <cellStyle name="Normal 15 3 9 2" xfId="54898" xr:uid="{00000000-0005-0000-0000-000000D50000}"/>
    <cellStyle name="Normal 15 3 9 2 2" xfId="54899" xr:uid="{00000000-0005-0000-0000-000001D50000}"/>
    <cellStyle name="Normal 15 3 9 3" xfId="54900" xr:uid="{00000000-0005-0000-0000-000002D50000}"/>
    <cellStyle name="Normal 15 4" xfId="689" xr:uid="{00000000-0005-0000-0000-000003D50000}"/>
    <cellStyle name="Normal 15 4 10" xfId="54902" xr:uid="{00000000-0005-0000-0000-000004D50000}"/>
    <cellStyle name="Normal 15 4 10 2" xfId="54903" xr:uid="{00000000-0005-0000-0000-000005D50000}"/>
    <cellStyle name="Normal 15 4 10 2 2" xfId="54904" xr:uid="{00000000-0005-0000-0000-000006D50000}"/>
    <cellStyle name="Normal 15 4 10 3" xfId="54905" xr:uid="{00000000-0005-0000-0000-000007D50000}"/>
    <cellStyle name="Normal 15 4 11" xfId="54906" xr:uid="{00000000-0005-0000-0000-000008D50000}"/>
    <cellStyle name="Normal 15 4 11 2" xfId="54907" xr:uid="{00000000-0005-0000-0000-000009D50000}"/>
    <cellStyle name="Normal 15 4 11 2 2" xfId="54908" xr:uid="{00000000-0005-0000-0000-00000AD50000}"/>
    <cellStyle name="Normal 15 4 11 3" xfId="54909" xr:uid="{00000000-0005-0000-0000-00000BD50000}"/>
    <cellStyle name="Normal 15 4 12" xfId="54910" xr:uid="{00000000-0005-0000-0000-00000CD50000}"/>
    <cellStyle name="Normal 15 4 12 2" xfId="54911" xr:uid="{00000000-0005-0000-0000-00000DD50000}"/>
    <cellStyle name="Normal 15 4 13" xfId="54912" xr:uid="{00000000-0005-0000-0000-00000ED50000}"/>
    <cellStyle name="Normal 15 4 14" xfId="54913" xr:uid="{00000000-0005-0000-0000-00000FD50000}"/>
    <cellStyle name="Normal 15 4 15" xfId="54901" xr:uid="{00000000-0005-0000-0000-000010D50000}"/>
    <cellStyle name="Normal 15 4 2" xfId="1130" xr:uid="{00000000-0005-0000-0000-000011D50000}"/>
    <cellStyle name="Normal 15 4 2 10" xfId="54915" xr:uid="{00000000-0005-0000-0000-000012D50000}"/>
    <cellStyle name="Normal 15 4 2 11" xfId="54914" xr:uid="{00000000-0005-0000-0000-000013D50000}"/>
    <cellStyle name="Normal 15 4 2 2" xfId="1857" xr:uid="{00000000-0005-0000-0000-000014D50000}"/>
    <cellStyle name="Normal 15 4 2 2 2" xfId="54917" xr:uid="{00000000-0005-0000-0000-000015D50000}"/>
    <cellStyle name="Normal 15 4 2 2 2 2" xfId="54918" xr:uid="{00000000-0005-0000-0000-000016D50000}"/>
    <cellStyle name="Normal 15 4 2 2 2 2 2" xfId="54919" xr:uid="{00000000-0005-0000-0000-000017D50000}"/>
    <cellStyle name="Normal 15 4 2 2 2 2 2 2" xfId="54920" xr:uid="{00000000-0005-0000-0000-000018D50000}"/>
    <cellStyle name="Normal 15 4 2 2 2 2 3" xfId="54921" xr:uid="{00000000-0005-0000-0000-000019D50000}"/>
    <cellStyle name="Normal 15 4 2 2 2 3" xfId="54922" xr:uid="{00000000-0005-0000-0000-00001AD50000}"/>
    <cellStyle name="Normal 15 4 2 2 2 3 2" xfId="54923" xr:uid="{00000000-0005-0000-0000-00001BD50000}"/>
    <cellStyle name="Normal 15 4 2 2 2 4" xfId="54924" xr:uid="{00000000-0005-0000-0000-00001CD50000}"/>
    <cellStyle name="Normal 15 4 2 2 3" xfId="54925" xr:uid="{00000000-0005-0000-0000-00001DD50000}"/>
    <cellStyle name="Normal 15 4 2 2 3 2" xfId="54926" xr:uid="{00000000-0005-0000-0000-00001ED50000}"/>
    <cellStyle name="Normal 15 4 2 2 3 2 2" xfId="54927" xr:uid="{00000000-0005-0000-0000-00001FD50000}"/>
    <cellStyle name="Normal 15 4 2 2 3 2 2 2" xfId="54928" xr:uid="{00000000-0005-0000-0000-000020D50000}"/>
    <cellStyle name="Normal 15 4 2 2 3 2 3" xfId="54929" xr:uid="{00000000-0005-0000-0000-000021D50000}"/>
    <cellStyle name="Normal 15 4 2 2 3 3" xfId="54930" xr:uid="{00000000-0005-0000-0000-000022D50000}"/>
    <cellStyle name="Normal 15 4 2 2 3 3 2" xfId="54931" xr:uid="{00000000-0005-0000-0000-000023D50000}"/>
    <cellStyle name="Normal 15 4 2 2 3 4" xfId="54932" xr:uid="{00000000-0005-0000-0000-000024D50000}"/>
    <cellStyle name="Normal 15 4 2 2 4" xfId="54933" xr:uid="{00000000-0005-0000-0000-000025D50000}"/>
    <cellStyle name="Normal 15 4 2 2 4 2" xfId="54934" xr:uid="{00000000-0005-0000-0000-000026D50000}"/>
    <cellStyle name="Normal 15 4 2 2 4 2 2" xfId="54935" xr:uid="{00000000-0005-0000-0000-000027D50000}"/>
    <cellStyle name="Normal 15 4 2 2 4 3" xfId="54936" xr:uid="{00000000-0005-0000-0000-000028D50000}"/>
    <cellStyle name="Normal 15 4 2 2 5" xfId="54937" xr:uid="{00000000-0005-0000-0000-000029D50000}"/>
    <cellStyle name="Normal 15 4 2 2 5 2" xfId="54938" xr:uid="{00000000-0005-0000-0000-00002AD50000}"/>
    <cellStyle name="Normal 15 4 2 2 6" xfId="54939" xr:uid="{00000000-0005-0000-0000-00002BD50000}"/>
    <cellStyle name="Normal 15 4 2 2 7" xfId="54916" xr:uid="{00000000-0005-0000-0000-00002CD50000}"/>
    <cellStyle name="Normal 15 4 2 3" xfId="54940" xr:uid="{00000000-0005-0000-0000-00002DD50000}"/>
    <cellStyle name="Normal 15 4 2 3 2" xfId="54941" xr:uid="{00000000-0005-0000-0000-00002ED50000}"/>
    <cellStyle name="Normal 15 4 2 3 2 2" xfId="54942" xr:uid="{00000000-0005-0000-0000-00002FD50000}"/>
    <cellStyle name="Normal 15 4 2 3 2 2 2" xfId="54943" xr:uid="{00000000-0005-0000-0000-000030D50000}"/>
    <cellStyle name="Normal 15 4 2 3 2 2 2 2" xfId="54944" xr:uid="{00000000-0005-0000-0000-000031D50000}"/>
    <cellStyle name="Normal 15 4 2 3 2 2 3" xfId="54945" xr:uid="{00000000-0005-0000-0000-000032D50000}"/>
    <cellStyle name="Normal 15 4 2 3 2 3" xfId="54946" xr:uid="{00000000-0005-0000-0000-000033D50000}"/>
    <cellStyle name="Normal 15 4 2 3 2 3 2" xfId="54947" xr:uid="{00000000-0005-0000-0000-000034D50000}"/>
    <cellStyle name="Normal 15 4 2 3 2 4" xfId="54948" xr:uid="{00000000-0005-0000-0000-000035D50000}"/>
    <cellStyle name="Normal 15 4 2 3 3" xfId="54949" xr:uid="{00000000-0005-0000-0000-000036D50000}"/>
    <cellStyle name="Normal 15 4 2 3 3 2" xfId="54950" xr:uid="{00000000-0005-0000-0000-000037D50000}"/>
    <cellStyle name="Normal 15 4 2 3 3 2 2" xfId="54951" xr:uid="{00000000-0005-0000-0000-000038D50000}"/>
    <cellStyle name="Normal 15 4 2 3 3 3" xfId="54952" xr:uid="{00000000-0005-0000-0000-000039D50000}"/>
    <cellStyle name="Normal 15 4 2 3 4" xfId="54953" xr:uid="{00000000-0005-0000-0000-00003AD50000}"/>
    <cellStyle name="Normal 15 4 2 3 4 2" xfId="54954" xr:uid="{00000000-0005-0000-0000-00003BD50000}"/>
    <cellStyle name="Normal 15 4 2 3 5" xfId="54955" xr:uid="{00000000-0005-0000-0000-00003CD50000}"/>
    <cellStyle name="Normal 15 4 2 4" xfId="54956" xr:uid="{00000000-0005-0000-0000-00003DD50000}"/>
    <cellStyle name="Normal 15 4 2 4 2" xfId="54957" xr:uid="{00000000-0005-0000-0000-00003ED50000}"/>
    <cellStyle name="Normal 15 4 2 4 2 2" xfId="54958" xr:uid="{00000000-0005-0000-0000-00003FD50000}"/>
    <cellStyle name="Normal 15 4 2 4 2 2 2" xfId="54959" xr:uid="{00000000-0005-0000-0000-000040D50000}"/>
    <cellStyle name="Normal 15 4 2 4 2 2 2 2" xfId="54960" xr:uid="{00000000-0005-0000-0000-000041D50000}"/>
    <cellStyle name="Normal 15 4 2 4 2 2 3" xfId="54961" xr:uid="{00000000-0005-0000-0000-000042D50000}"/>
    <cellStyle name="Normal 15 4 2 4 2 3" xfId="54962" xr:uid="{00000000-0005-0000-0000-000043D50000}"/>
    <cellStyle name="Normal 15 4 2 4 2 3 2" xfId="54963" xr:uid="{00000000-0005-0000-0000-000044D50000}"/>
    <cellStyle name="Normal 15 4 2 4 2 4" xfId="54964" xr:uid="{00000000-0005-0000-0000-000045D50000}"/>
    <cellStyle name="Normal 15 4 2 4 3" xfId="54965" xr:uid="{00000000-0005-0000-0000-000046D50000}"/>
    <cellStyle name="Normal 15 4 2 4 3 2" xfId="54966" xr:uid="{00000000-0005-0000-0000-000047D50000}"/>
    <cellStyle name="Normal 15 4 2 4 3 2 2" xfId="54967" xr:uid="{00000000-0005-0000-0000-000048D50000}"/>
    <cellStyle name="Normal 15 4 2 4 3 3" xfId="54968" xr:uid="{00000000-0005-0000-0000-000049D50000}"/>
    <cellStyle name="Normal 15 4 2 4 4" xfId="54969" xr:uid="{00000000-0005-0000-0000-00004AD50000}"/>
    <cellStyle name="Normal 15 4 2 4 4 2" xfId="54970" xr:uid="{00000000-0005-0000-0000-00004BD50000}"/>
    <cellStyle name="Normal 15 4 2 4 5" xfId="54971" xr:uid="{00000000-0005-0000-0000-00004CD50000}"/>
    <cellStyle name="Normal 15 4 2 5" xfId="54972" xr:uid="{00000000-0005-0000-0000-00004DD50000}"/>
    <cellStyle name="Normal 15 4 2 5 2" xfId="54973" xr:uid="{00000000-0005-0000-0000-00004ED50000}"/>
    <cellStyle name="Normal 15 4 2 5 2 2" xfId="54974" xr:uid="{00000000-0005-0000-0000-00004FD50000}"/>
    <cellStyle name="Normal 15 4 2 5 2 2 2" xfId="54975" xr:uid="{00000000-0005-0000-0000-000050D50000}"/>
    <cellStyle name="Normal 15 4 2 5 2 3" xfId="54976" xr:uid="{00000000-0005-0000-0000-000051D50000}"/>
    <cellStyle name="Normal 15 4 2 5 3" xfId="54977" xr:uid="{00000000-0005-0000-0000-000052D50000}"/>
    <cellStyle name="Normal 15 4 2 5 3 2" xfId="54978" xr:uid="{00000000-0005-0000-0000-000053D50000}"/>
    <cellStyle name="Normal 15 4 2 5 4" xfId="54979" xr:uid="{00000000-0005-0000-0000-000054D50000}"/>
    <cellStyle name="Normal 15 4 2 6" xfId="54980" xr:uid="{00000000-0005-0000-0000-000055D50000}"/>
    <cellStyle name="Normal 15 4 2 6 2" xfId="54981" xr:uid="{00000000-0005-0000-0000-000056D50000}"/>
    <cellStyle name="Normal 15 4 2 6 2 2" xfId="54982" xr:uid="{00000000-0005-0000-0000-000057D50000}"/>
    <cellStyle name="Normal 15 4 2 6 2 2 2" xfId="54983" xr:uid="{00000000-0005-0000-0000-000058D50000}"/>
    <cellStyle name="Normal 15 4 2 6 2 3" xfId="54984" xr:uid="{00000000-0005-0000-0000-000059D50000}"/>
    <cellStyle name="Normal 15 4 2 6 3" xfId="54985" xr:uid="{00000000-0005-0000-0000-00005AD50000}"/>
    <cellStyle name="Normal 15 4 2 6 3 2" xfId="54986" xr:uid="{00000000-0005-0000-0000-00005BD50000}"/>
    <cellStyle name="Normal 15 4 2 6 4" xfId="54987" xr:uid="{00000000-0005-0000-0000-00005CD50000}"/>
    <cellStyle name="Normal 15 4 2 7" xfId="54988" xr:uid="{00000000-0005-0000-0000-00005DD50000}"/>
    <cellStyle name="Normal 15 4 2 7 2" xfId="54989" xr:uid="{00000000-0005-0000-0000-00005ED50000}"/>
    <cellStyle name="Normal 15 4 2 7 2 2" xfId="54990" xr:uid="{00000000-0005-0000-0000-00005FD50000}"/>
    <cellStyle name="Normal 15 4 2 7 2 2 2" xfId="54991" xr:uid="{00000000-0005-0000-0000-000060D50000}"/>
    <cellStyle name="Normal 15 4 2 7 2 3" xfId="54992" xr:uid="{00000000-0005-0000-0000-000061D50000}"/>
    <cellStyle name="Normal 15 4 2 7 3" xfId="54993" xr:uid="{00000000-0005-0000-0000-000062D50000}"/>
    <cellStyle name="Normal 15 4 2 7 3 2" xfId="54994" xr:uid="{00000000-0005-0000-0000-000063D50000}"/>
    <cellStyle name="Normal 15 4 2 7 4" xfId="54995" xr:uid="{00000000-0005-0000-0000-000064D50000}"/>
    <cellStyle name="Normal 15 4 2 8" xfId="54996" xr:uid="{00000000-0005-0000-0000-000065D50000}"/>
    <cellStyle name="Normal 15 4 2 8 2" xfId="54997" xr:uid="{00000000-0005-0000-0000-000066D50000}"/>
    <cellStyle name="Normal 15 4 2 8 2 2" xfId="54998" xr:uid="{00000000-0005-0000-0000-000067D50000}"/>
    <cellStyle name="Normal 15 4 2 8 3" xfId="54999" xr:uid="{00000000-0005-0000-0000-000068D50000}"/>
    <cellStyle name="Normal 15 4 2 9" xfId="55000" xr:uid="{00000000-0005-0000-0000-000069D50000}"/>
    <cellStyle name="Normal 15 4 2 9 2" xfId="55001" xr:uid="{00000000-0005-0000-0000-00006AD50000}"/>
    <cellStyle name="Normal 15 4 3" xfId="1530" xr:uid="{00000000-0005-0000-0000-00006BD50000}"/>
    <cellStyle name="Normal 15 4 3 2" xfId="55003" xr:uid="{00000000-0005-0000-0000-00006CD50000}"/>
    <cellStyle name="Normal 15 4 3 2 2" xfId="55004" xr:uid="{00000000-0005-0000-0000-00006DD50000}"/>
    <cellStyle name="Normal 15 4 3 2 2 2" xfId="55005" xr:uid="{00000000-0005-0000-0000-00006ED50000}"/>
    <cellStyle name="Normal 15 4 3 2 2 2 2" xfId="55006" xr:uid="{00000000-0005-0000-0000-00006FD50000}"/>
    <cellStyle name="Normal 15 4 3 2 2 3" xfId="55007" xr:uid="{00000000-0005-0000-0000-000070D50000}"/>
    <cellStyle name="Normal 15 4 3 2 3" xfId="55008" xr:uid="{00000000-0005-0000-0000-000071D50000}"/>
    <cellStyle name="Normal 15 4 3 2 3 2" xfId="55009" xr:uid="{00000000-0005-0000-0000-000072D50000}"/>
    <cellStyle name="Normal 15 4 3 2 4" xfId="55010" xr:uid="{00000000-0005-0000-0000-000073D50000}"/>
    <cellStyle name="Normal 15 4 3 3" xfId="55011" xr:uid="{00000000-0005-0000-0000-000074D50000}"/>
    <cellStyle name="Normal 15 4 3 3 2" xfId="55012" xr:uid="{00000000-0005-0000-0000-000075D50000}"/>
    <cellStyle name="Normal 15 4 3 3 2 2" xfId="55013" xr:uid="{00000000-0005-0000-0000-000076D50000}"/>
    <cellStyle name="Normal 15 4 3 3 2 2 2" xfId="55014" xr:uid="{00000000-0005-0000-0000-000077D50000}"/>
    <cellStyle name="Normal 15 4 3 3 2 3" xfId="55015" xr:uid="{00000000-0005-0000-0000-000078D50000}"/>
    <cellStyle name="Normal 15 4 3 3 3" xfId="55016" xr:uid="{00000000-0005-0000-0000-000079D50000}"/>
    <cellStyle name="Normal 15 4 3 3 3 2" xfId="55017" xr:uid="{00000000-0005-0000-0000-00007AD50000}"/>
    <cellStyle name="Normal 15 4 3 3 4" xfId="55018" xr:uid="{00000000-0005-0000-0000-00007BD50000}"/>
    <cellStyle name="Normal 15 4 3 4" xfId="55019" xr:uid="{00000000-0005-0000-0000-00007CD50000}"/>
    <cellStyle name="Normal 15 4 3 4 2" xfId="55020" xr:uid="{00000000-0005-0000-0000-00007DD50000}"/>
    <cellStyle name="Normal 15 4 3 4 2 2" xfId="55021" xr:uid="{00000000-0005-0000-0000-00007ED50000}"/>
    <cellStyle name="Normal 15 4 3 4 3" xfId="55022" xr:uid="{00000000-0005-0000-0000-00007FD50000}"/>
    <cellStyle name="Normal 15 4 3 5" xfId="55023" xr:uid="{00000000-0005-0000-0000-000080D50000}"/>
    <cellStyle name="Normal 15 4 3 5 2" xfId="55024" xr:uid="{00000000-0005-0000-0000-000081D50000}"/>
    <cellStyle name="Normal 15 4 3 6" xfId="55025" xr:uid="{00000000-0005-0000-0000-000082D50000}"/>
    <cellStyle name="Normal 15 4 3 7" xfId="55002" xr:uid="{00000000-0005-0000-0000-000083D50000}"/>
    <cellStyle name="Normal 15 4 4" xfId="55026" xr:uid="{00000000-0005-0000-0000-000084D50000}"/>
    <cellStyle name="Normal 15 4 4 2" xfId="55027" xr:uid="{00000000-0005-0000-0000-000085D50000}"/>
    <cellStyle name="Normal 15 4 4 2 2" xfId="55028" xr:uid="{00000000-0005-0000-0000-000086D50000}"/>
    <cellStyle name="Normal 15 4 4 2 2 2" xfId="55029" xr:uid="{00000000-0005-0000-0000-000087D50000}"/>
    <cellStyle name="Normal 15 4 4 2 2 2 2" xfId="55030" xr:uid="{00000000-0005-0000-0000-000088D50000}"/>
    <cellStyle name="Normal 15 4 4 2 2 3" xfId="55031" xr:uid="{00000000-0005-0000-0000-000089D50000}"/>
    <cellStyle name="Normal 15 4 4 2 3" xfId="55032" xr:uid="{00000000-0005-0000-0000-00008AD50000}"/>
    <cellStyle name="Normal 15 4 4 2 3 2" xfId="55033" xr:uid="{00000000-0005-0000-0000-00008BD50000}"/>
    <cellStyle name="Normal 15 4 4 2 4" xfId="55034" xr:uid="{00000000-0005-0000-0000-00008CD50000}"/>
    <cellStyle name="Normal 15 4 4 3" xfId="55035" xr:uid="{00000000-0005-0000-0000-00008DD50000}"/>
    <cellStyle name="Normal 15 4 4 3 2" xfId="55036" xr:uid="{00000000-0005-0000-0000-00008ED50000}"/>
    <cellStyle name="Normal 15 4 4 3 2 2" xfId="55037" xr:uid="{00000000-0005-0000-0000-00008FD50000}"/>
    <cellStyle name="Normal 15 4 4 3 3" xfId="55038" xr:uid="{00000000-0005-0000-0000-000090D50000}"/>
    <cellStyle name="Normal 15 4 4 4" xfId="55039" xr:uid="{00000000-0005-0000-0000-000091D50000}"/>
    <cellStyle name="Normal 15 4 4 4 2" xfId="55040" xr:uid="{00000000-0005-0000-0000-000092D50000}"/>
    <cellStyle name="Normal 15 4 4 5" xfId="55041" xr:uid="{00000000-0005-0000-0000-000093D50000}"/>
    <cellStyle name="Normal 15 4 5" xfId="55042" xr:uid="{00000000-0005-0000-0000-000094D50000}"/>
    <cellStyle name="Normal 15 4 5 2" xfId="55043" xr:uid="{00000000-0005-0000-0000-000095D50000}"/>
    <cellStyle name="Normal 15 4 5 2 2" xfId="55044" xr:uid="{00000000-0005-0000-0000-000096D50000}"/>
    <cellStyle name="Normal 15 4 5 2 2 2" xfId="55045" xr:uid="{00000000-0005-0000-0000-000097D50000}"/>
    <cellStyle name="Normal 15 4 5 2 2 2 2" xfId="55046" xr:uid="{00000000-0005-0000-0000-000098D50000}"/>
    <cellStyle name="Normal 15 4 5 2 2 3" xfId="55047" xr:uid="{00000000-0005-0000-0000-000099D50000}"/>
    <cellStyle name="Normal 15 4 5 2 3" xfId="55048" xr:uid="{00000000-0005-0000-0000-00009AD50000}"/>
    <cellStyle name="Normal 15 4 5 2 3 2" xfId="55049" xr:uid="{00000000-0005-0000-0000-00009BD50000}"/>
    <cellStyle name="Normal 15 4 5 2 4" xfId="55050" xr:uid="{00000000-0005-0000-0000-00009CD50000}"/>
    <cellStyle name="Normal 15 4 5 3" xfId="55051" xr:uid="{00000000-0005-0000-0000-00009DD50000}"/>
    <cellStyle name="Normal 15 4 5 3 2" xfId="55052" xr:uid="{00000000-0005-0000-0000-00009ED50000}"/>
    <cellStyle name="Normal 15 4 5 3 2 2" xfId="55053" xr:uid="{00000000-0005-0000-0000-00009FD50000}"/>
    <cellStyle name="Normal 15 4 5 3 3" xfId="55054" xr:uid="{00000000-0005-0000-0000-0000A0D50000}"/>
    <cellStyle name="Normal 15 4 5 4" xfId="55055" xr:uid="{00000000-0005-0000-0000-0000A1D50000}"/>
    <cellStyle name="Normal 15 4 5 4 2" xfId="55056" xr:uid="{00000000-0005-0000-0000-0000A2D50000}"/>
    <cellStyle name="Normal 15 4 5 5" xfId="55057" xr:uid="{00000000-0005-0000-0000-0000A3D50000}"/>
    <cellStyle name="Normal 15 4 6" xfId="55058" xr:uid="{00000000-0005-0000-0000-0000A4D50000}"/>
    <cellStyle name="Normal 15 4 6 2" xfId="55059" xr:uid="{00000000-0005-0000-0000-0000A5D50000}"/>
    <cellStyle name="Normal 15 4 6 2 2" xfId="55060" xr:uid="{00000000-0005-0000-0000-0000A6D50000}"/>
    <cellStyle name="Normal 15 4 6 2 2 2" xfId="55061" xr:uid="{00000000-0005-0000-0000-0000A7D50000}"/>
    <cellStyle name="Normal 15 4 6 2 3" xfId="55062" xr:uid="{00000000-0005-0000-0000-0000A8D50000}"/>
    <cellStyle name="Normal 15 4 6 3" xfId="55063" xr:uid="{00000000-0005-0000-0000-0000A9D50000}"/>
    <cellStyle name="Normal 15 4 6 3 2" xfId="55064" xr:uid="{00000000-0005-0000-0000-0000AAD50000}"/>
    <cellStyle name="Normal 15 4 6 4" xfId="55065" xr:uid="{00000000-0005-0000-0000-0000ABD50000}"/>
    <cellStyle name="Normal 15 4 7" xfId="55066" xr:uid="{00000000-0005-0000-0000-0000ACD50000}"/>
    <cellStyle name="Normal 15 4 7 2" xfId="55067" xr:uid="{00000000-0005-0000-0000-0000ADD50000}"/>
    <cellStyle name="Normal 15 4 7 2 2" xfId="55068" xr:uid="{00000000-0005-0000-0000-0000AED50000}"/>
    <cellStyle name="Normal 15 4 7 2 2 2" xfId="55069" xr:uid="{00000000-0005-0000-0000-0000AFD50000}"/>
    <cellStyle name="Normal 15 4 7 2 3" xfId="55070" xr:uid="{00000000-0005-0000-0000-0000B0D50000}"/>
    <cellStyle name="Normal 15 4 7 3" xfId="55071" xr:uid="{00000000-0005-0000-0000-0000B1D50000}"/>
    <cellStyle name="Normal 15 4 7 3 2" xfId="55072" xr:uid="{00000000-0005-0000-0000-0000B2D50000}"/>
    <cellStyle name="Normal 15 4 7 4" xfId="55073" xr:uid="{00000000-0005-0000-0000-0000B3D50000}"/>
    <cellStyle name="Normal 15 4 8" xfId="55074" xr:uid="{00000000-0005-0000-0000-0000B4D50000}"/>
    <cellStyle name="Normal 15 4 8 2" xfId="55075" xr:uid="{00000000-0005-0000-0000-0000B5D50000}"/>
    <cellStyle name="Normal 15 4 8 2 2" xfId="55076" xr:uid="{00000000-0005-0000-0000-0000B6D50000}"/>
    <cellStyle name="Normal 15 4 8 2 2 2" xfId="55077" xr:uid="{00000000-0005-0000-0000-0000B7D50000}"/>
    <cellStyle name="Normal 15 4 8 2 3" xfId="55078" xr:uid="{00000000-0005-0000-0000-0000B8D50000}"/>
    <cellStyle name="Normal 15 4 8 3" xfId="55079" xr:uid="{00000000-0005-0000-0000-0000B9D50000}"/>
    <cellStyle name="Normal 15 4 8 3 2" xfId="55080" xr:uid="{00000000-0005-0000-0000-0000BAD50000}"/>
    <cellStyle name="Normal 15 4 8 4" xfId="55081" xr:uid="{00000000-0005-0000-0000-0000BBD50000}"/>
    <cellStyle name="Normal 15 4 9" xfId="55082" xr:uid="{00000000-0005-0000-0000-0000BCD50000}"/>
    <cellStyle name="Normal 15 4 9 2" xfId="55083" xr:uid="{00000000-0005-0000-0000-0000BDD50000}"/>
    <cellStyle name="Normal 15 4 9 2 2" xfId="55084" xr:uid="{00000000-0005-0000-0000-0000BED50000}"/>
    <cellStyle name="Normal 15 4 9 3" xfId="55085" xr:uid="{00000000-0005-0000-0000-0000BFD50000}"/>
    <cellStyle name="Normal 15 5" xfId="1128" xr:uid="{00000000-0005-0000-0000-0000C0D50000}"/>
    <cellStyle name="Normal 15 5 10" xfId="55087" xr:uid="{00000000-0005-0000-0000-0000C1D50000}"/>
    <cellStyle name="Normal 15 5 11" xfId="55086" xr:uid="{00000000-0005-0000-0000-0000C2D50000}"/>
    <cellStyle name="Normal 15 5 2" xfId="1855" xr:uid="{00000000-0005-0000-0000-0000C3D50000}"/>
    <cellStyle name="Normal 15 5 2 2" xfId="55089" xr:uid="{00000000-0005-0000-0000-0000C4D50000}"/>
    <cellStyle name="Normal 15 5 2 2 2" xfId="55090" xr:uid="{00000000-0005-0000-0000-0000C5D50000}"/>
    <cellStyle name="Normal 15 5 2 2 2 2" xfId="55091" xr:uid="{00000000-0005-0000-0000-0000C6D50000}"/>
    <cellStyle name="Normal 15 5 2 2 2 2 2" xfId="55092" xr:uid="{00000000-0005-0000-0000-0000C7D50000}"/>
    <cellStyle name="Normal 15 5 2 2 2 3" xfId="55093" xr:uid="{00000000-0005-0000-0000-0000C8D50000}"/>
    <cellStyle name="Normal 15 5 2 2 3" xfId="55094" xr:uid="{00000000-0005-0000-0000-0000C9D50000}"/>
    <cellStyle name="Normal 15 5 2 2 3 2" xfId="55095" xr:uid="{00000000-0005-0000-0000-0000CAD50000}"/>
    <cellStyle name="Normal 15 5 2 2 4" xfId="55096" xr:uid="{00000000-0005-0000-0000-0000CBD50000}"/>
    <cellStyle name="Normal 15 5 2 3" xfId="55097" xr:uid="{00000000-0005-0000-0000-0000CCD50000}"/>
    <cellStyle name="Normal 15 5 2 3 2" xfId="55098" xr:uid="{00000000-0005-0000-0000-0000CDD50000}"/>
    <cellStyle name="Normal 15 5 2 3 2 2" xfId="55099" xr:uid="{00000000-0005-0000-0000-0000CED50000}"/>
    <cellStyle name="Normal 15 5 2 3 2 2 2" xfId="55100" xr:uid="{00000000-0005-0000-0000-0000CFD50000}"/>
    <cellStyle name="Normal 15 5 2 3 2 3" xfId="55101" xr:uid="{00000000-0005-0000-0000-0000D0D50000}"/>
    <cellStyle name="Normal 15 5 2 3 3" xfId="55102" xr:uid="{00000000-0005-0000-0000-0000D1D50000}"/>
    <cellStyle name="Normal 15 5 2 3 3 2" xfId="55103" xr:uid="{00000000-0005-0000-0000-0000D2D50000}"/>
    <cellStyle name="Normal 15 5 2 3 4" xfId="55104" xr:uid="{00000000-0005-0000-0000-0000D3D50000}"/>
    <cellStyle name="Normal 15 5 2 4" xfId="55105" xr:uid="{00000000-0005-0000-0000-0000D4D50000}"/>
    <cellStyle name="Normal 15 5 2 4 2" xfId="55106" xr:uid="{00000000-0005-0000-0000-0000D5D50000}"/>
    <cellStyle name="Normal 15 5 2 4 2 2" xfId="55107" xr:uid="{00000000-0005-0000-0000-0000D6D50000}"/>
    <cellStyle name="Normal 15 5 2 4 3" xfId="55108" xr:uid="{00000000-0005-0000-0000-0000D7D50000}"/>
    <cellStyle name="Normal 15 5 2 5" xfId="55109" xr:uid="{00000000-0005-0000-0000-0000D8D50000}"/>
    <cellStyle name="Normal 15 5 2 5 2" xfId="55110" xr:uid="{00000000-0005-0000-0000-0000D9D50000}"/>
    <cellStyle name="Normal 15 5 2 6" xfId="55111" xr:uid="{00000000-0005-0000-0000-0000DAD50000}"/>
    <cellStyle name="Normal 15 5 2 7" xfId="55088" xr:uid="{00000000-0005-0000-0000-0000DBD50000}"/>
    <cellStyle name="Normal 15 5 3" xfId="55112" xr:uid="{00000000-0005-0000-0000-0000DCD50000}"/>
    <cellStyle name="Normal 15 5 3 2" xfId="55113" xr:uid="{00000000-0005-0000-0000-0000DDD50000}"/>
    <cellStyle name="Normal 15 5 3 2 2" xfId="55114" xr:uid="{00000000-0005-0000-0000-0000DED50000}"/>
    <cellStyle name="Normal 15 5 3 2 2 2" xfId="55115" xr:uid="{00000000-0005-0000-0000-0000DFD50000}"/>
    <cellStyle name="Normal 15 5 3 2 2 2 2" xfId="55116" xr:uid="{00000000-0005-0000-0000-0000E0D50000}"/>
    <cellStyle name="Normal 15 5 3 2 2 3" xfId="55117" xr:uid="{00000000-0005-0000-0000-0000E1D50000}"/>
    <cellStyle name="Normal 15 5 3 2 3" xfId="55118" xr:uid="{00000000-0005-0000-0000-0000E2D50000}"/>
    <cellStyle name="Normal 15 5 3 2 3 2" xfId="55119" xr:uid="{00000000-0005-0000-0000-0000E3D50000}"/>
    <cellStyle name="Normal 15 5 3 2 4" xfId="55120" xr:uid="{00000000-0005-0000-0000-0000E4D50000}"/>
    <cellStyle name="Normal 15 5 3 3" xfId="55121" xr:uid="{00000000-0005-0000-0000-0000E5D50000}"/>
    <cellStyle name="Normal 15 5 3 3 2" xfId="55122" xr:uid="{00000000-0005-0000-0000-0000E6D50000}"/>
    <cellStyle name="Normal 15 5 3 3 2 2" xfId="55123" xr:uid="{00000000-0005-0000-0000-0000E7D50000}"/>
    <cellStyle name="Normal 15 5 3 3 3" xfId="55124" xr:uid="{00000000-0005-0000-0000-0000E8D50000}"/>
    <cellStyle name="Normal 15 5 3 4" xfId="55125" xr:uid="{00000000-0005-0000-0000-0000E9D50000}"/>
    <cellStyle name="Normal 15 5 3 4 2" xfId="55126" xr:uid="{00000000-0005-0000-0000-0000EAD50000}"/>
    <cellStyle name="Normal 15 5 3 5" xfId="55127" xr:uid="{00000000-0005-0000-0000-0000EBD50000}"/>
    <cellStyle name="Normal 15 5 4" xfId="55128" xr:uid="{00000000-0005-0000-0000-0000ECD50000}"/>
    <cellStyle name="Normal 15 5 4 2" xfId="55129" xr:uid="{00000000-0005-0000-0000-0000EDD50000}"/>
    <cellStyle name="Normal 15 5 4 2 2" xfId="55130" xr:uid="{00000000-0005-0000-0000-0000EED50000}"/>
    <cellStyle name="Normal 15 5 4 2 2 2" xfId="55131" xr:uid="{00000000-0005-0000-0000-0000EFD50000}"/>
    <cellStyle name="Normal 15 5 4 2 2 2 2" xfId="55132" xr:uid="{00000000-0005-0000-0000-0000F0D50000}"/>
    <cellStyle name="Normal 15 5 4 2 2 3" xfId="55133" xr:uid="{00000000-0005-0000-0000-0000F1D50000}"/>
    <cellStyle name="Normal 15 5 4 2 3" xfId="55134" xr:uid="{00000000-0005-0000-0000-0000F2D50000}"/>
    <cellStyle name="Normal 15 5 4 2 3 2" xfId="55135" xr:uid="{00000000-0005-0000-0000-0000F3D50000}"/>
    <cellStyle name="Normal 15 5 4 2 4" xfId="55136" xr:uid="{00000000-0005-0000-0000-0000F4D50000}"/>
    <cellStyle name="Normal 15 5 4 3" xfId="55137" xr:uid="{00000000-0005-0000-0000-0000F5D50000}"/>
    <cellStyle name="Normal 15 5 4 3 2" xfId="55138" xr:uid="{00000000-0005-0000-0000-0000F6D50000}"/>
    <cellStyle name="Normal 15 5 4 3 2 2" xfId="55139" xr:uid="{00000000-0005-0000-0000-0000F7D50000}"/>
    <cellStyle name="Normal 15 5 4 3 3" xfId="55140" xr:uid="{00000000-0005-0000-0000-0000F8D50000}"/>
    <cellStyle name="Normal 15 5 4 4" xfId="55141" xr:uid="{00000000-0005-0000-0000-0000F9D50000}"/>
    <cellStyle name="Normal 15 5 4 4 2" xfId="55142" xr:uid="{00000000-0005-0000-0000-0000FAD50000}"/>
    <cellStyle name="Normal 15 5 4 5" xfId="55143" xr:uid="{00000000-0005-0000-0000-0000FBD50000}"/>
    <cellStyle name="Normal 15 5 5" xfId="55144" xr:uid="{00000000-0005-0000-0000-0000FCD50000}"/>
    <cellStyle name="Normal 15 5 5 2" xfId="55145" xr:uid="{00000000-0005-0000-0000-0000FDD50000}"/>
    <cellStyle name="Normal 15 5 5 2 2" xfId="55146" xr:uid="{00000000-0005-0000-0000-0000FED50000}"/>
    <cellStyle name="Normal 15 5 5 2 2 2" xfId="55147" xr:uid="{00000000-0005-0000-0000-0000FFD50000}"/>
    <cellStyle name="Normal 15 5 5 2 3" xfId="55148" xr:uid="{00000000-0005-0000-0000-000000D60000}"/>
    <cellStyle name="Normal 15 5 5 3" xfId="55149" xr:uid="{00000000-0005-0000-0000-000001D60000}"/>
    <cellStyle name="Normal 15 5 5 3 2" xfId="55150" xr:uid="{00000000-0005-0000-0000-000002D60000}"/>
    <cellStyle name="Normal 15 5 5 4" xfId="55151" xr:uid="{00000000-0005-0000-0000-000003D60000}"/>
    <cellStyle name="Normal 15 5 6" xfId="55152" xr:uid="{00000000-0005-0000-0000-000004D60000}"/>
    <cellStyle name="Normal 15 5 6 2" xfId="55153" xr:uid="{00000000-0005-0000-0000-000005D60000}"/>
    <cellStyle name="Normal 15 5 6 2 2" xfId="55154" xr:uid="{00000000-0005-0000-0000-000006D60000}"/>
    <cellStyle name="Normal 15 5 6 2 2 2" xfId="55155" xr:uid="{00000000-0005-0000-0000-000007D60000}"/>
    <cellStyle name="Normal 15 5 6 2 3" xfId="55156" xr:uid="{00000000-0005-0000-0000-000008D60000}"/>
    <cellStyle name="Normal 15 5 6 3" xfId="55157" xr:uid="{00000000-0005-0000-0000-000009D60000}"/>
    <cellStyle name="Normal 15 5 6 3 2" xfId="55158" xr:uid="{00000000-0005-0000-0000-00000AD60000}"/>
    <cellStyle name="Normal 15 5 6 4" xfId="55159" xr:uid="{00000000-0005-0000-0000-00000BD60000}"/>
    <cellStyle name="Normal 15 5 7" xfId="55160" xr:uid="{00000000-0005-0000-0000-00000CD60000}"/>
    <cellStyle name="Normal 15 5 7 2" xfId="55161" xr:uid="{00000000-0005-0000-0000-00000DD60000}"/>
    <cellStyle name="Normal 15 5 7 2 2" xfId="55162" xr:uid="{00000000-0005-0000-0000-00000ED60000}"/>
    <cellStyle name="Normal 15 5 7 2 2 2" xfId="55163" xr:uid="{00000000-0005-0000-0000-00000FD60000}"/>
    <cellStyle name="Normal 15 5 7 2 3" xfId="55164" xr:uid="{00000000-0005-0000-0000-000010D60000}"/>
    <cellStyle name="Normal 15 5 7 3" xfId="55165" xr:uid="{00000000-0005-0000-0000-000011D60000}"/>
    <cellStyle name="Normal 15 5 7 3 2" xfId="55166" xr:uid="{00000000-0005-0000-0000-000012D60000}"/>
    <cellStyle name="Normal 15 5 7 4" xfId="55167" xr:uid="{00000000-0005-0000-0000-000013D60000}"/>
    <cellStyle name="Normal 15 5 8" xfId="55168" xr:uid="{00000000-0005-0000-0000-000014D60000}"/>
    <cellStyle name="Normal 15 5 8 2" xfId="55169" xr:uid="{00000000-0005-0000-0000-000015D60000}"/>
    <cellStyle name="Normal 15 5 8 2 2" xfId="55170" xr:uid="{00000000-0005-0000-0000-000016D60000}"/>
    <cellStyle name="Normal 15 5 8 3" xfId="55171" xr:uid="{00000000-0005-0000-0000-000017D60000}"/>
    <cellStyle name="Normal 15 5 9" xfId="55172" xr:uid="{00000000-0005-0000-0000-000018D60000}"/>
    <cellStyle name="Normal 15 5 9 2" xfId="55173" xr:uid="{00000000-0005-0000-0000-000019D60000}"/>
    <cellStyle name="Normal 15 6" xfId="1528" xr:uid="{00000000-0005-0000-0000-00001AD60000}"/>
    <cellStyle name="Normal 15 6 2" xfId="55175" xr:uid="{00000000-0005-0000-0000-00001BD60000}"/>
    <cellStyle name="Normal 15 6 2 2" xfId="55176" xr:uid="{00000000-0005-0000-0000-00001CD60000}"/>
    <cellStyle name="Normal 15 6 2 2 2" xfId="55177" xr:uid="{00000000-0005-0000-0000-00001DD60000}"/>
    <cellStyle name="Normal 15 6 2 2 2 2" xfId="55178" xr:uid="{00000000-0005-0000-0000-00001ED60000}"/>
    <cellStyle name="Normal 15 6 2 2 3" xfId="55179" xr:uid="{00000000-0005-0000-0000-00001FD60000}"/>
    <cellStyle name="Normal 15 6 2 3" xfId="55180" xr:uid="{00000000-0005-0000-0000-000020D60000}"/>
    <cellStyle name="Normal 15 6 2 3 2" xfId="55181" xr:uid="{00000000-0005-0000-0000-000021D60000}"/>
    <cellStyle name="Normal 15 6 2 4" xfId="55182" xr:uid="{00000000-0005-0000-0000-000022D60000}"/>
    <cellStyle name="Normal 15 6 3" xfId="55183" xr:uid="{00000000-0005-0000-0000-000023D60000}"/>
    <cellStyle name="Normal 15 6 3 2" xfId="55184" xr:uid="{00000000-0005-0000-0000-000024D60000}"/>
    <cellStyle name="Normal 15 6 3 2 2" xfId="55185" xr:uid="{00000000-0005-0000-0000-000025D60000}"/>
    <cellStyle name="Normal 15 6 3 2 2 2" xfId="55186" xr:uid="{00000000-0005-0000-0000-000026D60000}"/>
    <cellStyle name="Normal 15 6 3 2 3" xfId="55187" xr:uid="{00000000-0005-0000-0000-000027D60000}"/>
    <cellStyle name="Normal 15 6 3 3" xfId="55188" xr:uid="{00000000-0005-0000-0000-000028D60000}"/>
    <cellStyle name="Normal 15 6 3 3 2" xfId="55189" xr:uid="{00000000-0005-0000-0000-000029D60000}"/>
    <cellStyle name="Normal 15 6 3 4" xfId="55190" xr:uid="{00000000-0005-0000-0000-00002AD60000}"/>
    <cellStyle name="Normal 15 6 4" xfId="55191" xr:uid="{00000000-0005-0000-0000-00002BD60000}"/>
    <cellStyle name="Normal 15 6 4 2" xfId="55192" xr:uid="{00000000-0005-0000-0000-00002CD60000}"/>
    <cellStyle name="Normal 15 6 4 2 2" xfId="55193" xr:uid="{00000000-0005-0000-0000-00002DD60000}"/>
    <cellStyle name="Normal 15 6 4 3" xfId="55194" xr:uid="{00000000-0005-0000-0000-00002ED60000}"/>
    <cellStyle name="Normal 15 6 5" xfId="55195" xr:uid="{00000000-0005-0000-0000-00002FD60000}"/>
    <cellStyle name="Normal 15 6 5 2" xfId="55196" xr:uid="{00000000-0005-0000-0000-000030D60000}"/>
    <cellStyle name="Normal 15 6 6" xfId="55197" xr:uid="{00000000-0005-0000-0000-000031D60000}"/>
    <cellStyle name="Normal 15 6 7" xfId="55174" xr:uid="{00000000-0005-0000-0000-000032D60000}"/>
    <cellStyle name="Normal 15 7" xfId="55198" xr:uid="{00000000-0005-0000-0000-000033D60000}"/>
    <cellStyle name="Normal 15 7 2" xfId="55199" xr:uid="{00000000-0005-0000-0000-000034D60000}"/>
    <cellStyle name="Normal 15 7 2 2" xfId="55200" xr:uid="{00000000-0005-0000-0000-000035D60000}"/>
    <cellStyle name="Normal 15 7 2 2 2" xfId="55201" xr:uid="{00000000-0005-0000-0000-000036D60000}"/>
    <cellStyle name="Normal 15 7 2 2 2 2" xfId="55202" xr:uid="{00000000-0005-0000-0000-000037D60000}"/>
    <cellStyle name="Normal 15 7 2 2 3" xfId="55203" xr:uid="{00000000-0005-0000-0000-000038D60000}"/>
    <cellStyle name="Normal 15 7 2 3" xfId="55204" xr:uid="{00000000-0005-0000-0000-000039D60000}"/>
    <cellStyle name="Normal 15 7 2 3 2" xfId="55205" xr:uid="{00000000-0005-0000-0000-00003AD60000}"/>
    <cellStyle name="Normal 15 7 2 4" xfId="55206" xr:uid="{00000000-0005-0000-0000-00003BD60000}"/>
    <cellStyle name="Normal 15 7 3" xfId="55207" xr:uid="{00000000-0005-0000-0000-00003CD60000}"/>
    <cellStyle name="Normal 15 7 3 2" xfId="55208" xr:uid="{00000000-0005-0000-0000-00003DD60000}"/>
    <cellStyle name="Normal 15 7 3 2 2" xfId="55209" xr:uid="{00000000-0005-0000-0000-00003ED60000}"/>
    <cellStyle name="Normal 15 7 3 3" xfId="55210" xr:uid="{00000000-0005-0000-0000-00003FD60000}"/>
    <cellStyle name="Normal 15 7 4" xfId="55211" xr:uid="{00000000-0005-0000-0000-000040D60000}"/>
    <cellStyle name="Normal 15 7 4 2" xfId="55212" xr:uid="{00000000-0005-0000-0000-000041D60000}"/>
    <cellStyle name="Normal 15 7 5" xfId="55213" xr:uid="{00000000-0005-0000-0000-000042D60000}"/>
    <cellStyle name="Normal 15 8" xfId="55214" xr:uid="{00000000-0005-0000-0000-000043D60000}"/>
    <cellStyle name="Normal 15 8 2" xfId="55215" xr:uid="{00000000-0005-0000-0000-000044D60000}"/>
    <cellStyle name="Normal 15 8 2 2" xfId="55216" xr:uid="{00000000-0005-0000-0000-000045D60000}"/>
    <cellStyle name="Normal 15 8 2 2 2" xfId="55217" xr:uid="{00000000-0005-0000-0000-000046D60000}"/>
    <cellStyle name="Normal 15 8 2 2 2 2" xfId="55218" xr:uid="{00000000-0005-0000-0000-000047D60000}"/>
    <cellStyle name="Normal 15 8 2 2 3" xfId="55219" xr:uid="{00000000-0005-0000-0000-000048D60000}"/>
    <cellStyle name="Normal 15 8 2 3" xfId="55220" xr:uid="{00000000-0005-0000-0000-000049D60000}"/>
    <cellStyle name="Normal 15 8 2 3 2" xfId="55221" xr:uid="{00000000-0005-0000-0000-00004AD60000}"/>
    <cellStyle name="Normal 15 8 2 4" xfId="55222" xr:uid="{00000000-0005-0000-0000-00004BD60000}"/>
    <cellStyle name="Normal 15 8 3" xfId="55223" xr:uid="{00000000-0005-0000-0000-00004CD60000}"/>
    <cellStyle name="Normal 15 8 3 2" xfId="55224" xr:uid="{00000000-0005-0000-0000-00004DD60000}"/>
    <cellStyle name="Normal 15 8 3 2 2" xfId="55225" xr:uid="{00000000-0005-0000-0000-00004ED60000}"/>
    <cellStyle name="Normal 15 8 3 3" xfId="55226" xr:uid="{00000000-0005-0000-0000-00004FD60000}"/>
    <cellStyle name="Normal 15 8 4" xfId="55227" xr:uid="{00000000-0005-0000-0000-000050D60000}"/>
    <cellStyle name="Normal 15 8 4 2" xfId="55228" xr:uid="{00000000-0005-0000-0000-000051D60000}"/>
    <cellStyle name="Normal 15 8 5" xfId="55229" xr:uid="{00000000-0005-0000-0000-000052D60000}"/>
    <cellStyle name="Normal 15 9" xfId="55230" xr:uid="{00000000-0005-0000-0000-000053D60000}"/>
    <cellStyle name="Normal 15 9 2" xfId="55231" xr:uid="{00000000-0005-0000-0000-000054D60000}"/>
    <cellStyle name="Normal 15 9 2 2" xfId="55232" xr:uid="{00000000-0005-0000-0000-000055D60000}"/>
    <cellStyle name="Normal 15 9 2 2 2" xfId="55233" xr:uid="{00000000-0005-0000-0000-000056D60000}"/>
    <cellStyle name="Normal 15 9 2 3" xfId="55234" xr:uid="{00000000-0005-0000-0000-000057D60000}"/>
    <cellStyle name="Normal 15 9 3" xfId="55235" xr:uid="{00000000-0005-0000-0000-000058D60000}"/>
    <cellStyle name="Normal 15 9 3 2" xfId="55236" xr:uid="{00000000-0005-0000-0000-000059D60000}"/>
    <cellStyle name="Normal 15 9 4" xfId="55237" xr:uid="{00000000-0005-0000-0000-00005AD60000}"/>
    <cellStyle name="Normal 16" xfId="690" xr:uid="{00000000-0005-0000-0000-00005BD60000}"/>
    <cellStyle name="Normal 16 2" xfId="55238" xr:uid="{00000000-0005-0000-0000-00005CD60000}"/>
    <cellStyle name="Normal 17" xfId="691" xr:uid="{00000000-0005-0000-0000-00005DD60000}"/>
    <cellStyle name="Normal 17 10" xfId="55240" xr:uid="{00000000-0005-0000-0000-00005ED60000}"/>
    <cellStyle name="Normal 17 10 2" xfId="55241" xr:uid="{00000000-0005-0000-0000-00005FD60000}"/>
    <cellStyle name="Normal 17 10 2 2" xfId="55242" xr:uid="{00000000-0005-0000-0000-000060D60000}"/>
    <cellStyle name="Normal 17 10 3" xfId="55243" xr:uid="{00000000-0005-0000-0000-000061D60000}"/>
    <cellStyle name="Normal 17 11" xfId="55244" xr:uid="{00000000-0005-0000-0000-000062D60000}"/>
    <cellStyle name="Normal 17 11 2" xfId="55245" xr:uid="{00000000-0005-0000-0000-000063D60000}"/>
    <cellStyle name="Normal 17 11 2 2" xfId="55246" xr:uid="{00000000-0005-0000-0000-000064D60000}"/>
    <cellStyle name="Normal 17 11 3" xfId="55247" xr:uid="{00000000-0005-0000-0000-000065D60000}"/>
    <cellStyle name="Normal 17 12" xfId="55248" xr:uid="{00000000-0005-0000-0000-000066D60000}"/>
    <cellStyle name="Normal 17 12 2" xfId="55249" xr:uid="{00000000-0005-0000-0000-000067D60000}"/>
    <cellStyle name="Normal 17 13" xfId="55250" xr:uid="{00000000-0005-0000-0000-000068D60000}"/>
    <cellStyle name="Normal 17 14" xfId="55251" xr:uid="{00000000-0005-0000-0000-000069D60000}"/>
    <cellStyle name="Normal 17 15" xfId="55239" xr:uid="{00000000-0005-0000-0000-00006AD60000}"/>
    <cellStyle name="Normal 17 2" xfId="1131" xr:uid="{00000000-0005-0000-0000-00006BD60000}"/>
    <cellStyle name="Normal 17 2 10" xfId="55253" xr:uid="{00000000-0005-0000-0000-00006CD60000}"/>
    <cellStyle name="Normal 17 2 11" xfId="55252" xr:uid="{00000000-0005-0000-0000-00006DD60000}"/>
    <cellStyle name="Normal 17 2 2" xfId="1858" xr:uid="{00000000-0005-0000-0000-00006ED60000}"/>
    <cellStyle name="Normal 17 2 2 2" xfId="55255" xr:uid="{00000000-0005-0000-0000-00006FD60000}"/>
    <cellStyle name="Normal 17 2 2 2 2" xfId="55256" xr:uid="{00000000-0005-0000-0000-000070D60000}"/>
    <cellStyle name="Normal 17 2 2 2 2 2" xfId="55257" xr:uid="{00000000-0005-0000-0000-000071D60000}"/>
    <cellStyle name="Normal 17 2 2 2 2 2 2" xfId="55258" xr:uid="{00000000-0005-0000-0000-000072D60000}"/>
    <cellStyle name="Normal 17 2 2 2 2 3" xfId="55259" xr:uid="{00000000-0005-0000-0000-000073D60000}"/>
    <cellStyle name="Normal 17 2 2 2 3" xfId="55260" xr:uid="{00000000-0005-0000-0000-000074D60000}"/>
    <cellStyle name="Normal 17 2 2 2 3 2" xfId="55261" xr:uid="{00000000-0005-0000-0000-000075D60000}"/>
    <cellStyle name="Normal 17 2 2 2 4" xfId="55262" xr:uid="{00000000-0005-0000-0000-000076D60000}"/>
    <cellStyle name="Normal 17 2 2 3" xfId="55263" xr:uid="{00000000-0005-0000-0000-000077D60000}"/>
    <cellStyle name="Normal 17 2 2 3 2" xfId="55264" xr:uid="{00000000-0005-0000-0000-000078D60000}"/>
    <cellStyle name="Normal 17 2 2 3 2 2" xfId="55265" xr:uid="{00000000-0005-0000-0000-000079D60000}"/>
    <cellStyle name="Normal 17 2 2 3 2 2 2" xfId="55266" xr:uid="{00000000-0005-0000-0000-00007AD60000}"/>
    <cellStyle name="Normal 17 2 2 3 2 3" xfId="55267" xr:uid="{00000000-0005-0000-0000-00007BD60000}"/>
    <cellStyle name="Normal 17 2 2 3 3" xfId="55268" xr:uid="{00000000-0005-0000-0000-00007CD60000}"/>
    <cellStyle name="Normal 17 2 2 3 3 2" xfId="55269" xr:uid="{00000000-0005-0000-0000-00007DD60000}"/>
    <cellStyle name="Normal 17 2 2 3 4" xfId="55270" xr:uid="{00000000-0005-0000-0000-00007ED60000}"/>
    <cellStyle name="Normal 17 2 2 4" xfId="55271" xr:uid="{00000000-0005-0000-0000-00007FD60000}"/>
    <cellStyle name="Normal 17 2 2 4 2" xfId="55272" xr:uid="{00000000-0005-0000-0000-000080D60000}"/>
    <cellStyle name="Normal 17 2 2 4 2 2" xfId="55273" xr:uid="{00000000-0005-0000-0000-000081D60000}"/>
    <cellStyle name="Normal 17 2 2 4 3" xfId="55274" xr:uid="{00000000-0005-0000-0000-000082D60000}"/>
    <cellStyle name="Normal 17 2 2 5" xfId="55275" xr:uid="{00000000-0005-0000-0000-000083D60000}"/>
    <cellStyle name="Normal 17 2 2 5 2" xfId="55276" xr:uid="{00000000-0005-0000-0000-000084D60000}"/>
    <cellStyle name="Normal 17 2 2 6" xfId="55277" xr:uid="{00000000-0005-0000-0000-000085D60000}"/>
    <cellStyle name="Normal 17 2 2 7" xfId="55254" xr:uid="{00000000-0005-0000-0000-000086D60000}"/>
    <cellStyle name="Normal 17 2 3" xfId="55278" xr:uid="{00000000-0005-0000-0000-000087D60000}"/>
    <cellStyle name="Normal 17 2 3 2" xfId="55279" xr:uid="{00000000-0005-0000-0000-000088D60000}"/>
    <cellStyle name="Normal 17 2 3 2 2" xfId="55280" xr:uid="{00000000-0005-0000-0000-000089D60000}"/>
    <cellStyle name="Normal 17 2 3 2 2 2" xfId="55281" xr:uid="{00000000-0005-0000-0000-00008AD60000}"/>
    <cellStyle name="Normal 17 2 3 2 2 2 2" xfId="55282" xr:uid="{00000000-0005-0000-0000-00008BD60000}"/>
    <cellStyle name="Normal 17 2 3 2 2 3" xfId="55283" xr:uid="{00000000-0005-0000-0000-00008CD60000}"/>
    <cellStyle name="Normal 17 2 3 2 3" xfId="55284" xr:uid="{00000000-0005-0000-0000-00008DD60000}"/>
    <cellStyle name="Normal 17 2 3 2 3 2" xfId="55285" xr:uid="{00000000-0005-0000-0000-00008ED60000}"/>
    <cellStyle name="Normal 17 2 3 2 4" xfId="55286" xr:uid="{00000000-0005-0000-0000-00008FD60000}"/>
    <cellStyle name="Normal 17 2 3 3" xfId="55287" xr:uid="{00000000-0005-0000-0000-000090D60000}"/>
    <cellStyle name="Normal 17 2 3 3 2" xfId="55288" xr:uid="{00000000-0005-0000-0000-000091D60000}"/>
    <cellStyle name="Normal 17 2 3 3 2 2" xfId="55289" xr:uid="{00000000-0005-0000-0000-000092D60000}"/>
    <cellStyle name="Normal 17 2 3 3 3" xfId="55290" xr:uid="{00000000-0005-0000-0000-000093D60000}"/>
    <cellStyle name="Normal 17 2 3 4" xfId="55291" xr:uid="{00000000-0005-0000-0000-000094D60000}"/>
    <cellStyle name="Normal 17 2 3 4 2" xfId="55292" xr:uid="{00000000-0005-0000-0000-000095D60000}"/>
    <cellStyle name="Normal 17 2 3 5" xfId="55293" xr:uid="{00000000-0005-0000-0000-000096D60000}"/>
    <cellStyle name="Normal 17 2 4" xfId="55294" xr:uid="{00000000-0005-0000-0000-000097D60000}"/>
    <cellStyle name="Normal 17 2 4 2" xfId="55295" xr:uid="{00000000-0005-0000-0000-000098D60000}"/>
    <cellStyle name="Normal 17 2 4 2 2" xfId="55296" xr:uid="{00000000-0005-0000-0000-000099D60000}"/>
    <cellStyle name="Normal 17 2 4 2 2 2" xfId="55297" xr:uid="{00000000-0005-0000-0000-00009AD60000}"/>
    <cellStyle name="Normal 17 2 4 2 2 2 2" xfId="55298" xr:uid="{00000000-0005-0000-0000-00009BD60000}"/>
    <cellStyle name="Normal 17 2 4 2 2 3" xfId="55299" xr:uid="{00000000-0005-0000-0000-00009CD60000}"/>
    <cellStyle name="Normal 17 2 4 2 3" xfId="55300" xr:uid="{00000000-0005-0000-0000-00009DD60000}"/>
    <cellStyle name="Normal 17 2 4 2 3 2" xfId="55301" xr:uid="{00000000-0005-0000-0000-00009ED60000}"/>
    <cellStyle name="Normal 17 2 4 2 4" xfId="55302" xr:uid="{00000000-0005-0000-0000-00009FD60000}"/>
    <cellStyle name="Normal 17 2 4 3" xfId="55303" xr:uid="{00000000-0005-0000-0000-0000A0D60000}"/>
    <cellStyle name="Normal 17 2 4 3 2" xfId="55304" xr:uid="{00000000-0005-0000-0000-0000A1D60000}"/>
    <cellStyle name="Normal 17 2 4 3 2 2" xfId="55305" xr:uid="{00000000-0005-0000-0000-0000A2D60000}"/>
    <cellStyle name="Normal 17 2 4 3 3" xfId="55306" xr:uid="{00000000-0005-0000-0000-0000A3D60000}"/>
    <cellStyle name="Normal 17 2 4 4" xfId="55307" xr:uid="{00000000-0005-0000-0000-0000A4D60000}"/>
    <cellStyle name="Normal 17 2 4 4 2" xfId="55308" xr:uid="{00000000-0005-0000-0000-0000A5D60000}"/>
    <cellStyle name="Normal 17 2 4 5" xfId="55309" xr:uid="{00000000-0005-0000-0000-0000A6D60000}"/>
    <cellStyle name="Normal 17 2 5" xfId="55310" xr:uid="{00000000-0005-0000-0000-0000A7D60000}"/>
    <cellStyle name="Normal 17 2 5 2" xfId="55311" xr:uid="{00000000-0005-0000-0000-0000A8D60000}"/>
    <cellStyle name="Normal 17 2 5 2 2" xfId="55312" xr:uid="{00000000-0005-0000-0000-0000A9D60000}"/>
    <cellStyle name="Normal 17 2 5 2 2 2" xfId="55313" xr:uid="{00000000-0005-0000-0000-0000AAD60000}"/>
    <cellStyle name="Normal 17 2 5 2 3" xfId="55314" xr:uid="{00000000-0005-0000-0000-0000ABD60000}"/>
    <cellStyle name="Normal 17 2 5 3" xfId="55315" xr:uid="{00000000-0005-0000-0000-0000ACD60000}"/>
    <cellStyle name="Normal 17 2 5 3 2" xfId="55316" xr:uid="{00000000-0005-0000-0000-0000ADD60000}"/>
    <cellStyle name="Normal 17 2 5 4" xfId="55317" xr:uid="{00000000-0005-0000-0000-0000AED60000}"/>
    <cellStyle name="Normal 17 2 6" xfId="55318" xr:uid="{00000000-0005-0000-0000-0000AFD60000}"/>
    <cellStyle name="Normal 17 2 6 2" xfId="55319" xr:uid="{00000000-0005-0000-0000-0000B0D60000}"/>
    <cellStyle name="Normal 17 2 6 2 2" xfId="55320" xr:uid="{00000000-0005-0000-0000-0000B1D60000}"/>
    <cellStyle name="Normal 17 2 6 2 2 2" xfId="55321" xr:uid="{00000000-0005-0000-0000-0000B2D60000}"/>
    <cellStyle name="Normal 17 2 6 2 3" xfId="55322" xr:uid="{00000000-0005-0000-0000-0000B3D60000}"/>
    <cellStyle name="Normal 17 2 6 3" xfId="55323" xr:uid="{00000000-0005-0000-0000-0000B4D60000}"/>
    <cellStyle name="Normal 17 2 6 3 2" xfId="55324" xr:uid="{00000000-0005-0000-0000-0000B5D60000}"/>
    <cellStyle name="Normal 17 2 6 4" xfId="55325" xr:uid="{00000000-0005-0000-0000-0000B6D60000}"/>
    <cellStyle name="Normal 17 2 7" xfId="55326" xr:uid="{00000000-0005-0000-0000-0000B7D60000}"/>
    <cellStyle name="Normal 17 2 7 2" xfId="55327" xr:uid="{00000000-0005-0000-0000-0000B8D60000}"/>
    <cellStyle name="Normal 17 2 7 2 2" xfId="55328" xr:uid="{00000000-0005-0000-0000-0000B9D60000}"/>
    <cellStyle name="Normal 17 2 7 2 2 2" xfId="55329" xr:uid="{00000000-0005-0000-0000-0000BAD60000}"/>
    <cellStyle name="Normal 17 2 7 2 3" xfId="55330" xr:uid="{00000000-0005-0000-0000-0000BBD60000}"/>
    <cellStyle name="Normal 17 2 7 3" xfId="55331" xr:uid="{00000000-0005-0000-0000-0000BCD60000}"/>
    <cellStyle name="Normal 17 2 7 3 2" xfId="55332" xr:uid="{00000000-0005-0000-0000-0000BDD60000}"/>
    <cellStyle name="Normal 17 2 7 4" xfId="55333" xr:uid="{00000000-0005-0000-0000-0000BED60000}"/>
    <cellStyle name="Normal 17 2 8" xfId="55334" xr:uid="{00000000-0005-0000-0000-0000BFD60000}"/>
    <cellStyle name="Normal 17 2 8 2" xfId="55335" xr:uid="{00000000-0005-0000-0000-0000C0D60000}"/>
    <cellStyle name="Normal 17 2 8 2 2" xfId="55336" xr:uid="{00000000-0005-0000-0000-0000C1D60000}"/>
    <cellStyle name="Normal 17 2 8 3" xfId="55337" xr:uid="{00000000-0005-0000-0000-0000C2D60000}"/>
    <cellStyle name="Normal 17 2 9" xfId="55338" xr:uid="{00000000-0005-0000-0000-0000C3D60000}"/>
    <cellStyle name="Normal 17 2 9 2" xfId="55339" xr:uid="{00000000-0005-0000-0000-0000C4D60000}"/>
    <cellStyle name="Normal 17 3" xfId="1531" xr:uid="{00000000-0005-0000-0000-0000C5D60000}"/>
    <cellStyle name="Normal 17 3 2" xfId="55341" xr:uid="{00000000-0005-0000-0000-0000C6D60000}"/>
    <cellStyle name="Normal 17 3 2 2" xfId="55342" xr:uid="{00000000-0005-0000-0000-0000C7D60000}"/>
    <cellStyle name="Normal 17 3 2 2 2" xfId="55343" xr:uid="{00000000-0005-0000-0000-0000C8D60000}"/>
    <cellStyle name="Normal 17 3 2 2 2 2" xfId="55344" xr:uid="{00000000-0005-0000-0000-0000C9D60000}"/>
    <cellStyle name="Normal 17 3 2 2 3" xfId="55345" xr:uid="{00000000-0005-0000-0000-0000CAD60000}"/>
    <cellStyle name="Normal 17 3 2 3" xfId="55346" xr:uid="{00000000-0005-0000-0000-0000CBD60000}"/>
    <cellStyle name="Normal 17 3 2 3 2" xfId="55347" xr:uid="{00000000-0005-0000-0000-0000CCD60000}"/>
    <cellStyle name="Normal 17 3 2 4" xfId="55348" xr:uid="{00000000-0005-0000-0000-0000CDD60000}"/>
    <cellStyle name="Normal 17 3 3" xfId="55349" xr:uid="{00000000-0005-0000-0000-0000CED60000}"/>
    <cellStyle name="Normal 17 3 3 2" xfId="55350" xr:uid="{00000000-0005-0000-0000-0000CFD60000}"/>
    <cellStyle name="Normal 17 3 3 2 2" xfId="55351" xr:uid="{00000000-0005-0000-0000-0000D0D60000}"/>
    <cellStyle name="Normal 17 3 3 2 2 2" xfId="55352" xr:uid="{00000000-0005-0000-0000-0000D1D60000}"/>
    <cellStyle name="Normal 17 3 3 2 3" xfId="55353" xr:uid="{00000000-0005-0000-0000-0000D2D60000}"/>
    <cellStyle name="Normal 17 3 3 3" xfId="55354" xr:uid="{00000000-0005-0000-0000-0000D3D60000}"/>
    <cellStyle name="Normal 17 3 3 3 2" xfId="55355" xr:uid="{00000000-0005-0000-0000-0000D4D60000}"/>
    <cellStyle name="Normal 17 3 3 4" xfId="55356" xr:uid="{00000000-0005-0000-0000-0000D5D60000}"/>
    <cellStyle name="Normal 17 3 4" xfId="55357" xr:uid="{00000000-0005-0000-0000-0000D6D60000}"/>
    <cellStyle name="Normal 17 3 4 2" xfId="55358" xr:uid="{00000000-0005-0000-0000-0000D7D60000}"/>
    <cellStyle name="Normal 17 3 4 2 2" xfId="55359" xr:uid="{00000000-0005-0000-0000-0000D8D60000}"/>
    <cellStyle name="Normal 17 3 4 3" xfId="55360" xr:uid="{00000000-0005-0000-0000-0000D9D60000}"/>
    <cellStyle name="Normal 17 3 5" xfId="55361" xr:uid="{00000000-0005-0000-0000-0000DAD60000}"/>
    <cellStyle name="Normal 17 3 5 2" xfId="55362" xr:uid="{00000000-0005-0000-0000-0000DBD60000}"/>
    <cellStyle name="Normal 17 3 6" xfId="55363" xr:uid="{00000000-0005-0000-0000-0000DCD60000}"/>
    <cellStyle name="Normal 17 3 7" xfId="55340" xr:uid="{00000000-0005-0000-0000-0000DDD60000}"/>
    <cellStyle name="Normal 17 4" xfId="55364" xr:uid="{00000000-0005-0000-0000-0000DED60000}"/>
    <cellStyle name="Normal 17 4 2" xfId="55365" xr:uid="{00000000-0005-0000-0000-0000DFD60000}"/>
    <cellStyle name="Normal 17 4 2 2" xfId="55366" xr:uid="{00000000-0005-0000-0000-0000E0D60000}"/>
    <cellStyle name="Normal 17 4 2 2 2" xfId="55367" xr:uid="{00000000-0005-0000-0000-0000E1D60000}"/>
    <cellStyle name="Normal 17 4 2 2 2 2" xfId="55368" xr:uid="{00000000-0005-0000-0000-0000E2D60000}"/>
    <cellStyle name="Normal 17 4 2 2 3" xfId="55369" xr:uid="{00000000-0005-0000-0000-0000E3D60000}"/>
    <cellStyle name="Normal 17 4 2 3" xfId="55370" xr:uid="{00000000-0005-0000-0000-0000E4D60000}"/>
    <cellStyle name="Normal 17 4 2 3 2" xfId="55371" xr:uid="{00000000-0005-0000-0000-0000E5D60000}"/>
    <cellStyle name="Normal 17 4 2 4" xfId="55372" xr:uid="{00000000-0005-0000-0000-0000E6D60000}"/>
    <cellStyle name="Normal 17 4 3" xfId="55373" xr:uid="{00000000-0005-0000-0000-0000E7D60000}"/>
    <cellStyle name="Normal 17 4 3 2" xfId="55374" xr:uid="{00000000-0005-0000-0000-0000E8D60000}"/>
    <cellStyle name="Normal 17 4 3 2 2" xfId="55375" xr:uid="{00000000-0005-0000-0000-0000E9D60000}"/>
    <cellStyle name="Normal 17 4 3 3" xfId="55376" xr:uid="{00000000-0005-0000-0000-0000EAD60000}"/>
    <cellStyle name="Normal 17 4 4" xfId="55377" xr:uid="{00000000-0005-0000-0000-0000EBD60000}"/>
    <cellStyle name="Normal 17 4 4 2" xfId="55378" xr:uid="{00000000-0005-0000-0000-0000ECD60000}"/>
    <cellStyle name="Normal 17 4 5" xfId="55379" xr:uid="{00000000-0005-0000-0000-0000EDD60000}"/>
    <cellStyle name="Normal 17 5" xfId="55380" xr:uid="{00000000-0005-0000-0000-0000EED60000}"/>
    <cellStyle name="Normal 17 5 2" xfId="55381" xr:uid="{00000000-0005-0000-0000-0000EFD60000}"/>
    <cellStyle name="Normal 17 5 2 2" xfId="55382" xr:uid="{00000000-0005-0000-0000-0000F0D60000}"/>
    <cellStyle name="Normal 17 5 2 2 2" xfId="55383" xr:uid="{00000000-0005-0000-0000-0000F1D60000}"/>
    <cellStyle name="Normal 17 5 2 2 2 2" xfId="55384" xr:uid="{00000000-0005-0000-0000-0000F2D60000}"/>
    <cellStyle name="Normal 17 5 2 2 3" xfId="55385" xr:uid="{00000000-0005-0000-0000-0000F3D60000}"/>
    <cellStyle name="Normal 17 5 2 3" xfId="55386" xr:uid="{00000000-0005-0000-0000-0000F4D60000}"/>
    <cellStyle name="Normal 17 5 2 3 2" xfId="55387" xr:uid="{00000000-0005-0000-0000-0000F5D60000}"/>
    <cellStyle name="Normal 17 5 2 4" xfId="55388" xr:uid="{00000000-0005-0000-0000-0000F6D60000}"/>
    <cellStyle name="Normal 17 5 3" xfId="55389" xr:uid="{00000000-0005-0000-0000-0000F7D60000}"/>
    <cellStyle name="Normal 17 5 3 2" xfId="55390" xr:uid="{00000000-0005-0000-0000-0000F8D60000}"/>
    <cellStyle name="Normal 17 5 3 2 2" xfId="55391" xr:uid="{00000000-0005-0000-0000-0000F9D60000}"/>
    <cellStyle name="Normal 17 5 3 3" xfId="55392" xr:uid="{00000000-0005-0000-0000-0000FAD60000}"/>
    <cellStyle name="Normal 17 5 4" xfId="55393" xr:uid="{00000000-0005-0000-0000-0000FBD60000}"/>
    <cellStyle name="Normal 17 5 4 2" xfId="55394" xr:uid="{00000000-0005-0000-0000-0000FCD60000}"/>
    <cellStyle name="Normal 17 5 5" xfId="55395" xr:uid="{00000000-0005-0000-0000-0000FDD60000}"/>
    <cellStyle name="Normal 17 6" xfId="55396" xr:uid="{00000000-0005-0000-0000-0000FED60000}"/>
    <cellStyle name="Normal 17 6 2" xfId="55397" xr:uid="{00000000-0005-0000-0000-0000FFD60000}"/>
    <cellStyle name="Normal 17 6 2 2" xfId="55398" xr:uid="{00000000-0005-0000-0000-000000D70000}"/>
    <cellStyle name="Normal 17 6 2 2 2" xfId="55399" xr:uid="{00000000-0005-0000-0000-000001D70000}"/>
    <cellStyle name="Normal 17 6 2 3" xfId="55400" xr:uid="{00000000-0005-0000-0000-000002D70000}"/>
    <cellStyle name="Normal 17 6 3" xfId="55401" xr:uid="{00000000-0005-0000-0000-000003D70000}"/>
    <cellStyle name="Normal 17 6 3 2" xfId="55402" xr:uid="{00000000-0005-0000-0000-000004D70000}"/>
    <cellStyle name="Normal 17 6 4" xfId="55403" xr:uid="{00000000-0005-0000-0000-000005D70000}"/>
    <cellStyle name="Normal 17 7" xfId="55404" xr:uid="{00000000-0005-0000-0000-000006D70000}"/>
    <cellStyle name="Normal 17 7 2" xfId="55405" xr:uid="{00000000-0005-0000-0000-000007D70000}"/>
    <cellStyle name="Normal 17 7 2 2" xfId="55406" xr:uid="{00000000-0005-0000-0000-000008D70000}"/>
    <cellStyle name="Normal 17 7 2 2 2" xfId="55407" xr:uid="{00000000-0005-0000-0000-000009D70000}"/>
    <cellStyle name="Normal 17 7 2 3" xfId="55408" xr:uid="{00000000-0005-0000-0000-00000AD70000}"/>
    <cellStyle name="Normal 17 7 3" xfId="55409" xr:uid="{00000000-0005-0000-0000-00000BD70000}"/>
    <cellStyle name="Normal 17 7 3 2" xfId="55410" xr:uid="{00000000-0005-0000-0000-00000CD70000}"/>
    <cellStyle name="Normal 17 7 4" xfId="55411" xr:uid="{00000000-0005-0000-0000-00000DD70000}"/>
    <cellStyle name="Normal 17 8" xfId="55412" xr:uid="{00000000-0005-0000-0000-00000ED70000}"/>
    <cellStyle name="Normal 17 8 2" xfId="55413" xr:uid="{00000000-0005-0000-0000-00000FD70000}"/>
    <cellStyle name="Normal 17 8 2 2" xfId="55414" xr:uid="{00000000-0005-0000-0000-000010D70000}"/>
    <cellStyle name="Normal 17 8 2 2 2" xfId="55415" xr:uid="{00000000-0005-0000-0000-000011D70000}"/>
    <cellStyle name="Normal 17 8 2 3" xfId="55416" xr:uid="{00000000-0005-0000-0000-000012D70000}"/>
    <cellStyle name="Normal 17 8 3" xfId="55417" xr:uid="{00000000-0005-0000-0000-000013D70000}"/>
    <cellStyle name="Normal 17 8 3 2" xfId="55418" xr:uid="{00000000-0005-0000-0000-000014D70000}"/>
    <cellStyle name="Normal 17 8 4" xfId="55419" xr:uid="{00000000-0005-0000-0000-000015D70000}"/>
    <cellStyle name="Normal 17 9" xfId="55420" xr:uid="{00000000-0005-0000-0000-000016D70000}"/>
    <cellStyle name="Normal 17 9 2" xfId="55421" xr:uid="{00000000-0005-0000-0000-000017D70000}"/>
    <cellStyle name="Normal 17 9 2 2" xfId="55422" xr:uid="{00000000-0005-0000-0000-000018D70000}"/>
    <cellStyle name="Normal 17 9 3" xfId="55423" xr:uid="{00000000-0005-0000-0000-000019D70000}"/>
    <cellStyle name="Normal 18" xfId="692" xr:uid="{00000000-0005-0000-0000-00001AD70000}"/>
    <cellStyle name="Normal 18 2" xfId="55424" xr:uid="{00000000-0005-0000-0000-00001BD70000}"/>
    <cellStyle name="Normal 18 2 2" xfId="55425" xr:uid="{00000000-0005-0000-0000-00001CD70000}"/>
    <cellStyle name="Normal 18 2 2 2" xfId="55426" xr:uid="{00000000-0005-0000-0000-00001DD70000}"/>
    <cellStyle name="Normal 18 2 2 2 2" xfId="55427" xr:uid="{00000000-0005-0000-0000-00001ED70000}"/>
    <cellStyle name="Normal 18 2 2 2 2 2" xfId="55428" xr:uid="{00000000-0005-0000-0000-00001FD70000}"/>
    <cellStyle name="Normal 18 2 2 2 3" xfId="55429" xr:uid="{00000000-0005-0000-0000-000020D70000}"/>
    <cellStyle name="Normal 18 2 2 3" xfId="55430" xr:uid="{00000000-0005-0000-0000-000021D70000}"/>
    <cellStyle name="Normal 18 2 2 3 2" xfId="55431" xr:uid="{00000000-0005-0000-0000-000022D70000}"/>
    <cellStyle name="Normal 18 2 2 4" xfId="55432" xr:uid="{00000000-0005-0000-0000-000023D70000}"/>
    <cellStyle name="Normal 18 2 3" xfId="55433" xr:uid="{00000000-0005-0000-0000-000024D70000}"/>
    <cellStyle name="Normal 18 2 3 2" xfId="55434" xr:uid="{00000000-0005-0000-0000-000025D70000}"/>
    <cellStyle name="Normal 18 2 3 2 2" xfId="55435" xr:uid="{00000000-0005-0000-0000-000026D70000}"/>
    <cellStyle name="Normal 18 2 3 2 2 2" xfId="55436" xr:uid="{00000000-0005-0000-0000-000027D70000}"/>
    <cellStyle name="Normal 18 2 3 2 3" xfId="55437" xr:uid="{00000000-0005-0000-0000-000028D70000}"/>
    <cellStyle name="Normal 18 2 3 3" xfId="55438" xr:uid="{00000000-0005-0000-0000-000029D70000}"/>
    <cellStyle name="Normal 18 2 3 3 2" xfId="55439" xr:uid="{00000000-0005-0000-0000-00002AD70000}"/>
    <cellStyle name="Normal 18 2 3 4" xfId="55440" xr:uid="{00000000-0005-0000-0000-00002BD70000}"/>
    <cellStyle name="Normal 18 2 4" xfId="55441" xr:uid="{00000000-0005-0000-0000-00002CD70000}"/>
    <cellStyle name="Normal 18 2 4 2" xfId="55442" xr:uid="{00000000-0005-0000-0000-00002DD70000}"/>
    <cellStyle name="Normal 18 2 4 2 2" xfId="55443" xr:uid="{00000000-0005-0000-0000-00002ED70000}"/>
    <cellStyle name="Normal 18 2 4 3" xfId="55444" xr:uid="{00000000-0005-0000-0000-00002FD70000}"/>
    <cellStyle name="Normal 18 2 5" xfId="55445" xr:uid="{00000000-0005-0000-0000-000030D70000}"/>
    <cellStyle name="Normal 18 2 5 2" xfId="55446" xr:uid="{00000000-0005-0000-0000-000031D70000}"/>
    <cellStyle name="Normal 18 2 6" xfId="55447" xr:uid="{00000000-0005-0000-0000-000032D70000}"/>
    <cellStyle name="Normal 18 3" xfId="55448" xr:uid="{00000000-0005-0000-0000-000033D70000}"/>
    <cellStyle name="Normal 18 3 2" xfId="55449" xr:uid="{00000000-0005-0000-0000-000034D70000}"/>
    <cellStyle name="Normal 18 3 2 2" xfId="55450" xr:uid="{00000000-0005-0000-0000-000035D70000}"/>
    <cellStyle name="Normal 18 3 2 2 2" xfId="55451" xr:uid="{00000000-0005-0000-0000-000036D70000}"/>
    <cellStyle name="Normal 18 3 2 3" xfId="55452" xr:uid="{00000000-0005-0000-0000-000037D70000}"/>
    <cellStyle name="Normal 18 3 3" xfId="55453" xr:uid="{00000000-0005-0000-0000-000038D70000}"/>
    <cellStyle name="Normal 18 3 3 2" xfId="55454" xr:uid="{00000000-0005-0000-0000-000039D70000}"/>
    <cellStyle name="Normal 18 3 4" xfId="55455" xr:uid="{00000000-0005-0000-0000-00003AD70000}"/>
    <cellStyle name="Normal 18 4" xfId="55456" xr:uid="{00000000-0005-0000-0000-00003BD70000}"/>
    <cellStyle name="Normal 18 4 2" xfId="55457" xr:uid="{00000000-0005-0000-0000-00003CD70000}"/>
    <cellStyle name="Normal 18 4 2 2" xfId="55458" xr:uid="{00000000-0005-0000-0000-00003DD70000}"/>
    <cellStyle name="Normal 18 4 2 2 2" xfId="55459" xr:uid="{00000000-0005-0000-0000-00003ED70000}"/>
    <cellStyle name="Normal 18 4 2 3" xfId="55460" xr:uid="{00000000-0005-0000-0000-00003FD70000}"/>
    <cellStyle name="Normal 18 4 3" xfId="55461" xr:uid="{00000000-0005-0000-0000-000040D70000}"/>
    <cellStyle name="Normal 18 4 3 2" xfId="55462" xr:uid="{00000000-0005-0000-0000-000041D70000}"/>
    <cellStyle name="Normal 18 4 4" xfId="55463" xr:uid="{00000000-0005-0000-0000-000042D70000}"/>
    <cellStyle name="Normal 18 5" xfId="55464" xr:uid="{00000000-0005-0000-0000-000043D70000}"/>
    <cellStyle name="Normal 18 5 2" xfId="55465" xr:uid="{00000000-0005-0000-0000-000044D70000}"/>
    <cellStyle name="Normal 18 5 2 2" xfId="55466" xr:uid="{00000000-0005-0000-0000-000045D70000}"/>
    <cellStyle name="Normal 18 5 3" xfId="55467" xr:uid="{00000000-0005-0000-0000-000046D70000}"/>
    <cellStyle name="Normal 18 6" xfId="55468" xr:uid="{00000000-0005-0000-0000-000047D70000}"/>
    <cellStyle name="Normal 18 6 2" xfId="55469" xr:uid="{00000000-0005-0000-0000-000048D70000}"/>
    <cellStyle name="Normal 18 7" xfId="55470" xr:uid="{00000000-0005-0000-0000-000049D70000}"/>
    <cellStyle name="Normal 19" xfId="693" xr:uid="{00000000-0005-0000-0000-00004AD70000}"/>
    <cellStyle name="Normal 19 2" xfId="55471" xr:uid="{00000000-0005-0000-0000-00004BD70000}"/>
    <cellStyle name="Normal 19 2 2" xfId="55472" xr:uid="{00000000-0005-0000-0000-00004CD70000}"/>
    <cellStyle name="Normal 19 2 2 2" xfId="55473" xr:uid="{00000000-0005-0000-0000-00004DD70000}"/>
    <cellStyle name="Normal 19 2 2 2 2" xfId="55474" xr:uid="{00000000-0005-0000-0000-00004ED70000}"/>
    <cellStyle name="Normal 19 2 2 2 2 2" xfId="55475" xr:uid="{00000000-0005-0000-0000-00004FD70000}"/>
    <cellStyle name="Normal 19 2 2 2 3" xfId="55476" xr:uid="{00000000-0005-0000-0000-000050D70000}"/>
    <cellStyle name="Normal 19 2 2 3" xfId="55477" xr:uid="{00000000-0005-0000-0000-000051D70000}"/>
    <cellStyle name="Normal 19 2 2 3 2" xfId="55478" xr:uid="{00000000-0005-0000-0000-000052D70000}"/>
    <cellStyle name="Normal 19 2 2 4" xfId="55479" xr:uid="{00000000-0005-0000-0000-000053D70000}"/>
    <cellStyle name="Normal 19 2 3" xfId="55480" xr:uid="{00000000-0005-0000-0000-000054D70000}"/>
    <cellStyle name="Normal 19 2 3 2" xfId="55481" xr:uid="{00000000-0005-0000-0000-000055D70000}"/>
    <cellStyle name="Normal 19 2 3 2 2" xfId="55482" xr:uid="{00000000-0005-0000-0000-000056D70000}"/>
    <cellStyle name="Normal 19 2 3 2 2 2" xfId="55483" xr:uid="{00000000-0005-0000-0000-000057D70000}"/>
    <cellStyle name="Normal 19 2 3 2 3" xfId="55484" xr:uid="{00000000-0005-0000-0000-000058D70000}"/>
    <cellStyle name="Normal 19 2 3 3" xfId="55485" xr:uid="{00000000-0005-0000-0000-000059D70000}"/>
    <cellStyle name="Normal 19 2 3 3 2" xfId="55486" xr:uid="{00000000-0005-0000-0000-00005AD70000}"/>
    <cellStyle name="Normal 19 2 3 4" xfId="55487" xr:uid="{00000000-0005-0000-0000-00005BD70000}"/>
    <cellStyle name="Normal 19 2 4" xfId="55488" xr:uid="{00000000-0005-0000-0000-00005CD70000}"/>
    <cellStyle name="Normal 19 2 4 2" xfId="55489" xr:uid="{00000000-0005-0000-0000-00005DD70000}"/>
    <cellStyle name="Normal 19 2 4 2 2" xfId="55490" xr:uid="{00000000-0005-0000-0000-00005ED70000}"/>
    <cellStyle name="Normal 19 2 4 3" xfId="55491" xr:uid="{00000000-0005-0000-0000-00005FD70000}"/>
    <cellStyle name="Normal 19 2 5" xfId="55492" xr:uid="{00000000-0005-0000-0000-000060D70000}"/>
    <cellStyle name="Normal 19 2 5 2" xfId="55493" xr:uid="{00000000-0005-0000-0000-000061D70000}"/>
    <cellStyle name="Normal 19 2 6" xfId="55494" xr:uid="{00000000-0005-0000-0000-000062D70000}"/>
    <cellStyle name="Normal 19 3" xfId="55495" xr:uid="{00000000-0005-0000-0000-000063D70000}"/>
    <cellStyle name="Normal 19 3 2" xfId="55496" xr:uid="{00000000-0005-0000-0000-000064D70000}"/>
    <cellStyle name="Normal 19 3 2 2" xfId="55497" xr:uid="{00000000-0005-0000-0000-000065D70000}"/>
    <cellStyle name="Normal 19 3 2 2 2" xfId="55498" xr:uid="{00000000-0005-0000-0000-000066D70000}"/>
    <cellStyle name="Normal 19 3 2 3" xfId="55499" xr:uid="{00000000-0005-0000-0000-000067D70000}"/>
    <cellStyle name="Normal 19 3 3" xfId="55500" xr:uid="{00000000-0005-0000-0000-000068D70000}"/>
    <cellStyle name="Normal 19 3 3 2" xfId="55501" xr:uid="{00000000-0005-0000-0000-000069D70000}"/>
    <cellStyle name="Normal 19 3 4" xfId="55502" xr:uid="{00000000-0005-0000-0000-00006AD70000}"/>
    <cellStyle name="Normal 19 4" xfId="55503" xr:uid="{00000000-0005-0000-0000-00006BD70000}"/>
    <cellStyle name="Normal 19 4 2" xfId="55504" xr:uid="{00000000-0005-0000-0000-00006CD70000}"/>
    <cellStyle name="Normal 19 4 2 2" xfId="55505" xr:uid="{00000000-0005-0000-0000-00006DD70000}"/>
    <cellStyle name="Normal 19 4 2 2 2" xfId="55506" xr:uid="{00000000-0005-0000-0000-00006ED70000}"/>
    <cellStyle name="Normal 19 4 2 3" xfId="55507" xr:uid="{00000000-0005-0000-0000-00006FD70000}"/>
    <cellStyle name="Normal 19 4 3" xfId="55508" xr:uid="{00000000-0005-0000-0000-000070D70000}"/>
    <cellStyle name="Normal 19 4 3 2" xfId="55509" xr:uid="{00000000-0005-0000-0000-000071D70000}"/>
    <cellStyle name="Normal 19 4 4" xfId="55510" xr:uid="{00000000-0005-0000-0000-000072D70000}"/>
    <cellStyle name="Normal 19 5" xfId="55511" xr:uid="{00000000-0005-0000-0000-000073D70000}"/>
    <cellStyle name="Normal 19 5 2" xfId="55512" xr:uid="{00000000-0005-0000-0000-000074D70000}"/>
    <cellStyle name="Normal 19 5 2 2" xfId="55513" xr:uid="{00000000-0005-0000-0000-000075D70000}"/>
    <cellStyle name="Normal 19 5 3" xfId="55514" xr:uid="{00000000-0005-0000-0000-000076D70000}"/>
    <cellStyle name="Normal 19 6" xfId="55515" xr:uid="{00000000-0005-0000-0000-000077D70000}"/>
    <cellStyle name="Normal 19 6 2" xfId="55516" xr:uid="{00000000-0005-0000-0000-000078D70000}"/>
    <cellStyle name="Normal 19 7" xfId="55517" xr:uid="{00000000-0005-0000-0000-000079D70000}"/>
    <cellStyle name="Normal 2" xfId="1" xr:uid="{00000000-0005-0000-0000-00007AD70000}"/>
    <cellStyle name="Normal 2 10" xfId="808" xr:uid="{00000000-0005-0000-0000-00007BD70000}"/>
    <cellStyle name="Normal 2 10 2" xfId="1133" xr:uid="{00000000-0005-0000-0000-00007CD70000}"/>
    <cellStyle name="Normal 2 10 2 2" xfId="1859" xr:uid="{00000000-0005-0000-0000-00007DD70000}"/>
    <cellStyle name="Normal 2 10 2 3" xfId="55519" xr:uid="{00000000-0005-0000-0000-00007ED70000}"/>
    <cellStyle name="Normal 2 10 3" xfId="1566" xr:uid="{00000000-0005-0000-0000-00007FD70000}"/>
    <cellStyle name="Normal 2 10 3 2" xfId="55520" xr:uid="{00000000-0005-0000-0000-000080D70000}"/>
    <cellStyle name="Normal 2 10 4" xfId="55521" xr:uid="{00000000-0005-0000-0000-000081D70000}"/>
    <cellStyle name="Normal 2 10 5" xfId="55518" xr:uid="{00000000-0005-0000-0000-000082D70000}"/>
    <cellStyle name="Normal 2 11" xfId="1134" xr:uid="{00000000-0005-0000-0000-000083D70000}"/>
    <cellStyle name="Normal 2 11 2" xfId="1860" xr:uid="{00000000-0005-0000-0000-000084D70000}"/>
    <cellStyle name="Normal 2 11 2 2" xfId="55523" xr:uid="{00000000-0005-0000-0000-000085D70000}"/>
    <cellStyle name="Normal 2 11 3" xfId="55522" xr:uid="{00000000-0005-0000-0000-000086D70000}"/>
    <cellStyle name="Normal 2 12" xfId="1132" xr:uid="{00000000-0005-0000-0000-000087D70000}"/>
    <cellStyle name="Normal 2 13" xfId="1213" xr:uid="{00000000-0005-0000-0000-000088D70000}"/>
    <cellStyle name="Normal 2 13 2" xfId="55524" xr:uid="{00000000-0005-0000-0000-000089D70000}"/>
    <cellStyle name="Normal 2 14" xfId="55525" xr:uid="{00000000-0005-0000-0000-00008AD70000}"/>
    <cellStyle name="Normal 2 2" xfId="2" xr:uid="{00000000-0005-0000-0000-00008BD70000}"/>
    <cellStyle name="Normal 2 2 2" xfId="21" xr:uid="{00000000-0005-0000-0000-00008CD70000}"/>
    <cellStyle name="Normal 2 2 2 2" xfId="794" xr:uid="{00000000-0005-0000-0000-00008DD70000}"/>
    <cellStyle name="Normal 2 2 2 2 2" xfId="1137" xr:uid="{00000000-0005-0000-0000-00008ED70000}"/>
    <cellStyle name="Normal 2 2 2 2 2 2" xfId="1862" xr:uid="{00000000-0005-0000-0000-00008FD70000}"/>
    <cellStyle name="Normal 2 2 2 2 2 3" xfId="55528" xr:uid="{00000000-0005-0000-0000-000090D70000}"/>
    <cellStyle name="Normal 2 2 2 2 3" xfId="1552" xr:uid="{00000000-0005-0000-0000-000091D70000}"/>
    <cellStyle name="Normal 2 2 2 2 3 2" xfId="55529" xr:uid="{00000000-0005-0000-0000-000092D70000}"/>
    <cellStyle name="Normal 2 2 2 2 4" xfId="55530" xr:uid="{00000000-0005-0000-0000-000093D70000}"/>
    <cellStyle name="Normal 2 2 2 2 5" xfId="55527" xr:uid="{00000000-0005-0000-0000-000094D70000}"/>
    <cellStyle name="Normal 2 2 2 3" xfId="696" xr:uid="{00000000-0005-0000-0000-000095D70000}"/>
    <cellStyle name="Normal 2 2 2 3 2" xfId="55531" xr:uid="{00000000-0005-0000-0000-000096D70000}"/>
    <cellStyle name="Normal 2 2 2 4" xfId="1136" xr:uid="{00000000-0005-0000-0000-000097D70000}"/>
    <cellStyle name="Normal 2 2 2 4 2" xfId="1861" xr:uid="{00000000-0005-0000-0000-000098D70000}"/>
    <cellStyle name="Normal 2 2 2 4 3" xfId="55532" xr:uid="{00000000-0005-0000-0000-000099D70000}"/>
    <cellStyle name="Normal 2 2 2 5" xfId="1231" xr:uid="{00000000-0005-0000-0000-00009AD70000}"/>
    <cellStyle name="Normal 2 2 2 5 2" xfId="55533" xr:uid="{00000000-0005-0000-0000-00009BD70000}"/>
    <cellStyle name="Normal 2 2 2 6" xfId="55534" xr:uid="{00000000-0005-0000-0000-00009CD70000}"/>
    <cellStyle name="Normal 2 2 2 7" xfId="55526" xr:uid="{00000000-0005-0000-0000-00009DD70000}"/>
    <cellStyle name="Normal 2 2 3" xfId="775" xr:uid="{00000000-0005-0000-0000-00009ED70000}"/>
    <cellStyle name="Normal 2 2 3 2" xfId="1138" xr:uid="{00000000-0005-0000-0000-00009FD70000}"/>
    <cellStyle name="Normal 2 2 3 2 2" xfId="1863" xr:uid="{00000000-0005-0000-0000-0000A0D70000}"/>
    <cellStyle name="Normal 2 2 3 2 3" xfId="55536" xr:uid="{00000000-0005-0000-0000-0000A1D70000}"/>
    <cellStyle name="Normal 2 2 3 3" xfId="1535" xr:uid="{00000000-0005-0000-0000-0000A2D70000}"/>
    <cellStyle name="Normal 2 2 3 3 2" xfId="55537" xr:uid="{00000000-0005-0000-0000-0000A3D70000}"/>
    <cellStyle name="Normal 2 2 3 4" xfId="55538" xr:uid="{00000000-0005-0000-0000-0000A4D70000}"/>
    <cellStyle name="Normal 2 2 3 5" xfId="55535" xr:uid="{00000000-0005-0000-0000-0000A5D70000}"/>
    <cellStyle name="Normal 2 2 4" xfId="695" xr:uid="{00000000-0005-0000-0000-0000A6D70000}"/>
    <cellStyle name="Normal 2 2 4 2" xfId="1139" xr:uid="{00000000-0005-0000-0000-0000A7D70000}"/>
    <cellStyle name="Normal 2 2 4 3" xfId="55539" xr:uid="{00000000-0005-0000-0000-0000A8D70000}"/>
    <cellStyle name="Normal 2 2 4 4" xfId="55540" xr:uid="{00000000-0005-0000-0000-0000A9D70000}"/>
    <cellStyle name="Normal 2 2 5" xfId="1140" xr:uid="{00000000-0005-0000-0000-0000AAD70000}"/>
    <cellStyle name="Normal 2 2 5 2" xfId="1864" xr:uid="{00000000-0005-0000-0000-0000ABD70000}"/>
    <cellStyle name="Normal 2 2 5 2 2" xfId="55542" xr:uid="{00000000-0005-0000-0000-0000ACD70000}"/>
    <cellStyle name="Normal 2 2 5 3" xfId="55541" xr:uid="{00000000-0005-0000-0000-0000ADD70000}"/>
    <cellStyle name="Normal 2 2 6" xfId="1135" xr:uid="{00000000-0005-0000-0000-0000AED70000}"/>
    <cellStyle name="Normal 2 2 7" xfId="1214" xr:uid="{00000000-0005-0000-0000-0000AFD70000}"/>
    <cellStyle name="Normal 2 2 7 2" xfId="55543" xr:uid="{00000000-0005-0000-0000-0000B0D70000}"/>
    <cellStyle name="Normal 2 2 8" xfId="55544" xr:uid="{00000000-0005-0000-0000-0000B1D70000}"/>
    <cellStyle name="Normal 2 3" xfId="9" xr:uid="{00000000-0005-0000-0000-0000B2D70000}"/>
    <cellStyle name="Normal 2 3 2" xfId="26" xr:uid="{00000000-0005-0000-0000-0000B3D70000}"/>
    <cellStyle name="Normal 2 3 2 2" xfId="799" xr:uid="{00000000-0005-0000-0000-0000B4D70000}"/>
    <cellStyle name="Normal 2 3 2 2 2" xfId="1143" xr:uid="{00000000-0005-0000-0000-0000B5D70000}"/>
    <cellStyle name="Normal 2 3 2 2 2 2" xfId="1867" xr:uid="{00000000-0005-0000-0000-0000B6D70000}"/>
    <cellStyle name="Normal 2 3 2 2 2 3" xfId="55548" xr:uid="{00000000-0005-0000-0000-0000B7D70000}"/>
    <cellStyle name="Normal 2 3 2 2 3" xfId="1557" xr:uid="{00000000-0005-0000-0000-0000B8D70000}"/>
    <cellStyle name="Normal 2 3 2 2 3 2" xfId="55549" xr:uid="{00000000-0005-0000-0000-0000B9D70000}"/>
    <cellStyle name="Normal 2 3 2 2 4" xfId="55550" xr:uid="{00000000-0005-0000-0000-0000BAD70000}"/>
    <cellStyle name="Normal 2 3 2 2 5" xfId="55547" xr:uid="{00000000-0005-0000-0000-0000BBD70000}"/>
    <cellStyle name="Normal 2 3 2 3" xfId="1142" xr:uid="{00000000-0005-0000-0000-0000BCD70000}"/>
    <cellStyle name="Normal 2 3 2 3 2" xfId="1866" xr:uid="{00000000-0005-0000-0000-0000BDD70000}"/>
    <cellStyle name="Normal 2 3 2 3 3" xfId="55551" xr:uid="{00000000-0005-0000-0000-0000BED70000}"/>
    <cellStyle name="Normal 2 3 2 4" xfId="1236" xr:uid="{00000000-0005-0000-0000-0000BFD70000}"/>
    <cellStyle name="Normal 2 3 2 4 2" xfId="55552" xr:uid="{00000000-0005-0000-0000-0000C0D70000}"/>
    <cellStyle name="Normal 2 3 2 5" xfId="55553" xr:uid="{00000000-0005-0000-0000-0000C1D70000}"/>
    <cellStyle name="Normal 2 3 2 6" xfId="55546" xr:uid="{00000000-0005-0000-0000-0000C2D70000}"/>
    <cellStyle name="Normal 2 3 3" xfId="782" xr:uid="{00000000-0005-0000-0000-0000C3D70000}"/>
    <cellStyle name="Normal 2 3 3 2" xfId="1144" xr:uid="{00000000-0005-0000-0000-0000C4D70000}"/>
    <cellStyle name="Normal 2 3 3 2 2" xfId="1868" xr:uid="{00000000-0005-0000-0000-0000C5D70000}"/>
    <cellStyle name="Normal 2 3 3 2 3" xfId="55555" xr:uid="{00000000-0005-0000-0000-0000C6D70000}"/>
    <cellStyle name="Normal 2 3 3 3" xfId="1540" xr:uid="{00000000-0005-0000-0000-0000C7D70000}"/>
    <cellStyle name="Normal 2 3 3 3 2" xfId="55556" xr:uid="{00000000-0005-0000-0000-0000C8D70000}"/>
    <cellStyle name="Normal 2 3 3 4" xfId="55557" xr:uid="{00000000-0005-0000-0000-0000C9D70000}"/>
    <cellStyle name="Normal 2 3 3 5" xfId="55554" xr:uid="{00000000-0005-0000-0000-0000CAD70000}"/>
    <cellStyle name="Normal 2 3 4" xfId="697" xr:uid="{00000000-0005-0000-0000-0000CBD70000}"/>
    <cellStyle name="Normal 2 3 4 2" xfId="55558" xr:uid="{00000000-0005-0000-0000-0000CCD70000}"/>
    <cellStyle name="Normal 2 3 5" xfId="1141" xr:uid="{00000000-0005-0000-0000-0000CDD70000}"/>
    <cellStyle name="Normal 2 3 5 2" xfId="1865" xr:uid="{00000000-0005-0000-0000-0000CED70000}"/>
    <cellStyle name="Normal 2 3 5 3" xfId="55559" xr:uid="{00000000-0005-0000-0000-0000CFD70000}"/>
    <cellStyle name="Normal 2 3 6" xfId="1219" xr:uid="{00000000-0005-0000-0000-0000D0D70000}"/>
    <cellStyle name="Normal 2 3 6 2" xfId="55560" xr:uid="{00000000-0005-0000-0000-0000D1D70000}"/>
    <cellStyle name="Normal 2 3 7" xfId="55561" xr:uid="{00000000-0005-0000-0000-0000D2D70000}"/>
    <cellStyle name="Normal 2 3 8" xfId="55545" xr:uid="{00000000-0005-0000-0000-0000D3D70000}"/>
    <cellStyle name="Normal 2 4" xfId="12" xr:uid="{00000000-0005-0000-0000-0000D4D70000}"/>
    <cellStyle name="Normal 2 4 2" xfId="29" xr:uid="{00000000-0005-0000-0000-0000D5D70000}"/>
    <cellStyle name="Normal 2 4 2 2" xfId="802" xr:uid="{00000000-0005-0000-0000-0000D6D70000}"/>
    <cellStyle name="Normal 2 4 2 2 2" xfId="1147" xr:uid="{00000000-0005-0000-0000-0000D7D70000}"/>
    <cellStyle name="Normal 2 4 2 2 2 2" xfId="1871" xr:uid="{00000000-0005-0000-0000-0000D8D70000}"/>
    <cellStyle name="Normal 2 4 2 2 2 3" xfId="55565" xr:uid="{00000000-0005-0000-0000-0000D9D70000}"/>
    <cellStyle name="Normal 2 4 2 2 3" xfId="1560" xr:uid="{00000000-0005-0000-0000-0000DAD70000}"/>
    <cellStyle name="Normal 2 4 2 2 3 2" xfId="55566" xr:uid="{00000000-0005-0000-0000-0000DBD70000}"/>
    <cellStyle name="Normal 2 4 2 2 4" xfId="55567" xr:uid="{00000000-0005-0000-0000-0000DCD70000}"/>
    <cellStyle name="Normal 2 4 2 2 5" xfId="55564" xr:uid="{00000000-0005-0000-0000-0000DDD70000}"/>
    <cellStyle name="Normal 2 4 2 3" xfId="1146" xr:uid="{00000000-0005-0000-0000-0000DED70000}"/>
    <cellStyle name="Normal 2 4 2 3 2" xfId="1870" xr:uid="{00000000-0005-0000-0000-0000DFD70000}"/>
    <cellStyle name="Normal 2 4 2 3 3" xfId="55568" xr:uid="{00000000-0005-0000-0000-0000E0D70000}"/>
    <cellStyle name="Normal 2 4 2 4" xfId="1239" xr:uid="{00000000-0005-0000-0000-0000E1D70000}"/>
    <cellStyle name="Normal 2 4 2 4 2" xfId="55569" xr:uid="{00000000-0005-0000-0000-0000E2D70000}"/>
    <cellStyle name="Normal 2 4 2 5" xfId="55570" xr:uid="{00000000-0005-0000-0000-0000E3D70000}"/>
    <cellStyle name="Normal 2 4 2 6" xfId="55563" xr:uid="{00000000-0005-0000-0000-0000E4D70000}"/>
    <cellStyle name="Normal 2 4 3" xfId="785" xr:uid="{00000000-0005-0000-0000-0000E5D70000}"/>
    <cellStyle name="Normal 2 4 3 2" xfId="1148" xr:uid="{00000000-0005-0000-0000-0000E6D70000}"/>
    <cellStyle name="Normal 2 4 3 2 2" xfId="1872" xr:uid="{00000000-0005-0000-0000-0000E7D70000}"/>
    <cellStyle name="Normal 2 4 3 2 3" xfId="55572" xr:uid="{00000000-0005-0000-0000-0000E8D70000}"/>
    <cellStyle name="Normal 2 4 3 3" xfId="1543" xr:uid="{00000000-0005-0000-0000-0000E9D70000}"/>
    <cellStyle name="Normal 2 4 3 3 2" xfId="55573" xr:uid="{00000000-0005-0000-0000-0000EAD70000}"/>
    <cellStyle name="Normal 2 4 3 4" xfId="55574" xr:uid="{00000000-0005-0000-0000-0000EBD70000}"/>
    <cellStyle name="Normal 2 4 3 5" xfId="55571" xr:uid="{00000000-0005-0000-0000-0000ECD70000}"/>
    <cellStyle name="Normal 2 4 4" xfId="1145" xr:uid="{00000000-0005-0000-0000-0000EDD70000}"/>
    <cellStyle name="Normal 2 4 4 2" xfId="1869" xr:uid="{00000000-0005-0000-0000-0000EED70000}"/>
    <cellStyle name="Normal 2 4 4 3" xfId="55575" xr:uid="{00000000-0005-0000-0000-0000EFD70000}"/>
    <cellStyle name="Normal 2 4 5" xfId="1222" xr:uid="{00000000-0005-0000-0000-0000F0D70000}"/>
    <cellStyle name="Normal 2 4 5 2" xfId="55576" xr:uid="{00000000-0005-0000-0000-0000F1D70000}"/>
    <cellStyle name="Normal 2 4 6" xfId="55577" xr:uid="{00000000-0005-0000-0000-0000F2D70000}"/>
    <cellStyle name="Normal 2 4 7" xfId="55562" xr:uid="{00000000-0005-0000-0000-0000F3D70000}"/>
    <cellStyle name="Normal 2 5" xfId="15" xr:uid="{00000000-0005-0000-0000-0000F4D70000}"/>
    <cellStyle name="Normal 2 5 2" xfId="32" xr:uid="{00000000-0005-0000-0000-0000F5D70000}"/>
    <cellStyle name="Normal 2 5 2 2" xfId="805" xr:uid="{00000000-0005-0000-0000-0000F6D70000}"/>
    <cellStyle name="Normal 2 5 2 2 2" xfId="1151" xr:uid="{00000000-0005-0000-0000-0000F7D70000}"/>
    <cellStyle name="Normal 2 5 2 2 2 2" xfId="1875" xr:uid="{00000000-0005-0000-0000-0000F8D70000}"/>
    <cellStyle name="Normal 2 5 2 2 2 3" xfId="55581" xr:uid="{00000000-0005-0000-0000-0000F9D70000}"/>
    <cellStyle name="Normal 2 5 2 2 3" xfId="1563" xr:uid="{00000000-0005-0000-0000-0000FAD70000}"/>
    <cellStyle name="Normal 2 5 2 2 3 2" xfId="55582" xr:uid="{00000000-0005-0000-0000-0000FBD70000}"/>
    <cellStyle name="Normal 2 5 2 2 4" xfId="55583" xr:uid="{00000000-0005-0000-0000-0000FCD70000}"/>
    <cellStyle name="Normal 2 5 2 2 5" xfId="55580" xr:uid="{00000000-0005-0000-0000-0000FDD70000}"/>
    <cellStyle name="Normal 2 5 2 3" xfId="1150" xr:uid="{00000000-0005-0000-0000-0000FED70000}"/>
    <cellStyle name="Normal 2 5 2 3 2" xfId="1874" xr:uid="{00000000-0005-0000-0000-0000FFD70000}"/>
    <cellStyle name="Normal 2 5 2 3 3" xfId="55584" xr:uid="{00000000-0005-0000-0000-000000D80000}"/>
    <cellStyle name="Normal 2 5 2 4" xfId="1242" xr:uid="{00000000-0005-0000-0000-000001D80000}"/>
    <cellStyle name="Normal 2 5 2 4 2" xfId="55585" xr:uid="{00000000-0005-0000-0000-000002D80000}"/>
    <cellStyle name="Normal 2 5 2 5" xfId="55586" xr:uid="{00000000-0005-0000-0000-000003D80000}"/>
    <cellStyle name="Normal 2 5 2 6" xfId="55579" xr:uid="{00000000-0005-0000-0000-000004D80000}"/>
    <cellStyle name="Normal 2 5 3" xfId="788" xr:uid="{00000000-0005-0000-0000-000005D80000}"/>
    <cellStyle name="Normal 2 5 3 2" xfId="1152" xr:uid="{00000000-0005-0000-0000-000006D80000}"/>
    <cellStyle name="Normal 2 5 3 2 2" xfId="1876" xr:uid="{00000000-0005-0000-0000-000007D80000}"/>
    <cellStyle name="Normal 2 5 3 2 3" xfId="55588" xr:uid="{00000000-0005-0000-0000-000008D80000}"/>
    <cellStyle name="Normal 2 5 3 3" xfId="1546" xr:uid="{00000000-0005-0000-0000-000009D80000}"/>
    <cellStyle name="Normal 2 5 3 3 2" xfId="55589" xr:uid="{00000000-0005-0000-0000-00000AD80000}"/>
    <cellStyle name="Normal 2 5 3 4" xfId="55590" xr:uid="{00000000-0005-0000-0000-00000BD80000}"/>
    <cellStyle name="Normal 2 5 3 5" xfId="55587" xr:uid="{00000000-0005-0000-0000-00000CD80000}"/>
    <cellStyle name="Normal 2 5 4" xfId="1149" xr:uid="{00000000-0005-0000-0000-00000DD80000}"/>
    <cellStyle name="Normal 2 5 4 2" xfId="1873" xr:uid="{00000000-0005-0000-0000-00000ED80000}"/>
    <cellStyle name="Normal 2 5 4 3" xfId="55591" xr:uid="{00000000-0005-0000-0000-00000FD80000}"/>
    <cellStyle name="Normal 2 5 5" xfId="1225" xr:uid="{00000000-0005-0000-0000-000010D80000}"/>
    <cellStyle name="Normal 2 5 5 2" xfId="55592" xr:uid="{00000000-0005-0000-0000-000011D80000}"/>
    <cellStyle name="Normal 2 5 6" xfId="55593" xr:uid="{00000000-0005-0000-0000-000012D80000}"/>
    <cellStyle name="Normal 2 5 7" xfId="56261" xr:uid="{00000000-0005-0000-0000-000013D80000}"/>
    <cellStyle name="Normal 2 5 8" xfId="55578" xr:uid="{00000000-0005-0000-0000-000014D80000}"/>
    <cellStyle name="Normal 2 6" xfId="18" xr:uid="{00000000-0005-0000-0000-000015D80000}"/>
    <cellStyle name="Normal 2 6 2" xfId="791" xr:uid="{00000000-0005-0000-0000-000016D80000}"/>
    <cellStyle name="Normal 2 6 2 2" xfId="1154" xr:uid="{00000000-0005-0000-0000-000017D80000}"/>
    <cellStyle name="Normal 2 6 2 2 2" xfId="1878" xr:uid="{00000000-0005-0000-0000-000018D80000}"/>
    <cellStyle name="Normal 2 6 2 2 3" xfId="55596" xr:uid="{00000000-0005-0000-0000-000019D80000}"/>
    <cellStyle name="Normal 2 6 2 3" xfId="1549" xr:uid="{00000000-0005-0000-0000-00001AD80000}"/>
    <cellStyle name="Normal 2 6 2 3 2" xfId="55597" xr:uid="{00000000-0005-0000-0000-00001BD80000}"/>
    <cellStyle name="Normal 2 6 2 4" xfId="55598" xr:uid="{00000000-0005-0000-0000-00001CD80000}"/>
    <cellStyle name="Normal 2 6 2 5" xfId="55595" xr:uid="{00000000-0005-0000-0000-00001DD80000}"/>
    <cellStyle name="Normal 2 6 3" xfId="1153" xr:uid="{00000000-0005-0000-0000-00001ED80000}"/>
    <cellStyle name="Normal 2 6 3 2" xfId="1877" xr:uid="{00000000-0005-0000-0000-00001FD80000}"/>
    <cellStyle name="Normal 2 6 3 3" xfId="55599" xr:uid="{00000000-0005-0000-0000-000020D80000}"/>
    <cellStyle name="Normal 2 6 4" xfId="1228" xr:uid="{00000000-0005-0000-0000-000021D80000}"/>
    <cellStyle name="Normal 2 6 4 2" xfId="55600" xr:uid="{00000000-0005-0000-0000-000022D80000}"/>
    <cellStyle name="Normal 2 6 5" xfId="55601" xr:uid="{00000000-0005-0000-0000-000023D80000}"/>
    <cellStyle name="Normal 2 6 6" xfId="55594" xr:uid="{00000000-0005-0000-0000-000024D80000}"/>
    <cellStyle name="Normal 2 7" xfId="20" xr:uid="{00000000-0005-0000-0000-000025D80000}"/>
    <cellStyle name="Normal 2 7 2" xfId="793" xr:uid="{00000000-0005-0000-0000-000026D80000}"/>
    <cellStyle name="Normal 2 7 2 2" xfId="1156" xr:uid="{00000000-0005-0000-0000-000027D80000}"/>
    <cellStyle name="Normal 2 7 2 2 2" xfId="1880" xr:uid="{00000000-0005-0000-0000-000028D80000}"/>
    <cellStyle name="Normal 2 7 2 2 3" xfId="55604" xr:uid="{00000000-0005-0000-0000-000029D80000}"/>
    <cellStyle name="Normal 2 7 2 3" xfId="1551" xr:uid="{00000000-0005-0000-0000-00002AD80000}"/>
    <cellStyle name="Normal 2 7 2 3 2" xfId="55605" xr:uid="{00000000-0005-0000-0000-00002BD80000}"/>
    <cellStyle name="Normal 2 7 2 4" xfId="55606" xr:uid="{00000000-0005-0000-0000-00002CD80000}"/>
    <cellStyle name="Normal 2 7 2 5" xfId="55603" xr:uid="{00000000-0005-0000-0000-00002DD80000}"/>
    <cellStyle name="Normal 2 7 3" xfId="1155" xr:uid="{00000000-0005-0000-0000-00002ED80000}"/>
    <cellStyle name="Normal 2 7 3 2" xfId="1879" xr:uid="{00000000-0005-0000-0000-00002FD80000}"/>
    <cellStyle name="Normal 2 7 3 3" xfId="55607" xr:uid="{00000000-0005-0000-0000-000030D80000}"/>
    <cellStyle name="Normal 2 7 4" xfId="1230" xr:uid="{00000000-0005-0000-0000-000031D80000}"/>
    <cellStyle name="Normal 2 7 4 2" xfId="55608" xr:uid="{00000000-0005-0000-0000-000032D80000}"/>
    <cellStyle name="Normal 2 7 5" xfId="55609" xr:uid="{00000000-0005-0000-0000-000033D80000}"/>
    <cellStyle name="Normal 2 7 6" xfId="55602" xr:uid="{00000000-0005-0000-0000-000034D80000}"/>
    <cellStyle name="Normal 2 8" xfId="774" xr:uid="{00000000-0005-0000-0000-000035D80000}"/>
    <cellStyle name="Normal 2 8 2" xfId="1157" xr:uid="{00000000-0005-0000-0000-000036D80000}"/>
    <cellStyle name="Normal 2 8 2 2" xfId="1881" xr:uid="{00000000-0005-0000-0000-000037D80000}"/>
    <cellStyle name="Normal 2 8 2 3" xfId="55611" xr:uid="{00000000-0005-0000-0000-000038D80000}"/>
    <cellStyle name="Normal 2 8 3" xfId="1534" xr:uid="{00000000-0005-0000-0000-000039D80000}"/>
    <cellStyle name="Normal 2 8 3 2" xfId="55612" xr:uid="{00000000-0005-0000-0000-00003AD80000}"/>
    <cellStyle name="Normal 2 8 4" xfId="55613" xr:uid="{00000000-0005-0000-0000-00003BD80000}"/>
    <cellStyle name="Normal 2 8 5" xfId="55610" xr:uid="{00000000-0005-0000-0000-00003CD80000}"/>
    <cellStyle name="Normal 2 9" xfId="694" xr:uid="{00000000-0005-0000-0000-00003DD80000}"/>
    <cellStyle name="Normal 2 9 2" xfId="1158" xr:uid="{00000000-0005-0000-0000-00003ED80000}"/>
    <cellStyle name="Normal 2 9 3" xfId="55614" xr:uid="{00000000-0005-0000-0000-00003FD80000}"/>
    <cellStyle name="Normal 2 9 4" xfId="55615" xr:uid="{00000000-0005-0000-0000-000040D80000}"/>
    <cellStyle name="Normal 2_Project_Profile_DB" xfId="698" xr:uid="{00000000-0005-0000-0000-000041D80000}"/>
    <cellStyle name="Normal 20" xfId="807" xr:uid="{00000000-0005-0000-0000-000042D80000}"/>
    <cellStyle name="Normal 20 2" xfId="1159" xr:uid="{00000000-0005-0000-0000-000043D80000}"/>
    <cellStyle name="Normal 20 2 2" xfId="1882" xr:uid="{00000000-0005-0000-0000-000044D80000}"/>
    <cellStyle name="Normal 20 2 2 2" xfId="55619" xr:uid="{00000000-0005-0000-0000-000045D80000}"/>
    <cellStyle name="Normal 20 2 2 2 2" xfId="55620" xr:uid="{00000000-0005-0000-0000-000046D80000}"/>
    <cellStyle name="Normal 20 2 2 2 2 2" xfId="55621" xr:uid="{00000000-0005-0000-0000-000047D80000}"/>
    <cellStyle name="Normal 20 2 2 2 3" xfId="55622" xr:uid="{00000000-0005-0000-0000-000048D80000}"/>
    <cellStyle name="Normal 20 2 2 3" xfId="55623" xr:uid="{00000000-0005-0000-0000-000049D80000}"/>
    <cellStyle name="Normal 20 2 2 3 2" xfId="55624" xr:uid="{00000000-0005-0000-0000-00004AD80000}"/>
    <cellStyle name="Normal 20 2 2 4" xfId="55625" xr:uid="{00000000-0005-0000-0000-00004BD80000}"/>
    <cellStyle name="Normal 20 2 2 5" xfId="55618" xr:uid="{00000000-0005-0000-0000-00004CD80000}"/>
    <cellStyle name="Normal 20 2 3" xfId="55626" xr:uid="{00000000-0005-0000-0000-00004DD80000}"/>
    <cellStyle name="Normal 20 2 3 2" xfId="55627" xr:uid="{00000000-0005-0000-0000-00004ED80000}"/>
    <cellStyle name="Normal 20 2 3 2 2" xfId="55628" xr:uid="{00000000-0005-0000-0000-00004FD80000}"/>
    <cellStyle name="Normal 20 2 3 2 2 2" xfId="55629" xr:uid="{00000000-0005-0000-0000-000050D80000}"/>
    <cellStyle name="Normal 20 2 3 2 3" xfId="55630" xr:uid="{00000000-0005-0000-0000-000051D80000}"/>
    <cellStyle name="Normal 20 2 3 3" xfId="55631" xr:uid="{00000000-0005-0000-0000-000052D80000}"/>
    <cellStyle name="Normal 20 2 3 3 2" xfId="55632" xr:uid="{00000000-0005-0000-0000-000053D80000}"/>
    <cellStyle name="Normal 20 2 3 4" xfId="55633" xr:uid="{00000000-0005-0000-0000-000054D80000}"/>
    <cellStyle name="Normal 20 2 4" xfId="55634" xr:uid="{00000000-0005-0000-0000-000055D80000}"/>
    <cellStyle name="Normal 20 2 4 2" xfId="55635" xr:uid="{00000000-0005-0000-0000-000056D80000}"/>
    <cellStyle name="Normal 20 2 4 2 2" xfId="55636" xr:uid="{00000000-0005-0000-0000-000057D80000}"/>
    <cellStyle name="Normal 20 2 4 3" xfId="55637" xr:uid="{00000000-0005-0000-0000-000058D80000}"/>
    <cellStyle name="Normal 20 2 5" xfId="55638" xr:uid="{00000000-0005-0000-0000-000059D80000}"/>
    <cellStyle name="Normal 20 2 5 2" xfId="55639" xr:uid="{00000000-0005-0000-0000-00005AD80000}"/>
    <cellStyle name="Normal 20 2 6" xfId="55640" xr:uid="{00000000-0005-0000-0000-00005BD80000}"/>
    <cellStyle name="Normal 20 2 7" xfId="55617" xr:uid="{00000000-0005-0000-0000-00005CD80000}"/>
    <cellStyle name="Normal 20 3" xfId="1565" xr:uid="{00000000-0005-0000-0000-00005DD80000}"/>
    <cellStyle name="Normal 20 3 2" xfId="55642" xr:uid="{00000000-0005-0000-0000-00005ED80000}"/>
    <cellStyle name="Normal 20 3 2 2" xfId="55643" xr:uid="{00000000-0005-0000-0000-00005FD80000}"/>
    <cellStyle name="Normal 20 3 2 2 2" xfId="55644" xr:uid="{00000000-0005-0000-0000-000060D80000}"/>
    <cellStyle name="Normal 20 3 2 3" xfId="55645" xr:uid="{00000000-0005-0000-0000-000061D80000}"/>
    <cellStyle name="Normal 20 3 3" xfId="55646" xr:uid="{00000000-0005-0000-0000-000062D80000}"/>
    <cellStyle name="Normal 20 3 3 2" xfId="55647" xr:uid="{00000000-0005-0000-0000-000063D80000}"/>
    <cellStyle name="Normal 20 3 4" xfId="55648" xr:uid="{00000000-0005-0000-0000-000064D80000}"/>
    <cellStyle name="Normal 20 3 5" xfId="55641" xr:uid="{00000000-0005-0000-0000-000065D80000}"/>
    <cellStyle name="Normal 20 4" xfId="55649" xr:uid="{00000000-0005-0000-0000-000066D80000}"/>
    <cellStyle name="Normal 20 4 2" xfId="55650" xr:uid="{00000000-0005-0000-0000-000067D80000}"/>
    <cellStyle name="Normal 20 4 2 2" xfId="55651" xr:uid="{00000000-0005-0000-0000-000068D80000}"/>
    <cellStyle name="Normal 20 4 2 2 2" xfId="55652" xr:uid="{00000000-0005-0000-0000-000069D80000}"/>
    <cellStyle name="Normal 20 4 2 3" xfId="55653" xr:uid="{00000000-0005-0000-0000-00006AD80000}"/>
    <cellStyle name="Normal 20 4 3" xfId="55654" xr:uid="{00000000-0005-0000-0000-00006BD80000}"/>
    <cellStyle name="Normal 20 4 3 2" xfId="55655" xr:uid="{00000000-0005-0000-0000-00006CD80000}"/>
    <cellStyle name="Normal 20 4 4" xfId="55656" xr:uid="{00000000-0005-0000-0000-00006DD80000}"/>
    <cellStyle name="Normal 20 5" xfId="55657" xr:uid="{00000000-0005-0000-0000-00006ED80000}"/>
    <cellStyle name="Normal 20 5 2" xfId="55658" xr:uid="{00000000-0005-0000-0000-00006FD80000}"/>
    <cellStyle name="Normal 20 5 2 2" xfId="55659" xr:uid="{00000000-0005-0000-0000-000070D80000}"/>
    <cellStyle name="Normal 20 5 3" xfId="55660" xr:uid="{00000000-0005-0000-0000-000071D80000}"/>
    <cellStyle name="Normal 20 6" xfId="55661" xr:uid="{00000000-0005-0000-0000-000072D80000}"/>
    <cellStyle name="Normal 20 6 2" xfId="55662" xr:uid="{00000000-0005-0000-0000-000073D80000}"/>
    <cellStyle name="Normal 20 7" xfId="55663" xr:uid="{00000000-0005-0000-0000-000074D80000}"/>
    <cellStyle name="Normal 20 8" xfId="55616" xr:uid="{00000000-0005-0000-0000-000075D80000}"/>
    <cellStyle name="Normal 21" xfId="810" xr:uid="{00000000-0005-0000-0000-000076D80000}"/>
    <cellStyle name="Normal 21 2" xfId="1568" xr:uid="{00000000-0005-0000-0000-000077D80000}"/>
    <cellStyle name="Normal 22" xfId="1212" xr:uid="{00000000-0005-0000-0000-000078D80000}"/>
    <cellStyle name="Normal 22 2" xfId="1924" xr:uid="{00000000-0005-0000-0000-000079D80000}"/>
    <cellStyle name="Normal 23" xfId="55664" xr:uid="{00000000-0005-0000-0000-00007AD80000}"/>
    <cellStyle name="Normal 23 2" xfId="55665" xr:uid="{00000000-0005-0000-0000-00007BD80000}"/>
    <cellStyle name="Normal 23 3" xfId="56251" xr:uid="{00000000-0005-0000-0000-00007CD80000}"/>
    <cellStyle name="Normal 23 3 2" xfId="56256" xr:uid="{00000000-0005-0000-0000-00007DD80000}"/>
    <cellStyle name="Normal 24" xfId="55666" xr:uid="{00000000-0005-0000-0000-00007ED80000}"/>
    <cellStyle name="Normal 24 2" xfId="55667" xr:uid="{00000000-0005-0000-0000-00007FD80000}"/>
    <cellStyle name="Normal 25" xfId="55668" xr:uid="{00000000-0005-0000-0000-000080D80000}"/>
    <cellStyle name="Normal 26" xfId="56262" xr:uid="{00000000-0005-0000-0000-000081D80000}"/>
    <cellStyle name="Normal 27" xfId="56263" xr:uid="{00000000-0005-0000-0000-000082D80000}"/>
    <cellStyle name="Normal 28" xfId="1926" xr:uid="{00000000-0005-0000-0000-000083D80000}"/>
    <cellStyle name="Normal 3" xfId="3" xr:uid="{00000000-0005-0000-0000-000084D80000}"/>
    <cellStyle name="Normal 3 10" xfId="809" xr:uid="{00000000-0005-0000-0000-000085D80000}"/>
    <cellStyle name="Normal 3 10 2" xfId="1160" xr:uid="{00000000-0005-0000-0000-000086D80000}"/>
    <cellStyle name="Normal 3 10 2 2" xfId="1883" xr:uid="{00000000-0005-0000-0000-000087D80000}"/>
    <cellStyle name="Normal 3 10 2 3" xfId="55670" xr:uid="{00000000-0005-0000-0000-000088D80000}"/>
    <cellStyle name="Normal 3 10 3" xfId="1567" xr:uid="{00000000-0005-0000-0000-000089D80000}"/>
    <cellStyle name="Normal 3 10 3 2" xfId="55671" xr:uid="{00000000-0005-0000-0000-00008AD80000}"/>
    <cellStyle name="Normal 3 10 4" xfId="55672" xr:uid="{00000000-0005-0000-0000-00008BD80000}"/>
    <cellStyle name="Normal 3 10 5" xfId="55669" xr:uid="{00000000-0005-0000-0000-00008CD80000}"/>
    <cellStyle name="Normal 3 11" xfId="1161" xr:uid="{00000000-0005-0000-0000-00008DD80000}"/>
    <cellStyle name="Normal 3 11 2" xfId="1884" xr:uid="{00000000-0005-0000-0000-00008ED80000}"/>
    <cellStyle name="Normal 3 11 2 2" xfId="55674" xr:uid="{00000000-0005-0000-0000-00008FD80000}"/>
    <cellStyle name="Normal 3 11 3" xfId="55673" xr:uid="{00000000-0005-0000-0000-000090D80000}"/>
    <cellStyle name="Normal 3 12" xfId="1215" xr:uid="{00000000-0005-0000-0000-000091D80000}"/>
    <cellStyle name="Normal 3 12 2" xfId="55675" xr:uid="{00000000-0005-0000-0000-000092D80000}"/>
    <cellStyle name="Normal 3 13" xfId="55676" xr:uid="{00000000-0005-0000-0000-000093D80000}"/>
    <cellStyle name="Normal 3 2" xfId="4" xr:uid="{00000000-0005-0000-0000-000094D80000}"/>
    <cellStyle name="Normal 3 2 2" xfId="23" xr:uid="{00000000-0005-0000-0000-000095D80000}"/>
    <cellStyle name="Normal 3 2 2 2" xfId="796" xr:uid="{00000000-0005-0000-0000-000096D80000}"/>
    <cellStyle name="Normal 3 2 2 2 2" xfId="1164" xr:uid="{00000000-0005-0000-0000-000097D80000}"/>
    <cellStyle name="Normal 3 2 2 2 2 2" xfId="1887" xr:uid="{00000000-0005-0000-0000-000098D80000}"/>
    <cellStyle name="Normal 3 2 2 2 2 3" xfId="55680" xr:uid="{00000000-0005-0000-0000-000099D80000}"/>
    <cellStyle name="Normal 3 2 2 2 3" xfId="1554" xr:uid="{00000000-0005-0000-0000-00009AD80000}"/>
    <cellStyle name="Normal 3 2 2 2 3 2" xfId="55681" xr:uid="{00000000-0005-0000-0000-00009BD80000}"/>
    <cellStyle name="Normal 3 2 2 2 4" xfId="55682" xr:uid="{00000000-0005-0000-0000-00009CD80000}"/>
    <cellStyle name="Normal 3 2 2 2 5" xfId="55679" xr:uid="{00000000-0005-0000-0000-00009DD80000}"/>
    <cellStyle name="Normal 3 2 2 3" xfId="1163" xr:uid="{00000000-0005-0000-0000-00009ED80000}"/>
    <cellStyle name="Normal 3 2 2 3 2" xfId="1886" xr:uid="{00000000-0005-0000-0000-00009FD80000}"/>
    <cellStyle name="Normal 3 2 2 3 3" xfId="55683" xr:uid="{00000000-0005-0000-0000-0000A0D80000}"/>
    <cellStyle name="Normal 3 2 2 4" xfId="1233" xr:uid="{00000000-0005-0000-0000-0000A1D80000}"/>
    <cellStyle name="Normal 3 2 2 4 2" xfId="55684" xr:uid="{00000000-0005-0000-0000-0000A2D80000}"/>
    <cellStyle name="Normal 3 2 2 5" xfId="55685" xr:uid="{00000000-0005-0000-0000-0000A3D80000}"/>
    <cellStyle name="Normal 3 2 2 6" xfId="55678" xr:uid="{00000000-0005-0000-0000-0000A4D80000}"/>
    <cellStyle name="Normal 3 2 3" xfId="777" xr:uid="{00000000-0005-0000-0000-0000A5D80000}"/>
    <cellStyle name="Normal 3 2 3 2" xfId="1165" xr:uid="{00000000-0005-0000-0000-0000A6D80000}"/>
    <cellStyle name="Normal 3 2 3 2 2" xfId="1888" xr:uid="{00000000-0005-0000-0000-0000A7D80000}"/>
    <cellStyle name="Normal 3 2 3 2 3" xfId="55687" xr:uid="{00000000-0005-0000-0000-0000A8D80000}"/>
    <cellStyle name="Normal 3 2 3 3" xfId="1537" xr:uid="{00000000-0005-0000-0000-0000A9D80000}"/>
    <cellStyle name="Normal 3 2 3 3 2" xfId="55688" xr:uid="{00000000-0005-0000-0000-0000AAD80000}"/>
    <cellStyle name="Normal 3 2 3 4" xfId="55689" xr:uid="{00000000-0005-0000-0000-0000ABD80000}"/>
    <cellStyle name="Normal 3 2 3 5" xfId="55686" xr:uid="{00000000-0005-0000-0000-0000ACD80000}"/>
    <cellStyle name="Normal 3 2 4" xfId="700" xr:uid="{00000000-0005-0000-0000-0000ADD80000}"/>
    <cellStyle name="Normal 3 2 4 2" xfId="55690" xr:uid="{00000000-0005-0000-0000-0000AED80000}"/>
    <cellStyle name="Normal 3 2 5" xfId="1162" xr:uid="{00000000-0005-0000-0000-0000AFD80000}"/>
    <cellStyle name="Normal 3 2 5 2" xfId="1885" xr:uid="{00000000-0005-0000-0000-0000B0D80000}"/>
    <cellStyle name="Normal 3 2 5 3" xfId="55691" xr:uid="{00000000-0005-0000-0000-0000B1D80000}"/>
    <cellStyle name="Normal 3 2 6" xfId="1216" xr:uid="{00000000-0005-0000-0000-0000B2D80000}"/>
    <cellStyle name="Normal 3 2 6 2" xfId="55692" xr:uid="{00000000-0005-0000-0000-0000B3D80000}"/>
    <cellStyle name="Normal 3 2 7" xfId="55693" xr:uid="{00000000-0005-0000-0000-0000B4D80000}"/>
    <cellStyle name="Normal 3 2 8" xfId="55677" xr:uid="{00000000-0005-0000-0000-0000B5D80000}"/>
    <cellStyle name="Normal 3 3" xfId="10" xr:uid="{00000000-0005-0000-0000-0000B6D80000}"/>
    <cellStyle name="Normal 3 3 2" xfId="27" xr:uid="{00000000-0005-0000-0000-0000B7D80000}"/>
    <cellStyle name="Normal 3 3 2 2" xfId="800" xr:uid="{00000000-0005-0000-0000-0000B8D80000}"/>
    <cellStyle name="Normal 3 3 2 2 2" xfId="1168" xr:uid="{00000000-0005-0000-0000-0000B9D80000}"/>
    <cellStyle name="Normal 3 3 2 2 2 2" xfId="1891" xr:uid="{00000000-0005-0000-0000-0000BAD80000}"/>
    <cellStyle name="Normal 3 3 2 2 2 3" xfId="55697" xr:uid="{00000000-0005-0000-0000-0000BBD80000}"/>
    <cellStyle name="Normal 3 3 2 2 3" xfId="1558" xr:uid="{00000000-0005-0000-0000-0000BCD80000}"/>
    <cellStyle name="Normal 3 3 2 2 3 2" xfId="55698" xr:uid="{00000000-0005-0000-0000-0000BDD80000}"/>
    <cellStyle name="Normal 3 3 2 2 4" xfId="55699" xr:uid="{00000000-0005-0000-0000-0000BED80000}"/>
    <cellStyle name="Normal 3 3 2 2 5" xfId="55696" xr:uid="{00000000-0005-0000-0000-0000BFD80000}"/>
    <cellStyle name="Normal 3 3 2 3" xfId="1167" xr:uid="{00000000-0005-0000-0000-0000C0D80000}"/>
    <cellStyle name="Normal 3 3 2 3 2" xfId="1890" xr:uid="{00000000-0005-0000-0000-0000C1D80000}"/>
    <cellStyle name="Normal 3 3 2 3 3" xfId="55700" xr:uid="{00000000-0005-0000-0000-0000C2D80000}"/>
    <cellStyle name="Normal 3 3 2 4" xfId="1237" xr:uid="{00000000-0005-0000-0000-0000C3D80000}"/>
    <cellStyle name="Normal 3 3 2 4 2" xfId="55701" xr:uid="{00000000-0005-0000-0000-0000C4D80000}"/>
    <cellStyle name="Normal 3 3 2 5" xfId="55702" xr:uid="{00000000-0005-0000-0000-0000C5D80000}"/>
    <cellStyle name="Normal 3 3 2 6" xfId="55695" xr:uid="{00000000-0005-0000-0000-0000C6D80000}"/>
    <cellStyle name="Normal 3 3 3" xfId="783" xr:uid="{00000000-0005-0000-0000-0000C7D80000}"/>
    <cellStyle name="Normal 3 3 3 2" xfId="1169" xr:uid="{00000000-0005-0000-0000-0000C8D80000}"/>
    <cellStyle name="Normal 3 3 3 2 2" xfId="1892" xr:uid="{00000000-0005-0000-0000-0000C9D80000}"/>
    <cellStyle name="Normal 3 3 3 2 3" xfId="55704" xr:uid="{00000000-0005-0000-0000-0000CAD80000}"/>
    <cellStyle name="Normal 3 3 3 3" xfId="1541" xr:uid="{00000000-0005-0000-0000-0000CBD80000}"/>
    <cellStyle name="Normal 3 3 3 3 2" xfId="55705" xr:uid="{00000000-0005-0000-0000-0000CCD80000}"/>
    <cellStyle name="Normal 3 3 3 4" xfId="55706" xr:uid="{00000000-0005-0000-0000-0000CDD80000}"/>
    <cellStyle name="Normal 3 3 3 5" xfId="55703" xr:uid="{00000000-0005-0000-0000-0000CED80000}"/>
    <cellStyle name="Normal 3 3 4" xfId="701" xr:uid="{00000000-0005-0000-0000-0000CFD80000}"/>
    <cellStyle name="Normal 3 3 4 2" xfId="55707" xr:uid="{00000000-0005-0000-0000-0000D0D80000}"/>
    <cellStyle name="Normal 3 3 5" xfId="1166" xr:uid="{00000000-0005-0000-0000-0000D1D80000}"/>
    <cellStyle name="Normal 3 3 5 2" xfId="1889" xr:uid="{00000000-0005-0000-0000-0000D2D80000}"/>
    <cellStyle name="Normal 3 3 5 3" xfId="55708" xr:uid="{00000000-0005-0000-0000-0000D3D80000}"/>
    <cellStyle name="Normal 3 3 6" xfId="1220" xr:uid="{00000000-0005-0000-0000-0000D4D80000}"/>
    <cellStyle name="Normal 3 3 6 2" xfId="55709" xr:uid="{00000000-0005-0000-0000-0000D5D80000}"/>
    <cellStyle name="Normal 3 3 7" xfId="55710" xr:uid="{00000000-0005-0000-0000-0000D6D80000}"/>
    <cellStyle name="Normal 3 3 8" xfId="55694" xr:uid="{00000000-0005-0000-0000-0000D7D80000}"/>
    <cellStyle name="Normal 3 4" xfId="13" xr:uid="{00000000-0005-0000-0000-0000D8D80000}"/>
    <cellStyle name="Normal 3 4 2" xfId="30" xr:uid="{00000000-0005-0000-0000-0000D9D80000}"/>
    <cellStyle name="Normal 3 4 2 2" xfId="803" xr:uid="{00000000-0005-0000-0000-0000DAD80000}"/>
    <cellStyle name="Normal 3 4 2 2 2" xfId="1172" xr:uid="{00000000-0005-0000-0000-0000DBD80000}"/>
    <cellStyle name="Normal 3 4 2 2 2 2" xfId="1895" xr:uid="{00000000-0005-0000-0000-0000DCD80000}"/>
    <cellStyle name="Normal 3 4 2 2 2 3" xfId="55714" xr:uid="{00000000-0005-0000-0000-0000DDD80000}"/>
    <cellStyle name="Normal 3 4 2 2 3" xfId="1561" xr:uid="{00000000-0005-0000-0000-0000DED80000}"/>
    <cellStyle name="Normal 3 4 2 2 3 2" xfId="55715" xr:uid="{00000000-0005-0000-0000-0000DFD80000}"/>
    <cellStyle name="Normal 3 4 2 2 4" xfId="55716" xr:uid="{00000000-0005-0000-0000-0000E0D80000}"/>
    <cellStyle name="Normal 3 4 2 2 5" xfId="55713" xr:uid="{00000000-0005-0000-0000-0000E1D80000}"/>
    <cellStyle name="Normal 3 4 2 3" xfId="1171" xr:uid="{00000000-0005-0000-0000-0000E2D80000}"/>
    <cellStyle name="Normal 3 4 2 3 2" xfId="1894" xr:uid="{00000000-0005-0000-0000-0000E3D80000}"/>
    <cellStyle name="Normal 3 4 2 3 3" xfId="55717" xr:uid="{00000000-0005-0000-0000-0000E4D80000}"/>
    <cellStyle name="Normal 3 4 2 4" xfId="1240" xr:uid="{00000000-0005-0000-0000-0000E5D80000}"/>
    <cellStyle name="Normal 3 4 2 4 2" xfId="55718" xr:uid="{00000000-0005-0000-0000-0000E6D80000}"/>
    <cellStyle name="Normal 3 4 2 5" xfId="55719" xr:uid="{00000000-0005-0000-0000-0000E7D80000}"/>
    <cellStyle name="Normal 3 4 2 6" xfId="55712" xr:uid="{00000000-0005-0000-0000-0000E8D80000}"/>
    <cellStyle name="Normal 3 4 3" xfId="786" xr:uid="{00000000-0005-0000-0000-0000E9D80000}"/>
    <cellStyle name="Normal 3 4 3 2" xfId="1173" xr:uid="{00000000-0005-0000-0000-0000EAD80000}"/>
    <cellStyle name="Normal 3 4 3 2 2" xfId="1896" xr:uid="{00000000-0005-0000-0000-0000EBD80000}"/>
    <cellStyle name="Normal 3 4 3 2 3" xfId="55721" xr:uid="{00000000-0005-0000-0000-0000ECD80000}"/>
    <cellStyle name="Normal 3 4 3 3" xfId="1544" xr:uid="{00000000-0005-0000-0000-0000EDD80000}"/>
    <cellStyle name="Normal 3 4 3 3 2" xfId="55722" xr:uid="{00000000-0005-0000-0000-0000EED80000}"/>
    <cellStyle name="Normal 3 4 3 4" xfId="55723" xr:uid="{00000000-0005-0000-0000-0000EFD80000}"/>
    <cellStyle name="Normal 3 4 3 5" xfId="55720" xr:uid="{00000000-0005-0000-0000-0000F0D80000}"/>
    <cellStyle name="Normal 3 4 4" xfId="1170" xr:uid="{00000000-0005-0000-0000-0000F1D80000}"/>
    <cellStyle name="Normal 3 4 4 2" xfId="1893" xr:uid="{00000000-0005-0000-0000-0000F2D80000}"/>
    <cellStyle name="Normal 3 4 4 3" xfId="55724" xr:uid="{00000000-0005-0000-0000-0000F3D80000}"/>
    <cellStyle name="Normal 3 4 5" xfId="1223" xr:uid="{00000000-0005-0000-0000-0000F4D80000}"/>
    <cellStyle name="Normal 3 4 5 2" xfId="55725" xr:uid="{00000000-0005-0000-0000-0000F5D80000}"/>
    <cellStyle name="Normal 3 4 6" xfId="55726" xr:uid="{00000000-0005-0000-0000-0000F6D80000}"/>
    <cellStyle name="Normal 3 4 7" xfId="55711" xr:uid="{00000000-0005-0000-0000-0000F7D80000}"/>
    <cellStyle name="Normal 3 5" xfId="16" xr:uid="{00000000-0005-0000-0000-0000F8D80000}"/>
    <cellStyle name="Normal 3 5 2" xfId="33" xr:uid="{00000000-0005-0000-0000-0000F9D80000}"/>
    <cellStyle name="Normal 3 5 2 2" xfId="806" xr:uid="{00000000-0005-0000-0000-0000FAD80000}"/>
    <cellStyle name="Normal 3 5 2 2 2" xfId="1176" xr:uid="{00000000-0005-0000-0000-0000FBD80000}"/>
    <cellStyle name="Normal 3 5 2 2 2 2" xfId="1899" xr:uid="{00000000-0005-0000-0000-0000FCD80000}"/>
    <cellStyle name="Normal 3 5 2 2 2 3" xfId="55730" xr:uid="{00000000-0005-0000-0000-0000FDD80000}"/>
    <cellStyle name="Normal 3 5 2 2 3" xfId="1564" xr:uid="{00000000-0005-0000-0000-0000FED80000}"/>
    <cellStyle name="Normal 3 5 2 2 3 2" xfId="55731" xr:uid="{00000000-0005-0000-0000-0000FFD80000}"/>
    <cellStyle name="Normal 3 5 2 2 4" xfId="55732" xr:uid="{00000000-0005-0000-0000-000000D90000}"/>
    <cellStyle name="Normal 3 5 2 2 5" xfId="55729" xr:uid="{00000000-0005-0000-0000-000001D90000}"/>
    <cellStyle name="Normal 3 5 2 3" xfId="1175" xr:uid="{00000000-0005-0000-0000-000002D90000}"/>
    <cellStyle name="Normal 3 5 2 3 2" xfId="1898" xr:uid="{00000000-0005-0000-0000-000003D90000}"/>
    <cellStyle name="Normal 3 5 2 3 3" xfId="55733" xr:uid="{00000000-0005-0000-0000-000004D90000}"/>
    <cellStyle name="Normal 3 5 2 4" xfId="1243" xr:uid="{00000000-0005-0000-0000-000005D90000}"/>
    <cellStyle name="Normal 3 5 2 4 2" xfId="55734" xr:uid="{00000000-0005-0000-0000-000006D90000}"/>
    <cellStyle name="Normal 3 5 2 5" xfId="55735" xr:uid="{00000000-0005-0000-0000-000007D90000}"/>
    <cellStyle name="Normal 3 5 2 6" xfId="55728" xr:uid="{00000000-0005-0000-0000-000008D90000}"/>
    <cellStyle name="Normal 3 5 3" xfId="789" xr:uid="{00000000-0005-0000-0000-000009D90000}"/>
    <cellStyle name="Normal 3 5 3 2" xfId="1177" xr:uid="{00000000-0005-0000-0000-00000AD90000}"/>
    <cellStyle name="Normal 3 5 3 2 2" xfId="1900" xr:uid="{00000000-0005-0000-0000-00000BD90000}"/>
    <cellStyle name="Normal 3 5 3 2 3" xfId="55737" xr:uid="{00000000-0005-0000-0000-00000CD90000}"/>
    <cellStyle name="Normal 3 5 3 3" xfId="1547" xr:uid="{00000000-0005-0000-0000-00000DD90000}"/>
    <cellStyle name="Normal 3 5 3 3 2" xfId="55738" xr:uid="{00000000-0005-0000-0000-00000ED90000}"/>
    <cellStyle name="Normal 3 5 3 4" xfId="55739" xr:uid="{00000000-0005-0000-0000-00000FD90000}"/>
    <cellStyle name="Normal 3 5 3 5" xfId="55736" xr:uid="{00000000-0005-0000-0000-000010D90000}"/>
    <cellStyle name="Normal 3 5 4" xfId="1174" xr:uid="{00000000-0005-0000-0000-000011D90000}"/>
    <cellStyle name="Normal 3 5 4 2" xfId="1897" xr:uid="{00000000-0005-0000-0000-000012D90000}"/>
    <cellStyle name="Normal 3 5 4 3" xfId="55740" xr:uid="{00000000-0005-0000-0000-000013D90000}"/>
    <cellStyle name="Normal 3 5 5" xfId="1226" xr:uid="{00000000-0005-0000-0000-000014D90000}"/>
    <cellStyle name="Normal 3 5 5 2" xfId="55741" xr:uid="{00000000-0005-0000-0000-000015D90000}"/>
    <cellStyle name="Normal 3 5 6" xfId="55742" xr:uid="{00000000-0005-0000-0000-000016D90000}"/>
    <cellStyle name="Normal 3 5 7" xfId="55727" xr:uid="{00000000-0005-0000-0000-000017D90000}"/>
    <cellStyle name="Normal 3 6" xfId="19" xr:uid="{00000000-0005-0000-0000-000018D90000}"/>
    <cellStyle name="Normal 3 6 2" xfId="792" xr:uid="{00000000-0005-0000-0000-000019D90000}"/>
    <cellStyle name="Normal 3 6 2 2" xfId="1179" xr:uid="{00000000-0005-0000-0000-00001AD90000}"/>
    <cellStyle name="Normal 3 6 2 2 2" xfId="1902" xr:uid="{00000000-0005-0000-0000-00001BD90000}"/>
    <cellStyle name="Normal 3 6 2 2 3" xfId="55745" xr:uid="{00000000-0005-0000-0000-00001CD90000}"/>
    <cellStyle name="Normal 3 6 2 3" xfId="1550" xr:uid="{00000000-0005-0000-0000-00001DD90000}"/>
    <cellStyle name="Normal 3 6 2 3 2" xfId="55746" xr:uid="{00000000-0005-0000-0000-00001ED90000}"/>
    <cellStyle name="Normal 3 6 2 4" xfId="55747" xr:uid="{00000000-0005-0000-0000-00001FD90000}"/>
    <cellStyle name="Normal 3 6 2 5" xfId="55744" xr:uid="{00000000-0005-0000-0000-000020D90000}"/>
    <cellStyle name="Normal 3 6 3" xfId="1178" xr:uid="{00000000-0005-0000-0000-000021D90000}"/>
    <cellStyle name="Normal 3 6 3 2" xfId="1901" xr:uid="{00000000-0005-0000-0000-000022D90000}"/>
    <cellStyle name="Normal 3 6 3 3" xfId="55748" xr:uid="{00000000-0005-0000-0000-000023D90000}"/>
    <cellStyle name="Normal 3 6 4" xfId="1229" xr:uid="{00000000-0005-0000-0000-000024D90000}"/>
    <cellStyle name="Normal 3 6 4 2" xfId="55749" xr:uid="{00000000-0005-0000-0000-000025D90000}"/>
    <cellStyle name="Normal 3 6 5" xfId="55750" xr:uid="{00000000-0005-0000-0000-000026D90000}"/>
    <cellStyle name="Normal 3 6 6" xfId="55743" xr:uid="{00000000-0005-0000-0000-000027D90000}"/>
    <cellStyle name="Normal 3 7" xfId="22" xr:uid="{00000000-0005-0000-0000-000028D90000}"/>
    <cellStyle name="Normal 3 7 2" xfId="795" xr:uid="{00000000-0005-0000-0000-000029D90000}"/>
    <cellStyle name="Normal 3 7 2 2" xfId="1181" xr:uid="{00000000-0005-0000-0000-00002AD90000}"/>
    <cellStyle name="Normal 3 7 2 2 2" xfId="1904" xr:uid="{00000000-0005-0000-0000-00002BD90000}"/>
    <cellStyle name="Normal 3 7 2 2 3" xfId="55753" xr:uid="{00000000-0005-0000-0000-00002CD90000}"/>
    <cellStyle name="Normal 3 7 2 3" xfId="1553" xr:uid="{00000000-0005-0000-0000-00002DD90000}"/>
    <cellStyle name="Normal 3 7 2 3 2" xfId="55754" xr:uid="{00000000-0005-0000-0000-00002ED90000}"/>
    <cellStyle name="Normal 3 7 2 4" xfId="55755" xr:uid="{00000000-0005-0000-0000-00002FD90000}"/>
    <cellStyle name="Normal 3 7 2 5" xfId="55752" xr:uid="{00000000-0005-0000-0000-000030D90000}"/>
    <cellStyle name="Normal 3 7 3" xfId="1180" xr:uid="{00000000-0005-0000-0000-000031D90000}"/>
    <cellStyle name="Normal 3 7 3 2" xfId="1903" xr:uid="{00000000-0005-0000-0000-000032D90000}"/>
    <cellStyle name="Normal 3 7 3 3" xfId="55756" xr:uid="{00000000-0005-0000-0000-000033D90000}"/>
    <cellStyle name="Normal 3 7 4" xfId="1232" xr:uid="{00000000-0005-0000-0000-000034D90000}"/>
    <cellStyle name="Normal 3 7 4 2" xfId="55757" xr:uid="{00000000-0005-0000-0000-000035D90000}"/>
    <cellStyle name="Normal 3 7 5" xfId="55758" xr:uid="{00000000-0005-0000-0000-000036D90000}"/>
    <cellStyle name="Normal 3 7 6" xfId="55751" xr:uid="{00000000-0005-0000-0000-000037D90000}"/>
    <cellStyle name="Normal 3 8" xfId="776" xr:uid="{00000000-0005-0000-0000-000038D90000}"/>
    <cellStyle name="Normal 3 8 2" xfId="1182" xr:uid="{00000000-0005-0000-0000-000039D90000}"/>
    <cellStyle name="Normal 3 8 2 2" xfId="1905" xr:uid="{00000000-0005-0000-0000-00003AD90000}"/>
    <cellStyle name="Normal 3 8 2 3" xfId="55760" xr:uid="{00000000-0005-0000-0000-00003BD90000}"/>
    <cellStyle name="Normal 3 8 3" xfId="1536" xr:uid="{00000000-0005-0000-0000-00003CD90000}"/>
    <cellStyle name="Normal 3 8 3 2" xfId="55761" xr:uid="{00000000-0005-0000-0000-00003DD90000}"/>
    <cellStyle name="Normal 3 8 4" xfId="55762" xr:uid="{00000000-0005-0000-0000-00003ED90000}"/>
    <cellStyle name="Normal 3 8 5" xfId="55759" xr:uid="{00000000-0005-0000-0000-00003FD90000}"/>
    <cellStyle name="Normal 3 9" xfId="699" xr:uid="{00000000-0005-0000-0000-000040D90000}"/>
    <cellStyle name="Normal 3 9 2" xfId="55763" xr:uid="{00000000-0005-0000-0000-000041D90000}"/>
    <cellStyle name="Normal 3_Project_Profile_DB" xfId="702" xr:uid="{00000000-0005-0000-0000-000042D90000}"/>
    <cellStyle name="Normal 4" xfId="5" xr:uid="{00000000-0005-0000-0000-000043D90000}"/>
    <cellStyle name="Normal 4 2" xfId="704" xr:uid="{00000000-0005-0000-0000-000044D90000}"/>
    <cellStyle name="Normal 4 2 2" xfId="55764" xr:uid="{00000000-0005-0000-0000-000045D90000}"/>
    <cellStyle name="Normal 4 3" xfId="778" xr:uid="{00000000-0005-0000-0000-000046D90000}"/>
    <cellStyle name="Normal 4 3 2" xfId="1184" xr:uid="{00000000-0005-0000-0000-000047D90000}"/>
    <cellStyle name="Normal 4 3 3" xfId="55765" xr:uid="{00000000-0005-0000-0000-000048D90000}"/>
    <cellStyle name="Normal 4 3 4" xfId="55766" xr:uid="{00000000-0005-0000-0000-000049D90000}"/>
    <cellStyle name="Normal 4 4" xfId="703" xr:uid="{00000000-0005-0000-0000-00004AD90000}"/>
    <cellStyle name="Normal 4 4 2" xfId="55767" xr:uid="{00000000-0005-0000-0000-00004BD90000}"/>
    <cellStyle name="Normal 4 5" xfId="1183" xr:uid="{00000000-0005-0000-0000-00004CD90000}"/>
    <cellStyle name="Normal 4 6" xfId="55768" xr:uid="{00000000-0005-0000-0000-00004DD90000}"/>
    <cellStyle name="Normal 4 7" xfId="55769" xr:uid="{00000000-0005-0000-0000-00004ED90000}"/>
    <cellStyle name="Normal 5" xfId="6" xr:uid="{00000000-0005-0000-0000-00004FD90000}"/>
    <cellStyle name="Normal 5 2" xfId="706" xr:uid="{00000000-0005-0000-0000-000050D90000}"/>
    <cellStyle name="Normal 5 2 2" xfId="55770" xr:uid="{00000000-0005-0000-0000-000051D90000}"/>
    <cellStyle name="Normal 5 3" xfId="779" xr:uid="{00000000-0005-0000-0000-000052D90000}"/>
    <cellStyle name="Normal 5 3 2" xfId="1186" xr:uid="{00000000-0005-0000-0000-000053D90000}"/>
    <cellStyle name="Normal 5 3 3" xfId="55771" xr:uid="{00000000-0005-0000-0000-000054D90000}"/>
    <cellStyle name="Normal 5 3 4" xfId="55772" xr:uid="{00000000-0005-0000-0000-000055D90000}"/>
    <cellStyle name="Normal 5 4" xfId="705" xr:uid="{00000000-0005-0000-0000-000056D90000}"/>
    <cellStyle name="Normal 5 4 2" xfId="55773" xr:uid="{00000000-0005-0000-0000-000057D90000}"/>
    <cellStyle name="Normal 5 5" xfId="1185" xr:uid="{00000000-0005-0000-0000-000058D90000}"/>
    <cellStyle name="Normal 5 6" xfId="55774" xr:uid="{00000000-0005-0000-0000-000059D90000}"/>
    <cellStyle name="Normal 5_Project_Profile_DB" xfId="707" xr:uid="{00000000-0005-0000-0000-00005AD90000}"/>
    <cellStyle name="Normal 6" xfId="7" xr:uid="{00000000-0005-0000-0000-00005BD90000}"/>
    <cellStyle name="Normal 6 2" xfId="24" xr:uid="{00000000-0005-0000-0000-00005CD90000}"/>
    <cellStyle name="Normal 6 2 2" xfId="797" xr:uid="{00000000-0005-0000-0000-00005DD90000}"/>
    <cellStyle name="Normal 6 2 2 2" xfId="1189" xr:uid="{00000000-0005-0000-0000-00005ED90000}"/>
    <cellStyle name="Normal 6 2 2 2 2" xfId="1908" xr:uid="{00000000-0005-0000-0000-00005FD90000}"/>
    <cellStyle name="Normal 6 2 2 2 3" xfId="55778" xr:uid="{00000000-0005-0000-0000-000060D90000}"/>
    <cellStyle name="Normal 6 2 2 3" xfId="1555" xr:uid="{00000000-0005-0000-0000-000061D90000}"/>
    <cellStyle name="Normal 6 2 2 3 2" xfId="55779" xr:uid="{00000000-0005-0000-0000-000062D90000}"/>
    <cellStyle name="Normal 6 2 2 4" xfId="55780" xr:uid="{00000000-0005-0000-0000-000063D90000}"/>
    <cellStyle name="Normal 6 2 2 5" xfId="55777" xr:uid="{00000000-0005-0000-0000-000064D90000}"/>
    <cellStyle name="Normal 6 2 3" xfId="1188" xr:uid="{00000000-0005-0000-0000-000065D90000}"/>
    <cellStyle name="Normal 6 2 3 2" xfId="1907" xr:uid="{00000000-0005-0000-0000-000066D90000}"/>
    <cellStyle name="Normal 6 2 3 3" xfId="55781" xr:uid="{00000000-0005-0000-0000-000067D90000}"/>
    <cellStyle name="Normal 6 2 4" xfId="1234" xr:uid="{00000000-0005-0000-0000-000068D90000}"/>
    <cellStyle name="Normal 6 2 4 2" xfId="55782" xr:uid="{00000000-0005-0000-0000-000069D90000}"/>
    <cellStyle name="Normal 6 2 5" xfId="55783" xr:uid="{00000000-0005-0000-0000-00006AD90000}"/>
    <cellStyle name="Normal 6 2 6" xfId="55776" xr:uid="{00000000-0005-0000-0000-00006BD90000}"/>
    <cellStyle name="Normal 6 3" xfId="780" xr:uid="{00000000-0005-0000-0000-00006CD90000}"/>
    <cellStyle name="Normal 6 3 2" xfId="1190" xr:uid="{00000000-0005-0000-0000-00006DD90000}"/>
    <cellStyle name="Normal 6 3 2 2" xfId="1909" xr:uid="{00000000-0005-0000-0000-00006ED90000}"/>
    <cellStyle name="Normal 6 3 2 3" xfId="55785" xr:uid="{00000000-0005-0000-0000-00006FD90000}"/>
    <cellStyle name="Normal 6 3 3" xfId="1538" xr:uid="{00000000-0005-0000-0000-000070D90000}"/>
    <cellStyle name="Normal 6 3 3 2" xfId="55786" xr:uid="{00000000-0005-0000-0000-000071D90000}"/>
    <cellStyle name="Normal 6 3 4" xfId="55787" xr:uid="{00000000-0005-0000-0000-000072D90000}"/>
    <cellStyle name="Normal 6 3 5" xfId="55784" xr:uid="{00000000-0005-0000-0000-000073D90000}"/>
    <cellStyle name="Normal 6 4" xfId="708" xr:uid="{00000000-0005-0000-0000-000074D90000}"/>
    <cellStyle name="Normal 6 4 2" xfId="55788" xr:uid="{00000000-0005-0000-0000-000075D90000}"/>
    <cellStyle name="Normal 6 5" xfId="1187" xr:uid="{00000000-0005-0000-0000-000076D90000}"/>
    <cellStyle name="Normal 6 5 2" xfId="1906" xr:uid="{00000000-0005-0000-0000-000077D90000}"/>
    <cellStyle name="Normal 6 5 3" xfId="55789" xr:uid="{00000000-0005-0000-0000-000078D90000}"/>
    <cellStyle name="Normal 6 6" xfId="1217" xr:uid="{00000000-0005-0000-0000-000079D90000}"/>
    <cellStyle name="Normal 6 6 2" xfId="55790" xr:uid="{00000000-0005-0000-0000-00007AD90000}"/>
    <cellStyle name="Normal 6 7" xfId="55791" xr:uid="{00000000-0005-0000-0000-00007BD90000}"/>
    <cellStyle name="Normal 6 8" xfId="55775" xr:uid="{00000000-0005-0000-0000-00007CD90000}"/>
    <cellStyle name="Normal 7" xfId="8" xr:uid="{00000000-0005-0000-0000-00007DD90000}"/>
    <cellStyle name="Normal 7 2" xfId="25" xr:uid="{00000000-0005-0000-0000-00007ED90000}"/>
    <cellStyle name="Normal 7 2 2" xfId="798" xr:uid="{00000000-0005-0000-0000-00007FD90000}"/>
    <cellStyle name="Normal 7 2 2 2" xfId="1193" xr:uid="{00000000-0005-0000-0000-000080D90000}"/>
    <cellStyle name="Normal 7 2 2 2 2" xfId="1912" xr:uid="{00000000-0005-0000-0000-000081D90000}"/>
    <cellStyle name="Normal 7 2 2 2 3" xfId="55795" xr:uid="{00000000-0005-0000-0000-000082D90000}"/>
    <cellStyle name="Normal 7 2 2 3" xfId="1556" xr:uid="{00000000-0005-0000-0000-000083D90000}"/>
    <cellStyle name="Normal 7 2 2 3 2" xfId="55796" xr:uid="{00000000-0005-0000-0000-000084D90000}"/>
    <cellStyle name="Normal 7 2 2 4" xfId="55797" xr:uid="{00000000-0005-0000-0000-000085D90000}"/>
    <cellStyle name="Normal 7 2 2 5" xfId="55794" xr:uid="{00000000-0005-0000-0000-000086D90000}"/>
    <cellStyle name="Normal 7 2 3" xfId="1192" xr:uid="{00000000-0005-0000-0000-000087D90000}"/>
    <cellStyle name="Normal 7 2 3 2" xfId="1911" xr:uid="{00000000-0005-0000-0000-000088D90000}"/>
    <cellStyle name="Normal 7 2 3 3" xfId="55798" xr:uid="{00000000-0005-0000-0000-000089D90000}"/>
    <cellStyle name="Normal 7 2 4" xfId="1235" xr:uid="{00000000-0005-0000-0000-00008AD90000}"/>
    <cellStyle name="Normal 7 2 4 2" xfId="55799" xr:uid="{00000000-0005-0000-0000-00008BD90000}"/>
    <cellStyle name="Normal 7 2 5" xfId="55800" xr:uid="{00000000-0005-0000-0000-00008CD90000}"/>
    <cellStyle name="Normal 7 2 6" xfId="55793" xr:uid="{00000000-0005-0000-0000-00008DD90000}"/>
    <cellStyle name="Normal 7 3" xfId="781" xr:uid="{00000000-0005-0000-0000-00008ED90000}"/>
    <cellStyle name="Normal 7 3 2" xfId="1194" xr:uid="{00000000-0005-0000-0000-00008FD90000}"/>
    <cellStyle name="Normal 7 3 2 2" xfId="1913" xr:uid="{00000000-0005-0000-0000-000090D90000}"/>
    <cellStyle name="Normal 7 3 2 3" xfId="55802" xr:uid="{00000000-0005-0000-0000-000091D90000}"/>
    <cellStyle name="Normal 7 3 3" xfId="1539" xr:uid="{00000000-0005-0000-0000-000092D90000}"/>
    <cellStyle name="Normal 7 3 3 2" xfId="55803" xr:uid="{00000000-0005-0000-0000-000093D90000}"/>
    <cellStyle name="Normal 7 3 4" xfId="55804" xr:uid="{00000000-0005-0000-0000-000094D90000}"/>
    <cellStyle name="Normal 7 3 5" xfId="55801" xr:uid="{00000000-0005-0000-0000-000095D90000}"/>
    <cellStyle name="Normal 7 4" xfId="709" xr:uid="{00000000-0005-0000-0000-000096D90000}"/>
    <cellStyle name="Normal 7 4 2" xfId="55805" xr:uid="{00000000-0005-0000-0000-000097D90000}"/>
    <cellStyle name="Normal 7 5" xfId="1191" xr:uid="{00000000-0005-0000-0000-000098D90000}"/>
    <cellStyle name="Normal 7 5 2" xfId="1910" xr:uid="{00000000-0005-0000-0000-000099D90000}"/>
    <cellStyle name="Normal 7 5 3" xfId="55806" xr:uid="{00000000-0005-0000-0000-00009AD90000}"/>
    <cellStyle name="Normal 7 6" xfId="1218" xr:uid="{00000000-0005-0000-0000-00009BD90000}"/>
    <cellStyle name="Normal 7 6 2" xfId="55807" xr:uid="{00000000-0005-0000-0000-00009CD90000}"/>
    <cellStyle name="Normal 7 7" xfId="55808" xr:uid="{00000000-0005-0000-0000-00009DD90000}"/>
    <cellStyle name="Normal 7 8" xfId="55792" xr:uid="{00000000-0005-0000-0000-00009ED90000}"/>
    <cellStyle name="Normal 8" xfId="11" xr:uid="{00000000-0005-0000-0000-00009FD90000}"/>
    <cellStyle name="Normal 8 2" xfId="28" xr:uid="{00000000-0005-0000-0000-0000A0D90000}"/>
    <cellStyle name="Normal 8 2 2" xfId="801" xr:uid="{00000000-0005-0000-0000-0000A1D90000}"/>
    <cellStyle name="Normal 8 2 2 2" xfId="1197" xr:uid="{00000000-0005-0000-0000-0000A2D90000}"/>
    <cellStyle name="Normal 8 2 2 2 2" xfId="1916" xr:uid="{00000000-0005-0000-0000-0000A3D90000}"/>
    <cellStyle name="Normal 8 2 2 2 3" xfId="55812" xr:uid="{00000000-0005-0000-0000-0000A4D90000}"/>
    <cellStyle name="Normal 8 2 2 3" xfId="1559" xr:uid="{00000000-0005-0000-0000-0000A5D90000}"/>
    <cellStyle name="Normal 8 2 2 3 2" xfId="55813" xr:uid="{00000000-0005-0000-0000-0000A6D90000}"/>
    <cellStyle name="Normal 8 2 2 4" xfId="55814" xr:uid="{00000000-0005-0000-0000-0000A7D90000}"/>
    <cellStyle name="Normal 8 2 2 5" xfId="55811" xr:uid="{00000000-0005-0000-0000-0000A8D90000}"/>
    <cellStyle name="Normal 8 2 3" xfId="1196" xr:uid="{00000000-0005-0000-0000-0000A9D90000}"/>
    <cellStyle name="Normal 8 2 3 2" xfId="1915" xr:uid="{00000000-0005-0000-0000-0000AAD90000}"/>
    <cellStyle name="Normal 8 2 3 3" xfId="55815" xr:uid="{00000000-0005-0000-0000-0000ABD90000}"/>
    <cellStyle name="Normal 8 2 4" xfId="1238" xr:uid="{00000000-0005-0000-0000-0000ACD90000}"/>
    <cellStyle name="Normal 8 2 4 2" xfId="55816" xr:uid="{00000000-0005-0000-0000-0000ADD90000}"/>
    <cellStyle name="Normal 8 2 5" xfId="55817" xr:uid="{00000000-0005-0000-0000-0000AED90000}"/>
    <cellStyle name="Normal 8 2 6" xfId="55810" xr:uid="{00000000-0005-0000-0000-0000AFD90000}"/>
    <cellStyle name="Normal 8 3" xfId="784" xr:uid="{00000000-0005-0000-0000-0000B0D90000}"/>
    <cellStyle name="Normal 8 3 2" xfId="1198" xr:uid="{00000000-0005-0000-0000-0000B1D90000}"/>
    <cellStyle name="Normal 8 3 2 2" xfId="1917" xr:uid="{00000000-0005-0000-0000-0000B2D90000}"/>
    <cellStyle name="Normal 8 3 2 3" xfId="55819" xr:uid="{00000000-0005-0000-0000-0000B3D90000}"/>
    <cellStyle name="Normal 8 3 3" xfId="1542" xr:uid="{00000000-0005-0000-0000-0000B4D90000}"/>
    <cellStyle name="Normal 8 3 3 2" xfId="55820" xr:uid="{00000000-0005-0000-0000-0000B5D90000}"/>
    <cellStyle name="Normal 8 3 4" xfId="55821" xr:uid="{00000000-0005-0000-0000-0000B6D90000}"/>
    <cellStyle name="Normal 8 3 5" xfId="55818" xr:uid="{00000000-0005-0000-0000-0000B7D90000}"/>
    <cellStyle name="Normal 8 4" xfId="710" xr:uid="{00000000-0005-0000-0000-0000B8D90000}"/>
    <cellStyle name="Normal 8 4 2" xfId="55822" xr:uid="{00000000-0005-0000-0000-0000B9D90000}"/>
    <cellStyle name="Normal 8 5" xfId="1195" xr:uid="{00000000-0005-0000-0000-0000BAD90000}"/>
    <cellStyle name="Normal 8 5 2" xfId="1914" xr:uid="{00000000-0005-0000-0000-0000BBD90000}"/>
    <cellStyle name="Normal 8 5 3" xfId="55823" xr:uid="{00000000-0005-0000-0000-0000BCD90000}"/>
    <cellStyle name="Normal 8 6" xfId="1221" xr:uid="{00000000-0005-0000-0000-0000BDD90000}"/>
    <cellStyle name="Normal 8 6 2" xfId="55824" xr:uid="{00000000-0005-0000-0000-0000BED90000}"/>
    <cellStyle name="Normal 8 7" xfId="55825" xr:uid="{00000000-0005-0000-0000-0000BFD90000}"/>
    <cellStyle name="Normal 8 8" xfId="55809" xr:uid="{00000000-0005-0000-0000-0000C0D90000}"/>
    <cellStyle name="Normal 9" xfId="14" xr:uid="{00000000-0005-0000-0000-0000C1D90000}"/>
    <cellStyle name="Normal 9 2" xfId="31" xr:uid="{00000000-0005-0000-0000-0000C2D90000}"/>
    <cellStyle name="Normal 9 2 2" xfId="804" xr:uid="{00000000-0005-0000-0000-0000C3D90000}"/>
    <cellStyle name="Normal 9 2 2 2" xfId="1201" xr:uid="{00000000-0005-0000-0000-0000C4D90000}"/>
    <cellStyle name="Normal 9 2 2 2 2" xfId="1920" xr:uid="{00000000-0005-0000-0000-0000C5D90000}"/>
    <cellStyle name="Normal 9 2 2 2 3" xfId="55829" xr:uid="{00000000-0005-0000-0000-0000C6D90000}"/>
    <cellStyle name="Normal 9 2 2 3" xfId="1562" xr:uid="{00000000-0005-0000-0000-0000C7D90000}"/>
    <cellStyle name="Normal 9 2 2 3 2" xfId="55830" xr:uid="{00000000-0005-0000-0000-0000C8D90000}"/>
    <cellStyle name="Normal 9 2 2 4" xfId="55831" xr:uid="{00000000-0005-0000-0000-0000C9D90000}"/>
    <cellStyle name="Normal 9 2 2 5" xfId="55828" xr:uid="{00000000-0005-0000-0000-0000CAD90000}"/>
    <cellStyle name="Normal 9 2 3" xfId="1200" xr:uid="{00000000-0005-0000-0000-0000CBD90000}"/>
    <cellStyle name="Normal 9 2 3 2" xfId="1919" xr:uid="{00000000-0005-0000-0000-0000CCD90000}"/>
    <cellStyle name="Normal 9 2 3 3" xfId="55832" xr:uid="{00000000-0005-0000-0000-0000CDD90000}"/>
    <cellStyle name="Normal 9 2 4" xfId="1241" xr:uid="{00000000-0005-0000-0000-0000CED90000}"/>
    <cellStyle name="Normal 9 2 4 2" xfId="55833" xr:uid="{00000000-0005-0000-0000-0000CFD90000}"/>
    <cellStyle name="Normal 9 2 5" xfId="55834" xr:uid="{00000000-0005-0000-0000-0000D0D90000}"/>
    <cellStyle name="Normal 9 2 6" xfId="55827" xr:uid="{00000000-0005-0000-0000-0000D1D90000}"/>
    <cellStyle name="Normal 9 3" xfId="787" xr:uid="{00000000-0005-0000-0000-0000D2D90000}"/>
    <cellStyle name="Normal 9 3 2" xfId="1202" xr:uid="{00000000-0005-0000-0000-0000D3D90000}"/>
    <cellStyle name="Normal 9 3 2 2" xfId="1921" xr:uid="{00000000-0005-0000-0000-0000D4D90000}"/>
    <cellStyle name="Normal 9 3 2 3" xfId="55836" xr:uid="{00000000-0005-0000-0000-0000D5D90000}"/>
    <cellStyle name="Normal 9 3 3" xfId="1545" xr:uid="{00000000-0005-0000-0000-0000D6D90000}"/>
    <cellStyle name="Normal 9 3 3 2" xfId="55837" xr:uid="{00000000-0005-0000-0000-0000D7D90000}"/>
    <cellStyle name="Normal 9 3 4" xfId="55838" xr:uid="{00000000-0005-0000-0000-0000D8D90000}"/>
    <cellStyle name="Normal 9 3 5" xfId="55835" xr:uid="{00000000-0005-0000-0000-0000D9D90000}"/>
    <cellStyle name="Normal 9 4" xfId="711" xr:uid="{00000000-0005-0000-0000-0000DAD90000}"/>
    <cellStyle name="Normal 9 4 2" xfId="55839" xr:uid="{00000000-0005-0000-0000-0000DBD90000}"/>
    <cellStyle name="Normal 9 5" xfId="1199" xr:uid="{00000000-0005-0000-0000-0000DCD90000}"/>
    <cellStyle name="Normal 9 5 2" xfId="1918" xr:uid="{00000000-0005-0000-0000-0000DDD90000}"/>
    <cellStyle name="Normal 9 5 3" xfId="55840" xr:uid="{00000000-0005-0000-0000-0000DED90000}"/>
    <cellStyle name="Normal 9 6" xfId="1224" xr:uid="{00000000-0005-0000-0000-0000DFD90000}"/>
    <cellStyle name="Normal 9 6 2" xfId="55841" xr:uid="{00000000-0005-0000-0000-0000E0D90000}"/>
    <cellStyle name="Normal 9 7" xfId="55842" xr:uid="{00000000-0005-0000-0000-0000E1D90000}"/>
    <cellStyle name="Normal 9 8" xfId="55826" xr:uid="{00000000-0005-0000-0000-0000E2D90000}"/>
    <cellStyle name="Note 10" xfId="55843" xr:uid="{00000000-0005-0000-0000-0000E3D90000}"/>
    <cellStyle name="Note 2" xfId="712" xr:uid="{00000000-0005-0000-0000-0000E4D90000}"/>
    <cellStyle name="Note 2 2" xfId="713" xr:uid="{00000000-0005-0000-0000-0000E5D90000}"/>
    <cellStyle name="Note 2 2 2" xfId="55844" xr:uid="{00000000-0005-0000-0000-0000E6D90000}"/>
    <cellStyle name="Note 2 3" xfId="55845" xr:uid="{00000000-0005-0000-0000-0000E7D90000}"/>
    <cellStyle name="Note 3" xfId="714" xr:uid="{00000000-0005-0000-0000-0000E8D90000}"/>
    <cellStyle name="Note 3 2" xfId="55846" xr:uid="{00000000-0005-0000-0000-0000E9D90000}"/>
    <cellStyle name="Note 4" xfId="715" xr:uid="{00000000-0005-0000-0000-0000EAD90000}"/>
    <cellStyle name="Note 4 2" xfId="55847" xr:uid="{00000000-0005-0000-0000-0000EBD90000}"/>
    <cellStyle name="Note 5" xfId="716" xr:uid="{00000000-0005-0000-0000-0000ECD90000}"/>
    <cellStyle name="Note 5 2" xfId="55848" xr:uid="{00000000-0005-0000-0000-0000EDD90000}"/>
    <cellStyle name="Note 6" xfId="717" xr:uid="{00000000-0005-0000-0000-0000EED90000}"/>
    <cellStyle name="Note 6 10" xfId="55850" xr:uid="{00000000-0005-0000-0000-0000EFD90000}"/>
    <cellStyle name="Note 6 10 2" xfId="55851" xr:uid="{00000000-0005-0000-0000-0000F0D90000}"/>
    <cellStyle name="Note 6 10 2 2" xfId="55852" xr:uid="{00000000-0005-0000-0000-0000F1D90000}"/>
    <cellStyle name="Note 6 10 2 2 2" xfId="55853" xr:uid="{00000000-0005-0000-0000-0000F2D90000}"/>
    <cellStyle name="Note 6 10 2 3" xfId="55854" xr:uid="{00000000-0005-0000-0000-0000F3D90000}"/>
    <cellStyle name="Note 6 10 3" xfId="55855" xr:uid="{00000000-0005-0000-0000-0000F4D90000}"/>
    <cellStyle name="Note 6 10 3 2" xfId="55856" xr:uid="{00000000-0005-0000-0000-0000F5D90000}"/>
    <cellStyle name="Note 6 10 4" xfId="55857" xr:uid="{00000000-0005-0000-0000-0000F6D90000}"/>
    <cellStyle name="Note 6 11" xfId="55858" xr:uid="{00000000-0005-0000-0000-0000F7D90000}"/>
    <cellStyle name="Note 6 11 2" xfId="55859" xr:uid="{00000000-0005-0000-0000-0000F8D90000}"/>
    <cellStyle name="Note 6 11 2 2" xfId="55860" xr:uid="{00000000-0005-0000-0000-0000F9D90000}"/>
    <cellStyle name="Note 6 11 3" xfId="55861" xr:uid="{00000000-0005-0000-0000-0000FAD90000}"/>
    <cellStyle name="Note 6 12" xfId="55862" xr:uid="{00000000-0005-0000-0000-0000FBD90000}"/>
    <cellStyle name="Note 6 12 2" xfId="55863" xr:uid="{00000000-0005-0000-0000-0000FCD90000}"/>
    <cellStyle name="Note 6 12 2 2" xfId="55864" xr:uid="{00000000-0005-0000-0000-0000FDD90000}"/>
    <cellStyle name="Note 6 12 3" xfId="55865" xr:uid="{00000000-0005-0000-0000-0000FED90000}"/>
    <cellStyle name="Note 6 13" xfId="55866" xr:uid="{00000000-0005-0000-0000-0000FFD90000}"/>
    <cellStyle name="Note 6 13 2" xfId="55867" xr:uid="{00000000-0005-0000-0000-000000DA0000}"/>
    <cellStyle name="Note 6 13 2 2" xfId="55868" xr:uid="{00000000-0005-0000-0000-000001DA0000}"/>
    <cellStyle name="Note 6 13 3" xfId="55869" xr:uid="{00000000-0005-0000-0000-000002DA0000}"/>
    <cellStyle name="Note 6 14" xfId="55870" xr:uid="{00000000-0005-0000-0000-000003DA0000}"/>
    <cellStyle name="Note 6 14 2" xfId="55871" xr:uid="{00000000-0005-0000-0000-000004DA0000}"/>
    <cellStyle name="Note 6 15" xfId="55872" xr:uid="{00000000-0005-0000-0000-000005DA0000}"/>
    <cellStyle name="Note 6 16" xfId="55873" xr:uid="{00000000-0005-0000-0000-000006DA0000}"/>
    <cellStyle name="Note 6 17" xfId="55849" xr:uid="{00000000-0005-0000-0000-000007DA0000}"/>
    <cellStyle name="Note 6 2" xfId="718" xr:uid="{00000000-0005-0000-0000-000008DA0000}"/>
    <cellStyle name="Note 6 2 10" xfId="55875" xr:uid="{00000000-0005-0000-0000-000009DA0000}"/>
    <cellStyle name="Note 6 2 10 2" xfId="55876" xr:uid="{00000000-0005-0000-0000-00000ADA0000}"/>
    <cellStyle name="Note 6 2 10 2 2" xfId="55877" xr:uid="{00000000-0005-0000-0000-00000BDA0000}"/>
    <cellStyle name="Note 6 2 10 3" xfId="55878" xr:uid="{00000000-0005-0000-0000-00000CDA0000}"/>
    <cellStyle name="Note 6 2 11" xfId="55879" xr:uid="{00000000-0005-0000-0000-00000DDA0000}"/>
    <cellStyle name="Note 6 2 11 2" xfId="55880" xr:uid="{00000000-0005-0000-0000-00000EDA0000}"/>
    <cellStyle name="Note 6 2 11 2 2" xfId="55881" xr:uid="{00000000-0005-0000-0000-00000FDA0000}"/>
    <cellStyle name="Note 6 2 11 3" xfId="55882" xr:uid="{00000000-0005-0000-0000-000010DA0000}"/>
    <cellStyle name="Note 6 2 12" xfId="55883" xr:uid="{00000000-0005-0000-0000-000011DA0000}"/>
    <cellStyle name="Note 6 2 12 2" xfId="55884" xr:uid="{00000000-0005-0000-0000-000012DA0000}"/>
    <cellStyle name="Note 6 2 13" xfId="55885" xr:uid="{00000000-0005-0000-0000-000013DA0000}"/>
    <cellStyle name="Note 6 2 14" xfId="55886" xr:uid="{00000000-0005-0000-0000-000014DA0000}"/>
    <cellStyle name="Note 6 2 15" xfId="55874" xr:uid="{00000000-0005-0000-0000-000015DA0000}"/>
    <cellStyle name="Note 6 2 2" xfId="1204" xr:uid="{00000000-0005-0000-0000-000016DA0000}"/>
    <cellStyle name="Note 6 2 2 10" xfId="55888" xr:uid="{00000000-0005-0000-0000-000017DA0000}"/>
    <cellStyle name="Note 6 2 2 11" xfId="55887" xr:uid="{00000000-0005-0000-0000-000018DA0000}"/>
    <cellStyle name="Note 6 2 2 2" xfId="1923" xr:uid="{00000000-0005-0000-0000-000019DA0000}"/>
    <cellStyle name="Note 6 2 2 2 2" xfId="55890" xr:uid="{00000000-0005-0000-0000-00001ADA0000}"/>
    <cellStyle name="Note 6 2 2 2 2 2" xfId="55891" xr:uid="{00000000-0005-0000-0000-00001BDA0000}"/>
    <cellStyle name="Note 6 2 2 2 2 2 2" xfId="55892" xr:uid="{00000000-0005-0000-0000-00001CDA0000}"/>
    <cellStyle name="Note 6 2 2 2 2 2 2 2" xfId="55893" xr:uid="{00000000-0005-0000-0000-00001DDA0000}"/>
    <cellStyle name="Note 6 2 2 2 2 2 3" xfId="55894" xr:uid="{00000000-0005-0000-0000-00001EDA0000}"/>
    <cellStyle name="Note 6 2 2 2 2 3" xfId="55895" xr:uid="{00000000-0005-0000-0000-00001FDA0000}"/>
    <cellStyle name="Note 6 2 2 2 2 3 2" xfId="55896" xr:uid="{00000000-0005-0000-0000-000020DA0000}"/>
    <cellStyle name="Note 6 2 2 2 2 4" xfId="55897" xr:uid="{00000000-0005-0000-0000-000021DA0000}"/>
    <cellStyle name="Note 6 2 2 2 3" xfId="55898" xr:uid="{00000000-0005-0000-0000-000022DA0000}"/>
    <cellStyle name="Note 6 2 2 2 3 2" xfId="55899" xr:uid="{00000000-0005-0000-0000-000023DA0000}"/>
    <cellStyle name="Note 6 2 2 2 3 2 2" xfId="55900" xr:uid="{00000000-0005-0000-0000-000024DA0000}"/>
    <cellStyle name="Note 6 2 2 2 3 2 2 2" xfId="55901" xr:uid="{00000000-0005-0000-0000-000025DA0000}"/>
    <cellStyle name="Note 6 2 2 2 3 2 3" xfId="55902" xr:uid="{00000000-0005-0000-0000-000026DA0000}"/>
    <cellStyle name="Note 6 2 2 2 3 3" xfId="55903" xr:uid="{00000000-0005-0000-0000-000027DA0000}"/>
    <cellStyle name="Note 6 2 2 2 3 3 2" xfId="55904" xr:uid="{00000000-0005-0000-0000-000028DA0000}"/>
    <cellStyle name="Note 6 2 2 2 3 4" xfId="55905" xr:uid="{00000000-0005-0000-0000-000029DA0000}"/>
    <cellStyle name="Note 6 2 2 2 4" xfId="55906" xr:uid="{00000000-0005-0000-0000-00002ADA0000}"/>
    <cellStyle name="Note 6 2 2 2 4 2" xfId="55907" xr:uid="{00000000-0005-0000-0000-00002BDA0000}"/>
    <cellStyle name="Note 6 2 2 2 4 2 2" xfId="55908" xr:uid="{00000000-0005-0000-0000-00002CDA0000}"/>
    <cellStyle name="Note 6 2 2 2 4 3" xfId="55909" xr:uid="{00000000-0005-0000-0000-00002DDA0000}"/>
    <cellStyle name="Note 6 2 2 2 5" xfId="55910" xr:uid="{00000000-0005-0000-0000-00002EDA0000}"/>
    <cellStyle name="Note 6 2 2 2 5 2" xfId="55911" xr:uid="{00000000-0005-0000-0000-00002FDA0000}"/>
    <cellStyle name="Note 6 2 2 2 6" xfId="55912" xr:uid="{00000000-0005-0000-0000-000030DA0000}"/>
    <cellStyle name="Note 6 2 2 2 7" xfId="55889" xr:uid="{00000000-0005-0000-0000-000031DA0000}"/>
    <cellStyle name="Note 6 2 2 3" xfId="55913" xr:uid="{00000000-0005-0000-0000-000032DA0000}"/>
    <cellStyle name="Note 6 2 2 3 2" xfId="55914" xr:uid="{00000000-0005-0000-0000-000033DA0000}"/>
    <cellStyle name="Note 6 2 2 3 2 2" xfId="55915" xr:uid="{00000000-0005-0000-0000-000034DA0000}"/>
    <cellStyle name="Note 6 2 2 3 2 2 2" xfId="55916" xr:uid="{00000000-0005-0000-0000-000035DA0000}"/>
    <cellStyle name="Note 6 2 2 3 2 2 2 2" xfId="55917" xr:uid="{00000000-0005-0000-0000-000036DA0000}"/>
    <cellStyle name="Note 6 2 2 3 2 2 3" xfId="55918" xr:uid="{00000000-0005-0000-0000-000037DA0000}"/>
    <cellStyle name="Note 6 2 2 3 2 3" xfId="55919" xr:uid="{00000000-0005-0000-0000-000038DA0000}"/>
    <cellStyle name="Note 6 2 2 3 2 3 2" xfId="55920" xr:uid="{00000000-0005-0000-0000-000039DA0000}"/>
    <cellStyle name="Note 6 2 2 3 2 4" xfId="55921" xr:uid="{00000000-0005-0000-0000-00003ADA0000}"/>
    <cellStyle name="Note 6 2 2 3 3" xfId="55922" xr:uid="{00000000-0005-0000-0000-00003BDA0000}"/>
    <cellStyle name="Note 6 2 2 3 3 2" xfId="55923" xr:uid="{00000000-0005-0000-0000-00003CDA0000}"/>
    <cellStyle name="Note 6 2 2 3 3 2 2" xfId="55924" xr:uid="{00000000-0005-0000-0000-00003DDA0000}"/>
    <cellStyle name="Note 6 2 2 3 3 3" xfId="55925" xr:uid="{00000000-0005-0000-0000-00003EDA0000}"/>
    <cellStyle name="Note 6 2 2 3 4" xfId="55926" xr:uid="{00000000-0005-0000-0000-00003FDA0000}"/>
    <cellStyle name="Note 6 2 2 3 4 2" xfId="55927" xr:uid="{00000000-0005-0000-0000-000040DA0000}"/>
    <cellStyle name="Note 6 2 2 3 5" xfId="55928" xr:uid="{00000000-0005-0000-0000-000041DA0000}"/>
    <cellStyle name="Note 6 2 2 4" xfId="55929" xr:uid="{00000000-0005-0000-0000-000042DA0000}"/>
    <cellStyle name="Note 6 2 2 4 2" xfId="55930" xr:uid="{00000000-0005-0000-0000-000043DA0000}"/>
    <cellStyle name="Note 6 2 2 4 2 2" xfId="55931" xr:uid="{00000000-0005-0000-0000-000044DA0000}"/>
    <cellStyle name="Note 6 2 2 4 2 2 2" xfId="55932" xr:uid="{00000000-0005-0000-0000-000045DA0000}"/>
    <cellStyle name="Note 6 2 2 4 2 2 2 2" xfId="55933" xr:uid="{00000000-0005-0000-0000-000046DA0000}"/>
    <cellStyle name="Note 6 2 2 4 2 2 3" xfId="55934" xr:uid="{00000000-0005-0000-0000-000047DA0000}"/>
    <cellStyle name="Note 6 2 2 4 2 3" xfId="55935" xr:uid="{00000000-0005-0000-0000-000048DA0000}"/>
    <cellStyle name="Note 6 2 2 4 2 3 2" xfId="55936" xr:uid="{00000000-0005-0000-0000-000049DA0000}"/>
    <cellStyle name="Note 6 2 2 4 2 4" xfId="55937" xr:uid="{00000000-0005-0000-0000-00004ADA0000}"/>
    <cellStyle name="Note 6 2 2 4 3" xfId="55938" xr:uid="{00000000-0005-0000-0000-00004BDA0000}"/>
    <cellStyle name="Note 6 2 2 4 3 2" xfId="55939" xr:uid="{00000000-0005-0000-0000-00004CDA0000}"/>
    <cellStyle name="Note 6 2 2 4 3 2 2" xfId="55940" xr:uid="{00000000-0005-0000-0000-00004DDA0000}"/>
    <cellStyle name="Note 6 2 2 4 3 3" xfId="55941" xr:uid="{00000000-0005-0000-0000-00004EDA0000}"/>
    <cellStyle name="Note 6 2 2 4 4" xfId="55942" xr:uid="{00000000-0005-0000-0000-00004FDA0000}"/>
    <cellStyle name="Note 6 2 2 4 4 2" xfId="55943" xr:uid="{00000000-0005-0000-0000-000050DA0000}"/>
    <cellStyle name="Note 6 2 2 4 5" xfId="55944" xr:uid="{00000000-0005-0000-0000-000051DA0000}"/>
    <cellStyle name="Note 6 2 2 5" xfId="55945" xr:uid="{00000000-0005-0000-0000-000052DA0000}"/>
    <cellStyle name="Note 6 2 2 5 2" xfId="55946" xr:uid="{00000000-0005-0000-0000-000053DA0000}"/>
    <cellStyle name="Note 6 2 2 5 2 2" xfId="55947" xr:uid="{00000000-0005-0000-0000-000054DA0000}"/>
    <cellStyle name="Note 6 2 2 5 2 2 2" xfId="55948" xr:uid="{00000000-0005-0000-0000-000055DA0000}"/>
    <cellStyle name="Note 6 2 2 5 2 3" xfId="55949" xr:uid="{00000000-0005-0000-0000-000056DA0000}"/>
    <cellStyle name="Note 6 2 2 5 3" xfId="55950" xr:uid="{00000000-0005-0000-0000-000057DA0000}"/>
    <cellStyle name="Note 6 2 2 5 3 2" xfId="55951" xr:uid="{00000000-0005-0000-0000-000058DA0000}"/>
    <cellStyle name="Note 6 2 2 5 4" xfId="55952" xr:uid="{00000000-0005-0000-0000-000059DA0000}"/>
    <cellStyle name="Note 6 2 2 6" xfId="55953" xr:uid="{00000000-0005-0000-0000-00005ADA0000}"/>
    <cellStyle name="Note 6 2 2 6 2" xfId="55954" xr:uid="{00000000-0005-0000-0000-00005BDA0000}"/>
    <cellStyle name="Note 6 2 2 6 2 2" xfId="55955" xr:uid="{00000000-0005-0000-0000-00005CDA0000}"/>
    <cellStyle name="Note 6 2 2 6 2 2 2" xfId="55956" xr:uid="{00000000-0005-0000-0000-00005DDA0000}"/>
    <cellStyle name="Note 6 2 2 6 2 3" xfId="55957" xr:uid="{00000000-0005-0000-0000-00005EDA0000}"/>
    <cellStyle name="Note 6 2 2 6 3" xfId="55958" xr:uid="{00000000-0005-0000-0000-00005FDA0000}"/>
    <cellStyle name="Note 6 2 2 6 3 2" xfId="55959" xr:uid="{00000000-0005-0000-0000-000060DA0000}"/>
    <cellStyle name="Note 6 2 2 6 4" xfId="55960" xr:uid="{00000000-0005-0000-0000-000061DA0000}"/>
    <cellStyle name="Note 6 2 2 7" xfId="55961" xr:uid="{00000000-0005-0000-0000-000062DA0000}"/>
    <cellStyle name="Note 6 2 2 7 2" xfId="55962" xr:uid="{00000000-0005-0000-0000-000063DA0000}"/>
    <cellStyle name="Note 6 2 2 7 2 2" xfId="55963" xr:uid="{00000000-0005-0000-0000-000064DA0000}"/>
    <cellStyle name="Note 6 2 2 7 2 2 2" xfId="55964" xr:uid="{00000000-0005-0000-0000-000065DA0000}"/>
    <cellStyle name="Note 6 2 2 7 2 3" xfId="55965" xr:uid="{00000000-0005-0000-0000-000066DA0000}"/>
    <cellStyle name="Note 6 2 2 7 3" xfId="55966" xr:uid="{00000000-0005-0000-0000-000067DA0000}"/>
    <cellStyle name="Note 6 2 2 7 3 2" xfId="55967" xr:uid="{00000000-0005-0000-0000-000068DA0000}"/>
    <cellStyle name="Note 6 2 2 7 4" xfId="55968" xr:uid="{00000000-0005-0000-0000-000069DA0000}"/>
    <cellStyle name="Note 6 2 2 8" xfId="55969" xr:uid="{00000000-0005-0000-0000-00006ADA0000}"/>
    <cellStyle name="Note 6 2 2 8 2" xfId="55970" xr:uid="{00000000-0005-0000-0000-00006BDA0000}"/>
    <cellStyle name="Note 6 2 2 8 2 2" xfId="55971" xr:uid="{00000000-0005-0000-0000-00006CDA0000}"/>
    <cellStyle name="Note 6 2 2 8 3" xfId="55972" xr:uid="{00000000-0005-0000-0000-00006DDA0000}"/>
    <cellStyle name="Note 6 2 2 9" xfId="55973" xr:uid="{00000000-0005-0000-0000-00006EDA0000}"/>
    <cellStyle name="Note 6 2 2 9 2" xfId="55974" xr:uid="{00000000-0005-0000-0000-00006FDA0000}"/>
    <cellStyle name="Note 6 2 3" xfId="1533" xr:uid="{00000000-0005-0000-0000-000070DA0000}"/>
    <cellStyle name="Note 6 2 3 2" xfId="55976" xr:uid="{00000000-0005-0000-0000-000071DA0000}"/>
    <cellStyle name="Note 6 2 3 2 2" xfId="55977" xr:uid="{00000000-0005-0000-0000-000072DA0000}"/>
    <cellStyle name="Note 6 2 3 2 2 2" xfId="55978" xr:uid="{00000000-0005-0000-0000-000073DA0000}"/>
    <cellStyle name="Note 6 2 3 2 2 2 2" xfId="55979" xr:uid="{00000000-0005-0000-0000-000074DA0000}"/>
    <cellStyle name="Note 6 2 3 2 2 3" xfId="55980" xr:uid="{00000000-0005-0000-0000-000075DA0000}"/>
    <cellStyle name="Note 6 2 3 2 3" xfId="55981" xr:uid="{00000000-0005-0000-0000-000076DA0000}"/>
    <cellStyle name="Note 6 2 3 2 3 2" xfId="55982" xr:uid="{00000000-0005-0000-0000-000077DA0000}"/>
    <cellStyle name="Note 6 2 3 2 4" xfId="55983" xr:uid="{00000000-0005-0000-0000-000078DA0000}"/>
    <cellStyle name="Note 6 2 3 3" xfId="55984" xr:uid="{00000000-0005-0000-0000-000079DA0000}"/>
    <cellStyle name="Note 6 2 3 3 2" xfId="55985" xr:uid="{00000000-0005-0000-0000-00007ADA0000}"/>
    <cellStyle name="Note 6 2 3 3 2 2" xfId="55986" xr:uid="{00000000-0005-0000-0000-00007BDA0000}"/>
    <cellStyle name="Note 6 2 3 3 2 2 2" xfId="55987" xr:uid="{00000000-0005-0000-0000-00007CDA0000}"/>
    <cellStyle name="Note 6 2 3 3 2 3" xfId="55988" xr:uid="{00000000-0005-0000-0000-00007DDA0000}"/>
    <cellStyle name="Note 6 2 3 3 3" xfId="55989" xr:uid="{00000000-0005-0000-0000-00007EDA0000}"/>
    <cellStyle name="Note 6 2 3 3 3 2" xfId="55990" xr:uid="{00000000-0005-0000-0000-00007FDA0000}"/>
    <cellStyle name="Note 6 2 3 3 4" xfId="55991" xr:uid="{00000000-0005-0000-0000-000080DA0000}"/>
    <cellStyle name="Note 6 2 3 4" xfId="55992" xr:uid="{00000000-0005-0000-0000-000081DA0000}"/>
    <cellStyle name="Note 6 2 3 4 2" xfId="55993" xr:uid="{00000000-0005-0000-0000-000082DA0000}"/>
    <cellStyle name="Note 6 2 3 4 2 2" xfId="55994" xr:uid="{00000000-0005-0000-0000-000083DA0000}"/>
    <cellStyle name="Note 6 2 3 4 3" xfId="55995" xr:uid="{00000000-0005-0000-0000-000084DA0000}"/>
    <cellStyle name="Note 6 2 3 5" xfId="55996" xr:uid="{00000000-0005-0000-0000-000085DA0000}"/>
    <cellStyle name="Note 6 2 3 5 2" xfId="55997" xr:uid="{00000000-0005-0000-0000-000086DA0000}"/>
    <cellStyle name="Note 6 2 3 6" xfId="55998" xr:uid="{00000000-0005-0000-0000-000087DA0000}"/>
    <cellStyle name="Note 6 2 3 7" xfId="55975" xr:uid="{00000000-0005-0000-0000-000088DA0000}"/>
    <cellStyle name="Note 6 2 4" xfId="55999" xr:uid="{00000000-0005-0000-0000-000089DA0000}"/>
    <cellStyle name="Note 6 2 4 2" xfId="56000" xr:uid="{00000000-0005-0000-0000-00008ADA0000}"/>
    <cellStyle name="Note 6 2 4 2 2" xfId="56001" xr:uid="{00000000-0005-0000-0000-00008BDA0000}"/>
    <cellStyle name="Note 6 2 4 2 2 2" xfId="56002" xr:uid="{00000000-0005-0000-0000-00008CDA0000}"/>
    <cellStyle name="Note 6 2 4 2 2 2 2" xfId="56003" xr:uid="{00000000-0005-0000-0000-00008DDA0000}"/>
    <cellStyle name="Note 6 2 4 2 2 3" xfId="56004" xr:uid="{00000000-0005-0000-0000-00008EDA0000}"/>
    <cellStyle name="Note 6 2 4 2 3" xfId="56005" xr:uid="{00000000-0005-0000-0000-00008FDA0000}"/>
    <cellStyle name="Note 6 2 4 2 3 2" xfId="56006" xr:uid="{00000000-0005-0000-0000-000090DA0000}"/>
    <cellStyle name="Note 6 2 4 2 4" xfId="56007" xr:uid="{00000000-0005-0000-0000-000091DA0000}"/>
    <cellStyle name="Note 6 2 4 3" xfId="56008" xr:uid="{00000000-0005-0000-0000-000092DA0000}"/>
    <cellStyle name="Note 6 2 4 3 2" xfId="56009" xr:uid="{00000000-0005-0000-0000-000093DA0000}"/>
    <cellStyle name="Note 6 2 4 3 2 2" xfId="56010" xr:uid="{00000000-0005-0000-0000-000094DA0000}"/>
    <cellStyle name="Note 6 2 4 3 3" xfId="56011" xr:uid="{00000000-0005-0000-0000-000095DA0000}"/>
    <cellStyle name="Note 6 2 4 4" xfId="56012" xr:uid="{00000000-0005-0000-0000-000096DA0000}"/>
    <cellStyle name="Note 6 2 4 4 2" xfId="56013" xr:uid="{00000000-0005-0000-0000-000097DA0000}"/>
    <cellStyle name="Note 6 2 4 5" xfId="56014" xr:uid="{00000000-0005-0000-0000-000098DA0000}"/>
    <cellStyle name="Note 6 2 5" xfId="56015" xr:uid="{00000000-0005-0000-0000-000099DA0000}"/>
    <cellStyle name="Note 6 2 5 2" xfId="56016" xr:uid="{00000000-0005-0000-0000-00009ADA0000}"/>
    <cellStyle name="Note 6 2 5 2 2" xfId="56017" xr:uid="{00000000-0005-0000-0000-00009BDA0000}"/>
    <cellStyle name="Note 6 2 5 2 2 2" xfId="56018" xr:uid="{00000000-0005-0000-0000-00009CDA0000}"/>
    <cellStyle name="Note 6 2 5 2 2 2 2" xfId="56019" xr:uid="{00000000-0005-0000-0000-00009DDA0000}"/>
    <cellStyle name="Note 6 2 5 2 2 3" xfId="56020" xr:uid="{00000000-0005-0000-0000-00009EDA0000}"/>
    <cellStyle name="Note 6 2 5 2 3" xfId="56021" xr:uid="{00000000-0005-0000-0000-00009FDA0000}"/>
    <cellStyle name="Note 6 2 5 2 3 2" xfId="56022" xr:uid="{00000000-0005-0000-0000-0000A0DA0000}"/>
    <cellStyle name="Note 6 2 5 2 4" xfId="56023" xr:uid="{00000000-0005-0000-0000-0000A1DA0000}"/>
    <cellStyle name="Note 6 2 5 3" xfId="56024" xr:uid="{00000000-0005-0000-0000-0000A2DA0000}"/>
    <cellStyle name="Note 6 2 5 3 2" xfId="56025" xr:uid="{00000000-0005-0000-0000-0000A3DA0000}"/>
    <cellStyle name="Note 6 2 5 3 2 2" xfId="56026" xr:uid="{00000000-0005-0000-0000-0000A4DA0000}"/>
    <cellStyle name="Note 6 2 5 3 3" xfId="56027" xr:uid="{00000000-0005-0000-0000-0000A5DA0000}"/>
    <cellStyle name="Note 6 2 5 4" xfId="56028" xr:uid="{00000000-0005-0000-0000-0000A6DA0000}"/>
    <cellStyle name="Note 6 2 5 4 2" xfId="56029" xr:uid="{00000000-0005-0000-0000-0000A7DA0000}"/>
    <cellStyle name="Note 6 2 5 5" xfId="56030" xr:uid="{00000000-0005-0000-0000-0000A8DA0000}"/>
    <cellStyle name="Note 6 2 6" xfId="56031" xr:uid="{00000000-0005-0000-0000-0000A9DA0000}"/>
    <cellStyle name="Note 6 2 6 2" xfId="56032" xr:uid="{00000000-0005-0000-0000-0000AADA0000}"/>
    <cellStyle name="Note 6 2 6 2 2" xfId="56033" xr:uid="{00000000-0005-0000-0000-0000ABDA0000}"/>
    <cellStyle name="Note 6 2 6 2 2 2" xfId="56034" xr:uid="{00000000-0005-0000-0000-0000ACDA0000}"/>
    <cellStyle name="Note 6 2 6 2 3" xfId="56035" xr:uid="{00000000-0005-0000-0000-0000ADDA0000}"/>
    <cellStyle name="Note 6 2 6 3" xfId="56036" xr:uid="{00000000-0005-0000-0000-0000AEDA0000}"/>
    <cellStyle name="Note 6 2 6 3 2" xfId="56037" xr:uid="{00000000-0005-0000-0000-0000AFDA0000}"/>
    <cellStyle name="Note 6 2 6 4" xfId="56038" xr:uid="{00000000-0005-0000-0000-0000B0DA0000}"/>
    <cellStyle name="Note 6 2 7" xfId="56039" xr:uid="{00000000-0005-0000-0000-0000B1DA0000}"/>
    <cellStyle name="Note 6 2 7 2" xfId="56040" xr:uid="{00000000-0005-0000-0000-0000B2DA0000}"/>
    <cellStyle name="Note 6 2 7 2 2" xfId="56041" xr:uid="{00000000-0005-0000-0000-0000B3DA0000}"/>
    <cellStyle name="Note 6 2 7 2 2 2" xfId="56042" xr:uid="{00000000-0005-0000-0000-0000B4DA0000}"/>
    <cellStyle name="Note 6 2 7 2 3" xfId="56043" xr:uid="{00000000-0005-0000-0000-0000B5DA0000}"/>
    <cellStyle name="Note 6 2 7 3" xfId="56044" xr:uid="{00000000-0005-0000-0000-0000B6DA0000}"/>
    <cellStyle name="Note 6 2 7 3 2" xfId="56045" xr:uid="{00000000-0005-0000-0000-0000B7DA0000}"/>
    <cellStyle name="Note 6 2 7 4" xfId="56046" xr:uid="{00000000-0005-0000-0000-0000B8DA0000}"/>
    <cellStyle name="Note 6 2 8" xfId="56047" xr:uid="{00000000-0005-0000-0000-0000B9DA0000}"/>
    <cellStyle name="Note 6 2 8 2" xfId="56048" xr:uid="{00000000-0005-0000-0000-0000BADA0000}"/>
    <cellStyle name="Note 6 2 8 2 2" xfId="56049" xr:uid="{00000000-0005-0000-0000-0000BBDA0000}"/>
    <cellStyle name="Note 6 2 8 2 2 2" xfId="56050" xr:uid="{00000000-0005-0000-0000-0000BCDA0000}"/>
    <cellStyle name="Note 6 2 8 2 3" xfId="56051" xr:uid="{00000000-0005-0000-0000-0000BDDA0000}"/>
    <cellStyle name="Note 6 2 8 3" xfId="56052" xr:uid="{00000000-0005-0000-0000-0000BEDA0000}"/>
    <cellStyle name="Note 6 2 8 3 2" xfId="56053" xr:uid="{00000000-0005-0000-0000-0000BFDA0000}"/>
    <cellStyle name="Note 6 2 8 4" xfId="56054" xr:uid="{00000000-0005-0000-0000-0000C0DA0000}"/>
    <cellStyle name="Note 6 2 9" xfId="56055" xr:uid="{00000000-0005-0000-0000-0000C1DA0000}"/>
    <cellStyle name="Note 6 2 9 2" xfId="56056" xr:uid="{00000000-0005-0000-0000-0000C2DA0000}"/>
    <cellStyle name="Note 6 2 9 2 2" xfId="56057" xr:uid="{00000000-0005-0000-0000-0000C3DA0000}"/>
    <cellStyle name="Note 6 2 9 3" xfId="56058" xr:uid="{00000000-0005-0000-0000-0000C4DA0000}"/>
    <cellStyle name="Note 6 3" xfId="719" xr:uid="{00000000-0005-0000-0000-0000C5DA0000}"/>
    <cellStyle name="Note 6 3 2" xfId="1205" xr:uid="{00000000-0005-0000-0000-0000C6DA0000}"/>
    <cellStyle name="Note 6 3 3" xfId="56059" xr:uid="{00000000-0005-0000-0000-0000C7DA0000}"/>
    <cellStyle name="Note 6 4" xfId="1203" xr:uid="{00000000-0005-0000-0000-0000C8DA0000}"/>
    <cellStyle name="Note 6 4 10" xfId="56061" xr:uid="{00000000-0005-0000-0000-0000C9DA0000}"/>
    <cellStyle name="Note 6 4 11" xfId="56060" xr:uid="{00000000-0005-0000-0000-0000CADA0000}"/>
    <cellStyle name="Note 6 4 2" xfId="1922" xr:uid="{00000000-0005-0000-0000-0000CBDA0000}"/>
    <cellStyle name="Note 6 4 2 2" xfId="56063" xr:uid="{00000000-0005-0000-0000-0000CCDA0000}"/>
    <cellStyle name="Note 6 4 2 2 2" xfId="56064" xr:uid="{00000000-0005-0000-0000-0000CDDA0000}"/>
    <cellStyle name="Note 6 4 2 2 2 2" xfId="56065" xr:uid="{00000000-0005-0000-0000-0000CEDA0000}"/>
    <cellStyle name="Note 6 4 2 2 2 2 2" xfId="56066" xr:uid="{00000000-0005-0000-0000-0000CFDA0000}"/>
    <cellStyle name="Note 6 4 2 2 2 3" xfId="56067" xr:uid="{00000000-0005-0000-0000-0000D0DA0000}"/>
    <cellStyle name="Note 6 4 2 2 3" xfId="56068" xr:uid="{00000000-0005-0000-0000-0000D1DA0000}"/>
    <cellStyle name="Note 6 4 2 2 3 2" xfId="56069" xr:uid="{00000000-0005-0000-0000-0000D2DA0000}"/>
    <cellStyle name="Note 6 4 2 2 4" xfId="56070" xr:uid="{00000000-0005-0000-0000-0000D3DA0000}"/>
    <cellStyle name="Note 6 4 2 3" xfId="56071" xr:uid="{00000000-0005-0000-0000-0000D4DA0000}"/>
    <cellStyle name="Note 6 4 2 3 2" xfId="56072" xr:uid="{00000000-0005-0000-0000-0000D5DA0000}"/>
    <cellStyle name="Note 6 4 2 3 2 2" xfId="56073" xr:uid="{00000000-0005-0000-0000-0000D6DA0000}"/>
    <cellStyle name="Note 6 4 2 3 2 2 2" xfId="56074" xr:uid="{00000000-0005-0000-0000-0000D7DA0000}"/>
    <cellStyle name="Note 6 4 2 3 2 3" xfId="56075" xr:uid="{00000000-0005-0000-0000-0000D8DA0000}"/>
    <cellStyle name="Note 6 4 2 3 3" xfId="56076" xr:uid="{00000000-0005-0000-0000-0000D9DA0000}"/>
    <cellStyle name="Note 6 4 2 3 3 2" xfId="56077" xr:uid="{00000000-0005-0000-0000-0000DADA0000}"/>
    <cellStyle name="Note 6 4 2 3 4" xfId="56078" xr:uid="{00000000-0005-0000-0000-0000DBDA0000}"/>
    <cellStyle name="Note 6 4 2 4" xfId="56079" xr:uid="{00000000-0005-0000-0000-0000DCDA0000}"/>
    <cellStyle name="Note 6 4 2 4 2" xfId="56080" xr:uid="{00000000-0005-0000-0000-0000DDDA0000}"/>
    <cellStyle name="Note 6 4 2 4 2 2" xfId="56081" xr:uid="{00000000-0005-0000-0000-0000DEDA0000}"/>
    <cellStyle name="Note 6 4 2 4 3" xfId="56082" xr:uid="{00000000-0005-0000-0000-0000DFDA0000}"/>
    <cellStyle name="Note 6 4 2 5" xfId="56083" xr:uid="{00000000-0005-0000-0000-0000E0DA0000}"/>
    <cellStyle name="Note 6 4 2 5 2" xfId="56084" xr:uid="{00000000-0005-0000-0000-0000E1DA0000}"/>
    <cellStyle name="Note 6 4 2 6" xfId="56085" xr:uid="{00000000-0005-0000-0000-0000E2DA0000}"/>
    <cellStyle name="Note 6 4 2 7" xfId="56062" xr:uid="{00000000-0005-0000-0000-0000E3DA0000}"/>
    <cellStyle name="Note 6 4 3" xfId="56086" xr:uid="{00000000-0005-0000-0000-0000E4DA0000}"/>
    <cellStyle name="Note 6 4 3 2" xfId="56087" xr:uid="{00000000-0005-0000-0000-0000E5DA0000}"/>
    <cellStyle name="Note 6 4 3 2 2" xfId="56088" xr:uid="{00000000-0005-0000-0000-0000E6DA0000}"/>
    <cellStyle name="Note 6 4 3 2 2 2" xfId="56089" xr:uid="{00000000-0005-0000-0000-0000E7DA0000}"/>
    <cellStyle name="Note 6 4 3 2 2 2 2" xfId="56090" xr:uid="{00000000-0005-0000-0000-0000E8DA0000}"/>
    <cellStyle name="Note 6 4 3 2 2 3" xfId="56091" xr:uid="{00000000-0005-0000-0000-0000E9DA0000}"/>
    <cellStyle name="Note 6 4 3 2 3" xfId="56092" xr:uid="{00000000-0005-0000-0000-0000EADA0000}"/>
    <cellStyle name="Note 6 4 3 2 3 2" xfId="56093" xr:uid="{00000000-0005-0000-0000-0000EBDA0000}"/>
    <cellStyle name="Note 6 4 3 2 4" xfId="56094" xr:uid="{00000000-0005-0000-0000-0000ECDA0000}"/>
    <cellStyle name="Note 6 4 3 3" xfId="56095" xr:uid="{00000000-0005-0000-0000-0000EDDA0000}"/>
    <cellStyle name="Note 6 4 3 3 2" xfId="56096" xr:uid="{00000000-0005-0000-0000-0000EEDA0000}"/>
    <cellStyle name="Note 6 4 3 3 2 2" xfId="56097" xr:uid="{00000000-0005-0000-0000-0000EFDA0000}"/>
    <cellStyle name="Note 6 4 3 3 3" xfId="56098" xr:uid="{00000000-0005-0000-0000-0000F0DA0000}"/>
    <cellStyle name="Note 6 4 3 4" xfId="56099" xr:uid="{00000000-0005-0000-0000-0000F1DA0000}"/>
    <cellStyle name="Note 6 4 3 4 2" xfId="56100" xr:uid="{00000000-0005-0000-0000-0000F2DA0000}"/>
    <cellStyle name="Note 6 4 3 5" xfId="56101" xr:uid="{00000000-0005-0000-0000-0000F3DA0000}"/>
    <cellStyle name="Note 6 4 4" xfId="56102" xr:uid="{00000000-0005-0000-0000-0000F4DA0000}"/>
    <cellStyle name="Note 6 4 4 2" xfId="56103" xr:uid="{00000000-0005-0000-0000-0000F5DA0000}"/>
    <cellStyle name="Note 6 4 4 2 2" xfId="56104" xr:uid="{00000000-0005-0000-0000-0000F6DA0000}"/>
    <cellStyle name="Note 6 4 4 2 2 2" xfId="56105" xr:uid="{00000000-0005-0000-0000-0000F7DA0000}"/>
    <cellStyle name="Note 6 4 4 2 2 2 2" xfId="56106" xr:uid="{00000000-0005-0000-0000-0000F8DA0000}"/>
    <cellStyle name="Note 6 4 4 2 2 3" xfId="56107" xr:uid="{00000000-0005-0000-0000-0000F9DA0000}"/>
    <cellStyle name="Note 6 4 4 2 3" xfId="56108" xr:uid="{00000000-0005-0000-0000-0000FADA0000}"/>
    <cellStyle name="Note 6 4 4 2 3 2" xfId="56109" xr:uid="{00000000-0005-0000-0000-0000FBDA0000}"/>
    <cellStyle name="Note 6 4 4 2 4" xfId="56110" xr:uid="{00000000-0005-0000-0000-0000FCDA0000}"/>
    <cellStyle name="Note 6 4 4 3" xfId="56111" xr:uid="{00000000-0005-0000-0000-0000FDDA0000}"/>
    <cellStyle name="Note 6 4 4 3 2" xfId="56112" xr:uid="{00000000-0005-0000-0000-0000FEDA0000}"/>
    <cellStyle name="Note 6 4 4 3 2 2" xfId="56113" xr:uid="{00000000-0005-0000-0000-0000FFDA0000}"/>
    <cellStyle name="Note 6 4 4 3 3" xfId="56114" xr:uid="{00000000-0005-0000-0000-000000DB0000}"/>
    <cellStyle name="Note 6 4 4 4" xfId="56115" xr:uid="{00000000-0005-0000-0000-000001DB0000}"/>
    <cellStyle name="Note 6 4 4 4 2" xfId="56116" xr:uid="{00000000-0005-0000-0000-000002DB0000}"/>
    <cellStyle name="Note 6 4 4 5" xfId="56117" xr:uid="{00000000-0005-0000-0000-000003DB0000}"/>
    <cellStyle name="Note 6 4 5" xfId="56118" xr:uid="{00000000-0005-0000-0000-000004DB0000}"/>
    <cellStyle name="Note 6 4 5 2" xfId="56119" xr:uid="{00000000-0005-0000-0000-000005DB0000}"/>
    <cellStyle name="Note 6 4 5 2 2" xfId="56120" xr:uid="{00000000-0005-0000-0000-000006DB0000}"/>
    <cellStyle name="Note 6 4 5 2 2 2" xfId="56121" xr:uid="{00000000-0005-0000-0000-000007DB0000}"/>
    <cellStyle name="Note 6 4 5 2 3" xfId="56122" xr:uid="{00000000-0005-0000-0000-000008DB0000}"/>
    <cellStyle name="Note 6 4 5 3" xfId="56123" xr:uid="{00000000-0005-0000-0000-000009DB0000}"/>
    <cellStyle name="Note 6 4 5 3 2" xfId="56124" xr:uid="{00000000-0005-0000-0000-00000ADB0000}"/>
    <cellStyle name="Note 6 4 5 4" xfId="56125" xr:uid="{00000000-0005-0000-0000-00000BDB0000}"/>
    <cellStyle name="Note 6 4 6" xfId="56126" xr:uid="{00000000-0005-0000-0000-00000CDB0000}"/>
    <cellStyle name="Note 6 4 6 2" xfId="56127" xr:uid="{00000000-0005-0000-0000-00000DDB0000}"/>
    <cellStyle name="Note 6 4 6 2 2" xfId="56128" xr:uid="{00000000-0005-0000-0000-00000EDB0000}"/>
    <cellStyle name="Note 6 4 6 2 2 2" xfId="56129" xr:uid="{00000000-0005-0000-0000-00000FDB0000}"/>
    <cellStyle name="Note 6 4 6 2 3" xfId="56130" xr:uid="{00000000-0005-0000-0000-000010DB0000}"/>
    <cellStyle name="Note 6 4 6 3" xfId="56131" xr:uid="{00000000-0005-0000-0000-000011DB0000}"/>
    <cellStyle name="Note 6 4 6 3 2" xfId="56132" xr:uid="{00000000-0005-0000-0000-000012DB0000}"/>
    <cellStyle name="Note 6 4 6 4" xfId="56133" xr:uid="{00000000-0005-0000-0000-000013DB0000}"/>
    <cellStyle name="Note 6 4 7" xfId="56134" xr:uid="{00000000-0005-0000-0000-000014DB0000}"/>
    <cellStyle name="Note 6 4 7 2" xfId="56135" xr:uid="{00000000-0005-0000-0000-000015DB0000}"/>
    <cellStyle name="Note 6 4 7 2 2" xfId="56136" xr:uid="{00000000-0005-0000-0000-000016DB0000}"/>
    <cellStyle name="Note 6 4 7 2 2 2" xfId="56137" xr:uid="{00000000-0005-0000-0000-000017DB0000}"/>
    <cellStyle name="Note 6 4 7 2 3" xfId="56138" xr:uid="{00000000-0005-0000-0000-000018DB0000}"/>
    <cellStyle name="Note 6 4 7 3" xfId="56139" xr:uid="{00000000-0005-0000-0000-000019DB0000}"/>
    <cellStyle name="Note 6 4 7 3 2" xfId="56140" xr:uid="{00000000-0005-0000-0000-00001ADB0000}"/>
    <cellStyle name="Note 6 4 7 4" xfId="56141" xr:uid="{00000000-0005-0000-0000-00001BDB0000}"/>
    <cellStyle name="Note 6 4 8" xfId="56142" xr:uid="{00000000-0005-0000-0000-00001CDB0000}"/>
    <cellStyle name="Note 6 4 8 2" xfId="56143" xr:uid="{00000000-0005-0000-0000-00001DDB0000}"/>
    <cellStyle name="Note 6 4 8 2 2" xfId="56144" xr:uid="{00000000-0005-0000-0000-00001EDB0000}"/>
    <cellStyle name="Note 6 4 8 3" xfId="56145" xr:uid="{00000000-0005-0000-0000-00001FDB0000}"/>
    <cellStyle name="Note 6 4 9" xfId="56146" xr:uid="{00000000-0005-0000-0000-000020DB0000}"/>
    <cellStyle name="Note 6 4 9 2" xfId="56147" xr:uid="{00000000-0005-0000-0000-000021DB0000}"/>
    <cellStyle name="Note 6 5" xfId="1532" xr:uid="{00000000-0005-0000-0000-000022DB0000}"/>
    <cellStyle name="Note 6 5 2" xfId="56149" xr:uid="{00000000-0005-0000-0000-000023DB0000}"/>
    <cellStyle name="Note 6 5 2 2" xfId="56150" xr:uid="{00000000-0005-0000-0000-000024DB0000}"/>
    <cellStyle name="Note 6 5 2 2 2" xfId="56151" xr:uid="{00000000-0005-0000-0000-000025DB0000}"/>
    <cellStyle name="Note 6 5 2 2 2 2" xfId="56152" xr:uid="{00000000-0005-0000-0000-000026DB0000}"/>
    <cellStyle name="Note 6 5 2 2 3" xfId="56153" xr:uid="{00000000-0005-0000-0000-000027DB0000}"/>
    <cellStyle name="Note 6 5 2 3" xfId="56154" xr:uid="{00000000-0005-0000-0000-000028DB0000}"/>
    <cellStyle name="Note 6 5 2 3 2" xfId="56155" xr:uid="{00000000-0005-0000-0000-000029DB0000}"/>
    <cellStyle name="Note 6 5 2 4" xfId="56156" xr:uid="{00000000-0005-0000-0000-00002ADB0000}"/>
    <cellStyle name="Note 6 5 3" xfId="56157" xr:uid="{00000000-0005-0000-0000-00002BDB0000}"/>
    <cellStyle name="Note 6 5 3 2" xfId="56158" xr:uid="{00000000-0005-0000-0000-00002CDB0000}"/>
    <cellStyle name="Note 6 5 3 2 2" xfId="56159" xr:uid="{00000000-0005-0000-0000-00002DDB0000}"/>
    <cellStyle name="Note 6 5 3 2 2 2" xfId="56160" xr:uid="{00000000-0005-0000-0000-00002EDB0000}"/>
    <cellStyle name="Note 6 5 3 2 3" xfId="56161" xr:uid="{00000000-0005-0000-0000-00002FDB0000}"/>
    <cellStyle name="Note 6 5 3 3" xfId="56162" xr:uid="{00000000-0005-0000-0000-000030DB0000}"/>
    <cellStyle name="Note 6 5 3 3 2" xfId="56163" xr:uid="{00000000-0005-0000-0000-000031DB0000}"/>
    <cellStyle name="Note 6 5 3 4" xfId="56164" xr:uid="{00000000-0005-0000-0000-000032DB0000}"/>
    <cellStyle name="Note 6 5 4" xfId="56165" xr:uid="{00000000-0005-0000-0000-000033DB0000}"/>
    <cellStyle name="Note 6 5 4 2" xfId="56166" xr:uid="{00000000-0005-0000-0000-000034DB0000}"/>
    <cellStyle name="Note 6 5 4 2 2" xfId="56167" xr:uid="{00000000-0005-0000-0000-000035DB0000}"/>
    <cellStyle name="Note 6 5 4 3" xfId="56168" xr:uid="{00000000-0005-0000-0000-000036DB0000}"/>
    <cellStyle name="Note 6 5 5" xfId="56169" xr:uid="{00000000-0005-0000-0000-000037DB0000}"/>
    <cellStyle name="Note 6 5 5 2" xfId="56170" xr:uid="{00000000-0005-0000-0000-000038DB0000}"/>
    <cellStyle name="Note 6 5 6" xfId="56171" xr:uid="{00000000-0005-0000-0000-000039DB0000}"/>
    <cellStyle name="Note 6 5 7" xfId="56148" xr:uid="{00000000-0005-0000-0000-00003ADB0000}"/>
    <cellStyle name="Note 6 6" xfId="56172" xr:uid="{00000000-0005-0000-0000-00003BDB0000}"/>
    <cellStyle name="Note 6 6 2" xfId="56173" xr:uid="{00000000-0005-0000-0000-00003CDB0000}"/>
    <cellStyle name="Note 6 6 2 2" xfId="56174" xr:uid="{00000000-0005-0000-0000-00003DDB0000}"/>
    <cellStyle name="Note 6 6 2 2 2" xfId="56175" xr:uid="{00000000-0005-0000-0000-00003EDB0000}"/>
    <cellStyle name="Note 6 6 2 2 2 2" xfId="56176" xr:uid="{00000000-0005-0000-0000-00003FDB0000}"/>
    <cellStyle name="Note 6 6 2 2 3" xfId="56177" xr:uid="{00000000-0005-0000-0000-000040DB0000}"/>
    <cellStyle name="Note 6 6 2 3" xfId="56178" xr:uid="{00000000-0005-0000-0000-000041DB0000}"/>
    <cellStyle name="Note 6 6 2 3 2" xfId="56179" xr:uid="{00000000-0005-0000-0000-000042DB0000}"/>
    <cellStyle name="Note 6 6 2 4" xfId="56180" xr:uid="{00000000-0005-0000-0000-000043DB0000}"/>
    <cellStyle name="Note 6 6 3" xfId="56181" xr:uid="{00000000-0005-0000-0000-000044DB0000}"/>
    <cellStyle name="Note 6 6 3 2" xfId="56182" xr:uid="{00000000-0005-0000-0000-000045DB0000}"/>
    <cellStyle name="Note 6 6 3 2 2" xfId="56183" xr:uid="{00000000-0005-0000-0000-000046DB0000}"/>
    <cellStyle name="Note 6 6 3 3" xfId="56184" xr:uid="{00000000-0005-0000-0000-000047DB0000}"/>
    <cellStyle name="Note 6 6 4" xfId="56185" xr:uid="{00000000-0005-0000-0000-000048DB0000}"/>
    <cellStyle name="Note 6 6 4 2" xfId="56186" xr:uid="{00000000-0005-0000-0000-000049DB0000}"/>
    <cellStyle name="Note 6 6 5" xfId="56187" xr:uid="{00000000-0005-0000-0000-00004ADB0000}"/>
    <cellStyle name="Note 6 7" xfId="56188" xr:uid="{00000000-0005-0000-0000-00004BDB0000}"/>
    <cellStyle name="Note 6 7 2" xfId="56189" xr:uid="{00000000-0005-0000-0000-00004CDB0000}"/>
    <cellStyle name="Note 6 7 2 2" xfId="56190" xr:uid="{00000000-0005-0000-0000-00004DDB0000}"/>
    <cellStyle name="Note 6 7 2 2 2" xfId="56191" xr:uid="{00000000-0005-0000-0000-00004EDB0000}"/>
    <cellStyle name="Note 6 7 2 2 2 2" xfId="56192" xr:uid="{00000000-0005-0000-0000-00004FDB0000}"/>
    <cellStyle name="Note 6 7 2 2 3" xfId="56193" xr:uid="{00000000-0005-0000-0000-000050DB0000}"/>
    <cellStyle name="Note 6 7 2 3" xfId="56194" xr:uid="{00000000-0005-0000-0000-000051DB0000}"/>
    <cellStyle name="Note 6 7 2 3 2" xfId="56195" xr:uid="{00000000-0005-0000-0000-000052DB0000}"/>
    <cellStyle name="Note 6 7 2 4" xfId="56196" xr:uid="{00000000-0005-0000-0000-000053DB0000}"/>
    <cellStyle name="Note 6 7 3" xfId="56197" xr:uid="{00000000-0005-0000-0000-000054DB0000}"/>
    <cellStyle name="Note 6 7 3 2" xfId="56198" xr:uid="{00000000-0005-0000-0000-000055DB0000}"/>
    <cellStyle name="Note 6 7 3 2 2" xfId="56199" xr:uid="{00000000-0005-0000-0000-000056DB0000}"/>
    <cellStyle name="Note 6 7 3 3" xfId="56200" xr:uid="{00000000-0005-0000-0000-000057DB0000}"/>
    <cellStyle name="Note 6 7 4" xfId="56201" xr:uid="{00000000-0005-0000-0000-000058DB0000}"/>
    <cellStyle name="Note 6 7 4 2" xfId="56202" xr:uid="{00000000-0005-0000-0000-000059DB0000}"/>
    <cellStyle name="Note 6 7 5" xfId="56203" xr:uid="{00000000-0005-0000-0000-00005ADB0000}"/>
    <cellStyle name="Note 6 8" xfId="56204" xr:uid="{00000000-0005-0000-0000-00005BDB0000}"/>
    <cellStyle name="Note 6 8 2" xfId="56205" xr:uid="{00000000-0005-0000-0000-00005CDB0000}"/>
    <cellStyle name="Note 6 8 2 2" xfId="56206" xr:uid="{00000000-0005-0000-0000-00005DDB0000}"/>
    <cellStyle name="Note 6 8 2 2 2" xfId="56207" xr:uid="{00000000-0005-0000-0000-00005EDB0000}"/>
    <cellStyle name="Note 6 8 2 3" xfId="56208" xr:uid="{00000000-0005-0000-0000-00005FDB0000}"/>
    <cellStyle name="Note 6 8 3" xfId="56209" xr:uid="{00000000-0005-0000-0000-000060DB0000}"/>
    <cellStyle name="Note 6 8 3 2" xfId="56210" xr:uid="{00000000-0005-0000-0000-000061DB0000}"/>
    <cellStyle name="Note 6 8 4" xfId="56211" xr:uid="{00000000-0005-0000-0000-000062DB0000}"/>
    <cellStyle name="Note 6 9" xfId="56212" xr:uid="{00000000-0005-0000-0000-000063DB0000}"/>
    <cellStyle name="Note 6 9 2" xfId="56213" xr:uid="{00000000-0005-0000-0000-000064DB0000}"/>
    <cellStyle name="Note 6 9 2 2" xfId="56214" xr:uid="{00000000-0005-0000-0000-000065DB0000}"/>
    <cellStyle name="Note 6 9 2 2 2" xfId="56215" xr:uid="{00000000-0005-0000-0000-000066DB0000}"/>
    <cellStyle name="Note 6 9 2 3" xfId="56216" xr:uid="{00000000-0005-0000-0000-000067DB0000}"/>
    <cellStyle name="Note 6 9 3" xfId="56217" xr:uid="{00000000-0005-0000-0000-000068DB0000}"/>
    <cellStyle name="Note 6 9 3 2" xfId="56218" xr:uid="{00000000-0005-0000-0000-000069DB0000}"/>
    <cellStyle name="Note 6 9 4" xfId="56219" xr:uid="{00000000-0005-0000-0000-00006ADB0000}"/>
    <cellStyle name="Note 7" xfId="720" xr:uid="{00000000-0005-0000-0000-00006BDB0000}"/>
    <cellStyle name="Note 7 2" xfId="56220" xr:uid="{00000000-0005-0000-0000-00006CDB0000}"/>
    <cellStyle name="Note 8" xfId="721" xr:uid="{00000000-0005-0000-0000-00006DDB0000}"/>
    <cellStyle name="Note 8 2" xfId="56221" xr:uid="{00000000-0005-0000-0000-00006EDB0000}"/>
    <cellStyle name="Note 8 2 2" xfId="56222" xr:uid="{00000000-0005-0000-0000-00006FDB0000}"/>
    <cellStyle name="Note 8 3" xfId="56223" xr:uid="{00000000-0005-0000-0000-000070DB0000}"/>
    <cellStyle name="Note 9" xfId="56224" xr:uid="{00000000-0005-0000-0000-000071DB0000}"/>
    <cellStyle name="Note 9 2" xfId="56225" xr:uid="{00000000-0005-0000-0000-000072DB0000}"/>
    <cellStyle name="Note 9 2 2" xfId="56226" xr:uid="{00000000-0005-0000-0000-000073DB0000}"/>
    <cellStyle name="Note 9 3" xfId="56227" xr:uid="{00000000-0005-0000-0000-000074DB0000}"/>
    <cellStyle name="Output 2" xfId="722" xr:uid="{00000000-0005-0000-0000-000075DB0000}"/>
    <cellStyle name="Output 2 2" xfId="723" xr:uid="{00000000-0005-0000-0000-000076DB0000}"/>
    <cellStyle name="Output 3" xfId="724" xr:uid="{00000000-0005-0000-0000-000077DB0000}"/>
    <cellStyle name="Output 4" xfId="725" xr:uid="{00000000-0005-0000-0000-000078DB0000}"/>
    <cellStyle name="Output 5" xfId="726" xr:uid="{00000000-0005-0000-0000-000079DB0000}"/>
    <cellStyle name="Output 6" xfId="727" xr:uid="{00000000-0005-0000-0000-00007ADB0000}"/>
    <cellStyle name="Output 6 2" xfId="1206" xr:uid="{00000000-0005-0000-0000-00007BDB0000}"/>
    <cellStyle name="Output 6 3" xfId="56228" xr:uid="{00000000-0005-0000-0000-00007CDB0000}"/>
    <cellStyle name="Output 7" xfId="728" xr:uid="{00000000-0005-0000-0000-00007DDB0000}"/>
    <cellStyle name="Output 8" xfId="729" xr:uid="{00000000-0005-0000-0000-00007EDB0000}"/>
    <cellStyle name="Percent 11" xfId="56253" xr:uid="{00000000-0005-0000-0000-00007FDB0000}"/>
    <cellStyle name="Percent 11 2" xfId="56258" xr:uid="{00000000-0005-0000-0000-000080DB0000}"/>
    <cellStyle name="Percent 2" xfId="730" xr:uid="{00000000-0005-0000-0000-000081DB0000}"/>
    <cellStyle name="Percent 2 2" xfId="731" xr:uid="{00000000-0005-0000-0000-000082DB0000}"/>
    <cellStyle name="Percent 2 2 2" xfId="56229" xr:uid="{00000000-0005-0000-0000-000083DB0000}"/>
    <cellStyle name="Percent 2 3" xfId="56230" xr:uid="{00000000-0005-0000-0000-000084DB0000}"/>
    <cellStyle name="Percent 2 5" xfId="56255" xr:uid="{00000000-0005-0000-0000-000085DB0000}"/>
    <cellStyle name="Percent 3" xfId="732" xr:uid="{00000000-0005-0000-0000-000086DB0000}"/>
    <cellStyle name="Percent 3 2" xfId="733" xr:uid="{00000000-0005-0000-0000-000087DB0000}"/>
    <cellStyle name="Percent 3 2 2" xfId="56231" xr:uid="{00000000-0005-0000-0000-000088DB0000}"/>
    <cellStyle name="Percent 3 3" xfId="1207" xr:uid="{00000000-0005-0000-0000-000089DB0000}"/>
    <cellStyle name="Percent 3 3 2" xfId="56232" xr:uid="{00000000-0005-0000-0000-00008ADB0000}"/>
    <cellStyle name="Percent 3 4" xfId="56233" xr:uid="{00000000-0005-0000-0000-00008BDB0000}"/>
    <cellStyle name="Percent 4" xfId="734" xr:uid="{00000000-0005-0000-0000-00008CDB0000}"/>
    <cellStyle name="Percent 4 2" xfId="735" xr:uid="{00000000-0005-0000-0000-00008DDB0000}"/>
    <cellStyle name="Percent 4 2 2" xfId="56234" xr:uid="{00000000-0005-0000-0000-00008EDB0000}"/>
    <cellStyle name="Percent 4 3" xfId="736" xr:uid="{00000000-0005-0000-0000-00008FDB0000}"/>
    <cellStyle name="Percent 4 3 2" xfId="56235" xr:uid="{00000000-0005-0000-0000-000090DB0000}"/>
    <cellStyle name="Percent 4 4" xfId="56236" xr:uid="{00000000-0005-0000-0000-000091DB0000}"/>
    <cellStyle name="Percent 5" xfId="737" xr:uid="{00000000-0005-0000-0000-000092DB0000}"/>
    <cellStyle name="Percent 5 2" xfId="738" xr:uid="{00000000-0005-0000-0000-000093DB0000}"/>
    <cellStyle name="Percent 5 3" xfId="56237" xr:uid="{00000000-0005-0000-0000-000094DB0000}"/>
    <cellStyle name="Percent 5 4" xfId="56238" xr:uid="{00000000-0005-0000-0000-000095DB0000}"/>
    <cellStyle name="Percent 6" xfId="739" xr:uid="{00000000-0005-0000-0000-000096DB0000}"/>
    <cellStyle name="Percent 6 2" xfId="740" xr:uid="{00000000-0005-0000-0000-000097DB0000}"/>
    <cellStyle name="Percent 6 2 2" xfId="56239" xr:uid="{00000000-0005-0000-0000-000098DB0000}"/>
    <cellStyle name="Percent 6 3" xfId="1208" xr:uid="{00000000-0005-0000-0000-000099DB0000}"/>
    <cellStyle name="Percent 6 3 2" xfId="56240" xr:uid="{00000000-0005-0000-0000-00009ADB0000}"/>
    <cellStyle name="Percent 6 4" xfId="56241" xr:uid="{00000000-0005-0000-0000-00009BDB0000}"/>
    <cellStyle name="Percent 7" xfId="741" xr:uid="{00000000-0005-0000-0000-00009CDB0000}"/>
    <cellStyle name="Percent 7 2" xfId="56242" xr:uid="{00000000-0005-0000-0000-00009DDB0000}"/>
    <cellStyle name="Percent 8" xfId="56243" xr:uid="{00000000-0005-0000-0000-00009EDB0000}"/>
    <cellStyle name="Percent 8 2" xfId="56244" xr:uid="{00000000-0005-0000-0000-00009FDB0000}"/>
    <cellStyle name="Percent 9" xfId="56245" xr:uid="{00000000-0005-0000-0000-0000A0DB0000}"/>
    <cellStyle name="Percent 9 2" xfId="56246" xr:uid="{00000000-0005-0000-0000-0000A1DB0000}"/>
    <cellStyle name="pic" xfId="742" xr:uid="{00000000-0005-0000-0000-0000A2DB0000}"/>
    <cellStyle name="pic 2" xfId="743" xr:uid="{00000000-0005-0000-0000-0000A3DB0000}"/>
    <cellStyle name="pic 2 2" xfId="744" xr:uid="{00000000-0005-0000-0000-0000A4DB0000}"/>
    <cellStyle name="pic 2_Project_Profile_DB" xfId="745" xr:uid="{00000000-0005-0000-0000-0000A5DB0000}"/>
    <cellStyle name="pic 3" xfId="746" xr:uid="{00000000-0005-0000-0000-0000A6DB0000}"/>
    <cellStyle name="pic 3 2" xfId="747" xr:uid="{00000000-0005-0000-0000-0000A7DB0000}"/>
    <cellStyle name="pic_Project_Profile_DB" xfId="748" xr:uid="{00000000-0005-0000-0000-0000A8DB0000}"/>
    <cellStyle name="Tip" xfId="56247" xr:uid="{00000000-0005-0000-0000-0000A9DB0000}"/>
    <cellStyle name="Title 2" xfId="749" xr:uid="{00000000-0005-0000-0000-0000AADB0000}"/>
    <cellStyle name="Title 2 2" xfId="750" xr:uid="{00000000-0005-0000-0000-0000ABDB0000}"/>
    <cellStyle name="Title 3" xfId="751" xr:uid="{00000000-0005-0000-0000-0000ACDB0000}"/>
    <cellStyle name="Title 4" xfId="752" xr:uid="{00000000-0005-0000-0000-0000ADDB0000}"/>
    <cellStyle name="Title 5" xfId="753" xr:uid="{00000000-0005-0000-0000-0000AEDB0000}"/>
    <cellStyle name="Title 6" xfId="754" xr:uid="{00000000-0005-0000-0000-0000AFDB0000}"/>
    <cellStyle name="Title 6 2" xfId="1209" xr:uid="{00000000-0005-0000-0000-0000B0DB0000}"/>
    <cellStyle name="Title 6 3" xfId="56248" xr:uid="{00000000-0005-0000-0000-0000B1DB0000}"/>
    <cellStyle name="Title 7" xfId="755" xr:uid="{00000000-0005-0000-0000-0000B2DB0000}"/>
    <cellStyle name="Title 8" xfId="756" xr:uid="{00000000-0005-0000-0000-0000B3DB0000}"/>
    <cellStyle name="Total 2" xfId="757" xr:uid="{00000000-0005-0000-0000-0000B4DB0000}"/>
    <cellStyle name="Total 2 2" xfId="758" xr:uid="{00000000-0005-0000-0000-0000B5DB0000}"/>
    <cellStyle name="Total 3" xfId="759" xr:uid="{00000000-0005-0000-0000-0000B6DB0000}"/>
    <cellStyle name="Total 4" xfId="760" xr:uid="{00000000-0005-0000-0000-0000B7DB0000}"/>
    <cellStyle name="Total 5" xfId="761" xr:uid="{00000000-0005-0000-0000-0000B8DB0000}"/>
    <cellStyle name="Total 6" xfId="762" xr:uid="{00000000-0005-0000-0000-0000B9DB0000}"/>
    <cellStyle name="Total 6 2" xfId="1210" xr:uid="{00000000-0005-0000-0000-0000BADB0000}"/>
    <cellStyle name="Total 6 3" xfId="56249" xr:uid="{00000000-0005-0000-0000-0000BBDB0000}"/>
    <cellStyle name="Total 7" xfId="763" xr:uid="{00000000-0005-0000-0000-0000BCDB0000}"/>
    <cellStyle name="Total 8" xfId="764" xr:uid="{00000000-0005-0000-0000-0000BDDB0000}"/>
    <cellStyle name="Warning Text 2" xfId="765" xr:uid="{00000000-0005-0000-0000-0000BEDB0000}"/>
    <cellStyle name="Warning Text 2 2" xfId="766" xr:uid="{00000000-0005-0000-0000-0000BFDB0000}"/>
    <cellStyle name="Warning Text 3" xfId="767" xr:uid="{00000000-0005-0000-0000-0000C0DB0000}"/>
    <cellStyle name="Warning Text 4" xfId="768" xr:uid="{00000000-0005-0000-0000-0000C1DB0000}"/>
    <cellStyle name="Warning Text 5" xfId="769" xr:uid="{00000000-0005-0000-0000-0000C2DB0000}"/>
    <cellStyle name="Warning Text 6" xfId="770" xr:uid="{00000000-0005-0000-0000-0000C3DB0000}"/>
    <cellStyle name="Warning Text 6 2" xfId="1211" xr:uid="{00000000-0005-0000-0000-0000C4DB0000}"/>
    <cellStyle name="Warning Text 6 3" xfId="56250" xr:uid="{00000000-0005-0000-0000-0000C5DB0000}"/>
    <cellStyle name="Warning Text 7" xfId="771" xr:uid="{00000000-0005-0000-0000-0000C6DB0000}"/>
    <cellStyle name="Warning Text 8" xfId="772" xr:uid="{00000000-0005-0000-0000-0000C7DB0000}"/>
  </cellStyles>
  <dxfs count="6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theme="0"/>
      </font>
      <fill>
        <patternFill>
          <bgColor rgb="FFFF0000"/>
        </patternFill>
      </fill>
      <border>
        <vertical/>
        <horizontal/>
      </border>
    </dxf>
    <dxf>
      <font>
        <b/>
        <i val="0"/>
        <color theme="0"/>
      </font>
      <fill>
        <patternFill>
          <bgColor rgb="FFFF0000"/>
        </patternFill>
      </fill>
      <border>
        <vertical/>
        <horizontal/>
      </border>
    </dxf>
  </dxfs>
  <tableStyles count="0" defaultTableStyle="TableStyleMedium2" defaultPivotStyle="PivotStyleLight16"/>
  <colors>
    <mruColors>
      <color rgb="FFFFFF66"/>
      <color rgb="FFFF5050"/>
      <color rgb="FFFF9900"/>
      <color rgb="FFE6B8B7"/>
      <color rgb="FFFFFF99"/>
      <color rgb="FFFFEB9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xdr:twoCellAnchor editAs="oneCell">
    <xdr:from>
      <xdr:col>56</xdr:col>
      <xdr:colOff>19050</xdr:colOff>
      <xdr:row>0</xdr:row>
      <xdr:rowOff>38100</xdr:rowOff>
    </xdr:from>
    <xdr:to>
      <xdr:col>56</xdr:col>
      <xdr:colOff>251571</xdr:colOff>
      <xdr:row>2</xdr:row>
      <xdr:rowOff>31750</xdr:rowOff>
    </xdr:to>
    <xdr:pic macro="[0]!GraphicsOverview">
      <xdr:nvPicPr>
        <xdr:cNvPr id="1025" name="Picture 2">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344775" y="38100"/>
          <a:ext cx="238125" cy="247650"/>
        </a:xfrm>
        <a:prstGeom prst="rect">
          <a:avLst/>
        </a:prstGeom>
        <a:solidFill>
          <a:srgbClr val="FFFFFF"/>
        </a:solidFill>
        <a:ln w="9525">
          <a:solidFill>
            <a:srgbClr val="000000"/>
          </a:solidFill>
          <a:miter lim="800000"/>
          <a:headEnd/>
          <a:tailEnd/>
        </a:ln>
      </xdr:spPr>
    </xdr:pic>
    <xdr:clientData/>
  </xdr:twoCellAnchor>
  <xdr:twoCellAnchor editAs="oneCell">
    <xdr:from>
      <xdr:col>54</xdr:col>
      <xdr:colOff>9525</xdr:colOff>
      <xdr:row>0</xdr:row>
      <xdr:rowOff>28575</xdr:rowOff>
    </xdr:from>
    <xdr:to>
      <xdr:col>54</xdr:col>
      <xdr:colOff>228600</xdr:colOff>
      <xdr:row>1</xdr:row>
      <xdr:rowOff>0</xdr:rowOff>
    </xdr:to>
    <xdr:pic macro="[0]!ClearColors">
      <xdr:nvPicPr>
        <xdr:cNvPr id="1026" name="Picture 3">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cstate="print">
          <a:grayscl/>
          <a:biLevel thresh="50000"/>
        </a:blip>
        <a:srcRect/>
        <a:stretch>
          <a:fillRect/>
        </a:stretch>
      </xdr:blipFill>
      <xdr:spPr bwMode="auto">
        <a:xfrm>
          <a:off x="14839950" y="28575"/>
          <a:ext cx="219075" cy="228600"/>
        </a:xfrm>
        <a:prstGeom prst="rect">
          <a:avLst/>
        </a:prstGeom>
        <a:solidFill>
          <a:srgbClr val="FFFFFF"/>
        </a:solidFill>
        <a:ln w="9525">
          <a:solidFill>
            <a:srgbClr val="000000"/>
          </a:solidFill>
          <a:miter lim="800000"/>
          <a:headEnd/>
          <a:tailEnd/>
        </a:ln>
      </xdr:spPr>
    </xdr:pic>
    <xdr:clientData/>
  </xdr:twoCellAnchor>
  <xdr:twoCellAnchor editAs="oneCell">
    <xdr:from>
      <xdr:col>74</xdr:col>
      <xdr:colOff>144463</xdr:colOff>
      <xdr:row>0</xdr:row>
      <xdr:rowOff>95250</xdr:rowOff>
    </xdr:from>
    <xdr:to>
      <xdr:col>77</xdr:col>
      <xdr:colOff>20224</xdr:colOff>
      <xdr:row>3</xdr:row>
      <xdr:rowOff>33007</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1521063" y="95250"/>
          <a:ext cx="1307124" cy="369557"/>
        </a:xfrm>
        <a:prstGeom prst="rect">
          <a:avLst/>
        </a:prstGeom>
      </xdr:spPr>
    </xdr:pic>
    <xdr:clientData/>
  </xdr:twoCellAnchor>
  <xdr:twoCellAnchor editAs="oneCell">
    <xdr:from>
      <xdr:col>57</xdr:col>
      <xdr:colOff>51852</xdr:colOff>
      <xdr:row>64</xdr:row>
      <xdr:rowOff>120143</xdr:rowOff>
    </xdr:from>
    <xdr:to>
      <xdr:col>71</xdr:col>
      <xdr:colOff>123132</xdr:colOff>
      <xdr:row>81</xdr:row>
      <xdr:rowOff>438834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16248087" y="14657908"/>
          <a:ext cx="6442198" cy="4330896"/>
        </a:xfrm>
        <a:prstGeom prst="rect">
          <a:avLst/>
        </a:prstGeom>
      </xdr:spPr>
    </xdr:pic>
    <xdr:clientData/>
  </xdr:twoCellAnchor>
  <xdr:twoCellAnchor editAs="oneCell">
    <xdr:from>
      <xdr:col>57</xdr:col>
      <xdr:colOff>96112</xdr:colOff>
      <xdr:row>65</xdr:row>
      <xdr:rowOff>30480</xdr:rowOff>
    </xdr:from>
    <xdr:to>
      <xdr:col>70</xdr:col>
      <xdr:colOff>392400</xdr:colOff>
      <xdr:row>81</xdr:row>
      <xdr:rowOff>401088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stretch>
          <a:fillRect/>
        </a:stretch>
      </xdr:blipFill>
      <xdr:spPr>
        <a:xfrm>
          <a:off x="16357192" y="15224760"/>
          <a:ext cx="6334914" cy="4242465"/>
        </a:xfrm>
        <a:prstGeom prst="rect">
          <a:avLst/>
        </a:prstGeom>
      </xdr:spPr>
    </xdr:pic>
    <xdr:clientData/>
  </xdr:twoCellAnchor>
  <xdr:twoCellAnchor editAs="oneCell">
    <xdr:from>
      <xdr:col>0</xdr:col>
      <xdr:colOff>0</xdr:colOff>
      <xdr:row>44</xdr:row>
      <xdr:rowOff>0</xdr:rowOff>
    </xdr:from>
    <xdr:to>
      <xdr:col>6</xdr:col>
      <xdr:colOff>2241</xdr:colOff>
      <xdr:row>71</xdr:row>
      <xdr:rowOff>38099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a:stretch>
          <a:fillRect/>
        </a:stretch>
      </xdr:blipFill>
      <xdr:spPr>
        <a:xfrm>
          <a:off x="0" y="11058525"/>
          <a:ext cx="9915525" cy="5391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1</xdr:row>
      <xdr:rowOff>0</xdr:rowOff>
    </xdr:to>
    <xdr:pic>
      <xdr:nvPicPr>
        <xdr:cNvPr id="4097" name="Picture 3">
          <a:extLst>
            <a:ext uri="{FF2B5EF4-FFF2-40B4-BE49-F238E27FC236}">
              <a16:creationId xmlns:a16="http://schemas.microsoft.com/office/drawing/2014/main" id="{00000000-0008-0000-0400-000001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0" cy="923925"/>
        </a:xfrm>
        <a:prstGeom prst="rect">
          <a:avLst/>
        </a:prstGeom>
        <a:noFill/>
        <a:ln w="9525">
          <a:noFill/>
          <a:miter lim="800000"/>
          <a:headEnd/>
          <a:tailEnd/>
        </a:ln>
      </xdr:spPr>
    </xdr:pic>
    <xdr:clientData/>
  </xdr:twoCellAnchor>
  <xdr:twoCellAnchor>
    <xdr:from>
      <xdr:col>0</xdr:col>
      <xdr:colOff>0</xdr:colOff>
      <xdr:row>1</xdr:row>
      <xdr:rowOff>0</xdr:rowOff>
    </xdr:from>
    <xdr:to>
      <xdr:col>0</xdr:col>
      <xdr:colOff>0</xdr:colOff>
      <xdr:row>1</xdr:row>
      <xdr:rowOff>0</xdr:rowOff>
    </xdr:to>
    <xdr:pic>
      <xdr:nvPicPr>
        <xdr:cNvPr id="4098" name="Picture 4">
          <a:extLst>
            <a:ext uri="{FF2B5EF4-FFF2-40B4-BE49-F238E27FC236}">
              <a16:creationId xmlns:a16="http://schemas.microsoft.com/office/drawing/2014/main" id="{00000000-0008-0000-0400-000002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219200"/>
          <a:ext cx="0" cy="0"/>
        </a:xfrm>
        <a:prstGeom prst="rect">
          <a:avLst/>
        </a:prstGeom>
        <a:noFill/>
        <a:ln w="9525">
          <a:noFill/>
          <a:miter lim="800000"/>
          <a:headEnd/>
          <a:tailEnd/>
        </a:ln>
      </xdr:spPr>
    </xdr:pic>
    <xdr:clientData/>
  </xdr:twoCellAnchor>
  <xdr:twoCellAnchor>
    <xdr:from>
      <xdr:col>0</xdr:col>
      <xdr:colOff>0</xdr:colOff>
      <xdr:row>1</xdr:row>
      <xdr:rowOff>0</xdr:rowOff>
    </xdr:from>
    <xdr:to>
      <xdr:col>0</xdr:col>
      <xdr:colOff>0</xdr:colOff>
      <xdr:row>1</xdr:row>
      <xdr:rowOff>0</xdr:rowOff>
    </xdr:to>
    <xdr:pic>
      <xdr:nvPicPr>
        <xdr:cNvPr id="4099" name="Picture 5">
          <a:extLst>
            <a:ext uri="{FF2B5EF4-FFF2-40B4-BE49-F238E27FC236}">
              <a16:creationId xmlns:a16="http://schemas.microsoft.com/office/drawing/2014/main" id="{00000000-0008-0000-0400-000003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4191000"/>
          <a:ext cx="0" cy="790575"/>
        </a:xfrm>
        <a:prstGeom prst="rect">
          <a:avLst/>
        </a:prstGeom>
        <a:noFill/>
        <a:ln w="9525">
          <a:noFill/>
          <a:miter lim="800000"/>
          <a:headEnd/>
          <a:tailEnd/>
        </a:ln>
      </xdr:spPr>
    </xdr:pic>
    <xdr:clientData/>
  </xdr:twoCellAnchor>
  <xdr:twoCellAnchor>
    <xdr:from>
      <xdr:col>0</xdr:col>
      <xdr:colOff>0</xdr:colOff>
      <xdr:row>1</xdr:row>
      <xdr:rowOff>0</xdr:rowOff>
    </xdr:from>
    <xdr:to>
      <xdr:col>0</xdr:col>
      <xdr:colOff>0</xdr:colOff>
      <xdr:row>1</xdr:row>
      <xdr:rowOff>0</xdr:rowOff>
    </xdr:to>
    <xdr:pic>
      <xdr:nvPicPr>
        <xdr:cNvPr id="4100" name="Picture 6">
          <a:extLst>
            <a:ext uri="{FF2B5EF4-FFF2-40B4-BE49-F238E27FC236}">
              <a16:creationId xmlns:a16="http://schemas.microsoft.com/office/drawing/2014/main" id="{00000000-0008-0000-0400-000004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8591550"/>
          <a:ext cx="0" cy="514350"/>
        </a:xfrm>
        <a:prstGeom prst="rect">
          <a:avLst/>
        </a:prstGeom>
        <a:noFill/>
        <a:ln w="9525">
          <a:noFill/>
          <a:miter lim="800000"/>
          <a:headEnd/>
          <a:tailEnd/>
        </a:ln>
      </xdr:spPr>
    </xdr:pic>
    <xdr:clientData/>
  </xdr:twoCellAnchor>
  <xdr:twoCellAnchor>
    <xdr:from>
      <xdr:col>0</xdr:col>
      <xdr:colOff>0</xdr:colOff>
      <xdr:row>1</xdr:row>
      <xdr:rowOff>161925</xdr:rowOff>
    </xdr:from>
    <xdr:to>
      <xdr:col>0</xdr:col>
      <xdr:colOff>0</xdr:colOff>
      <xdr:row>5</xdr:row>
      <xdr:rowOff>28575</xdr:rowOff>
    </xdr:to>
    <xdr:pic>
      <xdr:nvPicPr>
        <xdr:cNvPr id="4101" name="Picture 7">
          <a:extLst>
            <a:ext uri="{FF2B5EF4-FFF2-40B4-BE49-F238E27FC236}">
              <a16:creationId xmlns:a16="http://schemas.microsoft.com/office/drawing/2014/main" id="{00000000-0008-0000-0400-000005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2487275"/>
          <a:ext cx="0" cy="5143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4" Type="http://schemas.openxmlformats.org/officeDocument/2006/relationships/customProperty" Target="../customProperty5.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9.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CJ100"/>
  <sheetViews>
    <sheetView view="pageBreakPreview" zoomScale="85" zoomScaleNormal="85" zoomScaleSheetLayoutView="85" workbookViewId="0"/>
  </sheetViews>
  <sheetFormatPr defaultRowHeight="13.2" outlineLevelCol="1" x14ac:dyDescent="0.25"/>
  <cols>
    <col min="1" max="1" width="15" style="1" customWidth="1"/>
    <col min="2" max="2" width="22.5546875" style="1" customWidth="1"/>
    <col min="3" max="4" width="14.5546875" style="1" customWidth="1"/>
    <col min="5" max="5" width="26" style="1" customWidth="1"/>
    <col min="6" max="6" width="56" customWidth="1"/>
    <col min="7" max="7" width="11" customWidth="1"/>
    <col min="8" max="17" width="7.5546875" hidden="1" customWidth="1" outlineLevel="1"/>
    <col min="18" max="18" width="14.5546875" customWidth="1" collapsed="1"/>
    <col min="19" max="28" width="7.5546875" hidden="1" customWidth="1" outlineLevel="1"/>
    <col min="29" max="29" width="13.5546875" customWidth="1" collapsed="1"/>
    <col min="30" max="39" width="7.5546875" hidden="1" customWidth="1" outlineLevel="1"/>
    <col min="40" max="40" width="14" customWidth="1" collapsed="1"/>
    <col min="41" max="51" width="7.5546875" hidden="1" customWidth="1" outlineLevel="1"/>
    <col min="52" max="52" width="11" customWidth="1" collapsed="1"/>
    <col min="53" max="53" width="8.5546875" style="1" bestFit="1" customWidth="1"/>
    <col min="54" max="84" width="6.5546875" style="1" customWidth="1"/>
  </cols>
  <sheetData>
    <row r="1" spans="1:88" ht="20.399999999999999" x14ac:dyDescent="0.35">
      <c r="A1" s="5" t="s">
        <v>85</v>
      </c>
    </row>
    <row r="2" spans="1:88" s="9" customFormat="1" ht="12.75" hidden="1" customHeight="1" x14ac:dyDescent="0.25">
      <c r="A2" s="10" t="s">
        <v>13</v>
      </c>
      <c r="B2" s="11">
        <v>42005</v>
      </c>
      <c r="C2" s="11"/>
      <c r="D2" s="11"/>
      <c r="E2" s="11"/>
      <c r="F2" s="7">
        <f ca="1">(DAYS360(B2,B3+7))/7</f>
        <v>236.71428571428572</v>
      </c>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row>
    <row r="3" spans="1:88" ht="13.8" thickBot="1" x14ac:dyDescent="0.3">
      <c r="A3" s="1" t="s">
        <v>4</v>
      </c>
      <c r="B3" s="6">
        <f ca="1">TODAY()</f>
        <v>43678</v>
      </c>
      <c r="C3" s="6"/>
      <c r="D3" s="6"/>
      <c r="E3" s="6"/>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7"/>
      <c r="BB3" s="15"/>
      <c r="BC3" s="16" t="s">
        <v>15</v>
      </c>
      <c r="BE3" s="17" t="s">
        <v>16</v>
      </c>
      <c r="CJ3" s="51"/>
    </row>
    <row r="4" spans="1:88" ht="14.25" customHeight="1" thickBot="1" x14ac:dyDescent="0.3">
      <c r="B4" s="6"/>
      <c r="C4" s="6"/>
      <c r="D4" s="6"/>
      <c r="E4" s="6"/>
      <c r="G4" s="321" t="s">
        <v>109</v>
      </c>
      <c r="H4" s="322"/>
      <c r="I4" s="322"/>
      <c r="J4" s="322"/>
      <c r="K4" s="322"/>
      <c r="L4" s="322"/>
      <c r="M4" s="322"/>
      <c r="N4" s="322"/>
      <c r="O4" s="322"/>
      <c r="P4" s="322"/>
      <c r="Q4" s="323"/>
      <c r="R4" s="321" t="s">
        <v>108</v>
      </c>
      <c r="S4" s="322"/>
      <c r="T4" s="322"/>
      <c r="U4" s="322"/>
      <c r="V4" s="322"/>
      <c r="W4" s="322"/>
      <c r="X4" s="322"/>
      <c r="Y4" s="322"/>
      <c r="Z4" s="322"/>
      <c r="AA4" s="322"/>
      <c r="AB4" s="323"/>
      <c r="AC4" s="324" t="s">
        <v>110</v>
      </c>
      <c r="AD4" s="325"/>
      <c r="AE4" s="325"/>
      <c r="AF4" s="325"/>
      <c r="AG4" s="325"/>
      <c r="AH4" s="325"/>
      <c r="AI4" s="325"/>
      <c r="AJ4" s="325"/>
      <c r="AK4" s="325"/>
      <c r="AL4" s="325"/>
      <c r="AM4" s="326"/>
      <c r="AN4" s="324" t="s">
        <v>111</v>
      </c>
      <c r="AO4" s="325"/>
      <c r="AP4" s="325"/>
      <c r="AQ4" s="325"/>
      <c r="AR4" s="325"/>
      <c r="AS4" s="325"/>
      <c r="AT4" s="325"/>
      <c r="AU4" s="325"/>
      <c r="AV4" s="325"/>
      <c r="AW4" s="325"/>
      <c r="AX4" s="325"/>
      <c r="AY4" s="326"/>
      <c r="BA4" s="7"/>
      <c r="BB4" s="7"/>
      <c r="BC4" s="7"/>
    </row>
    <row r="5" spans="1:88" ht="16.5" hidden="1" customHeight="1" thickBot="1" x14ac:dyDescent="0.3">
      <c r="G5" s="100"/>
      <c r="Q5" s="101"/>
      <c r="R5" s="100"/>
      <c r="AB5" s="101"/>
      <c r="AC5" s="100"/>
      <c r="AM5" s="101"/>
      <c r="AN5" s="100"/>
      <c r="AY5" s="101"/>
      <c r="BA5" s="13">
        <f ca="1">ROUND($F$2,0)</f>
        <v>237</v>
      </c>
      <c r="BB5" s="14">
        <f ca="1">BA5+1</f>
        <v>238</v>
      </c>
      <c r="BC5" s="14">
        <f t="shared" ref="BC5:CF5" ca="1" si="0">BB5+1</f>
        <v>239</v>
      </c>
      <c r="BD5" s="14">
        <f t="shared" ca="1" si="0"/>
        <v>240</v>
      </c>
      <c r="BE5" s="14">
        <f t="shared" ca="1" si="0"/>
        <v>241</v>
      </c>
      <c r="BF5" s="14">
        <f t="shared" ca="1" si="0"/>
        <v>242</v>
      </c>
      <c r="BG5" s="14">
        <f t="shared" ca="1" si="0"/>
        <v>243</v>
      </c>
      <c r="BH5" s="14">
        <f t="shared" ca="1" si="0"/>
        <v>244</v>
      </c>
      <c r="BI5" s="14">
        <f t="shared" ca="1" si="0"/>
        <v>245</v>
      </c>
      <c r="BJ5" s="14">
        <f t="shared" ca="1" si="0"/>
        <v>246</v>
      </c>
      <c r="BK5" s="14">
        <f t="shared" ca="1" si="0"/>
        <v>247</v>
      </c>
      <c r="BL5" s="14">
        <f t="shared" ca="1" si="0"/>
        <v>248</v>
      </c>
      <c r="BM5" s="14">
        <f t="shared" ca="1" si="0"/>
        <v>249</v>
      </c>
      <c r="BN5" s="14">
        <f t="shared" ca="1" si="0"/>
        <v>250</v>
      </c>
      <c r="BO5" s="14">
        <f t="shared" ca="1" si="0"/>
        <v>251</v>
      </c>
      <c r="BP5" s="14">
        <f t="shared" ca="1" si="0"/>
        <v>252</v>
      </c>
      <c r="BQ5" s="14">
        <f t="shared" ca="1" si="0"/>
        <v>253</v>
      </c>
      <c r="BR5" s="14">
        <f t="shared" ca="1" si="0"/>
        <v>254</v>
      </c>
      <c r="BS5" s="14">
        <f t="shared" ca="1" si="0"/>
        <v>255</v>
      </c>
      <c r="BT5" s="14">
        <f t="shared" ca="1" si="0"/>
        <v>256</v>
      </c>
      <c r="BU5" s="14">
        <f t="shared" ca="1" si="0"/>
        <v>257</v>
      </c>
      <c r="BV5" s="14">
        <f t="shared" ca="1" si="0"/>
        <v>258</v>
      </c>
      <c r="BW5" s="14">
        <f t="shared" ca="1" si="0"/>
        <v>259</v>
      </c>
      <c r="BX5" s="14">
        <f t="shared" ca="1" si="0"/>
        <v>260</v>
      </c>
      <c r="BY5" s="14">
        <f t="shared" ca="1" si="0"/>
        <v>261</v>
      </c>
      <c r="BZ5" s="14">
        <f t="shared" ca="1" si="0"/>
        <v>262</v>
      </c>
      <c r="CA5" s="14">
        <f t="shared" ca="1" si="0"/>
        <v>263</v>
      </c>
      <c r="CB5" s="14">
        <f t="shared" ca="1" si="0"/>
        <v>264</v>
      </c>
      <c r="CC5" s="14">
        <f t="shared" ca="1" si="0"/>
        <v>265</v>
      </c>
      <c r="CD5" s="14">
        <f t="shared" ca="1" si="0"/>
        <v>266</v>
      </c>
      <c r="CE5" s="14">
        <f t="shared" ca="1" si="0"/>
        <v>267</v>
      </c>
      <c r="CF5" s="14">
        <f t="shared" ca="1" si="0"/>
        <v>268</v>
      </c>
    </row>
    <row r="6" spans="1:88" ht="27" thickBot="1" x14ac:dyDescent="0.3">
      <c r="A6" s="2" t="s">
        <v>2</v>
      </c>
      <c r="B6" s="2" t="s">
        <v>0</v>
      </c>
      <c r="C6" s="3" t="s">
        <v>18</v>
      </c>
      <c r="D6" s="3" t="s">
        <v>19</v>
      </c>
      <c r="E6" s="3" t="s">
        <v>69</v>
      </c>
      <c r="F6" s="3" t="s">
        <v>3</v>
      </c>
      <c r="G6" s="102" t="s">
        <v>94</v>
      </c>
      <c r="H6" s="92" t="s">
        <v>0</v>
      </c>
      <c r="I6" s="92" t="s">
        <v>18</v>
      </c>
      <c r="J6" s="92" t="s">
        <v>19</v>
      </c>
      <c r="K6" s="92" t="s">
        <v>20</v>
      </c>
      <c r="L6" s="92" t="s">
        <v>21</v>
      </c>
      <c r="M6" s="92" t="s">
        <v>22</v>
      </c>
      <c r="N6" s="92" t="s">
        <v>23</v>
      </c>
      <c r="O6" s="92" t="s">
        <v>24</v>
      </c>
      <c r="P6" s="91" t="s">
        <v>63</v>
      </c>
      <c r="Q6" s="103" t="s">
        <v>17</v>
      </c>
      <c r="R6" s="102" t="s">
        <v>95</v>
      </c>
      <c r="S6" s="92" t="s">
        <v>0</v>
      </c>
      <c r="T6" s="92" t="s">
        <v>18</v>
      </c>
      <c r="U6" s="92" t="s">
        <v>19</v>
      </c>
      <c r="V6" s="92" t="s">
        <v>20</v>
      </c>
      <c r="W6" s="92" t="s">
        <v>21</v>
      </c>
      <c r="X6" s="92" t="s">
        <v>22</v>
      </c>
      <c r="Y6" s="92" t="s">
        <v>23</v>
      </c>
      <c r="Z6" s="92" t="s">
        <v>24</v>
      </c>
      <c r="AA6" s="91" t="s">
        <v>63</v>
      </c>
      <c r="AB6" s="103" t="s">
        <v>17</v>
      </c>
      <c r="AC6" s="102" t="s">
        <v>96</v>
      </c>
      <c r="AD6" s="95" t="s">
        <v>0</v>
      </c>
      <c r="AE6" s="92" t="s">
        <v>18</v>
      </c>
      <c r="AF6" s="92" t="s">
        <v>19</v>
      </c>
      <c r="AG6" s="92" t="s">
        <v>20</v>
      </c>
      <c r="AH6" s="92" t="s">
        <v>21</v>
      </c>
      <c r="AI6" s="92" t="s">
        <v>22</v>
      </c>
      <c r="AJ6" s="92" t="s">
        <v>23</v>
      </c>
      <c r="AK6" s="92" t="s">
        <v>24</v>
      </c>
      <c r="AL6" s="91" t="s">
        <v>63</v>
      </c>
      <c r="AM6" s="103" t="s">
        <v>17</v>
      </c>
      <c r="AN6" s="102" t="s">
        <v>98</v>
      </c>
      <c r="AO6" s="95" t="s">
        <v>0</v>
      </c>
      <c r="AP6" s="92" t="s">
        <v>18</v>
      </c>
      <c r="AQ6" s="92" t="s">
        <v>19</v>
      </c>
      <c r="AR6" s="92" t="s">
        <v>20</v>
      </c>
      <c r="AS6" s="92" t="s">
        <v>21</v>
      </c>
      <c r="AT6" s="92" t="s">
        <v>22</v>
      </c>
      <c r="AU6" s="92" t="s">
        <v>23</v>
      </c>
      <c r="AV6" s="92" t="s">
        <v>24</v>
      </c>
      <c r="AW6" s="91" t="s">
        <v>63</v>
      </c>
      <c r="AX6" s="97" t="s">
        <v>99</v>
      </c>
      <c r="AY6" s="103" t="s">
        <v>100</v>
      </c>
      <c r="AZ6" s="104" t="s">
        <v>101</v>
      </c>
      <c r="BA6" s="52">
        <f ca="1">ROUND($F$2,0)</f>
        <v>237</v>
      </c>
      <c r="BB6" s="52">
        <f ca="1">IF(BA6=52,1,BA6+1)</f>
        <v>238</v>
      </c>
      <c r="BC6" s="52">
        <f t="shared" ref="BC6:CF6" ca="1" si="1">IF(BB6=52,1,BB6+1)</f>
        <v>239</v>
      </c>
      <c r="BD6" s="52">
        <f t="shared" ca="1" si="1"/>
        <v>240</v>
      </c>
      <c r="BE6" s="52">
        <f t="shared" ca="1" si="1"/>
        <v>241</v>
      </c>
      <c r="BF6" s="52">
        <f t="shared" ca="1" si="1"/>
        <v>242</v>
      </c>
      <c r="BG6" s="52">
        <f t="shared" ca="1" si="1"/>
        <v>243</v>
      </c>
      <c r="BH6" s="52">
        <f t="shared" ca="1" si="1"/>
        <v>244</v>
      </c>
      <c r="BI6" s="52">
        <f t="shared" ca="1" si="1"/>
        <v>245</v>
      </c>
      <c r="BJ6" s="52">
        <f t="shared" ca="1" si="1"/>
        <v>246</v>
      </c>
      <c r="BK6" s="52">
        <f t="shared" ca="1" si="1"/>
        <v>247</v>
      </c>
      <c r="BL6" s="52">
        <f t="shared" ca="1" si="1"/>
        <v>248</v>
      </c>
      <c r="BM6" s="52">
        <f t="shared" ca="1" si="1"/>
        <v>249</v>
      </c>
      <c r="BN6" s="52">
        <f t="shared" ca="1" si="1"/>
        <v>250</v>
      </c>
      <c r="BO6" s="52">
        <f t="shared" ca="1" si="1"/>
        <v>251</v>
      </c>
      <c r="BP6" s="52">
        <f t="shared" ca="1" si="1"/>
        <v>252</v>
      </c>
      <c r="BQ6" s="52">
        <f t="shared" ca="1" si="1"/>
        <v>253</v>
      </c>
      <c r="BR6" s="52">
        <f t="shared" ca="1" si="1"/>
        <v>254</v>
      </c>
      <c r="BS6" s="52">
        <f t="shared" ca="1" si="1"/>
        <v>255</v>
      </c>
      <c r="BT6" s="52">
        <f t="shared" ca="1" si="1"/>
        <v>256</v>
      </c>
      <c r="BU6" s="52">
        <f t="shared" ca="1" si="1"/>
        <v>257</v>
      </c>
      <c r="BV6" s="52">
        <f t="shared" ca="1" si="1"/>
        <v>258</v>
      </c>
      <c r="BW6" s="52">
        <f t="shared" ca="1" si="1"/>
        <v>259</v>
      </c>
      <c r="BX6" s="52">
        <f t="shared" ca="1" si="1"/>
        <v>260</v>
      </c>
      <c r="BY6" s="52">
        <f t="shared" ca="1" si="1"/>
        <v>261</v>
      </c>
      <c r="BZ6" s="52">
        <f t="shared" ca="1" si="1"/>
        <v>262</v>
      </c>
      <c r="CA6" s="52">
        <f t="shared" ca="1" si="1"/>
        <v>263</v>
      </c>
      <c r="CB6" s="52">
        <f t="shared" ca="1" si="1"/>
        <v>264</v>
      </c>
      <c r="CC6" s="52">
        <f t="shared" ca="1" si="1"/>
        <v>265</v>
      </c>
      <c r="CD6" s="52">
        <f t="shared" ca="1" si="1"/>
        <v>266</v>
      </c>
      <c r="CE6" s="52">
        <f t="shared" ca="1" si="1"/>
        <v>267</v>
      </c>
      <c r="CF6" s="52">
        <f t="shared" ca="1" si="1"/>
        <v>268</v>
      </c>
    </row>
    <row r="7" spans="1:88" ht="22.5" customHeight="1" x14ac:dyDescent="0.25">
      <c r="A7" s="41" t="e">
        <f>IF(Data!#REF!="","",Data!#REF!)</f>
        <v>#REF!</v>
      </c>
      <c r="B7" s="42" t="e">
        <f>IF(Data!#REF!="","",Data!#REF!)</f>
        <v>#REF!</v>
      </c>
      <c r="C7" s="42" t="e">
        <f>IF(Data!#REF!="","",Data!#REF!)</f>
        <v>#REF!</v>
      </c>
      <c r="D7" s="90" t="e">
        <f>IF(Data!#REF!="","",Data!#REF!)</f>
        <v>#REF!</v>
      </c>
      <c r="E7" s="42" t="e">
        <f>IF(Data!#REF!="","",Data!#REF!)</f>
        <v>#REF!</v>
      </c>
      <c r="F7" s="99" t="e">
        <f>IF(Data!#REF!="","",Data!#REF!)</f>
        <v>#REF!</v>
      </c>
      <c r="G7" s="105" t="e">
        <f>SUM(H7:Q7)</f>
        <v>#REF!</v>
      </c>
      <c r="H7" s="106" t="e">
        <f>IF(Data!#REF!="","",Data!#REF!)</f>
        <v>#REF!</v>
      </c>
      <c r="I7" s="106" t="e">
        <f>IF(Data!#REF!="","",Data!#REF!)</f>
        <v>#REF!</v>
      </c>
      <c r="J7" s="106" t="e">
        <f>IF(Data!#REF!="","",Data!#REF!)</f>
        <v>#REF!</v>
      </c>
      <c r="K7" s="106" t="e">
        <f>IF(Data!#REF!="","",Data!#REF!)</f>
        <v>#REF!</v>
      </c>
      <c r="L7" s="106" t="e">
        <f>IF(Data!#REF!="","",Data!#REF!)</f>
        <v>#REF!</v>
      </c>
      <c r="M7" s="106" t="e">
        <f>IF(Data!#REF!="","",Data!#REF!)</f>
        <v>#REF!</v>
      </c>
      <c r="N7" s="106" t="e">
        <f>IF(Data!#REF!="","",Data!#REF!)</f>
        <v>#REF!</v>
      </c>
      <c r="O7" s="106" t="e">
        <f>IF(Data!#REF!="","",Data!#REF!)</f>
        <v>#REF!</v>
      </c>
      <c r="P7" s="106" t="e">
        <f>IF(Data!#REF!="","",Data!#REF!)</f>
        <v>#REF!</v>
      </c>
      <c r="Q7" s="107" t="e">
        <f>IF(Data!#REF!="","",Data!#REF!)</f>
        <v>#REF!</v>
      </c>
      <c r="R7" s="105" t="e">
        <f>IF(Data!#REF!="","",Data!#REF!)</f>
        <v>#REF!</v>
      </c>
      <c r="S7" s="106" t="e">
        <f>IF(Data!#REF!="","",Data!#REF!)</f>
        <v>#REF!</v>
      </c>
      <c r="T7" s="106" t="e">
        <f>IF(Data!#REF!="","",Data!#REF!)</f>
        <v>#REF!</v>
      </c>
      <c r="U7" s="106" t="e">
        <f>IF(Data!#REF!="","",Data!#REF!)</f>
        <v>#REF!</v>
      </c>
      <c r="V7" s="106" t="e">
        <f>IF(Data!#REF!="","",Data!#REF!)</f>
        <v>#REF!</v>
      </c>
      <c r="W7" s="106" t="e">
        <f>IF(Data!#REF!="","",Data!#REF!)</f>
        <v>#REF!</v>
      </c>
      <c r="X7" s="106" t="e">
        <f>IF(Data!#REF!="","",Data!#REF!)</f>
        <v>#REF!</v>
      </c>
      <c r="Y7" s="106" t="e">
        <f>IF(Data!#REF!="","",Data!#REF!)</f>
        <v>#REF!</v>
      </c>
      <c r="Z7" s="106" t="e">
        <f>IF(Data!#REF!="","",Data!#REF!)</f>
        <v>#REF!</v>
      </c>
      <c r="AA7" s="106" t="e">
        <f>IF(Data!#REF!="","",Data!#REF!)</f>
        <v>#REF!</v>
      </c>
      <c r="AB7" s="107" t="e">
        <f>IF(Data!#REF!="","",Data!#REF!)</f>
        <v>#REF!</v>
      </c>
      <c r="AC7" s="105" t="e">
        <f>IF(Data!#REF!="","",Data!#REF!)</f>
        <v>#REF!</v>
      </c>
      <c r="AD7" s="106" t="e">
        <f>IF(Data!#REF!="","",Data!#REF!)</f>
        <v>#REF!</v>
      </c>
      <c r="AE7" s="106" t="e">
        <f>IF(Data!#REF!="","",Data!#REF!)</f>
        <v>#REF!</v>
      </c>
      <c r="AF7" s="106" t="e">
        <f>IF(Data!#REF!="","",Data!#REF!)</f>
        <v>#REF!</v>
      </c>
      <c r="AG7" s="106" t="e">
        <f>IF(Data!#REF!="","",Data!#REF!)</f>
        <v>#REF!</v>
      </c>
      <c r="AH7" s="106" t="e">
        <f>IF(Data!#REF!="","",Data!#REF!)</f>
        <v>#REF!</v>
      </c>
      <c r="AI7" s="106" t="e">
        <f>IF(Data!#REF!="","",Data!#REF!)</f>
        <v>#REF!</v>
      </c>
      <c r="AJ7" s="106" t="e">
        <f>IF(Data!#REF!="","",Data!#REF!)</f>
        <v>#REF!</v>
      </c>
      <c r="AK7" s="106" t="e">
        <f>IF(Data!#REF!="","",Data!#REF!)</f>
        <v>#REF!</v>
      </c>
      <c r="AL7" s="106" t="e">
        <f>IF(Data!#REF!="","",Data!#REF!)</f>
        <v>#REF!</v>
      </c>
      <c r="AM7" s="107" t="e">
        <f>IF(Data!#REF!="","",Data!#REF!)</f>
        <v>#REF!</v>
      </c>
      <c r="AN7" s="105" t="e">
        <f>IF(Data!#REF!="","",Data!#REF!)</f>
        <v>#REF!</v>
      </c>
      <c r="AO7" s="106" t="e">
        <f>IF(Data!#REF!="","",Data!#REF!)</f>
        <v>#REF!</v>
      </c>
      <c r="AP7" s="106" t="e">
        <f>IF(Data!#REF!="","",Data!#REF!)</f>
        <v>#REF!</v>
      </c>
      <c r="AQ7" s="106" t="e">
        <f>IF(Data!#REF!="","",Data!#REF!)</f>
        <v>#REF!</v>
      </c>
      <c r="AR7" s="106" t="e">
        <f>IF(Data!#REF!="","",Data!#REF!)</f>
        <v>#REF!</v>
      </c>
      <c r="AS7" s="106" t="e">
        <f>IF(Data!#REF!="","",Data!#REF!)</f>
        <v>#REF!</v>
      </c>
      <c r="AT7" s="106" t="e">
        <f>IF(Data!#REF!="","",Data!#REF!)</f>
        <v>#REF!</v>
      </c>
      <c r="AU7" s="106" t="e">
        <f>IF(Data!#REF!="","",Data!#REF!)</f>
        <v>#REF!</v>
      </c>
      <c r="AV7" s="106" t="e">
        <f>IF(Data!#REF!="","",Data!#REF!)</f>
        <v>#REF!</v>
      </c>
      <c r="AW7" s="106" t="e">
        <f>IF(Data!#REF!="","",Data!#REF!)</f>
        <v>#REF!</v>
      </c>
      <c r="AX7" s="106" t="e">
        <f>IF(Data!#REF!="","",Data!#REF!)</f>
        <v>#REF!</v>
      </c>
      <c r="AY7" s="107" t="e">
        <f>IF(Data!#REF!="","",Data!#REF!)</f>
        <v>#REF!</v>
      </c>
      <c r="AZ7" s="109" t="e">
        <f>IF(Data!#REF!="","",Data!#REF!)</f>
        <v>#REF!</v>
      </c>
      <c r="BA7" s="116" t="e">
        <f ca="1">IF('Graphical Overview'!BA$5&lt;='WK Conversion'!$AX8,"ME",IF('Graphical Overview'!BA$5&lt;='WK Conversion'!$AY8,"EE",IF('Graphical Overview'!BA$5&lt;='WK Conversion'!$AZ8,"M",IF('Graphical Overview'!BA$5&lt;='WK Conversion'!$BA8,"A",IF('Graphical Overview'!BA$5&lt;'WK Conversion'!$BB8,"P",IF('Graphical Overview'!BA$5='WK Conversion'!$BB8,"R",IF('Graphical Overview'!BA$5&lt;='WK Conversion'!$BC8,"CI",IF('Graphical Overview'!BA$5&lt;='WK Conversion'!$BD8,"I",""))))))))</f>
        <v>#REF!</v>
      </c>
      <c r="BB7" s="38" t="e">
        <f ca="1">IF('Graphical Overview'!BB$5&lt;='WK Conversion'!$AX8,"ME",IF('Graphical Overview'!BB$5&lt;='WK Conversion'!$AY8,"EE",IF('Graphical Overview'!BB$5&lt;='WK Conversion'!$AZ8,"M",IF('Graphical Overview'!BB$5&lt;='WK Conversion'!$BA8,"A",IF('Graphical Overview'!BB$5&lt;'WK Conversion'!$BB8,"P",IF('Graphical Overview'!BB$5='WK Conversion'!$BB8,"R",IF('Graphical Overview'!BB$5&lt;='WK Conversion'!$BC8,"CI",IF('Graphical Overview'!BB$5&lt;='WK Conversion'!$BD8,"I",""))))))))</f>
        <v>#REF!</v>
      </c>
      <c r="BC7" s="38" t="e">
        <f ca="1">IF('Graphical Overview'!BC$5&lt;='WK Conversion'!$AX8,"ME",IF('Graphical Overview'!BC$5&lt;='WK Conversion'!$AY8,"EE",IF('Graphical Overview'!BC$5&lt;='WK Conversion'!$AZ8,"M",IF('Graphical Overview'!BC$5&lt;='WK Conversion'!$BA8,"A",IF('Graphical Overview'!BC$5&lt;'WK Conversion'!$BB8,"P",IF('Graphical Overview'!BC$5='WK Conversion'!$BB8,"R",IF('Graphical Overview'!BC$5&lt;='WK Conversion'!$BC8,"CI",IF('Graphical Overview'!BC$5&lt;='WK Conversion'!$BD8,"I",""))))))))</f>
        <v>#REF!</v>
      </c>
      <c r="BD7" s="38" t="e">
        <f ca="1">IF('Graphical Overview'!BD$5&lt;='WK Conversion'!$AX8,"ME",IF('Graphical Overview'!BD$5&lt;='WK Conversion'!$AY8,"EE",IF('Graphical Overview'!BD$5&lt;='WK Conversion'!$AZ8,"M",IF('Graphical Overview'!BD$5&lt;='WK Conversion'!$BA8,"A",IF('Graphical Overview'!BD$5&lt;'WK Conversion'!$BB8,"P",IF('Graphical Overview'!BD$5='WK Conversion'!$BB8,"R",IF('Graphical Overview'!BD$5&lt;='WK Conversion'!$BC8,"CI",IF('Graphical Overview'!BD$5&lt;='WK Conversion'!$BD8,"I",""))))))))</f>
        <v>#REF!</v>
      </c>
      <c r="BE7" s="38" t="e">
        <f ca="1">IF('Graphical Overview'!BE$5&lt;='WK Conversion'!$AX8,"ME",IF('Graphical Overview'!BE$5&lt;='WK Conversion'!$AY8,"EE",IF('Graphical Overview'!BE$5&lt;='WK Conversion'!$AZ8,"M",IF('Graphical Overview'!BE$5&lt;='WK Conversion'!$BA8,"A",IF('Graphical Overview'!BE$5&lt;'WK Conversion'!$BB8,"P",IF('Graphical Overview'!BE$5='WK Conversion'!$BB8,"R",IF('Graphical Overview'!BE$5&lt;='WK Conversion'!$BC8,"CI",IF('Graphical Overview'!BE$5&lt;='WK Conversion'!$BD8,"I",""))))))))</f>
        <v>#REF!</v>
      </c>
      <c r="BF7" s="38" t="e">
        <f ca="1">IF('Graphical Overview'!BF$5&lt;='WK Conversion'!$AX8,"ME",IF('Graphical Overview'!BF$5&lt;='WK Conversion'!$AY8,"EE",IF('Graphical Overview'!BF$5&lt;='WK Conversion'!$AZ8,"M",IF('Graphical Overview'!BF$5&lt;='WK Conversion'!$BA8,"A",IF('Graphical Overview'!BF$5&lt;'WK Conversion'!$BB8,"P",IF('Graphical Overview'!BF$5='WK Conversion'!$BB8,"R",IF('Graphical Overview'!BF$5&lt;='WK Conversion'!$BC8,"CI",IF('Graphical Overview'!BF$5&lt;='WK Conversion'!$BD8,"I",""))))))))</f>
        <v>#REF!</v>
      </c>
      <c r="BG7" s="38" t="e">
        <f ca="1">IF('Graphical Overview'!BG$5&lt;='WK Conversion'!$AX8,"ME",IF('Graphical Overview'!BG$5&lt;='WK Conversion'!$AY8,"EE",IF('Graphical Overview'!BG$5&lt;='WK Conversion'!$AZ8,"M",IF('Graphical Overview'!BG$5&lt;='WK Conversion'!$BA8,"A",IF('Graphical Overview'!BG$5&lt;'WK Conversion'!$BB8,"P",IF('Graphical Overview'!BG$5='WK Conversion'!$BB8,"R",IF('Graphical Overview'!BG$5&lt;='WK Conversion'!$BC8,"CI",IF('Graphical Overview'!BG$5&lt;='WK Conversion'!$BD8,"I",""))))))))</f>
        <v>#REF!</v>
      </c>
      <c r="BH7" s="38" t="e">
        <f ca="1">IF('Graphical Overview'!BH$5&lt;='WK Conversion'!$AX8,"ME",IF('Graphical Overview'!BH$5&lt;='WK Conversion'!$AY8,"EE",IF('Graphical Overview'!BH$5&lt;='WK Conversion'!$AZ8,"M",IF('Graphical Overview'!BH$5&lt;='WK Conversion'!$BA8,"A",IF('Graphical Overview'!BH$5&lt;'WK Conversion'!$BB8,"P",IF('Graphical Overview'!BH$5='WK Conversion'!$BB8,"R",IF('Graphical Overview'!BH$5&lt;='WK Conversion'!$BC8,"CI",IF('Graphical Overview'!BH$5&lt;='WK Conversion'!$BD8,"I",""))))))))</f>
        <v>#REF!</v>
      </c>
      <c r="BI7" s="38" t="e">
        <f ca="1">IF('Graphical Overview'!BI$5&lt;='WK Conversion'!$AX8,"ME",IF('Graphical Overview'!BI$5&lt;='WK Conversion'!$AY8,"EE",IF('Graphical Overview'!BI$5&lt;='WK Conversion'!$AZ8,"M",IF('Graphical Overview'!BI$5&lt;='WK Conversion'!$BA8,"A",IF('Graphical Overview'!BI$5&lt;'WK Conversion'!$BB8,"P",IF('Graphical Overview'!BI$5='WK Conversion'!$BB8,"R",IF('Graphical Overview'!BI$5&lt;='WK Conversion'!$BC8,"CI",IF('Graphical Overview'!BI$5&lt;='WK Conversion'!$BD8,"I",""))))))))</f>
        <v>#REF!</v>
      </c>
      <c r="BJ7" s="38" t="e">
        <f ca="1">IF('Graphical Overview'!BJ$5&lt;='WK Conversion'!$AX8,"ME",IF('Graphical Overview'!BJ$5&lt;='WK Conversion'!$AY8,"EE",IF('Graphical Overview'!BJ$5&lt;='WK Conversion'!$AZ8,"M",IF('Graphical Overview'!BJ$5&lt;='WK Conversion'!$BA8,"A",IF('Graphical Overview'!BJ$5&lt;'WK Conversion'!$BB8,"P",IF('Graphical Overview'!BJ$5='WK Conversion'!$BB8,"R",IF('Graphical Overview'!BJ$5&lt;='WK Conversion'!$BC8,"CI",IF('Graphical Overview'!BJ$5&lt;='WK Conversion'!$BD8,"I",""))))))))</f>
        <v>#REF!</v>
      </c>
      <c r="BK7" s="38" t="e">
        <f ca="1">IF('Graphical Overview'!BK$5&lt;='WK Conversion'!$AX8,"ME",IF('Graphical Overview'!BK$5&lt;='WK Conversion'!$AY8,"EE",IF('Graphical Overview'!BK$5&lt;='WK Conversion'!$AZ8,"M",IF('Graphical Overview'!BK$5&lt;='WK Conversion'!$BA8,"A",IF('Graphical Overview'!BK$5&lt;'WK Conversion'!$BB8,"P",IF('Graphical Overview'!BK$5='WK Conversion'!$BB8,"R",IF('Graphical Overview'!BK$5&lt;='WK Conversion'!$BC8,"CI",IF('Graphical Overview'!BK$5&lt;='WK Conversion'!$BD8,"I",""))))))))</f>
        <v>#REF!</v>
      </c>
      <c r="BL7" s="38" t="e">
        <f ca="1">IF('Graphical Overview'!BL$5&lt;='WK Conversion'!$AX8,"ME",IF('Graphical Overview'!BL$5&lt;='WK Conversion'!$AY8,"EE",IF('Graphical Overview'!BL$5&lt;='WK Conversion'!$AZ8,"M",IF('Graphical Overview'!BL$5&lt;='WK Conversion'!$BA8,"A",IF('Graphical Overview'!BL$5&lt;'WK Conversion'!$BB8,"P",IF('Graphical Overview'!BL$5='WK Conversion'!$BB8,"R",IF('Graphical Overview'!BL$5&lt;='WK Conversion'!$BC8,"CI",IF('Graphical Overview'!BL$5&lt;='WK Conversion'!$BD8,"I",""))))))))</f>
        <v>#REF!</v>
      </c>
      <c r="BM7" s="38" t="e">
        <f ca="1">IF('Graphical Overview'!BM$5&lt;='WK Conversion'!$AX8,"ME",IF('Graphical Overview'!BM$5&lt;='WK Conversion'!$AY8,"EE",IF('Graphical Overview'!BM$5&lt;='WK Conversion'!$AZ8,"M",IF('Graphical Overview'!BM$5&lt;='WK Conversion'!$BA8,"A",IF('Graphical Overview'!BM$5&lt;'WK Conversion'!$BB8,"P",IF('Graphical Overview'!BM$5='WK Conversion'!$BB8,"R",IF('Graphical Overview'!BM$5&lt;='WK Conversion'!$BC8,"CI",IF('Graphical Overview'!BM$5&lt;='WK Conversion'!$BD8,"I",""))))))))</f>
        <v>#REF!</v>
      </c>
      <c r="BN7" s="38" t="e">
        <f ca="1">IF('Graphical Overview'!BN$5&lt;='WK Conversion'!$AX8,"ME",IF('Graphical Overview'!BN$5&lt;='WK Conversion'!$AY8,"EE",IF('Graphical Overview'!BN$5&lt;='WK Conversion'!$AZ8,"M",IF('Graphical Overview'!BN$5&lt;='WK Conversion'!$BA8,"A",IF('Graphical Overview'!BN$5&lt;'WK Conversion'!$BB8,"P",IF('Graphical Overview'!BN$5='WK Conversion'!$BB8,"R",IF('Graphical Overview'!BN$5&lt;='WK Conversion'!$BC8,"CI",IF('Graphical Overview'!BN$5&lt;='WK Conversion'!$BD8,"I",""))))))))</f>
        <v>#REF!</v>
      </c>
      <c r="BO7" s="108" t="e">
        <f ca="1">IF('Graphical Overview'!BO$5&lt;='WK Conversion'!$AX8,"ME",IF('Graphical Overview'!BO$5&lt;='WK Conversion'!$AY8,"EE",IF('Graphical Overview'!BO$5&lt;='WK Conversion'!$AZ8,"M",IF('Graphical Overview'!BO$5&lt;='WK Conversion'!$BA8,"A",IF('Graphical Overview'!BO$5&lt;'WK Conversion'!$BB8,"P",IF('Graphical Overview'!BO$5='WK Conversion'!$BB8,"R",IF('Graphical Overview'!BO$5&lt;='WK Conversion'!$BC8,"CI",IF('Graphical Overview'!BO$5&lt;='WK Conversion'!$BD8,"I",""))))))))</f>
        <v>#REF!</v>
      </c>
      <c r="BP7" s="38" t="e">
        <f ca="1">IF('Graphical Overview'!BP$5&lt;='WK Conversion'!$AX8,"ME",IF('Graphical Overview'!BP$5&lt;='WK Conversion'!$AY8,"EE",IF('Graphical Overview'!BP$5&lt;='WK Conversion'!$AZ8,"M",IF('Graphical Overview'!BP$5&lt;='WK Conversion'!$BA8,"A",IF('Graphical Overview'!BP$5&lt;'WK Conversion'!$BB8,"P",IF('Graphical Overview'!BP$5='WK Conversion'!$BB8,"R",IF('Graphical Overview'!BP$5&lt;='WK Conversion'!$BC8,"CI",IF('Graphical Overview'!BP$5&lt;='WK Conversion'!$BD8,"I",""))))))))</f>
        <v>#REF!</v>
      </c>
      <c r="BQ7" s="38" t="e">
        <f ca="1">IF('Graphical Overview'!BQ$5&lt;='WK Conversion'!$AX8,"ME",IF('Graphical Overview'!BQ$5&lt;='WK Conversion'!$AY8,"EE",IF('Graphical Overview'!BQ$5&lt;='WK Conversion'!$AZ8,"M",IF('Graphical Overview'!BQ$5&lt;='WK Conversion'!$BA8,"A",IF('Graphical Overview'!BQ$5&lt;'WK Conversion'!$BB8,"P",IF('Graphical Overview'!BQ$5='WK Conversion'!$BB8,"R",IF('Graphical Overview'!BQ$5&lt;='WK Conversion'!$BC8,"CI",IF('Graphical Overview'!BQ$5&lt;='WK Conversion'!$BD8,"I",""))))))))</f>
        <v>#REF!</v>
      </c>
      <c r="BR7" s="38" t="e">
        <f ca="1">IF('Graphical Overview'!BR$5&lt;='WK Conversion'!$AX8,"ME",IF('Graphical Overview'!BR$5&lt;='WK Conversion'!$AY8,"EE",IF('Graphical Overview'!BR$5&lt;='WK Conversion'!$AZ8,"M",IF('Graphical Overview'!BR$5&lt;='WK Conversion'!$BA8,"A",IF('Graphical Overview'!BR$5&lt;'WK Conversion'!$BB8,"P",IF('Graphical Overview'!BR$5='WK Conversion'!$BB8,"R",IF('Graphical Overview'!BR$5&lt;='WK Conversion'!$BC8,"CI",IF('Graphical Overview'!BR$5&lt;='WK Conversion'!$BD8,"I",""))))))))</f>
        <v>#REF!</v>
      </c>
      <c r="BS7" s="38" t="e">
        <f ca="1">IF('Graphical Overview'!BS$5&lt;='WK Conversion'!$AX8,"ME",IF('Graphical Overview'!BS$5&lt;='WK Conversion'!$AY8,"EE",IF('Graphical Overview'!BS$5&lt;='WK Conversion'!$AZ8,"M",IF('Graphical Overview'!BS$5&lt;='WK Conversion'!$BA8,"A",IF('Graphical Overview'!BS$5&lt;'WK Conversion'!$BB8,"P",IF('Graphical Overview'!BS$5='WK Conversion'!$BB8,"R",IF('Graphical Overview'!BS$5&lt;='WK Conversion'!$BC8,"CI",IF('Graphical Overview'!BS$5&lt;='WK Conversion'!$BD8,"I",""))))))))</f>
        <v>#REF!</v>
      </c>
      <c r="BT7" s="38" t="e">
        <f ca="1">IF('Graphical Overview'!BT$5&lt;='WK Conversion'!$AX8,"ME",IF('Graphical Overview'!BT$5&lt;='WK Conversion'!$AY8,"EE",IF('Graphical Overview'!BT$5&lt;='WK Conversion'!$AZ8,"M",IF('Graphical Overview'!BT$5&lt;='WK Conversion'!$BA8,"A",IF('Graphical Overview'!BT$5&lt;'WK Conversion'!$BB8,"P",IF('Graphical Overview'!BT$5='WK Conversion'!$BB8,"R",IF('Graphical Overview'!BT$5&lt;='WK Conversion'!$BC8,"CI",IF('Graphical Overview'!BT$5&lt;='WK Conversion'!$BD8,"I",""))))))))</f>
        <v>#REF!</v>
      </c>
      <c r="BU7" s="38" t="e">
        <f ca="1">IF('Graphical Overview'!BU$5&lt;='WK Conversion'!$AX8,"ME",IF('Graphical Overview'!BU$5&lt;='WK Conversion'!$AY8,"EE",IF('Graphical Overview'!BU$5&lt;='WK Conversion'!$AZ8,"M",IF('Graphical Overview'!BU$5&lt;='WK Conversion'!$BA8,"A",IF('Graphical Overview'!BU$5&lt;'WK Conversion'!$BB8,"P",IF('Graphical Overview'!BU$5='WK Conversion'!$BB8,"R",IF('Graphical Overview'!BU$5&lt;='WK Conversion'!$BC8,"CI",IF('Graphical Overview'!BU$5&lt;='WK Conversion'!$BD8,"I",""))))))))</f>
        <v>#REF!</v>
      </c>
      <c r="BV7" s="38" t="e">
        <f ca="1">IF('Graphical Overview'!BV$5&lt;='WK Conversion'!$AX8,"ME",IF('Graphical Overview'!BV$5&lt;='WK Conversion'!$AY8,"EE",IF('Graphical Overview'!BV$5&lt;='WK Conversion'!$AZ8,"M",IF('Graphical Overview'!BV$5&lt;='WK Conversion'!$BA8,"A",IF('Graphical Overview'!BV$5&lt;'WK Conversion'!$BB8,"P",IF('Graphical Overview'!BV$5='WK Conversion'!$BB8,"R",IF('Graphical Overview'!BV$5&lt;='WK Conversion'!$BC8,"CI",IF('Graphical Overview'!BV$5&lt;='WK Conversion'!$BD8,"I",""))))))))</f>
        <v>#REF!</v>
      </c>
      <c r="BW7" s="38" t="e">
        <f ca="1">IF('Graphical Overview'!BW$5&lt;='WK Conversion'!$AX8,"ME",IF('Graphical Overview'!BW$5&lt;='WK Conversion'!$AY8,"EE",IF('Graphical Overview'!BW$5&lt;='WK Conversion'!$AZ8,"M",IF('Graphical Overview'!BW$5&lt;='WK Conversion'!$BA8,"A",IF('Graphical Overview'!BW$5&lt;'WK Conversion'!$BB8,"P",IF('Graphical Overview'!BW$5='WK Conversion'!$BB8,"R",IF('Graphical Overview'!BW$5&lt;='WK Conversion'!$BC8,"CI",IF('Graphical Overview'!BW$5&lt;='WK Conversion'!$BD8,"I",""))))))))</f>
        <v>#REF!</v>
      </c>
      <c r="BX7" s="38" t="e">
        <f ca="1">IF('Graphical Overview'!BX$5&lt;='WK Conversion'!$AX8,"ME",IF('Graphical Overview'!BX$5&lt;='WK Conversion'!$AY8,"EE",IF('Graphical Overview'!BX$5&lt;='WK Conversion'!$AZ8,"M",IF('Graphical Overview'!BX$5&lt;='WK Conversion'!$BA8,"A",IF('Graphical Overview'!BX$5&lt;'WK Conversion'!$BB8,"P",IF('Graphical Overview'!BX$5='WK Conversion'!$BB8,"R",IF('Graphical Overview'!BX$5&lt;='WK Conversion'!$BC8,"CI",IF('Graphical Overview'!BX$5&lt;='WK Conversion'!$BD8,"I",""))))))))</f>
        <v>#REF!</v>
      </c>
      <c r="BY7" s="38" t="e">
        <f ca="1">IF('Graphical Overview'!BY$5&lt;='WK Conversion'!$AX8,"ME",IF('Graphical Overview'!BY$5&lt;='WK Conversion'!$AY8,"EE",IF('Graphical Overview'!BY$5&lt;='WK Conversion'!$AZ8,"M",IF('Graphical Overview'!BY$5&lt;='WK Conversion'!$BA8,"A",IF('Graphical Overview'!BY$5&lt;'WK Conversion'!$BB8,"P",IF('Graphical Overview'!BY$5='WK Conversion'!$BB8,"R",IF('Graphical Overview'!BY$5&lt;='WK Conversion'!$BC8,"CI",IF('Graphical Overview'!BY$5&lt;='WK Conversion'!$BD8,"I",""))))))))</f>
        <v>#REF!</v>
      </c>
      <c r="BZ7" s="38" t="e">
        <f ca="1">IF('Graphical Overview'!BZ$5&lt;='WK Conversion'!$AX8,"ME",IF('Graphical Overview'!BZ$5&lt;='WK Conversion'!$AY8,"EE",IF('Graphical Overview'!BZ$5&lt;='WK Conversion'!$AZ8,"M",IF('Graphical Overview'!BZ$5&lt;='WK Conversion'!$BA8,"A",IF('Graphical Overview'!BZ$5&lt;'WK Conversion'!$BB8,"P",IF('Graphical Overview'!BZ$5='WK Conversion'!$BB8,"R",IF('Graphical Overview'!BZ$5&lt;='WK Conversion'!$BC8,"CI",IF('Graphical Overview'!BZ$5&lt;='WK Conversion'!$BD8,"I",""))))))))</f>
        <v>#REF!</v>
      </c>
      <c r="CA7" s="38" t="e">
        <f ca="1">IF('Graphical Overview'!CA$5&lt;='WK Conversion'!$AX8,"ME",IF('Graphical Overview'!CA$5&lt;='WK Conversion'!$AY8,"EE",IF('Graphical Overview'!CA$5&lt;='WK Conversion'!$AZ8,"M",IF('Graphical Overview'!CA$5&lt;='WK Conversion'!$BA8,"A",IF('Graphical Overview'!CA$5&lt;'WK Conversion'!$BB8,"P",IF('Graphical Overview'!CA$5='WK Conversion'!$BB8,"R",IF('Graphical Overview'!CA$5&lt;='WK Conversion'!$BC8,"CI",IF('Graphical Overview'!CA$5&lt;='WK Conversion'!$BD8,"I",""))))))))</f>
        <v>#REF!</v>
      </c>
      <c r="CB7" s="38" t="e">
        <f ca="1">IF('Graphical Overview'!CB$5&lt;='WK Conversion'!$AX8,"ME",IF('Graphical Overview'!CB$5&lt;='WK Conversion'!$AY8,"EE",IF('Graphical Overview'!CB$5&lt;='WK Conversion'!$AZ8,"M",IF('Graphical Overview'!CB$5&lt;='WK Conversion'!$BA8,"A",IF('Graphical Overview'!CB$5&lt;'WK Conversion'!$BB8,"P",IF('Graphical Overview'!CB$5='WK Conversion'!$BB8,"R",IF('Graphical Overview'!CB$5&lt;='WK Conversion'!$BC8,"CI",IF('Graphical Overview'!CB$5&lt;='WK Conversion'!$BD8,"I",""))))))))</f>
        <v>#REF!</v>
      </c>
      <c r="CC7" s="38" t="e">
        <f ca="1">IF('Graphical Overview'!CC$5&lt;='WK Conversion'!$AX8,"ME",IF('Graphical Overview'!CC$5&lt;='WK Conversion'!$AY8,"EE",IF('Graphical Overview'!CC$5&lt;='WK Conversion'!$AZ8,"M",IF('Graphical Overview'!CC$5&lt;='WK Conversion'!$BA8,"A",IF('Graphical Overview'!CC$5&lt;'WK Conversion'!$BB8,"P",IF('Graphical Overview'!CC$5='WK Conversion'!$BB8,"R",IF('Graphical Overview'!CC$5&lt;='WK Conversion'!$BC8,"CI",IF('Graphical Overview'!CC$5&lt;='WK Conversion'!$BD8,"I",""))))))))</f>
        <v>#REF!</v>
      </c>
      <c r="CD7" s="38" t="e">
        <f ca="1">IF('Graphical Overview'!CD$5&lt;='WK Conversion'!$AX8,"ME",IF('Graphical Overview'!CD$5&lt;='WK Conversion'!$AY8,"EE",IF('Graphical Overview'!CD$5&lt;='WK Conversion'!$AZ8,"M",IF('Graphical Overview'!CD$5&lt;='WK Conversion'!$BA8,"A",IF('Graphical Overview'!CD$5&lt;'WK Conversion'!$BB8,"P",IF('Graphical Overview'!CD$5='WK Conversion'!$BB8,"R",IF('Graphical Overview'!CD$5&lt;='WK Conversion'!$BC8,"CI",IF('Graphical Overview'!CD$5&lt;='WK Conversion'!$BD8,"I",""))))))))</f>
        <v>#REF!</v>
      </c>
      <c r="CE7" s="38" t="e">
        <f ca="1">IF('Graphical Overview'!CE$5&lt;='WK Conversion'!$AX8,"ME",IF('Graphical Overview'!CE$5&lt;='WK Conversion'!$AY8,"EE",IF('Graphical Overview'!CE$5&lt;='WK Conversion'!$AZ8,"M",IF('Graphical Overview'!CE$5&lt;='WK Conversion'!$BA8,"A",IF('Graphical Overview'!CE$5&lt;'WK Conversion'!$BB8,"P",IF('Graphical Overview'!CE$5='WK Conversion'!$BB8,"R",IF('Graphical Overview'!CE$5&lt;='WK Conversion'!$BC8,"CI",IF('Graphical Overview'!CE$5&lt;='WK Conversion'!$BD8,"I",""))))))))</f>
        <v>#REF!</v>
      </c>
      <c r="CF7" s="39" t="e">
        <f ca="1">IF('Graphical Overview'!CF$5&lt;='WK Conversion'!$AX8,"ME",IF('Graphical Overview'!CF$5&lt;='WK Conversion'!$AY8,"EE",IF('Graphical Overview'!CF$5&lt;='WK Conversion'!$AZ8,"M",IF('Graphical Overview'!CF$5&lt;='WK Conversion'!$BA8,"A",IF('Graphical Overview'!CF$5&lt;'WK Conversion'!$BB8,"P",IF('Graphical Overview'!CF$5='WK Conversion'!$BB8,"R",IF('Graphical Overview'!CF$5&lt;='WK Conversion'!$BC8,"CI",IF('Graphical Overview'!CF$5&lt;='WK Conversion'!$BD8,"I",""))))))))</f>
        <v>#REF!</v>
      </c>
    </row>
    <row r="8" spans="1:88" ht="22.5" customHeight="1" x14ac:dyDescent="0.25">
      <c r="A8" s="41" t="e">
        <f>IF(Data!#REF!="","",Data!#REF!)</f>
        <v>#REF!</v>
      </c>
      <c r="B8" s="42" t="e">
        <f>IF(Data!#REF!="","",Data!#REF!)</f>
        <v>#REF!</v>
      </c>
      <c r="C8" s="42" t="e">
        <f>IF(Data!#REF!="","",Data!#REF!)</f>
        <v>#REF!</v>
      </c>
      <c r="D8" s="90" t="e">
        <f>IF(Data!#REF!="","",Data!#REF!)</f>
        <v>#REF!</v>
      </c>
      <c r="E8" s="42" t="e">
        <f>IF(Data!#REF!="","",Data!#REF!)</f>
        <v>#REF!</v>
      </c>
      <c r="F8" s="99" t="e">
        <f>IF(Data!#REF!="","",Data!#REF!)</f>
        <v>#REF!</v>
      </c>
      <c r="G8" s="105" t="e">
        <f t="shared" ref="G8:G41" si="2">SUM(H8:Q8)</f>
        <v>#REF!</v>
      </c>
      <c r="H8" s="106" t="e">
        <f>IF(Data!#REF!="","",Data!#REF!)</f>
        <v>#REF!</v>
      </c>
      <c r="I8" s="106" t="e">
        <f>IF(Data!#REF!="","",Data!#REF!)</f>
        <v>#REF!</v>
      </c>
      <c r="J8" s="106" t="e">
        <f>IF(Data!#REF!="","",Data!#REF!)</f>
        <v>#REF!</v>
      </c>
      <c r="K8" s="106" t="e">
        <f>IF(Data!#REF!="","",Data!#REF!)</f>
        <v>#REF!</v>
      </c>
      <c r="L8" s="106" t="e">
        <f>IF(Data!#REF!="","",Data!#REF!)</f>
        <v>#REF!</v>
      </c>
      <c r="M8" s="106" t="e">
        <f>IF(Data!#REF!="","",Data!#REF!)</f>
        <v>#REF!</v>
      </c>
      <c r="N8" s="106" t="e">
        <f>IF(Data!#REF!="","",Data!#REF!)</f>
        <v>#REF!</v>
      </c>
      <c r="O8" s="106" t="e">
        <f>IF(Data!#REF!="","",Data!#REF!)</f>
        <v>#REF!</v>
      </c>
      <c r="P8" s="106" t="e">
        <f>IF(Data!#REF!="","",Data!#REF!)</f>
        <v>#REF!</v>
      </c>
      <c r="Q8" s="107" t="e">
        <f>IF(Data!#REF!="","",Data!#REF!)</f>
        <v>#REF!</v>
      </c>
      <c r="R8" s="105" t="e">
        <f>IF(Data!#REF!="","",Data!#REF!)</f>
        <v>#REF!</v>
      </c>
      <c r="S8" s="106" t="e">
        <f>IF(Data!#REF!="","",Data!#REF!)</f>
        <v>#REF!</v>
      </c>
      <c r="T8" s="106" t="e">
        <f>IF(Data!#REF!="","",Data!#REF!)</f>
        <v>#REF!</v>
      </c>
      <c r="U8" s="106" t="e">
        <f>IF(Data!#REF!="","",Data!#REF!)</f>
        <v>#REF!</v>
      </c>
      <c r="V8" s="106" t="e">
        <f>IF(Data!#REF!="","",Data!#REF!)</f>
        <v>#REF!</v>
      </c>
      <c r="W8" s="106" t="e">
        <f>IF(Data!#REF!="","",Data!#REF!)</f>
        <v>#REF!</v>
      </c>
      <c r="X8" s="106" t="e">
        <f>IF(Data!#REF!="","",Data!#REF!)</f>
        <v>#REF!</v>
      </c>
      <c r="Y8" s="106" t="e">
        <f>IF(Data!#REF!="","",Data!#REF!)</f>
        <v>#REF!</v>
      </c>
      <c r="Z8" s="106" t="e">
        <f>IF(Data!#REF!="","",Data!#REF!)</f>
        <v>#REF!</v>
      </c>
      <c r="AA8" s="106" t="e">
        <f>IF(Data!#REF!="","",Data!#REF!)</f>
        <v>#REF!</v>
      </c>
      <c r="AB8" s="107" t="e">
        <f>IF(Data!#REF!="","",Data!#REF!)</f>
        <v>#REF!</v>
      </c>
      <c r="AC8" s="105" t="e">
        <f>IF(Data!#REF!="","",Data!#REF!)</f>
        <v>#REF!</v>
      </c>
      <c r="AD8" s="106" t="e">
        <f>IF(Data!#REF!="","",Data!#REF!)</f>
        <v>#REF!</v>
      </c>
      <c r="AE8" s="106" t="e">
        <f>IF(Data!#REF!="","",Data!#REF!)</f>
        <v>#REF!</v>
      </c>
      <c r="AF8" s="106" t="e">
        <f>IF(Data!#REF!="","",Data!#REF!)</f>
        <v>#REF!</v>
      </c>
      <c r="AG8" s="106" t="e">
        <f>IF(Data!#REF!="","",Data!#REF!)</f>
        <v>#REF!</v>
      </c>
      <c r="AH8" s="106" t="e">
        <f>IF(Data!#REF!="","",Data!#REF!)</f>
        <v>#REF!</v>
      </c>
      <c r="AI8" s="106" t="e">
        <f>IF(Data!#REF!="","",Data!#REF!)</f>
        <v>#REF!</v>
      </c>
      <c r="AJ8" s="106" t="e">
        <f>IF(Data!#REF!="","",Data!#REF!)</f>
        <v>#REF!</v>
      </c>
      <c r="AK8" s="106" t="e">
        <f>IF(Data!#REF!="","",Data!#REF!)</f>
        <v>#REF!</v>
      </c>
      <c r="AL8" s="106" t="e">
        <f>IF(Data!#REF!="","",Data!#REF!)</f>
        <v>#REF!</v>
      </c>
      <c r="AM8" s="107" t="e">
        <f>IF(Data!#REF!="","",Data!#REF!)</f>
        <v>#REF!</v>
      </c>
      <c r="AN8" s="105" t="e">
        <f>IF(Data!#REF!="","",Data!#REF!)</f>
        <v>#REF!</v>
      </c>
      <c r="AO8" s="106" t="e">
        <f>IF(Data!#REF!="","",Data!#REF!)</f>
        <v>#REF!</v>
      </c>
      <c r="AP8" s="106" t="e">
        <f>IF(Data!#REF!="","",Data!#REF!)</f>
        <v>#REF!</v>
      </c>
      <c r="AQ8" s="106" t="e">
        <f>IF(Data!#REF!="","",Data!#REF!)</f>
        <v>#REF!</v>
      </c>
      <c r="AR8" s="106" t="e">
        <f>IF(Data!#REF!="","",Data!#REF!)</f>
        <v>#REF!</v>
      </c>
      <c r="AS8" s="106" t="e">
        <f>IF(Data!#REF!="","",Data!#REF!)</f>
        <v>#REF!</v>
      </c>
      <c r="AT8" s="106" t="e">
        <f>IF(Data!#REF!="","",Data!#REF!)</f>
        <v>#REF!</v>
      </c>
      <c r="AU8" s="106" t="e">
        <f>IF(Data!#REF!="","",Data!#REF!)</f>
        <v>#REF!</v>
      </c>
      <c r="AV8" s="106" t="e">
        <f>IF(Data!#REF!="","",Data!#REF!)</f>
        <v>#REF!</v>
      </c>
      <c r="AW8" s="106" t="e">
        <f>IF(Data!#REF!="","",Data!#REF!)</f>
        <v>#REF!</v>
      </c>
      <c r="AX8" s="106" t="e">
        <f>IF(Data!#REF!="","",Data!#REF!)</f>
        <v>#REF!</v>
      </c>
      <c r="AY8" s="107" t="e">
        <f>IF(Data!#REF!="","",Data!#REF!)</f>
        <v>#REF!</v>
      </c>
      <c r="AZ8" s="109" t="e">
        <f>IF(Data!#REF!="","",Data!#REF!)</f>
        <v>#REF!</v>
      </c>
      <c r="BA8" s="116" t="e">
        <f ca="1">IF('Graphical Overview'!BA$5&lt;='WK Conversion'!$AX9,"ME",IF('Graphical Overview'!BA$5&lt;='WK Conversion'!$AY9,"EE",IF('Graphical Overview'!BA$5&lt;='WK Conversion'!$AZ9,"M",IF('Graphical Overview'!BA$5&lt;='WK Conversion'!$BA9,"A",IF('Graphical Overview'!BA$5&lt;'WK Conversion'!$BB9,"P",IF('Graphical Overview'!BA$5='WK Conversion'!$BB9,"R",IF('Graphical Overview'!BA$5&lt;='WK Conversion'!$BC9,"CI",IF('Graphical Overview'!BA$5&lt;='WK Conversion'!$BD9,"I",""))))))))</f>
        <v>#REF!</v>
      </c>
      <c r="BB8" s="38" t="e">
        <f ca="1">IF('Graphical Overview'!BB$5&lt;='WK Conversion'!$AX9,"ME",IF('Graphical Overview'!BB$5&lt;='WK Conversion'!$AY9,"EE",IF('Graphical Overview'!BB$5&lt;='WK Conversion'!$AZ9,"M",IF('Graphical Overview'!BB$5&lt;='WK Conversion'!$BA9,"A",IF('Graphical Overview'!BB$5&lt;'WK Conversion'!$BB9,"P",IF('Graphical Overview'!BB$5='WK Conversion'!$BB9,"R",IF('Graphical Overview'!BB$5&lt;='WK Conversion'!$BC9,"CI",IF('Graphical Overview'!BB$5&lt;='WK Conversion'!$BD9,"I",""))))))))</f>
        <v>#REF!</v>
      </c>
      <c r="BC8" s="38" t="e">
        <f ca="1">IF('Graphical Overview'!BC$5&lt;='WK Conversion'!$AX9,"ME",IF('Graphical Overview'!BC$5&lt;='WK Conversion'!$AY9,"EE",IF('Graphical Overview'!BC$5&lt;='WK Conversion'!$AZ9,"M",IF('Graphical Overview'!BC$5&lt;='WK Conversion'!$BA9,"A",IF('Graphical Overview'!BC$5&lt;'WK Conversion'!$BB9,"P",IF('Graphical Overview'!BC$5='WK Conversion'!$BB9,"R",IF('Graphical Overview'!BC$5&lt;='WK Conversion'!$BC9,"CI",IF('Graphical Overview'!BC$5&lt;='WK Conversion'!$BD9,"I",""))))))))</f>
        <v>#REF!</v>
      </c>
      <c r="BD8" s="38" t="e">
        <f ca="1">IF('Graphical Overview'!BD$5&lt;='WK Conversion'!$AX9,"ME",IF('Graphical Overview'!BD$5&lt;='WK Conversion'!$AY9,"EE",IF('Graphical Overview'!BD$5&lt;='WK Conversion'!$AZ9,"M",IF('Graphical Overview'!BD$5&lt;='WK Conversion'!$BA9,"A",IF('Graphical Overview'!BD$5&lt;'WK Conversion'!$BB9,"P",IF('Graphical Overview'!BD$5='WK Conversion'!$BB9,"R",IF('Graphical Overview'!BD$5&lt;='WK Conversion'!$BC9,"CI",IF('Graphical Overview'!BD$5&lt;='WK Conversion'!$BD9,"I",""))))))))</f>
        <v>#REF!</v>
      </c>
      <c r="BE8" s="38" t="e">
        <f ca="1">IF('Graphical Overview'!BE$5&lt;='WK Conversion'!$AX9,"ME",IF('Graphical Overview'!BE$5&lt;='WK Conversion'!$AY9,"EE",IF('Graphical Overview'!BE$5&lt;='WK Conversion'!$AZ9,"M",IF('Graphical Overview'!BE$5&lt;='WK Conversion'!$BA9,"A",IF('Graphical Overview'!BE$5&lt;'WK Conversion'!$BB9,"P",IF('Graphical Overview'!BE$5='WK Conversion'!$BB9,"R",IF('Graphical Overview'!BE$5&lt;='WK Conversion'!$BC9,"CI",IF('Graphical Overview'!BE$5&lt;='WK Conversion'!$BD9,"I",""))))))))</f>
        <v>#REF!</v>
      </c>
      <c r="BF8" s="38" t="e">
        <f ca="1">IF('Graphical Overview'!BF$5&lt;='WK Conversion'!$AX9,"ME",IF('Graphical Overview'!BF$5&lt;='WK Conversion'!$AY9,"EE",IF('Graphical Overview'!BF$5&lt;='WK Conversion'!$AZ9,"M",IF('Graphical Overview'!BF$5&lt;='WK Conversion'!$BA9,"A",IF('Graphical Overview'!BF$5&lt;'WK Conversion'!$BB9,"P",IF('Graphical Overview'!BF$5='WK Conversion'!$BB9,"R",IF('Graphical Overview'!BF$5&lt;='WK Conversion'!$BC9,"CI",IF('Graphical Overview'!BF$5&lt;='WK Conversion'!$BD9,"I",""))))))))</f>
        <v>#REF!</v>
      </c>
      <c r="BG8" s="38" t="e">
        <f ca="1">IF('Graphical Overview'!BG$5&lt;='WK Conversion'!$AX9,"ME",IF('Graphical Overview'!BG$5&lt;='WK Conversion'!$AY9,"EE",IF('Graphical Overview'!BG$5&lt;='WK Conversion'!$AZ9,"M",IF('Graphical Overview'!BG$5&lt;='WK Conversion'!$BA9,"A",IF('Graphical Overview'!BG$5&lt;'WK Conversion'!$BB9,"P",IF('Graphical Overview'!BG$5='WK Conversion'!$BB9,"R",IF('Graphical Overview'!BG$5&lt;='WK Conversion'!$BC9,"CI",IF('Graphical Overview'!BG$5&lt;='WK Conversion'!$BD9,"I",""))))))))</f>
        <v>#REF!</v>
      </c>
      <c r="BH8" s="38" t="e">
        <f ca="1">IF('Graphical Overview'!BH$5&lt;='WK Conversion'!$AX9,"ME",IF('Graphical Overview'!BH$5&lt;='WK Conversion'!$AY9,"EE",IF('Graphical Overview'!BH$5&lt;='WK Conversion'!$AZ9,"M",IF('Graphical Overview'!BH$5&lt;='WK Conversion'!$BA9,"A",IF('Graphical Overview'!BH$5&lt;'WK Conversion'!$BB9,"P",IF('Graphical Overview'!BH$5='WK Conversion'!$BB9,"R",IF('Graphical Overview'!BH$5&lt;='WK Conversion'!$BC9,"CI",IF('Graphical Overview'!BH$5&lt;='WK Conversion'!$BD9,"I",""))))))))</f>
        <v>#REF!</v>
      </c>
      <c r="BI8" s="38" t="e">
        <f ca="1">IF('Graphical Overview'!BI$5&lt;='WK Conversion'!$AX9,"ME",IF('Graphical Overview'!BI$5&lt;='WK Conversion'!$AY9,"EE",IF('Graphical Overview'!BI$5&lt;='WK Conversion'!$AZ9,"M",IF('Graphical Overview'!BI$5&lt;='WK Conversion'!$BA9,"A",IF('Graphical Overview'!BI$5&lt;'WK Conversion'!$BB9,"P",IF('Graphical Overview'!BI$5='WK Conversion'!$BB9,"R",IF('Graphical Overview'!BI$5&lt;='WK Conversion'!$BC9,"CI",IF('Graphical Overview'!BI$5&lt;='WK Conversion'!$BD9,"I",""))))))))</f>
        <v>#REF!</v>
      </c>
      <c r="BJ8" s="38" t="e">
        <f ca="1">IF('Graphical Overview'!BJ$5&lt;='WK Conversion'!$AX9,"ME",IF('Graphical Overview'!BJ$5&lt;='WK Conversion'!$AY9,"EE",IF('Graphical Overview'!BJ$5&lt;='WK Conversion'!$AZ9,"M",IF('Graphical Overview'!BJ$5&lt;='WK Conversion'!$BA9,"A",IF('Graphical Overview'!BJ$5&lt;'WK Conversion'!$BB9,"P",IF('Graphical Overview'!BJ$5='WK Conversion'!$BB9,"R",IF('Graphical Overview'!BJ$5&lt;='WK Conversion'!$BC9,"CI",IF('Graphical Overview'!BJ$5&lt;='WK Conversion'!$BD9,"I",""))))))))</f>
        <v>#REF!</v>
      </c>
      <c r="BK8" s="38" t="e">
        <f ca="1">IF('Graphical Overview'!BK$5&lt;='WK Conversion'!$AX9,"ME",IF('Graphical Overview'!BK$5&lt;='WK Conversion'!$AY9,"EE",IF('Graphical Overview'!BK$5&lt;='WK Conversion'!$AZ9,"M",IF('Graphical Overview'!BK$5&lt;='WK Conversion'!$BA9,"A",IF('Graphical Overview'!BK$5&lt;'WK Conversion'!$BB9,"P",IF('Graphical Overview'!BK$5='WK Conversion'!$BB9,"R",IF('Graphical Overview'!BK$5&lt;='WK Conversion'!$BC9,"CI",IF('Graphical Overview'!BK$5&lt;='WK Conversion'!$BD9,"I",""))))))))</f>
        <v>#REF!</v>
      </c>
      <c r="BL8" s="38" t="e">
        <f ca="1">IF('Graphical Overview'!BL$5&lt;='WK Conversion'!$AX9,"ME",IF('Graphical Overview'!BL$5&lt;='WK Conversion'!$AY9,"EE",IF('Graphical Overview'!BL$5&lt;='WK Conversion'!$AZ9,"M",IF('Graphical Overview'!BL$5&lt;='WK Conversion'!$BA9,"A",IF('Graphical Overview'!BL$5&lt;'WK Conversion'!$BB9,"P",IF('Graphical Overview'!BL$5='WK Conversion'!$BB9,"R",IF('Graphical Overview'!BL$5&lt;='WK Conversion'!$BC9,"CI",IF('Graphical Overview'!BL$5&lt;='WK Conversion'!$BD9,"I",""))))))))</f>
        <v>#REF!</v>
      </c>
      <c r="BM8" s="38" t="e">
        <f ca="1">IF('Graphical Overview'!BM$5&lt;='WK Conversion'!$AX9,"ME",IF('Graphical Overview'!BM$5&lt;='WK Conversion'!$AY9,"EE",IF('Graphical Overview'!BM$5&lt;='WK Conversion'!$AZ9,"M",IF('Graphical Overview'!BM$5&lt;='WK Conversion'!$BA9,"A",IF('Graphical Overview'!BM$5&lt;'WK Conversion'!$BB9,"P",IF('Graphical Overview'!BM$5='WK Conversion'!$BB9,"R",IF('Graphical Overview'!BM$5&lt;='WK Conversion'!$BC9,"CI",IF('Graphical Overview'!BM$5&lt;='WK Conversion'!$BD9,"I",""))))))))</f>
        <v>#REF!</v>
      </c>
      <c r="BN8" s="38" t="e">
        <f ca="1">IF('Graphical Overview'!BN$5&lt;='WK Conversion'!$AX9,"ME",IF('Graphical Overview'!BN$5&lt;='WK Conversion'!$AY9,"EE",IF('Graphical Overview'!BN$5&lt;='WK Conversion'!$AZ9,"M",IF('Graphical Overview'!BN$5&lt;='WK Conversion'!$BA9,"A",IF('Graphical Overview'!BN$5&lt;'WK Conversion'!$BB9,"P",IF('Graphical Overview'!BN$5='WK Conversion'!$BB9,"R",IF('Graphical Overview'!BN$5&lt;='WK Conversion'!$BC9,"CI",IF('Graphical Overview'!BN$5&lt;='WK Conversion'!$BD9,"I",""))))))))</f>
        <v>#REF!</v>
      </c>
      <c r="BO8" s="108" t="e">
        <f ca="1">IF('Graphical Overview'!BO$5&lt;='WK Conversion'!$AX9,"ME",IF('Graphical Overview'!BO$5&lt;='WK Conversion'!$AY9,"EE",IF('Graphical Overview'!BO$5&lt;='WK Conversion'!$AZ9,"M",IF('Graphical Overview'!BO$5&lt;='WK Conversion'!$BA9,"A",IF('Graphical Overview'!BO$5&lt;'WK Conversion'!$BB9,"P",IF('Graphical Overview'!BO$5='WK Conversion'!$BB9,"R",IF('Graphical Overview'!BO$5&lt;='WK Conversion'!$BC9,"CI",IF('Graphical Overview'!BO$5&lt;='WK Conversion'!$BD9,"I",""))))))))</f>
        <v>#REF!</v>
      </c>
      <c r="BP8" s="38" t="e">
        <f ca="1">IF('Graphical Overview'!BP$5&lt;='WK Conversion'!$AX9,"ME",IF('Graphical Overview'!BP$5&lt;='WK Conversion'!$AY9,"EE",IF('Graphical Overview'!BP$5&lt;='WK Conversion'!$AZ9,"M",IF('Graphical Overview'!BP$5&lt;='WK Conversion'!$BA9,"A",IF('Graphical Overview'!BP$5&lt;'WK Conversion'!$BB9,"P",IF('Graphical Overview'!BP$5='WK Conversion'!$BB9,"R",IF('Graphical Overview'!BP$5&lt;='WK Conversion'!$BC9,"CI",IF('Graphical Overview'!BP$5&lt;='WK Conversion'!$BD9,"I",""))))))))</f>
        <v>#REF!</v>
      </c>
      <c r="BQ8" s="38" t="e">
        <f ca="1">IF('Graphical Overview'!BQ$5&lt;='WK Conversion'!$AX9,"ME",IF('Graphical Overview'!BQ$5&lt;='WK Conversion'!$AY9,"EE",IF('Graphical Overview'!BQ$5&lt;='WK Conversion'!$AZ9,"M",IF('Graphical Overview'!BQ$5&lt;='WK Conversion'!$BA9,"A",IF('Graphical Overview'!BQ$5&lt;'WK Conversion'!$BB9,"P",IF('Graphical Overview'!BQ$5='WK Conversion'!$BB9,"R",IF('Graphical Overview'!BQ$5&lt;='WK Conversion'!$BC9,"CI",IF('Graphical Overview'!BQ$5&lt;='WK Conversion'!$BD9,"I",""))))))))</f>
        <v>#REF!</v>
      </c>
      <c r="BR8" s="38" t="e">
        <f ca="1">IF('Graphical Overview'!BR$5&lt;='WK Conversion'!$AX9,"ME",IF('Graphical Overview'!BR$5&lt;='WK Conversion'!$AY9,"EE",IF('Graphical Overview'!BR$5&lt;='WK Conversion'!$AZ9,"M",IF('Graphical Overview'!BR$5&lt;='WK Conversion'!$BA9,"A",IF('Graphical Overview'!BR$5&lt;'WK Conversion'!$BB9,"P",IF('Graphical Overview'!BR$5='WK Conversion'!$BB9,"R",IF('Graphical Overview'!BR$5&lt;='WK Conversion'!$BC9,"CI",IF('Graphical Overview'!BR$5&lt;='WK Conversion'!$BD9,"I",""))))))))</f>
        <v>#REF!</v>
      </c>
      <c r="BS8" s="38" t="e">
        <f ca="1">IF('Graphical Overview'!BS$5&lt;='WK Conversion'!$AX9,"ME",IF('Graphical Overview'!BS$5&lt;='WK Conversion'!$AY9,"EE",IF('Graphical Overview'!BS$5&lt;='WK Conversion'!$AZ9,"M",IF('Graphical Overview'!BS$5&lt;='WK Conversion'!$BA9,"A",IF('Graphical Overview'!BS$5&lt;'WK Conversion'!$BB9,"P",IF('Graphical Overview'!BS$5='WK Conversion'!$BB9,"R",IF('Graphical Overview'!BS$5&lt;='WK Conversion'!$BC9,"CI",IF('Graphical Overview'!BS$5&lt;='WK Conversion'!$BD9,"I",""))))))))</f>
        <v>#REF!</v>
      </c>
      <c r="BT8" s="38" t="e">
        <f ca="1">IF('Graphical Overview'!BT$5&lt;='WK Conversion'!$AX9,"ME",IF('Graphical Overview'!BT$5&lt;='WK Conversion'!$AY9,"EE",IF('Graphical Overview'!BT$5&lt;='WK Conversion'!$AZ9,"M",IF('Graphical Overview'!BT$5&lt;='WK Conversion'!$BA9,"A",IF('Graphical Overview'!BT$5&lt;'WK Conversion'!$BB9,"P",IF('Graphical Overview'!BT$5='WK Conversion'!$BB9,"R",IF('Graphical Overview'!BT$5&lt;='WK Conversion'!$BC9,"CI",IF('Graphical Overview'!BT$5&lt;='WK Conversion'!$BD9,"I",""))))))))</f>
        <v>#REF!</v>
      </c>
      <c r="BU8" s="38" t="e">
        <f ca="1">IF('Graphical Overview'!BU$5&lt;='WK Conversion'!$AX9,"ME",IF('Graphical Overview'!BU$5&lt;='WK Conversion'!$AY9,"EE",IF('Graphical Overview'!BU$5&lt;='WK Conversion'!$AZ9,"M",IF('Graphical Overview'!BU$5&lt;='WK Conversion'!$BA9,"A",IF('Graphical Overview'!BU$5&lt;'WK Conversion'!$BB9,"P",IF('Graphical Overview'!BU$5='WK Conversion'!$BB9,"R",IF('Graphical Overview'!BU$5&lt;='WK Conversion'!$BC9,"CI",IF('Graphical Overview'!BU$5&lt;='WK Conversion'!$BD9,"I",""))))))))</f>
        <v>#REF!</v>
      </c>
      <c r="BV8" s="38" t="e">
        <f ca="1">IF('Graphical Overview'!BV$5&lt;='WK Conversion'!$AX9,"ME",IF('Graphical Overview'!BV$5&lt;='WK Conversion'!$AY9,"EE",IF('Graphical Overview'!BV$5&lt;='WK Conversion'!$AZ9,"M",IF('Graphical Overview'!BV$5&lt;='WK Conversion'!$BA9,"A",IF('Graphical Overview'!BV$5&lt;'WK Conversion'!$BB9,"P",IF('Graphical Overview'!BV$5='WK Conversion'!$BB9,"R",IF('Graphical Overview'!BV$5&lt;='WK Conversion'!$BC9,"CI",IF('Graphical Overview'!BV$5&lt;='WK Conversion'!$BD9,"I",""))))))))</f>
        <v>#REF!</v>
      </c>
      <c r="BW8" s="38" t="e">
        <f ca="1">IF('Graphical Overview'!BW$5&lt;='WK Conversion'!$AX9,"ME",IF('Graphical Overview'!BW$5&lt;='WK Conversion'!$AY9,"EE",IF('Graphical Overview'!BW$5&lt;='WK Conversion'!$AZ9,"M",IF('Graphical Overview'!BW$5&lt;='WK Conversion'!$BA9,"A",IF('Graphical Overview'!BW$5&lt;'WK Conversion'!$BB9,"P",IF('Graphical Overview'!BW$5='WK Conversion'!$BB9,"R",IF('Graphical Overview'!BW$5&lt;='WK Conversion'!$BC9,"CI",IF('Graphical Overview'!BW$5&lt;='WK Conversion'!$BD9,"I",""))))))))</f>
        <v>#REF!</v>
      </c>
      <c r="BX8" s="38" t="e">
        <f ca="1">IF('Graphical Overview'!BX$5&lt;='WK Conversion'!$AX9,"ME",IF('Graphical Overview'!BX$5&lt;='WK Conversion'!$AY9,"EE",IF('Graphical Overview'!BX$5&lt;='WK Conversion'!$AZ9,"M",IF('Graphical Overview'!BX$5&lt;='WK Conversion'!$BA9,"A",IF('Graphical Overview'!BX$5&lt;'WK Conversion'!$BB9,"P",IF('Graphical Overview'!BX$5='WK Conversion'!$BB9,"R",IF('Graphical Overview'!BX$5&lt;='WK Conversion'!$BC9,"CI",IF('Graphical Overview'!BX$5&lt;='WK Conversion'!$BD9,"I",""))))))))</f>
        <v>#REF!</v>
      </c>
      <c r="BY8" s="38" t="e">
        <f ca="1">IF('Graphical Overview'!BY$5&lt;='WK Conversion'!$AX9,"ME",IF('Graphical Overview'!BY$5&lt;='WK Conversion'!$AY9,"EE",IF('Graphical Overview'!BY$5&lt;='WK Conversion'!$AZ9,"M",IF('Graphical Overview'!BY$5&lt;='WK Conversion'!$BA9,"A",IF('Graphical Overview'!BY$5&lt;'WK Conversion'!$BB9,"P",IF('Graphical Overview'!BY$5='WK Conversion'!$BB9,"R",IF('Graphical Overview'!BY$5&lt;='WK Conversion'!$BC9,"CI",IF('Graphical Overview'!BY$5&lt;='WK Conversion'!$BD9,"I",""))))))))</f>
        <v>#REF!</v>
      </c>
      <c r="BZ8" s="38" t="e">
        <f ca="1">IF('Graphical Overview'!BZ$5&lt;='WK Conversion'!$AX9,"ME",IF('Graphical Overview'!BZ$5&lt;='WK Conversion'!$AY9,"EE",IF('Graphical Overview'!BZ$5&lt;='WK Conversion'!$AZ9,"M",IF('Graphical Overview'!BZ$5&lt;='WK Conversion'!$BA9,"A",IF('Graphical Overview'!BZ$5&lt;'WK Conversion'!$BB9,"P",IF('Graphical Overview'!BZ$5='WK Conversion'!$BB9,"R",IF('Graphical Overview'!BZ$5&lt;='WK Conversion'!$BC9,"CI",IF('Graphical Overview'!BZ$5&lt;='WK Conversion'!$BD9,"I",""))))))))</f>
        <v>#REF!</v>
      </c>
      <c r="CA8" s="38" t="e">
        <f ca="1">IF('Graphical Overview'!CA$5&lt;='WK Conversion'!$AX9,"ME",IF('Graphical Overview'!CA$5&lt;='WK Conversion'!$AY9,"EE",IF('Graphical Overview'!CA$5&lt;='WK Conversion'!$AZ9,"M",IF('Graphical Overview'!CA$5&lt;='WK Conversion'!$BA9,"A",IF('Graphical Overview'!CA$5&lt;'WK Conversion'!$BB9,"P",IF('Graphical Overview'!CA$5='WK Conversion'!$BB9,"R",IF('Graphical Overview'!CA$5&lt;='WK Conversion'!$BC9,"CI",IF('Graphical Overview'!CA$5&lt;='WK Conversion'!$BD9,"I",""))))))))</f>
        <v>#REF!</v>
      </c>
      <c r="CB8" s="38" t="e">
        <f ca="1">IF('Graphical Overview'!CB$5&lt;='WK Conversion'!$AX9,"ME",IF('Graphical Overview'!CB$5&lt;='WK Conversion'!$AY9,"EE",IF('Graphical Overview'!CB$5&lt;='WK Conversion'!$AZ9,"M",IF('Graphical Overview'!CB$5&lt;='WK Conversion'!$BA9,"A",IF('Graphical Overview'!CB$5&lt;'WK Conversion'!$BB9,"P",IF('Graphical Overview'!CB$5='WK Conversion'!$BB9,"R",IF('Graphical Overview'!CB$5&lt;='WK Conversion'!$BC9,"CI",IF('Graphical Overview'!CB$5&lt;='WK Conversion'!$BD9,"I",""))))))))</f>
        <v>#REF!</v>
      </c>
      <c r="CC8" s="38" t="e">
        <f ca="1">IF('Graphical Overview'!CC$5&lt;='WK Conversion'!$AX9,"ME",IF('Graphical Overview'!CC$5&lt;='WK Conversion'!$AY9,"EE",IF('Graphical Overview'!CC$5&lt;='WK Conversion'!$AZ9,"M",IF('Graphical Overview'!CC$5&lt;='WK Conversion'!$BA9,"A",IF('Graphical Overview'!CC$5&lt;'WK Conversion'!$BB9,"P",IF('Graphical Overview'!CC$5='WK Conversion'!$BB9,"R",IF('Graphical Overview'!CC$5&lt;='WK Conversion'!$BC9,"CI",IF('Graphical Overview'!CC$5&lt;='WK Conversion'!$BD9,"I",""))))))))</f>
        <v>#REF!</v>
      </c>
      <c r="CD8" s="38" t="e">
        <f ca="1">IF('Graphical Overview'!CD$5&lt;='WK Conversion'!$AX9,"ME",IF('Graphical Overview'!CD$5&lt;='WK Conversion'!$AY9,"EE",IF('Graphical Overview'!CD$5&lt;='WK Conversion'!$AZ9,"M",IF('Graphical Overview'!CD$5&lt;='WK Conversion'!$BA9,"A",IF('Graphical Overview'!CD$5&lt;'WK Conversion'!$BB9,"P",IF('Graphical Overview'!CD$5='WK Conversion'!$BB9,"R",IF('Graphical Overview'!CD$5&lt;='WK Conversion'!$BC9,"CI",IF('Graphical Overview'!CD$5&lt;='WK Conversion'!$BD9,"I",""))))))))</f>
        <v>#REF!</v>
      </c>
      <c r="CE8" s="38" t="e">
        <f ca="1">IF('Graphical Overview'!CE$5&lt;='WK Conversion'!$AX9,"ME",IF('Graphical Overview'!CE$5&lt;='WK Conversion'!$AY9,"EE",IF('Graphical Overview'!CE$5&lt;='WK Conversion'!$AZ9,"M",IF('Graphical Overview'!CE$5&lt;='WK Conversion'!$BA9,"A",IF('Graphical Overview'!CE$5&lt;'WK Conversion'!$BB9,"P",IF('Graphical Overview'!CE$5='WK Conversion'!$BB9,"R",IF('Graphical Overview'!CE$5&lt;='WK Conversion'!$BC9,"CI",IF('Graphical Overview'!CE$5&lt;='WK Conversion'!$BD9,"I",""))))))))</f>
        <v>#REF!</v>
      </c>
      <c r="CF8" s="39" t="e">
        <f ca="1">IF('Graphical Overview'!CF$5&lt;='WK Conversion'!$AX9,"ME",IF('Graphical Overview'!CF$5&lt;='WK Conversion'!$AY9,"EE",IF('Graphical Overview'!CF$5&lt;='WK Conversion'!$AZ9,"M",IF('Graphical Overview'!CF$5&lt;='WK Conversion'!$BA9,"A",IF('Graphical Overview'!CF$5&lt;'WK Conversion'!$BB9,"P",IF('Graphical Overview'!CF$5='WK Conversion'!$BB9,"R",IF('Graphical Overview'!CF$5&lt;='WK Conversion'!$BC9,"CI",IF('Graphical Overview'!CF$5&lt;='WK Conversion'!$BD9,"I",""))))))))</f>
        <v>#REF!</v>
      </c>
    </row>
    <row r="9" spans="1:88" ht="22.5" customHeight="1" x14ac:dyDescent="0.25">
      <c r="A9" s="41" t="e">
        <f>IF(Data!#REF!="","",Data!#REF!)</f>
        <v>#REF!</v>
      </c>
      <c r="B9" s="42" t="e">
        <f>IF(Data!#REF!="","",Data!#REF!)</f>
        <v>#REF!</v>
      </c>
      <c r="C9" s="42" t="e">
        <f>IF(Data!#REF!="","",Data!#REF!)</f>
        <v>#REF!</v>
      </c>
      <c r="D9" s="90" t="e">
        <f>IF(Data!#REF!="","",Data!#REF!)</f>
        <v>#REF!</v>
      </c>
      <c r="E9" s="42" t="e">
        <f>IF(Data!#REF!="","",Data!#REF!)</f>
        <v>#REF!</v>
      </c>
      <c r="F9" s="99" t="e">
        <f>IF(Data!#REF!="","",Data!#REF!)</f>
        <v>#REF!</v>
      </c>
      <c r="G9" s="105" t="e">
        <f t="shared" si="2"/>
        <v>#REF!</v>
      </c>
      <c r="H9" s="106" t="e">
        <f>IF(Data!#REF!="","",Data!#REF!)</f>
        <v>#REF!</v>
      </c>
      <c r="I9" s="106" t="e">
        <f>IF(Data!#REF!="","",Data!#REF!)</f>
        <v>#REF!</v>
      </c>
      <c r="J9" s="106" t="e">
        <f>IF(Data!#REF!="","",Data!#REF!)</f>
        <v>#REF!</v>
      </c>
      <c r="K9" s="106" t="e">
        <f>IF(Data!#REF!="","",Data!#REF!)</f>
        <v>#REF!</v>
      </c>
      <c r="L9" s="106" t="e">
        <f>IF(Data!#REF!="","",Data!#REF!)</f>
        <v>#REF!</v>
      </c>
      <c r="M9" s="106" t="e">
        <f>IF(Data!#REF!="","",Data!#REF!)</f>
        <v>#REF!</v>
      </c>
      <c r="N9" s="106" t="e">
        <f>IF(Data!#REF!="","",Data!#REF!)</f>
        <v>#REF!</v>
      </c>
      <c r="O9" s="106" t="e">
        <f>IF(Data!#REF!="","",Data!#REF!)</f>
        <v>#REF!</v>
      </c>
      <c r="P9" s="106" t="e">
        <f>IF(Data!#REF!="","",Data!#REF!)</f>
        <v>#REF!</v>
      </c>
      <c r="Q9" s="107" t="e">
        <f>IF(Data!#REF!="","",Data!#REF!)</f>
        <v>#REF!</v>
      </c>
      <c r="R9" s="105" t="e">
        <f>IF(Data!#REF!="","",Data!#REF!)</f>
        <v>#REF!</v>
      </c>
      <c r="S9" s="106" t="e">
        <f>IF(Data!#REF!="","",Data!#REF!)</f>
        <v>#REF!</v>
      </c>
      <c r="T9" s="106" t="e">
        <f>IF(Data!#REF!="","",Data!#REF!)</f>
        <v>#REF!</v>
      </c>
      <c r="U9" s="106" t="e">
        <f>IF(Data!#REF!="","",Data!#REF!)</f>
        <v>#REF!</v>
      </c>
      <c r="V9" s="106" t="e">
        <f>IF(Data!#REF!="","",Data!#REF!)</f>
        <v>#REF!</v>
      </c>
      <c r="W9" s="106" t="e">
        <f>IF(Data!#REF!="","",Data!#REF!)</f>
        <v>#REF!</v>
      </c>
      <c r="X9" s="106" t="e">
        <f>IF(Data!#REF!="","",Data!#REF!)</f>
        <v>#REF!</v>
      </c>
      <c r="Y9" s="106" t="e">
        <f>IF(Data!#REF!="","",Data!#REF!)</f>
        <v>#REF!</v>
      </c>
      <c r="Z9" s="106" t="e">
        <f>IF(Data!#REF!="","",Data!#REF!)</f>
        <v>#REF!</v>
      </c>
      <c r="AA9" s="106" t="e">
        <f>IF(Data!#REF!="","",Data!#REF!)</f>
        <v>#REF!</v>
      </c>
      <c r="AB9" s="107" t="e">
        <f>IF(Data!#REF!="","",Data!#REF!)</f>
        <v>#REF!</v>
      </c>
      <c r="AC9" s="105" t="e">
        <f>IF(Data!#REF!="","",Data!#REF!)</f>
        <v>#REF!</v>
      </c>
      <c r="AD9" s="106" t="e">
        <f>IF(Data!#REF!="","",Data!#REF!)</f>
        <v>#REF!</v>
      </c>
      <c r="AE9" s="106" t="e">
        <f>IF(Data!#REF!="","",Data!#REF!)</f>
        <v>#REF!</v>
      </c>
      <c r="AF9" s="106" t="e">
        <f>IF(Data!#REF!="","",Data!#REF!)</f>
        <v>#REF!</v>
      </c>
      <c r="AG9" s="106" t="e">
        <f>IF(Data!#REF!="","",Data!#REF!)</f>
        <v>#REF!</v>
      </c>
      <c r="AH9" s="106" t="e">
        <f>IF(Data!#REF!="","",Data!#REF!)</f>
        <v>#REF!</v>
      </c>
      <c r="AI9" s="106" t="e">
        <f>IF(Data!#REF!="","",Data!#REF!)</f>
        <v>#REF!</v>
      </c>
      <c r="AJ9" s="106" t="e">
        <f>IF(Data!#REF!="","",Data!#REF!)</f>
        <v>#REF!</v>
      </c>
      <c r="AK9" s="106" t="e">
        <f>IF(Data!#REF!="","",Data!#REF!)</f>
        <v>#REF!</v>
      </c>
      <c r="AL9" s="106" t="e">
        <f>IF(Data!#REF!="","",Data!#REF!)</f>
        <v>#REF!</v>
      </c>
      <c r="AM9" s="107" t="e">
        <f>IF(Data!#REF!="","",Data!#REF!)</f>
        <v>#REF!</v>
      </c>
      <c r="AN9" s="105" t="e">
        <f>IF(Data!#REF!="","",Data!#REF!)</f>
        <v>#REF!</v>
      </c>
      <c r="AO9" s="106" t="e">
        <f>IF(Data!#REF!="","",Data!#REF!)</f>
        <v>#REF!</v>
      </c>
      <c r="AP9" s="106" t="e">
        <f>IF(Data!#REF!="","",Data!#REF!)</f>
        <v>#REF!</v>
      </c>
      <c r="AQ9" s="106" t="e">
        <f>IF(Data!#REF!="","",Data!#REF!)</f>
        <v>#REF!</v>
      </c>
      <c r="AR9" s="106" t="e">
        <f>IF(Data!#REF!="","",Data!#REF!)</f>
        <v>#REF!</v>
      </c>
      <c r="AS9" s="106" t="e">
        <f>IF(Data!#REF!="","",Data!#REF!)</f>
        <v>#REF!</v>
      </c>
      <c r="AT9" s="106" t="e">
        <f>IF(Data!#REF!="","",Data!#REF!)</f>
        <v>#REF!</v>
      </c>
      <c r="AU9" s="106" t="e">
        <f>IF(Data!#REF!="","",Data!#REF!)</f>
        <v>#REF!</v>
      </c>
      <c r="AV9" s="106" t="e">
        <f>IF(Data!#REF!="","",Data!#REF!)</f>
        <v>#REF!</v>
      </c>
      <c r="AW9" s="106" t="e">
        <f>IF(Data!#REF!="","",Data!#REF!)</f>
        <v>#REF!</v>
      </c>
      <c r="AX9" s="106" t="e">
        <f>IF(Data!#REF!="","",Data!#REF!)</f>
        <v>#REF!</v>
      </c>
      <c r="AY9" s="107" t="e">
        <f>IF(Data!#REF!="","",Data!#REF!)</f>
        <v>#REF!</v>
      </c>
      <c r="AZ9" s="109" t="e">
        <f>IF(Data!#REF!="","",Data!#REF!)</f>
        <v>#REF!</v>
      </c>
      <c r="BA9" s="116" t="e">
        <f ca="1">IF('Graphical Overview'!BA$5&lt;='WK Conversion'!$AX10,"ME",IF('Graphical Overview'!BA$5&lt;='WK Conversion'!$AY10,"EE",IF('Graphical Overview'!BA$5&lt;='WK Conversion'!$AZ10,"M",IF('Graphical Overview'!BA$5&lt;='WK Conversion'!$BA10,"A",IF('Graphical Overview'!BA$5&lt;'WK Conversion'!$BB10,"P",IF('Graphical Overview'!BA$5='WK Conversion'!$BB10,"R",IF('Graphical Overview'!BA$5&lt;='WK Conversion'!$BC10,"CI",IF('Graphical Overview'!BA$5&lt;='WK Conversion'!$BD10,"I",""))))))))</f>
        <v>#REF!</v>
      </c>
      <c r="BB9" s="38" t="e">
        <f ca="1">IF('Graphical Overview'!BB$5&lt;='WK Conversion'!$AX10,"ME",IF('Graphical Overview'!BB$5&lt;='WK Conversion'!$AY10,"EE",IF('Graphical Overview'!BB$5&lt;='WK Conversion'!$AZ10,"M",IF('Graphical Overview'!BB$5&lt;='WK Conversion'!$BA10,"A",IF('Graphical Overview'!BB$5&lt;'WK Conversion'!$BB10,"P",IF('Graphical Overview'!BB$5='WK Conversion'!$BB10,"R",IF('Graphical Overview'!BB$5&lt;='WK Conversion'!$BC10,"CI",IF('Graphical Overview'!BB$5&lt;='WK Conversion'!$BD10,"I",""))))))))</f>
        <v>#REF!</v>
      </c>
      <c r="BC9" s="38" t="e">
        <f ca="1">IF('Graphical Overview'!BC$5&lt;='WK Conversion'!$AX10,"ME",IF('Graphical Overview'!BC$5&lt;='WK Conversion'!$AY10,"EE",IF('Graphical Overview'!BC$5&lt;='WK Conversion'!$AZ10,"M",IF('Graphical Overview'!BC$5&lt;='WK Conversion'!$BA10,"A",IF('Graphical Overview'!BC$5&lt;'WK Conversion'!$BB10,"P",IF('Graphical Overview'!BC$5='WK Conversion'!$BB10,"R",IF('Graphical Overview'!BC$5&lt;='WK Conversion'!$BC10,"CI",IF('Graphical Overview'!BC$5&lt;='WK Conversion'!$BD10,"I",""))))))))</f>
        <v>#REF!</v>
      </c>
      <c r="BD9" s="38" t="e">
        <f ca="1">IF('Graphical Overview'!BD$5&lt;='WK Conversion'!$AX10,"ME",IF('Graphical Overview'!BD$5&lt;='WK Conversion'!$AY10,"EE",IF('Graphical Overview'!BD$5&lt;='WK Conversion'!$AZ10,"M",IF('Graphical Overview'!BD$5&lt;='WK Conversion'!$BA10,"A",IF('Graphical Overview'!BD$5&lt;'WK Conversion'!$BB10,"P",IF('Graphical Overview'!BD$5='WK Conversion'!$BB10,"R",IF('Graphical Overview'!BD$5&lt;='WK Conversion'!$BC10,"CI",IF('Graphical Overview'!BD$5&lt;='WK Conversion'!$BD10,"I",""))))))))</f>
        <v>#REF!</v>
      </c>
      <c r="BE9" s="38" t="e">
        <f ca="1">IF('Graphical Overview'!BE$5&lt;='WK Conversion'!$AX10,"ME",IF('Graphical Overview'!BE$5&lt;='WK Conversion'!$AY10,"EE",IF('Graphical Overview'!BE$5&lt;='WK Conversion'!$AZ10,"M",IF('Graphical Overview'!BE$5&lt;='WK Conversion'!$BA10,"A",IF('Graphical Overview'!BE$5&lt;'WK Conversion'!$BB10,"P",IF('Graphical Overview'!BE$5='WK Conversion'!$BB10,"R",IF('Graphical Overview'!BE$5&lt;='WK Conversion'!$BC10,"CI",IF('Graphical Overview'!BE$5&lt;='WK Conversion'!$BD10,"I",""))))))))</f>
        <v>#REF!</v>
      </c>
      <c r="BF9" s="38" t="e">
        <f ca="1">IF('Graphical Overview'!BF$5&lt;='WK Conversion'!$AX10,"ME",IF('Graphical Overview'!BF$5&lt;='WK Conversion'!$AY10,"EE",IF('Graphical Overview'!BF$5&lt;='WK Conversion'!$AZ10,"M",IF('Graphical Overview'!BF$5&lt;='WK Conversion'!$BA10,"A",IF('Graphical Overview'!BF$5&lt;'WK Conversion'!$BB10,"P",IF('Graphical Overview'!BF$5='WK Conversion'!$BB10,"R",IF('Graphical Overview'!BF$5&lt;='WK Conversion'!$BC10,"CI",IF('Graphical Overview'!BF$5&lt;='WK Conversion'!$BD10,"I",""))))))))</f>
        <v>#REF!</v>
      </c>
      <c r="BG9" s="38" t="e">
        <f ca="1">IF('Graphical Overview'!BG$5&lt;='WK Conversion'!$AX10,"ME",IF('Graphical Overview'!BG$5&lt;='WK Conversion'!$AY10,"EE",IF('Graphical Overview'!BG$5&lt;='WK Conversion'!$AZ10,"M",IF('Graphical Overview'!BG$5&lt;='WK Conversion'!$BA10,"A",IF('Graphical Overview'!BG$5&lt;'WK Conversion'!$BB10,"P",IF('Graphical Overview'!BG$5='WK Conversion'!$BB10,"R",IF('Graphical Overview'!BG$5&lt;='WK Conversion'!$BC10,"CI",IF('Graphical Overview'!BG$5&lt;='WK Conversion'!$BD10,"I",""))))))))</f>
        <v>#REF!</v>
      </c>
      <c r="BH9" s="38" t="e">
        <f ca="1">IF('Graphical Overview'!BH$5&lt;='WK Conversion'!$AX10,"ME",IF('Graphical Overview'!BH$5&lt;='WK Conversion'!$AY10,"EE",IF('Graphical Overview'!BH$5&lt;='WK Conversion'!$AZ10,"M",IF('Graphical Overview'!BH$5&lt;='WK Conversion'!$BA10,"A",IF('Graphical Overview'!BH$5&lt;'WK Conversion'!$BB10,"P",IF('Graphical Overview'!BH$5='WK Conversion'!$BB10,"R",IF('Graphical Overview'!BH$5&lt;='WK Conversion'!$BC10,"CI",IF('Graphical Overview'!BH$5&lt;='WK Conversion'!$BD10,"I",""))))))))</f>
        <v>#REF!</v>
      </c>
      <c r="BI9" s="38" t="e">
        <f ca="1">IF('Graphical Overview'!BI$5&lt;='WK Conversion'!$AX10,"ME",IF('Graphical Overview'!BI$5&lt;='WK Conversion'!$AY10,"EE",IF('Graphical Overview'!BI$5&lt;='WK Conversion'!$AZ10,"M",IF('Graphical Overview'!BI$5&lt;='WK Conversion'!$BA10,"A",IF('Graphical Overview'!BI$5&lt;'WK Conversion'!$BB10,"P",IF('Graphical Overview'!BI$5='WK Conversion'!$BB10,"R",IF('Graphical Overview'!BI$5&lt;='WK Conversion'!$BC10,"CI",IF('Graphical Overview'!BI$5&lt;='WK Conversion'!$BD10,"I",""))))))))</f>
        <v>#REF!</v>
      </c>
      <c r="BJ9" s="38" t="e">
        <f ca="1">IF('Graphical Overview'!BJ$5&lt;='WK Conversion'!$AX10,"ME",IF('Graphical Overview'!BJ$5&lt;='WK Conversion'!$AY10,"EE",IF('Graphical Overview'!BJ$5&lt;='WK Conversion'!$AZ10,"M",IF('Graphical Overview'!BJ$5&lt;='WK Conversion'!$BA10,"A",IF('Graphical Overview'!BJ$5&lt;'WK Conversion'!$BB10,"P",IF('Graphical Overview'!BJ$5='WK Conversion'!$BB10,"R",IF('Graphical Overview'!BJ$5&lt;='WK Conversion'!$BC10,"CI",IF('Graphical Overview'!BJ$5&lt;='WK Conversion'!$BD10,"I",""))))))))</f>
        <v>#REF!</v>
      </c>
      <c r="BK9" s="38" t="e">
        <f ca="1">IF('Graphical Overview'!BK$5&lt;='WK Conversion'!$AX10,"ME",IF('Graphical Overview'!BK$5&lt;='WK Conversion'!$AY10,"EE",IF('Graphical Overview'!BK$5&lt;='WK Conversion'!$AZ10,"M",IF('Graphical Overview'!BK$5&lt;='WK Conversion'!$BA10,"A",IF('Graphical Overview'!BK$5&lt;'WK Conversion'!$BB10,"P",IF('Graphical Overview'!BK$5='WK Conversion'!$BB10,"R",IF('Graphical Overview'!BK$5&lt;='WK Conversion'!$BC10,"CI",IF('Graphical Overview'!BK$5&lt;='WK Conversion'!$BD10,"I",""))))))))</f>
        <v>#REF!</v>
      </c>
      <c r="BL9" s="38" t="e">
        <f ca="1">IF('Graphical Overview'!BL$5&lt;='WK Conversion'!$AX10,"ME",IF('Graphical Overview'!BL$5&lt;='WK Conversion'!$AY10,"EE",IF('Graphical Overview'!BL$5&lt;='WK Conversion'!$AZ10,"M",IF('Graphical Overview'!BL$5&lt;='WK Conversion'!$BA10,"A",IF('Graphical Overview'!BL$5&lt;'WK Conversion'!$BB10,"P",IF('Graphical Overview'!BL$5='WK Conversion'!$BB10,"R",IF('Graphical Overview'!BL$5&lt;='WK Conversion'!$BC10,"CI",IF('Graphical Overview'!BL$5&lt;='WK Conversion'!$BD10,"I",""))))))))</f>
        <v>#REF!</v>
      </c>
      <c r="BM9" s="38" t="e">
        <f ca="1">IF('Graphical Overview'!BM$5&lt;='WK Conversion'!$AX10,"ME",IF('Graphical Overview'!BM$5&lt;='WK Conversion'!$AY10,"EE",IF('Graphical Overview'!BM$5&lt;='WK Conversion'!$AZ10,"M",IF('Graphical Overview'!BM$5&lt;='WK Conversion'!$BA10,"A",IF('Graphical Overview'!BM$5&lt;'WK Conversion'!$BB10,"P",IF('Graphical Overview'!BM$5='WK Conversion'!$BB10,"R",IF('Graphical Overview'!BM$5&lt;='WK Conversion'!$BC10,"CI",IF('Graphical Overview'!BM$5&lt;='WK Conversion'!$BD10,"I",""))))))))</f>
        <v>#REF!</v>
      </c>
      <c r="BN9" s="38" t="e">
        <f ca="1">IF('Graphical Overview'!BN$5&lt;='WK Conversion'!$AX10,"ME",IF('Graphical Overview'!BN$5&lt;='WK Conversion'!$AY10,"EE",IF('Graphical Overview'!BN$5&lt;='WK Conversion'!$AZ10,"M",IF('Graphical Overview'!BN$5&lt;='WK Conversion'!$BA10,"A",IF('Graphical Overview'!BN$5&lt;'WK Conversion'!$BB10,"P",IF('Graphical Overview'!BN$5='WK Conversion'!$BB10,"R",IF('Graphical Overview'!BN$5&lt;='WK Conversion'!$BC10,"CI",IF('Graphical Overview'!BN$5&lt;='WK Conversion'!$BD10,"I",""))))))))</f>
        <v>#REF!</v>
      </c>
      <c r="BO9" s="108" t="e">
        <f ca="1">IF('Graphical Overview'!BO$5&lt;='WK Conversion'!$AX10,"ME",IF('Graphical Overview'!BO$5&lt;='WK Conversion'!$AY10,"EE",IF('Graphical Overview'!BO$5&lt;='WK Conversion'!$AZ10,"M",IF('Graphical Overview'!BO$5&lt;='WK Conversion'!$BA10,"A",IF('Graphical Overview'!BO$5&lt;'WK Conversion'!$BB10,"P",IF('Graphical Overview'!BO$5='WK Conversion'!$BB10,"R",IF('Graphical Overview'!BO$5&lt;='WK Conversion'!$BC10,"CI",IF('Graphical Overview'!BO$5&lt;='WK Conversion'!$BD10,"I",""))))))))</f>
        <v>#REF!</v>
      </c>
      <c r="BP9" s="38" t="e">
        <f ca="1">IF('Graphical Overview'!BP$5&lt;='WK Conversion'!$AX10,"ME",IF('Graphical Overview'!BP$5&lt;='WK Conversion'!$AY10,"EE",IF('Graphical Overview'!BP$5&lt;='WK Conversion'!$AZ10,"M",IF('Graphical Overview'!BP$5&lt;='WK Conversion'!$BA10,"A",IF('Graphical Overview'!BP$5&lt;'WK Conversion'!$BB10,"P",IF('Graphical Overview'!BP$5='WK Conversion'!$BB10,"R",IF('Graphical Overview'!BP$5&lt;='WK Conversion'!$BC10,"CI",IF('Graphical Overview'!BP$5&lt;='WK Conversion'!$BD10,"I",""))))))))</f>
        <v>#REF!</v>
      </c>
      <c r="BQ9" s="38" t="e">
        <f ca="1">IF('Graphical Overview'!BQ$5&lt;='WK Conversion'!$AX10,"ME",IF('Graphical Overview'!BQ$5&lt;='WK Conversion'!$AY10,"EE",IF('Graphical Overview'!BQ$5&lt;='WK Conversion'!$AZ10,"M",IF('Graphical Overview'!BQ$5&lt;='WK Conversion'!$BA10,"A",IF('Graphical Overview'!BQ$5&lt;'WK Conversion'!$BB10,"P",IF('Graphical Overview'!BQ$5='WK Conversion'!$BB10,"R",IF('Graphical Overview'!BQ$5&lt;='WK Conversion'!$BC10,"CI",IF('Graphical Overview'!BQ$5&lt;='WK Conversion'!$BD10,"I",""))))))))</f>
        <v>#REF!</v>
      </c>
      <c r="BR9" s="38" t="e">
        <f ca="1">IF('Graphical Overview'!BR$5&lt;='WK Conversion'!$AX10,"ME",IF('Graphical Overview'!BR$5&lt;='WK Conversion'!$AY10,"EE",IF('Graphical Overview'!BR$5&lt;='WK Conversion'!$AZ10,"M",IF('Graphical Overview'!BR$5&lt;='WK Conversion'!$BA10,"A",IF('Graphical Overview'!BR$5&lt;'WK Conversion'!$BB10,"P",IF('Graphical Overview'!BR$5='WK Conversion'!$BB10,"R",IF('Graphical Overview'!BR$5&lt;='WK Conversion'!$BC10,"CI",IF('Graphical Overview'!BR$5&lt;='WK Conversion'!$BD10,"I",""))))))))</f>
        <v>#REF!</v>
      </c>
      <c r="BS9" s="38" t="e">
        <f ca="1">IF('Graphical Overview'!BS$5&lt;='WK Conversion'!$AX10,"ME",IF('Graphical Overview'!BS$5&lt;='WK Conversion'!$AY10,"EE",IF('Graphical Overview'!BS$5&lt;='WK Conversion'!$AZ10,"M",IF('Graphical Overview'!BS$5&lt;='WK Conversion'!$BA10,"A",IF('Graphical Overview'!BS$5&lt;'WK Conversion'!$BB10,"P",IF('Graphical Overview'!BS$5='WK Conversion'!$BB10,"R",IF('Graphical Overview'!BS$5&lt;='WK Conversion'!$BC10,"CI",IF('Graphical Overview'!BS$5&lt;='WK Conversion'!$BD10,"I",""))))))))</f>
        <v>#REF!</v>
      </c>
      <c r="BT9" s="38" t="e">
        <f ca="1">IF('Graphical Overview'!BT$5&lt;='WK Conversion'!$AX10,"ME",IF('Graphical Overview'!BT$5&lt;='WK Conversion'!$AY10,"EE",IF('Graphical Overview'!BT$5&lt;='WK Conversion'!$AZ10,"M",IF('Graphical Overview'!BT$5&lt;='WK Conversion'!$BA10,"A",IF('Graphical Overview'!BT$5&lt;'WK Conversion'!$BB10,"P",IF('Graphical Overview'!BT$5='WK Conversion'!$BB10,"R",IF('Graphical Overview'!BT$5&lt;='WK Conversion'!$BC10,"CI",IF('Graphical Overview'!BT$5&lt;='WK Conversion'!$BD10,"I",""))))))))</f>
        <v>#REF!</v>
      </c>
      <c r="BU9" s="38" t="e">
        <f ca="1">IF('Graphical Overview'!BU$5&lt;='WK Conversion'!$AX10,"ME",IF('Graphical Overview'!BU$5&lt;='WK Conversion'!$AY10,"EE",IF('Graphical Overview'!BU$5&lt;='WK Conversion'!$AZ10,"M",IF('Graphical Overview'!BU$5&lt;='WK Conversion'!$BA10,"A",IF('Graphical Overview'!BU$5&lt;'WK Conversion'!$BB10,"P",IF('Graphical Overview'!BU$5='WK Conversion'!$BB10,"R",IF('Graphical Overview'!BU$5&lt;='WK Conversion'!$BC10,"CI",IF('Graphical Overview'!BU$5&lt;='WK Conversion'!$BD10,"I",""))))))))</f>
        <v>#REF!</v>
      </c>
      <c r="BV9" s="38" t="e">
        <f ca="1">IF('Graphical Overview'!BV$5&lt;='WK Conversion'!$AX10,"ME",IF('Graphical Overview'!BV$5&lt;='WK Conversion'!$AY10,"EE",IF('Graphical Overview'!BV$5&lt;='WK Conversion'!$AZ10,"M",IF('Graphical Overview'!BV$5&lt;='WK Conversion'!$BA10,"A",IF('Graphical Overview'!BV$5&lt;'WK Conversion'!$BB10,"P",IF('Graphical Overview'!BV$5='WK Conversion'!$BB10,"R",IF('Graphical Overview'!BV$5&lt;='WK Conversion'!$BC10,"CI",IF('Graphical Overview'!BV$5&lt;='WK Conversion'!$BD10,"I",""))))))))</f>
        <v>#REF!</v>
      </c>
      <c r="BW9" s="38" t="e">
        <f ca="1">IF('Graphical Overview'!BW$5&lt;='WK Conversion'!$AX10,"ME",IF('Graphical Overview'!BW$5&lt;='WK Conversion'!$AY10,"EE",IF('Graphical Overview'!BW$5&lt;='WK Conversion'!$AZ10,"M",IF('Graphical Overview'!BW$5&lt;='WK Conversion'!$BA10,"A",IF('Graphical Overview'!BW$5&lt;'WK Conversion'!$BB10,"P",IF('Graphical Overview'!BW$5='WK Conversion'!$BB10,"R",IF('Graphical Overview'!BW$5&lt;='WK Conversion'!$BC10,"CI",IF('Graphical Overview'!BW$5&lt;='WK Conversion'!$BD10,"I",""))))))))</f>
        <v>#REF!</v>
      </c>
      <c r="BX9" s="38" t="e">
        <f ca="1">IF('Graphical Overview'!BX$5&lt;='WK Conversion'!$AX10,"ME",IF('Graphical Overview'!BX$5&lt;='WK Conversion'!$AY10,"EE",IF('Graphical Overview'!BX$5&lt;='WK Conversion'!$AZ10,"M",IF('Graphical Overview'!BX$5&lt;='WK Conversion'!$BA10,"A",IF('Graphical Overview'!BX$5&lt;'WK Conversion'!$BB10,"P",IF('Graphical Overview'!BX$5='WK Conversion'!$BB10,"R",IF('Graphical Overview'!BX$5&lt;='WK Conversion'!$BC10,"CI",IF('Graphical Overview'!BX$5&lt;='WK Conversion'!$BD10,"I",""))))))))</f>
        <v>#REF!</v>
      </c>
      <c r="BY9" s="38" t="e">
        <f ca="1">IF('Graphical Overview'!BY$5&lt;='WK Conversion'!$AX10,"ME",IF('Graphical Overview'!BY$5&lt;='WK Conversion'!$AY10,"EE",IF('Graphical Overview'!BY$5&lt;='WK Conversion'!$AZ10,"M",IF('Graphical Overview'!BY$5&lt;='WK Conversion'!$BA10,"A",IF('Graphical Overview'!BY$5&lt;'WK Conversion'!$BB10,"P",IF('Graphical Overview'!BY$5='WK Conversion'!$BB10,"R",IF('Graphical Overview'!BY$5&lt;='WK Conversion'!$BC10,"CI",IF('Graphical Overview'!BY$5&lt;='WK Conversion'!$BD10,"I",""))))))))</f>
        <v>#REF!</v>
      </c>
      <c r="BZ9" s="38" t="e">
        <f ca="1">IF('Graphical Overview'!BZ$5&lt;='WK Conversion'!$AX10,"ME",IF('Graphical Overview'!BZ$5&lt;='WK Conversion'!$AY10,"EE",IF('Graphical Overview'!BZ$5&lt;='WK Conversion'!$AZ10,"M",IF('Graphical Overview'!BZ$5&lt;='WK Conversion'!$BA10,"A",IF('Graphical Overview'!BZ$5&lt;'WK Conversion'!$BB10,"P",IF('Graphical Overview'!BZ$5='WK Conversion'!$BB10,"R",IF('Graphical Overview'!BZ$5&lt;='WK Conversion'!$BC10,"CI",IF('Graphical Overview'!BZ$5&lt;='WK Conversion'!$BD10,"I",""))))))))</f>
        <v>#REF!</v>
      </c>
      <c r="CA9" s="38" t="e">
        <f ca="1">IF('Graphical Overview'!CA$5&lt;='WK Conversion'!$AX10,"ME",IF('Graphical Overview'!CA$5&lt;='WK Conversion'!$AY10,"EE",IF('Graphical Overview'!CA$5&lt;='WK Conversion'!$AZ10,"M",IF('Graphical Overview'!CA$5&lt;='WK Conversion'!$BA10,"A",IF('Graphical Overview'!CA$5&lt;'WK Conversion'!$BB10,"P",IF('Graphical Overview'!CA$5='WK Conversion'!$BB10,"R",IF('Graphical Overview'!CA$5&lt;='WK Conversion'!$BC10,"CI",IF('Graphical Overview'!CA$5&lt;='WK Conversion'!$BD10,"I",""))))))))</f>
        <v>#REF!</v>
      </c>
      <c r="CB9" s="38" t="e">
        <f ca="1">IF('Graphical Overview'!CB$5&lt;='WK Conversion'!$AX10,"ME",IF('Graphical Overview'!CB$5&lt;='WK Conversion'!$AY10,"EE",IF('Graphical Overview'!CB$5&lt;='WK Conversion'!$AZ10,"M",IF('Graphical Overview'!CB$5&lt;='WK Conversion'!$BA10,"A",IF('Graphical Overview'!CB$5&lt;'WK Conversion'!$BB10,"P",IF('Graphical Overview'!CB$5='WK Conversion'!$BB10,"R",IF('Graphical Overview'!CB$5&lt;='WK Conversion'!$BC10,"CI",IF('Graphical Overview'!CB$5&lt;='WK Conversion'!$BD10,"I",""))))))))</f>
        <v>#REF!</v>
      </c>
      <c r="CC9" s="38" t="e">
        <f ca="1">IF('Graphical Overview'!CC$5&lt;='WK Conversion'!$AX10,"ME",IF('Graphical Overview'!CC$5&lt;='WK Conversion'!$AY10,"EE",IF('Graphical Overview'!CC$5&lt;='WK Conversion'!$AZ10,"M",IF('Graphical Overview'!CC$5&lt;='WK Conversion'!$BA10,"A",IF('Graphical Overview'!CC$5&lt;'WK Conversion'!$BB10,"P",IF('Graphical Overview'!CC$5='WK Conversion'!$BB10,"R",IF('Graphical Overview'!CC$5&lt;='WK Conversion'!$BC10,"CI",IF('Graphical Overview'!CC$5&lt;='WK Conversion'!$BD10,"I",""))))))))</f>
        <v>#REF!</v>
      </c>
      <c r="CD9" s="38" t="e">
        <f ca="1">IF('Graphical Overview'!CD$5&lt;='WK Conversion'!$AX10,"ME",IF('Graphical Overview'!CD$5&lt;='WK Conversion'!$AY10,"EE",IF('Graphical Overview'!CD$5&lt;='WK Conversion'!$AZ10,"M",IF('Graphical Overview'!CD$5&lt;='WK Conversion'!$BA10,"A",IF('Graphical Overview'!CD$5&lt;'WK Conversion'!$BB10,"P",IF('Graphical Overview'!CD$5='WK Conversion'!$BB10,"R",IF('Graphical Overview'!CD$5&lt;='WK Conversion'!$BC10,"CI",IF('Graphical Overview'!CD$5&lt;='WK Conversion'!$BD10,"I",""))))))))</f>
        <v>#REF!</v>
      </c>
      <c r="CE9" s="38" t="e">
        <f ca="1">IF('Graphical Overview'!CE$5&lt;='WK Conversion'!$AX10,"ME",IF('Graphical Overview'!CE$5&lt;='WK Conversion'!$AY10,"EE",IF('Graphical Overview'!CE$5&lt;='WK Conversion'!$AZ10,"M",IF('Graphical Overview'!CE$5&lt;='WK Conversion'!$BA10,"A",IF('Graphical Overview'!CE$5&lt;'WK Conversion'!$BB10,"P",IF('Graphical Overview'!CE$5='WK Conversion'!$BB10,"R",IF('Graphical Overview'!CE$5&lt;='WK Conversion'!$BC10,"CI",IF('Graphical Overview'!CE$5&lt;='WK Conversion'!$BD10,"I",""))))))))</f>
        <v>#REF!</v>
      </c>
      <c r="CF9" s="39" t="e">
        <f ca="1">IF('Graphical Overview'!CF$5&lt;='WK Conversion'!$AX10,"ME",IF('Graphical Overview'!CF$5&lt;='WK Conversion'!$AY10,"EE",IF('Graphical Overview'!CF$5&lt;='WK Conversion'!$AZ10,"M",IF('Graphical Overview'!CF$5&lt;='WK Conversion'!$BA10,"A",IF('Graphical Overview'!CF$5&lt;'WK Conversion'!$BB10,"P",IF('Graphical Overview'!CF$5='WK Conversion'!$BB10,"R",IF('Graphical Overview'!CF$5&lt;='WK Conversion'!$BC10,"CI",IF('Graphical Overview'!CF$5&lt;='WK Conversion'!$BD10,"I",""))))))))</f>
        <v>#REF!</v>
      </c>
    </row>
    <row r="10" spans="1:88" ht="22.5" customHeight="1" x14ac:dyDescent="0.25">
      <c r="A10" s="41" t="e">
        <f>IF(Data!#REF!="","",Data!#REF!)</f>
        <v>#REF!</v>
      </c>
      <c r="B10" s="42" t="e">
        <f>IF(Data!#REF!="","",Data!#REF!)</f>
        <v>#REF!</v>
      </c>
      <c r="C10" s="42" t="e">
        <f>IF(Data!#REF!="","",Data!#REF!)</f>
        <v>#REF!</v>
      </c>
      <c r="D10" s="90" t="e">
        <f>IF(Data!#REF!="","",Data!#REF!)</f>
        <v>#REF!</v>
      </c>
      <c r="E10" s="42" t="e">
        <f>IF(Data!#REF!="","",Data!#REF!)</f>
        <v>#REF!</v>
      </c>
      <c r="F10" s="99" t="e">
        <f>IF(Data!#REF!="","",Data!#REF!)</f>
        <v>#REF!</v>
      </c>
      <c r="G10" s="105" t="e">
        <f t="shared" si="2"/>
        <v>#REF!</v>
      </c>
      <c r="H10" s="106" t="e">
        <f>IF(Data!#REF!="","",Data!#REF!)</f>
        <v>#REF!</v>
      </c>
      <c r="I10" s="106" t="e">
        <f>IF(Data!#REF!="","",Data!#REF!)</f>
        <v>#REF!</v>
      </c>
      <c r="J10" s="106" t="e">
        <f>IF(Data!#REF!="","",Data!#REF!)</f>
        <v>#REF!</v>
      </c>
      <c r="K10" s="106" t="e">
        <f>IF(Data!#REF!="","",Data!#REF!)</f>
        <v>#REF!</v>
      </c>
      <c r="L10" s="106" t="e">
        <f>IF(Data!#REF!="","",Data!#REF!)</f>
        <v>#REF!</v>
      </c>
      <c r="M10" s="106" t="e">
        <f>IF(Data!#REF!="","",Data!#REF!)</f>
        <v>#REF!</v>
      </c>
      <c r="N10" s="106" t="e">
        <f>IF(Data!#REF!="","",Data!#REF!)</f>
        <v>#REF!</v>
      </c>
      <c r="O10" s="106" t="e">
        <f>IF(Data!#REF!="","",Data!#REF!)</f>
        <v>#REF!</v>
      </c>
      <c r="P10" s="106" t="e">
        <f>IF(Data!#REF!="","",Data!#REF!)</f>
        <v>#REF!</v>
      </c>
      <c r="Q10" s="107" t="e">
        <f>IF(Data!#REF!="","",Data!#REF!)</f>
        <v>#REF!</v>
      </c>
      <c r="R10" s="105" t="e">
        <f>IF(Data!#REF!="","",Data!#REF!)</f>
        <v>#REF!</v>
      </c>
      <c r="S10" s="106" t="e">
        <f>IF(Data!#REF!="","",Data!#REF!)</f>
        <v>#REF!</v>
      </c>
      <c r="T10" s="106" t="e">
        <f>IF(Data!#REF!="","",Data!#REF!)</f>
        <v>#REF!</v>
      </c>
      <c r="U10" s="106" t="e">
        <f>IF(Data!#REF!="","",Data!#REF!)</f>
        <v>#REF!</v>
      </c>
      <c r="V10" s="106" t="e">
        <f>IF(Data!#REF!="","",Data!#REF!)</f>
        <v>#REF!</v>
      </c>
      <c r="W10" s="106" t="e">
        <f>IF(Data!#REF!="","",Data!#REF!)</f>
        <v>#REF!</v>
      </c>
      <c r="X10" s="106" t="e">
        <f>IF(Data!#REF!="","",Data!#REF!)</f>
        <v>#REF!</v>
      </c>
      <c r="Y10" s="106" t="e">
        <f>IF(Data!#REF!="","",Data!#REF!)</f>
        <v>#REF!</v>
      </c>
      <c r="Z10" s="106" t="e">
        <f>IF(Data!#REF!="","",Data!#REF!)</f>
        <v>#REF!</v>
      </c>
      <c r="AA10" s="106" t="e">
        <f>IF(Data!#REF!="","",Data!#REF!)</f>
        <v>#REF!</v>
      </c>
      <c r="AB10" s="107" t="e">
        <f>IF(Data!#REF!="","",Data!#REF!)</f>
        <v>#REF!</v>
      </c>
      <c r="AC10" s="105" t="e">
        <f>IF(Data!#REF!="","",Data!#REF!)</f>
        <v>#REF!</v>
      </c>
      <c r="AD10" s="106" t="e">
        <f>IF(Data!#REF!="","",Data!#REF!)</f>
        <v>#REF!</v>
      </c>
      <c r="AE10" s="106" t="e">
        <f>IF(Data!#REF!="","",Data!#REF!)</f>
        <v>#REF!</v>
      </c>
      <c r="AF10" s="106" t="e">
        <f>IF(Data!#REF!="","",Data!#REF!)</f>
        <v>#REF!</v>
      </c>
      <c r="AG10" s="106" t="e">
        <f>IF(Data!#REF!="","",Data!#REF!)</f>
        <v>#REF!</v>
      </c>
      <c r="AH10" s="106" t="e">
        <f>IF(Data!#REF!="","",Data!#REF!)</f>
        <v>#REF!</v>
      </c>
      <c r="AI10" s="106" t="e">
        <f>IF(Data!#REF!="","",Data!#REF!)</f>
        <v>#REF!</v>
      </c>
      <c r="AJ10" s="106" t="e">
        <f>IF(Data!#REF!="","",Data!#REF!)</f>
        <v>#REF!</v>
      </c>
      <c r="AK10" s="106" t="e">
        <f>IF(Data!#REF!="","",Data!#REF!)</f>
        <v>#REF!</v>
      </c>
      <c r="AL10" s="106" t="e">
        <f>IF(Data!#REF!="","",Data!#REF!)</f>
        <v>#REF!</v>
      </c>
      <c r="AM10" s="107" t="e">
        <f>IF(Data!#REF!="","",Data!#REF!)</f>
        <v>#REF!</v>
      </c>
      <c r="AN10" s="105" t="e">
        <f>IF(Data!#REF!="","",Data!#REF!)</f>
        <v>#REF!</v>
      </c>
      <c r="AO10" s="106" t="e">
        <f>IF(Data!#REF!="","",Data!#REF!)</f>
        <v>#REF!</v>
      </c>
      <c r="AP10" s="106" t="e">
        <f>IF(Data!#REF!="","",Data!#REF!)</f>
        <v>#REF!</v>
      </c>
      <c r="AQ10" s="106" t="e">
        <f>IF(Data!#REF!="","",Data!#REF!)</f>
        <v>#REF!</v>
      </c>
      <c r="AR10" s="106" t="e">
        <f>IF(Data!#REF!="","",Data!#REF!)</f>
        <v>#REF!</v>
      </c>
      <c r="AS10" s="106" t="e">
        <f>IF(Data!#REF!="","",Data!#REF!)</f>
        <v>#REF!</v>
      </c>
      <c r="AT10" s="106" t="e">
        <f>IF(Data!#REF!="","",Data!#REF!)</f>
        <v>#REF!</v>
      </c>
      <c r="AU10" s="106" t="e">
        <f>IF(Data!#REF!="","",Data!#REF!)</f>
        <v>#REF!</v>
      </c>
      <c r="AV10" s="106" t="e">
        <f>IF(Data!#REF!="","",Data!#REF!)</f>
        <v>#REF!</v>
      </c>
      <c r="AW10" s="106" t="e">
        <f>IF(Data!#REF!="","",Data!#REF!)</f>
        <v>#REF!</v>
      </c>
      <c r="AX10" s="106" t="e">
        <f>IF(Data!#REF!="","",Data!#REF!)</f>
        <v>#REF!</v>
      </c>
      <c r="AY10" s="107" t="e">
        <f>IF(Data!#REF!="","",Data!#REF!)</f>
        <v>#REF!</v>
      </c>
      <c r="AZ10" s="109" t="e">
        <f>IF(Data!#REF!="","",Data!#REF!)</f>
        <v>#REF!</v>
      </c>
      <c r="BA10" s="116" t="e">
        <f ca="1">IF('Graphical Overview'!BA$5&lt;='WK Conversion'!$AX11,"ME",IF('Graphical Overview'!BA$5&lt;='WK Conversion'!$AY11,"EE",IF('Graphical Overview'!BA$5&lt;='WK Conversion'!$AZ11,"M",IF('Graphical Overview'!BA$5&lt;='WK Conversion'!$BA11,"A",IF('Graphical Overview'!BA$5&lt;'WK Conversion'!$BB11,"P",IF('Graphical Overview'!BA$5='WK Conversion'!$BB11,"R",IF('Graphical Overview'!BA$5&lt;='WK Conversion'!$BC11,"CI",IF('Graphical Overview'!BA$5&lt;='WK Conversion'!$BD11,"I",""))))))))</f>
        <v>#REF!</v>
      </c>
      <c r="BB10" s="38" t="e">
        <f ca="1">IF('Graphical Overview'!BB$5&lt;='WK Conversion'!$AX11,"ME",IF('Graphical Overview'!BB$5&lt;='WK Conversion'!$AY11,"EE",IF('Graphical Overview'!BB$5&lt;='WK Conversion'!$AZ11,"M",IF('Graphical Overview'!BB$5&lt;='WK Conversion'!$BA11,"A",IF('Graphical Overview'!BB$5&lt;'WK Conversion'!$BB11,"P",IF('Graphical Overview'!BB$5='WK Conversion'!$BB11,"R",IF('Graphical Overview'!BB$5&lt;='WK Conversion'!$BC11,"CI",IF('Graphical Overview'!BB$5&lt;='WK Conversion'!$BD11,"I",""))))))))</f>
        <v>#REF!</v>
      </c>
      <c r="BC10" s="38" t="e">
        <f ca="1">IF('Graphical Overview'!BC$5&lt;='WK Conversion'!$AX11,"ME",IF('Graphical Overview'!BC$5&lt;='WK Conversion'!$AY11,"EE",IF('Graphical Overview'!BC$5&lt;='WK Conversion'!$AZ11,"M",IF('Graphical Overview'!BC$5&lt;='WK Conversion'!$BA11,"A",IF('Graphical Overview'!BC$5&lt;'WK Conversion'!$BB11,"P",IF('Graphical Overview'!BC$5='WK Conversion'!$BB11,"R",IF('Graphical Overview'!BC$5&lt;='WK Conversion'!$BC11,"CI",IF('Graphical Overview'!BC$5&lt;='WK Conversion'!$BD11,"I",""))))))))</f>
        <v>#REF!</v>
      </c>
      <c r="BD10" s="38" t="e">
        <f ca="1">IF('Graphical Overview'!BD$5&lt;='WK Conversion'!$AX11,"ME",IF('Graphical Overview'!BD$5&lt;='WK Conversion'!$AY11,"EE",IF('Graphical Overview'!BD$5&lt;='WK Conversion'!$AZ11,"M",IF('Graphical Overview'!BD$5&lt;='WK Conversion'!$BA11,"A",IF('Graphical Overview'!BD$5&lt;'WK Conversion'!$BB11,"P",IF('Graphical Overview'!BD$5='WK Conversion'!$BB11,"R",IF('Graphical Overview'!BD$5&lt;='WK Conversion'!$BC11,"CI",IF('Graphical Overview'!BD$5&lt;='WK Conversion'!$BD11,"I",""))))))))</f>
        <v>#REF!</v>
      </c>
      <c r="BE10" s="38" t="e">
        <f ca="1">IF('Graphical Overview'!BE$5&lt;='WK Conversion'!$AX11,"ME",IF('Graphical Overview'!BE$5&lt;='WK Conversion'!$AY11,"EE",IF('Graphical Overview'!BE$5&lt;='WK Conversion'!$AZ11,"M",IF('Graphical Overview'!BE$5&lt;='WK Conversion'!$BA11,"A",IF('Graphical Overview'!BE$5&lt;'WK Conversion'!$BB11,"P",IF('Graphical Overview'!BE$5='WK Conversion'!$BB11,"R",IF('Graphical Overview'!BE$5&lt;='WK Conversion'!$BC11,"CI",IF('Graphical Overview'!BE$5&lt;='WK Conversion'!$BD11,"I",""))))))))</f>
        <v>#REF!</v>
      </c>
      <c r="BF10" s="38" t="e">
        <f ca="1">IF('Graphical Overview'!BF$5&lt;='WK Conversion'!$AX11,"ME",IF('Graphical Overview'!BF$5&lt;='WK Conversion'!$AY11,"EE",IF('Graphical Overview'!BF$5&lt;='WK Conversion'!$AZ11,"M",IF('Graphical Overview'!BF$5&lt;='WK Conversion'!$BA11,"A",IF('Graphical Overview'!BF$5&lt;'WK Conversion'!$BB11,"P",IF('Graphical Overview'!BF$5='WK Conversion'!$BB11,"R",IF('Graphical Overview'!BF$5&lt;='WK Conversion'!$BC11,"CI",IF('Graphical Overview'!BF$5&lt;='WK Conversion'!$BD11,"I",""))))))))</f>
        <v>#REF!</v>
      </c>
      <c r="BG10" s="38" t="e">
        <f ca="1">IF('Graphical Overview'!BG$5&lt;='WK Conversion'!$AX11,"ME",IF('Graphical Overview'!BG$5&lt;='WK Conversion'!$AY11,"EE",IF('Graphical Overview'!BG$5&lt;='WK Conversion'!$AZ11,"M",IF('Graphical Overview'!BG$5&lt;='WK Conversion'!$BA11,"A",IF('Graphical Overview'!BG$5&lt;'WK Conversion'!$BB11,"P",IF('Graphical Overview'!BG$5='WK Conversion'!$BB11,"R",IF('Graphical Overview'!BG$5&lt;='WK Conversion'!$BC11,"CI",IF('Graphical Overview'!BG$5&lt;='WK Conversion'!$BD11,"I",""))))))))</f>
        <v>#REF!</v>
      </c>
      <c r="BH10" s="38" t="e">
        <f ca="1">IF('Graphical Overview'!BH$5&lt;='WK Conversion'!$AX11,"ME",IF('Graphical Overview'!BH$5&lt;='WK Conversion'!$AY11,"EE",IF('Graphical Overview'!BH$5&lt;='WK Conversion'!$AZ11,"M",IF('Graphical Overview'!BH$5&lt;='WK Conversion'!$BA11,"A",IF('Graphical Overview'!BH$5&lt;'WK Conversion'!$BB11,"P",IF('Graphical Overview'!BH$5='WK Conversion'!$BB11,"R",IF('Graphical Overview'!BH$5&lt;='WK Conversion'!$BC11,"CI",IF('Graphical Overview'!BH$5&lt;='WK Conversion'!$BD11,"I",""))))))))</f>
        <v>#REF!</v>
      </c>
      <c r="BI10" s="38" t="e">
        <f ca="1">IF('Graphical Overview'!BI$5&lt;='WK Conversion'!$AX11,"ME",IF('Graphical Overview'!BI$5&lt;='WK Conversion'!$AY11,"EE",IF('Graphical Overview'!BI$5&lt;='WK Conversion'!$AZ11,"M",IF('Graphical Overview'!BI$5&lt;='WK Conversion'!$BA11,"A",IF('Graphical Overview'!BI$5&lt;'WK Conversion'!$BB11,"P",IF('Graphical Overview'!BI$5='WK Conversion'!$BB11,"R",IF('Graphical Overview'!BI$5&lt;='WK Conversion'!$BC11,"CI",IF('Graphical Overview'!BI$5&lt;='WK Conversion'!$BD11,"I",""))))))))</f>
        <v>#REF!</v>
      </c>
      <c r="BJ10" s="38" t="e">
        <f ca="1">IF('Graphical Overview'!BJ$5&lt;='WK Conversion'!$AX11,"ME",IF('Graphical Overview'!BJ$5&lt;='WK Conversion'!$AY11,"EE",IF('Graphical Overview'!BJ$5&lt;='WK Conversion'!$AZ11,"M",IF('Graphical Overview'!BJ$5&lt;='WK Conversion'!$BA11,"A",IF('Graphical Overview'!BJ$5&lt;'WK Conversion'!$BB11,"P",IF('Graphical Overview'!BJ$5='WK Conversion'!$BB11,"R",IF('Graphical Overview'!BJ$5&lt;='WK Conversion'!$BC11,"CI",IF('Graphical Overview'!BJ$5&lt;='WK Conversion'!$BD11,"I",""))))))))</f>
        <v>#REF!</v>
      </c>
      <c r="BK10" s="38" t="e">
        <f ca="1">IF('Graphical Overview'!BK$5&lt;='WK Conversion'!$AX11,"ME",IF('Graphical Overview'!BK$5&lt;='WK Conversion'!$AY11,"EE",IF('Graphical Overview'!BK$5&lt;='WK Conversion'!$AZ11,"M",IF('Graphical Overview'!BK$5&lt;='WK Conversion'!$BA11,"A",IF('Graphical Overview'!BK$5&lt;'WK Conversion'!$BB11,"P",IF('Graphical Overview'!BK$5='WK Conversion'!$BB11,"R",IF('Graphical Overview'!BK$5&lt;='WK Conversion'!$BC11,"CI",IF('Graphical Overview'!BK$5&lt;='WK Conversion'!$BD11,"I",""))))))))</f>
        <v>#REF!</v>
      </c>
      <c r="BL10" s="38" t="e">
        <f ca="1">IF('Graphical Overview'!BL$5&lt;='WK Conversion'!$AX11,"ME",IF('Graphical Overview'!BL$5&lt;='WK Conversion'!$AY11,"EE",IF('Graphical Overview'!BL$5&lt;='WK Conversion'!$AZ11,"M",IF('Graphical Overview'!BL$5&lt;='WK Conversion'!$BA11,"A",IF('Graphical Overview'!BL$5&lt;'WK Conversion'!$BB11,"P",IF('Graphical Overview'!BL$5='WK Conversion'!$BB11,"R",IF('Graphical Overview'!BL$5&lt;='WK Conversion'!$BC11,"CI",IF('Graphical Overview'!BL$5&lt;='WK Conversion'!$BD11,"I",""))))))))</f>
        <v>#REF!</v>
      </c>
      <c r="BM10" s="38" t="e">
        <f ca="1">IF('Graphical Overview'!BM$5&lt;='WK Conversion'!$AX11,"ME",IF('Graphical Overview'!BM$5&lt;='WK Conversion'!$AY11,"EE",IF('Graphical Overview'!BM$5&lt;='WK Conversion'!$AZ11,"M",IF('Graphical Overview'!BM$5&lt;='WK Conversion'!$BA11,"A",IF('Graphical Overview'!BM$5&lt;'WK Conversion'!$BB11,"P",IF('Graphical Overview'!BM$5='WK Conversion'!$BB11,"R",IF('Graphical Overview'!BM$5&lt;='WK Conversion'!$BC11,"CI",IF('Graphical Overview'!BM$5&lt;='WK Conversion'!$BD11,"I",""))))))))</f>
        <v>#REF!</v>
      </c>
      <c r="BN10" s="38" t="e">
        <f ca="1">IF('Graphical Overview'!BN$5&lt;='WK Conversion'!$AX11,"ME",IF('Graphical Overview'!BN$5&lt;='WK Conversion'!$AY11,"EE",IF('Graphical Overview'!BN$5&lt;='WK Conversion'!$AZ11,"M",IF('Graphical Overview'!BN$5&lt;='WK Conversion'!$BA11,"A",IF('Graphical Overview'!BN$5&lt;'WK Conversion'!$BB11,"P",IF('Graphical Overview'!BN$5='WK Conversion'!$BB11,"R",IF('Graphical Overview'!BN$5&lt;='WK Conversion'!$BC11,"CI",IF('Graphical Overview'!BN$5&lt;='WK Conversion'!$BD11,"I",""))))))))</f>
        <v>#REF!</v>
      </c>
      <c r="BO10" s="108" t="e">
        <f ca="1">IF('Graphical Overview'!BO$5&lt;='WK Conversion'!$AX11,"ME",IF('Graphical Overview'!BO$5&lt;='WK Conversion'!$AY11,"EE",IF('Graphical Overview'!BO$5&lt;='WK Conversion'!$AZ11,"M",IF('Graphical Overview'!BO$5&lt;='WK Conversion'!$BA11,"A",IF('Graphical Overview'!BO$5&lt;'WK Conversion'!$BB11,"P",IF('Graphical Overview'!BO$5='WK Conversion'!$BB11,"R",IF('Graphical Overview'!BO$5&lt;='WK Conversion'!$BC11,"CI",IF('Graphical Overview'!BO$5&lt;='WK Conversion'!$BD11,"I",""))))))))</f>
        <v>#REF!</v>
      </c>
      <c r="BP10" s="38" t="e">
        <f ca="1">IF('Graphical Overview'!BP$5&lt;='WK Conversion'!$AX11,"ME",IF('Graphical Overview'!BP$5&lt;='WK Conversion'!$AY11,"EE",IF('Graphical Overview'!BP$5&lt;='WK Conversion'!$AZ11,"M",IF('Graphical Overview'!BP$5&lt;='WK Conversion'!$BA11,"A",IF('Graphical Overview'!BP$5&lt;'WK Conversion'!$BB11,"P",IF('Graphical Overview'!BP$5='WK Conversion'!$BB11,"R",IF('Graphical Overview'!BP$5&lt;='WK Conversion'!$BC11,"CI",IF('Graphical Overview'!BP$5&lt;='WK Conversion'!$BD11,"I",""))))))))</f>
        <v>#REF!</v>
      </c>
      <c r="BQ10" s="38" t="e">
        <f ca="1">IF('Graphical Overview'!BQ$5&lt;='WK Conversion'!$AX11,"ME",IF('Graphical Overview'!BQ$5&lt;='WK Conversion'!$AY11,"EE",IF('Graphical Overview'!BQ$5&lt;='WK Conversion'!$AZ11,"M",IF('Graphical Overview'!BQ$5&lt;='WK Conversion'!$BA11,"A",IF('Graphical Overview'!BQ$5&lt;'WK Conversion'!$BB11,"P",IF('Graphical Overview'!BQ$5='WK Conversion'!$BB11,"R",IF('Graphical Overview'!BQ$5&lt;='WK Conversion'!$BC11,"CI",IF('Graphical Overview'!BQ$5&lt;='WK Conversion'!$BD11,"I",""))))))))</f>
        <v>#REF!</v>
      </c>
      <c r="BR10" s="38" t="e">
        <f ca="1">IF('Graphical Overview'!BR$5&lt;='WK Conversion'!$AX11,"ME",IF('Graphical Overview'!BR$5&lt;='WK Conversion'!$AY11,"EE",IF('Graphical Overview'!BR$5&lt;='WK Conversion'!$AZ11,"M",IF('Graphical Overview'!BR$5&lt;='WK Conversion'!$BA11,"A",IF('Graphical Overview'!BR$5&lt;'WK Conversion'!$BB11,"P",IF('Graphical Overview'!BR$5='WK Conversion'!$BB11,"R",IF('Graphical Overview'!BR$5&lt;='WK Conversion'!$BC11,"CI",IF('Graphical Overview'!BR$5&lt;='WK Conversion'!$BD11,"I",""))))))))</f>
        <v>#REF!</v>
      </c>
      <c r="BS10" s="38" t="e">
        <f ca="1">IF('Graphical Overview'!BS$5&lt;='WK Conversion'!$AX11,"ME",IF('Graphical Overview'!BS$5&lt;='WK Conversion'!$AY11,"EE",IF('Graphical Overview'!BS$5&lt;='WK Conversion'!$AZ11,"M",IF('Graphical Overview'!BS$5&lt;='WK Conversion'!$BA11,"A",IF('Graphical Overview'!BS$5&lt;'WK Conversion'!$BB11,"P",IF('Graphical Overview'!BS$5='WK Conversion'!$BB11,"R",IF('Graphical Overview'!BS$5&lt;='WK Conversion'!$BC11,"CI",IF('Graphical Overview'!BS$5&lt;='WK Conversion'!$BD11,"I",""))))))))</f>
        <v>#REF!</v>
      </c>
      <c r="BT10" s="38" t="e">
        <f ca="1">IF('Graphical Overview'!BT$5&lt;='WK Conversion'!$AX11,"ME",IF('Graphical Overview'!BT$5&lt;='WK Conversion'!$AY11,"EE",IF('Graphical Overview'!BT$5&lt;='WK Conversion'!$AZ11,"M",IF('Graphical Overview'!BT$5&lt;='WK Conversion'!$BA11,"A",IF('Graphical Overview'!BT$5&lt;'WK Conversion'!$BB11,"P",IF('Graphical Overview'!BT$5='WK Conversion'!$BB11,"R",IF('Graphical Overview'!BT$5&lt;='WK Conversion'!$BC11,"CI",IF('Graphical Overview'!BT$5&lt;='WK Conversion'!$BD11,"I",""))))))))</f>
        <v>#REF!</v>
      </c>
      <c r="BU10" s="38" t="e">
        <f ca="1">IF('Graphical Overview'!BU$5&lt;='WK Conversion'!$AX11,"ME",IF('Graphical Overview'!BU$5&lt;='WK Conversion'!$AY11,"EE",IF('Graphical Overview'!BU$5&lt;='WK Conversion'!$AZ11,"M",IF('Graphical Overview'!BU$5&lt;='WK Conversion'!$BA11,"A",IF('Graphical Overview'!BU$5&lt;'WK Conversion'!$BB11,"P",IF('Graphical Overview'!BU$5='WK Conversion'!$BB11,"R",IF('Graphical Overview'!BU$5&lt;='WK Conversion'!$BC11,"CI",IF('Graphical Overview'!BU$5&lt;='WK Conversion'!$BD11,"I",""))))))))</f>
        <v>#REF!</v>
      </c>
      <c r="BV10" s="38" t="e">
        <f ca="1">IF('Graphical Overview'!BV$5&lt;='WK Conversion'!$AX11,"ME",IF('Graphical Overview'!BV$5&lt;='WK Conversion'!$AY11,"EE",IF('Graphical Overview'!BV$5&lt;='WK Conversion'!$AZ11,"M",IF('Graphical Overview'!BV$5&lt;='WK Conversion'!$BA11,"A",IF('Graphical Overview'!BV$5&lt;'WK Conversion'!$BB11,"P",IF('Graphical Overview'!BV$5='WK Conversion'!$BB11,"R",IF('Graphical Overview'!BV$5&lt;='WK Conversion'!$BC11,"CI",IF('Graphical Overview'!BV$5&lt;='WK Conversion'!$BD11,"I",""))))))))</f>
        <v>#REF!</v>
      </c>
      <c r="BW10" s="38" t="e">
        <f ca="1">IF('Graphical Overview'!BW$5&lt;='WK Conversion'!$AX11,"ME",IF('Graphical Overview'!BW$5&lt;='WK Conversion'!$AY11,"EE",IF('Graphical Overview'!BW$5&lt;='WK Conversion'!$AZ11,"M",IF('Graphical Overview'!BW$5&lt;='WK Conversion'!$BA11,"A",IF('Graphical Overview'!BW$5&lt;'WK Conversion'!$BB11,"P",IF('Graphical Overview'!BW$5='WK Conversion'!$BB11,"R",IF('Graphical Overview'!BW$5&lt;='WK Conversion'!$BC11,"CI",IF('Graphical Overview'!BW$5&lt;='WK Conversion'!$BD11,"I",""))))))))</f>
        <v>#REF!</v>
      </c>
      <c r="BX10" s="38" t="e">
        <f ca="1">IF('Graphical Overview'!BX$5&lt;='WK Conversion'!$AX11,"ME",IF('Graphical Overview'!BX$5&lt;='WK Conversion'!$AY11,"EE",IF('Graphical Overview'!BX$5&lt;='WK Conversion'!$AZ11,"M",IF('Graphical Overview'!BX$5&lt;='WK Conversion'!$BA11,"A",IF('Graphical Overview'!BX$5&lt;'WK Conversion'!$BB11,"P",IF('Graphical Overview'!BX$5='WK Conversion'!$BB11,"R",IF('Graphical Overview'!BX$5&lt;='WK Conversion'!$BC11,"CI",IF('Graphical Overview'!BX$5&lt;='WK Conversion'!$BD11,"I",""))))))))</f>
        <v>#REF!</v>
      </c>
      <c r="BY10" s="38" t="e">
        <f ca="1">IF('Graphical Overview'!BY$5&lt;='WK Conversion'!$AX11,"ME",IF('Graphical Overview'!BY$5&lt;='WK Conversion'!$AY11,"EE",IF('Graphical Overview'!BY$5&lt;='WK Conversion'!$AZ11,"M",IF('Graphical Overview'!BY$5&lt;='WK Conversion'!$BA11,"A",IF('Graphical Overview'!BY$5&lt;'WK Conversion'!$BB11,"P",IF('Graphical Overview'!BY$5='WK Conversion'!$BB11,"R",IF('Graphical Overview'!BY$5&lt;='WK Conversion'!$BC11,"CI",IF('Graphical Overview'!BY$5&lt;='WK Conversion'!$BD11,"I",""))))))))</f>
        <v>#REF!</v>
      </c>
      <c r="BZ10" s="38" t="e">
        <f ca="1">IF('Graphical Overview'!BZ$5&lt;='WK Conversion'!$AX11,"ME",IF('Graphical Overview'!BZ$5&lt;='WK Conversion'!$AY11,"EE",IF('Graphical Overview'!BZ$5&lt;='WK Conversion'!$AZ11,"M",IF('Graphical Overview'!BZ$5&lt;='WK Conversion'!$BA11,"A",IF('Graphical Overview'!BZ$5&lt;'WK Conversion'!$BB11,"P",IF('Graphical Overview'!BZ$5='WK Conversion'!$BB11,"R",IF('Graphical Overview'!BZ$5&lt;='WK Conversion'!$BC11,"CI",IF('Graphical Overview'!BZ$5&lt;='WK Conversion'!$BD11,"I",""))))))))</f>
        <v>#REF!</v>
      </c>
      <c r="CA10" s="38" t="e">
        <f ca="1">IF('Graphical Overview'!CA$5&lt;='WK Conversion'!$AX11,"ME",IF('Graphical Overview'!CA$5&lt;='WK Conversion'!$AY11,"EE",IF('Graphical Overview'!CA$5&lt;='WK Conversion'!$AZ11,"M",IF('Graphical Overview'!CA$5&lt;='WK Conversion'!$BA11,"A",IF('Graphical Overview'!CA$5&lt;'WK Conversion'!$BB11,"P",IF('Graphical Overview'!CA$5='WK Conversion'!$BB11,"R",IF('Graphical Overview'!CA$5&lt;='WK Conversion'!$BC11,"CI",IF('Graphical Overview'!CA$5&lt;='WK Conversion'!$BD11,"I",""))))))))</f>
        <v>#REF!</v>
      </c>
      <c r="CB10" s="38" t="e">
        <f ca="1">IF('Graphical Overview'!CB$5&lt;='WK Conversion'!$AX11,"ME",IF('Graphical Overview'!CB$5&lt;='WK Conversion'!$AY11,"EE",IF('Graphical Overview'!CB$5&lt;='WK Conversion'!$AZ11,"M",IF('Graphical Overview'!CB$5&lt;='WK Conversion'!$BA11,"A",IF('Graphical Overview'!CB$5&lt;'WK Conversion'!$BB11,"P",IF('Graphical Overview'!CB$5='WK Conversion'!$BB11,"R",IF('Graphical Overview'!CB$5&lt;='WK Conversion'!$BC11,"CI",IF('Graphical Overview'!CB$5&lt;='WK Conversion'!$BD11,"I",""))))))))</f>
        <v>#REF!</v>
      </c>
      <c r="CC10" s="38" t="e">
        <f ca="1">IF('Graphical Overview'!CC$5&lt;='WK Conversion'!$AX11,"ME",IF('Graphical Overview'!CC$5&lt;='WK Conversion'!$AY11,"EE",IF('Graphical Overview'!CC$5&lt;='WK Conversion'!$AZ11,"M",IF('Graphical Overview'!CC$5&lt;='WK Conversion'!$BA11,"A",IF('Graphical Overview'!CC$5&lt;'WK Conversion'!$BB11,"P",IF('Graphical Overview'!CC$5='WK Conversion'!$BB11,"R",IF('Graphical Overview'!CC$5&lt;='WK Conversion'!$BC11,"CI",IF('Graphical Overview'!CC$5&lt;='WK Conversion'!$BD11,"I",""))))))))</f>
        <v>#REF!</v>
      </c>
      <c r="CD10" s="38" t="e">
        <f ca="1">IF('Graphical Overview'!CD$5&lt;='WK Conversion'!$AX11,"ME",IF('Graphical Overview'!CD$5&lt;='WK Conversion'!$AY11,"EE",IF('Graphical Overview'!CD$5&lt;='WK Conversion'!$AZ11,"M",IF('Graphical Overview'!CD$5&lt;='WK Conversion'!$BA11,"A",IF('Graphical Overview'!CD$5&lt;'WK Conversion'!$BB11,"P",IF('Graphical Overview'!CD$5='WK Conversion'!$BB11,"R",IF('Graphical Overview'!CD$5&lt;='WK Conversion'!$BC11,"CI",IF('Graphical Overview'!CD$5&lt;='WK Conversion'!$BD11,"I",""))))))))</f>
        <v>#REF!</v>
      </c>
      <c r="CE10" s="38" t="e">
        <f ca="1">IF('Graphical Overview'!CE$5&lt;='WK Conversion'!$AX11,"ME",IF('Graphical Overview'!CE$5&lt;='WK Conversion'!$AY11,"EE",IF('Graphical Overview'!CE$5&lt;='WK Conversion'!$AZ11,"M",IF('Graphical Overview'!CE$5&lt;='WK Conversion'!$BA11,"A",IF('Graphical Overview'!CE$5&lt;'WK Conversion'!$BB11,"P",IF('Graphical Overview'!CE$5='WK Conversion'!$BB11,"R",IF('Graphical Overview'!CE$5&lt;='WK Conversion'!$BC11,"CI",IF('Graphical Overview'!CE$5&lt;='WK Conversion'!$BD11,"I",""))))))))</f>
        <v>#REF!</v>
      </c>
      <c r="CF10" s="39" t="e">
        <f ca="1">IF('Graphical Overview'!CF$5&lt;='WK Conversion'!$AX11,"ME",IF('Graphical Overview'!CF$5&lt;='WK Conversion'!$AY11,"EE",IF('Graphical Overview'!CF$5&lt;='WK Conversion'!$AZ11,"M",IF('Graphical Overview'!CF$5&lt;='WK Conversion'!$BA11,"A",IF('Graphical Overview'!CF$5&lt;'WK Conversion'!$BB11,"P",IF('Graphical Overview'!CF$5='WK Conversion'!$BB11,"R",IF('Graphical Overview'!CF$5&lt;='WK Conversion'!$BC11,"CI",IF('Graphical Overview'!CF$5&lt;='WK Conversion'!$BD11,"I",""))))))))</f>
        <v>#REF!</v>
      </c>
    </row>
    <row r="11" spans="1:88" ht="22.5" customHeight="1" x14ac:dyDescent="0.25">
      <c r="A11" s="41" t="e">
        <f>IF(Data!#REF!="","",Data!#REF!)</f>
        <v>#REF!</v>
      </c>
      <c r="B11" s="42" t="e">
        <f>IF(Data!#REF!="","",Data!#REF!)</f>
        <v>#REF!</v>
      </c>
      <c r="C11" s="42" t="e">
        <f>IF(Data!#REF!="","",Data!#REF!)</f>
        <v>#REF!</v>
      </c>
      <c r="D11" s="90" t="e">
        <f>IF(Data!#REF!="","",Data!#REF!)</f>
        <v>#REF!</v>
      </c>
      <c r="E11" s="42" t="e">
        <f>IF(Data!#REF!="","",Data!#REF!)</f>
        <v>#REF!</v>
      </c>
      <c r="F11" s="99" t="e">
        <f>IF(Data!#REF!="","",Data!#REF!)</f>
        <v>#REF!</v>
      </c>
      <c r="G11" s="105" t="e">
        <f>SUM(H11:Q11)</f>
        <v>#REF!</v>
      </c>
      <c r="H11" s="106" t="e">
        <f>IF(Data!#REF!="","",Data!#REF!)</f>
        <v>#REF!</v>
      </c>
      <c r="I11" s="106" t="e">
        <f>IF(Data!#REF!="","",Data!#REF!)</f>
        <v>#REF!</v>
      </c>
      <c r="J11" s="106" t="e">
        <f>IF(Data!#REF!="","",Data!#REF!)</f>
        <v>#REF!</v>
      </c>
      <c r="K11" s="106" t="e">
        <f>IF(Data!#REF!="","",Data!#REF!)</f>
        <v>#REF!</v>
      </c>
      <c r="L11" s="106" t="e">
        <f>IF(Data!#REF!="","",Data!#REF!)</f>
        <v>#REF!</v>
      </c>
      <c r="M11" s="106" t="e">
        <f>IF(Data!#REF!="","",Data!#REF!)</f>
        <v>#REF!</v>
      </c>
      <c r="N11" s="106" t="e">
        <f>IF(Data!#REF!="","",Data!#REF!)</f>
        <v>#REF!</v>
      </c>
      <c r="O11" s="106" t="e">
        <f>IF(Data!#REF!="","",Data!#REF!)</f>
        <v>#REF!</v>
      </c>
      <c r="P11" s="106" t="e">
        <f>IF(Data!#REF!="","",Data!#REF!)</f>
        <v>#REF!</v>
      </c>
      <c r="Q11" s="107" t="e">
        <f>IF(Data!#REF!="","",Data!#REF!)</f>
        <v>#REF!</v>
      </c>
      <c r="R11" s="105" t="e">
        <f>IF(Data!#REF!="","",Data!#REF!)</f>
        <v>#REF!</v>
      </c>
      <c r="S11" s="106" t="e">
        <f>IF(Data!#REF!="","",Data!#REF!)</f>
        <v>#REF!</v>
      </c>
      <c r="T11" s="106" t="e">
        <f>IF(Data!#REF!="","",Data!#REF!)</f>
        <v>#REF!</v>
      </c>
      <c r="U11" s="106" t="e">
        <f>IF(Data!#REF!="","",Data!#REF!)</f>
        <v>#REF!</v>
      </c>
      <c r="V11" s="106" t="e">
        <f>IF(Data!#REF!="","",Data!#REF!)</f>
        <v>#REF!</v>
      </c>
      <c r="W11" s="106" t="e">
        <f>IF(Data!#REF!="","",Data!#REF!)</f>
        <v>#REF!</v>
      </c>
      <c r="X11" s="106" t="e">
        <f>IF(Data!#REF!="","",Data!#REF!)</f>
        <v>#REF!</v>
      </c>
      <c r="Y11" s="106" t="e">
        <f>IF(Data!#REF!="","",Data!#REF!)</f>
        <v>#REF!</v>
      </c>
      <c r="Z11" s="106" t="e">
        <f>IF(Data!#REF!="","",Data!#REF!)</f>
        <v>#REF!</v>
      </c>
      <c r="AA11" s="106" t="e">
        <f>IF(Data!#REF!="","",Data!#REF!)</f>
        <v>#REF!</v>
      </c>
      <c r="AB11" s="107" t="e">
        <f>IF(Data!#REF!="","",Data!#REF!)</f>
        <v>#REF!</v>
      </c>
      <c r="AC11" s="105" t="e">
        <f>IF(Data!#REF!="","",Data!#REF!)</f>
        <v>#REF!</v>
      </c>
      <c r="AD11" s="106" t="e">
        <f>IF(Data!#REF!="","",Data!#REF!)</f>
        <v>#REF!</v>
      </c>
      <c r="AE11" s="106" t="e">
        <f>IF(Data!#REF!="","",Data!#REF!)</f>
        <v>#REF!</v>
      </c>
      <c r="AF11" s="106" t="e">
        <f>IF(Data!#REF!="","",Data!#REF!)</f>
        <v>#REF!</v>
      </c>
      <c r="AG11" s="106" t="e">
        <f>IF(Data!#REF!="","",Data!#REF!)</f>
        <v>#REF!</v>
      </c>
      <c r="AH11" s="106" t="e">
        <f>IF(Data!#REF!="","",Data!#REF!)</f>
        <v>#REF!</v>
      </c>
      <c r="AI11" s="106" t="e">
        <f>IF(Data!#REF!="","",Data!#REF!)</f>
        <v>#REF!</v>
      </c>
      <c r="AJ11" s="106" t="e">
        <f>IF(Data!#REF!="","",Data!#REF!)</f>
        <v>#REF!</v>
      </c>
      <c r="AK11" s="106" t="e">
        <f>IF(Data!#REF!="","",Data!#REF!)</f>
        <v>#REF!</v>
      </c>
      <c r="AL11" s="106" t="e">
        <f>IF(Data!#REF!="","",Data!#REF!)</f>
        <v>#REF!</v>
      </c>
      <c r="AM11" s="107" t="e">
        <f>IF(Data!#REF!="","",Data!#REF!)</f>
        <v>#REF!</v>
      </c>
      <c r="AN11" s="105" t="e">
        <f>IF(Data!#REF!="","",Data!#REF!)</f>
        <v>#REF!</v>
      </c>
      <c r="AO11" s="106" t="e">
        <f>IF(Data!#REF!="","",Data!#REF!)</f>
        <v>#REF!</v>
      </c>
      <c r="AP11" s="106" t="e">
        <f>IF(Data!#REF!="","",Data!#REF!)</f>
        <v>#REF!</v>
      </c>
      <c r="AQ11" s="106" t="e">
        <f>IF(Data!#REF!="","",Data!#REF!)</f>
        <v>#REF!</v>
      </c>
      <c r="AR11" s="106" t="e">
        <f>IF(Data!#REF!="","",Data!#REF!)</f>
        <v>#REF!</v>
      </c>
      <c r="AS11" s="106" t="e">
        <f>IF(Data!#REF!="","",Data!#REF!)</f>
        <v>#REF!</v>
      </c>
      <c r="AT11" s="106" t="e">
        <f>IF(Data!#REF!="","",Data!#REF!)</f>
        <v>#REF!</v>
      </c>
      <c r="AU11" s="106" t="e">
        <f>IF(Data!#REF!="","",Data!#REF!)</f>
        <v>#REF!</v>
      </c>
      <c r="AV11" s="106" t="e">
        <f>IF(Data!#REF!="","",Data!#REF!)</f>
        <v>#REF!</v>
      </c>
      <c r="AW11" s="106" t="e">
        <f>IF(Data!#REF!="","",Data!#REF!)</f>
        <v>#REF!</v>
      </c>
      <c r="AX11" s="106" t="e">
        <f>IF(Data!#REF!="","",Data!#REF!)</f>
        <v>#REF!</v>
      </c>
      <c r="AY11" s="107" t="e">
        <f>IF(Data!#REF!="","",Data!#REF!)</f>
        <v>#REF!</v>
      </c>
      <c r="AZ11" s="109" t="e">
        <f>IF(Data!#REF!="","",Data!#REF!)</f>
        <v>#REF!</v>
      </c>
      <c r="BA11" s="116" t="e">
        <f ca="1">IF('Graphical Overview'!BA$5&lt;='WK Conversion'!$AX12,"ME",IF('Graphical Overview'!BA$5&lt;='WK Conversion'!$AY12,"EE",IF('Graphical Overview'!BA$5&lt;='WK Conversion'!$AZ12,"M",IF('Graphical Overview'!BA$5&lt;='WK Conversion'!$BA12,"A",IF('Graphical Overview'!BA$5&lt;'WK Conversion'!$BB12,"P",IF('Graphical Overview'!BA$5='WK Conversion'!$BB12,"R",IF('Graphical Overview'!BA$5&lt;='WK Conversion'!$BC12,"CI",IF('Graphical Overview'!BA$5&lt;='WK Conversion'!$BD12,"I",""))))))))</f>
        <v>#REF!</v>
      </c>
      <c r="BB11" s="38" t="e">
        <f ca="1">IF('Graphical Overview'!BB$5&lt;='WK Conversion'!$AX12,"ME",IF('Graphical Overview'!BB$5&lt;='WK Conversion'!$AY12,"EE",IF('Graphical Overview'!BB$5&lt;='WK Conversion'!$AZ12,"M",IF('Graphical Overview'!BB$5&lt;='WK Conversion'!$BA12,"A",IF('Graphical Overview'!BB$5&lt;'WK Conversion'!$BB12,"P",IF('Graphical Overview'!BB$5='WK Conversion'!$BB12,"R",IF('Graphical Overview'!BB$5&lt;='WK Conversion'!$BC12,"CI",IF('Graphical Overview'!BB$5&lt;='WK Conversion'!$BD12,"I",""))))))))</f>
        <v>#REF!</v>
      </c>
      <c r="BC11" s="38" t="e">
        <f ca="1">IF('Graphical Overview'!BC$5&lt;='WK Conversion'!$AX12,"ME",IF('Graphical Overview'!BC$5&lt;='WK Conversion'!$AY12,"EE",IF('Graphical Overview'!BC$5&lt;='WK Conversion'!$AZ12,"M",IF('Graphical Overview'!BC$5&lt;='WK Conversion'!$BA12,"A",IF('Graphical Overview'!BC$5&lt;'WK Conversion'!$BB12,"P",IF('Graphical Overview'!BC$5='WK Conversion'!$BB12,"R",IF('Graphical Overview'!BC$5&lt;='WK Conversion'!$BC12,"CI",IF('Graphical Overview'!BC$5&lt;='WK Conversion'!$BD12,"I",""))))))))</f>
        <v>#REF!</v>
      </c>
      <c r="BD11" s="38" t="e">
        <f ca="1">IF('Graphical Overview'!BD$5&lt;='WK Conversion'!$AX12,"ME",IF('Graphical Overview'!BD$5&lt;='WK Conversion'!$AY12,"EE",IF('Graphical Overview'!BD$5&lt;='WK Conversion'!$AZ12,"M",IF('Graphical Overview'!BD$5&lt;='WK Conversion'!$BA12,"A",IF('Graphical Overview'!BD$5&lt;'WK Conversion'!$BB12,"P",IF('Graphical Overview'!BD$5='WK Conversion'!$BB12,"R",IF('Graphical Overview'!BD$5&lt;='WK Conversion'!$BC12,"CI",IF('Graphical Overview'!BD$5&lt;='WK Conversion'!$BD12,"I",""))))))))</f>
        <v>#REF!</v>
      </c>
      <c r="BE11" s="38" t="e">
        <f ca="1">IF('Graphical Overview'!BE$5&lt;='WK Conversion'!$AX12,"ME",IF('Graphical Overview'!BE$5&lt;='WK Conversion'!$AY12,"EE",IF('Graphical Overview'!BE$5&lt;='WK Conversion'!$AZ12,"M",IF('Graphical Overview'!BE$5&lt;='WK Conversion'!$BA12,"A",IF('Graphical Overview'!BE$5&lt;'WK Conversion'!$BB12,"P",IF('Graphical Overview'!BE$5='WK Conversion'!$BB12,"R",IF('Graphical Overview'!BE$5&lt;='WK Conversion'!$BC12,"CI",IF('Graphical Overview'!BE$5&lt;='WK Conversion'!$BD12,"I",""))))))))</f>
        <v>#REF!</v>
      </c>
      <c r="BF11" s="38" t="e">
        <f ca="1">IF('Graphical Overview'!BF$5&lt;='WK Conversion'!$AX12,"ME",IF('Graphical Overview'!BF$5&lt;='WK Conversion'!$AY12,"EE",IF('Graphical Overview'!BF$5&lt;='WK Conversion'!$AZ12,"M",IF('Graphical Overview'!BF$5&lt;='WK Conversion'!$BA12,"A",IF('Graphical Overview'!BF$5&lt;'WK Conversion'!$BB12,"P",IF('Graphical Overview'!BF$5='WK Conversion'!$BB12,"R",IF('Graphical Overview'!BF$5&lt;='WK Conversion'!$BC12,"CI",IF('Graphical Overview'!BF$5&lt;='WK Conversion'!$BD12,"I",""))))))))</f>
        <v>#REF!</v>
      </c>
      <c r="BG11" s="38" t="e">
        <f ca="1">IF('Graphical Overview'!BG$5&lt;='WK Conversion'!$AX12,"ME",IF('Graphical Overview'!BG$5&lt;='WK Conversion'!$AY12,"EE",IF('Graphical Overview'!BG$5&lt;='WK Conversion'!$AZ12,"M",IF('Graphical Overview'!BG$5&lt;='WK Conversion'!$BA12,"A",IF('Graphical Overview'!BG$5&lt;'WK Conversion'!$BB12,"P",IF('Graphical Overview'!BG$5='WK Conversion'!$BB12,"R",IF('Graphical Overview'!BG$5&lt;='WK Conversion'!$BC12,"CI",IF('Graphical Overview'!BG$5&lt;='WK Conversion'!$BD12,"I",""))))))))</f>
        <v>#REF!</v>
      </c>
      <c r="BH11" s="38" t="e">
        <f ca="1">IF('Graphical Overview'!BH$5&lt;='WK Conversion'!$AX12,"ME",IF('Graphical Overview'!BH$5&lt;='WK Conversion'!$AY12,"EE",IF('Graphical Overview'!BH$5&lt;='WK Conversion'!$AZ12,"M",IF('Graphical Overview'!BH$5&lt;='WK Conversion'!$BA12,"A",IF('Graphical Overview'!BH$5&lt;'WK Conversion'!$BB12,"P",IF('Graphical Overview'!BH$5='WK Conversion'!$BB12,"R",IF('Graphical Overview'!BH$5&lt;='WK Conversion'!$BC12,"CI",IF('Graphical Overview'!BH$5&lt;='WK Conversion'!$BD12,"I",""))))))))</f>
        <v>#REF!</v>
      </c>
      <c r="BI11" s="38" t="e">
        <f ca="1">IF('Graphical Overview'!BI$5&lt;='WK Conversion'!$AX12,"ME",IF('Graphical Overview'!BI$5&lt;='WK Conversion'!$AY12,"EE",IF('Graphical Overview'!BI$5&lt;='WK Conversion'!$AZ12,"M",IF('Graphical Overview'!BI$5&lt;='WK Conversion'!$BA12,"A",IF('Graphical Overview'!BI$5&lt;'WK Conversion'!$BB12,"P",IF('Graphical Overview'!BI$5='WK Conversion'!$BB12,"R",IF('Graphical Overview'!BI$5&lt;='WK Conversion'!$BC12,"CI",IF('Graphical Overview'!BI$5&lt;='WK Conversion'!$BD12,"I",""))))))))</f>
        <v>#REF!</v>
      </c>
      <c r="BJ11" s="38" t="e">
        <f ca="1">IF('Graphical Overview'!BJ$5&lt;='WK Conversion'!$AX12,"ME",IF('Graphical Overview'!BJ$5&lt;='WK Conversion'!$AY12,"EE",IF('Graphical Overview'!BJ$5&lt;='WK Conversion'!$AZ12,"M",IF('Graphical Overview'!BJ$5&lt;='WK Conversion'!$BA12,"A",IF('Graphical Overview'!BJ$5&lt;'WK Conversion'!$BB12,"P",IF('Graphical Overview'!BJ$5='WK Conversion'!$BB12,"R",IF('Graphical Overview'!BJ$5&lt;='WK Conversion'!$BC12,"CI",IF('Graphical Overview'!BJ$5&lt;='WK Conversion'!$BD12,"I",""))))))))</f>
        <v>#REF!</v>
      </c>
      <c r="BK11" s="38" t="e">
        <f ca="1">IF('Graphical Overview'!BK$5&lt;='WK Conversion'!$AX12,"ME",IF('Graphical Overview'!BK$5&lt;='WK Conversion'!$AY12,"EE",IF('Graphical Overview'!BK$5&lt;='WK Conversion'!$AZ12,"M",IF('Graphical Overview'!BK$5&lt;='WK Conversion'!$BA12,"A",IF('Graphical Overview'!BK$5&lt;'WK Conversion'!$BB12,"P",IF('Graphical Overview'!BK$5='WK Conversion'!$BB12,"R",IF('Graphical Overview'!BK$5&lt;='WK Conversion'!$BC12,"CI",IF('Graphical Overview'!BK$5&lt;='WK Conversion'!$BD12,"I",""))))))))</f>
        <v>#REF!</v>
      </c>
      <c r="BL11" s="38" t="e">
        <f ca="1">IF('Graphical Overview'!BL$5&lt;='WK Conversion'!$AX12,"ME",IF('Graphical Overview'!BL$5&lt;='WK Conversion'!$AY12,"EE",IF('Graphical Overview'!BL$5&lt;='WK Conversion'!$AZ12,"M",IF('Graphical Overview'!BL$5&lt;='WK Conversion'!$BA12,"A",IF('Graphical Overview'!BL$5&lt;'WK Conversion'!$BB12,"P",IF('Graphical Overview'!BL$5='WK Conversion'!$BB12,"R",IF('Graphical Overview'!BL$5&lt;='WK Conversion'!$BC12,"CI",IF('Graphical Overview'!BL$5&lt;='WK Conversion'!$BD12,"I",""))))))))</f>
        <v>#REF!</v>
      </c>
      <c r="BM11" s="38" t="e">
        <f ca="1">IF('Graphical Overview'!BM$5&lt;='WK Conversion'!$AX12,"ME",IF('Graphical Overview'!BM$5&lt;='WK Conversion'!$AY12,"EE",IF('Graphical Overview'!BM$5&lt;='WK Conversion'!$AZ12,"M",IF('Graphical Overview'!BM$5&lt;='WK Conversion'!$BA12,"A",IF('Graphical Overview'!BM$5&lt;'WK Conversion'!$BB12,"P",IF('Graphical Overview'!BM$5='WK Conversion'!$BB12,"R",IF('Graphical Overview'!BM$5&lt;='WK Conversion'!$BC12,"CI",IF('Graphical Overview'!BM$5&lt;='WK Conversion'!$BD12,"I",""))))))))</f>
        <v>#REF!</v>
      </c>
      <c r="BN11" s="38" t="e">
        <f ca="1">IF('Graphical Overview'!BN$5&lt;='WK Conversion'!$AX12,"ME",IF('Graphical Overview'!BN$5&lt;='WK Conversion'!$AY12,"EE",IF('Graphical Overview'!BN$5&lt;='WK Conversion'!$AZ12,"M",IF('Graphical Overview'!BN$5&lt;='WK Conversion'!$BA12,"A",IF('Graphical Overview'!BN$5&lt;'WK Conversion'!$BB12,"P",IF('Graphical Overview'!BN$5='WK Conversion'!$BB12,"R",IF('Graphical Overview'!BN$5&lt;='WK Conversion'!$BC12,"CI",IF('Graphical Overview'!BN$5&lt;='WK Conversion'!$BD12,"I",""))))))))</f>
        <v>#REF!</v>
      </c>
      <c r="BO11" s="108" t="e">
        <f ca="1">IF('Graphical Overview'!BO$5&lt;='WK Conversion'!$AX12,"ME",IF('Graphical Overview'!BO$5&lt;='WK Conversion'!$AY12,"EE",IF('Graphical Overview'!BO$5&lt;='WK Conversion'!$AZ12,"M",IF('Graphical Overview'!BO$5&lt;='WK Conversion'!$BA12,"A",IF('Graphical Overview'!BO$5&lt;'WK Conversion'!$BB12,"P",IF('Graphical Overview'!BO$5='WK Conversion'!$BB12,"R",IF('Graphical Overview'!BO$5&lt;='WK Conversion'!$BC12,"CI",IF('Graphical Overview'!BO$5&lt;='WK Conversion'!$BD12,"I",""))))))))</f>
        <v>#REF!</v>
      </c>
      <c r="BP11" s="38" t="e">
        <f ca="1">IF('Graphical Overview'!BP$5&lt;='WK Conversion'!$AX12,"ME",IF('Graphical Overview'!BP$5&lt;='WK Conversion'!$AY12,"EE",IF('Graphical Overview'!BP$5&lt;='WK Conversion'!$AZ12,"M",IF('Graphical Overview'!BP$5&lt;='WK Conversion'!$BA12,"A",IF('Graphical Overview'!BP$5&lt;'WK Conversion'!$BB12,"P",IF('Graphical Overview'!BP$5='WK Conversion'!$BB12,"R",IF('Graphical Overview'!BP$5&lt;='WK Conversion'!$BC12,"CI",IF('Graphical Overview'!BP$5&lt;='WK Conversion'!$BD12,"I",""))))))))</f>
        <v>#REF!</v>
      </c>
      <c r="BQ11" s="38" t="e">
        <f ca="1">IF('Graphical Overview'!BQ$5&lt;='WK Conversion'!$AX12,"ME",IF('Graphical Overview'!BQ$5&lt;='WK Conversion'!$AY12,"EE",IF('Graphical Overview'!BQ$5&lt;='WK Conversion'!$AZ12,"M",IF('Graphical Overview'!BQ$5&lt;='WK Conversion'!$BA12,"A",IF('Graphical Overview'!BQ$5&lt;'WK Conversion'!$BB12,"P",IF('Graphical Overview'!BQ$5='WK Conversion'!$BB12,"R",IF('Graphical Overview'!BQ$5&lt;='WK Conversion'!$BC12,"CI",IF('Graphical Overview'!BQ$5&lt;='WK Conversion'!$BD12,"I",""))))))))</f>
        <v>#REF!</v>
      </c>
      <c r="BR11" s="38" t="e">
        <f ca="1">IF('Graphical Overview'!BR$5&lt;='WK Conversion'!$AX12,"ME",IF('Graphical Overview'!BR$5&lt;='WK Conversion'!$AY12,"EE",IF('Graphical Overview'!BR$5&lt;='WK Conversion'!$AZ12,"M",IF('Graphical Overview'!BR$5&lt;='WK Conversion'!$BA12,"A",IF('Graphical Overview'!BR$5&lt;'WK Conversion'!$BB12,"P",IF('Graphical Overview'!BR$5='WK Conversion'!$BB12,"R",IF('Graphical Overview'!BR$5&lt;='WK Conversion'!$BC12,"CI",IF('Graphical Overview'!BR$5&lt;='WK Conversion'!$BD12,"I",""))))))))</f>
        <v>#REF!</v>
      </c>
      <c r="BS11" s="38" t="e">
        <f ca="1">IF('Graphical Overview'!BS$5&lt;='WK Conversion'!$AX12,"ME",IF('Graphical Overview'!BS$5&lt;='WK Conversion'!$AY12,"EE",IF('Graphical Overview'!BS$5&lt;='WK Conversion'!$AZ12,"M",IF('Graphical Overview'!BS$5&lt;='WK Conversion'!$BA12,"A",IF('Graphical Overview'!BS$5&lt;'WK Conversion'!$BB12,"P",IF('Graphical Overview'!BS$5='WK Conversion'!$BB12,"R",IF('Graphical Overview'!BS$5&lt;='WK Conversion'!$BC12,"CI",IF('Graphical Overview'!BS$5&lt;='WK Conversion'!$BD12,"I",""))))))))</f>
        <v>#REF!</v>
      </c>
      <c r="BT11" s="38" t="e">
        <f ca="1">IF('Graphical Overview'!BT$5&lt;='WK Conversion'!$AX12,"ME",IF('Graphical Overview'!BT$5&lt;='WK Conversion'!$AY12,"EE",IF('Graphical Overview'!BT$5&lt;='WK Conversion'!$AZ12,"M",IF('Graphical Overview'!BT$5&lt;='WK Conversion'!$BA12,"A",IF('Graphical Overview'!BT$5&lt;'WK Conversion'!$BB12,"P",IF('Graphical Overview'!BT$5='WK Conversion'!$BB12,"R",IF('Graphical Overview'!BT$5&lt;='WK Conversion'!$BC12,"CI",IF('Graphical Overview'!BT$5&lt;='WK Conversion'!$BD12,"I",""))))))))</f>
        <v>#REF!</v>
      </c>
      <c r="BU11" s="38" t="e">
        <f ca="1">IF('Graphical Overview'!BU$5&lt;='WK Conversion'!$AX12,"ME",IF('Graphical Overview'!BU$5&lt;='WK Conversion'!$AY12,"EE",IF('Graphical Overview'!BU$5&lt;='WK Conversion'!$AZ12,"M",IF('Graphical Overview'!BU$5&lt;='WK Conversion'!$BA12,"A",IF('Graphical Overview'!BU$5&lt;'WK Conversion'!$BB12,"P",IF('Graphical Overview'!BU$5='WK Conversion'!$BB12,"R",IF('Graphical Overview'!BU$5&lt;='WK Conversion'!$BC12,"CI",IF('Graphical Overview'!BU$5&lt;='WK Conversion'!$BD12,"I",""))))))))</f>
        <v>#REF!</v>
      </c>
      <c r="BV11" s="38" t="e">
        <f ca="1">IF('Graphical Overview'!BV$5&lt;='WK Conversion'!$AX12,"ME",IF('Graphical Overview'!BV$5&lt;='WK Conversion'!$AY12,"EE",IF('Graphical Overview'!BV$5&lt;='WK Conversion'!$AZ12,"M",IF('Graphical Overview'!BV$5&lt;='WK Conversion'!$BA12,"A",IF('Graphical Overview'!BV$5&lt;'WK Conversion'!$BB12,"P",IF('Graphical Overview'!BV$5='WK Conversion'!$BB12,"R",IF('Graphical Overview'!BV$5&lt;='WK Conversion'!$BC12,"CI",IF('Graphical Overview'!BV$5&lt;='WK Conversion'!$BD12,"I",""))))))))</f>
        <v>#REF!</v>
      </c>
      <c r="BW11" s="38" t="e">
        <f ca="1">IF('Graphical Overview'!BW$5&lt;='WK Conversion'!$AX12,"ME",IF('Graphical Overview'!BW$5&lt;='WK Conversion'!$AY12,"EE",IF('Graphical Overview'!BW$5&lt;='WK Conversion'!$AZ12,"M",IF('Graphical Overview'!BW$5&lt;='WK Conversion'!$BA12,"A",IF('Graphical Overview'!BW$5&lt;'WK Conversion'!$BB12,"P",IF('Graphical Overview'!BW$5='WK Conversion'!$BB12,"R",IF('Graphical Overview'!BW$5&lt;='WK Conversion'!$BC12,"CI",IF('Graphical Overview'!BW$5&lt;='WK Conversion'!$BD12,"I",""))))))))</f>
        <v>#REF!</v>
      </c>
      <c r="BX11" s="38" t="e">
        <f ca="1">IF('Graphical Overview'!BX$5&lt;='WK Conversion'!$AX12,"ME",IF('Graphical Overview'!BX$5&lt;='WK Conversion'!$AY12,"EE",IF('Graphical Overview'!BX$5&lt;='WK Conversion'!$AZ12,"M",IF('Graphical Overview'!BX$5&lt;='WK Conversion'!$BA12,"A",IF('Graphical Overview'!BX$5&lt;'WK Conversion'!$BB12,"P",IF('Graphical Overview'!BX$5='WK Conversion'!$BB12,"R",IF('Graphical Overview'!BX$5&lt;='WK Conversion'!$BC12,"CI",IF('Graphical Overview'!BX$5&lt;='WK Conversion'!$BD12,"I",""))))))))</f>
        <v>#REF!</v>
      </c>
      <c r="BY11" s="38" t="e">
        <f ca="1">IF('Graphical Overview'!BY$5&lt;='WK Conversion'!$AX12,"ME",IF('Graphical Overview'!BY$5&lt;='WK Conversion'!$AY12,"EE",IF('Graphical Overview'!BY$5&lt;='WK Conversion'!$AZ12,"M",IF('Graphical Overview'!BY$5&lt;='WK Conversion'!$BA12,"A",IF('Graphical Overview'!BY$5&lt;'WK Conversion'!$BB12,"P",IF('Graphical Overview'!BY$5='WK Conversion'!$BB12,"R",IF('Graphical Overview'!BY$5&lt;='WK Conversion'!$BC12,"CI",IF('Graphical Overview'!BY$5&lt;='WK Conversion'!$BD12,"I",""))))))))</f>
        <v>#REF!</v>
      </c>
      <c r="BZ11" s="38" t="e">
        <f ca="1">IF('Graphical Overview'!BZ$5&lt;='WK Conversion'!$AX12,"ME",IF('Graphical Overview'!BZ$5&lt;='WK Conversion'!$AY12,"EE",IF('Graphical Overview'!BZ$5&lt;='WK Conversion'!$AZ12,"M",IF('Graphical Overview'!BZ$5&lt;='WK Conversion'!$BA12,"A",IF('Graphical Overview'!BZ$5&lt;'WK Conversion'!$BB12,"P",IF('Graphical Overview'!BZ$5='WK Conversion'!$BB12,"R",IF('Graphical Overview'!BZ$5&lt;='WK Conversion'!$BC12,"CI",IF('Graphical Overview'!BZ$5&lt;='WK Conversion'!$BD12,"I",""))))))))</f>
        <v>#REF!</v>
      </c>
      <c r="CA11" s="38" t="e">
        <f ca="1">IF('Graphical Overview'!CA$5&lt;='WK Conversion'!$AX12,"ME",IF('Graphical Overview'!CA$5&lt;='WK Conversion'!$AY12,"EE",IF('Graphical Overview'!CA$5&lt;='WK Conversion'!$AZ12,"M",IF('Graphical Overview'!CA$5&lt;='WK Conversion'!$BA12,"A",IF('Graphical Overview'!CA$5&lt;'WK Conversion'!$BB12,"P",IF('Graphical Overview'!CA$5='WK Conversion'!$BB12,"R",IF('Graphical Overview'!CA$5&lt;='WK Conversion'!$BC12,"CI",IF('Graphical Overview'!CA$5&lt;='WK Conversion'!$BD12,"I",""))))))))</f>
        <v>#REF!</v>
      </c>
      <c r="CB11" s="38" t="e">
        <f ca="1">IF('Graphical Overview'!CB$5&lt;='WK Conversion'!$AX12,"ME",IF('Graphical Overview'!CB$5&lt;='WK Conversion'!$AY12,"EE",IF('Graphical Overview'!CB$5&lt;='WK Conversion'!$AZ12,"M",IF('Graphical Overview'!CB$5&lt;='WK Conversion'!$BA12,"A",IF('Graphical Overview'!CB$5&lt;'WK Conversion'!$BB12,"P",IF('Graphical Overview'!CB$5='WK Conversion'!$BB12,"R",IF('Graphical Overview'!CB$5&lt;='WK Conversion'!$BC12,"CI",IF('Graphical Overview'!CB$5&lt;='WK Conversion'!$BD12,"I",""))))))))</f>
        <v>#REF!</v>
      </c>
      <c r="CC11" s="38" t="e">
        <f ca="1">IF('Graphical Overview'!CC$5&lt;='WK Conversion'!$AX12,"ME",IF('Graphical Overview'!CC$5&lt;='WK Conversion'!$AY12,"EE",IF('Graphical Overview'!CC$5&lt;='WK Conversion'!$AZ12,"M",IF('Graphical Overview'!CC$5&lt;='WK Conversion'!$BA12,"A",IF('Graphical Overview'!CC$5&lt;'WK Conversion'!$BB12,"P",IF('Graphical Overview'!CC$5='WK Conversion'!$BB12,"R",IF('Graphical Overview'!CC$5&lt;='WK Conversion'!$BC12,"CI",IF('Graphical Overview'!CC$5&lt;='WK Conversion'!$BD12,"I",""))))))))</f>
        <v>#REF!</v>
      </c>
      <c r="CD11" s="38" t="e">
        <f ca="1">IF('Graphical Overview'!CD$5&lt;='WK Conversion'!$AX12,"ME",IF('Graphical Overview'!CD$5&lt;='WK Conversion'!$AY12,"EE",IF('Graphical Overview'!CD$5&lt;='WK Conversion'!$AZ12,"M",IF('Graphical Overview'!CD$5&lt;='WK Conversion'!$BA12,"A",IF('Graphical Overview'!CD$5&lt;'WK Conversion'!$BB12,"P",IF('Graphical Overview'!CD$5='WK Conversion'!$BB12,"R",IF('Graphical Overview'!CD$5&lt;='WK Conversion'!$BC12,"CI",IF('Graphical Overview'!CD$5&lt;='WK Conversion'!$BD12,"I",""))))))))</f>
        <v>#REF!</v>
      </c>
      <c r="CE11" s="38" t="e">
        <f ca="1">IF('Graphical Overview'!CE$5&lt;='WK Conversion'!$AX12,"ME",IF('Graphical Overview'!CE$5&lt;='WK Conversion'!$AY12,"EE",IF('Graphical Overview'!CE$5&lt;='WK Conversion'!$AZ12,"M",IF('Graphical Overview'!CE$5&lt;='WK Conversion'!$BA12,"A",IF('Graphical Overview'!CE$5&lt;'WK Conversion'!$BB12,"P",IF('Graphical Overview'!CE$5='WK Conversion'!$BB12,"R",IF('Graphical Overview'!CE$5&lt;='WK Conversion'!$BC12,"CI",IF('Graphical Overview'!CE$5&lt;='WK Conversion'!$BD12,"I",""))))))))</f>
        <v>#REF!</v>
      </c>
      <c r="CF11" s="39" t="e">
        <f ca="1">IF('Graphical Overview'!CF$5&lt;='WK Conversion'!$AX12,"ME",IF('Graphical Overview'!CF$5&lt;='WK Conversion'!$AY12,"EE",IF('Graphical Overview'!CF$5&lt;='WK Conversion'!$AZ12,"M",IF('Graphical Overview'!CF$5&lt;='WK Conversion'!$BA12,"A",IF('Graphical Overview'!CF$5&lt;'WK Conversion'!$BB12,"P",IF('Graphical Overview'!CF$5='WK Conversion'!$BB12,"R",IF('Graphical Overview'!CF$5&lt;='WK Conversion'!$BC12,"CI",IF('Graphical Overview'!CF$5&lt;='WK Conversion'!$BD12,"I",""))))))))</f>
        <v>#REF!</v>
      </c>
    </row>
    <row r="12" spans="1:88" ht="22.5" customHeight="1" x14ac:dyDescent="0.25">
      <c r="A12" s="41" t="e">
        <f>IF(Data!#REF!="","",Data!#REF!)</f>
        <v>#REF!</v>
      </c>
      <c r="B12" s="42" t="e">
        <f>IF(Data!#REF!="","",Data!#REF!)</f>
        <v>#REF!</v>
      </c>
      <c r="C12" s="42" t="e">
        <f>IF(Data!#REF!="","",Data!#REF!)</f>
        <v>#REF!</v>
      </c>
      <c r="D12" s="90" t="e">
        <f>IF(Data!#REF!="","",Data!#REF!)</f>
        <v>#REF!</v>
      </c>
      <c r="E12" s="42" t="e">
        <f>IF(Data!#REF!="","",Data!#REF!)</f>
        <v>#REF!</v>
      </c>
      <c r="F12" s="99" t="e">
        <f>IF(Data!#REF!="","",Data!#REF!)</f>
        <v>#REF!</v>
      </c>
      <c r="G12" s="105" t="e">
        <f t="shared" si="2"/>
        <v>#REF!</v>
      </c>
      <c r="H12" s="106" t="e">
        <f>IF(Data!#REF!="","",Data!#REF!)</f>
        <v>#REF!</v>
      </c>
      <c r="I12" s="106" t="e">
        <f>IF(Data!#REF!="","",Data!#REF!)</f>
        <v>#REF!</v>
      </c>
      <c r="J12" s="106" t="e">
        <f>IF(Data!#REF!="","",Data!#REF!)</f>
        <v>#REF!</v>
      </c>
      <c r="K12" s="106" t="e">
        <f>IF(Data!#REF!="","",Data!#REF!)</f>
        <v>#REF!</v>
      </c>
      <c r="L12" s="106" t="e">
        <f>IF(Data!#REF!="","",Data!#REF!)</f>
        <v>#REF!</v>
      </c>
      <c r="M12" s="106" t="e">
        <f>IF(Data!#REF!="","",Data!#REF!)</f>
        <v>#REF!</v>
      </c>
      <c r="N12" s="106" t="e">
        <f>IF(Data!#REF!="","",Data!#REF!)</f>
        <v>#REF!</v>
      </c>
      <c r="O12" s="106" t="e">
        <f>IF(Data!#REF!="","",Data!#REF!)</f>
        <v>#REF!</v>
      </c>
      <c r="P12" s="106" t="e">
        <f>IF(Data!#REF!="","",Data!#REF!)</f>
        <v>#REF!</v>
      </c>
      <c r="Q12" s="107" t="e">
        <f>IF(Data!#REF!="","",Data!#REF!)</f>
        <v>#REF!</v>
      </c>
      <c r="R12" s="105" t="e">
        <f>IF(Data!#REF!="","",Data!#REF!)</f>
        <v>#REF!</v>
      </c>
      <c r="S12" s="106" t="e">
        <f>IF(Data!#REF!="","",Data!#REF!)</f>
        <v>#REF!</v>
      </c>
      <c r="T12" s="106" t="e">
        <f>IF(Data!#REF!="","",Data!#REF!)</f>
        <v>#REF!</v>
      </c>
      <c r="U12" s="106" t="e">
        <f>IF(Data!#REF!="","",Data!#REF!)</f>
        <v>#REF!</v>
      </c>
      <c r="V12" s="106" t="e">
        <f>IF(Data!#REF!="","",Data!#REF!)</f>
        <v>#REF!</v>
      </c>
      <c r="W12" s="106" t="e">
        <f>IF(Data!#REF!="","",Data!#REF!)</f>
        <v>#REF!</v>
      </c>
      <c r="X12" s="106" t="e">
        <f>IF(Data!#REF!="","",Data!#REF!)</f>
        <v>#REF!</v>
      </c>
      <c r="Y12" s="106" t="e">
        <f>IF(Data!#REF!="","",Data!#REF!)</f>
        <v>#REF!</v>
      </c>
      <c r="Z12" s="106" t="e">
        <f>IF(Data!#REF!="","",Data!#REF!)</f>
        <v>#REF!</v>
      </c>
      <c r="AA12" s="106" t="e">
        <f>IF(Data!#REF!="","",Data!#REF!)</f>
        <v>#REF!</v>
      </c>
      <c r="AB12" s="107" t="e">
        <f>IF(Data!#REF!="","",Data!#REF!)</f>
        <v>#REF!</v>
      </c>
      <c r="AC12" s="105" t="e">
        <f>IF(Data!#REF!="","",Data!#REF!)</f>
        <v>#REF!</v>
      </c>
      <c r="AD12" s="106" t="e">
        <f>IF(Data!#REF!="","",Data!#REF!)</f>
        <v>#REF!</v>
      </c>
      <c r="AE12" s="106" t="e">
        <f>IF(Data!#REF!="","",Data!#REF!)</f>
        <v>#REF!</v>
      </c>
      <c r="AF12" s="106" t="e">
        <f>IF(Data!#REF!="","",Data!#REF!)</f>
        <v>#REF!</v>
      </c>
      <c r="AG12" s="106" t="e">
        <f>IF(Data!#REF!="","",Data!#REF!)</f>
        <v>#REF!</v>
      </c>
      <c r="AH12" s="106" t="e">
        <f>IF(Data!#REF!="","",Data!#REF!)</f>
        <v>#REF!</v>
      </c>
      <c r="AI12" s="106" t="e">
        <f>IF(Data!#REF!="","",Data!#REF!)</f>
        <v>#REF!</v>
      </c>
      <c r="AJ12" s="106" t="e">
        <f>IF(Data!#REF!="","",Data!#REF!)</f>
        <v>#REF!</v>
      </c>
      <c r="AK12" s="106" t="e">
        <f>IF(Data!#REF!="","",Data!#REF!)</f>
        <v>#REF!</v>
      </c>
      <c r="AL12" s="106" t="e">
        <f>IF(Data!#REF!="","",Data!#REF!)</f>
        <v>#REF!</v>
      </c>
      <c r="AM12" s="107" t="e">
        <f>IF(Data!#REF!="","",Data!#REF!)</f>
        <v>#REF!</v>
      </c>
      <c r="AN12" s="105" t="e">
        <f>IF(Data!#REF!="","",Data!#REF!)</f>
        <v>#REF!</v>
      </c>
      <c r="AO12" s="106" t="e">
        <f>IF(Data!#REF!="","",Data!#REF!)</f>
        <v>#REF!</v>
      </c>
      <c r="AP12" s="106" t="e">
        <f>IF(Data!#REF!="","",Data!#REF!)</f>
        <v>#REF!</v>
      </c>
      <c r="AQ12" s="106" t="e">
        <f>IF(Data!#REF!="","",Data!#REF!)</f>
        <v>#REF!</v>
      </c>
      <c r="AR12" s="106" t="e">
        <f>IF(Data!#REF!="","",Data!#REF!)</f>
        <v>#REF!</v>
      </c>
      <c r="AS12" s="106" t="e">
        <f>IF(Data!#REF!="","",Data!#REF!)</f>
        <v>#REF!</v>
      </c>
      <c r="AT12" s="106" t="e">
        <f>IF(Data!#REF!="","",Data!#REF!)</f>
        <v>#REF!</v>
      </c>
      <c r="AU12" s="106" t="e">
        <f>IF(Data!#REF!="","",Data!#REF!)</f>
        <v>#REF!</v>
      </c>
      <c r="AV12" s="106" t="e">
        <f>IF(Data!#REF!="","",Data!#REF!)</f>
        <v>#REF!</v>
      </c>
      <c r="AW12" s="106" t="e">
        <f>IF(Data!#REF!="","",Data!#REF!)</f>
        <v>#REF!</v>
      </c>
      <c r="AX12" s="106" t="e">
        <f>IF(Data!#REF!="","",Data!#REF!)</f>
        <v>#REF!</v>
      </c>
      <c r="AY12" s="107" t="e">
        <f>IF(Data!#REF!="","",Data!#REF!)</f>
        <v>#REF!</v>
      </c>
      <c r="AZ12" s="109" t="e">
        <f>IF(Data!#REF!="","",Data!#REF!)</f>
        <v>#REF!</v>
      </c>
      <c r="BA12" s="116" t="e">
        <f ca="1">IF('Graphical Overview'!BA$5&lt;='WK Conversion'!$AX13,"ME",IF('Graphical Overview'!BA$5&lt;='WK Conversion'!$AY13,"EE",IF('Graphical Overview'!BA$5&lt;='WK Conversion'!$AZ13,"M",IF('Graphical Overview'!BA$5&lt;='WK Conversion'!$BA13,"A",IF('Graphical Overview'!BA$5&lt;'WK Conversion'!$BB13,"P",IF('Graphical Overview'!BA$5='WK Conversion'!$BB13,"R",IF('Graphical Overview'!BA$5&lt;='WK Conversion'!$BC13,"CI",IF('Graphical Overview'!BA$5&lt;='WK Conversion'!$BD13,"I",""))))))))</f>
        <v>#REF!</v>
      </c>
      <c r="BB12" s="38" t="e">
        <f ca="1">IF('Graphical Overview'!BB$5&lt;='WK Conversion'!$AX13,"ME",IF('Graphical Overview'!BB$5&lt;='WK Conversion'!$AY13,"EE",IF('Graphical Overview'!BB$5&lt;='WK Conversion'!$AZ13,"M",IF('Graphical Overview'!BB$5&lt;='WK Conversion'!$BA13,"A",IF('Graphical Overview'!BB$5&lt;'WK Conversion'!$BB13,"P",IF('Graphical Overview'!BB$5='WK Conversion'!$BB13,"R",IF('Graphical Overview'!BB$5&lt;='WK Conversion'!$BC13,"CI",IF('Graphical Overview'!BB$5&lt;='WK Conversion'!$BD13,"I",""))))))))</f>
        <v>#REF!</v>
      </c>
      <c r="BC12" s="38" t="e">
        <f ca="1">IF('Graphical Overview'!BC$5&lt;='WK Conversion'!$AX13,"ME",IF('Graphical Overview'!BC$5&lt;='WK Conversion'!$AY13,"EE",IF('Graphical Overview'!BC$5&lt;='WK Conversion'!$AZ13,"M",IF('Graphical Overview'!BC$5&lt;='WK Conversion'!$BA13,"A",IF('Graphical Overview'!BC$5&lt;'WK Conversion'!$BB13,"P",IF('Graphical Overview'!BC$5='WK Conversion'!$BB13,"R",IF('Graphical Overview'!BC$5&lt;='WK Conversion'!$BC13,"CI",IF('Graphical Overview'!BC$5&lt;='WK Conversion'!$BD13,"I",""))))))))</f>
        <v>#REF!</v>
      </c>
      <c r="BD12" s="38" t="e">
        <f ca="1">IF('Graphical Overview'!BD$5&lt;='WK Conversion'!$AX13,"ME",IF('Graphical Overview'!BD$5&lt;='WK Conversion'!$AY13,"EE",IF('Graphical Overview'!BD$5&lt;='WK Conversion'!$AZ13,"M",IF('Graphical Overview'!BD$5&lt;='WK Conversion'!$BA13,"A",IF('Graphical Overview'!BD$5&lt;'WK Conversion'!$BB13,"P",IF('Graphical Overview'!BD$5='WK Conversion'!$BB13,"R",IF('Graphical Overview'!BD$5&lt;='WK Conversion'!$BC13,"CI",IF('Graphical Overview'!BD$5&lt;='WK Conversion'!$BD13,"I",""))))))))</f>
        <v>#REF!</v>
      </c>
      <c r="BE12" s="38" t="e">
        <f ca="1">IF('Graphical Overview'!BE$5&lt;='WK Conversion'!$AX13,"ME",IF('Graphical Overview'!BE$5&lt;='WK Conversion'!$AY13,"EE",IF('Graphical Overview'!BE$5&lt;='WK Conversion'!$AZ13,"M",IF('Graphical Overview'!BE$5&lt;='WK Conversion'!$BA13,"A",IF('Graphical Overview'!BE$5&lt;'WK Conversion'!$BB13,"P",IF('Graphical Overview'!BE$5='WK Conversion'!$BB13,"R",IF('Graphical Overview'!BE$5&lt;='WK Conversion'!$BC13,"CI",IF('Graphical Overview'!BE$5&lt;='WK Conversion'!$BD13,"I",""))))))))</f>
        <v>#REF!</v>
      </c>
      <c r="BF12" s="38" t="e">
        <f ca="1">IF('Graphical Overview'!BF$5&lt;='WK Conversion'!$AX13,"ME",IF('Graphical Overview'!BF$5&lt;='WK Conversion'!$AY13,"EE",IF('Graphical Overview'!BF$5&lt;='WK Conversion'!$AZ13,"M",IF('Graphical Overview'!BF$5&lt;='WK Conversion'!$BA13,"A",IF('Graphical Overview'!BF$5&lt;'WK Conversion'!$BB13,"P",IF('Graphical Overview'!BF$5='WK Conversion'!$BB13,"R",IF('Graphical Overview'!BF$5&lt;='WK Conversion'!$BC13,"CI",IF('Graphical Overview'!BF$5&lt;='WK Conversion'!$BD13,"I",""))))))))</f>
        <v>#REF!</v>
      </c>
      <c r="BG12" s="38" t="e">
        <f ca="1">IF('Graphical Overview'!BG$5&lt;='WK Conversion'!$AX13,"ME",IF('Graphical Overview'!BG$5&lt;='WK Conversion'!$AY13,"EE",IF('Graphical Overview'!BG$5&lt;='WK Conversion'!$AZ13,"M",IF('Graphical Overview'!BG$5&lt;='WK Conversion'!$BA13,"A",IF('Graphical Overview'!BG$5&lt;'WK Conversion'!$BB13,"P",IF('Graphical Overview'!BG$5='WK Conversion'!$BB13,"R",IF('Graphical Overview'!BG$5&lt;='WK Conversion'!$BC13,"CI",IF('Graphical Overview'!BG$5&lt;='WK Conversion'!$BD13,"I",""))))))))</f>
        <v>#REF!</v>
      </c>
      <c r="BH12" s="38" t="e">
        <f ca="1">IF('Graphical Overview'!BH$5&lt;='WK Conversion'!$AX13,"ME",IF('Graphical Overview'!BH$5&lt;='WK Conversion'!$AY13,"EE",IF('Graphical Overview'!BH$5&lt;='WK Conversion'!$AZ13,"M",IF('Graphical Overview'!BH$5&lt;='WK Conversion'!$BA13,"A",IF('Graphical Overview'!BH$5&lt;'WK Conversion'!$BB13,"P",IF('Graphical Overview'!BH$5='WK Conversion'!$BB13,"R",IF('Graphical Overview'!BH$5&lt;='WK Conversion'!$BC13,"CI",IF('Graphical Overview'!BH$5&lt;='WK Conversion'!$BD13,"I",""))))))))</f>
        <v>#REF!</v>
      </c>
      <c r="BI12" s="38" t="e">
        <f ca="1">IF('Graphical Overview'!BI$5&lt;='WK Conversion'!$AX13,"ME",IF('Graphical Overview'!BI$5&lt;='WK Conversion'!$AY13,"EE",IF('Graphical Overview'!BI$5&lt;='WK Conversion'!$AZ13,"M",IF('Graphical Overview'!BI$5&lt;='WK Conversion'!$BA13,"A",IF('Graphical Overview'!BI$5&lt;'WK Conversion'!$BB13,"P",IF('Graphical Overview'!BI$5='WK Conversion'!$BB13,"R",IF('Graphical Overview'!BI$5&lt;='WK Conversion'!$BC13,"CI",IF('Graphical Overview'!BI$5&lt;='WK Conversion'!$BD13,"I",""))))))))</f>
        <v>#REF!</v>
      </c>
      <c r="BJ12" s="38" t="e">
        <f ca="1">IF('Graphical Overview'!BJ$5&lt;='WK Conversion'!$AX13,"ME",IF('Graphical Overview'!BJ$5&lt;='WK Conversion'!$AY13,"EE",IF('Graphical Overview'!BJ$5&lt;='WK Conversion'!$AZ13,"M",IF('Graphical Overview'!BJ$5&lt;='WK Conversion'!$BA13,"A",IF('Graphical Overview'!BJ$5&lt;'WK Conversion'!$BB13,"P",IF('Graphical Overview'!BJ$5='WK Conversion'!$BB13,"R",IF('Graphical Overview'!BJ$5&lt;='WK Conversion'!$BC13,"CI",IF('Graphical Overview'!BJ$5&lt;='WK Conversion'!$BD13,"I",""))))))))</f>
        <v>#REF!</v>
      </c>
      <c r="BK12" s="38" t="e">
        <f ca="1">IF('Graphical Overview'!BK$5&lt;='WK Conversion'!$AX13,"ME",IF('Graphical Overview'!BK$5&lt;='WK Conversion'!$AY13,"EE",IF('Graphical Overview'!BK$5&lt;='WK Conversion'!$AZ13,"M",IF('Graphical Overview'!BK$5&lt;='WK Conversion'!$BA13,"A",IF('Graphical Overview'!BK$5&lt;'WK Conversion'!$BB13,"P",IF('Graphical Overview'!BK$5='WK Conversion'!$BB13,"R",IF('Graphical Overview'!BK$5&lt;='WK Conversion'!$BC13,"CI",IF('Graphical Overview'!BK$5&lt;='WK Conversion'!$BD13,"I",""))))))))</f>
        <v>#REF!</v>
      </c>
      <c r="BL12" s="38" t="e">
        <f ca="1">IF('Graphical Overview'!BL$5&lt;='WK Conversion'!$AX13,"ME",IF('Graphical Overview'!BL$5&lt;='WK Conversion'!$AY13,"EE",IF('Graphical Overview'!BL$5&lt;='WK Conversion'!$AZ13,"M",IF('Graphical Overview'!BL$5&lt;='WK Conversion'!$BA13,"A",IF('Graphical Overview'!BL$5&lt;'WK Conversion'!$BB13,"P",IF('Graphical Overview'!BL$5='WK Conversion'!$BB13,"R",IF('Graphical Overview'!BL$5&lt;='WK Conversion'!$BC13,"CI",IF('Graphical Overview'!BL$5&lt;='WK Conversion'!$BD13,"I",""))))))))</f>
        <v>#REF!</v>
      </c>
      <c r="BM12" s="38" t="e">
        <f ca="1">IF('Graphical Overview'!BM$5&lt;='WK Conversion'!$AX13,"ME",IF('Graphical Overview'!BM$5&lt;='WK Conversion'!$AY13,"EE",IF('Graphical Overview'!BM$5&lt;='WK Conversion'!$AZ13,"M",IF('Graphical Overview'!BM$5&lt;='WK Conversion'!$BA13,"A",IF('Graphical Overview'!BM$5&lt;'WK Conversion'!$BB13,"P",IF('Graphical Overview'!BM$5='WK Conversion'!$BB13,"R",IF('Graphical Overview'!BM$5&lt;='WK Conversion'!$BC13,"CI",IF('Graphical Overview'!BM$5&lt;='WK Conversion'!$BD13,"I",""))))))))</f>
        <v>#REF!</v>
      </c>
      <c r="BN12" s="38" t="e">
        <f ca="1">IF('Graphical Overview'!BN$5&lt;='WK Conversion'!$AX13,"ME",IF('Graphical Overview'!BN$5&lt;='WK Conversion'!$AY13,"EE",IF('Graphical Overview'!BN$5&lt;='WK Conversion'!$AZ13,"M",IF('Graphical Overview'!BN$5&lt;='WK Conversion'!$BA13,"A",IF('Graphical Overview'!BN$5&lt;'WK Conversion'!$BB13,"P",IF('Graphical Overview'!BN$5='WK Conversion'!$BB13,"R",IF('Graphical Overview'!BN$5&lt;='WK Conversion'!$BC13,"CI",IF('Graphical Overview'!BN$5&lt;='WK Conversion'!$BD13,"I",""))))))))</f>
        <v>#REF!</v>
      </c>
      <c r="BO12" s="108" t="e">
        <f ca="1">IF('Graphical Overview'!BO$5&lt;='WK Conversion'!$AX13,"ME",IF('Graphical Overview'!BO$5&lt;='WK Conversion'!$AY13,"EE",IF('Graphical Overview'!BO$5&lt;='WK Conversion'!$AZ13,"M",IF('Graphical Overview'!BO$5&lt;='WK Conversion'!$BA13,"A",IF('Graphical Overview'!BO$5&lt;'WK Conversion'!$BB13,"P",IF('Graphical Overview'!BO$5='WK Conversion'!$BB13,"R",IF('Graphical Overview'!BO$5&lt;='WK Conversion'!$BC13,"CI",IF('Graphical Overview'!BO$5&lt;='WK Conversion'!$BD13,"I",""))))))))</f>
        <v>#REF!</v>
      </c>
      <c r="BP12" s="38" t="e">
        <f ca="1">IF('Graphical Overview'!BP$5&lt;='WK Conversion'!$AX13,"ME",IF('Graphical Overview'!BP$5&lt;='WK Conversion'!$AY13,"EE",IF('Graphical Overview'!BP$5&lt;='WK Conversion'!$AZ13,"M",IF('Graphical Overview'!BP$5&lt;='WK Conversion'!$BA13,"A",IF('Graphical Overview'!BP$5&lt;'WK Conversion'!$BB13,"P",IF('Graphical Overview'!BP$5='WK Conversion'!$BB13,"R",IF('Graphical Overview'!BP$5&lt;='WK Conversion'!$BC13,"CI",IF('Graphical Overview'!BP$5&lt;='WK Conversion'!$BD13,"I",""))))))))</f>
        <v>#REF!</v>
      </c>
      <c r="BQ12" s="38" t="e">
        <f ca="1">IF('Graphical Overview'!BQ$5&lt;='WK Conversion'!$AX13,"ME",IF('Graphical Overview'!BQ$5&lt;='WK Conversion'!$AY13,"EE",IF('Graphical Overview'!BQ$5&lt;='WK Conversion'!$AZ13,"M",IF('Graphical Overview'!BQ$5&lt;='WK Conversion'!$BA13,"A",IF('Graphical Overview'!BQ$5&lt;'WK Conversion'!$BB13,"P",IF('Graphical Overview'!BQ$5='WK Conversion'!$BB13,"R",IF('Graphical Overview'!BQ$5&lt;='WK Conversion'!$BC13,"CI",IF('Graphical Overview'!BQ$5&lt;='WK Conversion'!$BD13,"I",""))))))))</f>
        <v>#REF!</v>
      </c>
      <c r="BR12" s="38" t="e">
        <f ca="1">IF('Graphical Overview'!BR$5&lt;='WK Conversion'!$AX13,"ME",IF('Graphical Overview'!BR$5&lt;='WK Conversion'!$AY13,"EE",IF('Graphical Overview'!BR$5&lt;='WK Conversion'!$AZ13,"M",IF('Graphical Overview'!BR$5&lt;='WK Conversion'!$BA13,"A",IF('Graphical Overview'!BR$5&lt;'WK Conversion'!$BB13,"P",IF('Graphical Overview'!BR$5='WK Conversion'!$BB13,"R",IF('Graphical Overview'!BR$5&lt;='WK Conversion'!$BC13,"CI",IF('Graphical Overview'!BR$5&lt;='WK Conversion'!$BD13,"I",""))))))))</f>
        <v>#REF!</v>
      </c>
      <c r="BS12" s="38" t="e">
        <f ca="1">IF('Graphical Overview'!BS$5&lt;='WK Conversion'!$AX13,"ME",IF('Graphical Overview'!BS$5&lt;='WK Conversion'!$AY13,"EE",IF('Graphical Overview'!BS$5&lt;='WK Conversion'!$AZ13,"M",IF('Graphical Overview'!BS$5&lt;='WK Conversion'!$BA13,"A",IF('Graphical Overview'!BS$5&lt;'WK Conversion'!$BB13,"P",IF('Graphical Overview'!BS$5='WK Conversion'!$BB13,"R",IF('Graphical Overview'!BS$5&lt;='WK Conversion'!$BC13,"CI",IF('Graphical Overview'!BS$5&lt;='WK Conversion'!$BD13,"I",""))))))))</f>
        <v>#REF!</v>
      </c>
      <c r="BT12" s="38" t="e">
        <f ca="1">IF('Graphical Overview'!BT$5&lt;='WK Conversion'!$AX13,"ME",IF('Graphical Overview'!BT$5&lt;='WK Conversion'!$AY13,"EE",IF('Graphical Overview'!BT$5&lt;='WK Conversion'!$AZ13,"M",IF('Graphical Overview'!BT$5&lt;='WK Conversion'!$BA13,"A",IF('Graphical Overview'!BT$5&lt;'WK Conversion'!$BB13,"P",IF('Graphical Overview'!BT$5='WK Conversion'!$BB13,"R",IF('Graphical Overview'!BT$5&lt;='WK Conversion'!$BC13,"CI",IF('Graphical Overview'!BT$5&lt;='WK Conversion'!$BD13,"I",""))))))))</f>
        <v>#REF!</v>
      </c>
      <c r="BU12" s="38" t="e">
        <f ca="1">IF('Graphical Overview'!BU$5&lt;='WK Conversion'!$AX13,"ME",IF('Graphical Overview'!BU$5&lt;='WK Conversion'!$AY13,"EE",IF('Graphical Overview'!BU$5&lt;='WK Conversion'!$AZ13,"M",IF('Graphical Overview'!BU$5&lt;='WK Conversion'!$BA13,"A",IF('Graphical Overview'!BU$5&lt;'WK Conversion'!$BB13,"P",IF('Graphical Overview'!BU$5='WK Conversion'!$BB13,"R",IF('Graphical Overview'!BU$5&lt;='WK Conversion'!$BC13,"CI",IF('Graphical Overview'!BU$5&lt;='WK Conversion'!$BD13,"I",""))))))))</f>
        <v>#REF!</v>
      </c>
      <c r="BV12" s="38" t="e">
        <f ca="1">IF('Graphical Overview'!BV$5&lt;='WK Conversion'!$AX13,"ME",IF('Graphical Overview'!BV$5&lt;='WK Conversion'!$AY13,"EE",IF('Graphical Overview'!BV$5&lt;='WK Conversion'!$AZ13,"M",IF('Graphical Overview'!BV$5&lt;='WK Conversion'!$BA13,"A",IF('Graphical Overview'!BV$5&lt;'WK Conversion'!$BB13,"P",IF('Graphical Overview'!BV$5='WK Conversion'!$BB13,"R",IF('Graphical Overview'!BV$5&lt;='WK Conversion'!$BC13,"CI",IF('Graphical Overview'!BV$5&lt;='WK Conversion'!$BD13,"I",""))))))))</f>
        <v>#REF!</v>
      </c>
      <c r="BW12" s="38" t="e">
        <f ca="1">IF('Graphical Overview'!BW$5&lt;='WK Conversion'!$AX13,"ME",IF('Graphical Overview'!BW$5&lt;='WK Conversion'!$AY13,"EE",IF('Graphical Overview'!BW$5&lt;='WK Conversion'!$AZ13,"M",IF('Graphical Overview'!BW$5&lt;='WK Conversion'!$BA13,"A",IF('Graphical Overview'!BW$5&lt;'WK Conversion'!$BB13,"P",IF('Graphical Overview'!BW$5='WK Conversion'!$BB13,"R",IF('Graphical Overview'!BW$5&lt;='WK Conversion'!$BC13,"CI",IF('Graphical Overview'!BW$5&lt;='WK Conversion'!$BD13,"I",""))))))))</f>
        <v>#REF!</v>
      </c>
      <c r="BX12" s="38" t="e">
        <f ca="1">IF('Graphical Overview'!BX$5&lt;='WK Conversion'!$AX13,"ME",IF('Graphical Overview'!BX$5&lt;='WK Conversion'!$AY13,"EE",IF('Graphical Overview'!BX$5&lt;='WK Conversion'!$AZ13,"M",IF('Graphical Overview'!BX$5&lt;='WK Conversion'!$BA13,"A",IF('Graphical Overview'!BX$5&lt;'WK Conversion'!$BB13,"P",IF('Graphical Overview'!BX$5='WK Conversion'!$BB13,"R",IF('Graphical Overview'!BX$5&lt;='WK Conversion'!$BC13,"CI",IF('Graphical Overview'!BX$5&lt;='WK Conversion'!$BD13,"I",""))))))))</f>
        <v>#REF!</v>
      </c>
      <c r="BY12" s="38" t="e">
        <f ca="1">IF('Graphical Overview'!BY$5&lt;='WK Conversion'!$AX13,"ME",IF('Graphical Overview'!BY$5&lt;='WK Conversion'!$AY13,"EE",IF('Graphical Overview'!BY$5&lt;='WK Conversion'!$AZ13,"M",IF('Graphical Overview'!BY$5&lt;='WK Conversion'!$BA13,"A",IF('Graphical Overview'!BY$5&lt;'WK Conversion'!$BB13,"P",IF('Graphical Overview'!BY$5='WK Conversion'!$BB13,"R",IF('Graphical Overview'!BY$5&lt;='WK Conversion'!$BC13,"CI",IF('Graphical Overview'!BY$5&lt;='WK Conversion'!$BD13,"I",""))))))))</f>
        <v>#REF!</v>
      </c>
      <c r="BZ12" s="38" t="e">
        <f ca="1">IF('Graphical Overview'!BZ$5&lt;='WK Conversion'!$AX13,"ME",IF('Graphical Overview'!BZ$5&lt;='WK Conversion'!$AY13,"EE",IF('Graphical Overview'!BZ$5&lt;='WK Conversion'!$AZ13,"M",IF('Graphical Overview'!BZ$5&lt;='WK Conversion'!$BA13,"A",IF('Graphical Overview'!BZ$5&lt;'WK Conversion'!$BB13,"P",IF('Graphical Overview'!BZ$5='WK Conversion'!$BB13,"R",IF('Graphical Overview'!BZ$5&lt;='WK Conversion'!$BC13,"CI",IF('Graphical Overview'!BZ$5&lt;='WK Conversion'!$BD13,"I",""))))))))</f>
        <v>#REF!</v>
      </c>
      <c r="CA12" s="38" t="e">
        <f ca="1">IF('Graphical Overview'!CA$5&lt;='WK Conversion'!$AX13,"ME",IF('Graphical Overview'!CA$5&lt;='WK Conversion'!$AY13,"EE",IF('Graphical Overview'!CA$5&lt;='WK Conversion'!$AZ13,"M",IF('Graphical Overview'!CA$5&lt;='WK Conversion'!$BA13,"A",IF('Graphical Overview'!CA$5&lt;'WK Conversion'!$BB13,"P",IF('Graphical Overview'!CA$5='WK Conversion'!$BB13,"R",IF('Graphical Overview'!CA$5&lt;='WK Conversion'!$BC13,"CI",IF('Graphical Overview'!CA$5&lt;='WK Conversion'!$BD13,"I",""))))))))</f>
        <v>#REF!</v>
      </c>
      <c r="CB12" s="38" t="e">
        <f ca="1">IF('Graphical Overview'!CB$5&lt;='WK Conversion'!$AX13,"ME",IF('Graphical Overview'!CB$5&lt;='WK Conversion'!$AY13,"EE",IF('Graphical Overview'!CB$5&lt;='WK Conversion'!$AZ13,"M",IF('Graphical Overview'!CB$5&lt;='WK Conversion'!$BA13,"A",IF('Graphical Overview'!CB$5&lt;'WK Conversion'!$BB13,"P",IF('Graphical Overview'!CB$5='WK Conversion'!$BB13,"R",IF('Graphical Overview'!CB$5&lt;='WK Conversion'!$BC13,"CI",IF('Graphical Overview'!CB$5&lt;='WK Conversion'!$BD13,"I",""))))))))</f>
        <v>#REF!</v>
      </c>
      <c r="CC12" s="38" t="e">
        <f ca="1">IF('Graphical Overview'!CC$5&lt;='WK Conversion'!$AX13,"ME",IF('Graphical Overview'!CC$5&lt;='WK Conversion'!$AY13,"EE",IF('Graphical Overview'!CC$5&lt;='WK Conversion'!$AZ13,"M",IF('Graphical Overview'!CC$5&lt;='WK Conversion'!$BA13,"A",IF('Graphical Overview'!CC$5&lt;'WK Conversion'!$BB13,"P",IF('Graphical Overview'!CC$5='WK Conversion'!$BB13,"R",IF('Graphical Overview'!CC$5&lt;='WK Conversion'!$BC13,"CI",IF('Graphical Overview'!CC$5&lt;='WK Conversion'!$BD13,"I",""))))))))</f>
        <v>#REF!</v>
      </c>
      <c r="CD12" s="38" t="e">
        <f ca="1">IF('Graphical Overview'!CD$5&lt;='WK Conversion'!$AX13,"ME",IF('Graphical Overview'!CD$5&lt;='WK Conversion'!$AY13,"EE",IF('Graphical Overview'!CD$5&lt;='WK Conversion'!$AZ13,"M",IF('Graphical Overview'!CD$5&lt;='WK Conversion'!$BA13,"A",IF('Graphical Overview'!CD$5&lt;'WK Conversion'!$BB13,"P",IF('Graphical Overview'!CD$5='WK Conversion'!$BB13,"R",IF('Graphical Overview'!CD$5&lt;='WK Conversion'!$BC13,"CI",IF('Graphical Overview'!CD$5&lt;='WK Conversion'!$BD13,"I",""))))))))</f>
        <v>#REF!</v>
      </c>
      <c r="CE12" s="38" t="e">
        <f ca="1">IF('Graphical Overview'!CE$5&lt;='WK Conversion'!$AX13,"ME",IF('Graphical Overview'!CE$5&lt;='WK Conversion'!$AY13,"EE",IF('Graphical Overview'!CE$5&lt;='WK Conversion'!$AZ13,"M",IF('Graphical Overview'!CE$5&lt;='WK Conversion'!$BA13,"A",IF('Graphical Overview'!CE$5&lt;'WK Conversion'!$BB13,"P",IF('Graphical Overview'!CE$5='WK Conversion'!$BB13,"R",IF('Graphical Overview'!CE$5&lt;='WK Conversion'!$BC13,"CI",IF('Graphical Overview'!CE$5&lt;='WK Conversion'!$BD13,"I",""))))))))</f>
        <v>#REF!</v>
      </c>
      <c r="CF12" s="39" t="e">
        <f ca="1">IF('Graphical Overview'!CF$5&lt;='WK Conversion'!$AX13,"ME",IF('Graphical Overview'!CF$5&lt;='WK Conversion'!$AY13,"EE",IF('Graphical Overview'!CF$5&lt;='WK Conversion'!$AZ13,"M",IF('Graphical Overview'!CF$5&lt;='WK Conversion'!$BA13,"A",IF('Graphical Overview'!CF$5&lt;'WK Conversion'!$BB13,"P",IF('Graphical Overview'!CF$5='WK Conversion'!$BB13,"R",IF('Graphical Overview'!CF$5&lt;='WK Conversion'!$BC13,"CI",IF('Graphical Overview'!CF$5&lt;='WK Conversion'!$BD13,"I",""))))))))</f>
        <v>#REF!</v>
      </c>
    </row>
    <row r="13" spans="1:88" ht="22.5" customHeight="1" x14ac:dyDescent="0.25">
      <c r="A13" s="41" t="e">
        <f>IF(Data!#REF!="","",Data!#REF!)</f>
        <v>#REF!</v>
      </c>
      <c r="B13" s="42" t="e">
        <f>IF(Data!#REF!="","",Data!#REF!)</f>
        <v>#REF!</v>
      </c>
      <c r="C13" s="42" t="e">
        <f>IF(Data!#REF!="","",Data!#REF!)</f>
        <v>#REF!</v>
      </c>
      <c r="D13" s="90" t="e">
        <f>IF(Data!#REF!="","",Data!#REF!)</f>
        <v>#REF!</v>
      </c>
      <c r="E13" s="42" t="e">
        <f>IF(Data!#REF!="","",Data!#REF!)</f>
        <v>#REF!</v>
      </c>
      <c r="F13" s="99" t="e">
        <f>IF(Data!#REF!="","",Data!#REF!)</f>
        <v>#REF!</v>
      </c>
      <c r="G13" s="105" t="e">
        <f t="shared" si="2"/>
        <v>#REF!</v>
      </c>
      <c r="H13" s="106" t="e">
        <f>IF(Data!#REF!="","",Data!#REF!)</f>
        <v>#REF!</v>
      </c>
      <c r="I13" s="106" t="e">
        <f>IF(Data!#REF!="","",Data!#REF!)</f>
        <v>#REF!</v>
      </c>
      <c r="J13" s="106" t="e">
        <f>IF(Data!#REF!="","",Data!#REF!)</f>
        <v>#REF!</v>
      </c>
      <c r="K13" s="106" t="e">
        <f>IF(Data!#REF!="","",Data!#REF!)</f>
        <v>#REF!</v>
      </c>
      <c r="L13" s="106" t="e">
        <f>IF(Data!#REF!="","",Data!#REF!)</f>
        <v>#REF!</v>
      </c>
      <c r="M13" s="106" t="e">
        <f>IF(Data!#REF!="","",Data!#REF!)</f>
        <v>#REF!</v>
      </c>
      <c r="N13" s="106" t="e">
        <f>IF(Data!#REF!="","",Data!#REF!)</f>
        <v>#REF!</v>
      </c>
      <c r="O13" s="106" t="e">
        <f>IF(Data!#REF!="","",Data!#REF!)</f>
        <v>#REF!</v>
      </c>
      <c r="P13" s="106" t="e">
        <f>IF(Data!#REF!="","",Data!#REF!)</f>
        <v>#REF!</v>
      </c>
      <c r="Q13" s="107" t="e">
        <f>IF(Data!#REF!="","",Data!#REF!)</f>
        <v>#REF!</v>
      </c>
      <c r="R13" s="105" t="e">
        <f>IF(Data!#REF!="","",Data!#REF!)</f>
        <v>#REF!</v>
      </c>
      <c r="S13" s="106" t="e">
        <f>IF(Data!#REF!="","",Data!#REF!)</f>
        <v>#REF!</v>
      </c>
      <c r="T13" s="106" t="e">
        <f>IF(Data!#REF!="","",Data!#REF!)</f>
        <v>#REF!</v>
      </c>
      <c r="U13" s="106" t="e">
        <f>IF(Data!#REF!="","",Data!#REF!)</f>
        <v>#REF!</v>
      </c>
      <c r="V13" s="106" t="e">
        <f>IF(Data!#REF!="","",Data!#REF!)</f>
        <v>#REF!</v>
      </c>
      <c r="W13" s="106" t="e">
        <f>IF(Data!#REF!="","",Data!#REF!)</f>
        <v>#REF!</v>
      </c>
      <c r="X13" s="106" t="e">
        <f>IF(Data!#REF!="","",Data!#REF!)</f>
        <v>#REF!</v>
      </c>
      <c r="Y13" s="106" t="e">
        <f>IF(Data!#REF!="","",Data!#REF!)</f>
        <v>#REF!</v>
      </c>
      <c r="Z13" s="106" t="e">
        <f>IF(Data!#REF!="","",Data!#REF!)</f>
        <v>#REF!</v>
      </c>
      <c r="AA13" s="106" t="e">
        <f>IF(Data!#REF!="","",Data!#REF!)</f>
        <v>#REF!</v>
      </c>
      <c r="AB13" s="107" t="e">
        <f>IF(Data!#REF!="","",Data!#REF!)</f>
        <v>#REF!</v>
      </c>
      <c r="AC13" s="105" t="e">
        <f>IF(Data!#REF!="","",Data!#REF!)</f>
        <v>#REF!</v>
      </c>
      <c r="AD13" s="106" t="e">
        <f>IF(Data!#REF!="","",Data!#REF!)</f>
        <v>#REF!</v>
      </c>
      <c r="AE13" s="106" t="e">
        <f>IF(Data!#REF!="","",Data!#REF!)</f>
        <v>#REF!</v>
      </c>
      <c r="AF13" s="106" t="e">
        <f>IF(Data!#REF!="","",Data!#REF!)</f>
        <v>#REF!</v>
      </c>
      <c r="AG13" s="106" t="e">
        <f>IF(Data!#REF!="","",Data!#REF!)</f>
        <v>#REF!</v>
      </c>
      <c r="AH13" s="106" t="e">
        <f>IF(Data!#REF!="","",Data!#REF!)</f>
        <v>#REF!</v>
      </c>
      <c r="AI13" s="106" t="e">
        <f>IF(Data!#REF!="","",Data!#REF!)</f>
        <v>#REF!</v>
      </c>
      <c r="AJ13" s="106" t="e">
        <f>IF(Data!#REF!="","",Data!#REF!)</f>
        <v>#REF!</v>
      </c>
      <c r="AK13" s="106" t="e">
        <f>IF(Data!#REF!="","",Data!#REF!)</f>
        <v>#REF!</v>
      </c>
      <c r="AL13" s="106" t="e">
        <f>IF(Data!#REF!="","",Data!#REF!)</f>
        <v>#REF!</v>
      </c>
      <c r="AM13" s="107" t="e">
        <f>IF(Data!#REF!="","",Data!#REF!)</f>
        <v>#REF!</v>
      </c>
      <c r="AN13" s="105" t="e">
        <f>IF(Data!#REF!="","",Data!#REF!)</f>
        <v>#REF!</v>
      </c>
      <c r="AO13" s="106" t="e">
        <f>IF(Data!#REF!="","",Data!#REF!)</f>
        <v>#REF!</v>
      </c>
      <c r="AP13" s="106" t="e">
        <f>IF(Data!#REF!="","",Data!#REF!)</f>
        <v>#REF!</v>
      </c>
      <c r="AQ13" s="106" t="e">
        <f>IF(Data!#REF!="","",Data!#REF!)</f>
        <v>#REF!</v>
      </c>
      <c r="AR13" s="106" t="e">
        <f>IF(Data!#REF!="","",Data!#REF!)</f>
        <v>#REF!</v>
      </c>
      <c r="AS13" s="106" t="e">
        <f>IF(Data!#REF!="","",Data!#REF!)</f>
        <v>#REF!</v>
      </c>
      <c r="AT13" s="106" t="e">
        <f>IF(Data!#REF!="","",Data!#REF!)</f>
        <v>#REF!</v>
      </c>
      <c r="AU13" s="106" t="e">
        <f>IF(Data!#REF!="","",Data!#REF!)</f>
        <v>#REF!</v>
      </c>
      <c r="AV13" s="106" t="e">
        <f>IF(Data!#REF!="","",Data!#REF!)</f>
        <v>#REF!</v>
      </c>
      <c r="AW13" s="106" t="e">
        <f>IF(Data!#REF!="","",Data!#REF!)</f>
        <v>#REF!</v>
      </c>
      <c r="AX13" s="106" t="e">
        <f>IF(Data!#REF!="","",Data!#REF!)</f>
        <v>#REF!</v>
      </c>
      <c r="AY13" s="107" t="e">
        <f>IF(Data!#REF!="","",Data!#REF!)</f>
        <v>#REF!</v>
      </c>
      <c r="AZ13" s="109" t="e">
        <f>IF(Data!#REF!="","",Data!#REF!)</f>
        <v>#REF!</v>
      </c>
      <c r="BA13" s="116" t="e">
        <f ca="1">IF('Graphical Overview'!BA$5&lt;='WK Conversion'!$AX14,"ME",IF('Graphical Overview'!BA$5&lt;='WK Conversion'!$AY14,"EE",IF('Graphical Overview'!BA$5&lt;='WK Conversion'!$AZ14,"M",IF('Graphical Overview'!BA$5&lt;='WK Conversion'!$BA14,"A",IF('Graphical Overview'!BA$5&lt;'WK Conversion'!$BB14,"P",IF('Graphical Overview'!BA$5='WK Conversion'!$BB14,"R",IF('Graphical Overview'!BA$5&lt;='WK Conversion'!$BC14,"CI",IF('Graphical Overview'!BA$5&lt;='WK Conversion'!$BD14,"I",""))))))))</f>
        <v>#REF!</v>
      </c>
      <c r="BB13" s="38" t="e">
        <f ca="1">IF('Graphical Overview'!BB$5&lt;='WK Conversion'!$AX14,"ME",IF('Graphical Overview'!BB$5&lt;='WK Conversion'!$AY14,"EE",IF('Graphical Overview'!BB$5&lt;='WK Conversion'!$AZ14,"M",IF('Graphical Overview'!BB$5&lt;='WK Conversion'!$BA14,"A",IF('Graphical Overview'!BB$5&lt;'WK Conversion'!$BB14,"P",IF('Graphical Overview'!BB$5='WK Conversion'!$BB14,"R",IF('Graphical Overview'!BB$5&lt;='WK Conversion'!$BC14,"CI",IF('Graphical Overview'!BB$5&lt;='WK Conversion'!$BD14,"I",""))))))))</f>
        <v>#REF!</v>
      </c>
      <c r="BC13" s="38" t="e">
        <f ca="1">IF('Graphical Overview'!BC$5&lt;='WK Conversion'!$AX14,"ME",IF('Graphical Overview'!BC$5&lt;='WK Conversion'!$AY14,"EE",IF('Graphical Overview'!BC$5&lt;='WK Conversion'!$AZ14,"M",IF('Graphical Overview'!BC$5&lt;='WK Conversion'!$BA14,"A",IF('Graphical Overview'!BC$5&lt;'WK Conversion'!$BB14,"P",IF('Graphical Overview'!BC$5='WK Conversion'!$BB14,"R",IF('Graphical Overview'!BC$5&lt;='WK Conversion'!$BC14,"CI",IF('Graphical Overview'!BC$5&lt;='WK Conversion'!$BD14,"I",""))))))))</f>
        <v>#REF!</v>
      </c>
      <c r="BD13" s="38" t="e">
        <f ca="1">IF('Graphical Overview'!BD$5&lt;='WK Conversion'!$AX14,"ME",IF('Graphical Overview'!BD$5&lt;='WK Conversion'!$AY14,"EE",IF('Graphical Overview'!BD$5&lt;='WK Conversion'!$AZ14,"M",IF('Graphical Overview'!BD$5&lt;='WK Conversion'!$BA14,"A",IF('Graphical Overview'!BD$5&lt;'WK Conversion'!$BB14,"P",IF('Graphical Overview'!BD$5='WK Conversion'!$BB14,"R",IF('Graphical Overview'!BD$5&lt;='WK Conversion'!$BC14,"CI",IF('Graphical Overview'!BD$5&lt;='WK Conversion'!$BD14,"I",""))))))))</f>
        <v>#REF!</v>
      </c>
      <c r="BE13" s="38" t="e">
        <f ca="1">IF('Graphical Overview'!BE$5&lt;='WK Conversion'!$AX14,"ME",IF('Graphical Overview'!BE$5&lt;='WK Conversion'!$AY14,"EE",IF('Graphical Overview'!BE$5&lt;='WK Conversion'!$AZ14,"M",IF('Graphical Overview'!BE$5&lt;='WK Conversion'!$BA14,"A",IF('Graphical Overview'!BE$5&lt;'WK Conversion'!$BB14,"P",IF('Graphical Overview'!BE$5='WK Conversion'!$BB14,"R",IF('Graphical Overview'!BE$5&lt;='WK Conversion'!$BC14,"CI",IF('Graphical Overview'!BE$5&lt;='WK Conversion'!$BD14,"I",""))))))))</f>
        <v>#REF!</v>
      </c>
      <c r="BF13" s="38" t="e">
        <f ca="1">IF('Graphical Overview'!BF$5&lt;='WK Conversion'!$AX14,"ME",IF('Graphical Overview'!BF$5&lt;='WK Conversion'!$AY14,"EE",IF('Graphical Overview'!BF$5&lt;='WK Conversion'!$AZ14,"M",IF('Graphical Overview'!BF$5&lt;='WK Conversion'!$BA14,"A",IF('Graphical Overview'!BF$5&lt;'WK Conversion'!$BB14,"P",IF('Graphical Overview'!BF$5='WK Conversion'!$BB14,"R",IF('Graphical Overview'!BF$5&lt;='WK Conversion'!$BC14,"CI",IF('Graphical Overview'!BF$5&lt;='WK Conversion'!$BD14,"I",""))))))))</f>
        <v>#REF!</v>
      </c>
      <c r="BG13" s="38" t="e">
        <f ca="1">IF('Graphical Overview'!BG$5&lt;='WK Conversion'!$AX14,"ME",IF('Graphical Overview'!BG$5&lt;='WK Conversion'!$AY14,"EE",IF('Graphical Overview'!BG$5&lt;='WK Conversion'!$AZ14,"M",IF('Graphical Overview'!BG$5&lt;='WK Conversion'!$BA14,"A",IF('Graphical Overview'!BG$5&lt;'WK Conversion'!$BB14,"P",IF('Graphical Overview'!BG$5='WK Conversion'!$BB14,"R",IF('Graphical Overview'!BG$5&lt;='WK Conversion'!$BC14,"CI",IF('Graphical Overview'!BG$5&lt;='WK Conversion'!$BD14,"I",""))))))))</f>
        <v>#REF!</v>
      </c>
      <c r="BH13" s="38" t="e">
        <f ca="1">IF('Graphical Overview'!BH$5&lt;='WK Conversion'!$AX14,"ME",IF('Graphical Overview'!BH$5&lt;='WK Conversion'!$AY14,"EE",IF('Graphical Overview'!BH$5&lt;='WK Conversion'!$AZ14,"M",IF('Graphical Overview'!BH$5&lt;='WK Conversion'!$BA14,"A",IF('Graphical Overview'!BH$5&lt;'WK Conversion'!$BB14,"P",IF('Graphical Overview'!BH$5='WK Conversion'!$BB14,"R",IF('Graphical Overview'!BH$5&lt;='WK Conversion'!$BC14,"CI",IF('Graphical Overview'!BH$5&lt;='WK Conversion'!$BD14,"I",""))))))))</f>
        <v>#REF!</v>
      </c>
      <c r="BI13" s="38" t="e">
        <f ca="1">IF('Graphical Overview'!BI$5&lt;='WK Conversion'!$AX14,"ME",IF('Graphical Overview'!BI$5&lt;='WK Conversion'!$AY14,"EE",IF('Graphical Overview'!BI$5&lt;='WK Conversion'!$AZ14,"M",IF('Graphical Overview'!BI$5&lt;='WK Conversion'!$BA14,"A",IF('Graphical Overview'!BI$5&lt;'WK Conversion'!$BB14,"P",IF('Graphical Overview'!BI$5='WK Conversion'!$BB14,"R",IF('Graphical Overview'!BI$5&lt;='WK Conversion'!$BC14,"CI",IF('Graphical Overview'!BI$5&lt;='WK Conversion'!$BD14,"I",""))))))))</f>
        <v>#REF!</v>
      </c>
      <c r="BJ13" s="38" t="e">
        <f ca="1">IF('Graphical Overview'!BJ$5&lt;='WK Conversion'!$AX14,"ME",IF('Graphical Overview'!BJ$5&lt;='WK Conversion'!$AY14,"EE",IF('Graphical Overview'!BJ$5&lt;='WK Conversion'!$AZ14,"M",IF('Graphical Overview'!BJ$5&lt;='WK Conversion'!$BA14,"A",IF('Graphical Overview'!BJ$5&lt;'WK Conversion'!$BB14,"P",IF('Graphical Overview'!BJ$5='WK Conversion'!$BB14,"R",IF('Graphical Overview'!BJ$5&lt;='WK Conversion'!$BC14,"CI",IF('Graphical Overview'!BJ$5&lt;='WK Conversion'!$BD14,"I",""))))))))</f>
        <v>#REF!</v>
      </c>
      <c r="BK13" s="38" t="e">
        <f ca="1">IF('Graphical Overview'!BK$5&lt;='WK Conversion'!$AX14,"ME",IF('Graphical Overview'!BK$5&lt;='WK Conversion'!$AY14,"EE",IF('Graphical Overview'!BK$5&lt;='WK Conversion'!$AZ14,"M",IF('Graphical Overview'!BK$5&lt;='WK Conversion'!$BA14,"A",IF('Graphical Overview'!BK$5&lt;'WK Conversion'!$BB14,"P",IF('Graphical Overview'!BK$5='WK Conversion'!$BB14,"R",IF('Graphical Overview'!BK$5&lt;='WK Conversion'!$BC14,"CI",IF('Graphical Overview'!BK$5&lt;='WK Conversion'!$BD14,"I",""))))))))</f>
        <v>#REF!</v>
      </c>
      <c r="BL13" s="38" t="e">
        <f ca="1">IF('Graphical Overview'!BL$5&lt;='WK Conversion'!$AX14,"ME",IF('Graphical Overview'!BL$5&lt;='WK Conversion'!$AY14,"EE",IF('Graphical Overview'!BL$5&lt;='WK Conversion'!$AZ14,"M",IF('Graphical Overview'!BL$5&lt;='WK Conversion'!$BA14,"A",IF('Graphical Overview'!BL$5&lt;'WK Conversion'!$BB14,"P",IF('Graphical Overview'!BL$5='WK Conversion'!$BB14,"R",IF('Graphical Overview'!BL$5&lt;='WK Conversion'!$BC14,"CI",IF('Graphical Overview'!BL$5&lt;='WK Conversion'!$BD14,"I",""))))))))</f>
        <v>#REF!</v>
      </c>
      <c r="BM13" s="38" t="e">
        <f ca="1">IF('Graphical Overview'!BM$5&lt;='WK Conversion'!$AX14,"ME",IF('Graphical Overview'!BM$5&lt;='WK Conversion'!$AY14,"EE",IF('Graphical Overview'!BM$5&lt;='WK Conversion'!$AZ14,"M",IF('Graphical Overview'!BM$5&lt;='WK Conversion'!$BA14,"A",IF('Graphical Overview'!BM$5&lt;'WK Conversion'!$BB14,"P",IF('Graphical Overview'!BM$5='WK Conversion'!$BB14,"R",IF('Graphical Overview'!BM$5&lt;='WK Conversion'!$BC14,"CI",IF('Graphical Overview'!BM$5&lt;='WK Conversion'!$BD14,"I",""))))))))</f>
        <v>#REF!</v>
      </c>
      <c r="BN13" s="38" t="e">
        <f ca="1">IF('Graphical Overview'!BN$5&lt;='WK Conversion'!$AX14,"ME",IF('Graphical Overview'!BN$5&lt;='WK Conversion'!$AY14,"EE",IF('Graphical Overview'!BN$5&lt;='WK Conversion'!$AZ14,"M",IF('Graphical Overview'!BN$5&lt;='WK Conversion'!$BA14,"A",IF('Graphical Overview'!BN$5&lt;'WK Conversion'!$BB14,"P",IF('Graphical Overview'!BN$5='WK Conversion'!$BB14,"R",IF('Graphical Overview'!BN$5&lt;='WK Conversion'!$BC14,"CI",IF('Graphical Overview'!BN$5&lt;='WK Conversion'!$BD14,"I",""))))))))</f>
        <v>#REF!</v>
      </c>
      <c r="BO13" s="108" t="e">
        <f ca="1">IF('Graphical Overview'!BO$5&lt;='WK Conversion'!$AX14,"ME",IF('Graphical Overview'!BO$5&lt;='WK Conversion'!$AY14,"EE",IF('Graphical Overview'!BO$5&lt;='WK Conversion'!$AZ14,"M",IF('Graphical Overview'!BO$5&lt;='WK Conversion'!$BA14,"A",IF('Graphical Overview'!BO$5&lt;'WK Conversion'!$BB14,"P",IF('Graphical Overview'!BO$5='WK Conversion'!$BB14,"R",IF('Graphical Overview'!BO$5&lt;='WK Conversion'!$BC14,"CI",IF('Graphical Overview'!BO$5&lt;='WK Conversion'!$BD14,"I",""))))))))</f>
        <v>#REF!</v>
      </c>
      <c r="BP13" s="38" t="e">
        <f ca="1">IF('Graphical Overview'!BP$5&lt;='WK Conversion'!$AX14,"ME",IF('Graphical Overview'!BP$5&lt;='WK Conversion'!$AY14,"EE",IF('Graphical Overview'!BP$5&lt;='WK Conversion'!$AZ14,"M",IF('Graphical Overview'!BP$5&lt;='WK Conversion'!$BA14,"A",IF('Graphical Overview'!BP$5&lt;'WK Conversion'!$BB14,"P",IF('Graphical Overview'!BP$5='WK Conversion'!$BB14,"R",IF('Graphical Overview'!BP$5&lt;='WK Conversion'!$BC14,"CI",IF('Graphical Overview'!BP$5&lt;='WK Conversion'!$BD14,"I",""))))))))</f>
        <v>#REF!</v>
      </c>
      <c r="BQ13" s="38" t="e">
        <f ca="1">IF('Graphical Overview'!BQ$5&lt;='WK Conversion'!$AX14,"ME",IF('Graphical Overview'!BQ$5&lt;='WK Conversion'!$AY14,"EE",IF('Graphical Overview'!BQ$5&lt;='WK Conversion'!$AZ14,"M",IF('Graphical Overview'!BQ$5&lt;='WK Conversion'!$BA14,"A",IF('Graphical Overview'!BQ$5&lt;'WK Conversion'!$BB14,"P",IF('Graphical Overview'!BQ$5='WK Conversion'!$BB14,"R",IF('Graphical Overview'!BQ$5&lt;='WK Conversion'!$BC14,"CI",IF('Graphical Overview'!BQ$5&lt;='WK Conversion'!$BD14,"I",""))))))))</f>
        <v>#REF!</v>
      </c>
      <c r="BR13" s="38" t="e">
        <f ca="1">IF('Graphical Overview'!BR$5&lt;='WK Conversion'!$AX14,"ME",IF('Graphical Overview'!BR$5&lt;='WK Conversion'!$AY14,"EE",IF('Graphical Overview'!BR$5&lt;='WK Conversion'!$AZ14,"M",IF('Graphical Overview'!BR$5&lt;='WK Conversion'!$BA14,"A",IF('Graphical Overview'!BR$5&lt;'WK Conversion'!$BB14,"P",IF('Graphical Overview'!BR$5='WK Conversion'!$BB14,"R",IF('Graphical Overview'!BR$5&lt;='WK Conversion'!$BC14,"CI",IF('Graphical Overview'!BR$5&lt;='WK Conversion'!$BD14,"I",""))))))))</f>
        <v>#REF!</v>
      </c>
      <c r="BS13" s="38" t="e">
        <f ca="1">IF('Graphical Overview'!BS$5&lt;='WK Conversion'!$AX14,"ME",IF('Graphical Overview'!BS$5&lt;='WK Conversion'!$AY14,"EE",IF('Graphical Overview'!BS$5&lt;='WK Conversion'!$AZ14,"M",IF('Graphical Overview'!BS$5&lt;='WK Conversion'!$BA14,"A",IF('Graphical Overview'!BS$5&lt;'WK Conversion'!$BB14,"P",IF('Graphical Overview'!BS$5='WK Conversion'!$BB14,"R",IF('Graphical Overview'!BS$5&lt;='WK Conversion'!$BC14,"CI",IF('Graphical Overview'!BS$5&lt;='WK Conversion'!$BD14,"I",""))))))))</f>
        <v>#REF!</v>
      </c>
      <c r="BT13" s="38" t="e">
        <f ca="1">IF('Graphical Overview'!BT$5&lt;='WK Conversion'!$AX14,"ME",IF('Graphical Overview'!BT$5&lt;='WK Conversion'!$AY14,"EE",IF('Graphical Overview'!BT$5&lt;='WK Conversion'!$AZ14,"M",IF('Graphical Overview'!BT$5&lt;='WK Conversion'!$BA14,"A",IF('Graphical Overview'!BT$5&lt;'WK Conversion'!$BB14,"P",IF('Graphical Overview'!BT$5='WK Conversion'!$BB14,"R",IF('Graphical Overview'!BT$5&lt;='WK Conversion'!$BC14,"CI",IF('Graphical Overview'!BT$5&lt;='WK Conversion'!$BD14,"I",""))))))))</f>
        <v>#REF!</v>
      </c>
      <c r="BU13" s="38" t="e">
        <f ca="1">IF('Graphical Overview'!BU$5&lt;='WK Conversion'!$AX14,"ME",IF('Graphical Overview'!BU$5&lt;='WK Conversion'!$AY14,"EE",IF('Graphical Overview'!BU$5&lt;='WK Conversion'!$AZ14,"M",IF('Graphical Overview'!BU$5&lt;='WK Conversion'!$BA14,"A",IF('Graphical Overview'!BU$5&lt;'WK Conversion'!$BB14,"P",IF('Graphical Overview'!BU$5='WK Conversion'!$BB14,"R",IF('Graphical Overview'!BU$5&lt;='WK Conversion'!$BC14,"CI",IF('Graphical Overview'!BU$5&lt;='WK Conversion'!$BD14,"I",""))))))))</f>
        <v>#REF!</v>
      </c>
      <c r="BV13" s="38" t="e">
        <f ca="1">IF('Graphical Overview'!BV$5&lt;='WK Conversion'!$AX14,"ME",IF('Graphical Overview'!BV$5&lt;='WK Conversion'!$AY14,"EE",IF('Graphical Overview'!BV$5&lt;='WK Conversion'!$AZ14,"M",IF('Graphical Overview'!BV$5&lt;='WK Conversion'!$BA14,"A",IF('Graphical Overview'!BV$5&lt;'WK Conversion'!$BB14,"P",IF('Graphical Overview'!BV$5='WK Conversion'!$BB14,"R",IF('Graphical Overview'!BV$5&lt;='WK Conversion'!$BC14,"CI",IF('Graphical Overview'!BV$5&lt;='WK Conversion'!$BD14,"I",""))))))))</f>
        <v>#REF!</v>
      </c>
      <c r="BW13" s="38" t="e">
        <f ca="1">IF('Graphical Overview'!BW$5&lt;='WK Conversion'!$AX14,"ME",IF('Graphical Overview'!BW$5&lt;='WK Conversion'!$AY14,"EE",IF('Graphical Overview'!BW$5&lt;='WK Conversion'!$AZ14,"M",IF('Graphical Overview'!BW$5&lt;='WK Conversion'!$BA14,"A",IF('Graphical Overview'!BW$5&lt;'WK Conversion'!$BB14,"P",IF('Graphical Overview'!BW$5='WK Conversion'!$BB14,"R",IF('Graphical Overview'!BW$5&lt;='WK Conversion'!$BC14,"CI",IF('Graphical Overview'!BW$5&lt;='WK Conversion'!$BD14,"I",""))))))))</f>
        <v>#REF!</v>
      </c>
      <c r="BX13" s="38" t="e">
        <f ca="1">IF('Graphical Overview'!BX$5&lt;='WK Conversion'!$AX14,"ME",IF('Graphical Overview'!BX$5&lt;='WK Conversion'!$AY14,"EE",IF('Graphical Overview'!BX$5&lt;='WK Conversion'!$AZ14,"M",IF('Graphical Overview'!BX$5&lt;='WK Conversion'!$BA14,"A",IF('Graphical Overview'!BX$5&lt;'WK Conversion'!$BB14,"P",IF('Graphical Overview'!BX$5='WK Conversion'!$BB14,"R",IF('Graphical Overview'!BX$5&lt;='WK Conversion'!$BC14,"CI",IF('Graphical Overview'!BX$5&lt;='WK Conversion'!$BD14,"I",""))))))))</f>
        <v>#REF!</v>
      </c>
      <c r="BY13" s="38" t="e">
        <f ca="1">IF('Graphical Overview'!BY$5&lt;='WK Conversion'!$AX14,"ME",IF('Graphical Overview'!BY$5&lt;='WK Conversion'!$AY14,"EE",IF('Graphical Overview'!BY$5&lt;='WK Conversion'!$AZ14,"M",IF('Graphical Overview'!BY$5&lt;='WK Conversion'!$BA14,"A",IF('Graphical Overview'!BY$5&lt;'WK Conversion'!$BB14,"P",IF('Graphical Overview'!BY$5='WK Conversion'!$BB14,"R",IF('Graphical Overview'!BY$5&lt;='WK Conversion'!$BC14,"CI",IF('Graphical Overview'!BY$5&lt;='WK Conversion'!$BD14,"I",""))))))))</f>
        <v>#REF!</v>
      </c>
      <c r="BZ13" s="38" t="e">
        <f ca="1">IF('Graphical Overview'!BZ$5&lt;='WK Conversion'!$AX14,"ME",IF('Graphical Overview'!BZ$5&lt;='WK Conversion'!$AY14,"EE",IF('Graphical Overview'!BZ$5&lt;='WK Conversion'!$AZ14,"M",IF('Graphical Overview'!BZ$5&lt;='WK Conversion'!$BA14,"A",IF('Graphical Overview'!BZ$5&lt;'WK Conversion'!$BB14,"P",IF('Graphical Overview'!BZ$5='WK Conversion'!$BB14,"R",IF('Graphical Overview'!BZ$5&lt;='WK Conversion'!$BC14,"CI",IF('Graphical Overview'!BZ$5&lt;='WK Conversion'!$BD14,"I",""))))))))</f>
        <v>#REF!</v>
      </c>
      <c r="CA13" s="38" t="e">
        <f ca="1">IF('Graphical Overview'!CA$5&lt;='WK Conversion'!$AX14,"ME",IF('Graphical Overview'!CA$5&lt;='WK Conversion'!$AY14,"EE",IF('Graphical Overview'!CA$5&lt;='WK Conversion'!$AZ14,"M",IF('Graphical Overview'!CA$5&lt;='WK Conversion'!$BA14,"A",IF('Graphical Overview'!CA$5&lt;'WK Conversion'!$BB14,"P",IF('Graphical Overview'!CA$5='WK Conversion'!$BB14,"R",IF('Graphical Overview'!CA$5&lt;='WK Conversion'!$BC14,"CI",IF('Graphical Overview'!CA$5&lt;='WK Conversion'!$BD14,"I",""))))))))</f>
        <v>#REF!</v>
      </c>
      <c r="CB13" s="38" t="e">
        <f ca="1">IF('Graphical Overview'!CB$5&lt;='WK Conversion'!$AX14,"ME",IF('Graphical Overview'!CB$5&lt;='WK Conversion'!$AY14,"EE",IF('Graphical Overview'!CB$5&lt;='WK Conversion'!$AZ14,"M",IF('Graphical Overview'!CB$5&lt;='WK Conversion'!$BA14,"A",IF('Graphical Overview'!CB$5&lt;'WK Conversion'!$BB14,"P",IF('Graphical Overview'!CB$5='WK Conversion'!$BB14,"R",IF('Graphical Overview'!CB$5&lt;='WK Conversion'!$BC14,"CI",IF('Graphical Overview'!CB$5&lt;='WK Conversion'!$BD14,"I",""))))))))</f>
        <v>#REF!</v>
      </c>
      <c r="CC13" s="38" t="e">
        <f ca="1">IF('Graphical Overview'!CC$5&lt;='WK Conversion'!$AX14,"ME",IF('Graphical Overview'!CC$5&lt;='WK Conversion'!$AY14,"EE",IF('Graphical Overview'!CC$5&lt;='WK Conversion'!$AZ14,"M",IF('Graphical Overview'!CC$5&lt;='WK Conversion'!$BA14,"A",IF('Graphical Overview'!CC$5&lt;'WK Conversion'!$BB14,"P",IF('Graphical Overview'!CC$5='WK Conversion'!$BB14,"R",IF('Graphical Overview'!CC$5&lt;='WK Conversion'!$BC14,"CI",IF('Graphical Overview'!CC$5&lt;='WK Conversion'!$BD14,"I",""))))))))</f>
        <v>#REF!</v>
      </c>
      <c r="CD13" s="38" t="e">
        <f ca="1">IF('Graphical Overview'!CD$5&lt;='WK Conversion'!$AX14,"ME",IF('Graphical Overview'!CD$5&lt;='WK Conversion'!$AY14,"EE",IF('Graphical Overview'!CD$5&lt;='WK Conversion'!$AZ14,"M",IF('Graphical Overview'!CD$5&lt;='WK Conversion'!$BA14,"A",IF('Graphical Overview'!CD$5&lt;'WK Conversion'!$BB14,"P",IF('Graphical Overview'!CD$5='WK Conversion'!$BB14,"R",IF('Graphical Overview'!CD$5&lt;='WK Conversion'!$BC14,"CI",IF('Graphical Overview'!CD$5&lt;='WK Conversion'!$BD14,"I",""))))))))</f>
        <v>#REF!</v>
      </c>
      <c r="CE13" s="38" t="e">
        <f ca="1">IF('Graphical Overview'!CE$5&lt;='WK Conversion'!$AX14,"ME",IF('Graphical Overview'!CE$5&lt;='WK Conversion'!$AY14,"EE",IF('Graphical Overview'!CE$5&lt;='WK Conversion'!$AZ14,"M",IF('Graphical Overview'!CE$5&lt;='WK Conversion'!$BA14,"A",IF('Graphical Overview'!CE$5&lt;'WK Conversion'!$BB14,"P",IF('Graphical Overview'!CE$5='WK Conversion'!$BB14,"R",IF('Graphical Overview'!CE$5&lt;='WK Conversion'!$BC14,"CI",IF('Graphical Overview'!CE$5&lt;='WK Conversion'!$BD14,"I",""))))))))</f>
        <v>#REF!</v>
      </c>
      <c r="CF13" s="39" t="e">
        <f ca="1">IF('Graphical Overview'!CF$5&lt;='WK Conversion'!$AX14,"ME",IF('Graphical Overview'!CF$5&lt;='WK Conversion'!$AY14,"EE",IF('Graphical Overview'!CF$5&lt;='WK Conversion'!$AZ14,"M",IF('Graphical Overview'!CF$5&lt;='WK Conversion'!$BA14,"A",IF('Graphical Overview'!CF$5&lt;'WK Conversion'!$BB14,"P",IF('Graphical Overview'!CF$5='WK Conversion'!$BB14,"R",IF('Graphical Overview'!CF$5&lt;='WK Conversion'!$BC14,"CI",IF('Graphical Overview'!CF$5&lt;='WK Conversion'!$BD14,"I",""))))))))</f>
        <v>#REF!</v>
      </c>
    </row>
    <row r="14" spans="1:88" ht="22.5" customHeight="1" x14ac:dyDescent="0.25">
      <c r="A14" s="41" t="e">
        <f>IF(Data!#REF!="","",Data!#REF!)</f>
        <v>#REF!</v>
      </c>
      <c r="B14" s="42" t="e">
        <f>IF(Data!#REF!="","",Data!#REF!)</f>
        <v>#REF!</v>
      </c>
      <c r="C14" s="42" t="e">
        <f>IF(Data!#REF!="","",Data!#REF!)</f>
        <v>#REF!</v>
      </c>
      <c r="D14" s="90" t="e">
        <f>IF(Data!#REF!="","",Data!#REF!)</f>
        <v>#REF!</v>
      </c>
      <c r="E14" s="42" t="e">
        <f>IF(Data!#REF!="","",Data!#REF!)</f>
        <v>#REF!</v>
      </c>
      <c r="F14" s="99" t="e">
        <f>IF(Data!#REF!="","",Data!#REF!)</f>
        <v>#REF!</v>
      </c>
      <c r="G14" s="105" t="e">
        <f t="shared" si="2"/>
        <v>#REF!</v>
      </c>
      <c r="H14" s="106" t="e">
        <f>IF(Data!#REF!="","",Data!#REF!)</f>
        <v>#REF!</v>
      </c>
      <c r="I14" s="106" t="e">
        <f>IF(Data!#REF!="","",Data!#REF!)</f>
        <v>#REF!</v>
      </c>
      <c r="J14" s="106" t="e">
        <f>IF(Data!#REF!="","",Data!#REF!)</f>
        <v>#REF!</v>
      </c>
      <c r="K14" s="106" t="e">
        <f>IF(Data!#REF!="","",Data!#REF!)</f>
        <v>#REF!</v>
      </c>
      <c r="L14" s="106" t="e">
        <f>IF(Data!#REF!="","",Data!#REF!)</f>
        <v>#REF!</v>
      </c>
      <c r="M14" s="106" t="e">
        <f>IF(Data!#REF!="","",Data!#REF!)</f>
        <v>#REF!</v>
      </c>
      <c r="N14" s="106" t="e">
        <f>IF(Data!#REF!="","",Data!#REF!)</f>
        <v>#REF!</v>
      </c>
      <c r="O14" s="106" t="e">
        <f>IF(Data!#REF!="","",Data!#REF!)</f>
        <v>#REF!</v>
      </c>
      <c r="P14" s="106" t="e">
        <f>IF(Data!#REF!="","",Data!#REF!)</f>
        <v>#REF!</v>
      </c>
      <c r="Q14" s="107" t="e">
        <f>IF(Data!#REF!="","",Data!#REF!)</f>
        <v>#REF!</v>
      </c>
      <c r="R14" s="105" t="e">
        <f>IF(Data!#REF!="","",Data!#REF!)</f>
        <v>#REF!</v>
      </c>
      <c r="S14" s="106" t="e">
        <f>IF(Data!#REF!="","",Data!#REF!)</f>
        <v>#REF!</v>
      </c>
      <c r="T14" s="106" t="e">
        <f>IF(Data!#REF!="","",Data!#REF!)</f>
        <v>#REF!</v>
      </c>
      <c r="U14" s="106" t="e">
        <f>IF(Data!#REF!="","",Data!#REF!)</f>
        <v>#REF!</v>
      </c>
      <c r="V14" s="106" t="e">
        <f>IF(Data!#REF!="","",Data!#REF!)</f>
        <v>#REF!</v>
      </c>
      <c r="W14" s="106" t="e">
        <f>IF(Data!#REF!="","",Data!#REF!)</f>
        <v>#REF!</v>
      </c>
      <c r="X14" s="106" t="e">
        <f>IF(Data!#REF!="","",Data!#REF!)</f>
        <v>#REF!</v>
      </c>
      <c r="Y14" s="106" t="e">
        <f>IF(Data!#REF!="","",Data!#REF!)</f>
        <v>#REF!</v>
      </c>
      <c r="Z14" s="106" t="e">
        <f>IF(Data!#REF!="","",Data!#REF!)</f>
        <v>#REF!</v>
      </c>
      <c r="AA14" s="106" t="e">
        <f>IF(Data!#REF!="","",Data!#REF!)</f>
        <v>#REF!</v>
      </c>
      <c r="AB14" s="107" t="e">
        <f>IF(Data!#REF!="","",Data!#REF!)</f>
        <v>#REF!</v>
      </c>
      <c r="AC14" s="105" t="e">
        <f>IF(Data!#REF!="","",Data!#REF!)</f>
        <v>#REF!</v>
      </c>
      <c r="AD14" s="106" t="e">
        <f>IF(Data!#REF!="","",Data!#REF!)</f>
        <v>#REF!</v>
      </c>
      <c r="AE14" s="106" t="e">
        <f>IF(Data!#REF!="","",Data!#REF!)</f>
        <v>#REF!</v>
      </c>
      <c r="AF14" s="106" t="e">
        <f>IF(Data!#REF!="","",Data!#REF!)</f>
        <v>#REF!</v>
      </c>
      <c r="AG14" s="106" t="e">
        <f>IF(Data!#REF!="","",Data!#REF!)</f>
        <v>#REF!</v>
      </c>
      <c r="AH14" s="106" t="e">
        <f>IF(Data!#REF!="","",Data!#REF!)</f>
        <v>#REF!</v>
      </c>
      <c r="AI14" s="106" t="e">
        <f>IF(Data!#REF!="","",Data!#REF!)</f>
        <v>#REF!</v>
      </c>
      <c r="AJ14" s="106" t="e">
        <f>IF(Data!#REF!="","",Data!#REF!)</f>
        <v>#REF!</v>
      </c>
      <c r="AK14" s="106" t="e">
        <f>IF(Data!#REF!="","",Data!#REF!)</f>
        <v>#REF!</v>
      </c>
      <c r="AL14" s="106" t="e">
        <f>IF(Data!#REF!="","",Data!#REF!)</f>
        <v>#REF!</v>
      </c>
      <c r="AM14" s="107" t="e">
        <f>IF(Data!#REF!="","",Data!#REF!)</f>
        <v>#REF!</v>
      </c>
      <c r="AN14" s="105" t="e">
        <f>IF(Data!#REF!="","",Data!#REF!)</f>
        <v>#REF!</v>
      </c>
      <c r="AO14" s="106" t="e">
        <f>IF(Data!#REF!="","",Data!#REF!)</f>
        <v>#REF!</v>
      </c>
      <c r="AP14" s="106" t="e">
        <f>IF(Data!#REF!="","",Data!#REF!)</f>
        <v>#REF!</v>
      </c>
      <c r="AQ14" s="106" t="e">
        <f>IF(Data!#REF!="","",Data!#REF!)</f>
        <v>#REF!</v>
      </c>
      <c r="AR14" s="106" t="e">
        <f>IF(Data!#REF!="","",Data!#REF!)</f>
        <v>#REF!</v>
      </c>
      <c r="AS14" s="106" t="e">
        <f>IF(Data!#REF!="","",Data!#REF!)</f>
        <v>#REF!</v>
      </c>
      <c r="AT14" s="106" t="e">
        <f>IF(Data!#REF!="","",Data!#REF!)</f>
        <v>#REF!</v>
      </c>
      <c r="AU14" s="106" t="e">
        <f>IF(Data!#REF!="","",Data!#REF!)</f>
        <v>#REF!</v>
      </c>
      <c r="AV14" s="106" t="e">
        <f>IF(Data!#REF!="","",Data!#REF!)</f>
        <v>#REF!</v>
      </c>
      <c r="AW14" s="106" t="e">
        <f>IF(Data!#REF!="","",Data!#REF!)</f>
        <v>#REF!</v>
      </c>
      <c r="AX14" s="106" t="e">
        <f>IF(Data!#REF!="","",Data!#REF!)</f>
        <v>#REF!</v>
      </c>
      <c r="AY14" s="107" t="e">
        <f>IF(Data!#REF!="","",Data!#REF!)</f>
        <v>#REF!</v>
      </c>
      <c r="AZ14" s="109" t="e">
        <f>IF(Data!#REF!="","",Data!#REF!)</f>
        <v>#REF!</v>
      </c>
      <c r="BA14" s="116" t="e">
        <f ca="1">IF('Graphical Overview'!BA$5&lt;='WK Conversion'!$AX15,"ME",IF('Graphical Overview'!BA$5&lt;='WK Conversion'!$AY15,"EE",IF('Graphical Overview'!BA$5&lt;='WK Conversion'!$AZ15,"M",IF('Graphical Overview'!BA$5&lt;='WK Conversion'!$BA15,"A",IF('Graphical Overview'!BA$5&lt;'WK Conversion'!$BB15,"P",IF('Graphical Overview'!BA$5='WK Conversion'!$BB15,"R",IF('Graphical Overview'!BA$5&lt;='WK Conversion'!$BC15,"CI",IF('Graphical Overview'!BA$5&lt;='WK Conversion'!$BD15,"I",""))))))))</f>
        <v>#REF!</v>
      </c>
      <c r="BB14" s="38" t="e">
        <f ca="1">IF('Graphical Overview'!BB$5&lt;='WK Conversion'!$AX15,"ME",IF('Graphical Overview'!BB$5&lt;='WK Conversion'!$AY15,"EE",IF('Graphical Overview'!BB$5&lt;='WK Conversion'!$AZ15,"M",IF('Graphical Overview'!BB$5&lt;='WK Conversion'!$BA15,"A",IF('Graphical Overview'!BB$5&lt;'WK Conversion'!$BB15,"P",IF('Graphical Overview'!BB$5='WK Conversion'!$BB15,"R",IF('Graphical Overview'!BB$5&lt;='WK Conversion'!$BC15,"CI",IF('Graphical Overview'!BB$5&lt;='WK Conversion'!$BD15,"I",""))))))))</f>
        <v>#REF!</v>
      </c>
      <c r="BC14" s="38" t="e">
        <f ca="1">IF('Graphical Overview'!BC$5&lt;='WK Conversion'!$AX15,"ME",IF('Graphical Overview'!BC$5&lt;='WK Conversion'!$AY15,"EE",IF('Graphical Overview'!BC$5&lt;='WK Conversion'!$AZ15,"M",IF('Graphical Overview'!BC$5&lt;='WK Conversion'!$BA15,"A",IF('Graphical Overview'!BC$5&lt;'WK Conversion'!$BB15,"P",IF('Graphical Overview'!BC$5='WK Conversion'!$BB15,"R",IF('Graphical Overview'!BC$5&lt;='WK Conversion'!$BC15,"CI",IF('Graphical Overview'!BC$5&lt;='WK Conversion'!$BD15,"I",""))))))))</f>
        <v>#REF!</v>
      </c>
      <c r="BD14" s="38" t="e">
        <f ca="1">IF('Graphical Overview'!BD$5&lt;='WK Conversion'!$AX15,"ME",IF('Graphical Overview'!BD$5&lt;='WK Conversion'!$AY15,"EE",IF('Graphical Overview'!BD$5&lt;='WK Conversion'!$AZ15,"M",IF('Graphical Overview'!BD$5&lt;='WK Conversion'!$BA15,"A",IF('Graphical Overview'!BD$5&lt;'WK Conversion'!$BB15,"P",IF('Graphical Overview'!BD$5='WK Conversion'!$BB15,"R",IF('Graphical Overview'!BD$5&lt;='WK Conversion'!$BC15,"CI",IF('Graphical Overview'!BD$5&lt;='WK Conversion'!$BD15,"I",""))))))))</f>
        <v>#REF!</v>
      </c>
      <c r="BE14" s="38" t="e">
        <f ca="1">IF('Graphical Overview'!BE$5&lt;='WK Conversion'!$AX15,"ME",IF('Graphical Overview'!BE$5&lt;='WK Conversion'!$AY15,"EE",IF('Graphical Overview'!BE$5&lt;='WK Conversion'!$AZ15,"M",IF('Graphical Overview'!BE$5&lt;='WK Conversion'!$BA15,"A",IF('Graphical Overview'!BE$5&lt;'WK Conversion'!$BB15,"P",IF('Graphical Overview'!BE$5='WK Conversion'!$BB15,"R",IF('Graphical Overview'!BE$5&lt;='WK Conversion'!$BC15,"CI",IF('Graphical Overview'!BE$5&lt;='WK Conversion'!$BD15,"I",""))))))))</f>
        <v>#REF!</v>
      </c>
      <c r="BF14" s="38" t="e">
        <f ca="1">IF('Graphical Overview'!BF$5&lt;='WK Conversion'!$AX15,"ME",IF('Graphical Overview'!BF$5&lt;='WK Conversion'!$AY15,"EE",IF('Graphical Overview'!BF$5&lt;='WK Conversion'!$AZ15,"M",IF('Graphical Overview'!BF$5&lt;='WK Conversion'!$BA15,"A",IF('Graphical Overview'!BF$5&lt;'WK Conversion'!$BB15,"P",IF('Graphical Overview'!BF$5='WK Conversion'!$BB15,"R",IF('Graphical Overview'!BF$5&lt;='WK Conversion'!$BC15,"CI",IF('Graphical Overview'!BF$5&lt;='WK Conversion'!$BD15,"I",""))))))))</f>
        <v>#REF!</v>
      </c>
      <c r="BG14" s="38" t="e">
        <f ca="1">IF('Graphical Overview'!BG$5&lt;='WK Conversion'!$AX15,"ME",IF('Graphical Overview'!BG$5&lt;='WK Conversion'!$AY15,"EE",IF('Graphical Overview'!BG$5&lt;='WK Conversion'!$AZ15,"M",IF('Graphical Overview'!BG$5&lt;='WK Conversion'!$BA15,"A",IF('Graphical Overview'!BG$5&lt;'WK Conversion'!$BB15,"P",IF('Graphical Overview'!BG$5='WK Conversion'!$BB15,"R",IF('Graphical Overview'!BG$5&lt;='WK Conversion'!$BC15,"CI",IF('Graphical Overview'!BG$5&lt;='WK Conversion'!$BD15,"I",""))))))))</f>
        <v>#REF!</v>
      </c>
      <c r="BH14" s="38" t="e">
        <f ca="1">IF('Graphical Overview'!BH$5&lt;='WK Conversion'!$AX15,"ME",IF('Graphical Overview'!BH$5&lt;='WK Conversion'!$AY15,"EE",IF('Graphical Overview'!BH$5&lt;='WK Conversion'!$AZ15,"M",IF('Graphical Overview'!BH$5&lt;='WK Conversion'!$BA15,"A",IF('Graphical Overview'!BH$5&lt;'WK Conversion'!$BB15,"P",IF('Graphical Overview'!BH$5='WK Conversion'!$BB15,"R",IF('Graphical Overview'!BH$5&lt;='WK Conversion'!$BC15,"CI",IF('Graphical Overview'!BH$5&lt;='WK Conversion'!$BD15,"I",""))))))))</f>
        <v>#REF!</v>
      </c>
      <c r="BI14" s="38" t="e">
        <f ca="1">IF('Graphical Overview'!BI$5&lt;='WK Conversion'!$AX15,"ME",IF('Graphical Overview'!BI$5&lt;='WK Conversion'!$AY15,"EE",IF('Graphical Overview'!BI$5&lt;='WK Conversion'!$AZ15,"M",IF('Graphical Overview'!BI$5&lt;='WK Conversion'!$BA15,"A",IF('Graphical Overview'!BI$5&lt;'WK Conversion'!$BB15,"P",IF('Graphical Overview'!BI$5='WK Conversion'!$BB15,"R",IF('Graphical Overview'!BI$5&lt;='WK Conversion'!$BC15,"CI",IF('Graphical Overview'!BI$5&lt;='WK Conversion'!$BD15,"I",""))))))))</f>
        <v>#REF!</v>
      </c>
      <c r="BJ14" s="38" t="e">
        <f ca="1">IF('Graphical Overview'!BJ$5&lt;='WK Conversion'!$AX15,"ME",IF('Graphical Overview'!BJ$5&lt;='WK Conversion'!$AY15,"EE",IF('Graphical Overview'!BJ$5&lt;='WK Conversion'!$AZ15,"M",IF('Graphical Overview'!BJ$5&lt;='WK Conversion'!$BA15,"A",IF('Graphical Overview'!BJ$5&lt;'WK Conversion'!$BB15,"P",IF('Graphical Overview'!BJ$5='WK Conversion'!$BB15,"R",IF('Graphical Overview'!BJ$5&lt;='WK Conversion'!$BC15,"CI",IF('Graphical Overview'!BJ$5&lt;='WK Conversion'!$BD15,"I",""))))))))</f>
        <v>#REF!</v>
      </c>
      <c r="BK14" s="38" t="e">
        <f ca="1">IF('Graphical Overview'!BK$5&lt;='WK Conversion'!$AX15,"ME",IF('Graphical Overview'!BK$5&lt;='WK Conversion'!$AY15,"EE",IF('Graphical Overview'!BK$5&lt;='WK Conversion'!$AZ15,"M",IF('Graphical Overview'!BK$5&lt;='WK Conversion'!$BA15,"A",IF('Graphical Overview'!BK$5&lt;'WK Conversion'!$BB15,"P",IF('Graphical Overview'!BK$5='WK Conversion'!$BB15,"R",IF('Graphical Overview'!BK$5&lt;='WK Conversion'!$BC15,"CI",IF('Graphical Overview'!BK$5&lt;='WK Conversion'!$BD15,"I",""))))))))</f>
        <v>#REF!</v>
      </c>
      <c r="BL14" s="38" t="e">
        <f ca="1">IF('Graphical Overview'!BL$5&lt;='WK Conversion'!$AX15,"ME",IF('Graphical Overview'!BL$5&lt;='WK Conversion'!$AY15,"EE",IF('Graphical Overview'!BL$5&lt;='WK Conversion'!$AZ15,"M",IF('Graphical Overview'!BL$5&lt;='WK Conversion'!$BA15,"A",IF('Graphical Overview'!BL$5&lt;'WK Conversion'!$BB15,"P",IF('Graphical Overview'!BL$5='WK Conversion'!$BB15,"R",IF('Graphical Overview'!BL$5&lt;='WK Conversion'!$BC15,"CI",IF('Graphical Overview'!BL$5&lt;='WK Conversion'!$BD15,"I",""))))))))</f>
        <v>#REF!</v>
      </c>
      <c r="BM14" s="38" t="e">
        <f ca="1">IF('Graphical Overview'!BM$5&lt;='WK Conversion'!$AX15,"ME",IF('Graphical Overview'!BM$5&lt;='WK Conversion'!$AY15,"EE",IF('Graphical Overview'!BM$5&lt;='WK Conversion'!$AZ15,"M",IF('Graphical Overview'!BM$5&lt;='WK Conversion'!$BA15,"A",IF('Graphical Overview'!BM$5&lt;'WK Conversion'!$BB15,"P",IF('Graphical Overview'!BM$5='WK Conversion'!$BB15,"R",IF('Graphical Overview'!BM$5&lt;='WK Conversion'!$BC15,"CI",IF('Graphical Overview'!BM$5&lt;='WK Conversion'!$BD15,"I",""))))))))</f>
        <v>#REF!</v>
      </c>
      <c r="BN14" s="38" t="e">
        <f ca="1">IF('Graphical Overview'!BN$5&lt;='WK Conversion'!$AX15,"ME",IF('Graphical Overview'!BN$5&lt;='WK Conversion'!$AY15,"EE",IF('Graphical Overview'!BN$5&lt;='WK Conversion'!$AZ15,"M",IF('Graphical Overview'!BN$5&lt;='WK Conversion'!$BA15,"A",IF('Graphical Overview'!BN$5&lt;'WK Conversion'!$BB15,"P",IF('Graphical Overview'!BN$5='WK Conversion'!$BB15,"R",IF('Graphical Overview'!BN$5&lt;='WK Conversion'!$BC15,"CI",IF('Graphical Overview'!BN$5&lt;='WK Conversion'!$BD15,"I",""))))))))</f>
        <v>#REF!</v>
      </c>
      <c r="BO14" s="108" t="e">
        <f ca="1">IF('Graphical Overview'!BO$5&lt;='WK Conversion'!$AX15,"ME",IF('Graphical Overview'!BO$5&lt;='WK Conversion'!$AY15,"EE",IF('Graphical Overview'!BO$5&lt;='WK Conversion'!$AZ15,"M",IF('Graphical Overview'!BO$5&lt;='WK Conversion'!$BA15,"A",IF('Graphical Overview'!BO$5&lt;'WK Conversion'!$BB15,"P",IF('Graphical Overview'!BO$5='WK Conversion'!$BB15,"R",IF('Graphical Overview'!BO$5&lt;='WK Conversion'!$BC15,"CI",IF('Graphical Overview'!BO$5&lt;='WK Conversion'!$BD15,"I",""))))))))</f>
        <v>#REF!</v>
      </c>
      <c r="BP14" s="38" t="e">
        <f ca="1">IF('Graphical Overview'!BP$5&lt;='WK Conversion'!$AX15,"ME",IF('Graphical Overview'!BP$5&lt;='WK Conversion'!$AY15,"EE",IF('Graphical Overview'!BP$5&lt;='WK Conversion'!$AZ15,"M",IF('Graphical Overview'!BP$5&lt;='WK Conversion'!$BA15,"A",IF('Graphical Overview'!BP$5&lt;'WK Conversion'!$BB15,"P",IF('Graphical Overview'!BP$5='WK Conversion'!$BB15,"R",IF('Graphical Overview'!BP$5&lt;='WK Conversion'!$BC15,"CI",IF('Graphical Overview'!BP$5&lt;='WK Conversion'!$BD15,"I",""))))))))</f>
        <v>#REF!</v>
      </c>
      <c r="BQ14" s="38" t="e">
        <f ca="1">IF('Graphical Overview'!BQ$5&lt;='WK Conversion'!$AX15,"ME",IF('Graphical Overview'!BQ$5&lt;='WK Conversion'!$AY15,"EE",IF('Graphical Overview'!BQ$5&lt;='WK Conversion'!$AZ15,"M",IF('Graphical Overview'!BQ$5&lt;='WK Conversion'!$BA15,"A",IF('Graphical Overview'!BQ$5&lt;'WK Conversion'!$BB15,"P",IF('Graphical Overview'!BQ$5='WK Conversion'!$BB15,"R",IF('Graphical Overview'!BQ$5&lt;='WK Conversion'!$BC15,"CI",IF('Graphical Overview'!BQ$5&lt;='WK Conversion'!$BD15,"I",""))))))))</f>
        <v>#REF!</v>
      </c>
      <c r="BR14" s="38" t="e">
        <f ca="1">IF('Graphical Overview'!BR$5&lt;='WK Conversion'!$AX15,"ME",IF('Graphical Overview'!BR$5&lt;='WK Conversion'!$AY15,"EE",IF('Graphical Overview'!BR$5&lt;='WK Conversion'!$AZ15,"M",IF('Graphical Overview'!BR$5&lt;='WK Conversion'!$BA15,"A",IF('Graphical Overview'!BR$5&lt;'WK Conversion'!$BB15,"P",IF('Graphical Overview'!BR$5='WK Conversion'!$BB15,"R",IF('Graphical Overview'!BR$5&lt;='WK Conversion'!$BC15,"CI",IF('Graphical Overview'!BR$5&lt;='WK Conversion'!$BD15,"I",""))))))))</f>
        <v>#REF!</v>
      </c>
      <c r="BS14" s="38" t="e">
        <f ca="1">IF('Graphical Overview'!BS$5&lt;='WK Conversion'!$AX15,"ME",IF('Graphical Overview'!BS$5&lt;='WK Conversion'!$AY15,"EE",IF('Graphical Overview'!BS$5&lt;='WK Conversion'!$AZ15,"M",IF('Graphical Overview'!BS$5&lt;='WK Conversion'!$BA15,"A",IF('Graphical Overview'!BS$5&lt;'WK Conversion'!$BB15,"P",IF('Graphical Overview'!BS$5='WK Conversion'!$BB15,"R",IF('Graphical Overview'!BS$5&lt;='WK Conversion'!$BC15,"CI",IF('Graphical Overview'!BS$5&lt;='WK Conversion'!$BD15,"I",""))))))))</f>
        <v>#REF!</v>
      </c>
      <c r="BT14" s="38" t="e">
        <f ca="1">IF('Graphical Overview'!BT$5&lt;='WK Conversion'!$AX15,"ME",IF('Graphical Overview'!BT$5&lt;='WK Conversion'!$AY15,"EE",IF('Graphical Overview'!BT$5&lt;='WK Conversion'!$AZ15,"M",IF('Graphical Overview'!BT$5&lt;='WK Conversion'!$BA15,"A",IF('Graphical Overview'!BT$5&lt;'WK Conversion'!$BB15,"P",IF('Graphical Overview'!BT$5='WK Conversion'!$BB15,"R",IF('Graphical Overview'!BT$5&lt;='WK Conversion'!$BC15,"CI",IF('Graphical Overview'!BT$5&lt;='WK Conversion'!$BD15,"I",""))))))))</f>
        <v>#REF!</v>
      </c>
      <c r="BU14" s="38" t="e">
        <f ca="1">IF('Graphical Overview'!BU$5&lt;='WK Conversion'!$AX15,"ME",IF('Graphical Overview'!BU$5&lt;='WK Conversion'!$AY15,"EE",IF('Graphical Overview'!BU$5&lt;='WK Conversion'!$AZ15,"M",IF('Graphical Overview'!BU$5&lt;='WK Conversion'!$BA15,"A",IF('Graphical Overview'!BU$5&lt;'WK Conversion'!$BB15,"P",IF('Graphical Overview'!BU$5='WK Conversion'!$BB15,"R",IF('Graphical Overview'!BU$5&lt;='WK Conversion'!$BC15,"CI",IF('Graphical Overview'!BU$5&lt;='WK Conversion'!$BD15,"I",""))))))))</f>
        <v>#REF!</v>
      </c>
      <c r="BV14" s="38" t="e">
        <f ca="1">IF('Graphical Overview'!BV$5&lt;='WK Conversion'!$AX15,"ME",IF('Graphical Overview'!BV$5&lt;='WK Conversion'!$AY15,"EE",IF('Graphical Overview'!BV$5&lt;='WK Conversion'!$AZ15,"M",IF('Graphical Overview'!BV$5&lt;='WK Conversion'!$BA15,"A",IF('Graphical Overview'!BV$5&lt;'WK Conversion'!$BB15,"P",IF('Graphical Overview'!BV$5='WK Conversion'!$BB15,"R",IF('Graphical Overview'!BV$5&lt;='WK Conversion'!$BC15,"CI",IF('Graphical Overview'!BV$5&lt;='WK Conversion'!$BD15,"I",""))))))))</f>
        <v>#REF!</v>
      </c>
      <c r="BW14" s="38" t="e">
        <f ca="1">IF('Graphical Overview'!BW$5&lt;='WK Conversion'!$AX15,"ME",IF('Graphical Overview'!BW$5&lt;='WK Conversion'!$AY15,"EE",IF('Graphical Overview'!BW$5&lt;='WK Conversion'!$AZ15,"M",IF('Graphical Overview'!BW$5&lt;='WK Conversion'!$BA15,"A",IF('Graphical Overview'!BW$5&lt;'WK Conversion'!$BB15,"P",IF('Graphical Overview'!BW$5='WK Conversion'!$BB15,"R",IF('Graphical Overview'!BW$5&lt;='WK Conversion'!$BC15,"CI",IF('Graphical Overview'!BW$5&lt;='WK Conversion'!$BD15,"I",""))))))))</f>
        <v>#REF!</v>
      </c>
      <c r="BX14" s="38" t="e">
        <f ca="1">IF('Graphical Overview'!BX$5&lt;='WK Conversion'!$AX15,"ME",IF('Graphical Overview'!BX$5&lt;='WK Conversion'!$AY15,"EE",IF('Graphical Overview'!BX$5&lt;='WK Conversion'!$AZ15,"M",IF('Graphical Overview'!BX$5&lt;='WK Conversion'!$BA15,"A",IF('Graphical Overview'!BX$5&lt;'WK Conversion'!$BB15,"P",IF('Graphical Overview'!BX$5='WK Conversion'!$BB15,"R",IF('Graphical Overview'!BX$5&lt;='WK Conversion'!$BC15,"CI",IF('Graphical Overview'!BX$5&lt;='WK Conversion'!$BD15,"I",""))))))))</f>
        <v>#REF!</v>
      </c>
      <c r="BY14" s="38" t="e">
        <f ca="1">IF('Graphical Overview'!BY$5&lt;='WK Conversion'!$AX15,"ME",IF('Graphical Overview'!BY$5&lt;='WK Conversion'!$AY15,"EE",IF('Graphical Overview'!BY$5&lt;='WK Conversion'!$AZ15,"M",IF('Graphical Overview'!BY$5&lt;='WK Conversion'!$BA15,"A",IF('Graphical Overview'!BY$5&lt;'WK Conversion'!$BB15,"P",IF('Graphical Overview'!BY$5='WK Conversion'!$BB15,"R",IF('Graphical Overview'!BY$5&lt;='WK Conversion'!$BC15,"CI",IF('Graphical Overview'!BY$5&lt;='WK Conversion'!$BD15,"I",""))))))))</f>
        <v>#REF!</v>
      </c>
      <c r="BZ14" s="38" t="e">
        <f ca="1">IF('Graphical Overview'!BZ$5&lt;='WK Conversion'!$AX15,"ME",IF('Graphical Overview'!BZ$5&lt;='WK Conversion'!$AY15,"EE",IF('Graphical Overview'!BZ$5&lt;='WK Conversion'!$AZ15,"M",IF('Graphical Overview'!BZ$5&lt;='WK Conversion'!$BA15,"A",IF('Graphical Overview'!BZ$5&lt;'WK Conversion'!$BB15,"P",IF('Graphical Overview'!BZ$5='WK Conversion'!$BB15,"R",IF('Graphical Overview'!BZ$5&lt;='WK Conversion'!$BC15,"CI",IF('Graphical Overview'!BZ$5&lt;='WK Conversion'!$BD15,"I",""))))))))</f>
        <v>#REF!</v>
      </c>
      <c r="CA14" s="38" t="e">
        <f ca="1">IF('Graphical Overview'!CA$5&lt;='WK Conversion'!$AX15,"ME",IF('Graphical Overview'!CA$5&lt;='WK Conversion'!$AY15,"EE",IF('Graphical Overview'!CA$5&lt;='WK Conversion'!$AZ15,"M",IF('Graphical Overview'!CA$5&lt;='WK Conversion'!$BA15,"A",IF('Graphical Overview'!CA$5&lt;'WK Conversion'!$BB15,"P",IF('Graphical Overview'!CA$5='WK Conversion'!$BB15,"R",IF('Graphical Overview'!CA$5&lt;='WK Conversion'!$BC15,"CI",IF('Graphical Overview'!CA$5&lt;='WK Conversion'!$BD15,"I",""))))))))</f>
        <v>#REF!</v>
      </c>
      <c r="CB14" s="38" t="e">
        <f ca="1">IF('Graphical Overview'!CB$5&lt;='WK Conversion'!$AX15,"ME",IF('Graphical Overview'!CB$5&lt;='WK Conversion'!$AY15,"EE",IF('Graphical Overview'!CB$5&lt;='WK Conversion'!$AZ15,"M",IF('Graphical Overview'!CB$5&lt;='WK Conversion'!$BA15,"A",IF('Graphical Overview'!CB$5&lt;'WK Conversion'!$BB15,"P",IF('Graphical Overview'!CB$5='WK Conversion'!$BB15,"R",IF('Graphical Overview'!CB$5&lt;='WK Conversion'!$BC15,"CI",IF('Graphical Overview'!CB$5&lt;='WK Conversion'!$BD15,"I",""))))))))</f>
        <v>#REF!</v>
      </c>
      <c r="CC14" s="38" t="e">
        <f ca="1">IF('Graphical Overview'!CC$5&lt;='WK Conversion'!$AX15,"ME",IF('Graphical Overview'!CC$5&lt;='WK Conversion'!$AY15,"EE",IF('Graphical Overview'!CC$5&lt;='WK Conversion'!$AZ15,"M",IF('Graphical Overview'!CC$5&lt;='WK Conversion'!$BA15,"A",IF('Graphical Overview'!CC$5&lt;'WK Conversion'!$BB15,"P",IF('Graphical Overview'!CC$5='WK Conversion'!$BB15,"R",IF('Graphical Overview'!CC$5&lt;='WK Conversion'!$BC15,"CI",IF('Graphical Overview'!CC$5&lt;='WK Conversion'!$BD15,"I",""))))))))</f>
        <v>#REF!</v>
      </c>
      <c r="CD14" s="38" t="e">
        <f ca="1">IF('Graphical Overview'!CD$5&lt;='WK Conversion'!$AX15,"ME",IF('Graphical Overview'!CD$5&lt;='WK Conversion'!$AY15,"EE",IF('Graphical Overview'!CD$5&lt;='WK Conversion'!$AZ15,"M",IF('Graphical Overview'!CD$5&lt;='WK Conversion'!$BA15,"A",IF('Graphical Overview'!CD$5&lt;'WK Conversion'!$BB15,"P",IF('Graphical Overview'!CD$5='WK Conversion'!$BB15,"R",IF('Graphical Overview'!CD$5&lt;='WK Conversion'!$BC15,"CI",IF('Graphical Overview'!CD$5&lt;='WK Conversion'!$BD15,"I",""))))))))</f>
        <v>#REF!</v>
      </c>
      <c r="CE14" s="38" t="e">
        <f ca="1">IF('Graphical Overview'!CE$5&lt;='WK Conversion'!$AX15,"ME",IF('Graphical Overview'!CE$5&lt;='WK Conversion'!$AY15,"EE",IF('Graphical Overview'!CE$5&lt;='WK Conversion'!$AZ15,"M",IF('Graphical Overview'!CE$5&lt;='WK Conversion'!$BA15,"A",IF('Graphical Overview'!CE$5&lt;'WK Conversion'!$BB15,"P",IF('Graphical Overview'!CE$5='WK Conversion'!$BB15,"R",IF('Graphical Overview'!CE$5&lt;='WK Conversion'!$BC15,"CI",IF('Graphical Overview'!CE$5&lt;='WK Conversion'!$BD15,"I",""))))))))</f>
        <v>#REF!</v>
      </c>
      <c r="CF14" s="39" t="e">
        <f ca="1">IF('Graphical Overview'!CF$5&lt;='WK Conversion'!$AX15,"ME",IF('Graphical Overview'!CF$5&lt;='WK Conversion'!$AY15,"EE",IF('Graphical Overview'!CF$5&lt;='WK Conversion'!$AZ15,"M",IF('Graphical Overview'!CF$5&lt;='WK Conversion'!$BA15,"A",IF('Graphical Overview'!CF$5&lt;'WK Conversion'!$BB15,"P",IF('Graphical Overview'!CF$5='WK Conversion'!$BB15,"R",IF('Graphical Overview'!CF$5&lt;='WK Conversion'!$BC15,"CI",IF('Graphical Overview'!CF$5&lt;='WK Conversion'!$BD15,"I",""))))))))</f>
        <v>#REF!</v>
      </c>
    </row>
    <row r="15" spans="1:88" ht="22.5" customHeight="1" x14ac:dyDescent="0.25">
      <c r="A15" s="41" t="e">
        <f>IF(Data!#REF!="","",Data!#REF!)</f>
        <v>#REF!</v>
      </c>
      <c r="B15" s="42" t="e">
        <f>IF(Data!#REF!="","",Data!#REF!)</f>
        <v>#REF!</v>
      </c>
      <c r="C15" s="42" t="e">
        <f>IF(Data!#REF!="","",Data!#REF!)</f>
        <v>#REF!</v>
      </c>
      <c r="D15" s="90" t="e">
        <f>IF(Data!#REF!="","",Data!#REF!)</f>
        <v>#REF!</v>
      </c>
      <c r="E15" s="42" t="e">
        <f>IF(Data!#REF!="","",Data!#REF!)</f>
        <v>#REF!</v>
      </c>
      <c r="F15" s="99" t="e">
        <f>IF(Data!#REF!="","",Data!#REF!)</f>
        <v>#REF!</v>
      </c>
      <c r="G15" s="105" t="e">
        <f t="shared" si="2"/>
        <v>#REF!</v>
      </c>
      <c r="H15" s="106" t="e">
        <f>IF(Data!#REF!="","",Data!#REF!)</f>
        <v>#REF!</v>
      </c>
      <c r="I15" s="106" t="e">
        <f>IF(Data!#REF!="","",Data!#REF!)</f>
        <v>#REF!</v>
      </c>
      <c r="J15" s="106" t="e">
        <f>IF(Data!#REF!="","",Data!#REF!)</f>
        <v>#REF!</v>
      </c>
      <c r="K15" s="106" t="e">
        <f>IF(Data!#REF!="","",Data!#REF!)</f>
        <v>#REF!</v>
      </c>
      <c r="L15" s="106" t="e">
        <f>IF(Data!#REF!="","",Data!#REF!)</f>
        <v>#REF!</v>
      </c>
      <c r="M15" s="106" t="e">
        <f>IF(Data!#REF!="","",Data!#REF!)</f>
        <v>#REF!</v>
      </c>
      <c r="N15" s="106" t="e">
        <f>IF(Data!#REF!="","",Data!#REF!)</f>
        <v>#REF!</v>
      </c>
      <c r="O15" s="106" t="e">
        <f>IF(Data!#REF!="","",Data!#REF!)</f>
        <v>#REF!</v>
      </c>
      <c r="P15" s="106" t="e">
        <f>IF(Data!#REF!="","",Data!#REF!)</f>
        <v>#REF!</v>
      </c>
      <c r="Q15" s="107" t="e">
        <f>IF(Data!#REF!="","",Data!#REF!)</f>
        <v>#REF!</v>
      </c>
      <c r="R15" s="105" t="e">
        <f>IF(Data!#REF!="","",Data!#REF!)</f>
        <v>#REF!</v>
      </c>
      <c r="S15" s="106" t="e">
        <f>IF(Data!#REF!="","",Data!#REF!)</f>
        <v>#REF!</v>
      </c>
      <c r="T15" s="106" t="e">
        <f>IF(Data!#REF!="","",Data!#REF!)</f>
        <v>#REF!</v>
      </c>
      <c r="U15" s="106" t="e">
        <f>IF(Data!#REF!="","",Data!#REF!)</f>
        <v>#REF!</v>
      </c>
      <c r="V15" s="106" t="e">
        <f>IF(Data!#REF!="","",Data!#REF!)</f>
        <v>#REF!</v>
      </c>
      <c r="W15" s="106" t="e">
        <f>IF(Data!#REF!="","",Data!#REF!)</f>
        <v>#REF!</v>
      </c>
      <c r="X15" s="106" t="e">
        <f>IF(Data!#REF!="","",Data!#REF!)</f>
        <v>#REF!</v>
      </c>
      <c r="Y15" s="106" t="e">
        <f>IF(Data!#REF!="","",Data!#REF!)</f>
        <v>#REF!</v>
      </c>
      <c r="Z15" s="106" t="e">
        <f>IF(Data!#REF!="","",Data!#REF!)</f>
        <v>#REF!</v>
      </c>
      <c r="AA15" s="106" t="e">
        <f>IF(Data!#REF!="","",Data!#REF!)</f>
        <v>#REF!</v>
      </c>
      <c r="AB15" s="107" t="e">
        <f>IF(Data!#REF!="","",Data!#REF!)</f>
        <v>#REF!</v>
      </c>
      <c r="AC15" s="105" t="e">
        <f>IF(Data!#REF!="","",Data!#REF!)</f>
        <v>#REF!</v>
      </c>
      <c r="AD15" s="106" t="e">
        <f>IF(Data!#REF!="","",Data!#REF!)</f>
        <v>#REF!</v>
      </c>
      <c r="AE15" s="106" t="e">
        <f>IF(Data!#REF!="","",Data!#REF!)</f>
        <v>#REF!</v>
      </c>
      <c r="AF15" s="106" t="e">
        <f>IF(Data!#REF!="","",Data!#REF!)</f>
        <v>#REF!</v>
      </c>
      <c r="AG15" s="106" t="e">
        <f>IF(Data!#REF!="","",Data!#REF!)</f>
        <v>#REF!</v>
      </c>
      <c r="AH15" s="106" t="e">
        <f>IF(Data!#REF!="","",Data!#REF!)</f>
        <v>#REF!</v>
      </c>
      <c r="AI15" s="106" t="e">
        <f>IF(Data!#REF!="","",Data!#REF!)</f>
        <v>#REF!</v>
      </c>
      <c r="AJ15" s="106" t="e">
        <f>IF(Data!#REF!="","",Data!#REF!)</f>
        <v>#REF!</v>
      </c>
      <c r="AK15" s="106" t="e">
        <f>IF(Data!#REF!="","",Data!#REF!)</f>
        <v>#REF!</v>
      </c>
      <c r="AL15" s="106" t="e">
        <f>IF(Data!#REF!="","",Data!#REF!)</f>
        <v>#REF!</v>
      </c>
      <c r="AM15" s="107" t="e">
        <f>IF(Data!#REF!="","",Data!#REF!)</f>
        <v>#REF!</v>
      </c>
      <c r="AN15" s="105" t="e">
        <f>IF(Data!#REF!="","",Data!#REF!)</f>
        <v>#REF!</v>
      </c>
      <c r="AO15" s="106" t="e">
        <f>IF(Data!#REF!="","",Data!#REF!)</f>
        <v>#REF!</v>
      </c>
      <c r="AP15" s="106" t="e">
        <f>IF(Data!#REF!="","",Data!#REF!)</f>
        <v>#REF!</v>
      </c>
      <c r="AQ15" s="106" t="e">
        <f>IF(Data!#REF!="","",Data!#REF!)</f>
        <v>#REF!</v>
      </c>
      <c r="AR15" s="106" t="e">
        <f>IF(Data!#REF!="","",Data!#REF!)</f>
        <v>#REF!</v>
      </c>
      <c r="AS15" s="106" t="e">
        <f>IF(Data!#REF!="","",Data!#REF!)</f>
        <v>#REF!</v>
      </c>
      <c r="AT15" s="106" t="e">
        <f>IF(Data!#REF!="","",Data!#REF!)</f>
        <v>#REF!</v>
      </c>
      <c r="AU15" s="106" t="e">
        <f>IF(Data!#REF!="","",Data!#REF!)</f>
        <v>#REF!</v>
      </c>
      <c r="AV15" s="106" t="e">
        <f>IF(Data!#REF!="","",Data!#REF!)</f>
        <v>#REF!</v>
      </c>
      <c r="AW15" s="106" t="e">
        <f>IF(Data!#REF!="","",Data!#REF!)</f>
        <v>#REF!</v>
      </c>
      <c r="AX15" s="106" t="e">
        <f>IF(Data!#REF!="","",Data!#REF!)</f>
        <v>#REF!</v>
      </c>
      <c r="AY15" s="107" t="e">
        <f>IF(Data!#REF!="","",Data!#REF!)</f>
        <v>#REF!</v>
      </c>
      <c r="AZ15" s="109" t="e">
        <f>IF(Data!#REF!="","",Data!#REF!)</f>
        <v>#REF!</v>
      </c>
      <c r="BA15" s="116" t="e">
        <f ca="1">IF('Graphical Overview'!BA$5&lt;='WK Conversion'!$AX17,"ME",IF('Graphical Overview'!BA$5&lt;='WK Conversion'!$AY17,"EE",IF('Graphical Overview'!BA$5&lt;='WK Conversion'!$AZ17,"M",IF('Graphical Overview'!BA$5&lt;='WK Conversion'!$BA17,"A",IF('Graphical Overview'!BA$5&lt;'WK Conversion'!$BB17,"P",IF('Graphical Overview'!BA$5='WK Conversion'!$BB17,"R",IF('Graphical Overview'!BA$5&lt;='WK Conversion'!$BC17,"CI",IF('Graphical Overview'!BA$5&lt;='WK Conversion'!$BD17,"I",""))))))))</f>
        <v>#REF!</v>
      </c>
      <c r="BB15" s="38" t="e">
        <f ca="1">IF('Graphical Overview'!BB$5&lt;='WK Conversion'!$AX17,"ME",IF('Graphical Overview'!BB$5&lt;='WK Conversion'!$AY17,"EE",IF('Graphical Overview'!BB$5&lt;='WK Conversion'!$AZ17,"M",IF('Graphical Overview'!BB$5&lt;='WK Conversion'!$BA17,"A",IF('Graphical Overview'!BB$5&lt;'WK Conversion'!$BB17,"P",IF('Graphical Overview'!BB$5='WK Conversion'!$BB17,"R",IF('Graphical Overview'!BB$5&lt;='WK Conversion'!$BC17,"CI",IF('Graphical Overview'!BB$5&lt;='WK Conversion'!$BD17,"I",""))))))))</f>
        <v>#REF!</v>
      </c>
      <c r="BC15" s="38" t="e">
        <f ca="1">IF('Graphical Overview'!BC$5&lt;='WK Conversion'!$AX17,"ME",IF('Graphical Overview'!BC$5&lt;='WK Conversion'!$AY17,"EE",IF('Graphical Overview'!BC$5&lt;='WK Conversion'!$AZ17,"M",IF('Graphical Overview'!BC$5&lt;='WK Conversion'!$BA17,"A",IF('Graphical Overview'!BC$5&lt;'WK Conversion'!$BB17,"P",IF('Graphical Overview'!BC$5='WK Conversion'!$BB17,"R",IF('Graphical Overview'!BC$5&lt;='WK Conversion'!$BC17,"CI",IF('Graphical Overview'!BC$5&lt;='WK Conversion'!$BD17,"I",""))))))))</f>
        <v>#REF!</v>
      </c>
      <c r="BD15" s="38" t="e">
        <f ca="1">IF('Graphical Overview'!BD$5&lt;='WK Conversion'!$AX17,"ME",IF('Graphical Overview'!BD$5&lt;='WK Conversion'!$AY17,"EE",IF('Graphical Overview'!BD$5&lt;='WK Conversion'!$AZ17,"M",IF('Graphical Overview'!BD$5&lt;='WK Conversion'!$BA17,"A",IF('Graphical Overview'!BD$5&lt;'WK Conversion'!$BB17,"P",IF('Graphical Overview'!BD$5='WK Conversion'!$BB17,"R",IF('Graphical Overview'!BD$5&lt;='WK Conversion'!$BC17,"CI",IF('Graphical Overview'!BD$5&lt;='WK Conversion'!$BD17,"I",""))))))))</f>
        <v>#REF!</v>
      </c>
      <c r="BE15" s="38" t="e">
        <f ca="1">IF('Graphical Overview'!BE$5&lt;='WK Conversion'!$AX17,"ME",IF('Graphical Overview'!BE$5&lt;='WK Conversion'!$AY17,"EE",IF('Graphical Overview'!BE$5&lt;='WK Conversion'!$AZ17,"M",IF('Graphical Overview'!BE$5&lt;='WK Conversion'!$BA17,"A",IF('Graphical Overview'!BE$5&lt;'WK Conversion'!$BB17,"P",IF('Graphical Overview'!BE$5='WK Conversion'!$BB17,"R",IF('Graphical Overview'!BE$5&lt;='WK Conversion'!$BC17,"CI",IF('Graphical Overview'!BE$5&lt;='WK Conversion'!$BD17,"I",""))))))))</f>
        <v>#REF!</v>
      </c>
      <c r="BF15" s="38" t="e">
        <f ca="1">IF('Graphical Overview'!BF$5&lt;='WK Conversion'!$AX17,"ME",IF('Graphical Overview'!BF$5&lt;='WK Conversion'!$AY17,"EE",IF('Graphical Overview'!BF$5&lt;='WK Conversion'!$AZ17,"M",IF('Graphical Overview'!BF$5&lt;='WK Conversion'!$BA17,"A",IF('Graphical Overview'!BF$5&lt;'WK Conversion'!$BB17,"P",IF('Graphical Overview'!BF$5='WK Conversion'!$BB17,"R",IF('Graphical Overview'!BF$5&lt;='WK Conversion'!$BC17,"CI",IF('Graphical Overview'!BF$5&lt;='WK Conversion'!$BD17,"I",""))))))))</f>
        <v>#REF!</v>
      </c>
      <c r="BG15" s="38" t="e">
        <f ca="1">IF('Graphical Overview'!BG$5&lt;='WK Conversion'!$AX17,"ME",IF('Graphical Overview'!BG$5&lt;='WK Conversion'!$AY17,"EE",IF('Graphical Overview'!BG$5&lt;='WK Conversion'!$AZ17,"M",IF('Graphical Overview'!BG$5&lt;='WK Conversion'!$BA17,"A",IF('Graphical Overview'!BG$5&lt;'WK Conversion'!$BB17,"P",IF('Graphical Overview'!BG$5='WK Conversion'!$BB17,"R",IF('Graphical Overview'!BG$5&lt;='WK Conversion'!$BC17,"CI",IF('Graphical Overview'!BG$5&lt;='WK Conversion'!$BD17,"I",""))))))))</f>
        <v>#REF!</v>
      </c>
      <c r="BH15" s="38" t="e">
        <f ca="1">IF('Graphical Overview'!BH$5&lt;='WK Conversion'!$AX17,"ME",IF('Graphical Overview'!BH$5&lt;='WK Conversion'!$AY17,"EE",IF('Graphical Overview'!BH$5&lt;='WK Conversion'!$AZ17,"M",IF('Graphical Overview'!BH$5&lt;='WK Conversion'!$BA17,"A",IF('Graphical Overview'!BH$5&lt;'WK Conversion'!$BB17,"P",IF('Graphical Overview'!BH$5='WK Conversion'!$BB17,"R",IF('Graphical Overview'!BH$5&lt;='WK Conversion'!$BC17,"CI",IF('Graphical Overview'!BH$5&lt;='WK Conversion'!$BD17,"I",""))))))))</f>
        <v>#REF!</v>
      </c>
      <c r="BI15" s="38" t="e">
        <f ca="1">IF('Graphical Overview'!BI$5&lt;='WK Conversion'!$AX17,"ME",IF('Graphical Overview'!BI$5&lt;='WK Conversion'!$AY17,"EE",IF('Graphical Overview'!BI$5&lt;='WK Conversion'!$AZ17,"M",IF('Graphical Overview'!BI$5&lt;='WK Conversion'!$BA17,"A",IF('Graphical Overview'!BI$5&lt;'WK Conversion'!$BB17,"P",IF('Graphical Overview'!BI$5='WK Conversion'!$BB17,"R",IF('Graphical Overview'!BI$5&lt;='WK Conversion'!$BC17,"CI",IF('Graphical Overview'!BI$5&lt;='WK Conversion'!$BD17,"I",""))))))))</f>
        <v>#REF!</v>
      </c>
      <c r="BJ15" s="38" t="e">
        <f ca="1">IF('Graphical Overview'!BJ$5&lt;='WK Conversion'!$AX17,"ME",IF('Graphical Overview'!BJ$5&lt;='WK Conversion'!$AY17,"EE",IF('Graphical Overview'!BJ$5&lt;='WK Conversion'!$AZ17,"M",IF('Graphical Overview'!BJ$5&lt;='WK Conversion'!$BA17,"A",IF('Graphical Overview'!BJ$5&lt;'WK Conversion'!$BB17,"P",IF('Graphical Overview'!BJ$5='WK Conversion'!$BB17,"R",IF('Graphical Overview'!BJ$5&lt;='WK Conversion'!$BC17,"CI",IF('Graphical Overview'!BJ$5&lt;='WK Conversion'!$BD17,"I",""))))))))</f>
        <v>#REF!</v>
      </c>
      <c r="BK15" s="38" t="e">
        <f ca="1">IF('Graphical Overview'!BK$5&lt;='WK Conversion'!$AX17,"ME",IF('Graphical Overview'!BK$5&lt;='WK Conversion'!$AY17,"EE",IF('Graphical Overview'!BK$5&lt;='WK Conversion'!$AZ17,"M",IF('Graphical Overview'!BK$5&lt;='WK Conversion'!$BA17,"A",IF('Graphical Overview'!BK$5&lt;'WK Conversion'!$BB17,"P",IF('Graphical Overview'!BK$5='WK Conversion'!$BB17,"R",IF('Graphical Overview'!BK$5&lt;='WK Conversion'!$BC17,"CI",IF('Graphical Overview'!BK$5&lt;='WK Conversion'!$BD17,"I",""))))))))</f>
        <v>#REF!</v>
      </c>
      <c r="BL15" s="38" t="e">
        <f ca="1">IF('Graphical Overview'!BL$5&lt;='WK Conversion'!$AX17,"ME",IF('Graphical Overview'!BL$5&lt;='WK Conversion'!$AY17,"EE",IF('Graphical Overview'!BL$5&lt;='WK Conversion'!$AZ17,"M",IF('Graphical Overview'!BL$5&lt;='WK Conversion'!$BA17,"A",IF('Graphical Overview'!BL$5&lt;'WK Conversion'!$BB17,"P",IF('Graphical Overview'!BL$5='WK Conversion'!$BB17,"R",IF('Graphical Overview'!BL$5&lt;='WK Conversion'!$BC17,"CI",IF('Graphical Overview'!BL$5&lt;='WK Conversion'!$BD17,"I",""))))))))</f>
        <v>#REF!</v>
      </c>
      <c r="BM15" s="38" t="e">
        <f ca="1">IF('Graphical Overview'!BM$5&lt;='WK Conversion'!$AX17,"ME",IF('Graphical Overview'!BM$5&lt;='WK Conversion'!$AY17,"EE",IF('Graphical Overview'!BM$5&lt;='WK Conversion'!$AZ17,"M",IF('Graphical Overview'!BM$5&lt;='WK Conversion'!$BA17,"A",IF('Graphical Overview'!BM$5&lt;'WK Conversion'!$BB17,"P",IF('Graphical Overview'!BM$5='WK Conversion'!$BB17,"R",IF('Graphical Overview'!BM$5&lt;='WK Conversion'!$BC17,"CI",IF('Graphical Overview'!BM$5&lt;='WK Conversion'!$BD17,"I",""))))))))</f>
        <v>#REF!</v>
      </c>
      <c r="BN15" s="38" t="e">
        <f ca="1">IF('Graphical Overview'!BN$5&lt;='WK Conversion'!$AX17,"ME",IF('Graphical Overview'!BN$5&lt;='WK Conversion'!$AY17,"EE",IF('Graphical Overview'!BN$5&lt;='WK Conversion'!$AZ17,"M",IF('Graphical Overview'!BN$5&lt;='WK Conversion'!$BA17,"A",IF('Graphical Overview'!BN$5&lt;'WK Conversion'!$BB17,"P",IF('Graphical Overview'!BN$5='WK Conversion'!$BB17,"R",IF('Graphical Overview'!BN$5&lt;='WK Conversion'!$BC17,"CI",IF('Graphical Overview'!BN$5&lt;='WK Conversion'!$BD17,"I",""))))))))</f>
        <v>#REF!</v>
      </c>
      <c r="BO15" s="108" t="e">
        <f ca="1">IF('Graphical Overview'!BO$5&lt;='WK Conversion'!$AX17,"ME",IF('Graphical Overview'!BO$5&lt;='WK Conversion'!$AY17,"EE",IF('Graphical Overview'!BO$5&lt;='WK Conversion'!$AZ17,"M",IF('Graphical Overview'!BO$5&lt;='WK Conversion'!$BA17,"A",IF('Graphical Overview'!BO$5&lt;'WK Conversion'!$BB17,"P",IF('Graphical Overview'!BO$5='WK Conversion'!$BB17,"R",IF('Graphical Overview'!BO$5&lt;='WK Conversion'!$BC17,"CI",IF('Graphical Overview'!BO$5&lt;='WK Conversion'!$BD17,"I",""))))))))</f>
        <v>#REF!</v>
      </c>
      <c r="BP15" s="38" t="e">
        <f ca="1">IF('Graphical Overview'!BP$5&lt;='WK Conversion'!$AX17,"ME",IF('Graphical Overview'!BP$5&lt;='WK Conversion'!$AY17,"EE",IF('Graphical Overview'!BP$5&lt;='WK Conversion'!$AZ17,"M",IF('Graphical Overview'!BP$5&lt;='WK Conversion'!$BA17,"A",IF('Graphical Overview'!BP$5&lt;'WK Conversion'!$BB17,"P",IF('Graphical Overview'!BP$5='WK Conversion'!$BB17,"R",IF('Graphical Overview'!BP$5&lt;='WK Conversion'!$BC17,"CI",IF('Graphical Overview'!BP$5&lt;='WK Conversion'!$BD17,"I",""))))))))</f>
        <v>#REF!</v>
      </c>
      <c r="BQ15" s="38" t="e">
        <f ca="1">IF('Graphical Overview'!BQ$5&lt;='WK Conversion'!$AX17,"ME",IF('Graphical Overview'!BQ$5&lt;='WK Conversion'!$AY17,"EE",IF('Graphical Overview'!BQ$5&lt;='WK Conversion'!$AZ17,"M",IF('Graphical Overview'!BQ$5&lt;='WK Conversion'!$BA17,"A",IF('Graphical Overview'!BQ$5&lt;'WK Conversion'!$BB17,"P",IF('Graphical Overview'!BQ$5='WK Conversion'!$BB17,"R",IF('Graphical Overview'!BQ$5&lt;='WK Conversion'!$BC17,"CI",IF('Graphical Overview'!BQ$5&lt;='WK Conversion'!$BD17,"I",""))))))))</f>
        <v>#REF!</v>
      </c>
      <c r="BR15" s="38" t="e">
        <f ca="1">IF('Graphical Overview'!BR$5&lt;='WK Conversion'!$AX17,"ME",IF('Graphical Overview'!BR$5&lt;='WK Conversion'!$AY17,"EE",IF('Graphical Overview'!BR$5&lt;='WK Conversion'!$AZ17,"M",IF('Graphical Overview'!BR$5&lt;='WK Conversion'!$BA17,"A",IF('Graphical Overview'!BR$5&lt;'WK Conversion'!$BB17,"P",IF('Graphical Overview'!BR$5='WK Conversion'!$BB17,"R",IF('Graphical Overview'!BR$5&lt;='WK Conversion'!$BC17,"CI",IF('Graphical Overview'!BR$5&lt;='WK Conversion'!$BD17,"I",""))))))))</f>
        <v>#REF!</v>
      </c>
      <c r="BS15" s="38" t="e">
        <f ca="1">IF('Graphical Overview'!BS$5&lt;='WK Conversion'!$AX17,"ME",IF('Graphical Overview'!BS$5&lt;='WK Conversion'!$AY17,"EE",IF('Graphical Overview'!BS$5&lt;='WK Conversion'!$AZ17,"M",IF('Graphical Overview'!BS$5&lt;='WK Conversion'!$BA17,"A",IF('Graphical Overview'!BS$5&lt;'WK Conversion'!$BB17,"P",IF('Graphical Overview'!BS$5='WK Conversion'!$BB17,"R",IF('Graphical Overview'!BS$5&lt;='WK Conversion'!$BC17,"CI",IF('Graphical Overview'!BS$5&lt;='WK Conversion'!$BD17,"I",""))))))))</f>
        <v>#REF!</v>
      </c>
      <c r="BT15" s="38" t="e">
        <f ca="1">IF('Graphical Overview'!BT$5&lt;='WK Conversion'!$AX17,"ME",IF('Graphical Overview'!BT$5&lt;='WK Conversion'!$AY17,"EE",IF('Graphical Overview'!BT$5&lt;='WK Conversion'!$AZ17,"M",IF('Graphical Overview'!BT$5&lt;='WK Conversion'!$BA17,"A",IF('Graphical Overview'!BT$5&lt;'WK Conversion'!$BB17,"P",IF('Graphical Overview'!BT$5='WK Conversion'!$BB17,"R",IF('Graphical Overview'!BT$5&lt;='WK Conversion'!$BC17,"CI",IF('Graphical Overview'!BT$5&lt;='WK Conversion'!$BD17,"I",""))))))))</f>
        <v>#REF!</v>
      </c>
      <c r="BU15" s="38" t="e">
        <f ca="1">IF('Graphical Overview'!BU$5&lt;='WK Conversion'!$AX17,"ME",IF('Graphical Overview'!BU$5&lt;='WK Conversion'!$AY17,"EE",IF('Graphical Overview'!BU$5&lt;='WK Conversion'!$AZ17,"M",IF('Graphical Overview'!BU$5&lt;='WK Conversion'!$BA17,"A",IF('Graphical Overview'!BU$5&lt;'WK Conversion'!$BB17,"P",IF('Graphical Overview'!BU$5='WK Conversion'!$BB17,"R",IF('Graphical Overview'!BU$5&lt;='WK Conversion'!$BC17,"CI",IF('Graphical Overview'!BU$5&lt;='WK Conversion'!$BD17,"I",""))))))))</f>
        <v>#REF!</v>
      </c>
      <c r="BV15" s="38" t="e">
        <f ca="1">IF('Graphical Overview'!BV$5&lt;='WK Conversion'!$AX17,"ME",IF('Graphical Overview'!BV$5&lt;='WK Conversion'!$AY17,"EE",IF('Graphical Overview'!BV$5&lt;='WK Conversion'!$AZ17,"M",IF('Graphical Overview'!BV$5&lt;='WK Conversion'!$BA17,"A",IF('Graphical Overview'!BV$5&lt;'WK Conversion'!$BB17,"P",IF('Graphical Overview'!BV$5='WK Conversion'!$BB17,"R",IF('Graphical Overview'!BV$5&lt;='WK Conversion'!$BC17,"CI",IF('Graphical Overview'!BV$5&lt;='WK Conversion'!$BD17,"I",""))))))))</f>
        <v>#REF!</v>
      </c>
      <c r="BW15" s="38" t="e">
        <f ca="1">IF('Graphical Overview'!BW$5&lt;='WK Conversion'!$AX17,"ME",IF('Graphical Overview'!BW$5&lt;='WK Conversion'!$AY17,"EE",IF('Graphical Overview'!BW$5&lt;='WK Conversion'!$AZ17,"M",IF('Graphical Overview'!BW$5&lt;='WK Conversion'!$BA17,"A",IF('Graphical Overview'!BW$5&lt;'WK Conversion'!$BB17,"P",IF('Graphical Overview'!BW$5='WK Conversion'!$BB17,"R",IF('Graphical Overview'!BW$5&lt;='WK Conversion'!$BC17,"CI",IF('Graphical Overview'!BW$5&lt;='WK Conversion'!$BD17,"I",""))))))))</f>
        <v>#REF!</v>
      </c>
      <c r="BX15" s="38" t="e">
        <f ca="1">IF('Graphical Overview'!BX$5&lt;='WK Conversion'!$AX17,"ME",IF('Graphical Overview'!BX$5&lt;='WK Conversion'!$AY17,"EE",IF('Graphical Overview'!BX$5&lt;='WK Conversion'!$AZ17,"M",IF('Graphical Overview'!BX$5&lt;='WK Conversion'!$BA17,"A",IF('Graphical Overview'!BX$5&lt;'WK Conversion'!$BB17,"P",IF('Graphical Overview'!BX$5='WK Conversion'!$BB17,"R",IF('Graphical Overview'!BX$5&lt;='WK Conversion'!$BC17,"CI",IF('Graphical Overview'!BX$5&lt;='WK Conversion'!$BD17,"I",""))))))))</f>
        <v>#REF!</v>
      </c>
      <c r="BY15" s="38" t="e">
        <f ca="1">IF('Graphical Overview'!BY$5&lt;='WK Conversion'!$AX17,"ME",IF('Graphical Overview'!BY$5&lt;='WK Conversion'!$AY17,"EE",IF('Graphical Overview'!BY$5&lt;='WK Conversion'!$AZ17,"M",IF('Graphical Overview'!BY$5&lt;='WK Conversion'!$BA17,"A",IF('Graphical Overview'!BY$5&lt;'WK Conversion'!$BB17,"P",IF('Graphical Overview'!BY$5='WK Conversion'!$BB17,"R",IF('Graphical Overview'!BY$5&lt;='WK Conversion'!$BC17,"CI",IF('Graphical Overview'!BY$5&lt;='WK Conversion'!$BD17,"I",""))))))))</f>
        <v>#REF!</v>
      </c>
      <c r="BZ15" s="38" t="e">
        <f ca="1">IF('Graphical Overview'!BZ$5&lt;='WK Conversion'!$AX17,"ME",IF('Graphical Overview'!BZ$5&lt;='WK Conversion'!$AY17,"EE",IF('Graphical Overview'!BZ$5&lt;='WK Conversion'!$AZ17,"M",IF('Graphical Overview'!BZ$5&lt;='WK Conversion'!$BA17,"A",IF('Graphical Overview'!BZ$5&lt;'WK Conversion'!$BB17,"P",IF('Graphical Overview'!BZ$5='WK Conversion'!$BB17,"R",IF('Graphical Overview'!BZ$5&lt;='WK Conversion'!$BC17,"CI",IF('Graphical Overview'!BZ$5&lt;='WK Conversion'!$BD17,"I",""))))))))</f>
        <v>#REF!</v>
      </c>
      <c r="CA15" s="38" t="e">
        <f ca="1">IF('Graphical Overview'!CA$5&lt;='WK Conversion'!$AX17,"ME",IF('Graphical Overview'!CA$5&lt;='WK Conversion'!$AY17,"EE",IF('Graphical Overview'!CA$5&lt;='WK Conversion'!$AZ17,"M",IF('Graphical Overview'!CA$5&lt;='WK Conversion'!$BA17,"A",IF('Graphical Overview'!CA$5&lt;'WK Conversion'!$BB17,"P",IF('Graphical Overview'!CA$5='WK Conversion'!$BB17,"R",IF('Graphical Overview'!CA$5&lt;='WK Conversion'!$BC17,"CI",IF('Graphical Overview'!CA$5&lt;='WK Conversion'!$BD17,"I",""))))))))</f>
        <v>#REF!</v>
      </c>
      <c r="CB15" s="38" t="e">
        <f ca="1">IF('Graphical Overview'!CB$5&lt;='WK Conversion'!$AX17,"ME",IF('Graphical Overview'!CB$5&lt;='WK Conversion'!$AY17,"EE",IF('Graphical Overview'!CB$5&lt;='WK Conversion'!$AZ17,"M",IF('Graphical Overview'!CB$5&lt;='WK Conversion'!$BA17,"A",IF('Graphical Overview'!CB$5&lt;'WK Conversion'!$BB17,"P",IF('Graphical Overview'!CB$5='WK Conversion'!$BB17,"R",IF('Graphical Overview'!CB$5&lt;='WK Conversion'!$BC17,"CI",IF('Graphical Overview'!CB$5&lt;='WK Conversion'!$BD17,"I",""))))))))</f>
        <v>#REF!</v>
      </c>
      <c r="CC15" s="38" t="e">
        <f ca="1">IF('Graphical Overview'!CC$5&lt;='WK Conversion'!$AX17,"ME",IF('Graphical Overview'!CC$5&lt;='WK Conversion'!$AY17,"EE",IF('Graphical Overview'!CC$5&lt;='WK Conversion'!$AZ17,"M",IF('Graphical Overview'!CC$5&lt;='WK Conversion'!$BA17,"A",IF('Graphical Overview'!CC$5&lt;'WK Conversion'!$BB17,"P",IF('Graphical Overview'!CC$5='WK Conversion'!$BB17,"R",IF('Graphical Overview'!CC$5&lt;='WK Conversion'!$BC17,"CI",IF('Graphical Overview'!CC$5&lt;='WK Conversion'!$BD17,"I",""))))))))</f>
        <v>#REF!</v>
      </c>
      <c r="CD15" s="38" t="e">
        <f ca="1">IF('Graphical Overview'!CD$5&lt;='WK Conversion'!$AX17,"ME",IF('Graphical Overview'!CD$5&lt;='WK Conversion'!$AY17,"EE",IF('Graphical Overview'!CD$5&lt;='WK Conversion'!$AZ17,"M",IF('Graphical Overview'!CD$5&lt;='WK Conversion'!$BA17,"A",IF('Graphical Overview'!CD$5&lt;'WK Conversion'!$BB17,"P",IF('Graphical Overview'!CD$5='WK Conversion'!$BB17,"R",IF('Graphical Overview'!CD$5&lt;='WK Conversion'!$BC17,"CI",IF('Graphical Overview'!CD$5&lt;='WK Conversion'!$BD17,"I",""))))))))</f>
        <v>#REF!</v>
      </c>
      <c r="CE15" s="38" t="e">
        <f ca="1">IF('Graphical Overview'!CE$5&lt;='WK Conversion'!$AX17,"ME",IF('Graphical Overview'!CE$5&lt;='WK Conversion'!$AY17,"EE",IF('Graphical Overview'!CE$5&lt;='WK Conversion'!$AZ17,"M",IF('Graphical Overview'!CE$5&lt;='WK Conversion'!$BA17,"A",IF('Graphical Overview'!CE$5&lt;'WK Conversion'!$BB17,"P",IF('Graphical Overview'!CE$5='WK Conversion'!$BB17,"R",IF('Graphical Overview'!CE$5&lt;='WK Conversion'!$BC17,"CI",IF('Graphical Overview'!CE$5&lt;='WK Conversion'!$BD17,"I",""))))))))</f>
        <v>#REF!</v>
      </c>
      <c r="CF15" s="39" t="e">
        <f ca="1">IF('Graphical Overview'!CF$5&lt;='WK Conversion'!$AX17,"ME",IF('Graphical Overview'!CF$5&lt;='WK Conversion'!$AY17,"EE",IF('Graphical Overview'!CF$5&lt;='WK Conversion'!$AZ17,"M",IF('Graphical Overview'!CF$5&lt;='WK Conversion'!$BA17,"A",IF('Graphical Overview'!CF$5&lt;'WK Conversion'!$BB17,"P",IF('Graphical Overview'!CF$5='WK Conversion'!$BB17,"R",IF('Graphical Overview'!CF$5&lt;='WK Conversion'!$BC17,"CI",IF('Graphical Overview'!CF$5&lt;='WK Conversion'!$BD17,"I",""))))))))</f>
        <v>#REF!</v>
      </c>
    </row>
    <row r="16" spans="1:88" ht="22.5" customHeight="1" x14ac:dyDescent="0.25">
      <c r="A16" s="41" t="e">
        <f>IF(Data!#REF!="","",Data!#REF!)</f>
        <v>#REF!</v>
      </c>
      <c r="B16" s="42" t="e">
        <f>IF(Data!#REF!="","",Data!#REF!)</f>
        <v>#REF!</v>
      </c>
      <c r="C16" s="42" t="e">
        <f>IF(Data!#REF!="","",Data!#REF!)</f>
        <v>#REF!</v>
      </c>
      <c r="D16" s="90" t="e">
        <f>IF(Data!#REF!="","",Data!#REF!)</f>
        <v>#REF!</v>
      </c>
      <c r="E16" s="42" t="e">
        <f>IF(Data!#REF!="","",Data!#REF!)</f>
        <v>#REF!</v>
      </c>
      <c r="F16" s="99" t="e">
        <f>IF(Data!#REF!="","",Data!#REF!)</f>
        <v>#REF!</v>
      </c>
      <c r="G16" s="105" t="e">
        <f t="shared" ref="G16:G24" si="3">SUM(H16:Q16)</f>
        <v>#REF!</v>
      </c>
      <c r="H16" s="106" t="e">
        <f>IF(Data!#REF!="","",Data!#REF!)</f>
        <v>#REF!</v>
      </c>
      <c r="I16" s="106" t="e">
        <f>IF(Data!#REF!="","",Data!#REF!)</f>
        <v>#REF!</v>
      </c>
      <c r="J16" s="106" t="e">
        <f>IF(Data!#REF!="","",Data!#REF!)</f>
        <v>#REF!</v>
      </c>
      <c r="K16" s="106" t="e">
        <f>IF(Data!#REF!="","",Data!#REF!)</f>
        <v>#REF!</v>
      </c>
      <c r="L16" s="106" t="e">
        <f>IF(Data!#REF!="","",Data!#REF!)</f>
        <v>#REF!</v>
      </c>
      <c r="M16" s="106" t="e">
        <f>IF(Data!#REF!="","",Data!#REF!)</f>
        <v>#REF!</v>
      </c>
      <c r="N16" s="106" t="e">
        <f>IF(Data!#REF!="","",Data!#REF!)</f>
        <v>#REF!</v>
      </c>
      <c r="O16" s="106" t="e">
        <f>IF(Data!#REF!="","",Data!#REF!)</f>
        <v>#REF!</v>
      </c>
      <c r="P16" s="106" t="e">
        <f>IF(Data!#REF!="","",Data!#REF!)</f>
        <v>#REF!</v>
      </c>
      <c r="Q16" s="107" t="e">
        <f>IF(Data!#REF!="","",Data!#REF!)</f>
        <v>#REF!</v>
      </c>
      <c r="R16" s="105" t="e">
        <f>IF(Data!#REF!="","",Data!#REF!)</f>
        <v>#REF!</v>
      </c>
      <c r="S16" s="106" t="e">
        <f>IF(Data!#REF!="","",Data!#REF!)</f>
        <v>#REF!</v>
      </c>
      <c r="T16" s="106" t="e">
        <f>IF(Data!#REF!="","",Data!#REF!)</f>
        <v>#REF!</v>
      </c>
      <c r="U16" s="106" t="e">
        <f>IF(Data!#REF!="","",Data!#REF!)</f>
        <v>#REF!</v>
      </c>
      <c r="V16" s="106" t="e">
        <f>IF(Data!#REF!="","",Data!#REF!)</f>
        <v>#REF!</v>
      </c>
      <c r="W16" s="106" t="e">
        <f>IF(Data!#REF!="","",Data!#REF!)</f>
        <v>#REF!</v>
      </c>
      <c r="X16" s="106" t="e">
        <f>IF(Data!#REF!="","",Data!#REF!)</f>
        <v>#REF!</v>
      </c>
      <c r="Y16" s="106" t="e">
        <f>IF(Data!#REF!="","",Data!#REF!)</f>
        <v>#REF!</v>
      </c>
      <c r="Z16" s="106" t="e">
        <f>IF(Data!#REF!="","",Data!#REF!)</f>
        <v>#REF!</v>
      </c>
      <c r="AA16" s="106" t="e">
        <f>IF(Data!#REF!="","",Data!#REF!)</f>
        <v>#REF!</v>
      </c>
      <c r="AB16" s="107" t="e">
        <f>IF(Data!#REF!="","",Data!#REF!)</f>
        <v>#REF!</v>
      </c>
      <c r="AC16" s="105" t="e">
        <f>IF(Data!#REF!="","",Data!#REF!)</f>
        <v>#REF!</v>
      </c>
      <c r="AD16" s="106" t="e">
        <f>IF(Data!#REF!="","",Data!#REF!)</f>
        <v>#REF!</v>
      </c>
      <c r="AE16" s="106" t="e">
        <f>IF(Data!#REF!="","",Data!#REF!)</f>
        <v>#REF!</v>
      </c>
      <c r="AF16" s="106" t="e">
        <f>IF(Data!#REF!="","",Data!#REF!)</f>
        <v>#REF!</v>
      </c>
      <c r="AG16" s="106" t="e">
        <f>IF(Data!#REF!="","",Data!#REF!)</f>
        <v>#REF!</v>
      </c>
      <c r="AH16" s="106" t="e">
        <f>IF(Data!#REF!="","",Data!#REF!)</f>
        <v>#REF!</v>
      </c>
      <c r="AI16" s="106" t="e">
        <f>IF(Data!#REF!="","",Data!#REF!)</f>
        <v>#REF!</v>
      </c>
      <c r="AJ16" s="106" t="e">
        <f>IF(Data!#REF!="","",Data!#REF!)</f>
        <v>#REF!</v>
      </c>
      <c r="AK16" s="106" t="e">
        <f>IF(Data!#REF!="","",Data!#REF!)</f>
        <v>#REF!</v>
      </c>
      <c r="AL16" s="106" t="e">
        <f>IF(Data!#REF!="","",Data!#REF!)</f>
        <v>#REF!</v>
      </c>
      <c r="AM16" s="107" t="e">
        <f>IF(Data!#REF!="","",Data!#REF!)</f>
        <v>#REF!</v>
      </c>
      <c r="AN16" s="105" t="e">
        <f>IF(Data!#REF!="","",Data!#REF!)</f>
        <v>#REF!</v>
      </c>
      <c r="AO16" s="106" t="e">
        <f>IF(Data!#REF!="","",Data!#REF!)</f>
        <v>#REF!</v>
      </c>
      <c r="AP16" s="106" t="e">
        <f>IF(Data!#REF!="","",Data!#REF!)</f>
        <v>#REF!</v>
      </c>
      <c r="AQ16" s="106" t="e">
        <f>IF(Data!#REF!="","",Data!#REF!)</f>
        <v>#REF!</v>
      </c>
      <c r="AR16" s="106" t="e">
        <f>IF(Data!#REF!="","",Data!#REF!)</f>
        <v>#REF!</v>
      </c>
      <c r="AS16" s="106" t="e">
        <f>IF(Data!#REF!="","",Data!#REF!)</f>
        <v>#REF!</v>
      </c>
      <c r="AT16" s="106" t="e">
        <f>IF(Data!#REF!="","",Data!#REF!)</f>
        <v>#REF!</v>
      </c>
      <c r="AU16" s="106" t="e">
        <f>IF(Data!#REF!="","",Data!#REF!)</f>
        <v>#REF!</v>
      </c>
      <c r="AV16" s="106" t="e">
        <f>IF(Data!#REF!="","",Data!#REF!)</f>
        <v>#REF!</v>
      </c>
      <c r="AW16" s="106" t="e">
        <f>IF(Data!#REF!="","",Data!#REF!)</f>
        <v>#REF!</v>
      </c>
      <c r="AX16" s="106" t="e">
        <f>IF(Data!#REF!="","",Data!#REF!)</f>
        <v>#REF!</v>
      </c>
      <c r="AY16" s="107" t="e">
        <f>IF(Data!#REF!="","",Data!#REF!)</f>
        <v>#REF!</v>
      </c>
      <c r="AZ16" s="109" t="e">
        <f>IF(Data!#REF!="","",Data!#REF!)</f>
        <v>#REF!</v>
      </c>
      <c r="BA16"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16"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16"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16"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16"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16"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16"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16"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16"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16"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16"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16"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16"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16"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16"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16"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16"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16"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16"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16"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16"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16"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16"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16"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16"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16"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16"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16"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16"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16"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16"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16"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17" spans="1:84" ht="22.5" customHeight="1" x14ac:dyDescent="0.25">
      <c r="A17" s="41" t="e">
        <f>IF(Data!#REF!="","",Data!#REF!)</f>
        <v>#REF!</v>
      </c>
      <c r="B17" s="42" t="e">
        <f>IF(Data!#REF!="","",Data!#REF!)</f>
        <v>#REF!</v>
      </c>
      <c r="C17" s="42" t="e">
        <f>IF(Data!#REF!="","",Data!#REF!)</f>
        <v>#REF!</v>
      </c>
      <c r="D17" s="90" t="e">
        <f>IF(Data!#REF!="","",Data!#REF!)</f>
        <v>#REF!</v>
      </c>
      <c r="E17" s="42" t="e">
        <f>IF(Data!#REF!="","",Data!#REF!)</f>
        <v>#REF!</v>
      </c>
      <c r="F17" s="99" t="e">
        <f>IF(Data!#REF!="","",Data!#REF!)</f>
        <v>#REF!</v>
      </c>
      <c r="G17" s="105" t="e">
        <f t="shared" si="3"/>
        <v>#REF!</v>
      </c>
      <c r="H17" s="106" t="e">
        <f>IF(Data!#REF!="","",Data!#REF!)</f>
        <v>#REF!</v>
      </c>
      <c r="I17" s="106" t="e">
        <f>IF(Data!#REF!="","",Data!#REF!)</f>
        <v>#REF!</v>
      </c>
      <c r="J17" s="106" t="e">
        <f>IF(Data!#REF!="","",Data!#REF!)</f>
        <v>#REF!</v>
      </c>
      <c r="K17" s="106" t="e">
        <f>IF(Data!#REF!="","",Data!#REF!)</f>
        <v>#REF!</v>
      </c>
      <c r="L17" s="106" t="e">
        <f>IF(Data!#REF!="","",Data!#REF!)</f>
        <v>#REF!</v>
      </c>
      <c r="M17" s="106" t="e">
        <f>IF(Data!#REF!="","",Data!#REF!)</f>
        <v>#REF!</v>
      </c>
      <c r="N17" s="106" t="e">
        <f>IF(Data!#REF!="","",Data!#REF!)</f>
        <v>#REF!</v>
      </c>
      <c r="O17" s="106" t="e">
        <f>IF(Data!#REF!="","",Data!#REF!)</f>
        <v>#REF!</v>
      </c>
      <c r="P17" s="106" t="e">
        <f>IF(Data!#REF!="","",Data!#REF!)</f>
        <v>#REF!</v>
      </c>
      <c r="Q17" s="107" t="e">
        <f>IF(Data!#REF!="","",Data!#REF!)</f>
        <v>#REF!</v>
      </c>
      <c r="R17" s="105" t="e">
        <f>IF(Data!#REF!="","",Data!#REF!)</f>
        <v>#REF!</v>
      </c>
      <c r="S17" s="106" t="e">
        <f>IF(Data!#REF!="","",Data!#REF!)</f>
        <v>#REF!</v>
      </c>
      <c r="T17" s="106" t="e">
        <f>IF(Data!#REF!="","",Data!#REF!)</f>
        <v>#REF!</v>
      </c>
      <c r="U17" s="106" t="e">
        <f>IF(Data!#REF!="","",Data!#REF!)</f>
        <v>#REF!</v>
      </c>
      <c r="V17" s="106" t="e">
        <f>IF(Data!#REF!="","",Data!#REF!)</f>
        <v>#REF!</v>
      </c>
      <c r="W17" s="106" t="e">
        <f>IF(Data!#REF!="","",Data!#REF!)</f>
        <v>#REF!</v>
      </c>
      <c r="X17" s="106" t="e">
        <f>IF(Data!#REF!="","",Data!#REF!)</f>
        <v>#REF!</v>
      </c>
      <c r="Y17" s="106" t="e">
        <f>IF(Data!#REF!="","",Data!#REF!)</f>
        <v>#REF!</v>
      </c>
      <c r="Z17" s="106" t="e">
        <f>IF(Data!#REF!="","",Data!#REF!)</f>
        <v>#REF!</v>
      </c>
      <c r="AA17" s="106" t="e">
        <f>IF(Data!#REF!="","",Data!#REF!)</f>
        <v>#REF!</v>
      </c>
      <c r="AB17" s="107" t="e">
        <f>IF(Data!#REF!="","",Data!#REF!)</f>
        <v>#REF!</v>
      </c>
      <c r="AC17" s="105" t="e">
        <f>IF(Data!#REF!="","",Data!#REF!)</f>
        <v>#REF!</v>
      </c>
      <c r="AD17" s="106" t="e">
        <f>IF(Data!#REF!="","",Data!#REF!)</f>
        <v>#REF!</v>
      </c>
      <c r="AE17" s="106" t="e">
        <f>IF(Data!#REF!="","",Data!#REF!)</f>
        <v>#REF!</v>
      </c>
      <c r="AF17" s="106" t="e">
        <f>IF(Data!#REF!="","",Data!#REF!)</f>
        <v>#REF!</v>
      </c>
      <c r="AG17" s="106" t="e">
        <f>IF(Data!#REF!="","",Data!#REF!)</f>
        <v>#REF!</v>
      </c>
      <c r="AH17" s="106" t="e">
        <f>IF(Data!#REF!="","",Data!#REF!)</f>
        <v>#REF!</v>
      </c>
      <c r="AI17" s="106" t="e">
        <f>IF(Data!#REF!="","",Data!#REF!)</f>
        <v>#REF!</v>
      </c>
      <c r="AJ17" s="106" t="e">
        <f>IF(Data!#REF!="","",Data!#REF!)</f>
        <v>#REF!</v>
      </c>
      <c r="AK17" s="106" t="e">
        <f>IF(Data!#REF!="","",Data!#REF!)</f>
        <v>#REF!</v>
      </c>
      <c r="AL17" s="106" t="e">
        <f>IF(Data!#REF!="","",Data!#REF!)</f>
        <v>#REF!</v>
      </c>
      <c r="AM17" s="107" t="e">
        <f>IF(Data!#REF!="","",Data!#REF!)</f>
        <v>#REF!</v>
      </c>
      <c r="AN17" s="105" t="e">
        <f>IF(Data!#REF!="","",Data!#REF!)</f>
        <v>#REF!</v>
      </c>
      <c r="AO17" s="106" t="e">
        <f>IF(Data!#REF!="","",Data!#REF!)</f>
        <v>#REF!</v>
      </c>
      <c r="AP17" s="106" t="e">
        <f>IF(Data!#REF!="","",Data!#REF!)</f>
        <v>#REF!</v>
      </c>
      <c r="AQ17" s="106" t="e">
        <f>IF(Data!#REF!="","",Data!#REF!)</f>
        <v>#REF!</v>
      </c>
      <c r="AR17" s="106" t="e">
        <f>IF(Data!#REF!="","",Data!#REF!)</f>
        <v>#REF!</v>
      </c>
      <c r="AS17" s="106" t="e">
        <f>IF(Data!#REF!="","",Data!#REF!)</f>
        <v>#REF!</v>
      </c>
      <c r="AT17" s="106" t="e">
        <f>IF(Data!#REF!="","",Data!#REF!)</f>
        <v>#REF!</v>
      </c>
      <c r="AU17" s="106" t="e">
        <f>IF(Data!#REF!="","",Data!#REF!)</f>
        <v>#REF!</v>
      </c>
      <c r="AV17" s="106" t="e">
        <f>IF(Data!#REF!="","",Data!#REF!)</f>
        <v>#REF!</v>
      </c>
      <c r="AW17" s="106" t="e">
        <f>IF(Data!#REF!="","",Data!#REF!)</f>
        <v>#REF!</v>
      </c>
      <c r="AX17" s="106" t="e">
        <f>IF(Data!#REF!="","",Data!#REF!)</f>
        <v>#REF!</v>
      </c>
      <c r="AY17" s="107" t="e">
        <f>IF(Data!#REF!="","",Data!#REF!)</f>
        <v>#REF!</v>
      </c>
      <c r="AZ17" s="109" t="e">
        <f>IF(Data!#REF!="","",Data!#REF!)</f>
        <v>#REF!</v>
      </c>
      <c r="BA17"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17"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17"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17"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17"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17"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17"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17"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17"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17"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17"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17"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17"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17"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17"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17"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17"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17"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17"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17"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17"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17"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17"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17"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17"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17"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17"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17"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17"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17"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17"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17"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18" spans="1:84" ht="22.5" customHeight="1" x14ac:dyDescent="0.25">
      <c r="A18" s="41" t="e">
        <f>IF(Data!#REF!="","",Data!#REF!)</f>
        <v>#REF!</v>
      </c>
      <c r="B18" s="42" t="e">
        <f>IF(Data!#REF!="","",Data!#REF!)</f>
        <v>#REF!</v>
      </c>
      <c r="C18" s="42" t="e">
        <f>IF(Data!#REF!="","",Data!#REF!)</f>
        <v>#REF!</v>
      </c>
      <c r="D18" s="90" t="e">
        <f>IF(Data!#REF!="","",Data!#REF!)</f>
        <v>#REF!</v>
      </c>
      <c r="E18" s="42" t="e">
        <f>IF(Data!#REF!="","",Data!#REF!)</f>
        <v>#REF!</v>
      </c>
      <c r="F18" s="99" t="e">
        <f>IF(Data!#REF!="","",Data!#REF!)</f>
        <v>#REF!</v>
      </c>
      <c r="G18" s="105" t="e">
        <f t="shared" si="3"/>
        <v>#REF!</v>
      </c>
      <c r="H18" s="106" t="e">
        <f>IF(Data!#REF!="","",Data!#REF!)</f>
        <v>#REF!</v>
      </c>
      <c r="I18" s="106" t="e">
        <f>IF(Data!#REF!="","",Data!#REF!)</f>
        <v>#REF!</v>
      </c>
      <c r="J18" s="106" t="e">
        <f>IF(Data!#REF!="","",Data!#REF!)</f>
        <v>#REF!</v>
      </c>
      <c r="K18" s="106" t="e">
        <f>IF(Data!#REF!="","",Data!#REF!)</f>
        <v>#REF!</v>
      </c>
      <c r="L18" s="106" t="e">
        <f>IF(Data!#REF!="","",Data!#REF!)</f>
        <v>#REF!</v>
      </c>
      <c r="M18" s="106" t="e">
        <f>IF(Data!#REF!="","",Data!#REF!)</f>
        <v>#REF!</v>
      </c>
      <c r="N18" s="106" t="e">
        <f>IF(Data!#REF!="","",Data!#REF!)</f>
        <v>#REF!</v>
      </c>
      <c r="O18" s="106" t="e">
        <f>IF(Data!#REF!="","",Data!#REF!)</f>
        <v>#REF!</v>
      </c>
      <c r="P18" s="106" t="e">
        <f>IF(Data!#REF!="","",Data!#REF!)</f>
        <v>#REF!</v>
      </c>
      <c r="Q18" s="107" t="e">
        <f>IF(Data!#REF!="","",Data!#REF!)</f>
        <v>#REF!</v>
      </c>
      <c r="R18" s="105" t="e">
        <f>IF(Data!#REF!="","",Data!#REF!)</f>
        <v>#REF!</v>
      </c>
      <c r="S18" s="106" t="e">
        <f>IF(Data!#REF!="","",Data!#REF!)</f>
        <v>#REF!</v>
      </c>
      <c r="T18" s="106" t="e">
        <f>IF(Data!#REF!="","",Data!#REF!)</f>
        <v>#REF!</v>
      </c>
      <c r="U18" s="106" t="e">
        <f>IF(Data!#REF!="","",Data!#REF!)</f>
        <v>#REF!</v>
      </c>
      <c r="V18" s="106" t="e">
        <f>IF(Data!#REF!="","",Data!#REF!)</f>
        <v>#REF!</v>
      </c>
      <c r="W18" s="106" t="e">
        <f>IF(Data!#REF!="","",Data!#REF!)</f>
        <v>#REF!</v>
      </c>
      <c r="X18" s="106" t="e">
        <f>IF(Data!#REF!="","",Data!#REF!)</f>
        <v>#REF!</v>
      </c>
      <c r="Y18" s="106" t="e">
        <f>IF(Data!#REF!="","",Data!#REF!)</f>
        <v>#REF!</v>
      </c>
      <c r="Z18" s="106" t="e">
        <f>IF(Data!#REF!="","",Data!#REF!)</f>
        <v>#REF!</v>
      </c>
      <c r="AA18" s="106" t="e">
        <f>IF(Data!#REF!="","",Data!#REF!)</f>
        <v>#REF!</v>
      </c>
      <c r="AB18" s="107" t="e">
        <f>IF(Data!#REF!="","",Data!#REF!)</f>
        <v>#REF!</v>
      </c>
      <c r="AC18" s="105" t="e">
        <f>IF(Data!#REF!="","",Data!#REF!)</f>
        <v>#REF!</v>
      </c>
      <c r="AD18" s="106" t="e">
        <f>IF(Data!#REF!="","",Data!#REF!)</f>
        <v>#REF!</v>
      </c>
      <c r="AE18" s="106" t="e">
        <f>IF(Data!#REF!="","",Data!#REF!)</f>
        <v>#REF!</v>
      </c>
      <c r="AF18" s="106" t="e">
        <f>IF(Data!#REF!="","",Data!#REF!)</f>
        <v>#REF!</v>
      </c>
      <c r="AG18" s="106" t="e">
        <f>IF(Data!#REF!="","",Data!#REF!)</f>
        <v>#REF!</v>
      </c>
      <c r="AH18" s="106" t="e">
        <f>IF(Data!#REF!="","",Data!#REF!)</f>
        <v>#REF!</v>
      </c>
      <c r="AI18" s="106" t="e">
        <f>IF(Data!#REF!="","",Data!#REF!)</f>
        <v>#REF!</v>
      </c>
      <c r="AJ18" s="106" t="e">
        <f>IF(Data!#REF!="","",Data!#REF!)</f>
        <v>#REF!</v>
      </c>
      <c r="AK18" s="106" t="e">
        <f>IF(Data!#REF!="","",Data!#REF!)</f>
        <v>#REF!</v>
      </c>
      <c r="AL18" s="106" t="e">
        <f>IF(Data!#REF!="","",Data!#REF!)</f>
        <v>#REF!</v>
      </c>
      <c r="AM18" s="107" t="e">
        <f>IF(Data!#REF!="","",Data!#REF!)</f>
        <v>#REF!</v>
      </c>
      <c r="AN18" s="105" t="e">
        <f>IF(Data!#REF!="","",Data!#REF!)</f>
        <v>#REF!</v>
      </c>
      <c r="AO18" s="106" t="e">
        <f>IF(Data!#REF!="","",Data!#REF!)</f>
        <v>#REF!</v>
      </c>
      <c r="AP18" s="106" t="e">
        <f>IF(Data!#REF!="","",Data!#REF!)</f>
        <v>#REF!</v>
      </c>
      <c r="AQ18" s="106" t="e">
        <f>IF(Data!#REF!="","",Data!#REF!)</f>
        <v>#REF!</v>
      </c>
      <c r="AR18" s="106" t="e">
        <f>IF(Data!#REF!="","",Data!#REF!)</f>
        <v>#REF!</v>
      </c>
      <c r="AS18" s="106" t="e">
        <f>IF(Data!#REF!="","",Data!#REF!)</f>
        <v>#REF!</v>
      </c>
      <c r="AT18" s="106" t="e">
        <f>IF(Data!#REF!="","",Data!#REF!)</f>
        <v>#REF!</v>
      </c>
      <c r="AU18" s="106" t="e">
        <f>IF(Data!#REF!="","",Data!#REF!)</f>
        <v>#REF!</v>
      </c>
      <c r="AV18" s="106" t="e">
        <f>IF(Data!#REF!="","",Data!#REF!)</f>
        <v>#REF!</v>
      </c>
      <c r="AW18" s="106" t="e">
        <f>IF(Data!#REF!="","",Data!#REF!)</f>
        <v>#REF!</v>
      </c>
      <c r="AX18" s="106" t="e">
        <f>IF(Data!#REF!="","",Data!#REF!)</f>
        <v>#REF!</v>
      </c>
      <c r="AY18" s="107" t="e">
        <f>IF(Data!#REF!="","",Data!#REF!)</f>
        <v>#REF!</v>
      </c>
      <c r="AZ18" s="109" t="e">
        <f>IF(Data!#REF!="","",Data!#REF!)</f>
        <v>#REF!</v>
      </c>
      <c r="BA18"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18"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18"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18"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18"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18"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18"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18"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18"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18"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18"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18"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18"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18"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18"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18"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18"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18"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18"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18"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18"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18"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18"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18"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18"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18"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18"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18"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18"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18"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18"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18"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19" spans="1:84" ht="22.5" customHeight="1" x14ac:dyDescent="0.25">
      <c r="A19" s="41" t="e">
        <f>IF(Data!#REF!="","",Data!#REF!)</f>
        <v>#REF!</v>
      </c>
      <c r="B19" s="42" t="e">
        <f>IF(Data!#REF!="","",Data!#REF!)</f>
        <v>#REF!</v>
      </c>
      <c r="C19" s="42" t="e">
        <f>IF(Data!#REF!="","",Data!#REF!)</f>
        <v>#REF!</v>
      </c>
      <c r="D19" s="90" t="e">
        <f>IF(Data!#REF!="","",Data!#REF!)</f>
        <v>#REF!</v>
      </c>
      <c r="E19" s="42" t="e">
        <f>IF(Data!#REF!="","",Data!#REF!)</f>
        <v>#REF!</v>
      </c>
      <c r="F19" s="99" t="e">
        <f>IF(Data!#REF!="","",Data!#REF!)</f>
        <v>#REF!</v>
      </c>
      <c r="G19" s="105" t="e">
        <f t="shared" si="3"/>
        <v>#REF!</v>
      </c>
      <c r="H19" s="106" t="e">
        <f>IF(Data!#REF!="","",Data!#REF!)</f>
        <v>#REF!</v>
      </c>
      <c r="I19" s="106" t="e">
        <f>IF(Data!#REF!="","",Data!#REF!)</f>
        <v>#REF!</v>
      </c>
      <c r="J19" s="106" t="e">
        <f>IF(Data!#REF!="","",Data!#REF!)</f>
        <v>#REF!</v>
      </c>
      <c r="K19" s="106" t="e">
        <f>IF(Data!#REF!="","",Data!#REF!)</f>
        <v>#REF!</v>
      </c>
      <c r="L19" s="106" t="e">
        <f>IF(Data!#REF!="","",Data!#REF!)</f>
        <v>#REF!</v>
      </c>
      <c r="M19" s="106" t="e">
        <f>IF(Data!#REF!="","",Data!#REF!)</f>
        <v>#REF!</v>
      </c>
      <c r="N19" s="106" t="e">
        <f>IF(Data!#REF!="","",Data!#REF!)</f>
        <v>#REF!</v>
      </c>
      <c r="O19" s="106" t="e">
        <f>IF(Data!#REF!="","",Data!#REF!)</f>
        <v>#REF!</v>
      </c>
      <c r="P19" s="106" t="e">
        <f>IF(Data!#REF!="","",Data!#REF!)</f>
        <v>#REF!</v>
      </c>
      <c r="Q19" s="107" t="e">
        <f>IF(Data!#REF!="","",Data!#REF!)</f>
        <v>#REF!</v>
      </c>
      <c r="R19" s="105" t="e">
        <f>IF(Data!#REF!="","",Data!#REF!)</f>
        <v>#REF!</v>
      </c>
      <c r="S19" s="106" t="e">
        <f>IF(Data!#REF!="","",Data!#REF!)</f>
        <v>#REF!</v>
      </c>
      <c r="T19" s="106" t="e">
        <f>IF(Data!#REF!="","",Data!#REF!)</f>
        <v>#REF!</v>
      </c>
      <c r="U19" s="106" t="e">
        <f>IF(Data!#REF!="","",Data!#REF!)</f>
        <v>#REF!</v>
      </c>
      <c r="V19" s="106" t="e">
        <f>IF(Data!#REF!="","",Data!#REF!)</f>
        <v>#REF!</v>
      </c>
      <c r="W19" s="106" t="e">
        <f>IF(Data!#REF!="","",Data!#REF!)</f>
        <v>#REF!</v>
      </c>
      <c r="X19" s="106" t="e">
        <f>IF(Data!#REF!="","",Data!#REF!)</f>
        <v>#REF!</v>
      </c>
      <c r="Y19" s="106" t="e">
        <f>IF(Data!#REF!="","",Data!#REF!)</f>
        <v>#REF!</v>
      </c>
      <c r="Z19" s="106" t="e">
        <f>IF(Data!#REF!="","",Data!#REF!)</f>
        <v>#REF!</v>
      </c>
      <c r="AA19" s="106" t="e">
        <f>IF(Data!#REF!="","",Data!#REF!)</f>
        <v>#REF!</v>
      </c>
      <c r="AB19" s="107" t="e">
        <f>IF(Data!#REF!="","",Data!#REF!)</f>
        <v>#REF!</v>
      </c>
      <c r="AC19" s="105" t="e">
        <f>IF(Data!#REF!="","",Data!#REF!)</f>
        <v>#REF!</v>
      </c>
      <c r="AD19" s="106" t="e">
        <f>IF(Data!#REF!="","",Data!#REF!)</f>
        <v>#REF!</v>
      </c>
      <c r="AE19" s="106" t="e">
        <f>IF(Data!#REF!="","",Data!#REF!)</f>
        <v>#REF!</v>
      </c>
      <c r="AF19" s="106" t="e">
        <f>IF(Data!#REF!="","",Data!#REF!)</f>
        <v>#REF!</v>
      </c>
      <c r="AG19" s="106" t="e">
        <f>IF(Data!#REF!="","",Data!#REF!)</f>
        <v>#REF!</v>
      </c>
      <c r="AH19" s="106" t="e">
        <f>IF(Data!#REF!="","",Data!#REF!)</f>
        <v>#REF!</v>
      </c>
      <c r="AI19" s="106" t="e">
        <f>IF(Data!#REF!="","",Data!#REF!)</f>
        <v>#REF!</v>
      </c>
      <c r="AJ19" s="106" t="e">
        <f>IF(Data!#REF!="","",Data!#REF!)</f>
        <v>#REF!</v>
      </c>
      <c r="AK19" s="106" t="e">
        <f>IF(Data!#REF!="","",Data!#REF!)</f>
        <v>#REF!</v>
      </c>
      <c r="AL19" s="106" t="e">
        <f>IF(Data!#REF!="","",Data!#REF!)</f>
        <v>#REF!</v>
      </c>
      <c r="AM19" s="107" t="e">
        <f>IF(Data!#REF!="","",Data!#REF!)</f>
        <v>#REF!</v>
      </c>
      <c r="AN19" s="105" t="e">
        <f>IF(Data!#REF!="","",Data!#REF!)</f>
        <v>#REF!</v>
      </c>
      <c r="AO19" s="106" t="e">
        <f>IF(Data!#REF!="","",Data!#REF!)</f>
        <v>#REF!</v>
      </c>
      <c r="AP19" s="106" t="e">
        <f>IF(Data!#REF!="","",Data!#REF!)</f>
        <v>#REF!</v>
      </c>
      <c r="AQ19" s="106" t="e">
        <f>IF(Data!#REF!="","",Data!#REF!)</f>
        <v>#REF!</v>
      </c>
      <c r="AR19" s="106" t="e">
        <f>IF(Data!#REF!="","",Data!#REF!)</f>
        <v>#REF!</v>
      </c>
      <c r="AS19" s="106" t="e">
        <f>IF(Data!#REF!="","",Data!#REF!)</f>
        <v>#REF!</v>
      </c>
      <c r="AT19" s="106" t="e">
        <f>IF(Data!#REF!="","",Data!#REF!)</f>
        <v>#REF!</v>
      </c>
      <c r="AU19" s="106" t="e">
        <f>IF(Data!#REF!="","",Data!#REF!)</f>
        <v>#REF!</v>
      </c>
      <c r="AV19" s="106" t="e">
        <f>IF(Data!#REF!="","",Data!#REF!)</f>
        <v>#REF!</v>
      </c>
      <c r="AW19" s="106" t="e">
        <f>IF(Data!#REF!="","",Data!#REF!)</f>
        <v>#REF!</v>
      </c>
      <c r="AX19" s="106" t="e">
        <f>IF(Data!#REF!="","",Data!#REF!)</f>
        <v>#REF!</v>
      </c>
      <c r="AY19" s="107" t="e">
        <f>IF(Data!#REF!="","",Data!#REF!)</f>
        <v>#REF!</v>
      </c>
      <c r="AZ19" s="109" t="e">
        <f>IF(Data!#REF!="","",Data!#REF!)</f>
        <v>#REF!</v>
      </c>
      <c r="BA19"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19"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19"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19"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19"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19"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19"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19"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19"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19"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19"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19"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19"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19"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19"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19"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19"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19"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19"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19"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19"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19"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19"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19"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19"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19"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19"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19"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19"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19"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19"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19"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0" spans="1:84" ht="22.5" customHeight="1" x14ac:dyDescent="0.25">
      <c r="A20" s="41" t="e">
        <f>IF(Data!#REF!="","",Data!#REF!)</f>
        <v>#REF!</v>
      </c>
      <c r="B20" s="42" t="e">
        <f>IF(Data!#REF!="","",Data!#REF!)</f>
        <v>#REF!</v>
      </c>
      <c r="C20" s="42" t="e">
        <f>IF(Data!#REF!="","",Data!#REF!)</f>
        <v>#REF!</v>
      </c>
      <c r="D20" s="90" t="e">
        <f>IF(Data!#REF!="","",Data!#REF!)</f>
        <v>#REF!</v>
      </c>
      <c r="E20" s="42" t="e">
        <f>IF(Data!#REF!="","",Data!#REF!)</f>
        <v>#REF!</v>
      </c>
      <c r="F20" s="99" t="e">
        <f>IF(Data!#REF!="","",Data!#REF!)</f>
        <v>#REF!</v>
      </c>
      <c r="G20" s="105" t="e">
        <f t="shared" si="3"/>
        <v>#REF!</v>
      </c>
      <c r="H20" s="106" t="e">
        <f>IF(Data!#REF!="","",Data!#REF!)</f>
        <v>#REF!</v>
      </c>
      <c r="I20" s="106" t="e">
        <f>IF(Data!#REF!="","",Data!#REF!)</f>
        <v>#REF!</v>
      </c>
      <c r="J20" s="106" t="e">
        <f>IF(Data!#REF!="","",Data!#REF!)</f>
        <v>#REF!</v>
      </c>
      <c r="K20" s="106" t="e">
        <f>IF(Data!#REF!="","",Data!#REF!)</f>
        <v>#REF!</v>
      </c>
      <c r="L20" s="106" t="e">
        <f>IF(Data!#REF!="","",Data!#REF!)</f>
        <v>#REF!</v>
      </c>
      <c r="M20" s="106" t="e">
        <f>IF(Data!#REF!="","",Data!#REF!)</f>
        <v>#REF!</v>
      </c>
      <c r="N20" s="106" t="e">
        <f>IF(Data!#REF!="","",Data!#REF!)</f>
        <v>#REF!</v>
      </c>
      <c r="O20" s="106" t="e">
        <f>IF(Data!#REF!="","",Data!#REF!)</f>
        <v>#REF!</v>
      </c>
      <c r="P20" s="106" t="e">
        <f>IF(Data!#REF!="","",Data!#REF!)</f>
        <v>#REF!</v>
      </c>
      <c r="Q20" s="107" t="e">
        <f>IF(Data!#REF!="","",Data!#REF!)</f>
        <v>#REF!</v>
      </c>
      <c r="R20" s="105" t="e">
        <f>IF(Data!#REF!="","",Data!#REF!)</f>
        <v>#REF!</v>
      </c>
      <c r="S20" s="106" t="e">
        <f>IF(Data!#REF!="","",Data!#REF!)</f>
        <v>#REF!</v>
      </c>
      <c r="T20" s="106" t="e">
        <f>IF(Data!#REF!="","",Data!#REF!)</f>
        <v>#REF!</v>
      </c>
      <c r="U20" s="106" t="e">
        <f>IF(Data!#REF!="","",Data!#REF!)</f>
        <v>#REF!</v>
      </c>
      <c r="V20" s="106" t="e">
        <f>IF(Data!#REF!="","",Data!#REF!)</f>
        <v>#REF!</v>
      </c>
      <c r="W20" s="106" t="e">
        <f>IF(Data!#REF!="","",Data!#REF!)</f>
        <v>#REF!</v>
      </c>
      <c r="X20" s="106" t="e">
        <f>IF(Data!#REF!="","",Data!#REF!)</f>
        <v>#REF!</v>
      </c>
      <c r="Y20" s="106" t="e">
        <f>IF(Data!#REF!="","",Data!#REF!)</f>
        <v>#REF!</v>
      </c>
      <c r="Z20" s="106" t="e">
        <f>IF(Data!#REF!="","",Data!#REF!)</f>
        <v>#REF!</v>
      </c>
      <c r="AA20" s="106" t="e">
        <f>IF(Data!#REF!="","",Data!#REF!)</f>
        <v>#REF!</v>
      </c>
      <c r="AB20" s="107" t="e">
        <f>IF(Data!#REF!="","",Data!#REF!)</f>
        <v>#REF!</v>
      </c>
      <c r="AC20" s="105" t="e">
        <f>IF(Data!#REF!="","",Data!#REF!)</f>
        <v>#REF!</v>
      </c>
      <c r="AD20" s="106" t="e">
        <f>IF(Data!#REF!="","",Data!#REF!)</f>
        <v>#REF!</v>
      </c>
      <c r="AE20" s="106" t="e">
        <f>IF(Data!#REF!="","",Data!#REF!)</f>
        <v>#REF!</v>
      </c>
      <c r="AF20" s="106" t="e">
        <f>IF(Data!#REF!="","",Data!#REF!)</f>
        <v>#REF!</v>
      </c>
      <c r="AG20" s="106" t="e">
        <f>IF(Data!#REF!="","",Data!#REF!)</f>
        <v>#REF!</v>
      </c>
      <c r="AH20" s="106" t="e">
        <f>IF(Data!#REF!="","",Data!#REF!)</f>
        <v>#REF!</v>
      </c>
      <c r="AI20" s="106" t="e">
        <f>IF(Data!#REF!="","",Data!#REF!)</f>
        <v>#REF!</v>
      </c>
      <c r="AJ20" s="106" t="e">
        <f>IF(Data!#REF!="","",Data!#REF!)</f>
        <v>#REF!</v>
      </c>
      <c r="AK20" s="106" t="e">
        <f>IF(Data!#REF!="","",Data!#REF!)</f>
        <v>#REF!</v>
      </c>
      <c r="AL20" s="106" t="e">
        <f>IF(Data!#REF!="","",Data!#REF!)</f>
        <v>#REF!</v>
      </c>
      <c r="AM20" s="107" t="e">
        <f>IF(Data!#REF!="","",Data!#REF!)</f>
        <v>#REF!</v>
      </c>
      <c r="AN20" s="105" t="e">
        <f>IF(Data!#REF!="","",Data!#REF!)</f>
        <v>#REF!</v>
      </c>
      <c r="AO20" s="106" t="e">
        <f>IF(Data!#REF!="","",Data!#REF!)</f>
        <v>#REF!</v>
      </c>
      <c r="AP20" s="106" t="e">
        <f>IF(Data!#REF!="","",Data!#REF!)</f>
        <v>#REF!</v>
      </c>
      <c r="AQ20" s="106" t="e">
        <f>IF(Data!#REF!="","",Data!#REF!)</f>
        <v>#REF!</v>
      </c>
      <c r="AR20" s="106" t="e">
        <f>IF(Data!#REF!="","",Data!#REF!)</f>
        <v>#REF!</v>
      </c>
      <c r="AS20" s="106" t="e">
        <f>IF(Data!#REF!="","",Data!#REF!)</f>
        <v>#REF!</v>
      </c>
      <c r="AT20" s="106" t="e">
        <f>IF(Data!#REF!="","",Data!#REF!)</f>
        <v>#REF!</v>
      </c>
      <c r="AU20" s="106" t="e">
        <f>IF(Data!#REF!="","",Data!#REF!)</f>
        <v>#REF!</v>
      </c>
      <c r="AV20" s="106" t="e">
        <f>IF(Data!#REF!="","",Data!#REF!)</f>
        <v>#REF!</v>
      </c>
      <c r="AW20" s="106" t="e">
        <f>IF(Data!#REF!="","",Data!#REF!)</f>
        <v>#REF!</v>
      </c>
      <c r="AX20" s="106" t="e">
        <f>IF(Data!#REF!="","",Data!#REF!)</f>
        <v>#REF!</v>
      </c>
      <c r="AY20" s="107" t="e">
        <f>IF(Data!#REF!="","",Data!#REF!)</f>
        <v>#REF!</v>
      </c>
      <c r="AZ20" s="109" t="e">
        <f>IF(Data!#REF!="","",Data!#REF!)</f>
        <v>#REF!</v>
      </c>
      <c r="BA20"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0"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0"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0"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0"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0"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0"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0"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0"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0"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0"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0"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0"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0"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0"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0"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0"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0"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0"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0"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0"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0"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0"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0"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0"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0"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0"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0"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0"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0"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0"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0"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1" spans="1:84" ht="22.5" customHeight="1" x14ac:dyDescent="0.25">
      <c r="A21" s="41" t="e">
        <f>IF(Data!#REF!="","",Data!#REF!)</f>
        <v>#REF!</v>
      </c>
      <c r="B21" s="42" t="e">
        <f>IF(Data!#REF!="","",Data!#REF!)</f>
        <v>#REF!</v>
      </c>
      <c r="C21" s="42" t="e">
        <f>IF(Data!#REF!="","",Data!#REF!)</f>
        <v>#REF!</v>
      </c>
      <c r="D21" s="90" t="e">
        <f>IF(Data!#REF!="","",Data!#REF!)</f>
        <v>#REF!</v>
      </c>
      <c r="E21" s="42" t="e">
        <f>IF(Data!#REF!="","",Data!#REF!)</f>
        <v>#REF!</v>
      </c>
      <c r="F21" s="99" t="e">
        <f>IF(Data!#REF!="","",Data!#REF!)</f>
        <v>#REF!</v>
      </c>
      <c r="G21" s="105" t="e">
        <f t="shared" si="3"/>
        <v>#REF!</v>
      </c>
      <c r="H21" s="106" t="e">
        <f>IF(Data!#REF!="","",Data!#REF!)</f>
        <v>#REF!</v>
      </c>
      <c r="I21" s="106" t="e">
        <f>IF(Data!#REF!="","",Data!#REF!)</f>
        <v>#REF!</v>
      </c>
      <c r="J21" s="106" t="e">
        <f>IF(Data!#REF!="","",Data!#REF!)</f>
        <v>#REF!</v>
      </c>
      <c r="K21" s="106" t="e">
        <f>IF(Data!#REF!="","",Data!#REF!)</f>
        <v>#REF!</v>
      </c>
      <c r="L21" s="106" t="e">
        <f>IF(Data!#REF!="","",Data!#REF!)</f>
        <v>#REF!</v>
      </c>
      <c r="M21" s="106" t="e">
        <f>IF(Data!#REF!="","",Data!#REF!)</f>
        <v>#REF!</v>
      </c>
      <c r="N21" s="106" t="e">
        <f>IF(Data!#REF!="","",Data!#REF!)</f>
        <v>#REF!</v>
      </c>
      <c r="O21" s="106" t="e">
        <f>IF(Data!#REF!="","",Data!#REF!)</f>
        <v>#REF!</v>
      </c>
      <c r="P21" s="106" t="e">
        <f>IF(Data!#REF!="","",Data!#REF!)</f>
        <v>#REF!</v>
      </c>
      <c r="Q21" s="107" t="e">
        <f>IF(Data!#REF!="","",Data!#REF!)</f>
        <v>#REF!</v>
      </c>
      <c r="R21" s="105" t="e">
        <f>IF(Data!#REF!="","",Data!#REF!)</f>
        <v>#REF!</v>
      </c>
      <c r="S21" s="106" t="e">
        <f>IF(Data!#REF!="","",Data!#REF!)</f>
        <v>#REF!</v>
      </c>
      <c r="T21" s="106" t="e">
        <f>IF(Data!#REF!="","",Data!#REF!)</f>
        <v>#REF!</v>
      </c>
      <c r="U21" s="106" t="e">
        <f>IF(Data!#REF!="","",Data!#REF!)</f>
        <v>#REF!</v>
      </c>
      <c r="V21" s="106" t="e">
        <f>IF(Data!#REF!="","",Data!#REF!)</f>
        <v>#REF!</v>
      </c>
      <c r="W21" s="106" t="e">
        <f>IF(Data!#REF!="","",Data!#REF!)</f>
        <v>#REF!</v>
      </c>
      <c r="X21" s="106" t="e">
        <f>IF(Data!#REF!="","",Data!#REF!)</f>
        <v>#REF!</v>
      </c>
      <c r="Y21" s="106" t="e">
        <f>IF(Data!#REF!="","",Data!#REF!)</f>
        <v>#REF!</v>
      </c>
      <c r="Z21" s="106" t="e">
        <f>IF(Data!#REF!="","",Data!#REF!)</f>
        <v>#REF!</v>
      </c>
      <c r="AA21" s="106" t="e">
        <f>IF(Data!#REF!="","",Data!#REF!)</f>
        <v>#REF!</v>
      </c>
      <c r="AB21" s="107" t="e">
        <f>IF(Data!#REF!="","",Data!#REF!)</f>
        <v>#REF!</v>
      </c>
      <c r="AC21" s="105" t="e">
        <f>IF(Data!#REF!="","",Data!#REF!)</f>
        <v>#REF!</v>
      </c>
      <c r="AD21" s="106" t="e">
        <f>IF(Data!#REF!="","",Data!#REF!)</f>
        <v>#REF!</v>
      </c>
      <c r="AE21" s="106" t="e">
        <f>IF(Data!#REF!="","",Data!#REF!)</f>
        <v>#REF!</v>
      </c>
      <c r="AF21" s="106" t="e">
        <f>IF(Data!#REF!="","",Data!#REF!)</f>
        <v>#REF!</v>
      </c>
      <c r="AG21" s="106" t="e">
        <f>IF(Data!#REF!="","",Data!#REF!)</f>
        <v>#REF!</v>
      </c>
      <c r="AH21" s="106" t="e">
        <f>IF(Data!#REF!="","",Data!#REF!)</f>
        <v>#REF!</v>
      </c>
      <c r="AI21" s="106" t="e">
        <f>IF(Data!#REF!="","",Data!#REF!)</f>
        <v>#REF!</v>
      </c>
      <c r="AJ21" s="106" t="e">
        <f>IF(Data!#REF!="","",Data!#REF!)</f>
        <v>#REF!</v>
      </c>
      <c r="AK21" s="106" t="e">
        <f>IF(Data!#REF!="","",Data!#REF!)</f>
        <v>#REF!</v>
      </c>
      <c r="AL21" s="106" t="e">
        <f>IF(Data!#REF!="","",Data!#REF!)</f>
        <v>#REF!</v>
      </c>
      <c r="AM21" s="107" t="e">
        <f>IF(Data!#REF!="","",Data!#REF!)</f>
        <v>#REF!</v>
      </c>
      <c r="AN21" s="105" t="e">
        <f>IF(Data!#REF!="","",Data!#REF!)</f>
        <v>#REF!</v>
      </c>
      <c r="AO21" s="106" t="e">
        <f>IF(Data!#REF!="","",Data!#REF!)</f>
        <v>#REF!</v>
      </c>
      <c r="AP21" s="106" t="e">
        <f>IF(Data!#REF!="","",Data!#REF!)</f>
        <v>#REF!</v>
      </c>
      <c r="AQ21" s="106" t="e">
        <f>IF(Data!#REF!="","",Data!#REF!)</f>
        <v>#REF!</v>
      </c>
      <c r="AR21" s="106" t="e">
        <f>IF(Data!#REF!="","",Data!#REF!)</f>
        <v>#REF!</v>
      </c>
      <c r="AS21" s="106" t="e">
        <f>IF(Data!#REF!="","",Data!#REF!)</f>
        <v>#REF!</v>
      </c>
      <c r="AT21" s="106" t="e">
        <f>IF(Data!#REF!="","",Data!#REF!)</f>
        <v>#REF!</v>
      </c>
      <c r="AU21" s="106" t="e">
        <f>IF(Data!#REF!="","",Data!#REF!)</f>
        <v>#REF!</v>
      </c>
      <c r="AV21" s="106" t="e">
        <f>IF(Data!#REF!="","",Data!#REF!)</f>
        <v>#REF!</v>
      </c>
      <c r="AW21" s="106" t="e">
        <f>IF(Data!#REF!="","",Data!#REF!)</f>
        <v>#REF!</v>
      </c>
      <c r="AX21" s="106" t="e">
        <f>IF(Data!#REF!="","",Data!#REF!)</f>
        <v>#REF!</v>
      </c>
      <c r="AY21" s="107" t="e">
        <f>IF(Data!#REF!="","",Data!#REF!)</f>
        <v>#REF!</v>
      </c>
      <c r="AZ21" s="109" t="e">
        <f>IF(Data!#REF!="","",Data!#REF!)</f>
        <v>#REF!</v>
      </c>
      <c r="BA21"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1"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1"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1"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1"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1"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1"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1"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1"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1"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1"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1"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1"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1"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1"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1"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1"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1"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1"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1"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1"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1"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1"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1"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1"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1"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1"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1"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1"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1"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1"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1"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2" spans="1:84" ht="22.5" customHeight="1" x14ac:dyDescent="0.25">
      <c r="A22" s="41" t="e">
        <f>IF(Data!#REF!="","",Data!#REF!)</f>
        <v>#REF!</v>
      </c>
      <c r="B22" s="42" t="e">
        <f>IF(Data!#REF!="","",Data!#REF!)</f>
        <v>#REF!</v>
      </c>
      <c r="C22" s="42" t="e">
        <f>IF(Data!#REF!="","",Data!#REF!)</f>
        <v>#REF!</v>
      </c>
      <c r="D22" s="90" t="e">
        <f>IF(Data!#REF!="","",Data!#REF!)</f>
        <v>#REF!</v>
      </c>
      <c r="E22" s="42" t="e">
        <f>IF(Data!#REF!="","",Data!#REF!)</f>
        <v>#REF!</v>
      </c>
      <c r="F22" s="99" t="e">
        <f>IF(Data!#REF!="","",Data!#REF!)</f>
        <v>#REF!</v>
      </c>
      <c r="G22" s="105" t="e">
        <f t="shared" si="3"/>
        <v>#REF!</v>
      </c>
      <c r="H22" s="106" t="e">
        <f>IF(Data!#REF!="","",Data!#REF!)</f>
        <v>#REF!</v>
      </c>
      <c r="I22" s="106" t="e">
        <f>IF(Data!#REF!="","",Data!#REF!)</f>
        <v>#REF!</v>
      </c>
      <c r="J22" s="106" t="e">
        <f>IF(Data!#REF!="","",Data!#REF!)</f>
        <v>#REF!</v>
      </c>
      <c r="K22" s="106" t="e">
        <f>IF(Data!#REF!="","",Data!#REF!)</f>
        <v>#REF!</v>
      </c>
      <c r="L22" s="106" t="e">
        <f>IF(Data!#REF!="","",Data!#REF!)</f>
        <v>#REF!</v>
      </c>
      <c r="M22" s="106" t="e">
        <f>IF(Data!#REF!="","",Data!#REF!)</f>
        <v>#REF!</v>
      </c>
      <c r="N22" s="106" t="e">
        <f>IF(Data!#REF!="","",Data!#REF!)</f>
        <v>#REF!</v>
      </c>
      <c r="O22" s="106" t="e">
        <f>IF(Data!#REF!="","",Data!#REF!)</f>
        <v>#REF!</v>
      </c>
      <c r="P22" s="106" t="e">
        <f>IF(Data!#REF!="","",Data!#REF!)</f>
        <v>#REF!</v>
      </c>
      <c r="Q22" s="107" t="e">
        <f>IF(Data!#REF!="","",Data!#REF!)</f>
        <v>#REF!</v>
      </c>
      <c r="R22" s="105" t="e">
        <f>IF(Data!#REF!="","",Data!#REF!)</f>
        <v>#REF!</v>
      </c>
      <c r="S22" s="106" t="e">
        <f>IF(Data!#REF!="","",Data!#REF!)</f>
        <v>#REF!</v>
      </c>
      <c r="T22" s="106" t="e">
        <f>IF(Data!#REF!="","",Data!#REF!)</f>
        <v>#REF!</v>
      </c>
      <c r="U22" s="106" t="e">
        <f>IF(Data!#REF!="","",Data!#REF!)</f>
        <v>#REF!</v>
      </c>
      <c r="V22" s="106" t="e">
        <f>IF(Data!#REF!="","",Data!#REF!)</f>
        <v>#REF!</v>
      </c>
      <c r="W22" s="106" t="e">
        <f>IF(Data!#REF!="","",Data!#REF!)</f>
        <v>#REF!</v>
      </c>
      <c r="X22" s="106" t="e">
        <f>IF(Data!#REF!="","",Data!#REF!)</f>
        <v>#REF!</v>
      </c>
      <c r="Y22" s="106" t="e">
        <f>IF(Data!#REF!="","",Data!#REF!)</f>
        <v>#REF!</v>
      </c>
      <c r="Z22" s="106" t="e">
        <f>IF(Data!#REF!="","",Data!#REF!)</f>
        <v>#REF!</v>
      </c>
      <c r="AA22" s="106" t="e">
        <f>IF(Data!#REF!="","",Data!#REF!)</f>
        <v>#REF!</v>
      </c>
      <c r="AB22" s="107" t="e">
        <f>IF(Data!#REF!="","",Data!#REF!)</f>
        <v>#REF!</v>
      </c>
      <c r="AC22" s="105" t="e">
        <f>IF(Data!#REF!="","",Data!#REF!)</f>
        <v>#REF!</v>
      </c>
      <c r="AD22" s="106" t="e">
        <f>IF(Data!#REF!="","",Data!#REF!)</f>
        <v>#REF!</v>
      </c>
      <c r="AE22" s="106" t="e">
        <f>IF(Data!#REF!="","",Data!#REF!)</f>
        <v>#REF!</v>
      </c>
      <c r="AF22" s="106" t="e">
        <f>IF(Data!#REF!="","",Data!#REF!)</f>
        <v>#REF!</v>
      </c>
      <c r="AG22" s="106" t="e">
        <f>IF(Data!#REF!="","",Data!#REF!)</f>
        <v>#REF!</v>
      </c>
      <c r="AH22" s="106" t="e">
        <f>IF(Data!#REF!="","",Data!#REF!)</f>
        <v>#REF!</v>
      </c>
      <c r="AI22" s="106" t="e">
        <f>IF(Data!#REF!="","",Data!#REF!)</f>
        <v>#REF!</v>
      </c>
      <c r="AJ22" s="106" t="e">
        <f>IF(Data!#REF!="","",Data!#REF!)</f>
        <v>#REF!</v>
      </c>
      <c r="AK22" s="106" t="e">
        <f>IF(Data!#REF!="","",Data!#REF!)</f>
        <v>#REF!</v>
      </c>
      <c r="AL22" s="106" t="e">
        <f>IF(Data!#REF!="","",Data!#REF!)</f>
        <v>#REF!</v>
      </c>
      <c r="AM22" s="107" t="e">
        <f>IF(Data!#REF!="","",Data!#REF!)</f>
        <v>#REF!</v>
      </c>
      <c r="AN22" s="105" t="e">
        <f>IF(Data!#REF!="","",Data!#REF!)</f>
        <v>#REF!</v>
      </c>
      <c r="AO22" s="106" t="e">
        <f>IF(Data!#REF!="","",Data!#REF!)</f>
        <v>#REF!</v>
      </c>
      <c r="AP22" s="106" t="e">
        <f>IF(Data!#REF!="","",Data!#REF!)</f>
        <v>#REF!</v>
      </c>
      <c r="AQ22" s="106" t="e">
        <f>IF(Data!#REF!="","",Data!#REF!)</f>
        <v>#REF!</v>
      </c>
      <c r="AR22" s="106" t="e">
        <f>IF(Data!#REF!="","",Data!#REF!)</f>
        <v>#REF!</v>
      </c>
      <c r="AS22" s="106" t="e">
        <f>IF(Data!#REF!="","",Data!#REF!)</f>
        <v>#REF!</v>
      </c>
      <c r="AT22" s="106" t="e">
        <f>IF(Data!#REF!="","",Data!#REF!)</f>
        <v>#REF!</v>
      </c>
      <c r="AU22" s="106" t="e">
        <f>IF(Data!#REF!="","",Data!#REF!)</f>
        <v>#REF!</v>
      </c>
      <c r="AV22" s="106" t="e">
        <f>IF(Data!#REF!="","",Data!#REF!)</f>
        <v>#REF!</v>
      </c>
      <c r="AW22" s="106" t="e">
        <f>IF(Data!#REF!="","",Data!#REF!)</f>
        <v>#REF!</v>
      </c>
      <c r="AX22" s="106" t="e">
        <f>IF(Data!#REF!="","",Data!#REF!)</f>
        <v>#REF!</v>
      </c>
      <c r="AY22" s="107" t="e">
        <f>IF(Data!#REF!="","",Data!#REF!)</f>
        <v>#REF!</v>
      </c>
      <c r="AZ22" s="109" t="e">
        <f>IF(Data!#REF!="","",Data!#REF!)</f>
        <v>#REF!</v>
      </c>
      <c r="BA22"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2"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2"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2"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2"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2"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2"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2"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2"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2"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2"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2"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2"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2"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2"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2"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2"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2"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2"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2"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2"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2"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2"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2"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2"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2"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2"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2"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2"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2"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2"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2"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3" spans="1:84" ht="22.5" customHeight="1" x14ac:dyDescent="0.25">
      <c r="A23" s="41" t="e">
        <f>IF(Data!#REF!="","",Data!#REF!)</f>
        <v>#REF!</v>
      </c>
      <c r="B23" s="42" t="e">
        <f>IF(Data!#REF!="","",Data!#REF!)</f>
        <v>#REF!</v>
      </c>
      <c r="C23" s="42" t="e">
        <f>IF(Data!#REF!="","",Data!#REF!)</f>
        <v>#REF!</v>
      </c>
      <c r="D23" s="90" t="e">
        <f>IF(Data!#REF!="","",Data!#REF!)</f>
        <v>#REF!</v>
      </c>
      <c r="E23" s="42" t="e">
        <f>IF(Data!#REF!="","",Data!#REF!)</f>
        <v>#REF!</v>
      </c>
      <c r="F23" s="99" t="e">
        <f>IF(Data!#REF!="","",Data!#REF!)</f>
        <v>#REF!</v>
      </c>
      <c r="G23" s="105" t="e">
        <f t="shared" si="3"/>
        <v>#REF!</v>
      </c>
      <c r="H23" s="106" t="e">
        <f>IF(Data!#REF!="","",Data!#REF!)</f>
        <v>#REF!</v>
      </c>
      <c r="I23" s="106" t="e">
        <f>IF(Data!#REF!="","",Data!#REF!)</f>
        <v>#REF!</v>
      </c>
      <c r="J23" s="106" t="e">
        <f>IF(Data!#REF!="","",Data!#REF!)</f>
        <v>#REF!</v>
      </c>
      <c r="K23" s="106" t="e">
        <f>IF(Data!#REF!="","",Data!#REF!)</f>
        <v>#REF!</v>
      </c>
      <c r="L23" s="106" t="e">
        <f>IF(Data!#REF!="","",Data!#REF!)</f>
        <v>#REF!</v>
      </c>
      <c r="M23" s="106" t="e">
        <f>IF(Data!#REF!="","",Data!#REF!)</f>
        <v>#REF!</v>
      </c>
      <c r="N23" s="106" t="e">
        <f>IF(Data!#REF!="","",Data!#REF!)</f>
        <v>#REF!</v>
      </c>
      <c r="O23" s="106" t="e">
        <f>IF(Data!#REF!="","",Data!#REF!)</f>
        <v>#REF!</v>
      </c>
      <c r="P23" s="106" t="e">
        <f>IF(Data!#REF!="","",Data!#REF!)</f>
        <v>#REF!</v>
      </c>
      <c r="Q23" s="107" t="e">
        <f>IF(Data!#REF!="","",Data!#REF!)</f>
        <v>#REF!</v>
      </c>
      <c r="R23" s="105" t="e">
        <f>IF(Data!#REF!="","",Data!#REF!)</f>
        <v>#REF!</v>
      </c>
      <c r="S23" s="106" t="e">
        <f>IF(Data!#REF!="","",Data!#REF!)</f>
        <v>#REF!</v>
      </c>
      <c r="T23" s="106" t="e">
        <f>IF(Data!#REF!="","",Data!#REF!)</f>
        <v>#REF!</v>
      </c>
      <c r="U23" s="106" t="e">
        <f>IF(Data!#REF!="","",Data!#REF!)</f>
        <v>#REF!</v>
      </c>
      <c r="V23" s="106" t="e">
        <f>IF(Data!#REF!="","",Data!#REF!)</f>
        <v>#REF!</v>
      </c>
      <c r="W23" s="106" t="e">
        <f>IF(Data!#REF!="","",Data!#REF!)</f>
        <v>#REF!</v>
      </c>
      <c r="X23" s="106" t="e">
        <f>IF(Data!#REF!="","",Data!#REF!)</f>
        <v>#REF!</v>
      </c>
      <c r="Y23" s="106" t="e">
        <f>IF(Data!#REF!="","",Data!#REF!)</f>
        <v>#REF!</v>
      </c>
      <c r="Z23" s="106" t="e">
        <f>IF(Data!#REF!="","",Data!#REF!)</f>
        <v>#REF!</v>
      </c>
      <c r="AA23" s="106" t="e">
        <f>IF(Data!#REF!="","",Data!#REF!)</f>
        <v>#REF!</v>
      </c>
      <c r="AB23" s="107" t="e">
        <f>IF(Data!#REF!="","",Data!#REF!)</f>
        <v>#REF!</v>
      </c>
      <c r="AC23" s="105" t="e">
        <f>IF(Data!#REF!="","",Data!#REF!)</f>
        <v>#REF!</v>
      </c>
      <c r="AD23" s="106" t="e">
        <f>IF(Data!#REF!="","",Data!#REF!)</f>
        <v>#REF!</v>
      </c>
      <c r="AE23" s="106" t="e">
        <f>IF(Data!#REF!="","",Data!#REF!)</f>
        <v>#REF!</v>
      </c>
      <c r="AF23" s="106" t="e">
        <f>IF(Data!#REF!="","",Data!#REF!)</f>
        <v>#REF!</v>
      </c>
      <c r="AG23" s="106" t="e">
        <f>IF(Data!#REF!="","",Data!#REF!)</f>
        <v>#REF!</v>
      </c>
      <c r="AH23" s="106" t="e">
        <f>IF(Data!#REF!="","",Data!#REF!)</f>
        <v>#REF!</v>
      </c>
      <c r="AI23" s="106" t="e">
        <f>IF(Data!#REF!="","",Data!#REF!)</f>
        <v>#REF!</v>
      </c>
      <c r="AJ23" s="106" t="e">
        <f>IF(Data!#REF!="","",Data!#REF!)</f>
        <v>#REF!</v>
      </c>
      <c r="AK23" s="106" t="e">
        <f>IF(Data!#REF!="","",Data!#REF!)</f>
        <v>#REF!</v>
      </c>
      <c r="AL23" s="106" t="e">
        <f>IF(Data!#REF!="","",Data!#REF!)</f>
        <v>#REF!</v>
      </c>
      <c r="AM23" s="107" t="e">
        <f>IF(Data!#REF!="","",Data!#REF!)</f>
        <v>#REF!</v>
      </c>
      <c r="AN23" s="105" t="e">
        <f>IF(Data!#REF!="","",Data!#REF!)</f>
        <v>#REF!</v>
      </c>
      <c r="AO23" s="106" t="e">
        <f>IF(Data!#REF!="","",Data!#REF!)</f>
        <v>#REF!</v>
      </c>
      <c r="AP23" s="106" t="e">
        <f>IF(Data!#REF!="","",Data!#REF!)</f>
        <v>#REF!</v>
      </c>
      <c r="AQ23" s="106" t="e">
        <f>IF(Data!#REF!="","",Data!#REF!)</f>
        <v>#REF!</v>
      </c>
      <c r="AR23" s="106" t="e">
        <f>IF(Data!#REF!="","",Data!#REF!)</f>
        <v>#REF!</v>
      </c>
      <c r="AS23" s="106" t="e">
        <f>IF(Data!#REF!="","",Data!#REF!)</f>
        <v>#REF!</v>
      </c>
      <c r="AT23" s="106" t="e">
        <f>IF(Data!#REF!="","",Data!#REF!)</f>
        <v>#REF!</v>
      </c>
      <c r="AU23" s="106" t="e">
        <f>IF(Data!#REF!="","",Data!#REF!)</f>
        <v>#REF!</v>
      </c>
      <c r="AV23" s="106" t="e">
        <f>IF(Data!#REF!="","",Data!#REF!)</f>
        <v>#REF!</v>
      </c>
      <c r="AW23" s="106" t="e">
        <f>IF(Data!#REF!="","",Data!#REF!)</f>
        <v>#REF!</v>
      </c>
      <c r="AX23" s="106" t="e">
        <f>IF(Data!#REF!="","",Data!#REF!)</f>
        <v>#REF!</v>
      </c>
      <c r="AY23" s="107" t="e">
        <f>IF(Data!#REF!="","",Data!#REF!)</f>
        <v>#REF!</v>
      </c>
      <c r="AZ23" s="109" t="e">
        <f>IF(Data!#REF!="","",Data!#REF!)</f>
        <v>#REF!</v>
      </c>
      <c r="BA23"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3"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3"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3"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3"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3"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3"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3"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3"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3"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3"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3"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3"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3"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3"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3"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3"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3"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3"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3"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3"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3"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3"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3"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3"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3"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3"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3"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3"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3"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3"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3"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4" spans="1:84" ht="22.5" customHeight="1" x14ac:dyDescent="0.25">
      <c r="A24" s="41" t="e">
        <f>IF(Data!#REF!="","",Data!#REF!)</f>
        <v>#REF!</v>
      </c>
      <c r="B24" s="42" t="e">
        <f>IF(Data!#REF!="","",Data!#REF!)</f>
        <v>#REF!</v>
      </c>
      <c r="C24" s="42" t="e">
        <f>IF(Data!#REF!="","",Data!#REF!)</f>
        <v>#REF!</v>
      </c>
      <c r="D24" s="90" t="e">
        <f>IF(Data!#REF!="","",Data!#REF!)</f>
        <v>#REF!</v>
      </c>
      <c r="E24" s="42" t="e">
        <f>IF(Data!#REF!="","",Data!#REF!)</f>
        <v>#REF!</v>
      </c>
      <c r="F24" s="99" t="e">
        <f>IF(Data!#REF!="","",Data!#REF!)</f>
        <v>#REF!</v>
      </c>
      <c r="G24" s="105" t="e">
        <f t="shared" si="3"/>
        <v>#REF!</v>
      </c>
      <c r="H24" s="106" t="e">
        <f>IF(Data!#REF!="","",Data!#REF!)</f>
        <v>#REF!</v>
      </c>
      <c r="I24" s="106" t="e">
        <f>IF(Data!#REF!="","",Data!#REF!)</f>
        <v>#REF!</v>
      </c>
      <c r="J24" s="106" t="e">
        <f>IF(Data!#REF!="","",Data!#REF!)</f>
        <v>#REF!</v>
      </c>
      <c r="K24" s="106" t="e">
        <f>IF(Data!#REF!="","",Data!#REF!)</f>
        <v>#REF!</v>
      </c>
      <c r="L24" s="106" t="e">
        <f>IF(Data!#REF!="","",Data!#REF!)</f>
        <v>#REF!</v>
      </c>
      <c r="M24" s="106" t="e">
        <f>IF(Data!#REF!="","",Data!#REF!)</f>
        <v>#REF!</v>
      </c>
      <c r="N24" s="106" t="e">
        <f>IF(Data!#REF!="","",Data!#REF!)</f>
        <v>#REF!</v>
      </c>
      <c r="O24" s="106" t="e">
        <f>IF(Data!#REF!="","",Data!#REF!)</f>
        <v>#REF!</v>
      </c>
      <c r="P24" s="106" t="e">
        <f>IF(Data!#REF!="","",Data!#REF!)</f>
        <v>#REF!</v>
      </c>
      <c r="Q24" s="107" t="e">
        <f>IF(Data!#REF!="","",Data!#REF!)</f>
        <v>#REF!</v>
      </c>
      <c r="R24" s="105" t="e">
        <f>IF(Data!#REF!="","",Data!#REF!)</f>
        <v>#REF!</v>
      </c>
      <c r="S24" s="106" t="e">
        <f>IF(Data!#REF!="","",Data!#REF!)</f>
        <v>#REF!</v>
      </c>
      <c r="T24" s="106" t="e">
        <f>IF(Data!#REF!="","",Data!#REF!)</f>
        <v>#REF!</v>
      </c>
      <c r="U24" s="106" t="e">
        <f>IF(Data!#REF!="","",Data!#REF!)</f>
        <v>#REF!</v>
      </c>
      <c r="V24" s="106" t="e">
        <f>IF(Data!#REF!="","",Data!#REF!)</f>
        <v>#REF!</v>
      </c>
      <c r="W24" s="106" t="e">
        <f>IF(Data!#REF!="","",Data!#REF!)</f>
        <v>#REF!</v>
      </c>
      <c r="X24" s="106" t="e">
        <f>IF(Data!#REF!="","",Data!#REF!)</f>
        <v>#REF!</v>
      </c>
      <c r="Y24" s="106" t="e">
        <f>IF(Data!#REF!="","",Data!#REF!)</f>
        <v>#REF!</v>
      </c>
      <c r="Z24" s="106" t="e">
        <f>IF(Data!#REF!="","",Data!#REF!)</f>
        <v>#REF!</v>
      </c>
      <c r="AA24" s="106" t="e">
        <f>IF(Data!#REF!="","",Data!#REF!)</f>
        <v>#REF!</v>
      </c>
      <c r="AB24" s="107" t="e">
        <f>IF(Data!#REF!="","",Data!#REF!)</f>
        <v>#REF!</v>
      </c>
      <c r="AC24" s="105" t="e">
        <f>IF(Data!#REF!="","",Data!#REF!)</f>
        <v>#REF!</v>
      </c>
      <c r="AD24" s="106" t="e">
        <f>IF(Data!#REF!="","",Data!#REF!)</f>
        <v>#REF!</v>
      </c>
      <c r="AE24" s="106" t="e">
        <f>IF(Data!#REF!="","",Data!#REF!)</f>
        <v>#REF!</v>
      </c>
      <c r="AF24" s="106" t="e">
        <f>IF(Data!#REF!="","",Data!#REF!)</f>
        <v>#REF!</v>
      </c>
      <c r="AG24" s="106" t="e">
        <f>IF(Data!#REF!="","",Data!#REF!)</f>
        <v>#REF!</v>
      </c>
      <c r="AH24" s="106" t="e">
        <f>IF(Data!#REF!="","",Data!#REF!)</f>
        <v>#REF!</v>
      </c>
      <c r="AI24" s="106" t="e">
        <f>IF(Data!#REF!="","",Data!#REF!)</f>
        <v>#REF!</v>
      </c>
      <c r="AJ24" s="106" t="e">
        <f>IF(Data!#REF!="","",Data!#REF!)</f>
        <v>#REF!</v>
      </c>
      <c r="AK24" s="106" t="e">
        <f>IF(Data!#REF!="","",Data!#REF!)</f>
        <v>#REF!</v>
      </c>
      <c r="AL24" s="106" t="e">
        <f>IF(Data!#REF!="","",Data!#REF!)</f>
        <v>#REF!</v>
      </c>
      <c r="AM24" s="107" t="e">
        <f>IF(Data!#REF!="","",Data!#REF!)</f>
        <v>#REF!</v>
      </c>
      <c r="AN24" s="105" t="e">
        <f>IF(Data!#REF!="","",Data!#REF!)</f>
        <v>#REF!</v>
      </c>
      <c r="AO24" s="106" t="e">
        <f>IF(Data!#REF!="","",Data!#REF!)</f>
        <v>#REF!</v>
      </c>
      <c r="AP24" s="106" t="e">
        <f>IF(Data!#REF!="","",Data!#REF!)</f>
        <v>#REF!</v>
      </c>
      <c r="AQ24" s="106" t="e">
        <f>IF(Data!#REF!="","",Data!#REF!)</f>
        <v>#REF!</v>
      </c>
      <c r="AR24" s="106" t="e">
        <f>IF(Data!#REF!="","",Data!#REF!)</f>
        <v>#REF!</v>
      </c>
      <c r="AS24" s="106" t="e">
        <f>IF(Data!#REF!="","",Data!#REF!)</f>
        <v>#REF!</v>
      </c>
      <c r="AT24" s="106" t="e">
        <f>IF(Data!#REF!="","",Data!#REF!)</f>
        <v>#REF!</v>
      </c>
      <c r="AU24" s="106" t="e">
        <f>IF(Data!#REF!="","",Data!#REF!)</f>
        <v>#REF!</v>
      </c>
      <c r="AV24" s="106" t="e">
        <f>IF(Data!#REF!="","",Data!#REF!)</f>
        <v>#REF!</v>
      </c>
      <c r="AW24" s="106" t="e">
        <f>IF(Data!#REF!="","",Data!#REF!)</f>
        <v>#REF!</v>
      </c>
      <c r="AX24" s="106" t="e">
        <f>IF(Data!#REF!="","",Data!#REF!)</f>
        <v>#REF!</v>
      </c>
      <c r="AY24" s="107" t="e">
        <f>IF(Data!#REF!="","",Data!#REF!)</f>
        <v>#REF!</v>
      </c>
      <c r="AZ24" s="109" t="e">
        <f>IF(Data!#REF!="","",Data!#REF!)</f>
        <v>#REF!</v>
      </c>
      <c r="BA24"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4"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4"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4"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4"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4"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4"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4"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4"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4"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4"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4"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4"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4"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4"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4"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4"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4"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4"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4"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4"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4"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4"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4"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4"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4"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4"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4"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4"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4"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4"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4"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5" spans="1:84" ht="22.5" customHeight="1" x14ac:dyDescent="0.25">
      <c r="A25" s="41" t="e">
        <f>IF(Data!#REF!="","",Data!#REF!)</f>
        <v>#REF!</v>
      </c>
      <c r="B25" s="42" t="e">
        <f>IF(Data!#REF!="","",Data!#REF!)</f>
        <v>#REF!</v>
      </c>
      <c r="C25" s="42" t="e">
        <f>IF(Data!#REF!="","",Data!#REF!)</f>
        <v>#REF!</v>
      </c>
      <c r="D25" s="90" t="e">
        <f>IF(Data!#REF!="","",Data!#REF!)</f>
        <v>#REF!</v>
      </c>
      <c r="E25" s="42" t="e">
        <f>IF(Data!#REF!="","",Data!#REF!)</f>
        <v>#REF!</v>
      </c>
      <c r="F25" s="99" t="e">
        <f>IF(Data!#REF!="","",Data!#REF!)</f>
        <v>#REF!</v>
      </c>
      <c r="G25" s="105" t="e">
        <f t="shared" si="2"/>
        <v>#REF!</v>
      </c>
      <c r="H25" s="106" t="e">
        <f>IF(Data!#REF!="","",Data!#REF!)</f>
        <v>#REF!</v>
      </c>
      <c r="I25" s="106" t="e">
        <f>IF(Data!#REF!="","",Data!#REF!)</f>
        <v>#REF!</v>
      </c>
      <c r="J25" s="106" t="e">
        <f>IF(Data!#REF!="","",Data!#REF!)</f>
        <v>#REF!</v>
      </c>
      <c r="K25" s="106" t="e">
        <f>IF(Data!#REF!="","",Data!#REF!)</f>
        <v>#REF!</v>
      </c>
      <c r="L25" s="106" t="e">
        <f>IF(Data!#REF!="","",Data!#REF!)</f>
        <v>#REF!</v>
      </c>
      <c r="M25" s="106" t="e">
        <f>IF(Data!#REF!="","",Data!#REF!)</f>
        <v>#REF!</v>
      </c>
      <c r="N25" s="106" t="e">
        <f>IF(Data!#REF!="","",Data!#REF!)</f>
        <v>#REF!</v>
      </c>
      <c r="O25" s="106" t="e">
        <f>IF(Data!#REF!="","",Data!#REF!)</f>
        <v>#REF!</v>
      </c>
      <c r="P25" s="106" t="e">
        <f>IF(Data!#REF!="","",Data!#REF!)</f>
        <v>#REF!</v>
      </c>
      <c r="Q25" s="107" t="e">
        <f>IF(Data!#REF!="","",Data!#REF!)</f>
        <v>#REF!</v>
      </c>
      <c r="R25" s="105" t="e">
        <f>IF(Data!#REF!="","",Data!#REF!)</f>
        <v>#REF!</v>
      </c>
      <c r="S25" s="106" t="e">
        <f>IF(Data!#REF!="","",Data!#REF!)</f>
        <v>#REF!</v>
      </c>
      <c r="T25" s="106" t="e">
        <f>IF(Data!#REF!="","",Data!#REF!)</f>
        <v>#REF!</v>
      </c>
      <c r="U25" s="106" t="e">
        <f>IF(Data!#REF!="","",Data!#REF!)</f>
        <v>#REF!</v>
      </c>
      <c r="V25" s="106" t="e">
        <f>IF(Data!#REF!="","",Data!#REF!)</f>
        <v>#REF!</v>
      </c>
      <c r="W25" s="106" t="e">
        <f>IF(Data!#REF!="","",Data!#REF!)</f>
        <v>#REF!</v>
      </c>
      <c r="X25" s="106" t="e">
        <f>IF(Data!#REF!="","",Data!#REF!)</f>
        <v>#REF!</v>
      </c>
      <c r="Y25" s="106" t="e">
        <f>IF(Data!#REF!="","",Data!#REF!)</f>
        <v>#REF!</v>
      </c>
      <c r="Z25" s="106" t="e">
        <f>IF(Data!#REF!="","",Data!#REF!)</f>
        <v>#REF!</v>
      </c>
      <c r="AA25" s="106" t="e">
        <f>IF(Data!#REF!="","",Data!#REF!)</f>
        <v>#REF!</v>
      </c>
      <c r="AB25" s="107" t="e">
        <f>IF(Data!#REF!="","",Data!#REF!)</f>
        <v>#REF!</v>
      </c>
      <c r="AC25" s="105" t="e">
        <f>IF(Data!#REF!="","",Data!#REF!)</f>
        <v>#REF!</v>
      </c>
      <c r="AD25" s="106" t="e">
        <f>IF(Data!#REF!="","",Data!#REF!)</f>
        <v>#REF!</v>
      </c>
      <c r="AE25" s="106" t="e">
        <f>IF(Data!#REF!="","",Data!#REF!)</f>
        <v>#REF!</v>
      </c>
      <c r="AF25" s="106" t="e">
        <f>IF(Data!#REF!="","",Data!#REF!)</f>
        <v>#REF!</v>
      </c>
      <c r="AG25" s="106" t="e">
        <f>IF(Data!#REF!="","",Data!#REF!)</f>
        <v>#REF!</v>
      </c>
      <c r="AH25" s="106" t="e">
        <f>IF(Data!#REF!="","",Data!#REF!)</f>
        <v>#REF!</v>
      </c>
      <c r="AI25" s="106" t="e">
        <f>IF(Data!#REF!="","",Data!#REF!)</f>
        <v>#REF!</v>
      </c>
      <c r="AJ25" s="106" t="e">
        <f>IF(Data!#REF!="","",Data!#REF!)</f>
        <v>#REF!</v>
      </c>
      <c r="AK25" s="106" t="e">
        <f>IF(Data!#REF!="","",Data!#REF!)</f>
        <v>#REF!</v>
      </c>
      <c r="AL25" s="106" t="e">
        <f>IF(Data!#REF!="","",Data!#REF!)</f>
        <v>#REF!</v>
      </c>
      <c r="AM25" s="107" t="e">
        <f>IF(Data!#REF!="","",Data!#REF!)</f>
        <v>#REF!</v>
      </c>
      <c r="AN25" s="105" t="e">
        <f>IF(Data!#REF!="","",Data!#REF!)</f>
        <v>#REF!</v>
      </c>
      <c r="AO25" s="106" t="e">
        <f>IF(Data!#REF!="","",Data!#REF!)</f>
        <v>#REF!</v>
      </c>
      <c r="AP25" s="106" t="e">
        <f>IF(Data!#REF!="","",Data!#REF!)</f>
        <v>#REF!</v>
      </c>
      <c r="AQ25" s="106" t="e">
        <f>IF(Data!#REF!="","",Data!#REF!)</f>
        <v>#REF!</v>
      </c>
      <c r="AR25" s="106" t="e">
        <f>IF(Data!#REF!="","",Data!#REF!)</f>
        <v>#REF!</v>
      </c>
      <c r="AS25" s="106" t="e">
        <f>IF(Data!#REF!="","",Data!#REF!)</f>
        <v>#REF!</v>
      </c>
      <c r="AT25" s="106" t="e">
        <f>IF(Data!#REF!="","",Data!#REF!)</f>
        <v>#REF!</v>
      </c>
      <c r="AU25" s="106" t="e">
        <f>IF(Data!#REF!="","",Data!#REF!)</f>
        <v>#REF!</v>
      </c>
      <c r="AV25" s="106" t="e">
        <f>IF(Data!#REF!="","",Data!#REF!)</f>
        <v>#REF!</v>
      </c>
      <c r="AW25" s="106" t="e">
        <f>IF(Data!#REF!="","",Data!#REF!)</f>
        <v>#REF!</v>
      </c>
      <c r="AX25" s="106" t="e">
        <f>IF(Data!#REF!="","",Data!#REF!)</f>
        <v>#REF!</v>
      </c>
      <c r="AY25" s="107" t="e">
        <f>IF(Data!#REF!="","",Data!#REF!)</f>
        <v>#REF!</v>
      </c>
      <c r="AZ25" s="109" t="e">
        <f>IF(Data!#REF!="","",Data!#REF!)</f>
        <v>#REF!</v>
      </c>
      <c r="BA25"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5"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5"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5"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5"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5"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5"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5"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5"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5"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5"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5"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5"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5"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5"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5"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5"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5"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5"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5"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5"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5"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5"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5"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5"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5"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5"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5"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5"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5"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5"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5"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6" spans="1:84" ht="22.5" customHeight="1" x14ac:dyDescent="0.25">
      <c r="A26" s="41" t="e">
        <f>IF(Data!#REF!="","",Data!#REF!)</f>
        <v>#REF!</v>
      </c>
      <c r="B26" s="42" t="e">
        <f>IF(Data!#REF!="","",Data!#REF!)</f>
        <v>#REF!</v>
      </c>
      <c r="C26" s="42" t="e">
        <f>IF(Data!#REF!="","",Data!#REF!)</f>
        <v>#REF!</v>
      </c>
      <c r="D26" s="90" t="e">
        <f>IF(Data!#REF!="","",Data!#REF!)</f>
        <v>#REF!</v>
      </c>
      <c r="E26" s="42" t="e">
        <f>IF(Data!#REF!="","",Data!#REF!)</f>
        <v>#REF!</v>
      </c>
      <c r="F26" s="99" t="e">
        <f>IF(Data!#REF!="","",Data!#REF!)</f>
        <v>#REF!</v>
      </c>
      <c r="G26" s="105" t="e">
        <f t="shared" si="2"/>
        <v>#REF!</v>
      </c>
      <c r="H26" s="106" t="e">
        <f>IF(Data!#REF!="","",Data!#REF!)</f>
        <v>#REF!</v>
      </c>
      <c r="I26" s="106" t="e">
        <f>IF(Data!#REF!="","",Data!#REF!)</f>
        <v>#REF!</v>
      </c>
      <c r="J26" s="106" t="e">
        <f>IF(Data!#REF!="","",Data!#REF!)</f>
        <v>#REF!</v>
      </c>
      <c r="K26" s="106" t="e">
        <f>IF(Data!#REF!="","",Data!#REF!)</f>
        <v>#REF!</v>
      </c>
      <c r="L26" s="106" t="e">
        <f>IF(Data!#REF!="","",Data!#REF!)</f>
        <v>#REF!</v>
      </c>
      <c r="M26" s="106" t="e">
        <f>IF(Data!#REF!="","",Data!#REF!)</f>
        <v>#REF!</v>
      </c>
      <c r="N26" s="106" t="e">
        <f>IF(Data!#REF!="","",Data!#REF!)</f>
        <v>#REF!</v>
      </c>
      <c r="O26" s="106" t="e">
        <f>IF(Data!#REF!="","",Data!#REF!)</f>
        <v>#REF!</v>
      </c>
      <c r="P26" s="106" t="e">
        <f>IF(Data!#REF!="","",Data!#REF!)</f>
        <v>#REF!</v>
      </c>
      <c r="Q26" s="107" t="e">
        <f>IF(Data!#REF!="","",Data!#REF!)</f>
        <v>#REF!</v>
      </c>
      <c r="R26" s="105" t="e">
        <f>IF(Data!#REF!="","",Data!#REF!)</f>
        <v>#REF!</v>
      </c>
      <c r="S26" s="106" t="e">
        <f>IF(Data!#REF!="","",Data!#REF!)</f>
        <v>#REF!</v>
      </c>
      <c r="T26" s="106" t="e">
        <f>IF(Data!#REF!="","",Data!#REF!)</f>
        <v>#REF!</v>
      </c>
      <c r="U26" s="106" t="e">
        <f>IF(Data!#REF!="","",Data!#REF!)</f>
        <v>#REF!</v>
      </c>
      <c r="V26" s="106" t="e">
        <f>IF(Data!#REF!="","",Data!#REF!)</f>
        <v>#REF!</v>
      </c>
      <c r="W26" s="106" t="e">
        <f>IF(Data!#REF!="","",Data!#REF!)</f>
        <v>#REF!</v>
      </c>
      <c r="X26" s="106" t="e">
        <f>IF(Data!#REF!="","",Data!#REF!)</f>
        <v>#REF!</v>
      </c>
      <c r="Y26" s="106" t="e">
        <f>IF(Data!#REF!="","",Data!#REF!)</f>
        <v>#REF!</v>
      </c>
      <c r="Z26" s="106" t="e">
        <f>IF(Data!#REF!="","",Data!#REF!)</f>
        <v>#REF!</v>
      </c>
      <c r="AA26" s="106" t="e">
        <f>IF(Data!#REF!="","",Data!#REF!)</f>
        <v>#REF!</v>
      </c>
      <c r="AB26" s="107" t="e">
        <f>IF(Data!#REF!="","",Data!#REF!)</f>
        <v>#REF!</v>
      </c>
      <c r="AC26" s="105" t="e">
        <f>IF(Data!#REF!="","",Data!#REF!)</f>
        <v>#REF!</v>
      </c>
      <c r="AD26" s="106" t="e">
        <f>IF(Data!#REF!="","",Data!#REF!)</f>
        <v>#REF!</v>
      </c>
      <c r="AE26" s="106" t="e">
        <f>IF(Data!#REF!="","",Data!#REF!)</f>
        <v>#REF!</v>
      </c>
      <c r="AF26" s="106" t="e">
        <f>IF(Data!#REF!="","",Data!#REF!)</f>
        <v>#REF!</v>
      </c>
      <c r="AG26" s="106" t="e">
        <f>IF(Data!#REF!="","",Data!#REF!)</f>
        <v>#REF!</v>
      </c>
      <c r="AH26" s="106" t="e">
        <f>IF(Data!#REF!="","",Data!#REF!)</f>
        <v>#REF!</v>
      </c>
      <c r="AI26" s="106" t="e">
        <f>IF(Data!#REF!="","",Data!#REF!)</f>
        <v>#REF!</v>
      </c>
      <c r="AJ26" s="106" t="e">
        <f>IF(Data!#REF!="","",Data!#REF!)</f>
        <v>#REF!</v>
      </c>
      <c r="AK26" s="106" t="e">
        <f>IF(Data!#REF!="","",Data!#REF!)</f>
        <v>#REF!</v>
      </c>
      <c r="AL26" s="106" t="e">
        <f>IF(Data!#REF!="","",Data!#REF!)</f>
        <v>#REF!</v>
      </c>
      <c r="AM26" s="107" t="e">
        <f>IF(Data!#REF!="","",Data!#REF!)</f>
        <v>#REF!</v>
      </c>
      <c r="AN26" s="105" t="e">
        <f>IF(Data!#REF!="","",Data!#REF!)</f>
        <v>#REF!</v>
      </c>
      <c r="AO26" s="106" t="e">
        <f>IF(Data!#REF!="","",Data!#REF!)</f>
        <v>#REF!</v>
      </c>
      <c r="AP26" s="106" t="e">
        <f>IF(Data!#REF!="","",Data!#REF!)</f>
        <v>#REF!</v>
      </c>
      <c r="AQ26" s="106" t="e">
        <f>IF(Data!#REF!="","",Data!#REF!)</f>
        <v>#REF!</v>
      </c>
      <c r="AR26" s="106" t="e">
        <f>IF(Data!#REF!="","",Data!#REF!)</f>
        <v>#REF!</v>
      </c>
      <c r="AS26" s="106" t="e">
        <f>IF(Data!#REF!="","",Data!#REF!)</f>
        <v>#REF!</v>
      </c>
      <c r="AT26" s="106" t="e">
        <f>IF(Data!#REF!="","",Data!#REF!)</f>
        <v>#REF!</v>
      </c>
      <c r="AU26" s="106" t="e">
        <f>IF(Data!#REF!="","",Data!#REF!)</f>
        <v>#REF!</v>
      </c>
      <c r="AV26" s="106" t="e">
        <f>IF(Data!#REF!="","",Data!#REF!)</f>
        <v>#REF!</v>
      </c>
      <c r="AW26" s="106" t="e">
        <f>IF(Data!#REF!="","",Data!#REF!)</f>
        <v>#REF!</v>
      </c>
      <c r="AX26" s="106" t="e">
        <f>IF(Data!#REF!="","",Data!#REF!)</f>
        <v>#REF!</v>
      </c>
      <c r="AY26" s="107" t="e">
        <f>IF(Data!#REF!="","",Data!#REF!)</f>
        <v>#REF!</v>
      </c>
      <c r="AZ26" s="109" t="e">
        <f>IF(Data!#REF!="","",Data!#REF!)</f>
        <v>#REF!</v>
      </c>
      <c r="BA26"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6"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6"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6"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6"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6"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6"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6"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6"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6"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6"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6"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6"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6"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6"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6"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6"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6"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6"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6"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6"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6"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6"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6"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6"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6"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6"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6"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6"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6"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6"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6"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7" spans="1:84" ht="22.5" customHeight="1" x14ac:dyDescent="0.25">
      <c r="A27" s="41" t="e">
        <f>IF(Data!#REF!="","",Data!#REF!)</f>
        <v>#REF!</v>
      </c>
      <c r="B27" s="42" t="e">
        <f>IF(Data!#REF!="","",Data!#REF!)</f>
        <v>#REF!</v>
      </c>
      <c r="C27" s="42" t="e">
        <f>IF(Data!#REF!="","",Data!#REF!)</f>
        <v>#REF!</v>
      </c>
      <c r="D27" s="90" t="e">
        <f>IF(Data!#REF!="","",Data!#REF!)</f>
        <v>#REF!</v>
      </c>
      <c r="E27" s="42" t="e">
        <f>IF(Data!#REF!="","",Data!#REF!)</f>
        <v>#REF!</v>
      </c>
      <c r="F27" s="99" t="e">
        <f>IF(Data!#REF!="","",Data!#REF!)</f>
        <v>#REF!</v>
      </c>
      <c r="G27" s="105" t="e">
        <f t="shared" si="2"/>
        <v>#REF!</v>
      </c>
      <c r="H27" s="106" t="e">
        <f>IF(Data!#REF!="","",Data!#REF!)</f>
        <v>#REF!</v>
      </c>
      <c r="I27" s="106" t="e">
        <f>IF(Data!#REF!="","",Data!#REF!)</f>
        <v>#REF!</v>
      </c>
      <c r="J27" s="106" t="e">
        <f>IF(Data!#REF!="","",Data!#REF!)</f>
        <v>#REF!</v>
      </c>
      <c r="K27" s="106" t="e">
        <f>IF(Data!#REF!="","",Data!#REF!)</f>
        <v>#REF!</v>
      </c>
      <c r="L27" s="106" t="e">
        <f>IF(Data!#REF!="","",Data!#REF!)</f>
        <v>#REF!</v>
      </c>
      <c r="M27" s="106" t="e">
        <f>IF(Data!#REF!="","",Data!#REF!)</f>
        <v>#REF!</v>
      </c>
      <c r="N27" s="106" t="e">
        <f>IF(Data!#REF!="","",Data!#REF!)</f>
        <v>#REF!</v>
      </c>
      <c r="O27" s="106" t="e">
        <f>IF(Data!#REF!="","",Data!#REF!)</f>
        <v>#REF!</v>
      </c>
      <c r="P27" s="106" t="e">
        <f>IF(Data!#REF!="","",Data!#REF!)</f>
        <v>#REF!</v>
      </c>
      <c r="Q27" s="107" t="e">
        <f>IF(Data!#REF!="","",Data!#REF!)</f>
        <v>#REF!</v>
      </c>
      <c r="R27" s="105" t="e">
        <f>IF(Data!#REF!="","",Data!#REF!)</f>
        <v>#REF!</v>
      </c>
      <c r="S27" s="106" t="e">
        <f>IF(Data!#REF!="","",Data!#REF!)</f>
        <v>#REF!</v>
      </c>
      <c r="T27" s="106" t="e">
        <f>IF(Data!#REF!="","",Data!#REF!)</f>
        <v>#REF!</v>
      </c>
      <c r="U27" s="106" t="e">
        <f>IF(Data!#REF!="","",Data!#REF!)</f>
        <v>#REF!</v>
      </c>
      <c r="V27" s="106" t="e">
        <f>IF(Data!#REF!="","",Data!#REF!)</f>
        <v>#REF!</v>
      </c>
      <c r="W27" s="106" t="e">
        <f>IF(Data!#REF!="","",Data!#REF!)</f>
        <v>#REF!</v>
      </c>
      <c r="X27" s="106" t="e">
        <f>IF(Data!#REF!="","",Data!#REF!)</f>
        <v>#REF!</v>
      </c>
      <c r="Y27" s="106" t="e">
        <f>IF(Data!#REF!="","",Data!#REF!)</f>
        <v>#REF!</v>
      </c>
      <c r="Z27" s="106" t="e">
        <f>IF(Data!#REF!="","",Data!#REF!)</f>
        <v>#REF!</v>
      </c>
      <c r="AA27" s="106" t="e">
        <f>IF(Data!#REF!="","",Data!#REF!)</f>
        <v>#REF!</v>
      </c>
      <c r="AB27" s="107" t="e">
        <f>IF(Data!#REF!="","",Data!#REF!)</f>
        <v>#REF!</v>
      </c>
      <c r="AC27" s="105" t="e">
        <f>IF(Data!#REF!="","",Data!#REF!)</f>
        <v>#REF!</v>
      </c>
      <c r="AD27" s="106" t="e">
        <f>IF(Data!#REF!="","",Data!#REF!)</f>
        <v>#REF!</v>
      </c>
      <c r="AE27" s="106" t="e">
        <f>IF(Data!#REF!="","",Data!#REF!)</f>
        <v>#REF!</v>
      </c>
      <c r="AF27" s="106" t="e">
        <f>IF(Data!#REF!="","",Data!#REF!)</f>
        <v>#REF!</v>
      </c>
      <c r="AG27" s="106" t="e">
        <f>IF(Data!#REF!="","",Data!#REF!)</f>
        <v>#REF!</v>
      </c>
      <c r="AH27" s="106" t="e">
        <f>IF(Data!#REF!="","",Data!#REF!)</f>
        <v>#REF!</v>
      </c>
      <c r="AI27" s="106" t="e">
        <f>IF(Data!#REF!="","",Data!#REF!)</f>
        <v>#REF!</v>
      </c>
      <c r="AJ27" s="106" t="e">
        <f>IF(Data!#REF!="","",Data!#REF!)</f>
        <v>#REF!</v>
      </c>
      <c r="AK27" s="106" t="e">
        <f>IF(Data!#REF!="","",Data!#REF!)</f>
        <v>#REF!</v>
      </c>
      <c r="AL27" s="106" t="e">
        <f>IF(Data!#REF!="","",Data!#REF!)</f>
        <v>#REF!</v>
      </c>
      <c r="AM27" s="107" t="e">
        <f>IF(Data!#REF!="","",Data!#REF!)</f>
        <v>#REF!</v>
      </c>
      <c r="AN27" s="105" t="e">
        <f>IF(Data!#REF!="","",Data!#REF!)</f>
        <v>#REF!</v>
      </c>
      <c r="AO27" s="106" t="e">
        <f>IF(Data!#REF!="","",Data!#REF!)</f>
        <v>#REF!</v>
      </c>
      <c r="AP27" s="106" t="e">
        <f>IF(Data!#REF!="","",Data!#REF!)</f>
        <v>#REF!</v>
      </c>
      <c r="AQ27" s="106" t="e">
        <f>IF(Data!#REF!="","",Data!#REF!)</f>
        <v>#REF!</v>
      </c>
      <c r="AR27" s="106" t="e">
        <f>IF(Data!#REF!="","",Data!#REF!)</f>
        <v>#REF!</v>
      </c>
      <c r="AS27" s="106" t="e">
        <f>IF(Data!#REF!="","",Data!#REF!)</f>
        <v>#REF!</v>
      </c>
      <c r="AT27" s="106" t="e">
        <f>IF(Data!#REF!="","",Data!#REF!)</f>
        <v>#REF!</v>
      </c>
      <c r="AU27" s="106" t="e">
        <f>IF(Data!#REF!="","",Data!#REF!)</f>
        <v>#REF!</v>
      </c>
      <c r="AV27" s="106" t="e">
        <f>IF(Data!#REF!="","",Data!#REF!)</f>
        <v>#REF!</v>
      </c>
      <c r="AW27" s="106" t="e">
        <f>IF(Data!#REF!="","",Data!#REF!)</f>
        <v>#REF!</v>
      </c>
      <c r="AX27" s="106" t="e">
        <f>IF(Data!#REF!="","",Data!#REF!)</f>
        <v>#REF!</v>
      </c>
      <c r="AY27" s="107" t="e">
        <f>IF(Data!#REF!="","",Data!#REF!)</f>
        <v>#REF!</v>
      </c>
      <c r="AZ27" s="109" t="e">
        <f>IF(Data!#REF!="","",Data!#REF!)</f>
        <v>#REF!</v>
      </c>
      <c r="BA27"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7"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7"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7"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7"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7"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7"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7"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7"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7"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7"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7"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7"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7"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7"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7"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7"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7"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7"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7"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7"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7"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7"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7"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7"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7"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7"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7"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7"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7"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7"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7"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8" spans="1:84" ht="22.5" customHeight="1" x14ac:dyDescent="0.25">
      <c r="A28" s="41" t="e">
        <f>IF(Data!#REF!="","",Data!#REF!)</f>
        <v>#REF!</v>
      </c>
      <c r="B28" s="42" t="e">
        <f>IF(Data!#REF!="","",Data!#REF!)</f>
        <v>#REF!</v>
      </c>
      <c r="C28" s="42" t="e">
        <f>IF(Data!#REF!="","",Data!#REF!)</f>
        <v>#REF!</v>
      </c>
      <c r="D28" s="90" t="e">
        <f>IF(Data!#REF!="","",Data!#REF!)</f>
        <v>#REF!</v>
      </c>
      <c r="E28" s="42" t="e">
        <f>IF(Data!#REF!="","",Data!#REF!)</f>
        <v>#REF!</v>
      </c>
      <c r="F28" s="99" t="e">
        <f>IF(Data!#REF!="","",Data!#REF!)</f>
        <v>#REF!</v>
      </c>
      <c r="G28" s="105" t="e">
        <f t="shared" si="2"/>
        <v>#REF!</v>
      </c>
      <c r="H28" s="106" t="e">
        <f>IF(Data!#REF!="","",Data!#REF!)</f>
        <v>#REF!</v>
      </c>
      <c r="I28" s="106" t="e">
        <f>IF(Data!#REF!="","",Data!#REF!)</f>
        <v>#REF!</v>
      </c>
      <c r="J28" s="106" t="e">
        <f>IF(Data!#REF!="","",Data!#REF!)</f>
        <v>#REF!</v>
      </c>
      <c r="K28" s="106" t="e">
        <f>IF(Data!#REF!="","",Data!#REF!)</f>
        <v>#REF!</v>
      </c>
      <c r="L28" s="106" t="e">
        <f>IF(Data!#REF!="","",Data!#REF!)</f>
        <v>#REF!</v>
      </c>
      <c r="M28" s="106" t="e">
        <f>IF(Data!#REF!="","",Data!#REF!)</f>
        <v>#REF!</v>
      </c>
      <c r="N28" s="106" t="e">
        <f>IF(Data!#REF!="","",Data!#REF!)</f>
        <v>#REF!</v>
      </c>
      <c r="O28" s="106" t="e">
        <f>IF(Data!#REF!="","",Data!#REF!)</f>
        <v>#REF!</v>
      </c>
      <c r="P28" s="106" t="e">
        <f>IF(Data!#REF!="","",Data!#REF!)</f>
        <v>#REF!</v>
      </c>
      <c r="Q28" s="107" t="e">
        <f>IF(Data!#REF!="","",Data!#REF!)</f>
        <v>#REF!</v>
      </c>
      <c r="R28" s="105" t="e">
        <f>IF(Data!#REF!="","",Data!#REF!)</f>
        <v>#REF!</v>
      </c>
      <c r="S28" s="106" t="e">
        <f>IF(Data!#REF!="","",Data!#REF!)</f>
        <v>#REF!</v>
      </c>
      <c r="T28" s="106" t="e">
        <f>IF(Data!#REF!="","",Data!#REF!)</f>
        <v>#REF!</v>
      </c>
      <c r="U28" s="106" t="e">
        <f>IF(Data!#REF!="","",Data!#REF!)</f>
        <v>#REF!</v>
      </c>
      <c r="V28" s="106" t="e">
        <f>IF(Data!#REF!="","",Data!#REF!)</f>
        <v>#REF!</v>
      </c>
      <c r="W28" s="106" t="e">
        <f>IF(Data!#REF!="","",Data!#REF!)</f>
        <v>#REF!</v>
      </c>
      <c r="X28" s="106" t="e">
        <f>IF(Data!#REF!="","",Data!#REF!)</f>
        <v>#REF!</v>
      </c>
      <c r="Y28" s="106" t="e">
        <f>IF(Data!#REF!="","",Data!#REF!)</f>
        <v>#REF!</v>
      </c>
      <c r="Z28" s="106" t="e">
        <f>IF(Data!#REF!="","",Data!#REF!)</f>
        <v>#REF!</v>
      </c>
      <c r="AA28" s="106" t="e">
        <f>IF(Data!#REF!="","",Data!#REF!)</f>
        <v>#REF!</v>
      </c>
      <c r="AB28" s="107" t="e">
        <f>IF(Data!#REF!="","",Data!#REF!)</f>
        <v>#REF!</v>
      </c>
      <c r="AC28" s="105" t="e">
        <f>IF(Data!#REF!="","",Data!#REF!)</f>
        <v>#REF!</v>
      </c>
      <c r="AD28" s="106" t="e">
        <f>IF(Data!#REF!="","",Data!#REF!)</f>
        <v>#REF!</v>
      </c>
      <c r="AE28" s="106" t="e">
        <f>IF(Data!#REF!="","",Data!#REF!)</f>
        <v>#REF!</v>
      </c>
      <c r="AF28" s="106" t="e">
        <f>IF(Data!#REF!="","",Data!#REF!)</f>
        <v>#REF!</v>
      </c>
      <c r="AG28" s="106" t="e">
        <f>IF(Data!#REF!="","",Data!#REF!)</f>
        <v>#REF!</v>
      </c>
      <c r="AH28" s="106" t="e">
        <f>IF(Data!#REF!="","",Data!#REF!)</f>
        <v>#REF!</v>
      </c>
      <c r="AI28" s="106" t="e">
        <f>IF(Data!#REF!="","",Data!#REF!)</f>
        <v>#REF!</v>
      </c>
      <c r="AJ28" s="106" t="e">
        <f>IF(Data!#REF!="","",Data!#REF!)</f>
        <v>#REF!</v>
      </c>
      <c r="AK28" s="106" t="e">
        <f>IF(Data!#REF!="","",Data!#REF!)</f>
        <v>#REF!</v>
      </c>
      <c r="AL28" s="106" t="e">
        <f>IF(Data!#REF!="","",Data!#REF!)</f>
        <v>#REF!</v>
      </c>
      <c r="AM28" s="107" t="e">
        <f>IF(Data!#REF!="","",Data!#REF!)</f>
        <v>#REF!</v>
      </c>
      <c r="AN28" s="105" t="e">
        <f>IF(Data!#REF!="","",Data!#REF!)</f>
        <v>#REF!</v>
      </c>
      <c r="AO28" s="106" t="e">
        <f>IF(Data!#REF!="","",Data!#REF!)</f>
        <v>#REF!</v>
      </c>
      <c r="AP28" s="106" t="e">
        <f>IF(Data!#REF!="","",Data!#REF!)</f>
        <v>#REF!</v>
      </c>
      <c r="AQ28" s="106" t="e">
        <f>IF(Data!#REF!="","",Data!#REF!)</f>
        <v>#REF!</v>
      </c>
      <c r="AR28" s="106" t="e">
        <f>IF(Data!#REF!="","",Data!#REF!)</f>
        <v>#REF!</v>
      </c>
      <c r="AS28" s="106" t="e">
        <f>IF(Data!#REF!="","",Data!#REF!)</f>
        <v>#REF!</v>
      </c>
      <c r="AT28" s="106" t="e">
        <f>IF(Data!#REF!="","",Data!#REF!)</f>
        <v>#REF!</v>
      </c>
      <c r="AU28" s="106" t="e">
        <f>IF(Data!#REF!="","",Data!#REF!)</f>
        <v>#REF!</v>
      </c>
      <c r="AV28" s="106" t="e">
        <f>IF(Data!#REF!="","",Data!#REF!)</f>
        <v>#REF!</v>
      </c>
      <c r="AW28" s="106" t="e">
        <f>IF(Data!#REF!="","",Data!#REF!)</f>
        <v>#REF!</v>
      </c>
      <c r="AX28" s="106" t="e">
        <f>IF(Data!#REF!="","",Data!#REF!)</f>
        <v>#REF!</v>
      </c>
      <c r="AY28" s="107" t="e">
        <f>IF(Data!#REF!="","",Data!#REF!)</f>
        <v>#REF!</v>
      </c>
      <c r="AZ28" s="109" t="e">
        <f>IF(Data!#REF!="","",Data!#REF!)</f>
        <v>#REF!</v>
      </c>
      <c r="BA28"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8"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8"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8"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8"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8"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8"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8"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8"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8"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8"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8"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8"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8"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8"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8"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8"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8"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8"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8"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8"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8"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8"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8"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8"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8"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8"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8"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8"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8"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8"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8"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29" spans="1:84" ht="22.5" customHeight="1" x14ac:dyDescent="0.25">
      <c r="A29" s="41" t="e">
        <f>IF(Data!#REF!="","",Data!#REF!)</f>
        <v>#REF!</v>
      </c>
      <c r="B29" s="42" t="e">
        <f>IF(Data!#REF!="","",Data!#REF!)</f>
        <v>#REF!</v>
      </c>
      <c r="C29" s="42" t="e">
        <f>IF(Data!#REF!="","",Data!#REF!)</f>
        <v>#REF!</v>
      </c>
      <c r="D29" s="90" t="e">
        <f>IF(Data!#REF!="","",Data!#REF!)</f>
        <v>#REF!</v>
      </c>
      <c r="E29" s="42" t="e">
        <f>IF(Data!#REF!="","",Data!#REF!)</f>
        <v>#REF!</v>
      </c>
      <c r="F29" s="99" t="e">
        <f>IF(Data!#REF!="","",Data!#REF!)</f>
        <v>#REF!</v>
      </c>
      <c r="G29" s="105" t="e">
        <f t="shared" si="2"/>
        <v>#REF!</v>
      </c>
      <c r="H29" s="106" t="e">
        <f>IF(Data!#REF!="","",Data!#REF!)</f>
        <v>#REF!</v>
      </c>
      <c r="I29" s="106" t="e">
        <f>IF(Data!#REF!="","",Data!#REF!)</f>
        <v>#REF!</v>
      </c>
      <c r="J29" s="106" t="e">
        <f>IF(Data!#REF!="","",Data!#REF!)</f>
        <v>#REF!</v>
      </c>
      <c r="K29" s="106" t="e">
        <f>IF(Data!#REF!="","",Data!#REF!)</f>
        <v>#REF!</v>
      </c>
      <c r="L29" s="106" t="e">
        <f>IF(Data!#REF!="","",Data!#REF!)</f>
        <v>#REF!</v>
      </c>
      <c r="M29" s="106" t="e">
        <f>IF(Data!#REF!="","",Data!#REF!)</f>
        <v>#REF!</v>
      </c>
      <c r="N29" s="106" t="e">
        <f>IF(Data!#REF!="","",Data!#REF!)</f>
        <v>#REF!</v>
      </c>
      <c r="O29" s="106" t="e">
        <f>IF(Data!#REF!="","",Data!#REF!)</f>
        <v>#REF!</v>
      </c>
      <c r="P29" s="106" t="e">
        <f>IF(Data!#REF!="","",Data!#REF!)</f>
        <v>#REF!</v>
      </c>
      <c r="Q29" s="107" t="e">
        <f>IF(Data!#REF!="","",Data!#REF!)</f>
        <v>#REF!</v>
      </c>
      <c r="R29" s="105" t="e">
        <f>IF(Data!#REF!="","",Data!#REF!)</f>
        <v>#REF!</v>
      </c>
      <c r="S29" s="106" t="e">
        <f>IF(Data!#REF!="","",Data!#REF!)</f>
        <v>#REF!</v>
      </c>
      <c r="T29" s="106" t="e">
        <f>IF(Data!#REF!="","",Data!#REF!)</f>
        <v>#REF!</v>
      </c>
      <c r="U29" s="106" t="e">
        <f>IF(Data!#REF!="","",Data!#REF!)</f>
        <v>#REF!</v>
      </c>
      <c r="V29" s="106" t="e">
        <f>IF(Data!#REF!="","",Data!#REF!)</f>
        <v>#REF!</v>
      </c>
      <c r="W29" s="106" t="e">
        <f>IF(Data!#REF!="","",Data!#REF!)</f>
        <v>#REF!</v>
      </c>
      <c r="X29" s="106" t="e">
        <f>IF(Data!#REF!="","",Data!#REF!)</f>
        <v>#REF!</v>
      </c>
      <c r="Y29" s="106" t="e">
        <f>IF(Data!#REF!="","",Data!#REF!)</f>
        <v>#REF!</v>
      </c>
      <c r="Z29" s="106" t="e">
        <f>IF(Data!#REF!="","",Data!#REF!)</f>
        <v>#REF!</v>
      </c>
      <c r="AA29" s="106" t="e">
        <f>IF(Data!#REF!="","",Data!#REF!)</f>
        <v>#REF!</v>
      </c>
      <c r="AB29" s="107" t="e">
        <f>IF(Data!#REF!="","",Data!#REF!)</f>
        <v>#REF!</v>
      </c>
      <c r="AC29" s="105" t="e">
        <f>IF(Data!#REF!="","",Data!#REF!)</f>
        <v>#REF!</v>
      </c>
      <c r="AD29" s="106" t="e">
        <f>IF(Data!#REF!="","",Data!#REF!)</f>
        <v>#REF!</v>
      </c>
      <c r="AE29" s="106" t="e">
        <f>IF(Data!#REF!="","",Data!#REF!)</f>
        <v>#REF!</v>
      </c>
      <c r="AF29" s="106" t="e">
        <f>IF(Data!#REF!="","",Data!#REF!)</f>
        <v>#REF!</v>
      </c>
      <c r="AG29" s="106" t="e">
        <f>IF(Data!#REF!="","",Data!#REF!)</f>
        <v>#REF!</v>
      </c>
      <c r="AH29" s="106" t="e">
        <f>IF(Data!#REF!="","",Data!#REF!)</f>
        <v>#REF!</v>
      </c>
      <c r="AI29" s="106" t="e">
        <f>IF(Data!#REF!="","",Data!#REF!)</f>
        <v>#REF!</v>
      </c>
      <c r="AJ29" s="106" t="e">
        <f>IF(Data!#REF!="","",Data!#REF!)</f>
        <v>#REF!</v>
      </c>
      <c r="AK29" s="106" t="e">
        <f>IF(Data!#REF!="","",Data!#REF!)</f>
        <v>#REF!</v>
      </c>
      <c r="AL29" s="106" t="e">
        <f>IF(Data!#REF!="","",Data!#REF!)</f>
        <v>#REF!</v>
      </c>
      <c r="AM29" s="107" t="e">
        <f>IF(Data!#REF!="","",Data!#REF!)</f>
        <v>#REF!</v>
      </c>
      <c r="AN29" s="105" t="e">
        <f>IF(Data!#REF!="","",Data!#REF!)</f>
        <v>#REF!</v>
      </c>
      <c r="AO29" s="106" t="e">
        <f>IF(Data!#REF!="","",Data!#REF!)</f>
        <v>#REF!</v>
      </c>
      <c r="AP29" s="106" t="e">
        <f>IF(Data!#REF!="","",Data!#REF!)</f>
        <v>#REF!</v>
      </c>
      <c r="AQ29" s="106" t="e">
        <f>IF(Data!#REF!="","",Data!#REF!)</f>
        <v>#REF!</v>
      </c>
      <c r="AR29" s="106" t="e">
        <f>IF(Data!#REF!="","",Data!#REF!)</f>
        <v>#REF!</v>
      </c>
      <c r="AS29" s="106" t="e">
        <f>IF(Data!#REF!="","",Data!#REF!)</f>
        <v>#REF!</v>
      </c>
      <c r="AT29" s="106" t="e">
        <f>IF(Data!#REF!="","",Data!#REF!)</f>
        <v>#REF!</v>
      </c>
      <c r="AU29" s="106" t="e">
        <f>IF(Data!#REF!="","",Data!#REF!)</f>
        <v>#REF!</v>
      </c>
      <c r="AV29" s="106" t="e">
        <f>IF(Data!#REF!="","",Data!#REF!)</f>
        <v>#REF!</v>
      </c>
      <c r="AW29" s="106" t="e">
        <f>IF(Data!#REF!="","",Data!#REF!)</f>
        <v>#REF!</v>
      </c>
      <c r="AX29" s="106" t="e">
        <f>IF(Data!#REF!="","",Data!#REF!)</f>
        <v>#REF!</v>
      </c>
      <c r="AY29" s="107" t="e">
        <f>IF(Data!#REF!="","",Data!#REF!)</f>
        <v>#REF!</v>
      </c>
      <c r="AZ29" s="109" t="e">
        <f>IF(Data!#REF!="","",Data!#REF!)</f>
        <v>#REF!</v>
      </c>
      <c r="BA29"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29"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29"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29"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29"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29"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29"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29"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29"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29"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29"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29"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29"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29"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29"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29"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29"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29"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29"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29"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29"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29"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29"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29"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29"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29"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29"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29"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29"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29"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29"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29"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0" spans="1:84" ht="22.5" customHeight="1" x14ac:dyDescent="0.25">
      <c r="A30" s="41" t="e">
        <f>IF(Data!#REF!="","",Data!#REF!)</f>
        <v>#REF!</v>
      </c>
      <c r="B30" s="42" t="e">
        <f>IF(Data!#REF!="","",Data!#REF!)</f>
        <v>#REF!</v>
      </c>
      <c r="C30" s="42" t="e">
        <f>IF(Data!#REF!="","",Data!#REF!)</f>
        <v>#REF!</v>
      </c>
      <c r="D30" s="90" t="e">
        <f>IF(Data!#REF!="","",Data!#REF!)</f>
        <v>#REF!</v>
      </c>
      <c r="E30" s="42" t="e">
        <f>IF(Data!#REF!="","",Data!#REF!)</f>
        <v>#REF!</v>
      </c>
      <c r="F30" s="99" t="e">
        <f>IF(Data!#REF!="","",Data!#REF!)</f>
        <v>#REF!</v>
      </c>
      <c r="G30" s="105" t="e">
        <f t="shared" si="2"/>
        <v>#REF!</v>
      </c>
      <c r="H30" s="106" t="e">
        <f>IF(Data!#REF!="","",Data!#REF!)</f>
        <v>#REF!</v>
      </c>
      <c r="I30" s="106" t="e">
        <f>IF(Data!#REF!="","",Data!#REF!)</f>
        <v>#REF!</v>
      </c>
      <c r="J30" s="106" t="e">
        <f>IF(Data!#REF!="","",Data!#REF!)</f>
        <v>#REF!</v>
      </c>
      <c r="K30" s="106" t="e">
        <f>IF(Data!#REF!="","",Data!#REF!)</f>
        <v>#REF!</v>
      </c>
      <c r="L30" s="106" t="e">
        <f>IF(Data!#REF!="","",Data!#REF!)</f>
        <v>#REF!</v>
      </c>
      <c r="M30" s="106" t="e">
        <f>IF(Data!#REF!="","",Data!#REF!)</f>
        <v>#REF!</v>
      </c>
      <c r="N30" s="106" t="e">
        <f>IF(Data!#REF!="","",Data!#REF!)</f>
        <v>#REF!</v>
      </c>
      <c r="O30" s="106" t="e">
        <f>IF(Data!#REF!="","",Data!#REF!)</f>
        <v>#REF!</v>
      </c>
      <c r="P30" s="106" t="e">
        <f>IF(Data!#REF!="","",Data!#REF!)</f>
        <v>#REF!</v>
      </c>
      <c r="Q30" s="107" t="e">
        <f>IF(Data!#REF!="","",Data!#REF!)</f>
        <v>#REF!</v>
      </c>
      <c r="R30" s="105" t="e">
        <f>IF(Data!#REF!="","",Data!#REF!)</f>
        <v>#REF!</v>
      </c>
      <c r="S30" s="106" t="e">
        <f>IF(Data!#REF!="","",Data!#REF!)</f>
        <v>#REF!</v>
      </c>
      <c r="T30" s="106" t="e">
        <f>IF(Data!#REF!="","",Data!#REF!)</f>
        <v>#REF!</v>
      </c>
      <c r="U30" s="106" t="e">
        <f>IF(Data!#REF!="","",Data!#REF!)</f>
        <v>#REF!</v>
      </c>
      <c r="V30" s="106" t="e">
        <f>IF(Data!#REF!="","",Data!#REF!)</f>
        <v>#REF!</v>
      </c>
      <c r="W30" s="106" t="e">
        <f>IF(Data!#REF!="","",Data!#REF!)</f>
        <v>#REF!</v>
      </c>
      <c r="X30" s="106" t="e">
        <f>IF(Data!#REF!="","",Data!#REF!)</f>
        <v>#REF!</v>
      </c>
      <c r="Y30" s="106" t="e">
        <f>IF(Data!#REF!="","",Data!#REF!)</f>
        <v>#REF!</v>
      </c>
      <c r="Z30" s="106" t="e">
        <f>IF(Data!#REF!="","",Data!#REF!)</f>
        <v>#REF!</v>
      </c>
      <c r="AA30" s="106" t="e">
        <f>IF(Data!#REF!="","",Data!#REF!)</f>
        <v>#REF!</v>
      </c>
      <c r="AB30" s="107" t="e">
        <f>IF(Data!#REF!="","",Data!#REF!)</f>
        <v>#REF!</v>
      </c>
      <c r="AC30" s="105" t="e">
        <f>IF(Data!#REF!="","",Data!#REF!)</f>
        <v>#REF!</v>
      </c>
      <c r="AD30" s="106" t="e">
        <f>IF(Data!#REF!="","",Data!#REF!)</f>
        <v>#REF!</v>
      </c>
      <c r="AE30" s="106" t="e">
        <f>IF(Data!#REF!="","",Data!#REF!)</f>
        <v>#REF!</v>
      </c>
      <c r="AF30" s="106" t="e">
        <f>IF(Data!#REF!="","",Data!#REF!)</f>
        <v>#REF!</v>
      </c>
      <c r="AG30" s="106" t="e">
        <f>IF(Data!#REF!="","",Data!#REF!)</f>
        <v>#REF!</v>
      </c>
      <c r="AH30" s="106" t="e">
        <f>IF(Data!#REF!="","",Data!#REF!)</f>
        <v>#REF!</v>
      </c>
      <c r="AI30" s="106" t="e">
        <f>IF(Data!#REF!="","",Data!#REF!)</f>
        <v>#REF!</v>
      </c>
      <c r="AJ30" s="106" t="e">
        <f>IF(Data!#REF!="","",Data!#REF!)</f>
        <v>#REF!</v>
      </c>
      <c r="AK30" s="106" t="e">
        <f>IF(Data!#REF!="","",Data!#REF!)</f>
        <v>#REF!</v>
      </c>
      <c r="AL30" s="106" t="e">
        <f>IF(Data!#REF!="","",Data!#REF!)</f>
        <v>#REF!</v>
      </c>
      <c r="AM30" s="107" t="e">
        <f>IF(Data!#REF!="","",Data!#REF!)</f>
        <v>#REF!</v>
      </c>
      <c r="AN30" s="105" t="e">
        <f>IF(Data!#REF!="","",Data!#REF!)</f>
        <v>#REF!</v>
      </c>
      <c r="AO30" s="106" t="e">
        <f>IF(Data!#REF!="","",Data!#REF!)</f>
        <v>#REF!</v>
      </c>
      <c r="AP30" s="106" t="e">
        <f>IF(Data!#REF!="","",Data!#REF!)</f>
        <v>#REF!</v>
      </c>
      <c r="AQ30" s="106" t="e">
        <f>IF(Data!#REF!="","",Data!#REF!)</f>
        <v>#REF!</v>
      </c>
      <c r="AR30" s="106" t="e">
        <f>IF(Data!#REF!="","",Data!#REF!)</f>
        <v>#REF!</v>
      </c>
      <c r="AS30" s="106" t="e">
        <f>IF(Data!#REF!="","",Data!#REF!)</f>
        <v>#REF!</v>
      </c>
      <c r="AT30" s="106" t="e">
        <f>IF(Data!#REF!="","",Data!#REF!)</f>
        <v>#REF!</v>
      </c>
      <c r="AU30" s="106" t="e">
        <f>IF(Data!#REF!="","",Data!#REF!)</f>
        <v>#REF!</v>
      </c>
      <c r="AV30" s="106" t="e">
        <f>IF(Data!#REF!="","",Data!#REF!)</f>
        <v>#REF!</v>
      </c>
      <c r="AW30" s="106" t="e">
        <f>IF(Data!#REF!="","",Data!#REF!)</f>
        <v>#REF!</v>
      </c>
      <c r="AX30" s="106" t="e">
        <f>IF(Data!#REF!="","",Data!#REF!)</f>
        <v>#REF!</v>
      </c>
      <c r="AY30" s="107" t="e">
        <f>IF(Data!#REF!="","",Data!#REF!)</f>
        <v>#REF!</v>
      </c>
      <c r="AZ30" s="109" t="e">
        <f>IF(Data!#REF!="","",Data!#REF!)</f>
        <v>#REF!</v>
      </c>
      <c r="BA30"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0"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0"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0"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0"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0"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0"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0"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0"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0"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0"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0"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0"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0"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0"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0"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0"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0"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0"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0"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0"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0"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0"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0"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0"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0"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0"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0"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0"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0"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0"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0"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1" spans="1:84" ht="22.5" customHeight="1" x14ac:dyDescent="0.25">
      <c r="A31" s="41" t="e">
        <f>IF(Data!#REF!="","",Data!#REF!)</f>
        <v>#REF!</v>
      </c>
      <c r="B31" s="42" t="e">
        <f>IF(Data!#REF!="","",Data!#REF!)</f>
        <v>#REF!</v>
      </c>
      <c r="C31" s="42" t="e">
        <f>IF(Data!#REF!="","",Data!#REF!)</f>
        <v>#REF!</v>
      </c>
      <c r="D31" s="90" t="e">
        <f>IF(Data!#REF!="","",Data!#REF!)</f>
        <v>#REF!</v>
      </c>
      <c r="E31" s="42" t="e">
        <f>IF(Data!#REF!="","",Data!#REF!)</f>
        <v>#REF!</v>
      </c>
      <c r="F31" s="99" t="e">
        <f>IF(Data!#REF!="","",Data!#REF!)</f>
        <v>#REF!</v>
      </c>
      <c r="G31" s="105" t="e">
        <f t="shared" si="2"/>
        <v>#REF!</v>
      </c>
      <c r="H31" s="106" t="e">
        <f>IF(Data!#REF!="","",Data!#REF!)</f>
        <v>#REF!</v>
      </c>
      <c r="I31" s="106" t="e">
        <f>IF(Data!#REF!="","",Data!#REF!)</f>
        <v>#REF!</v>
      </c>
      <c r="J31" s="106" t="e">
        <f>IF(Data!#REF!="","",Data!#REF!)</f>
        <v>#REF!</v>
      </c>
      <c r="K31" s="106" t="e">
        <f>IF(Data!#REF!="","",Data!#REF!)</f>
        <v>#REF!</v>
      </c>
      <c r="L31" s="106" t="e">
        <f>IF(Data!#REF!="","",Data!#REF!)</f>
        <v>#REF!</v>
      </c>
      <c r="M31" s="106" t="e">
        <f>IF(Data!#REF!="","",Data!#REF!)</f>
        <v>#REF!</v>
      </c>
      <c r="N31" s="106" t="e">
        <f>IF(Data!#REF!="","",Data!#REF!)</f>
        <v>#REF!</v>
      </c>
      <c r="O31" s="106" t="e">
        <f>IF(Data!#REF!="","",Data!#REF!)</f>
        <v>#REF!</v>
      </c>
      <c r="P31" s="106" t="e">
        <f>IF(Data!#REF!="","",Data!#REF!)</f>
        <v>#REF!</v>
      </c>
      <c r="Q31" s="107" t="e">
        <f>IF(Data!#REF!="","",Data!#REF!)</f>
        <v>#REF!</v>
      </c>
      <c r="R31" s="105" t="e">
        <f>IF(Data!#REF!="","",Data!#REF!)</f>
        <v>#REF!</v>
      </c>
      <c r="S31" s="106" t="e">
        <f>IF(Data!#REF!="","",Data!#REF!)</f>
        <v>#REF!</v>
      </c>
      <c r="T31" s="106" t="e">
        <f>IF(Data!#REF!="","",Data!#REF!)</f>
        <v>#REF!</v>
      </c>
      <c r="U31" s="106" t="e">
        <f>IF(Data!#REF!="","",Data!#REF!)</f>
        <v>#REF!</v>
      </c>
      <c r="V31" s="106" t="e">
        <f>IF(Data!#REF!="","",Data!#REF!)</f>
        <v>#REF!</v>
      </c>
      <c r="W31" s="106" t="e">
        <f>IF(Data!#REF!="","",Data!#REF!)</f>
        <v>#REF!</v>
      </c>
      <c r="X31" s="106" t="e">
        <f>IF(Data!#REF!="","",Data!#REF!)</f>
        <v>#REF!</v>
      </c>
      <c r="Y31" s="106" t="e">
        <f>IF(Data!#REF!="","",Data!#REF!)</f>
        <v>#REF!</v>
      </c>
      <c r="Z31" s="106" t="e">
        <f>IF(Data!#REF!="","",Data!#REF!)</f>
        <v>#REF!</v>
      </c>
      <c r="AA31" s="106" t="e">
        <f>IF(Data!#REF!="","",Data!#REF!)</f>
        <v>#REF!</v>
      </c>
      <c r="AB31" s="107" t="e">
        <f>IF(Data!#REF!="","",Data!#REF!)</f>
        <v>#REF!</v>
      </c>
      <c r="AC31" s="105" t="e">
        <f>IF(Data!#REF!="","",Data!#REF!)</f>
        <v>#REF!</v>
      </c>
      <c r="AD31" s="106" t="e">
        <f>IF(Data!#REF!="","",Data!#REF!)</f>
        <v>#REF!</v>
      </c>
      <c r="AE31" s="106" t="e">
        <f>IF(Data!#REF!="","",Data!#REF!)</f>
        <v>#REF!</v>
      </c>
      <c r="AF31" s="106" t="e">
        <f>IF(Data!#REF!="","",Data!#REF!)</f>
        <v>#REF!</v>
      </c>
      <c r="AG31" s="106" t="e">
        <f>IF(Data!#REF!="","",Data!#REF!)</f>
        <v>#REF!</v>
      </c>
      <c r="AH31" s="106" t="e">
        <f>IF(Data!#REF!="","",Data!#REF!)</f>
        <v>#REF!</v>
      </c>
      <c r="AI31" s="106" t="e">
        <f>IF(Data!#REF!="","",Data!#REF!)</f>
        <v>#REF!</v>
      </c>
      <c r="AJ31" s="106" t="e">
        <f>IF(Data!#REF!="","",Data!#REF!)</f>
        <v>#REF!</v>
      </c>
      <c r="AK31" s="106" t="e">
        <f>IF(Data!#REF!="","",Data!#REF!)</f>
        <v>#REF!</v>
      </c>
      <c r="AL31" s="106" t="e">
        <f>IF(Data!#REF!="","",Data!#REF!)</f>
        <v>#REF!</v>
      </c>
      <c r="AM31" s="107" t="e">
        <f>IF(Data!#REF!="","",Data!#REF!)</f>
        <v>#REF!</v>
      </c>
      <c r="AN31" s="105" t="e">
        <f>IF(Data!#REF!="","",Data!#REF!)</f>
        <v>#REF!</v>
      </c>
      <c r="AO31" s="106" t="e">
        <f>IF(Data!#REF!="","",Data!#REF!)</f>
        <v>#REF!</v>
      </c>
      <c r="AP31" s="106" t="e">
        <f>IF(Data!#REF!="","",Data!#REF!)</f>
        <v>#REF!</v>
      </c>
      <c r="AQ31" s="106" t="e">
        <f>IF(Data!#REF!="","",Data!#REF!)</f>
        <v>#REF!</v>
      </c>
      <c r="AR31" s="106" t="e">
        <f>IF(Data!#REF!="","",Data!#REF!)</f>
        <v>#REF!</v>
      </c>
      <c r="AS31" s="106" t="e">
        <f>IF(Data!#REF!="","",Data!#REF!)</f>
        <v>#REF!</v>
      </c>
      <c r="AT31" s="106" t="e">
        <f>IF(Data!#REF!="","",Data!#REF!)</f>
        <v>#REF!</v>
      </c>
      <c r="AU31" s="106" t="e">
        <f>IF(Data!#REF!="","",Data!#REF!)</f>
        <v>#REF!</v>
      </c>
      <c r="AV31" s="106" t="e">
        <f>IF(Data!#REF!="","",Data!#REF!)</f>
        <v>#REF!</v>
      </c>
      <c r="AW31" s="106" t="e">
        <f>IF(Data!#REF!="","",Data!#REF!)</f>
        <v>#REF!</v>
      </c>
      <c r="AX31" s="106" t="e">
        <f>IF(Data!#REF!="","",Data!#REF!)</f>
        <v>#REF!</v>
      </c>
      <c r="AY31" s="107" t="e">
        <f>IF(Data!#REF!="","",Data!#REF!)</f>
        <v>#REF!</v>
      </c>
      <c r="AZ31" s="109" t="e">
        <f>IF(Data!#REF!="","",Data!#REF!)</f>
        <v>#REF!</v>
      </c>
      <c r="BA31"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1"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1"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1"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1"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1"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1"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1"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1"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1"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1"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1"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1"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1"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1"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1"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1"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1"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1"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1"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1"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1"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1"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1"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1"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1"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1"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1"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1"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1"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1"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1"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2" spans="1:84" ht="22.5" customHeight="1" x14ac:dyDescent="0.25">
      <c r="A32" s="41" t="e">
        <f>IF(Data!#REF!="","",Data!#REF!)</f>
        <v>#REF!</v>
      </c>
      <c r="B32" s="42" t="e">
        <f>IF(Data!#REF!="","",Data!#REF!)</f>
        <v>#REF!</v>
      </c>
      <c r="C32" s="42" t="e">
        <f>IF(Data!#REF!="","",Data!#REF!)</f>
        <v>#REF!</v>
      </c>
      <c r="D32" s="90" t="e">
        <f>IF(Data!#REF!="","",Data!#REF!)</f>
        <v>#REF!</v>
      </c>
      <c r="E32" s="42" t="e">
        <f>IF(Data!#REF!="","",Data!#REF!)</f>
        <v>#REF!</v>
      </c>
      <c r="F32" s="99" t="e">
        <f>IF(Data!#REF!="","",Data!#REF!)</f>
        <v>#REF!</v>
      </c>
      <c r="G32" s="105" t="e">
        <f t="shared" si="2"/>
        <v>#REF!</v>
      </c>
      <c r="H32" s="106" t="e">
        <f>IF(Data!#REF!="","",Data!#REF!)</f>
        <v>#REF!</v>
      </c>
      <c r="I32" s="106" t="e">
        <f>IF(Data!#REF!="","",Data!#REF!)</f>
        <v>#REF!</v>
      </c>
      <c r="J32" s="106" t="e">
        <f>IF(Data!#REF!="","",Data!#REF!)</f>
        <v>#REF!</v>
      </c>
      <c r="K32" s="106" t="e">
        <f>IF(Data!#REF!="","",Data!#REF!)</f>
        <v>#REF!</v>
      </c>
      <c r="L32" s="106" t="e">
        <f>IF(Data!#REF!="","",Data!#REF!)</f>
        <v>#REF!</v>
      </c>
      <c r="M32" s="106" t="e">
        <f>IF(Data!#REF!="","",Data!#REF!)</f>
        <v>#REF!</v>
      </c>
      <c r="N32" s="106" t="e">
        <f>IF(Data!#REF!="","",Data!#REF!)</f>
        <v>#REF!</v>
      </c>
      <c r="O32" s="106" t="e">
        <f>IF(Data!#REF!="","",Data!#REF!)</f>
        <v>#REF!</v>
      </c>
      <c r="P32" s="106" t="e">
        <f>IF(Data!#REF!="","",Data!#REF!)</f>
        <v>#REF!</v>
      </c>
      <c r="Q32" s="107" t="e">
        <f>IF(Data!#REF!="","",Data!#REF!)</f>
        <v>#REF!</v>
      </c>
      <c r="R32" s="105" t="e">
        <f>IF(Data!#REF!="","",Data!#REF!)</f>
        <v>#REF!</v>
      </c>
      <c r="S32" s="106" t="e">
        <f>IF(Data!#REF!="","",Data!#REF!)</f>
        <v>#REF!</v>
      </c>
      <c r="T32" s="106" t="e">
        <f>IF(Data!#REF!="","",Data!#REF!)</f>
        <v>#REF!</v>
      </c>
      <c r="U32" s="106" t="e">
        <f>IF(Data!#REF!="","",Data!#REF!)</f>
        <v>#REF!</v>
      </c>
      <c r="V32" s="106" t="e">
        <f>IF(Data!#REF!="","",Data!#REF!)</f>
        <v>#REF!</v>
      </c>
      <c r="W32" s="106" t="e">
        <f>IF(Data!#REF!="","",Data!#REF!)</f>
        <v>#REF!</v>
      </c>
      <c r="X32" s="106" t="e">
        <f>IF(Data!#REF!="","",Data!#REF!)</f>
        <v>#REF!</v>
      </c>
      <c r="Y32" s="106" t="e">
        <f>IF(Data!#REF!="","",Data!#REF!)</f>
        <v>#REF!</v>
      </c>
      <c r="Z32" s="106" t="e">
        <f>IF(Data!#REF!="","",Data!#REF!)</f>
        <v>#REF!</v>
      </c>
      <c r="AA32" s="106" t="e">
        <f>IF(Data!#REF!="","",Data!#REF!)</f>
        <v>#REF!</v>
      </c>
      <c r="AB32" s="107" t="e">
        <f>IF(Data!#REF!="","",Data!#REF!)</f>
        <v>#REF!</v>
      </c>
      <c r="AC32" s="105" t="e">
        <f>IF(Data!#REF!="","",Data!#REF!)</f>
        <v>#REF!</v>
      </c>
      <c r="AD32" s="106" t="e">
        <f>IF(Data!#REF!="","",Data!#REF!)</f>
        <v>#REF!</v>
      </c>
      <c r="AE32" s="106" t="e">
        <f>IF(Data!#REF!="","",Data!#REF!)</f>
        <v>#REF!</v>
      </c>
      <c r="AF32" s="106" t="e">
        <f>IF(Data!#REF!="","",Data!#REF!)</f>
        <v>#REF!</v>
      </c>
      <c r="AG32" s="106" t="e">
        <f>IF(Data!#REF!="","",Data!#REF!)</f>
        <v>#REF!</v>
      </c>
      <c r="AH32" s="106" t="e">
        <f>IF(Data!#REF!="","",Data!#REF!)</f>
        <v>#REF!</v>
      </c>
      <c r="AI32" s="106" t="e">
        <f>IF(Data!#REF!="","",Data!#REF!)</f>
        <v>#REF!</v>
      </c>
      <c r="AJ32" s="106" t="e">
        <f>IF(Data!#REF!="","",Data!#REF!)</f>
        <v>#REF!</v>
      </c>
      <c r="AK32" s="106" t="e">
        <f>IF(Data!#REF!="","",Data!#REF!)</f>
        <v>#REF!</v>
      </c>
      <c r="AL32" s="106" t="e">
        <f>IF(Data!#REF!="","",Data!#REF!)</f>
        <v>#REF!</v>
      </c>
      <c r="AM32" s="107" t="e">
        <f>IF(Data!#REF!="","",Data!#REF!)</f>
        <v>#REF!</v>
      </c>
      <c r="AN32" s="105" t="e">
        <f>IF(Data!#REF!="","",Data!#REF!)</f>
        <v>#REF!</v>
      </c>
      <c r="AO32" s="106" t="e">
        <f>IF(Data!#REF!="","",Data!#REF!)</f>
        <v>#REF!</v>
      </c>
      <c r="AP32" s="106" t="e">
        <f>IF(Data!#REF!="","",Data!#REF!)</f>
        <v>#REF!</v>
      </c>
      <c r="AQ32" s="106" t="e">
        <f>IF(Data!#REF!="","",Data!#REF!)</f>
        <v>#REF!</v>
      </c>
      <c r="AR32" s="106" t="e">
        <f>IF(Data!#REF!="","",Data!#REF!)</f>
        <v>#REF!</v>
      </c>
      <c r="AS32" s="106" t="e">
        <f>IF(Data!#REF!="","",Data!#REF!)</f>
        <v>#REF!</v>
      </c>
      <c r="AT32" s="106" t="e">
        <f>IF(Data!#REF!="","",Data!#REF!)</f>
        <v>#REF!</v>
      </c>
      <c r="AU32" s="106" t="e">
        <f>IF(Data!#REF!="","",Data!#REF!)</f>
        <v>#REF!</v>
      </c>
      <c r="AV32" s="106" t="e">
        <f>IF(Data!#REF!="","",Data!#REF!)</f>
        <v>#REF!</v>
      </c>
      <c r="AW32" s="106" t="e">
        <f>IF(Data!#REF!="","",Data!#REF!)</f>
        <v>#REF!</v>
      </c>
      <c r="AX32" s="106" t="e">
        <f>IF(Data!#REF!="","",Data!#REF!)</f>
        <v>#REF!</v>
      </c>
      <c r="AY32" s="107" t="e">
        <f>IF(Data!#REF!="","",Data!#REF!)</f>
        <v>#REF!</v>
      </c>
      <c r="AZ32" s="109" t="e">
        <f>IF(Data!#REF!="","",Data!#REF!)</f>
        <v>#REF!</v>
      </c>
      <c r="BA32" s="116" t="e">
        <f ca="1">IF('Graphical Overview'!BA$5&lt;='WK Conversion'!$AX26,"ME",IF('Graphical Overview'!BA$5&lt;='WK Conversion'!$AY26,"EE",IF('Graphical Overview'!BA$5&lt;='WK Conversion'!$AZ26,"M",IF('Graphical Overview'!BA$5&lt;='WK Conversion'!$BA26,"A",IF('Graphical Overview'!BA$5&lt;'WK Conversion'!$BB26,"P",IF('Graphical Overview'!BA$5='WK Conversion'!$BB26,"R",IF('Graphical Overview'!BA$5&lt;='WK Conversion'!$BC26,"CI",IF('Graphical Overview'!BA$5&lt;='WK Conversion'!$BD26,"I",""))))))))</f>
        <v>#REF!</v>
      </c>
      <c r="BB32" s="38" t="e">
        <f ca="1">IF('Graphical Overview'!BB$5&lt;='WK Conversion'!$AX26,"ME",IF('Graphical Overview'!BB$5&lt;='WK Conversion'!$AY26,"EE",IF('Graphical Overview'!BB$5&lt;='WK Conversion'!$AZ26,"M",IF('Graphical Overview'!BB$5&lt;='WK Conversion'!$BA26,"A",IF('Graphical Overview'!BB$5&lt;'WK Conversion'!$BB26,"P",IF('Graphical Overview'!BB$5='WK Conversion'!$BB26,"R",IF('Graphical Overview'!BB$5&lt;='WK Conversion'!$BC26,"CI",IF('Graphical Overview'!BB$5&lt;='WK Conversion'!$BD26,"I",""))))))))</f>
        <v>#REF!</v>
      </c>
      <c r="BC32" s="38" t="e">
        <f ca="1">IF('Graphical Overview'!BC$5&lt;='WK Conversion'!$AX26,"ME",IF('Graphical Overview'!BC$5&lt;='WK Conversion'!$AY26,"EE",IF('Graphical Overview'!BC$5&lt;='WK Conversion'!$AZ26,"M",IF('Graphical Overview'!BC$5&lt;='WK Conversion'!$BA26,"A",IF('Graphical Overview'!BC$5&lt;'WK Conversion'!$BB26,"P",IF('Graphical Overview'!BC$5='WK Conversion'!$BB26,"R",IF('Graphical Overview'!BC$5&lt;='WK Conversion'!$BC26,"CI",IF('Graphical Overview'!BC$5&lt;='WK Conversion'!$BD26,"I",""))))))))</f>
        <v>#REF!</v>
      </c>
      <c r="BD32" s="38" t="e">
        <f ca="1">IF('Graphical Overview'!BD$5&lt;='WK Conversion'!$AX26,"ME",IF('Graphical Overview'!BD$5&lt;='WK Conversion'!$AY26,"EE",IF('Graphical Overview'!BD$5&lt;='WK Conversion'!$AZ26,"M",IF('Graphical Overview'!BD$5&lt;='WK Conversion'!$BA26,"A",IF('Graphical Overview'!BD$5&lt;'WK Conversion'!$BB26,"P",IF('Graphical Overview'!BD$5='WK Conversion'!$BB26,"R",IF('Graphical Overview'!BD$5&lt;='WK Conversion'!$BC26,"CI",IF('Graphical Overview'!BD$5&lt;='WK Conversion'!$BD26,"I",""))))))))</f>
        <v>#REF!</v>
      </c>
      <c r="BE32" s="38" t="e">
        <f ca="1">IF('Graphical Overview'!BE$5&lt;='WK Conversion'!$AX26,"ME",IF('Graphical Overview'!BE$5&lt;='WK Conversion'!$AY26,"EE",IF('Graphical Overview'!BE$5&lt;='WK Conversion'!$AZ26,"M",IF('Graphical Overview'!BE$5&lt;='WK Conversion'!$BA26,"A",IF('Graphical Overview'!BE$5&lt;'WK Conversion'!$BB26,"P",IF('Graphical Overview'!BE$5='WK Conversion'!$BB26,"R",IF('Graphical Overview'!BE$5&lt;='WK Conversion'!$BC26,"CI",IF('Graphical Overview'!BE$5&lt;='WK Conversion'!$BD26,"I",""))))))))</f>
        <v>#REF!</v>
      </c>
      <c r="BF32" s="38" t="e">
        <f ca="1">IF('Graphical Overview'!BF$5&lt;='WK Conversion'!$AX26,"ME",IF('Graphical Overview'!BF$5&lt;='WK Conversion'!$AY26,"EE",IF('Graphical Overview'!BF$5&lt;='WK Conversion'!$AZ26,"M",IF('Graphical Overview'!BF$5&lt;='WK Conversion'!$BA26,"A",IF('Graphical Overview'!BF$5&lt;'WK Conversion'!$BB26,"P",IF('Graphical Overview'!BF$5='WK Conversion'!$BB26,"R",IF('Graphical Overview'!BF$5&lt;='WK Conversion'!$BC26,"CI",IF('Graphical Overview'!BF$5&lt;='WK Conversion'!$BD26,"I",""))))))))</f>
        <v>#REF!</v>
      </c>
      <c r="BG32" s="38" t="e">
        <f ca="1">IF('Graphical Overview'!BG$5&lt;='WK Conversion'!$AX26,"ME",IF('Graphical Overview'!BG$5&lt;='WK Conversion'!$AY26,"EE",IF('Graphical Overview'!BG$5&lt;='WK Conversion'!$AZ26,"M",IF('Graphical Overview'!BG$5&lt;='WK Conversion'!$BA26,"A",IF('Graphical Overview'!BG$5&lt;'WK Conversion'!$BB26,"P",IF('Graphical Overview'!BG$5='WK Conversion'!$BB26,"R",IF('Graphical Overview'!BG$5&lt;='WK Conversion'!$BC26,"CI",IF('Graphical Overview'!BG$5&lt;='WK Conversion'!$BD26,"I",""))))))))</f>
        <v>#REF!</v>
      </c>
      <c r="BH32" s="38" t="e">
        <f ca="1">IF('Graphical Overview'!BH$5&lt;='WK Conversion'!$AX26,"ME",IF('Graphical Overview'!BH$5&lt;='WK Conversion'!$AY26,"EE",IF('Graphical Overview'!BH$5&lt;='WK Conversion'!$AZ26,"M",IF('Graphical Overview'!BH$5&lt;='WK Conversion'!$BA26,"A",IF('Graphical Overview'!BH$5&lt;'WK Conversion'!$BB26,"P",IF('Graphical Overview'!BH$5='WK Conversion'!$BB26,"R",IF('Graphical Overview'!BH$5&lt;='WK Conversion'!$BC26,"CI",IF('Graphical Overview'!BH$5&lt;='WK Conversion'!$BD26,"I",""))))))))</f>
        <v>#REF!</v>
      </c>
      <c r="BI32" s="38" t="e">
        <f ca="1">IF('Graphical Overview'!BI$5&lt;='WK Conversion'!$AX26,"ME",IF('Graphical Overview'!BI$5&lt;='WK Conversion'!$AY26,"EE",IF('Graphical Overview'!BI$5&lt;='WK Conversion'!$AZ26,"M",IF('Graphical Overview'!BI$5&lt;='WK Conversion'!$BA26,"A",IF('Graphical Overview'!BI$5&lt;'WK Conversion'!$BB26,"P",IF('Graphical Overview'!BI$5='WK Conversion'!$BB26,"R",IF('Graphical Overview'!BI$5&lt;='WK Conversion'!$BC26,"CI",IF('Graphical Overview'!BI$5&lt;='WK Conversion'!$BD26,"I",""))))))))</f>
        <v>#REF!</v>
      </c>
      <c r="BJ32" s="38" t="e">
        <f ca="1">IF('Graphical Overview'!BJ$5&lt;='WK Conversion'!$AX26,"ME",IF('Graphical Overview'!BJ$5&lt;='WK Conversion'!$AY26,"EE",IF('Graphical Overview'!BJ$5&lt;='WK Conversion'!$AZ26,"M",IF('Graphical Overview'!BJ$5&lt;='WK Conversion'!$BA26,"A",IF('Graphical Overview'!BJ$5&lt;'WK Conversion'!$BB26,"P",IF('Graphical Overview'!BJ$5='WK Conversion'!$BB26,"R",IF('Graphical Overview'!BJ$5&lt;='WK Conversion'!$BC26,"CI",IF('Graphical Overview'!BJ$5&lt;='WK Conversion'!$BD26,"I",""))))))))</f>
        <v>#REF!</v>
      </c>
      <c r="BK32" s="38" t="e">
        <f ca="1">IF('Graphical Overview'!BK$5&lt;='WK Conversion'!$AX26,"ME",IF('Graphical Overview'!BK$5&lt;='WK Conversion'!$AY26,"EE",IF('Graphical Overview'!BK$5&lt;='WK Conversion'!$AZ26,"M",IF('Graphical Overview'!BK$5&lt;='WK Conversion'!$BA26,"A",IF('Graphical Overview'!BK$5&lt;'WK Conversion'!$BB26,"P",IF('Graphical Overview'!BK$5='WK Conversion'!$BB26,"R",IF('Graphical Overview'!BK$5&lt;='WK Conversion'!$BC26,"CI",IF('Graphical Overview'!BK$5&lt;='WK Conversion'!$BD26,"I",""))))))))</f>
        <v>#REF!</v>
      </c>
      <c r="BL32" s="38" t="e">
        <f ca="1">IF('Graphical Overview'!BL$5&lt;='WK Conversion'!$AX26,"ME",IF('Graphical Overview'!BL$5&lt;='WK Conversion'!$AY26,"EE",IF('Graphical Overview'!BL$5&lt;='WK Conversion'!$AZ26,"M",IF('Graphical Overview'!BL$5&lt;='WK Conversion'!$BA26,"A",IF('Graphical Overview'!BL$5&lt;'WK Conversion'!$BB26,"P",IF('Graphical Overview'!BL$5='WK Conversion'!$BB26,"R",IF('Graphical Overview'!BL$5&lt;='WK Conversion'!$BC26,"CI",IF('Graphical Overview'!BL$5&lt;='WK Conversion'!$BD26,"I",""))))))))</f>
        <v>#REF!</v>
      </c>
      <c r="BM32" s="38" t="e">
        <f ca="1">IF('Graphical Overview'!BM$5&lt;='WK Conversion'!$AX26,"ME",IF('Graphical Overview'!BM$5&lt;='WK Conversion'!$AY26,"EE",IF('Graphical Overview'!BM$5&lt;='WK Conversion'!$AZ26,"M",IF('Graphical Overview'!BM$5&lt;='WK Conversion'!$BA26,"A",IF('Graphical Overview'!BM$5&lt;'WK Conversion'!$BB26,"P",IF('Graphical Overview'!BM$5='WK Conversion'!$BB26,"R",IF('Graphical Overview'!BM$5&lt;='WK Conversion'!$BC26,"CI",IF('Graphical Overview'!BM$5&lt;='WK Conversion'!$BD26,"I",""))))))))</f>
        <v>#REF!</v>
      </c>
      <c r="BN32" s="38" t="e">
        <f ca="1">IF('Graphical Overview'!BN$5&lt;='WK Conversion'!$AX26,"ME",IF('Graphical Overview'!BN$5&lt;='WK Conversion'!$AY26,"EE",IF('Graphical Overview'!BN$5&lt;='WK Conversion'!$AZ26,"M",IF('Graphical Overview'!BN$5&lt;='WK Conversion'!$BA26,"A",IF('Graphical Overview'!BN$5&lt;'WK Conversion'!$BB26,"P",IF('Graphical Overview'!BN$5='WK Conversion'!$BB26,"R",IF('Graphical Overview'!BN$5&lt;='WK Conversion'!$BC26,"CI",IF('Graphical Overview'!BN$5&lt;='WK Conversion'!$BD26,"I",""))))))))</f>
        <v>#REF!</v>
      </c>
      <c r="BO32" s="108" t="e">
        <f ca="1">IF('Graphical Overview'!BO$5&lt;='WK Conversion'!$AX26,"ME",IF('Graphical Overview'!BO$5&lt;='WK Conversion'!$AY26,"EE",IF('Graphical Overview'!BO$5&lt;='WK Conversion'!$AZ26,"M",IF('Graphical Overview'!BO$5&lt;='WK Conversion'!$BA26,"A",IF('Graphical Overview'!BO$5&lt;'WK Conversion'!$BB26,"P",IF('Graphical Overview'!BO$5='WK Conversion'!$BB26,"R",IF('Graphical Overview'!BO$5&lt;='WK Conversion'!$BC26,"CI",IF('Graphical Overview'!BO$5&lt;='WK Conversion'!$BD26,"I",""))))))))</f>
        <v>#REF!</v>
      </c>
      <c r="BP32" s="38" t="e">
        <f ca="1">IF('Graphical Overview'!BP$5&lt;='WK Conversion'!$AX26,"ME",IF('Graphical Overview'!BP$5&lt;='WK Conversion'!$AY26,"EE",IF('Graphical Overview'!BP$5&lt;='WK Conversion'!$AZ26,"M",IF('Graphical Overview'!BP$5&lt;='WK Conversion'!$BA26,"A",IF('Graphical Overview'!BP$5&lt;'WK Conversion'!$BB26,"P",IF('Graphical Overview'!BP$5='WK Conversion'!$BB26,"R",IF('Graphical Overview'!BP$5&lt;='WK Conversion'!$BC26,"CI",IF('Graphical Overview'!BP$5&lt;='WK Conversion'!$BD26,"I",""))))))))</f>
        <v>#REF!</v>
      </c>
      <c r="BQ32" s="38" t="e">
        <f ca="1">IF('Graphical Overview'!BQ$5&lt;='WK Conversion'!$AX26,"ME",IF('Graphical Overview'!BQ$5&lt;='WK Conversion'!$AY26,"EE",IF('Graphical Overview'!BQ$5&lt;='WK Conversion'!$AZ26,"M",IF('Graphical Overview'!BQ$5&lt;='WK Conversion'!$BA26,"A",IF('Graphical Overview'!BQ$5&lt;'WK Conversion'!$BB26,"P",IF('Graphical Overview'!BQ$5='WK Conversion'!$BB26,"R",IF('Graphical Overview'!BQ$5&lt;='WK Conversion'!$BC26,"CI",IF('Graphical Overview'!BQ$5&lt;='WK Conversion'!$BD26,"I",""))))))))</f>
        <v>#REF!</v>
      </c>
      <c r="BR32" s="38" t="e">
        <f ca="1">IF('Graphical Overview'!BR$5&lt;='WK Conversion'!$AX26,"ME",IF('Graphical Overview'!BR$5&lt;='WK Conversion'!$AY26,"EE",IF('Graphical Overview'!BR$5&lt;='WK Conversion'!$AZ26,"M",IF('Graphical Overview'!BR$5&lt;='WK Conversion'!$BA26,"A",IF('Graphical Overview'!BR$5&lt;'WK Conversion'!$BB26,"P",IF('Graphical Overview'!BR$5='WK Conversion'!$BB26,"R",IF('Graphical Overview'!BR$5&lt;='WK Conversion'!$BC26,"CI",IF('Graphical Overview'!BR$5&lt;='WK Conversion'!$BD26,"I",""))))))))</f>
        <v>#REF!</v>
      </c>
      <c r="BS32" s="38" t="e">
        <f ca="1">IF('Graphical Overview'!BS$5&lt;='WK Conversion'!$AX26,"ME",IF('Graphical Overview'!BS$5&lt;='WK Conversion'!$AY26,"EE",IF('Graphical Overview'!BS$5&lt;='WK Conversion'!$AZ26,"M",IF('Graphical Overview'!BS$5&lt;='WK Conversion'!$BA26,"A",IF('Graphical Overview'!BS$5&lt;'WK Conversion'!$BB26,"P",IF('Graphical Overview'!BS$5='WK Conversion'!$BB26,"R",IF('Graphical Overview'!BS$5&lt;='WK Conversion'!$BC26,"CI",IF('Graphical Overview'!BS$5&lt;='WK Conversion'!$BD26,"I",""))))))))</f>
        <v>#REF!</v>
      </c>
      <c r="BT32" s="38" t="e">
        <f ca="1">IF('Graphical Overview'!BT$5&lt;='WK Conversion'!$AX26,"ME",IF('Graphical Overview'!BT$5&lt;='WK Conversion'!$AY26,"EE",IF('Graphical Overview'!BT$5&lt;='WK Conversion'!$AZ26,"M",IF('Graphical Overview'!BT$5&lt;='WK Conversion'!$BA26,"A",IF('Graphical Overview'!BT$5&lt;'WK Conversion'!$BB26,"P",IF('Graphical Overview'!BT$5='WK Conversion'!$BB26,"R",IF('Graphical Overview'!BT$5&lt;='WK Conversion'!$BC26,"CI",IF('Graphical Overview'!BT$5&lt;='WK Conversion'!$BD26,"I",""))))))))</f>
        <v>#REF!</v>
      </c>
      <c r="BU32" s="38" t="e">
        <f ca="1">IF('Graphical Overview'!BU$5&lt;='WK Conversion'!$AX26,"ME",IF('Graphical Overview'!BU$5&lt;='WK Conversion'!$AY26,"EE",IF('Graphical Overview'!BU$5&lt;='WK Conversion'!$AZ26,"M",IF('Graphical Overview'!BU$5&lt;='WK Conversion'!$BA26,"A",IF('Graphical Overview'!BU$5&lt;'WK Conversion'!$BB26,"P",IF('Graphical Overview'!BU$5='WK Conversion'!$BB26,"R",IF('Graphical Overview'!BU$5&lt;='WK Conversion'!$BC26,"CI",IF('Graphical Overview'!BU$5&lt;='WK Conversion'!$BD26,"I",""))))))))</f>
        <v>#REF!</v>
      </c>
      <c r="BV32" s="38" t="e">
        <f ca="1">IF('Graphical Overview'!BV$5&lt;='WK Conversion'!$AX26,"ME",IF('Graphical Overview'!BV$5&lt;='WK Conversion'!$AY26,"EE",IF('Graphical Overview'!BV$5&lt;='WK Conversion'!$AZ26,"M",IF('Graphical Overview'!BV$5&lt;='WK Conversion'!$BA26,"A",IF('Graphical Overview'!BV$5&lt;'WK Conversion'!$BB26,"P",IF('Graphical Overview'!BV$5='WK Conversion'!$BB26,"R",IF('Graphical Overview'!BV$5&lt;='WK Conversion'!$BC26,"CI",IF('Graphical Overview'!BV$5&lt;='WK Conversion'!$BD26,"I",""))))))))</f>
        <v>#REF!</v>
      </c>
      <c r="BW32" s="38" t="e">
        <f ca="1">IF('Graphical Overview'!BW$5&lt;='WK Conversion'!$AX26,"ME",IF('Graphical Overview'!BW$5&lt;='WK Conversion'!$AY26,"EE",IF('Graphical Overview'!BW$5&lt;='WK Conversion'!$AZ26,"M",IF('Graphical Overview'!BW$5&lt;='WK Conversion'!$BA26,"A",IF('Graphical Overview'!BW$5&lt;'WK Conversion'!$BB26,"P",IF('Graphical Overview'!BW$5='WK Conversion'!$BB26,"R",IF('Graphical Overview'!BW$5&lt;='WK Conversion'!$BC26,"CI",IF('Graphical Overview'!BW$5&lt;='WK Conversion'!$BD26,"I",""))))))))</f>
        <v>#REF!</v>
      </c>
      <c r="BX32" s="38" t="e">
        <f ca="1">IF('Graphical Overview'!BX$5&lt;='WK Conversion'!$AX26,"ME",IF('Graphical Overview'!BX$5&lt;='WK Conversion'!$AY26,"EE",IF('Graphical Overview'!BX$5&lt;='WK Conversion'!$AZ26,"M",IF('Graphical Overview'!BX$5&lt;='WK Conversion'!$BA26,"A",IF('Graphical Overview'!BX$5&lt;'WK Conversion'!$BB26,"P",IF('Graphical Overview'!BX$5='WK Conversion'!$BB26,"R",IF('Graphical Overview'!BX$5&lt;='WK Conversion'!$BC26,"CI",IF('Graphical Overview'!BX$5&lt;='WK Conversion'!$BD26,"I",""))))))))</f>
        <v>#REF!</v>
      </c>
      <c r="BY32" s="38" t="e">
        <f ca="1">IF('Graphical Overview'!BY$5&lt;='WK Conversion'!$AX26,"ME",IF('Graphical Overview'!BY$5&lt;='WK Conversion'!$AY26,"EE",IF('Graphical Overview'!BY$5&lt;='WK Conversion'!$AZ26,"M",IF('Graphical Overview'!BY$5&lt;='WK Conversion'!$BA26,"A",IF('Graphical Overview'!BY$5&lt;'WK Conversion'!$BB26,"P",IF('Graphical Overview'!BY$5='WK Conversion'!$BB26,"R",IF('Graphical Overview'!BY$5&lt;='WK Conversion'!$BC26,"CI",IF('Graphical Overview'!BY$5&lt;='WK Conversion'!$BD26,"I",""))))))))</f>
        <v>#REF!</v>
      </c>
      <c r="BZ32" s="38" t="e">
        <f ca="1">IF('Graphical Overview'!BZ$5&lt;='WK Conversion'!$AX26,"ME",IF('Graphical Overview'!BZ$5&lt;='WK Conversion'!$AY26,"EE",IF('Graphical Overview'!BZ$5&lt;='WK Conversion'!$AZ26,"M",IF('Graphical Overview'!BZ$5&lt;='WK Conversion'!$BA26,"A",IF('Graphical Overview'!BZ$5&lt;'WK Conversion'!$BB26,"P",IF('Graphical Overview'!BZ$5='WK Conversion'!$BB26,"R",IF('Graphical Overview'!BZ$5&lt;='WK Conversion'!$BC26,"CI",IF('Graphical Overview'!BZ$5&lt;='WK Conversion'!$BD26,"I",""))))))))</f>
        <v>#REF!</v>
      </c>
      <c r="CA32" s="38" t="e">
        <f ca="1">IF('Graphical Overview'!CA$5&lt;='WK Conversion'!$AX26,"ME",IF('Graphical Overview'!CA$5&lt;='WK Conversion'!$AY26,"EE",IF('Graphical Overview'!CA$5&lt;='WK Conversion'!$AZ26,"M",IF('Graphical Overview'!CA$5&lt;='WK Conversion'!$BA26,"A",IF('Graphical Overview'!CA$5&lt;'WK Conversion'!$BB26,"P",IF('Graphical Overview'!CA$5='WK Conversion'!$BB26,"R",IF('Graphical Overview'!CA$5&lt;='WK Conversion'!$BC26,"CI",IF('Graphical Overview'!CA$5&lt;='WK Conversion'!$BD26,"I",""))))))))</f>
        <v>#REF!</v>
      </c>
      <c r="CB32" s="38" t="e">
        <f ca="1">IF('Graphical Overview'!CB$5&lt;='WK Conversion'!$AX26,"ME",IF('Graphical Overview'!CB$5&lt;='WK Conversion'!$AY26,"EE",IF('Graphical Overview'!CB$5&lt;='WK Conversion'!$AZ26,"M",IF('Graphical Overview'!CB$5&lt;='WK Conversion'!$BA26,"A",IF('Graphical Overview'!CB$5&lt;'WK Conversion'!$BB26,"P",IF('Graphical Overview'!CB$5='WK Conversion'!$BB26,"R",IF('Graphical Overview'!CB$5&lt;='WK Conversion'!$BC26,"CI",IF('Graphical Overview'!CB$5&lt;='WK Conversion'!$BD26,"I",""))))))))</f>
        <v>#REF!</v>
      </c>
      <c r="CC32" s="38" t="e">
        <f ca="1">IF('Graphical Overview'!CC$5&lt;='WK Conversion'!$AX26,"ME",IF('Graphical Overview'!CC$5&lt;='WK Conversion'!$AY26,"EE",IF('Graphical Overview'!CC$5&lt;='WK Conversion'!$AZ26,"M",IF('Graphical Overview'!CC$5&lt;='WK Conversion'!$BA26,"A",IF('Graphical Overview'!CC$5&lt;'WK Conversion'!$BB26,"P",IF('Graphical Overview'!CC$5='WK Conversion'!$BB26,"R",IF('Graphical Overview'!CC$5&lt;='WK Conversion'!$BC26,"CI",IF('Graphical Overview'!CC$5&lt;='WK Conversion'!$BD26,"I",""))))))))</f>
        <v>#REF!</v>
      </c>
      <c r="CD32" s="38" t="e">
        <f ca="1">IF('Graphical Overview'!CD$5&lt;='WK Conversion'!$AX26,"ME",IF('Graphical Overview'!CD$5&lt;='WK Conversion'!$AY26,"EE",IF('Graphical Overview'!CD$5&lt;='WK Conversion'!$AZ26,"M",IF('Graphical Overview'!CD$5&lt;='WK Conversion'!$BA26,"A",IF('Graphical Overview'!CD$5&lt;'WK Conversion'!$BB26,"P",IF('Graphical Overview'!CD$5='WK Conversion'!$BB26,"R",IF('Graphical Overview'!CD$5&lt;='WK Conversion'!$BC26,"CI",IF('Graphical Overview'!CD$5&lt;='WK Conversion'!$BD26,"I",""))))))))</f>
        <v>#REF!</v>
      </c>
      <c r="CE32" s="38" t="e">
        <f ca="1">IF('Graphical Overview'!CE$5&lt;='WK Conversion'!$AX26,"ME",IF('Graphical Overview'!CE$5&lt;='WK Conversion'!$AY26,"EE",IF('Graphical Overview'!CE$5&lt;='WK Conversion'!$AZ26,"M",IF('Graphical Overview'!CE$5&lt;='WK Conversion'!$BA26,"A",IF('Graphical Overview'!CE$5&lt;'WK Conversion'!$BB26,"P",IF('Graphical Overview'!CE$5='WK Conversion'!$BB26,"R",IF('Graphical Overview'!CE$5&lt;='WK Conversion'!$BC26,"CI",IF('Graphical Overview'!CE$5&lt;='WK Conversion'!$BD26,"I",""))))))))</f>
        <v>#REF!</v>
      </c>
      <c r="CF32" s="39" t="e">
        <f ca="1">IF('Graphical Overview'!CF$5&lt;='WK Conversion'!$AX26,"ME",IF('Graphical Overview'!CF$5&lt;='WK Conversion'!$AY26,"EE",IF('Graphical Overview'!CF$5&lt;='WK Conversion'!$AZ26,"M",IF('Graphical Overview'!CF$5&lt;='WK Conversion'!$BA26,"A",IF('Graphical Overview'!CF$5&lt;'WK Conversion'!$BB26,"P",IF('Graphical Overview'!CF$5='WK Conversion'!$BB26,"R",IF('Graphical Overview'!CF$5&lt;='WK Conversion'!$BC26,"CI",IF('Graphical Overview'!CF$5&lt;='WK Conversion'!$BD26,"I",""))))))))</f>
        <v>#REF!</v>
      </c>
    </row>
    <row r="33" spans="1:84" ht="22.5" customHeight="1" x14ac:dyDescent="0.25">
      <c r="A33" s="41" t="e">
        <f>IF(Data!#REF!="","",Data!#REF!)</f>
        <v>#REF!</v>
      </c>
      <c r="B33" s="42" t="e">
        <f>IF(Data!#REF!="","",Data!#REF!)</f>
        <v>#REF!</v>
      </c>
      <c r="C33" s="42" t="e">
        <f>IF(Data!#REF!="","",Data!#REF!)</f>
        <v>#REF!</v>
      </c>
      <c r="D33" s="90" t="e">
        <f>IF(Data!#REF!="","",Data!#REF!)</f>
        <v>#REF!</v>
      </c>
      <c r="E33" s="42" t="e">
        <f>IF(Data!#REF!="","",Data!#REF!)</f>
        <v>#REF!</v>
      </c>
      <c r="F33" s="99" t="e">
        <f>IF(Data!#REF!="","",Data!#REF!)</f>
        <v>#REF!</v>
      </c>
      <c r="G33" s="105" t="e">
        <f t="shared" si="2"/>
        <v>#REF!</v>
      </c>
      <c r="H33" s="106" t="e">
        <f>IF(Data!#REF!="","",Data!#REF!)</f>
        <v>#REF!</v>
      </c>
      <c r="I33" s="106" t="e">
        <f>IF(Data!#REF!="","",Data!#REF!)</f>
        <v>#REF!</v>
      </c>
      <c r="J33" s="106" t="e">
        <f>IF(Data!#REF!="","",Data!#REF!)</f>
        <v>#REF!</v>
      </c>
      <c r="K33" s="106" t="e">
        <f>IF(Data!#REF!="","",Data!#REF!)</f>
        <v>#REF!</v>
      </c>
      <c r="L33" s="106" t="e">
        <f>IF(Data!#REF!="","",Data!#REF!)</f>
        <v>#REF!</v>
      </c>
      <c r="M33" s="106" t="e">
        <f>IF(Data!#REF!="","",Data!#REF!)</f>
        <v>#REF!</v>
      </c>
      <c r="N33" s="106" t="e">
        <f>IF(Data!#REF!="","",Data!#REF!)</f>
        <v>#REF!</v>
      </c>
      <c r="O33" s="106" t="e">
        <f>IF(Data!#REF!="","",Data!#REF!)</f>
        <v>#REF!</v>
      </c>
      <c r="P33" s="106" t="e">
        <f>IF(Data!#REF!="","",Data!#REF!)</f>
        <v>#REF!</v>
      </c>
      <c r="Q33" s="107" t="e">
        <f>IF(Data!#REF!="","",Data!#REF!)</f>
        <v>#REF!</v>
      </c>
      <c r="R33" s="105" t="e">
        <f>IF(Data!#REF!="","",Data!#REF!)</f>
        <v>#REF!</v>
      </c>
      <c r="S33" s="106" t="e">
        <f>IF(Data!#REF!="","",Data!#REF!)</f>
        <v>#REF!</v>
      </c>
      <c r="T33" s="106" t="e">
        <f>IF(Data!#REF!="","",Data!#REF!)</f>
        <v>#REF!</v>
      </c>
      <c r="U33" s="106" t="e">
        <f>IF(Data!#REF!="","",Data!#REF!)</f>
        <v>#REF!</v>
      </c>
      <c r="V33" s="106" t="e">
        <f>IF(Data!#REF!="","",Data!#REF!)</f>
        <v>#REF!</v>
      </c>
      <c r="W33" s="106" t="e">
        <f>IF(Data!#REF!="","",Data!#REF!)</f>
        <v>#REF!</v>
      </c>
      <c r="X33" s="106" t="e">
        <f>IF(Data!#REF!="","",Data!#REF!)</f>
        <v>#REF!</v>
      </c>
      <c r="Y33" s="106" t="e">
        <f>IF(Data!#REF!="","",Data!#REF!)</f>
        <v>#REF!</v>
      </c>
      <c r="Z33" s="106" t="e">
        <f>IF(Data!#REF!="","",Data!#REF!)</f>
        <v>#REF!</v>
      </c>
      <c r="AA33" s="106" t="e">
        <f>IF(Data!#REF!="","",Data!#REF!)</f>
        <v>#REF!</v>
      </c>
      <c r="AB33" s="107" t="e">
        <f>IF(Data!#REF!="","",Data!#REF!)</f>
        <v>#REF!</v>
      </c>
      <c r="AC33" s="105" t="e">
        <f>IF(Data!#REF!="","",Data!#REF!)</f>
        <v>#REF!</v>
      </c>
      <c r="AD33" s="106" t="e">
        <f>IF(Data!#REF!="","",Data!#REF!)</f>
        <v>#REF!</v>
      </c>
      <c r="AE33" s="106" t="e">
        <f>IF(Data!#REF!="","",Data!#REF!)</f>
        <v>#REF!</v>
      </c>
      <c r="AF33" s="106" t="e">
        <f>IF(Data!#REF!="","",Data!#REF!)</f>
        <v>#REF!</v>
      </c>
      <c r="AG33" s="106" t="e">
        <f>IF(Data!#REF!="","",Data!#REF!)</f>
        <v>#REF!</v>
      </c>
      <c r="AH33" s="106" t="e">
        <f>IF(Data!#REF!="","",Data!#REF!)</f>
        <v>#REF!</v>
      </c>
      <c r="AI33" s="106" t="e">
        <f>IF(Data!#REF!="","",Data!#REF!)</f>
        <v>#REF!</v>
      </c>
      <c r="AJ33" s="106" t="e">
        <f>IF(Data!#REF!="","",Data!#REF!)</f>
        <v>#REF!</v>
      </c>
      <c r="AK33" s="106" t="e">
        <f>IF(Data!#REF!="","",Data!#REF!)</f>
        <v>#REF!</v>
      </c>
      <c r="AL33" s="106" t="e">
        <f>IF(Data!#REF!="","",Data!#REF!)</f>
        <v>#REF!</v>
      </c>
      <c r="AM33" s="107" t="e">
        <f>IF(Data!#REF!="","",Data!#REF!)</f>
        <v>#REF!</v>
      </c>
      <c r="AN33" s="105" t="e">
        <f>IF(Data!#REF!="","",Data!#REF!)</f>
        <v>#REF!</v>
      </c>
      <c r="AO33" s="106" t="e">
        <f>IF(Data!#REF!="","",Data!#REF!)</f>
        <v>#REF!</v>
      </c>
      <c r="AP33" s="106" t="e">
        <f>IF(Data!#REF!="","",Data!#REF!)</f>
        <v>#REF!</v>
      </c>
      <c r="AQ33" s="106" t="e">
        <f>IF(Data!#REF!="","",Data!#REF!)</f>
        <v>#REF!</v>
      </c>
      <c r="AR33" s="106" t="e">
        <f>IF(Data!#REF!="","",Data!#REF!)</f>
        <v>#REF!</v>
      </c>
      <c r="AS33" s="106" t="e">
        <f>IF(Data!#REF!="","",Data!#REF!)</f>
        <v>#REF!</v>
      </c>
      <c r="AT33" s="106" t="e">
        <f>IF(Data!#REF!="","",Data!#REF!)</f>
        <v>#REF!</v>
      </c>
      <c r="AU33" s="106" t="e">
        <f>IF(Data!#REF!="","",Data!#REF!)</f>
        <v>#REF!</v>
      </c>
      <c r="AV33" s="106" t="e">
        <f>IF(Data!#REF!="","",Data!#REF!)</f>
        <v>#REF!</v>
      </c>
      <c r="AW33" s="106" t="e">
        <f>IF(Data!#REF!="","",Data!#REF!)</f>
        <v>#REF!</v>
      </c>
      <c r="AX33" s="106" t="e">
        <f>IF(Data!#REF!="","",Data!#REF!)</f>
        <v>#REF!</v>
      </c>
      <c r="AY33" s="107" t="e">
        <f>IF(Data!#REF!="","",Data!#REF!)</f>
        <v>#REF!</v>
      </c>
      <c r="AZ33" s="109" t="e">
        <f>IF(Data!#REF!="","",Data!#REF!)</f>
        <v>#REF!</v>
      </c>
      <c r="BA33"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3"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3"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3"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3"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3"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3"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3"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3"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3"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3"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3"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3"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3"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3"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3"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3"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3"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3"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3"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3"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3"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3"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3"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3"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3"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3"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3"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3"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3"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3"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3"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4" spans="1:84" ht="22.5" customHeight="1" x14ac:dyDescent="0.25">
      <c r="A34" s="41" t="e">
        <f>IF(Data!#REF!="","",Data!#REF!)</f>
        <v>#REF!</v>
      </c>
      <c r="B34" s="42" t="e">
        <f>IF(Data!#REF!="","",Data!#REF!)</f>
        <v>#REF!</v>
      </c>
      <c r="C34" s="42" t="e">
        <f>IF(Data!#REF!="","",Data!#REF!)</f>
        <v>#REF!</v>
      </c>
      <c r="D34" s="90" t="e">
        <f>IF(Data!#REF!="","",Data!#REF!)</f>
        <v>#REF!</v>
      </c>
      <c r="E34" s="42" t="e">
        <f>IF(Data!#REF!="","",Data!#REF!)</f>
        <v>#REF!</v>
      </c>
      <c r="F34" s="99" t="e">
        <f>IF(Data!#REF!="","",Data!#REF!)</f>
        <v>#REF!</v>
      </c>
      <c r="G34" s="105" t="e">
        <f t="shared" si="2"/>
        <v>#REF!</v>
      </c>
      <c r="H34" s="106" t="e">
        <f>IF(Data!#REF!="","",Data!#REF!)</f>
        <v>#REF!</v>
      </c>
      <c r="I34" s="106" t="e">
        <f>IF(Data!#REF!="","",Data!#REF!)</f>
        <v>#REF!</v>
      </c>
      <c r="J34" s="106" t="e">
        <f>IF(Data!#REF!="","",Data!#REF!)</f>
        <v>#REF!</v>
      </c>
      <c r="K34" s="106" t="e">
        <f>IF(Data!#REF!="","",Data!#REF!)</f>
        <v>#REF!</v>
      </c>
      <c r="L34" s="106" t="e">
        <f>IF(Data!#REF!="","",Data!#REF!)</f>
        <v>#REF!</v>
      </c>
      <c r="M34" s="106" t="e">
        <f>IF(Data!#REF!="","",Data!#REF!)</f>
        <v>#REF!</v>
      </c>
      <c r="N34" s="106" t="e">
        <f>IF(Data!#REF!="","",Data!#REF!)</f>
        <v>#REF!</v>
      </c>
      <c r="O34" s="106" t="e">
        <f>IF(Data!#REF!="","",Data!#REF!)</f>
        <v>#REF!</v>
      </c>
      <c r="P34" s="106" t="e">
        <f>IF(Data!#REF!="","",Data!#REF!)</f>
        <v>#REF!</v>
      </c>
      <c r="Q34" s="107" t="e">
        <f>IF(Data!#REF!="","",Data!#REF!)</f>
        <v>#REF!</v>
      </c>
      <c r="R34" s="105" t="e">
        <f>IF(Data!#REF!="","",Data!#REF!)</f>
        <v>#REF!</v>
      </c>
      <c r="S34" s="106" t="e">
        <f>IF(Data!#REF!="","",Data!#REF!)</f>
        <v>#REF!</v>
      </c>
      <c r="T34" s="106" t="e">
        <f>IF(Data!#REF!="","",Data!#REF!)</f>
        <v>#REF!</v>
      </c>
      <c r="U34" s="106" t="e">
        <f>IF(Data!#REF!="","",Data!#REF!)</f>
        <v>#REF!</v>
      </c>
      <c r="V34" s="106" t="e">
        <f>IF(Data!#REF!="","",Data!#REF!)</f>
        <v>#REF!</v>
      </c>
      <c r="W34" s="106" t="e">
        <f>IF(Data!#REF!="","",Data!#REF!)</f>
        <v>#REF!</v>
      </c>
      <c r="X34" s="106" t="e">
        <f>IF(Data!#REF!="","",Data!#REF!)</f>
        <v>#REF!</v>
      </c>
      <c r="Y34" s="106" t="e">
        <f>IF(Data!#REF!="","",Data!#REF!)</f>
        <v>#REF!</v>
      </c>
      <c r="Z34" s="106" t="e">
        <f>IF(Data!#REF!="","",Data!#REF!)</f>
        <v>#REF!</v>
      </c>
      <c r="AA34" s="106" t="e">
        <f>IF(Data!#REF!="","",Data!#REF!)</f>
        <v>#REF!</v>
      </c>
      <c r="AB34" s="107" t="e">
        <f>IF(Data!#REF!="","",Data!#REF!)</f>
        <v>#REF!</v>
      </c>
      <c r="AC34" s="105" t="e">
        <f>IF(Data!#REF!="","",Data!#REF!)</f>
        <v>#REF!</v>
      </c>
      <c r="AD34" s="106" t="e">
        <f>IF(Data!#REF!="","",Data!#REF!)</f>
        <v>#REF!</v>
      </c>
      <c r="AE34" s="106" t="e">
        <f>IF(Data!#REF!="","",Data!#REF!)</f>
        <v>#REF!</v>
      </c>
      <c r="AF34" s="106" t="e">
        <f>IF(Data!#REF!="","",Data!#REF!)</f>
        <v>#REF!</v>
      </c>
      <c r="AG34" s="106" t="e">
        <f>IF(Data!#REF!="","",Data!#REF!)</f>
        <v>#REF!</v>
      </c>
      <c r="AH34" s="106" t="e">
        <f>IF(Data!#REF!="","",Data!#REF!)</f>
        <v>#REF!</v>
      </c>
      <c r="AI34" s="106" t="e">
        <f>IF(Data!#REF!="","",Data!#REF!)</f>
        <v>#REF!</v>
      </c>
      <c r="AJ34" s="106" t="e">
        <f>IF(Data!#REF!="","",Data!#REF!)</f>
        <v>#REF!</v>
      </c>
      <c r="AK34" s="106" t="e">
        <f>IF(Data!#REF!="","",Data!#REF!)</f>
        <v>#REF!</v>
      </c>
      <c r="AL34" s="106" t="e">
        <f>IF(Data!#REF!="","",Data!#REF!)</f>
        <v>#REF!</v>
      </c>
      <c r="AM34" s="107" t="e">
        <f>IF(Data!#REF!="","",Data!#REF!)</f>
        <v>#REF!</v>
      </c>
      <c r="AN34" s="105" t="e">
        <f>IF(Data!#REF!="","",Data!#REF!)</f>
        <v>#REF!</v>
      </c>
      <c r="AO34" s="106" t="e">
        <f>IF(Data!#REF!="","",Data!#REF!)</f>
        <v>#REF!</v>
      </c>
      <c r="AP34" s="106" t="e">
        <f>IF(Data!#REF!="","",Data!#REF!)</f>
        <v>#REF!</v>
      </c>
      <c r="AQ34" s="106" t="e">
        <f>IF(Data!#REF!="","",Data!#REF!)</f>
        <v>#REF!</v>
      </c>
      <c r="AR34" s="106" t="e">
        <f>IF(Data!#REF!="","",Data!#REF!)</f>
        <v>#REF!</v>
      </c>
      <c r="AS34" s="106" t="e">
        <f>IF(Data!#REF!="","",Data!#REF!)</f>
        <v>#REF!</v>
      </c>
      <c r="AT34" s="106" t="e">
        <f>IF(Data!#REF!="","",Data!#REF!)</f>
        <v>#REF!</v>
      </c>
      <c r="AU34" s="106" t="e">
        <f>IF(Data!#REF!="","",Data!#REF!)</f>
        <v>#REF!</v>
      </c>
      <c r="AV34" s="106" t="e">
        <f>IF(Data!#REF!="","",Data!#REF!)</f>
        <v>#REF!</v>
      </c>
      <c r="AW34" s="106" t="e">
        <f>IF(Data!#REF!="","",Data!#REF!)</f>
        <v>#REF!</v>
      </c>
      <c r="AX34" s="106" t="e">
        <f>IF(Data!#REF!="","",Data!#REF!)</f>
        <v>#REF!</v>
      </c>
      <c r="AY34" s="107" t="e">
        <f>IF(Data!#REF!="","",Data!#REF!)</f>
        <v>#REF!</v>
      </c>
      <c r="AZ34" s="109" t="e">
        <f>IF(Data!#REF!="","",Data!#REF!)</f>
        <v>#REF!</v>
      </c>
      <c r="BA34"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4"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4"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4"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4"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4"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4"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4"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4"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4"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4"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4"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4"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4"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4"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4"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4"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4"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4"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4"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4"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4"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4"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4"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4"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4"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4"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4"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4"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4"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4"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4"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5" spans="1:84" ht="22.5" customHeight="1" x14ac:dyDescent="0.25">
      <c r="A35" s="41" t="e">
        <f>IF(Data!#REF!="","",Data!#REF!)</f>
        <v>#REF!</v>
      </c>
      <c r="B35" s="42" t="e">
        <f>IF(Data!#REF!="","",Data!#REF!)</f>
        <v>#REF!</v>
      </c>
      <c r="C35" s="42" t="e">
        <f>IF(Data!#REF!="","",Data!#REF!)</f>
        <v>#REF!</v>
      </c>
      <c r="D35" s="90" t="e">
        <f>IF(Data!#REF!="","",Data!#REF!)</f>
        <v>#REF!</v>
      </c>
      <c r="E35" s="42" t="e">
        <f>IF(Data!#REF!="","",Data!#REF!)</f>
        <v>#REF!</v>
      </c>
      <c r="F35" s="99" t="e">
        <f>IF(Data!#REF!="","",Data!#REF!)</f>
        <v>#REF!</v>
      </c>
      <c r="G35" s="105" t="e">
        <f t="shared" si="2"/>
        <v>#REF!</v>
      </c>
      <c r="H35" s="106" t="e">
        <f>IF(Data!#REF!="","",Data!#REF!)</f>
        <v>#REF!</v>
      </c>
      <c r="I35" s="106" t="e">
        <f>IF(Data!#REF!="","",Data!#REF!)</f>
        <v>#REF!</v>
      </c>
      <c r="J35" s="106" t="e">
        <f>IF(Data!#REF!="","",Data!#REF!)</f>
        <v>#REF!</v>
      </c>
      <c r="K35" s="106" t="e">
        <f>IF(Data!#REF!="","",Data!#REF!)</f>
        <v>#REF!</v>
      </c>
      <c r="L35" s="106" t="e">
        <f>IF(Data!#REF!="","",Data!#REF!)</f>
        <v>#REF!</v>
      </c>
      <c r="M35" s="106" t="e">
        <f>IF(Data!#REF!="","",Data!#REF!)</f>
        <v>#REF!</v>
      </c>
      <c r="N35" s="106" t="e">
        <f>IF(Data!#REF!="","",Data!#REF!)</f>
        <v>#REF!</v>
      </c>
      <c r="O35" s="106" t="e">
        <f>IF(Data!#REF!="","",Data!#REF!)</f>
        <v>#REF!</v>
      </c>
      <c r="P35" s="106" t="e">
        <f>IF(Data!#REF!="","",Data!#REF!)</f>
        <v>#REF!</v>
      </c>
      <c r="Q35" s="107" t="e">
        <f>IF(Data!#REF!="","",Data!#REF!)</f>
        <v>#REF!</v>
      </c>
      <c r="R35" s="105" t="e">
        <f>IF(Data!#REF!="","",Data!#REF!)</f>
        <v>#REF!</v>
      </c>
      <c r="S35" s="106" t="e">
        <f>IF(Data!#REF!="","",Data!#REF!)</f>
        <v>#REF!</v>
      </c>
      <c r="T35" s="106" t="e">
        <f>IF(Data!#REF!="","",Data!#REF!)</f>
        <v>#REF!</v>
      </c>
      <c r="U35" s="106" t="e">
        <f>IF(Data!#REF!="","",Data!#REF!)</f>
        <v>#REF!</v>
      </c>
      <c r="V35" s="106" t="e">
        <f>IF(Data!#REF!="","",Data!#REF!)</f>
        <v>#REF!</v>
      </c>
      <c r="W35" s="106" t="e">
        <f>IF(Data!#REF!="","",Data!#REF!)</f>
        <v>#REF!</v>
      </c>
      <c r="X35" s="106" t="e">
        <f>IF(Data!#REF!="","",Data!#REF!)</f>
        <v>#REF!</v>
      </c>
      <c r="Y35" s="106" t="e">
        <f>IF(Data!#REF!="","",Data!#REF!)</f>
        <v>#REF!</v>
      </c>
      <c r="Z35" s="106" t="e">
        <f>IF(Data!#REF!="","",Data!#REF!)</f>
        <v>#REF!</v>
      </c>
      <c r="AA35" s="106" t="e">
        <f>IF(Data!#REF!="","",Data!#REF!)</f>
        <v>#REF!</v>
      </c>
      <c r="AB35" s="107" t="e">
        <f>IF(Data!#REF!="","",Data!#REF!)</f>
        <v>#REF!</v>
      </c>
      <c r="AC35" s="105" t="e">
        <f>IF(Data!#REF!="","",Data!#REF!)</f>
        <v>#REF!</v>
      </c>
      <c r="AD35" s="106" t="e">
        <f>IF(Data!#REF!="","",Data!#REF!)</f>
        <v>#REF!</v>
      </c>
      <c r="AE35" s="106" t="e">
        <f>IF(Data!#REF!="","",Data!#REF!)</f>
        <v>#REF!</v>
      </c>
      <c r="AF35" s="106" t="e">
        <f>IF(Data!#REF!="","",Data!#REF!)</f>
        <v>#REF!</v>
      </c>
      <c r="AG35" s="106" t="e">
        <f>IF(Data!#REF!="","",Data!#REF!)</f>
        <v>#REF!</v>
      </c>
      <c r="AH35" s="106" t="e">
        <f>IF(Data!#REF!="","",Data!#REF!)</f>
        <v>#REF!</v>
      </c>
      <c r="AI35" s="106" t="e">
        <f>IF(Data!#REF!="","",Data!#REF!)</f>
        <v>#REF!</v>
      </c>
      <c r="AJ35" s="106" t="e">
        <f>IF(Data!#REF!="","",Data!#REF!)</f>
        <v>#REF!</v>
      </c>
      <c r="AK35" s="106" t="e">
        <f>IF(Data!#REF!="","",Data!#REF!)</f>
        <v>#REF!</v>
      </c>
      <c r="AL35" s="106" t="e">
        <f>IF(Data!#REF!="","",Data!#REF!)</f>
        <v>#REF!</v>
      </c>
      <c r="AM35" s="107" t="e">
        <f>IF(Data!#REF!="","",Data!#REF!)</f>
        <v>#REF!</v>
      </c>
      <c r="AN35" s="105" t="e">
        <f>IF(Data!#REF!="","",Data!#REF!)</f>
        <v>#REF!</v>
      </c>
      <c r="AO35" s="106" t="e">
        <f>IF(Data!#REF!="","",Data!#REF!)</f>
        <v>#REF!</v>
      </c>
      <c r="AP35" s="106" t="e">
        <f>IF(Data!#REF!="","",Data!#REF!)</f>
        <v>#REF!</v>
      </c>
      <c r="AQ35" s="106" t="e">
        <f>IF(Data!#REF!="","",Data!#REF!)</f>
        <v>#REF!</v>
      </c>
      <c r="AR35" s="106" t="e">
        <f>IF(Data!#REF!="","",Data!#REF!)</f>
        <v>#REF!</v>
      </c>
      <c r="AS35" s="106" t="e">
        <f>IF(Data!#REF!="","",Data!#REF!)</f>
        <v>#REF!</v>
      </c>
      <c r="AT35" s="106" t="e">
        <f>IF(Data!#REF!="","",Data!#REF!)</f>
        <v>#REF!</v>
      </c>
      <c r="AU35" s="106" t="e">
        <f>IF(Data!#REF!="","",Data!#REF!)</f>
        <v>#REF!</v>
      </c>
      <c r="AV35" s="106" t="e">
        <f>IF(Data!#REF!="","",Data!#REF!)</f>
        <v>#REF!</v>
      </c>
      <c r="AW35" s="106" t="e">
        <f>IF(Data!#REF!="","",Data!#REF!)</f>
        <v>#REF!</v>
      </c>
      <c r="AX35" s="106" t="e">
        <f>IF(Data!#REF!="","",Data!#REF!)</f>
        <v>#REF!</v>
      </c>
      <c r="AY35" s="107" t="e">
        <f>IF(Data!#REF!="","",Data!#REF!)</f>
        <v>#REF!</v>
      </c>
      <c r="AZ35" s="109" t="e">
        <f>IF(Data!#REF!="","",Data!#REF!)</f>
        <v>#REF!</v>
      </c>
      <c r="BA35" s="116" t="e">
        <f ca="1">IF('Graphical Overview'!BA$5&lt;='WK Conversion'!$AX27,"ME",IF('Graphical Overview'!BA$5&lt;='WK Conversion'!$AY27,"EE",IF('Graphical Overview'!BA$5&lt;='WK Conversion'!$AZ27,"M",IF('Graphical Overview'!BA$5&lt;='WK Conversion'!$BA27,"A",IF('Graphical Overview'!BA$5&lt;'WK Conversion'!$BB27,"P",IF('Graphical Overview'!BA$5='WK Conversion'!$BB27,"R",IF('Graphical Overview'!BA$5&lt;='WK Conversion'!$BC27,"CI",IF('Graphical Overview'!BA$5&lt;='WK Conversion'!$BD27,"I",""))))))))</f>
        <v>#REF!</v>
      </c>
      <c r="BB35" s="38" t="e">
        <f ca="1">IF('Graphical Overview'!BB$5&lt;='WK Conversion'!$AX27,"ME",IF('Graphical Overview'!BB$5&lt;='WK Conversion'!$AY27,"EE",IF('Graphical Overview'!BB$5&lt;='WK Conversion'!$AZ27,"M",IF('Graphical Overview'!BB$5&lt;='WK Conversion'!$BA27,"A",IF('Graphical Overview'!BB$5&lt;'WK Conversion'!$BB27,"P",IF('Graphical Overview'!BB$5='WK Conversion'!$BB27,"R",IF('Graphical Overview'!BB$5&lt;='WK Conversion'!$BC27,"CI",IF('Graphical Overview'!BB$5&lt;='WK Conversion'!$BD27,"I",""))))))))</f>
        <v>#REF!</v>
      </c>
      <c r="BC35" s="38" t="e">
        <f ca="1">IF('Graphical Overview'!BC$5&lt;='WK Conversion'!$AX27,"ME",IF('Graphical Overview'!BC$5&lt;='WK Conversion'!$AY27,"EE",IF('Graphical Overview'!BC$5&lt;='WK Conversion'!$AZ27,"M",IF('Graphical Overview'!BC$5&lt;='WK Conversion'!$BA27,"A",IF('Graphical Overview'!BC$5&lt;'WK Conversion'!$BB27,"P",IF('Graphical Overview'!BC$5='WK Conversion'!$BB27,"R",IF('Graphical Overview'!BC$5&lt;='WK Conversion'!$BC27,"CI",IF('Graphical Overview'!BC$5&lt;='WK Conversion'!$BD27,"I",""))))))))</f>
        <v>#REF!</v>
      </c>
      <c r="BD35" s="38" t="e">
        <f ca="1">IF('Graphical Overview'!BD$5&lt;='WK Conversion'!$AX27,"ME",IF('Graphical Overview'!BD$5&lt;='WK Conversion'!$AY27,"EE",IF('Graphical Overview'!BD$5&lt;='WK Conversion'!$AZ27,"M",IF('Graphical Overview'!BD$5&lt;='WK Conversion'!$BA27,"A",IF('Graphical Overview'!BD$5&lt;'WK Conversion'!$BB27,"P",IF('Graphical Overview'!BD$5='WK Conversion'!$BB27,"R",IF('Graphical Overview'!BD$5&lt;='WK Conversion'!$BC27,"CI",IF('Graphical Overview'!BD$5&lt;='WK Conversion'!$BD27,"I",""))))))))</f>
        <v>#REF!</v>
      </c>
      <c r="BE35" s="38" t="e">
        <f ca="1">IF('Graphical Overview'!BE$5&lt;='WK Conversion'!$AX27,"ME",IF('Graphical Overview'!BE$5&lt;='WK Conversion'!$AY27,"EE",IF('Graphical Overview'!BE$5&lt;='WK Conversion'!$AZ27,"M",IF('Graphical Overview'!BE$5&lt;='WK Conversion'!$BA27,"A",IF('Graphical Overview'!BE$5&lt;'WK Conversion'!$BB27,"P",IF('Graphical Overview'!BE$5='WK Conversion'!$BB27,"R",IF('Graphical Overview'!BE$5&lt;='WK Conversion'!$BC27,"CI",IF('Graphical Overview'!BE$5&lt;='WK Conversion'!$BD27,"I",""))))))))</f>
        <v>#REF!</v>
      </c>
      <c r="BF35" s="38" t="e">
        <f ca="1">IF('Graphical Overview'!BF$5&lt;='WK Conversion'!$AX27,"ME",IF('Graphical Overview'!BF$5&lt;='WK Conversion'!$AY27,"EE",IF('Graphical Overview'!BF$5&lt;='WK Conversion'!$AZ27,"M",IF('Graphical Overview'!BF$5&lt;='WK Conversion'!$BA27,"A",IF('Graphical Overview'!BF$5&lt;'WK Conversion'!$BB27,"P",IF('Graphical Overview'!BF$5='WK Conversion'!$BB27,"R",IF('Graphical Overview'!BF$5&lt;='WK Conversion'!$BC27,"CI",IF('Graphical Overview'!BF$5&lt;='WK Conversion'!$BD27,"I",""))))))))</f>
        <v>#REF!</v>
      </c>
      <c r="BG35" s="38" t="e">
        <f ca="1">IF('Graphical Overview'!BG$5&lt;='WK Conversion'!$AX27,"ME",IF('Graphical Overview'!BG$5&lt;='WK Conversion'!$AY27,"EE",IF('Graphical Overview'!BG$5&lt;='WK Conversion'!$AZ27,"M",IF('Graphical Overview'!BG$5&lt;='WK Conversion'!$BA27,"A",IF('Graphical Overview'!BG$5&lt;'WK Conversion'!$BB27,"P",IF('Graphical Overview'!BG$5='WK Conversion'!$BB27,"R",IF('Graphical Overview'!BG$5&lt;='WK Conversion'!$BC27,"CI",IF('Graphical Overview'!BG$5&lt;='WK Conversion'!$BD27,"I",""))))))))</f>
        <v>#REF!</v>
      </c>
      <c r="BH35" s="38" t="e">
        <f ca="1">IF('Graphical Overview'!BH$5&lt;='WK Conversion'!$AX27,"ME",IF('Graphical Overview'!BH$5&lt;='WK Conversion'!$AY27,"EE",IF('Graphical Overview'!BH$5&lt;='WK Conversion'!$AZ27,"M",IF('Graphical Overview'!BH$5&lt;='WK Conversion'!$BA27,"A",IF('Graphical Overview'!BH$5&lt;'WK Conversion'!$BB27,"P",IF('Graphical Overview'!BH$5='WK Conversion'!$BB27,"R",IF('Graphical Overview'!BH$5&lt;='WK Conversion'!$BC27,"CI",IF('Graphical Overview'!BH$5&lt;='WK Conversion'!$BD27,"I",""))))))))</f>
        <v>#REF!</v>
      </c>
      <c r="BI35" s="38" t="e">
        <f ca="1">IF('Graphical Overview'!BI$5&lt;='WK Conversion'!$AX27,"ME",IF('Graphical Overview'!BI$5&lt;='WK Conversion'!$AY27,"EE",IF('Graphical Overview'!BI$5&lt;='WK Conversion'!$AZ27,"M",IF('Graphical Overview'!BI$5&lt;='WK Conversion'!$BA27,"A",IF('Graphical Overview'!BI$5&lt;'WK Conversion'!$BB27,"P",IF('Graphical Overview'!BI$5='WK Conversion'!$BB27,"R",IF('Graphical Overview'!BI$5&lt;='WK Conversion'!$BC27,"CI",IF('Graphical Overview'!BI$5&lt;='WK Conversion'!$BD27,"I",""))))))))</f>
        <v>#REF!</v>
      </c>
      <c r="BJ35" s="38" t="e">
        <f ca="1">IF('Graphical Overview'!BJ$5&lt;='WK Conversion'!$AX27,"ME",IF('Graphical Overview'!BJ$5&lt;='WK Conversion'!$AY27,"EE",IF('Graphical Overview'!BJ$5&lt;='WK Conversion'!$AZ27,"M",IF('Graphical Overview'!BJ$5&lt;='WK Conversion'!$BA27,"A",IF('Graphical Overview'!BJ$5&lt;'WK Conversion'!$BB27,"P",IF('Graphical Overview'!BJ$5='WK Conversion'!$BB27,"R",IF('Graphical Overview'!BJ$5&lt;='WK Conversion'!$BC27,"CI",IF('Graphical Overview'!BJ$5&lt;='WK Conversion'!$BD27,"I",""))))))))</f>
        <v>#REF!</v>
      </c>
      <c r="BK35" s="38" t="e">
        <f ca="1">IF('Graphical Overview'!BK$5&lt;='WK Conversion'!$AX27,"ME",IF('Graphical Overview'!BK$5&lt;='WK Conversion'!$AY27,"EE",IF('Graphical Overview'!BK$5&lt;='WK Conversion'!$AZ27,"M",IF('Graphical Overview'!BK$5&lt;='WK Conversion'!$BA27,"A",IF('Graphical Overview'!BK$5&lt;'WK Conversion'!$BB27,"P",IF('Graphical Overview'!BK$5='WK Conversion'!$BB27,"R",IF('Graphical Overview'!BK$5&lt;='WK Conversion'!$BC27,"CI",IF('Graphical Overview'!BK$5&lt;='WK Conversion'!$BD27,"I",""))))))))</f>
        <v>#REF!</v>
      </c>
      <c r="BL35" s="38" t="e">
        <f ca="1">IF('Graphical Overview'!BL$5&lt;='WK Conversion'!$AX27,"ME",IF('Graphical Overview'!BL$5&lt;='WK Conversion'!$AY27,"EE",IF('Graphical Overview'!BL$5&lt;='WK Conversion'!$AZ27,"M",IF('Graphical Overview'!BL$5&lt;='WK Conversion'!$BA27,"A",IF('Graphical Overview'!BL$5&lt;'WK Conversion'!$BB27,"P",IF('Graphical Overview'!BL$5='WK Conversion'!$BB27,"R",IF('Graphical Overview'!BL$5&lt;='WK Conversion'!$BC27,"CI",IF('Graphical Overview'!BL$5&lt;='WK Conversion'!$BD27,"I",""))))))))</f>
        <v>#REF!</v>
      </c>
      <c r="BM35" s="38" t="e">
        <f ca="1">IF('Graphical Overview'!BM$5&lt;='WK Conversion'!$AX27,"ME",IF('Graphical Overview'!BM$5&lt;='WK Conversion'!$AY27,"EE",IF('Graphical Overview'!BM$5&lt;='WK Conversion'!$AZ27,"M",IF('Graphical Overview'!BM$5&lt;='WK Conversion'!$BA27,"A",IF('Graphical Overview'!BM$5&lt;'WK Conversion'!$BB27,"P",IF('Graphical Overview'!BM$5='WK Conversion'!$BB27,"R",IF('Graphical Overview'!BM$5&lt;='WK Conversion'!$BC27,"CI",IF('Graphical Overview'!BM$5&lt;='WK Conversion'!$BD27,"I",""))))))))</f>
        <v>#REF!</v>
      </c>
      <c r="BN35" s="38" t="e">
        <f ca="1">IF('Graphical Overview'!BN$5&lt;='WK Conversion'!$AX27,"ME",IF('Graphical Overview'!BN$5&lt;='WK Conversion'!$AY27,"EE",IF('Graphical Overview'!BN$5&lt;='WK Conversion'!$AZ27,"M",IF('Graphical Overview'!BN$5&lt;='WK Conversion'!$BA27,"A",IF('Graphical Overview'!BN$5&lt;'WK Conversion'!$BB27,"P",IF('Graphical Overview'!BN$5='WK Conversion'!$BB27,"R",IF('Graphical Overview'!BN$5&lt;='WK Conversion'!$BC27,"CI",IF('Graphical Overview'!BN$5&lt;='WK Conversion'!$BD27,"I",""))))))))</f>
        <v>#REF!</v>
      </c>
      <c r="BO35" s="108" t="e">
        <f ca="1">IF('Graphical Overview'!BO$5&lt;='WK Conversion'!$AX27,"ME",IF('Graphical Overview'!BO$5&lt;='WK Conversion'!$AY27,"EE",IF('Graphical Overview'!BO$5&lt;='WK Conversion'!$AZ27,"M",IF('Graphical Overview'!BO$5&lt;='WK Conversion'!$BA27,"A",IF('Graphical Overview'!BO$5&lt;'WK Conversion'!$BB27,"P",IF('Graphical Overview'!BO$5='WK Conversion'!$BB27,"R",IF('Graphical Overview'!BO$5&lt;='WK Conversion'!$BC27,"CI",IF('Graphical Overview'!BO$5&lt;='WK Conversion'!$BD27,"I",""))))))))</f>
        <v>#REF!</v>
      </c>
      <c r="BP35" s="38" t="e">
        <f ca="1">IF('Graphical Overview'!BP$5&lt;='WK Conversion'!$AX27,"ME",IF('Graphical Overview'!BP$5&lt;='WK Conversion'!$AY27,"EE",IF('Graphical Overview'!BP$5&lt;='WK Conversion'!$AZ27,"M",IF('Graphical Overview'!BP$5&lt;='WK Conversion'!$BA27,"A",IF('Graphical Overview'!BP$5&lt;'WK Conversion'!$BB27,"P",IF('Graphical Overview'!BP$5='WK Conversion'!$BB27,"R",IF('Graphical Overview'!BP$5&lt;='WK Conversion'!$BC27,"CI",IF('Graphical Overview'!BP$5&lt;='WK Conversion'!$BD27,"I",""))))))))</f>
        <v>#REF!</v>
      </c>
      <c r="BQ35" s="38" t="e">
        <f ca="1">IF('Graphical Overview'!BQ$5&lt;='WK Conversion'!$AX27,"ME",IF('Graphical Overview'!BQ$5&lt;='WK Conversion'!$AY27,"EE",IF('Graphical Overview'!BQ$5&lt;='WK Conversion'!$AZ27,"M",IF('Graphical Overview'!BQ$5&lt;='WK Conversion'!$BA27,"A",IF('Graphical Overview'!BQ$5&lt;'WK Conversion'!$BB27,"P",IF('Graphical Overview'!BQ$5='WK Conversion'!$BB27,"R",IF('Graphical Overview'!BQ$5&lt;='WK Conversion'!$BC27,"CI",IF('Graphical Overview'!BQ$5&lt;='WK Conversion'!$BD27,"I",""))))))))</f>
        <v>#REF!</v>
      </c>
      <c r="BR35" s="38" t="e">
        <f ca="1">IF('Graphical Overview'!BR$5&lt;='WK Conversion'!$AX27,"ME",IF('Graphical Overview'!BR$5&lt;='WK Conversion'!$AY27,"EE",IF('Graphical Overview'!BR$5&lt;='WK Conversion'!$AZ27,"M",IF('Graphical Overview'!BR$5&lt;='WK Conversion'!$BA27,"A",IF('Graphical Overview'!BR$5&lt;'WK Conversion'!$BB27,"P",IF('Graphical Overview'!BR$5='WK Conversion'!$BB27,"R",IF('Graphical Overview'!BR$5&lt;='WK Conversion'!$BC27,"CI",IF('Graphical Overview'!BR$5&lt;='WK Conversion'!$BD27,"I",""))))))))</f>
        <v>#REF!</v>
      </c>
      <c r="BS35" s="38" t="e">
        <f ca="1">IF('Graphical Overview'!BS$5&lt;='WK Conversion'!$AX27,"ME",IF('Graphical Overview'!BS$5&lt;='WK Conversion'!$AY27,"EE",IF('Graphical Overview'!BS$5&lt;='WK Conversion'!$AZ27,"M",IF('Graphical Overview'!BS$5&lt;='WK Conversion'!$BA27,"A",IF('Graphical Overview'!BS$5&lt;'WK Conversion'!$BB27,"P",IF('Graphical Overview'!BS$5='WK Conversion'!$BB27,"R",IF('Graphical Overview'!BS$5&lt;='WK Conversion'!$BC27,"CI",IF('Graphical Overview'!BS$5&lt;='WK Conversion'!$BD27,"I",""))))))))</f>
        <v>#REF!</v>
      </c>
      <c r="BT35" s="38" t="e">
        <f ca="1">IF('Graphical Overview'!BT$5&lt;='WK Conversion'!$AX27,"ME",IF('Graphical Overview'!BT$5&lt;='WK Conversion'!$AY27,"EE",IF('Graphical Overview'!BT$5&lt;='WK Conversion'!$AZ27,"M",IF('Graphical Overview'!BT$5&lt;='WK Conversion'!$BA27,"A",IF('Graphical Overview'!BT$5&lt;'WK Conversion'!$BB27,"P",IF('Graphical Overview'!BT$5='WK Conversion'!$BB27,"R",IF('Graphical Overview'!BT$5&lt;='WK Conversion'!$BC27,"CI",IF('Graphical Overview'!BT$5&lt;='WK Conversion'!$BD27,"I",""))))))))</f>
        <v>#REF!</v>
      </c>
      <c r="BU35" s="38" t="e">
        <f ca="1">IF('Graphical Overview'!BU$5&lt;='WK Conversion'!$AX27,"ME",IF('Graphical Overview'!BU$5&lt;='WK Conversion'!$AY27,"EE",IF('Graphical Overview'!BU$5&lt;='WK Conversion'!$AZ27,"M",IF('Graphical Overview'!BU$5&lt;='WK Conversion'!$BA27,"A",IF('Graphical Overview'!BU$5&lt;'WK Conversion'!$BB27,"P",IF('Graphical Overview'!BU$5='WK Conversion'!$BB27,"R",IF('Graphical Overview'!BU$5&lt;='WK Conversion'!$BC27,"CI",IF('Graphical Overview'!BU$5&lt;='WK Conversion'!$BD27,"I",""))))))))</f>
        <v>#REF!</v>
      </c>
      <c r="BV35" s="38" t="e">
        <f ca="1">IF('Graphical Overview'!BV$5&lt;='WK Conversion'!$AX27,"ME",IF('Graphical Overview'!BV$5&lt;='WK Conversion'!$AY27,"EE",IF('Graphical Overview'!BV$5&lt;='WK Conversion'!$AZ27,"M",IF('Graphical Overview'!BV$5&lt;='WK Conversion'!$BA27,"A",IF('Graphical Overview'!BV$5&lt;'WK Conversion'!$BB27,"P",IF('Graphical Overview'!BV$5='WK Conversion'!$BB27,"R",IF('Graphical Overview'!BV$5&lt;='WK Conversion'!$BC27,"CI",IF('Graphical Overview'!BV$5&lt;='WK Conversion'!$BD27,"I",""))))))))</f>
        <v>#REF!</v>
      </c>
      <c r="BW35" s="38" t="e">
        <f ca="1">IF('Graphical Overview'!BW$5&lt;='WK Conversion'!$AX27,"ME",IF('Graphical Overview'!BW$5&lt;='WK Conversion'!$AY27,"EE",IF('Graphical Overview'!BW$5&lt;='WK Conversion'!$AZ27,"M",IF('Graphical Overview'!BW$5&lt;='WK Conversion'!$BA27,"A",IF('Graphical Overview'!BW$5&lt;'WK Conversion'!$BB27,"P",IF('Graphical Overview'!BW$5='WK Conversion'!$BB27,"R",IF('Graphical Overview'!BW$5&lt;='WK Conversion'!$BC27,"CI",IF('Graphical Overview'!BW$5&lt;='WK Conversion'!$BD27,"I",""))))))))</f>
        <v>#REF!</v>
      </c>
      <c r="BX35" s="38" t="e">
        <f ca="1">IF('Graphical Overview'!BX$5&lt;='WK Conversion'!$AX27,"ME",IF('Graphical Overview'!BX$5&lt;='WK Conversion'!$AY27,"EE",IF('Graphical Overview'!BX$5&lt;='WK Conversion'!$AZ27,"M",IF('Graphical Overview'!BX$5&lt;='WK Conversion'!$BA27,"A",IF('Graphical Overview'!BX$5&lt;'WK Conversion'!$BB27,"P",IF('Graphical Overview'!BX$5='WK Conversion'!$BB27,"R",IF('Graphical Overview'!BX$5&lt;='WK Conversion'!$BC27,"CI",IF('Graphical Overview'!BX$5&lt;='WK Conversion'!$BD27,"I",""))))))))</f>
        <v>#REF!</v>
      </c>
      <c r="BY35" s="38" t="e">
        <f ca="1">IF('Graphical Overview'!BY$5&lt;='WK Conversion'!$AX27,"ME",IF('Graphical Overview'!BY$5&lt;='WK Conversion'!$AY27,"EE",IF('Graphical Overview'!BY$5&lt;='WK Conversion'!$AZ27,"M",IF('Graphical Overview'!BY$5&lt;='WK Conversion'!$BA27,"A",IF('Graphical Overview'!BY$5&lt;'WK Conversion'!$BB27,"P",IF('Graphical Overview'!BY$5='WK Conversion'!$BB27,"R",IF('Graphical Overview'!BY$5&lt;='WK Conversion'!$BC27,"CI",IF('Graphical Overview'!BY$5&lt;='WK Conversion'!$BD27,"I",""))))))))</f>
        <v>#REF!</v>
      </c>
      <c r="BZ35" s="38" t="e">
        <f ca="1">IF('Graphical Overview'!BZ$5&lt;='WK Conversion'!$AX27,"ME",IF('Graphical Overview'!BZ$5&lt;='WK Conversion'!$AY27,"EE",IF('Graphical Overview'!BZ$5&lt;='WK Conversion'!$AZ27,"M",IF('Graphical Overview'!BZ$5&lt;='WK Conversion'!$BA27,"A",IF('Graphical Overview'!BZ$5&lt;'WK Conversion'!$BB27,"P",IF('Graphical Overview'!BZ$5='WK Conversion'!$BB27,"R",IF('Graphical Overview'!BZ$5&lt;='WK Conversion'!$BC27,"CI",IF('Graphical Overview'!BZ$5&lt;='WK Conversion'!$BD27,"I",""))))))))</f>
        <v>#REF!</v>
      </c>
      <c r="CA35" s="38" t="e">
        <f ca="1">IF('Graphical Overview'!CA$5&lt;='WK Conversion'!$AX27,"ME",IF('Graphical Overview'!CA$5&lt;='WK Conversion'!$AY27,"EE",IF('Graphical Overview'!CA$5&lt;='WK Conversion'!$AZ27,"M",IF('Graphical Overview'!CA$5&lt;='WK Conversion'!$BA27,"A",IF('Graphical Overview'!CA$5&lt;'WK Conversion'!$BB27,"P",IF('Graphical Overview'!CA$5='WK Conversion'!$BB27,"R",IF('Graphical Overview'!CA$5&lt;='WK Conversion'!$BC27,"CI",IF('Graphical Overview'!CA$5&lt;='WK Conversion'!$BD27,"I",""))))))))</f>
        <v>#REF!</v>
      </c>
      <c r="CB35" s="38" t="e">
        <f ca="1">IF('Graphical Overview'!CB$5&lt;='WK Conversion'!$AX27,"ME",IF('Graphical Overview'!CB$5&lt;='WK Conversion'!$AY27,"EE",IF('Graphical Overview'!CB$5&lt;='WK Conversion'!$AZ27,"M",IF('Graphical Overview'!CB$5&lt;='WK Conversion'!$BA27,"A",IF('Graphical Overview'!CB$5&lt;'WK Conversion'!$BB27,"P",IF('Graphical Overview'!CB$5='WK Conversion'!$BB27,"R",IF('Graphical Overview'!CB$5&lt;='WK Conversion'!$BC27,"CI",IF('Graphical Overview'!CB$5&lt;='WK Conversion'!$BD27,"I",""))))))))</f>
        <v>#REF!</v>
      </c>
      <c r="CC35" s="38" t="e">
        <f ca="1">IF('Graphical Overview'!CC$5&lt;='WK Conversion'!$AX27,"ME",IF('Graphical Overview'!CC$5&lt;='WK Conversion'!$AY27,"EE",IF('Graphical Overview'!CC$5&lt;='WK Conversion'!$AZ27,"M",IF('Graphical Overview'!CC$5&lt;='WK Conversion'!$BA27,"A",IF('Graphical Overview'!CC$5&lt;'WK Conversion'!$BB27,"P",IF('Graphical Overview'!CC$5='WK Conversion'!$BB27,"R",IF('Graphical Overview'!CC$5&lt;='WK Conversion'!$BC27,"CI",IF('Graphical Overview'!CC$5&lt;='WK Conversion'!$BD27,"I",""))))))))</f>
        <v>#REF!</v>
      </c>
      <c r="CD35" s="38" t="e">
        <f ca="1">IF('Graphical Overview'!CD$5&lt;='WK Conversion'!$AX27,"ME",IF('Graphical Overview'!CD$5&lt;='WK Conversion'!$AY27,"EE",IF('Graphical Overview'!CD$5&lt;='WK Conversion'!$AZ27,"M",IF('Graphical Overview'!CD$5&lt;='WK Conversion'!$BA27,"A",IF('Graphical Overview'!CD$5&lt;'WK Conversion'!$BB27,"P",IF('Graphical Overview'!CD$5='WK Conversion'!$BB27,"R",IF('Graphical Overview'!CD$5&lt;='WK Conversion'!$BC27,"CI",IF('Graphical Overview'!CD$5&lt;='WK Conversion'!$BD27,"I",""))))))))</f>
        <v>#REF!</v>
      </c>
      <c r="CE35" s="38" t="e">
        <f ca="1">IF('Graphical Overview'!CE$5&lt;='WK Conversion'!$AX27,"ME",IF('Graphical Overview'!CE$5&lt;='WK Conversion'!$AY27,"EE",IF('Graphical Overview'!CE$5&lt;='WK Conversion'!$AZ27,"M",IF('Graphical Overview'!CE$5&lt;='WK Conversion'!$BA27,"A",IF('Graphical Overview'!CE$5&lt;'WK Conversion'!$BB27,"P",IF('Graphical Overview'!CE$5='WK Conversion'!$BB27,"R",IF('Graphical Overview'!CE$5&lt;='WK Conversion'!$BC27,"CI",IF('Graphical Overview'!CE$5&lt;='WK Conversion'!$BD27,"I",""))))))))</f>
        <v>#REF!</v>
      </c>
      <c r="CF35" s="39" t="e">
        <f ca="1">IF('Graphical Overview'!CF$5&lt;='WK Conversion'!$AX27,"ME",IF('Graphical Overview'!CF$5&lt;='WK Conversion'!$AY27,"EE",IF('Graphical Overview'!CF$5&lt;='WK Conversion'!$AZ27,"M",IF('Graphical Overview'!CF$5&lt;='WK Conversion'!$BA27,"A",IF('Graphical Overview'!CF$5&lt;'WK Conversion'!$BB27,"P",IF('Graphical Overview'!CF$5='WK Conversion'!$BB27,"R",IF('Graphical Overview'!CF$5&lt;='WK Conversion'!$BC27,"CI",IF('Graphical Overview'!CF$5&lt;='WK Conversion'!$BD27,"I",""))))))))</f>
        <v>#REF!</v>
      </c>
    </row>
    <row r="36" spans="1:84" ht="22.5" customHeight="1" x14ac:dyDescent="0.25">
      <c r="A36" s="41" t="e">
        <f>IF(Data!#REF!="","",Data!#REF!)</f>
        <v>#REF!</v>
      </c>
      <c r="B36" s="42" t="e">
        <f>IF(Data!#REF!="","",Data!#REF!)</f>
        <v>#REF!</v>
      </c>
      <c r="C36" s="42" t="e">
        <f>IF(Data!#REF!="","",Data!#REF!)</f>
        <v>#REF!</v>
      </c>
      <c r="D36" s="90" t="e">
        <f>IF(Data!#REF!="","",Data!#REF!)</f>
        <v>#REF!</v>
      </c>
      <c r="E36" s="42" t="e">
        <f>IF(Data!#REF!="","",Data!#REF!)</f>
        <v>#REF!</v>
      </c>
      <c r="F36" s="99" t="e">
        <f>IF(Data!#REF!="","",Data!#REF!)</f>
        <v>#REF!</v>
      </c>
      <c r="G36" s="105" t="e">
        <f t="shared" si="2"/>
        <v>#REF!</v>
      </c>
      <c r="H36" s="106" t="e">
        <f>IF(Data!#REF!="","",Data!#REF!)</f>
        <v>#REF!</v>
      </c>
      <c r="I36" s="106" t="e">
        <f>IF(Data!#REF!="","",Data!#REF!)</f>
        <v>#REF!</v>
      </c>
      <c r="J36" s="106" t="e">
        <f>IF(Data!#REF!="","",Data!#REF!)</f>
        <v>#REF!</v>
      </c>
      <c r="K36" s="106" t="e">
        <f>IF(Data!#REF!="","",Data!#REF!)</f>
        <v>#REF!</v>
      </c>
      <c r="L36" s="106" t="e">
        <f>IF(Data!#REF!="","",Data!#REF!)</f>
        <v>#REF!</v>
      </c>
      <c r="M36" s="106" t="e">
        <f>IF(Data!#REF!="","",Data!#REF!)</f>
        <v>#REF!</v>
      </c>
      <c r="N36" s="106" t="e">
        <f>IF(Data!#REF!="","",Data!#REF!)</f>
        <v>#REF!</v>
      </c>
      <c r="O36" s="106" t="e">
        <f>IF(Data!#REF!="","",Data!#REF!)</f>
        <v>#REF!</v>
      </c>
      <c r="P36" s="106" t="e">
        <f>IF(Data!#REF!="","",Data!#REF!)</f>
        <v>#REF!</v>
      </c>
      <c r="Q36" s="107" t="e">
        <f>IF(Data!#REF!="","",Data!#REF!)</f>
        <v>#REF!</v>
      </c>
      <c r="R36" s="105" t="e">
        <f>IF(Data!#REF!="","",Data!#REF!)</f>
        <v>#REF!</v>
      </c>
      <c r="S36" s="106" t="e">
        <f>IF(Data!#REF!="","",Data!#REF!)</f>
        <v>#REF!</v>
      </c>
      <c r="T36" s="106" t="e">
        <f>IF(Data!#REF!="","",Data!#REF!)</f>
        <v>#REF!</v>
      </c>
      <c r="U36" s="106" t="e">
        <f>IF(Data!#REF!="","",Data!#REF!)</f>
        <v>#REF!</v>
      </c>
      <c r="V36" s="106" t="e">
        <f>IF(Data!#REF!="","",Data!#REF!)</f>
        <v>#REF!</v>
      </c>
      <c r="W36" s="106" t="e">
        <f>IF(Data!#REF!="","",Data!#REF!)</f>
        <v>#REF!</v>
      </c>
      <c r="X36" s="106" t="e">
        <f>IF(Data!#REF!="","",Data!#REF!)</f>
        <v>#REF!</v>
      </c>
      <c r="Y36" s="106" t="e">
        <f>IF(Data!#REF!="","",Data!#REF!)</f>
        <v>#REF!</v>
      </c>
      <c r="Z36" s="106" t="e">
        <f>IF(Data!#REF!="","",Data!#REF!)</f>
        <v>#REF!</v>
      </c>
      <c r="AA36" s="106" t="e">
        <f>IF(Data!#REF!="","",Data!#REF!)</f>
        <v>#REF!</v>
      </c>
      <c r="AB36" s="107" t="e">
        <f>IF(Data!#REF!="","",Data!#REF!)</f>
        <v>#REF!</v>
      </c>
      <c r="AC36" s="105" t="e">
        <f>IF(Data!#REF!="","",Data!#REF!)</f>
        <v>#REF!</v>
      </c>
      <c r="AD36" s="106" t="e">
        <f>IF(Data!#REF!="","",Data!#REF!)</f>
        <v>#REF!</v>
      </c>
      <c r="AE36" s="106" t="e">
        <f>IF(Data!#REF!="","",Data!#REF!)</f>
        <v>#REF!</v>
      </c>
      <c r="AF36" s="106" t="e">
        <f>IF(Data!#REF!="","",Data!#REF!)</f>
        <v>#REF!</v>
      </c>
      <c r="AG36" s="106" t="e">
        <f>IF(Data!#REF!="","",Data!#REF!)</f>
        <v>#REF!</v>
      </c>
      <c r="AH36" s="106" t="e">
        <f>IF(Data!#REF!="","",Data!#REF!)</f>
        <v>#REF!</v>
      </c>
      <c r="AI36" s="106" t="e">
        <f>IF(Data!#REF!="","",Data!#REF!)</f>
        <v>#REF!</v>
      </c>
      <c r="AJ36" s="106" t="e">
        <f>IF(Data!#REF!="","",Data!#REF!)</f>
        <v>#REF!</v>
      </c>
      <c r="AK36" s="106" t="e">
        <f>IF(Data!#REF!="","",Data!#REF!)</f>
        <v>#REF!</v>
      </c>
      <c r="AL36" s="106" t="e">
        <f>IF(Data!#REF!="","",Data!#REF!)</f>
        <v>#REF!</v>
      </c>
      <c r="AM36" s="107" t="e">
        <f>IF(Data!#REF!="","",Data!#REF!)</f>
        <v>#REF!</v>
      </c>
      <c r="AN36" s="105" t="e">
        <f>IF(Data!#REF!="","",Data!#REF!)</f>
        <v>#REF!</v>
      </c>
      <c r="AO36" s="106" t="e">
        <f>IF(Data!#REF!="","",Data!#REF!)</f>
        <v>#REF!</v>
      </c>
      <c r="AP36" s="106" t="e">
        <f>IF(Data!#REF!="","",Data!#REF!)</f>
        <v>#REF!</v>
      </c>
      <c r="AQ36" s="106" t="e">
        <f>IF(Data!#REF!="","",Data!#REF!)</f>
        <v>#REF!</v>
      </c>
      <c r="AR36" s="106" t="e">
        <f>IF(Data!#REF!="","",Data!#REF!)</f>
        <v>#REF!</v>
      </c>
      <c r="AS36" s="106" t="e">
        <f>IF(Data!#REF!="","",Data!#REF!)</f>
        <v>#REF!</v>
      </c>
      <c r="AT36" s="106" t="e">
        <f>IF(Data!#REF!="","",Data!#REF!)</f>
        <v>#REF!</v>
      </c>
      <c r="AU36" s="106" t="e">
        <f>IF(Data!#REF!="","",Data!#REF!)</f>
        <v>#REF!</v>
      </c>
      <c r="AV36" s="106" t="e">
        <f>IF(Data!#REF!="","",Data!#REF!)</f>
        <v>#REF!</v>
      </c>
      <c r="AW36" s="106" t="e">
        <f>IF(Data!#REF!="","",Data!#REF!)</f>
        <v>#REF!</v>
      </c>
      <c r="AX36" s="106" t="e">
        <f>IF(Data!#REF!="","",Data!#REF!)</f>
        <v>#REF!</v>
      </c>
      <c r="AY36" s="107" t="e">
        <f>IF(Data!#REF!="","",Data!#REF!)</f>
        <v>#REF!</v>
      </c>
      <c r="AZ36" s="109" t="e">
        <f>IF(Data!#REF!="","",Data!#REF!)</f>
        <v>#REF!</v>
      </c>
      <c r="BA36"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6"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6"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6"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6"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6"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6"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6"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6"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6"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6"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6"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6"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6"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6"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6"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6"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6"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6"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6"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6"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6"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6"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6"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6"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6"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6"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6"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6"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6"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6"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6"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7" spans="1:84" ht="22.5" customHeight="1" x14ac:dyDescent="0.25">
      <c r="A37" s="41" t="e">
        <f>IF(Data!#REF!="","",Data!#REF!)</f>
        <v>#REF!</v>
      </c>
      <c r="B37" s="42" t="e">
        <f>IF(Data!#REF!="","",Data!#REF!)</f>
        <v>#REF!</v>
      </c>
      <c r="C37" s="42" t="e">
        <f>IF(Data!#REF!="","",Data!#REF!)</f>
        <v>#REF!</v>
      </c>
      <c r="D37" s="90" t="e">
        <f>IF(Data!#REF!="","",Data!#REF!)</f>
        <v>#REF!</v>
      </c>
      <c r="E37" s="42" t="e">
        <f>IF(Data!#REF!="","",Data!#REF!)</f>
        <v>#REF!</v>
      </c>
      <c r="F37" s="99" t="e">
        <f>IF(Data!#REF!="","",Data!#REF!)</f>
        <v>#REF!</v>
      </c>
      <c r="G37" s="105" t="e">
        <f t="shared" si="2"/>
        <v>#REF!</v>
      </c>
      <c r="H37" s="106" t="e">
        <f>IF(Data!#REF!="","",Data!#REF!)</f>
        <v>#REF!</v>
      </c>
      <c r="I37" s="106" t="e">
        <f>IF(Data!#REF!="","",Data!#REF!)</f>
        <v>#REF!</v>
      </c>
      <c r="J37" s="106" t="e">
        <f>IF(Data!#REF!="","",Data!#REF!)</f>
        <v>#REF!</v>
      </c>
      <c r="K37" s="106" t="e">
        <f>IF(Data!#REF!="","",Data!#REF!)</f>
        <v>#REF!</v>
      </c>
      <c r="L37" s="106" t="e">
        <f>IF(Data!#REF!="","",Data!#REF!)</f>
        <v>#REF!</v>
      </c>
      <c r="M37" s="106" t="e">
        <f>IF(Data!#REF!="","",Data!#REF!)</f>
        <v>#REF!</v>
      </c>
      <c r="N37" s="106" t="e">
        <f>IF(Data!#REF!="","",Data!#REF!)</f>
        <v>#REF!</v>
      </c>
      <c r="O37" s="106" t="e">
        <f>IF(Data!#REF!="","",Data!#REF!)</f>
        <v>#REF!</v>
      </c>
      <c r="P37" s="106" t="e">
        <f>IF(Data!#REF!="","",Data!#REF!)</f>
        <v>#REF!</v>
      </c>
      <c r="Q37" s="107" t="e">
        <f>IF(Data!#REF!="","",Data!#REF!)</f>
        <v>#REF!</v>
      </c>
      <c r="R37" s="105" t="e">
        <f>IF(Data!#REF!="","",Data!#REF!)</f>
        <v>#REF!</v>
      </c>
      <c r="S37" s="106" t="e">
        <f>IF(Data!#REF!="","",Data!#REF!)</f>
        <v>#REF!</v>
      </c>
      <c r="T37" s="106" t="e">
        <f>IF(Data!#REF!="","",Data!#REF!)</f>
        <v>#REF!</v>
      </c>
      <c r="U37" s="106" t="e">
        <f>IF(Data!#REF!="","",Data!#REF!)</f>
        <v>#REF!</v>
      </c>
      <c r="V37" s="106" t="e">
        <f>IF(Data!#REF!="","",Data!#REF!)</f>
        <v>#REF!</v>
      </c>
      <c r="W37" s="106" t="e">
        <f>IF(Data!#REF!="","",Data!#REF!)</f>
        <v>#REF!</v>
      </c>
      <c r="X37" s="106" t="e">
        <f>IF(Data!#REF!="","",Data!#REF!)</f>
        <v>#REF!</v>
      </c>
      <c r="Y37" s="106" t="e">
        <f>IF(Data!#REF!="","",Data!#REF!)</f>
        <v>#REF!</v>
      </c>
      <c r="Z37" s="106" t="e">
        <f>IF(Data!#REF!="","",Data!#REF!)</f>
        <v>#REF!</v>
      </c>
      <c r="AA37" s="106" t="e">
        <f>IF(Data!#REF!="","",Data!#REF!)</f>
        <v>#REF!</v>
      </c>
      <c r="AB37" s="107" t="e">
        <f>IF(Data!#REF!="","",Data!#REF!)</f>
        <v>#REF!</v>
      </c>
      <c r="AC37" s="105" t="e">
        <f>IF(Data!#REF!="","",Data!#REF!)</f>
        <v>#REF!</v>
      </c>
      <c r="AD37" s="106" t="e">
        <f>IF(Data!#REF!="","",Data!#REF!)</f>
        <v>#REF!</v>
      </c>
      <c r="AE37" s="106" t="e">
        <f>IF(Data!#REF!="","",Data!#REF!)</f>
        <v>#REF!</v>
      </c>
      <c r="AF37" s="106" t="e">
        <f>IF(Data!#REF!="","",Data!#REF!)</f>
        <v>#REF!</v>
      </c>
      <c r="AG37" s="106" t="e">
        <f>IF(Data!#REF!="","",Data!#REF!)</f>
        <v>#REF!</v>
      </c>
      <c r="AH37" s="106" t="e">
        <f>IF(Data!#REF!="","",Data!#REF!)</f>
        <v>#REF!</v>
      </c>
      <c r="AI37" s="106" t="e">
        <f>IF(Data!#REF!="","",Data!#REF!)</f>
        <v>#REF!</v>
      </c>
      <c r="AJ37" s="106" t="e">
        <f>IF(Data!#REF!="","",Data!#REF!)</f>
        <v>#REF!</v>
      </c>
      <c r="AK37" s="106" t="e">
        <f>IF(Data!#REF!="","",Data!#REF!)</f>
        <v>#REF!</v>
      </c>
      <c r="AL37" s="106" t="e">
        <f>IF(Data!#REF!="","",Data!#REF!)</f>
        <v>#REF!</v>
      </c>
      <c r="AM37" s="107" t="e">
        <f>IF(Data!#REF!="","",Data!#REF!)</f>
        <v>#REF!</v>
      </c>
      <c r="AN37" s="105" t="e">
        <f>IF(Data!#REF!="","",Data!#REF!)</f>
        <v>#REF!</v>
      </c>
      <c r="AO37" s="106" t="e">
        <f>IF(Data!#REF!="","",Data!#REF!)</f>
        <v>#REF!</v>
      </c>
      <c r="AP37" s="106" t="e">
        <f>IF(Data!#REF!="","",Data!#REF!)</f>
        <v>#REF!</v>
      </c>
      <c r="AQ37" s="106" t="e">
        <f>IF(Data!#REF!="","",Data!#REF!)</f>
        <v>#REF!</v>
      </c>
      <c r="AR37" s="106" t="e">
        <f>IF(Data!#REF!="","",Data!#REF!)</f>
        <v>#REF!</v>
      </c>
      <c r="AS37" s="106" t="e">
        <f>IF(Data!#REF!="","",Data!#REF!)</f>
        <v>#REF!</v>
      </c>
      <c r="AT37" s="106" t="e">
        <f>IF(Data!#REF!="","",Data!#REF!)</f>
        <v>#REF!</v>
      </c>
      <c r="AU37" s="106" t="e">
        <f>IF(Data!#REF!="","",Data!#REF!)</f>
        <v>#REF!</v>
      </c>
      <c r="AV37" s="106" t="e">
        <f>IF(Data!#REF!="","",Data!#REF!)</f>
        <v>#REF!</v>
      </c>
      <c r="AW37" s="106" t="e">
        <f>IF(Data!#REF!="","",Data!#REF!)</f>
        <v>#REF!</v>
      </c>
      <c r="AX37" s="106" t="e">
        <f>IF(Data!#REF!="","",Data!#REF!)</f>
        <v>#REF!</v>
      </c>
      <c r="AY37" s="107" t="e">
        <f>IF(Data!#REF!="","",Data!#REF!)</f>
        <v>#REF!</v>
      </c>
      <c r="AZ37" s="109" t="e">
        <f>IF(Data!#REF!="","",Data!#REF!)</f>
        <v>#REF!</v>
      </c>
      <c r="BA37"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7"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7"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7"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7"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7"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7"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7"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7"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7"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7"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7"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7"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7"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7"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7"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7"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7"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7"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7"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7"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7"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7"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7"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7"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7"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7"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7"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7"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7"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7"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7"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8" spans="1:84" ht="22.5" customHeight="1" x14ac:dyDescent="0.25">
      <c r="A38" s="41" t="e">
        <f>IF(Data!#REF!="","",Data!#REF!)</f>
        <v>#REF!</v>
      </c>
      <c r="B38" s="42" t="e">
        <f>IF(Data!#REF!="","",Data!#REF!)</f>
        <v>#REF!</v>
      </c>
      <c r="C38" s="42" t="e">
        <f>IF(Data!#REF!="","",Data!#REF!)</f>
        <v>#REF!</v>
      </c>
      <c r="D38" s="90" t="e">
        <f>IF(Data!#REF!="","",Data!#REF!)</f>
        <v>#REF!</v>
      </c>
      <c r="E38" s="42" t="e">
        <f>IF(Data!#REF!="","",Data!#REF!)</f>
        <v>#REF!</v>
      </c>
      <c r="F38" s="99" t="e">
        <f>IF(Data!#REF!="","",Data!#REF!)</f>
        <v>#REF!</v>
      </c>
      <c r="G38" s="105" t="e">
        <f t="shared" si="2"/>
        <v>#REF!</v>
      </c>
      <c r="H38" s="106" t="e">
        <f>IF(Data!#REF!="","",Data!#REF!)</f>
        <v>#REF!</v>
      </c>
      <c r="I38" s="106" t="e">
        <f>IF(Data!#REF!="","",Data!#REF!)</f>
        <v>#REF!</v>
      </c>
      <c r="J38" s="106" t="e">
        <f>IF(Data!#REF!="","",Data!#REF!)</f>
        <v>#REF!</v>
      </c>
      <c r="K38" s="106" t="e">
        <f>IF(Data!#REF!="","",Data!#REF!)</f>
        <v>#REF!</v>
      </c>
      <c r="L38" s="106" t="e">
        <f>IF(Data!#REF!="","",Data!#REF!)</f>
        <v>#REF!</v>
      </c>
      <c r="M38" s="106" t="e">
        <f>IF(Data!#REF!="","",Data!#REF!)</f>
        <v>#REF!</v>
      </c>
      <c r="N38" s="106" t="e">
        <f>IF(Data!#REF!="","",Data!#REF!)</f>
        <v>#REF!</v>
      </c>
      <c r="O38" s="106" t="e">
        <f>IF(Data!#REF!="","",Data!#REF!)</f>
        <v>#REF!</v>
      </c>
      <c r="P38" s="106" t="e">
        <f>IF(Data!#REF!="","",Data!#REF!)</f>
        <v>#REF!</v>
      </c>
      <c r="Q38" s="107" t="e">
        <f>IF(Data!#REF!="","",Data!#REF!)</f>
        <v>#REF!</v>
      </c>
      <c r="R38" s="105" t="e">
        <f>IF(Data!#REF!="","",Data!#REF!)</f>
        <v>#REF!</v>
      </c>
      <c r="S38" s="106" t="e">
        <f>IF(Data!#REF!="","",Data!#REF!)</f>
        <v>#REF!</v>
      </c>
      <c r="T38" s="106" t="e">
        <f>IF(Data!#REF!="","",Data!#REF!)</f>
        <v>#REF!</v>
      </c>
      <c r="U38" s="106" t="e">
        <f>IF(Data!#REF!="","",Data!#REF!)</f>
        <v>#REF!</v>
      </c>
      <c r="V38" s="106" t="e">
        <f>IF(Data!#REF!="","",Data!#REF!)</f>
        <v>#REF!</v>
      </c>
      <c r="W38" s="106" t="e">
        <f>IF(Data!#REF!="","",Data!#REF!)</f>
        <v>#REF!</v>
      </c>
      <c r="X38" s="106" t="e">
        <f>IF(Data!#REF!="","",Data!#REF!)</f>
        <v>#REF!</v>
      </c>
      <c r="Y38" s="106" t="e">
        <f>IF(Data!#REF!="","",Data!#REF!)</f>
        <v>#REF!</v>
      </c>
      <c r="Z38" s="106" t="e">
        <f>IF(Data!#REF!="","",Data!#REF!)</f>
        <v>#REF!</v>
      </c>
      <c r="AA38" s="106" t="e">
        <f>IF(Data!#REF!="","",Data!#REF!)</f>
        <v>#REF!</v>
      </c>
      <c r="AB38" s="107" t="e">
        <f>IF(Data!#REF!="","",Data!#REF!)</f>
        <v>#REF!</v>
      </c>
      <c r="AC38" s="105" t="e">
        <f>IF(Data!#REF!="","",Data!#REF!)</f>
        <v>#REF!</v>
      </c>
      <c r="AD38" s="106" t="e">
        <f>IF(Data!#REF!="","",Data!#REF!)</f>
        <v>#REF!</v>
      </c>
      <c r="AE38" s="106" t="e">
        <f>IF(Data!#REF!="","",Data!#REF!)</f>
        <v>#REF!</v>
      </c>
      <c r="AF38" s="106" t="e">
        <f>IF(Data!#REF!="","",Data!#REF!)</f>
        <v>#REF!</v>
      </c>
      <c r="AG38" s="106" t="e">
        <f>IF(Data!#REF!="","",Data!#REF!)</f>
        <v>#REF!</v>
      </c>
      <c r="AH38" s="106" t="e">
        <f>IF(Data!#REF!="","",Data!#REF!)</f>
        <v>#REF!</v>
      </c>
      <c r="AI38" s="106" t="e">
        <f>IF(Data!#REF!="","",Data!#REF!)</f>
        <v>#REF!</v>
      </c>
      <c r="AJ38" s="106" t="e">
        <f>IF(Data!#REF!="","",Data!#REF!)</f>
        <v>#REF!</v>
      </c>
      <c r="AK38" s="106" t="e">
        <f>IF(Data!#REF!="","",Data!#REF!)</f>
        <v>#REF!</v>
      </c>
      <c r="AL38" s="106" t="e">
        <f>IF(Data!#REF!="","",Data!#REF!)</f>
        <v>#REF!</v>
      </c>
      <c r="AM38" s="107" t="e">
        <f>IF(Data!#REF!="","",Data!#REF!)</f>
        <v>#REF!</v>
      </c>
      <c r="AN38" s="105" t="e">
        <f>IF(Data!#REF!="","",Data!#REF!)</f>
        <v>#REF!</v>
      </c>
      <c r="AO38" s="106" t="e">
        <f>IF(Data!#REF!="","",Data!#REF!)</f>
        <v>#REF!</v>
      </c>
      <c r="AP38" s="106" t="e">
        <f>IF(Data!#REF!="","",Data!#REF!)</f>
        <v>#REF!</v>
      </c>
      <c r="AQ38" s="106" t="e">
        <f>IF(Data!#REF!="","",Data!#REF!)</f>
        <v>#REF!</v>
      </c>
      <c r="AR38" s="106" t="e">
        <f>IF(Data!#REF!="","",Data!#REF!)</f>
        <v>#REF!</v>
      </c>
      <c r="AS38" s="106" t="e">
        <f>IF(Data!#REF!="","",Data!#REF!)</f>
        <v>#REF!</v>
      </c>
      <c r="AT38" s="106" t="e">
        <f>IF(Data!#REF!="","",Data!#REF!)</f>
        <v>#REF!</v>
      </c>
      <c r="AU38" s="106" t="e">
        <f>IF(Data!#REF!="","",Data!#REF!)</f>
        <v>#REF!</v>
      </c>
      <c r="AV38" s="106" t="e">
        <f>IF(Data!#REF!="","",Data!#REF!)</f>
        <v>#REF!</v>
      </c>
      <c r="AW38" s="106" t="e">
        <f>IF(Data!#REF!="","",Data!#REF!)</f>
        <v>#REF!</v>
      </c>
      <c r="AX38" s="106" t="e">
        <f>IF(Data!#REF!="","",Data!#REF!)</f>
        <v>#REF!</v>
      </c>
      <c r="AY38" s="107" t="e">
        <f>IF(Data!#REF!="","",Data!#REF!)</f>
        <v>#REF!</v>
      </c>
      <c r="AZ38" s="109" t="e">
        <f>IF(Data!#REF!="","",Data!#REF!)</f>
        <v>#REF!</v>
      </c>
      <c r="BA38"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8"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8"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8"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8"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8"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8"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8"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8"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8"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8"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8"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8"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8"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8"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8"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8"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8"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8"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8"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8"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8"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8"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8"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8"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8"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8"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8"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8"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8"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8"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8"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39" spans="1:84" ht="22.5" customHeight="1" x14ac:dyDescent="0.25">
      <c r="A39" s="41" t="e">
        <f>IF(Data!#REF!="","",Data!#REF!)</f>
        <v>#REF!</v>
      </c>
      <c r="B39" s="42" t="e">
        <f>IF(Data!#REF!="","",Data!#REF!)</f>
        <v>#REF!</v>
      </c>
      <c r="C39" s="42" t="e">
        <f>IF(Data!#REF!="","",Data!#REF!)</f>
        <v>#REF!</v>
      </c>
      <c r="D39" s="90" t="e">
        <f>IF(Data!#REF!="","",Data!#REF!)</f>
        <v>#REF!</v>
      </c>
      <c r="E39" s="42" t="e">
        <f>IF(Data!#REF!="","",Data!#REF!)</f>
        <v>#REF!</v>
      </c>
      <c r="F39" s="99" t="e">
        <f>IF(Data!#REF!="","",Data!#REF!)</f>
        <v>#REF!</v>
      </c>
      <c r="G39" s="105" t="e">
        <f t="shared" si="2"/>
        <v>#REF!</v>
      </c>
      <c r="H39" s="106" t="e">
        <f>IF(Data!#REF!="","",Data!#REF!)</f>
        <v>#REF!</v>
      </c>
      <c r="I39" s="106" t="e">
        <f>IF(Data!#REF!="","",Data!#REF!)</f>
        <v>#REF!</v>
      </c>
      <c r="J39" s="106" t="e">
        <f>IF(Data!#REF!="","",Data!#REF!)</f>
        <v>#REF!</v>
      </c>
      <c r="K39" s="106" t="e">
        <f>IF(Data!#REF!="","",Data!#REF!)</f>
        <v>#REF!</v>
      </c>
      <c r="L39" s="106" t="e">
        <f>IF(Data!#REF!="","",Data!#REF!)</f>
        <v>#REF!</v>
      </c>
      <c r="M39" s="106" t="e">
        <f>IF(Data!#REF!="","",Data!#REF!)</f>
        <v>#REF!</v>
      </c>
      <c r="N39" s="106" t="e">
        <f>IF(Data!#REF!="","",Data!#REF!)</f>
        <v>#REF!</v>
      </c>
      <c r="O39" s="106" t="e">
        <f>IF(Data!#REF!="","",Data!#REF!)</f>
        <v>#REF!</v>
      </c>
      <c r="P39" s="106" t="e">
        <f>IF(Data!#REF!="","",Data!#REF!)</f>
        <v>#REF!</v>
      </c>
      <c r="Q39" s="107" t="e">
        <f>IF(Data!#REF!="","",Data!#REF!)</f>
        <v>#REF!</v>
      </c>
      <c r="R39" s="105" t="e">
        <f>IF(Data!#REF!="","",Data!#REF!)</f>
        <v>#REF!</v>
      </c>
      <c r="S39" s="106" t="e">
        <f>IF(Data!#REF!="","",Data!#REF!)</f>
        <v>#REF!</v>
      </c>
      <c r="T39" s="106" t="e">
        <f>IF(Data!#REF!="","",Data!#REF!)</f>
        <v>#REF!</v>
      </c>
      <c r="U39" s="106" t="e">
        <f>IF(Data!#REF!="","",Data!#REF!)</f>
        <v>#REF!</v>
      </c>
      <c r="V39" s="106" t="e">
        <f>IF(Data!#REF!="","",Data!#REF!)</f>
        <v>#REF!</v>
      </c>
      <c r="W39" s="106" t="e">
        <f>IF(Data!#REF!="","",Data!#REF!)</f>
        <v>#REF!</v>
      </c>
      <c r="X39" s="106" t="e">
        <f>IF(Data!#REF!="","",Data!#REF!)</f>
        <v>#REF!</v>
      </c>
      <c r="Y39" s="106" t="e">
        <f>IF(Data!#REF!="","",Data!#REF!)</f>
        <v>#REF!</v>
      </c>
      <c r="Z39" s="106" t="e">
        <f>IF(Data!#REF!="","",Data!#REF!)</f>
        <v>#REF!</v>
      </c>
      <c r="AA39" s="106" t="e">
        <f>IF(Data!#REF!="","",Data!#REF!)</f>
        <v>#REF!</v>
      </c>
      <c r="AB39" s="107" t="e">
        <f>IF(Data!#REF!="","",Data!#REF!)</f>
        <v>#REF!</v>
      </c>
      <c r="AC39" s="105" t="e">
        <f>IF(Data!#REF!="","",Data!#REF!)</f>
        <v>#REF!</v>
      </c>
      <c r="AD39" s="106" t="e">
        <f>IF(Data!#REF!="","",Data!#REF!)</f>
        <v>#REF!</v>
      </c>
      <c r="AE39" s="106" t="e">
        <f>IF(Data!#REF!="","",Data!#REF!)</f>
        <v>#REF!</v>
      </c>
      <c r="AF39" s="106" t="e">
        <f>IF(Data!#REF!="","",Data!#REF!)</f>
        <v>#REF!</v>
      </c>
      <c r="AG39" s="106" t="e">
        <f>IF(Data!#REF!="","",Data!#REF!)</f>
        <v>#REF!</v>
      </c>
      <c r="AH39" s="106" t="e">
        <f>IF(Data!#REF!="","",Data!#REF!)</f>
        <v>#REF!</v>
      </c>
      <c r="AI39" s="106" t="e">
        <f>IF(Data!#REF!="","",Data!#REF!)</f>
        <v>#REF!</v>
      </c>
      <c r="AJ39" s="106" t="e">
        <f>IF(Data!#REF!="","",Data!#REF!)</f>
        <v>#REF!</v>
      </c>
      <c r="AK39" s="106" t="e">
        <f>IF(Data!#REF!="","",Data!#REF!)</f>
        <v>#REF!</v>
      </c>
      <c r="AL39" s="106" t="e">
        <f>IF(Data!#REF!="","",Data!#REF!)</f>
        <v>#REF!</v>
      </c>
      <c r="AM39" s="107" t="e">
        <f>IF(Data!#REF!="","",Data!#REF!)</f>
        <v>#REF!</v>
      </c>
      <c r="AN39" s="105" t="e">
        <f>IF(Data!#REF!="","",Data!#REF!)</f>
        <v>#REF!</v>
      </c>
      <c r="AO39" s="106" t="e">
        <f>IF(Data!#REF!="","",Data!#REF!)</f>
        <v>#REF!</v>
      </c>
      <c r="AP39" s="106" t="e">
        <f>IF(Data!#REF!="","",Data!#REF!)</f>
        <v>#REF!</v>
      </c>
      <c r="AQ39" s="106" t="e">
        <f>IF(Data!#REF!="","",Data!#REF!)</f>
        <v>#REF!</v>
      </c>
      <c r="AR39" s="106" t="e">
        <f>IF(Data!#REF!="","",Data!#REF!)</f>
        <v>#REF!</v>
      </c>
      <c r="AS39" s="106" t="e">
        <f>IF(Data!#REF!="","",Data!#REF!)</f>
        <v>#REF!</v>
      </c>
      <c r="AT39" s="106" t="e">
        <f>IF(Data!#REF!="","",Data!#REF!)</f>
        <v>#REF!</v>
      </c>
      <c r="AU39" s="106" t="e">
        <f>IF(Data!#REF!="","",Data!#REF!)</f>
        <v>#REF!</v>
      </c>
      <c r="AV39" s="106" t="e">
        <f>IF(Data!#REF!="","",Data!#REF!)</f>
        <v>#REF!</v>
      </c>
      <c r="AW39" s="106" t="e">
        <f>IF(Data!#REF!="","",Data!#REF!)</f>
        <v>#REF!</v>
      </c>
      <c r="AX39" s="106" t="e">
        <f>IF(Data!#REF!="","",Data!#REF!)</f>
        <v>#REF!</v>
      </c>
      <c r="AY39" s="107" t="e">
        <f>IF(Data!#REF!="","",Data!#REF!)</f>
        <v>#REF!</v>
      </c>
      <c r="AZ39" s="109" t="e">
        <f>IF(Data!#REF!="","",Data!#REF!)</f>
        <v>#REF!</v>
      </c>
      <c r="BA39"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39"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39"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39"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39"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39"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39"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39"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39"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39"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39"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39"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39"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39"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39"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39"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39"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39"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39"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39"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39"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39"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39"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39"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39"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39"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39"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39"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39"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39"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39"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39"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40" spans="1:84" ht="22.5" customHeight="1" x14ac:dyDescent="0.25">
      <c r="A40" s="41" t="e">
        <f>IF(Data!#REF!="","",Data!#REF!)</f>
        <v>#REF!</v>
      </c>
      <c r="B40" s="42" t="e">
        <f>IF(Data!#REF!="","",Data!#REF!)</f>
        <v>#REF!</v>
      </c>
      <c r="C40" s="42" t="e">
        <f>IF(Data!#REF!="","",Data!#REF!)</f>
        <v>#REF!</v>
      </c>
      <c r="D40" s="90" t="e">
        <f>IF(Data!#REF!="","",Data!#REF!)</f>
        <v>#REF!</v>
      </c>
      <c r="E40" s="42" t="e">
        <f>IF(Data!#REF!="","",Data!#REF!)</f>
        <v>#REF!</v>
      </c>
      <c r="F40" s="99" t="e">
        <f>IF(Data!#REF!="","",Data!#REF!)</f>
        <v>#REF!</v>
      </c>
      <c r="G40" s="105" t="e">
        <f t="shared" si="2"/>
        <v>#REF!</v>
      </c>
      <c r="H40" s="106" t="e">
        <f>IF(Data!#REF!="","",Data!#REF!)</f>
        <v>#REF!</v>
      </c>
      <c r="I40" s="106" t="e">
        <f>IF(Data!#REF!="","",Data!#REF!)</f>
        <v>#REF!</v>
      </c>
      <c r="J40" s="106" t="e">
        <f>IF(Data!#REF!="","",Data!#REF!)</f>
        <v>#REF!</v>
      </c>
      <c r="K40" s="106" t="e">
        <f>IF(Data!#REF!="","",Data!#REF!)</f>
        <v>#REF!</v>
      </c>
      <c r="L40" s="106" t="e">
        <f>IF(Data!#REF!="","",Data!#REF!)</f>
        <v>#REF!</v>
      </c>
      <c r="M40" s="106" t="e">
        <f>IF(Data!#REF!="","",Data!#REF!)</f>
        <v>#REF!</v>
      </c>
      <c r="N40" s="106" t="e">
        <f>IF(Data!#REF!="","",Data!#REF!)</f>
        <v>#REF!</v>
      </c>
      <c r="O40" s="106" t="e">
        <f>IF(Data!#REF!="","",Data!#REF!)</f>
        <v>#REF!</v>
      </c>
      <c r="P40" s="106" t="e">
        <f>IF(Data!#REF!="","",Data!#REF!)</f>
        <v>#REF!</v>
      </c>
      <c r="Q40" s="107" t="e">
        <f>IF(Data!#REF!="","",Data!#REF!)</f>
        <v>#REF!</v>
      </c>
      <c r="R40" s="105" t="e">
        <f>IF(Data!#REF!="","",Data!#REF!)</f>
        <v>#REF!</v>
      </c>
      <c r="S40" s="106" t="e">
        <f>IF(Data!#REF!="","",Data!#REF!)</f>
        <v>#REF!</v>
      </c>
      <c r="T40" s="106" t="e">
        <f>IF(Data!#REF!="","",Data!#REF!)</f>
        <v>#REF!</v>
      </c>
      <c r="U40" s="106" t="e">
        <f>IF(Data!#REF!="","",Data!#REF!)</f>
        <v>#REF!</v>
      </c>
      <c r="V40" s="106" t="e">
        <f>IF(Data!#REF!="","",Data!#REF!)</f>
        <v>#REF!</v>
      </c>
      <c r="W40" s="106" t="e">
        <f>IF(Data!#REF!="","",Data!#REF!)</f>
        <v>#REF!</v>
      </c>
      <c r="X40" s="106" t="e">
        <f>IF(Data!#REF!="","",Data!#REF!)</f>
        <v>#REF!</v>
      </c>
      <c r="Y40" s="106" t="e">
        <f>IF(Data!#REF!="","",Data!#REF!)</f>
        <v>#REF!</v>
      </c>
      <c r="Z40" s="106" t="e">
        <f>IF(Data!#REF!="","",Data!#REF!)</f>
        <v>#REF!</v>
      </c>
      <c r="AA40" s="106" t="e">
        <f>IF(Data!#REF!="","",Data!#REF!)</f>
        <v>#REF!</v>
      </c>
      <c r="AB40" s="107" t="e">
        <f>IF(Data!#REF!="","",Data!#REF!)</f>
        <v>#REF!</v>
      </c>
      <c r="AC40" s="105" t="e">
        <f>IF(Data!#REF!="","",Data!#REF!)</f>
        <v>#REF!</v>
      </c>
      <c r="AD40" s="106" t="e">
        <f>IF(Data!#REF!="","",Data!#REF!)</f>
        <v>#REF!</v>
      </c>
      <c r="AE40" s="106" t="e">
        <f>IF(Data!#REF!="","",Data!#REF!)</f>
        <v>#REF!</v>
      </c>
      <c r="AF40" s="106" t="e">
        <f>IF(Data!#REF!="","",Data!#REF!)</f>
        <v>#REF!</v>
      </c>
      <c r="AG40" s="106" t="e">
        <f>IF(Data!#REF!="","",Data!#REF!)</f>
        <v>#REF!</v>
      </c>
      <c r="AH40" s="106" t="e">
        <f>IF(Data!#REF!="","",Data!#REF!)</f>
        <v>#REF!</v>
      </c>
      <c r="AI40" s="106" t="e">
        <f>IF(Data!#REF!="","",Data!#REF!)</f>
        <v>#REF!</v>
      </c>
      <c r="AJ40" s="106" t="e">
        <f>IF(Data!#REF!="","",Data!#REF!)</f>
        <v>#REF!</v>
      </c>
      <c r="AK40" s="106" t="e">
        <f>IF(Data!#REF!="","",Data!#REF!)</f>
        <v>#REF!</v>
      </c>
      <c r="AL40" s="106" t="e">
        <f>IF(Data!#REF!="","",Data!#REF!)</f>
        <v>#REF!</v>
      </c>
      <c r="AM40" s="107" t="e">
        <f>IF(Data!#REF!="","",Data!#REF!)</f>
        <v>#REF!</v>
      </c>
      <c r="AN40" s="105" t="e">
        <f>IF(Data!#REF!="","",Data!#REF!)</f>
        <v>#REF!</v>
      </c>
      <c r="AO40" s="106" t="e">
        <f>IF(Data!#REF!="","",Data!#REF!)</f>
        <v>#REF!</v>
      </c>
      <c r="AP40" s="106" t="e">
        <f>IF(Data!#REF!="","",Data!#REF!)</f>
        <v>#REF!</v>
      </c>
      <c r="AQ40" s="106" t="e">
        <f>IF(Data!#REF!="","",Data!#REF!)</f>
        <v>#REF!</v>
      </c>
      <c r="AR40" s="106" t="e">
        <f>IF(Data!#REF!="","",Data!#REF!)</f>
        <v>#REF!</v>
      </c>
      <c r="AS40" s="106" t="e">
        <f>IF(Data!#REF!="","",Data!#REF!)</f>
        <v>#REF!</v>
      </c>
      <c r="AT40" s="106" t="e">
        <f>IF(Data!#REF!="","",Data!#REF!)</f>
        <v>#REF!</v>
      </c>
      <c r="AU40" s="106" t="e">
        <f>IF(Data!#REF!="","",Data!#REF!)</f>
        <v>#REF!</v>
      </c>
      <c r="AV40" s="106" t="e">
        <f>IF(Data!#REF!="","",Data!#REF!)</f>
        <v>#REF!</v>
      </c>
      <c r="AW40" s="106" t="e">
        <f>IF(Data!#REF!="","",Data!#REF!)</f>
        <v>#REF!</v>
      </c>
      <c r="AX40" s="106" t="e">
        <f>IF(Data!#REF!="","",Data!#REF!)</f>
        <v>#REF!</v>
      </c>
      <c r="AY40" s="107" t="e">
        <f>IF(Data!#REF!="","",Data!#REF!)</f>
        <v>#REF!</v>
      </c>
      <c r="AZ40" s="109" t="e">
        <f>IF(Data!#REF!="","",Data!#REF!)</f>
        <v>#REF!</v>
      </c>
      <c r="BA40"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40"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40"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40"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40"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40"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40"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40"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40"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40"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40"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40"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40"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40"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40"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40"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40"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40"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40"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40"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40"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40"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40"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40"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40"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40"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40"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40"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40"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40"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40"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40"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41" spans="1:84" ht="22.5" customHeight="1" x14ac:dyDescent="0.25">
      <c r="A41" s="41" t="e">
        <f>IF(Data!#REF!="","",Data!#REF!)</f>
        <v>#REF!</v>
      </c>
      <c r="B41" s="42" t="e">
        <f>IF(Data!#REF!="","",Data!#REF!)</f>
        <v>#REF!</v>
      </c>
      <c r="C41" s="42" t="e">
        <f>IF(Data!#REF!="","",Data!#REF!)</f>
        <v>#REF!</v>
      </c>
      <c r="D41" s="90" t="e">
        <f>IF(Data!#REF!="","",Data!#REF!)</f>
        <v>#REF!</v>
      </c>
      <c r="E41" s="42" t="e">
        <f>IF(Data!#REF!="","",Data!#REF!)</f>
        <v>#REF!</v>
      </c>
      <c r="F41" s="99" t="e">
        <f>IF(Data!#REF!="","",Data!#REF!)</f>
        <v>#REF!</v>
      </c>
      <c r="G41" s="105" t="e">
        <f t="shared" si="2"/>
        <v>#REF!</v>
      </c>
      <c r="H41" s="106" t="e">
        <f>IF(Data!#REF!="","",Data!#REF!)</f>
        <v>#REF!</v>
      </c>
      <c r="I41" s="106" t="e">
        <f>IF(Data!#REF!="","",Data!#REF!)</f>
        <v>#REF!</v>
      </c>
      <c r="J41" s="106" t="e">
        <f>IF(Data!#REF!="","",Data!#REF!)</f>
        <v>#REF!</v>
      </c>
      <c r="K41" s="106" t="e">
        <f>IF(Data!#REF!="","",Data!#REF!)</f>
        <v>#REF!</v>
      </c>
      <c r="L41" s="106" t="e">
        <f>IF(Data!#REF!="","",Data!#REF!)</f>
        <v>#REF!</v>
      </c>
      <c r="M41" s="106" t="e">
        <f>IF(Data!#REF!="","",Data!#REF!)</f>
        <v>#REF!</v>
      </c>
      <c r="N41" s="106" t="e">
        <f>IF(Data!#REF!="","",Data!#REF!)</f>
        <v>#REF!</v>
      </c>
      <c r="O41" s="106" t="e">
        <f>IF(Data!#REF!="","",Data!#REF!)</f>
        <v>#REF!</v>
      </c>
      <c r="P41" s="106" t="e">
        <f>IF(Data!#REF!="","",Data!#REF!)</f>
        <v>#REF!</v>
      </c>
      <c r="Q41" s="107" t="e">
        <f>IF(Data!#REF!="","",Data!#REF!)</f>
        <v>#REF!</v>
      </c>
      <c r="R41" s="105" t="e">
        <f>IF(Data!#REF!="","",Data!#REF!)</f>
        <v>#REF!</v>
      </c>
      <c r="S41" s="106" t="e">
        <f>IF(Data!#REF!="","",Data!#REF!)</f>
        <v>#REF!</v>
      </c>
      <c r="T41" s="106" t="e">
        <f>IF(Data!#REF!="","",Data!#REF!)</f>
        <v>#REF!</v>
      </c>
      <c r="U41" s="106" t="e">
        <f>IF(Data!#REF!="","",Data!#REF!)</f>
        <v>#REF!</v>
      </c>
      <c r="V41" s="106" t="e">
        <f>IF(Data!#REF!="","",Data!#REF!)</f>
        <v>#REF!</v>
      </c>
      <c r="W41" s="106" t="e">
        <f>IF(Data!#REF!="","",Data!#REF!)</f>
        <v>#REF!</v>
      </c>
      <c r="X41" s="106" t="e">
        <f>IF(Data!#REF!="","",Data!#REF!)</f>
        <v>#REF!</v>
      </c>
      <c r="Y41" s="106" t="e">
        <f>IF(Data!#REF!="","",Data!#REF!)</f>
        <v>#REF!</v>
      </c>
      <c r="Z41" s="106" t="e">
        <f>IF(Data!#REF!="","",Data!#REF!)</f>
        <v>#REF!</v>
      </c>
      <c r="AA41" s="106" t="e">
        <f>IF(Data!#REF!="","",Data!#REF!)</f>
        <v>#REF!</v>
      </c>
      <c r="AB41" s="107" t="e">
        <f>IF(Data!#REF!="","",Data!#REF!)</f>
        <v>#REF!</v>
      </c>
      <c r="AC41" s="105" t="e">
        <f>IF(Data!#REF!="","",Data!#REF!)</f>
        <v>#REF!</v>
      </c>
      <c r="AD41" s="106" t="e">
        <f>IF(Data!#REF!="","",Data!#REF!)</f>
        <v>#REF!</v>
      </c>
      <c r="AE41" s="106" t="e">
        <f>IF(Data!#REF!="","",Data!#REF!)</f>
        <v>#REF!</v>
      </c>
      <c r="AF41" s="106" t="e">
        <f>IF(Data!#REF!="","",Data!#REF!)</f>
        <v>#REF!</v>
      </c>
      <c r="AG41" s="106" t="e">
        <f>IF(Data!#REF!="","",Data!#REF!)</f>
        <v>#REF!</v>
      </c>
      <c r="AH41" s="106" t="e">
        <f>IF(Data!#REF!="","",Data!#REF!)</f>
        <v>#REF!</v>
      </c>
      <c r="AI41" s="106" t="e">
        <f>IF(Data!#REF!="","",Data!#REF!)</f>
        <v>#REF!</v>
      </c>
      <c r="AJ41" s="106" t="e">
        <f>IF(Data!#REF!="","",Data!#REF!)</f>
        <v>#REF!</v>
      </c>
      <c r="AK41" s="106" t="e">
        <f>IF(Data!#REF!="","",Data!#REF!)</f>
        <v>#REF!</v>
      </c>
      <c r="AL41" s="106" t="e">
        <f>IF(Data!#REF!="","",Data!#REF!)</f>
        <v>#REF!</v>
      </c>
      <c r="AM41" s="107" t="e">
        <f>IF(Data!#REF!="","",Data!#REF!)</f>
        <v>#REF!</v>
      </c>
      <c r="AN41" s="105" t="e">
        <f>IF(Data!#REF!="","",Data!#REF!)</f>
        <v>#REF!</v>
      </c>
      <c r="AO41" s="106" t="e">
        <f>IF(Data!#REF!="","",Data!#REF!)</f>
        <v>#REF!</v>
      </c>
      <c r="AP41" s="106" t="e">
        <f>IF(Data!#REF!="","",Data!#REF!)</f>
        <v>#REF!</v>
      </c>
      <c r="AQ41" s="106" t="e">
        <f>IF(Data!#REF!="","",Data!#REF!)</f>
        <v>#REF!</v>
      </c>
      <c r="AR41" s="106" t="e">
        <f>IF(Data!#REF!="","",Data!#REF!)</f>
        <v>#REF!</v>
      </c>
      <c r="AS41" s="106" t="e">
        <f>IF(Data!#REF!="","",Data!#REF!)</f>
        <v>#REF!</v>
      </c>
      <c r="AT41" s="106" t="e">
        <f>IF(Data!#REF!="","",Data!#REF!)</f>
        <v>#REF!</v>
      </c>
      <c r="AU41" s="106" t="e">
        <f>IF(Data!#REF!="","",Data!#REF!)</f>
        <v>#REF!</v>
      </c>
      <c r="AV41" s="106" t="e">
        <f>IF(Data!#REF!="","",Data!#REF!)</f>
        <v>#REF!</v>
      </c>
      <c r="AW41" s="106" t="e">
        <f>IF(Data!#REF!="","",Data!#REF!)</f>
        <v>#REF!</v>
      </c>
      <c r="AX41" s="106" t="e">
        <f>IF(Data!#REF!="","",Data!#REF!)</f>
        <v>#REF!</v>
      </c>
      <c r="AY41" s="107" t="e">
        <f>IF(Data!#REF!="","",Data!#REF!)</f>
        <v>#REF!</v>
      </c>
      <c r="AZ41" s="109" t="e">
        <f>IF(Data!#REF!="","",Data!#REF!)</f>
        <v>#REF!</v>
      </c>
      <c r="BA41" s="116" t="e">
        <f ca="1">IF('Graphical Overview'!BA$5&lt;='WK Conversion'!#REF!,"ME",IF('Graphical Overview'!BA$5&lt;='WK Conversion'!#REF!,"EE",IF('Graphical Overview'!BA$5&lt;='WK Conversion'!#REF!,"M",IF('Graphical Overview'!BA$5&lt;='WK Conversion'!#REF!,"A",IF('Graphical Overview'!BA$5&lt;'WK Conversion'!#REF!,"P",IF('Graphical Overview'!BA$5='WK Conversion'!#REF!,"R",IF('Graphical Overview'!BA$5&lt;='WK Conversion'!#REF!,"CI",IF('Graphical Overview'!BA$5&lt;='WK Conversion'!#REF!,"I",""))))))))</f>
        <v>#REF!</v>
      </c>
      <c r="BB41" s="38" t="e">
        <f ca="1">IF('Graphical Overview'!BB$5&lt;='WK Conversion'!#REF!,"ME",IF('Graphical Overview'!BB$5&lt;='WK Conversion'!#REF!,"EE",IF('Graphical Overview'!BB$5&lt;='WK Conversion'!#REF!,"M",IF('Graphical Overview'!BB$5&lt;='WK Conversion'!#REF!,"A",IF('Graphical Overview'!BB$5&lt;'WK Conversion'!#REF!,"P",IF('Graphical Overview'!BB$5='WK Conversion'!#REF!,"R",IF('Graphical Overview'!BB$5&lt;='WK Conversion'!#REF!,"CI",IF('Graphical Overview'!BB$5&lt;='WK Conversion'!#REF!,"I",""))))))))</f>
        <v>#REF!</v>
      </c>
      <c r="BC41" s="38" t="e">
        <f ca="1">IF('Graphical Overview'!BC$5&lt;='WK Conversion'!#REF!,"ME",IF('Graphical Overview'!BC$5&lt;='WK Conversion'!#REF!,"EE",IF('Graphical Overview'!BC$5&lt;='WK Conversion'!#REF!,"M",IF('Graphical Overview'!BC$5&lt;='WK Conversion'!#REF!,"A",IF('Graphical Overview'!BC$5&lt;'WK Conversion'!#REF!,"P",IF('Graphical Overview'!BC$5='WK Conversion'!#REF!,"R",IF('Graphical Overview'!BC$5&lt;='WK Conversion'!#REF!,"CI",IF('Graphical Overview'!BC$5&lt;='WK Conversion'!#REF!,"I",""))))))))</f>
        <v>#REF!</v>
      </c>
      <c r="BD41" s="38" t="e">
        <f ca="1">IF('Graphical Overview'!BD$5&lt;='WK Conversion'!#REF!,"ME",IF('Graphical Overview'!BD$5&lt;='WK Conversion'!#REF!,"EE",IF('Graphical Overview'!BD$5&lt;='WK Conversion'!#REF!,"M",IF('Graphical Overview'!BD$5&lt;='WK Conversion'!#REF!,"A",IF('Graphical Overview'!BD$5&lt;'WK Conversion'!#REF!,"P",IF('Graphical Overview'!BD$5='WK Conversion'!#REF!,"R",IF('Graphical Overview'!BD$5&lt;='WK Conversion'!#REF!,"CI",IF('Graphical Overview'!BD$5&lt;='WK Conversion'!#REF!,"I",""))))))))</f>
        <v>#REF!</v>
      </c>
      <c r="BE41" s="38" t="e">
        <f ca="1">IF('Graphical Overview'!BE$5&lt;='WK Conversion'!#REF!,"ME",IF('Graphical Overview'!BE$5&lt;='WK Conversion'!#REF!,"EE",IF('Graphical Overview'!BE$5&lt;='WK Conversion'!#REF!,"M",IF('Graphical Overview'!BE$5&lt;='WK Conversion'!#REF!,"A",IF('Graphical Overview'!BE$5&lt;'WK Conversion'!#REF!,"P",IF('Graphical Overview'!BE$5='WK Conversion'!#REF!,"R",IF('Graphical Overview'!BE$5&lt;='WK Conversion'!#REF!,"CI",IF('Graphical Overview'!BE$5&lt;='WK Conversion'!#REF!,"I",""))))))))</f>
        <v>#REF!</v>
      </c>
      <c r="BF41" s="38" t="e">
        <f ca="1">IF('Graphical Overview'!BF$5&lt;='WK Conversion'!#REF!,"ME",IF('Graphical Overview'!BF$5&lt;='WK Conversion'!#REF!,"EE",IF('Graphical Overview'!BF$5&lt;='WK Conversion'!#REF!,"M",IF('Graphical Overview'!BF$5&lt;='WK Conversion'!#REF!,"A",IF('Graphical Overview'!BF$5&lt;'WK Conversion'!#REF!,"P",IF('Graphical Overview'!BF$5='WK Conversion'!#REF!,"R",IF('Graphical Overview'!BF$5&lt;='WK Conversion'!#REF!,"CI",IF('Graphical Overview'!BF$5&lt;='WK Conversion'!#REF!,"I",""))))))))</f>
        <v>#REF!</v>
      </c>
      <c r="BG41" s="38" t="e">
        <f ca="1">IF('Graphical Overview'!BG$5&lt;='WK Conversion'!#REF!,"ME",IF('Graphical Overview'!BG$5&lt;='WK Conversion'!#REF!,"EE",IF('Graphical Overview'!BG$5&lt;='WK Conversion'!#REF!,"M",IF('Graphical Overview'!BG$5&lt;='WK Conversion'!#REF!,"A",IF('Graphical Overview'!BG$5&lt;'WK Conversion'!#REF!,"P",IF('Graphical Overview'!BG$5='WK Conversion'!#REF!,"R",IF('Graphical Overview'!BG$5&lt;='WK Conversion'!#REF!,"CI",IF('Graphical Overview'!BG$5&lt;='WK Conversion'!#REF!,"I",""))))))))</f>
        <v>#REF!</v>
      </c>
      <c r="BH41" s="38" t="e">
        <f ca="1">IF('Graphical Overview'!BH$5&lt;='WK Conversion'!#REF!,"ME",IF('Graphical Overview'!BH$5&lt;='WK Conversion'!#REF!,"EE",IF('Graphical Overview'!BH$5&lt;='WK Conversion'!#REF!,"M",IF('Graphical Overview'!BH$5&lt;='WK Conversion'!#REF!,"A",IF('Graphical Overview'!BH$5&lt;'WK Conversion'!#REF!,"P",IF('Graphical Overview'!BH$5='WK Conversion'!#REF!,"R",IF('Graphical Overview'!BH$5&lt;='WK Conversion'!#REF!,"CI",IF('Graphical Overview'!BH$5&lt;='WK Conversion'!#REF!,"I",""))))))))</f>
        <v>#REF!</v>
      </c>
      <c r="BI41" s="38" t="e">
        <f ca="1">IF('Graphical Overview'!BI$5&lt;='WK Conversion'!#REF!,"ME",IF('Graphical Overview'!BI$5&lt;='WK Conversion'!#REF!,"EE",IF('Graphical Overview'!BI$5&lt;='WK Conversion'!#REF!,"M",IF('Graphical Overview'!BI$5&lt;='WK Conversion'!#REF!,"A",IF('Graphical Overview'!BI$5&lt;'WK Conversion'!#REF!,"P",IF('Graphical Overview'!BI$5='WK Conversion'!#REF!,"R",IF('Graphical Overview'!BI$5&lt;='WK Conversion'!#REF!,"CI",IF('Graphical Overview'!BI$5&lt;='WK Conversion'!#REF!,"I",""))))))))</f>
        <v>#REF!</v>
      </c>
      <c r="BJ41" s="38" t="e">
        <f ca="1">IF('Graphical Overview'!BJ$5&lt;='WK Conversion'!#REF!,"ME",IF('Graphical Overview'!BJ$5&lt;='WK Conversion'!#REF!,"EE",IF('Graphical Overview'!BJ$5&lt;='WK Conversion'!#REF!,"M",IF('Graphical Overview'!BJ$5&lt;='WK Conversion'!#REF!,"A",IF('Graphical Overview'!BJ$5&lt;'WK Conversion'!#REF!,"P",IF('Graphical Overview'!BJ$5='WK Conversion'!#REF!,"R",IF('Graphical Overview'!BJ$5&lt;='WK Conversion'!#REF!,"CI",IF('Graphical Overview'!BJ$5&lt;='WK Conversion'!#REF!,"I",""))))))))</f>
        <v>#REF!</v>
      </c>
      <c r="BK41" s="38" t="e">
        <f ca="1">IF('Graphical Overview'!BK$5&lt;='WK Conversion'!#REF!,"ME",IF('Graphical Overview'!BK$5&lt;='WK Conversion'!#REF!,"EE",IF('Graphical Overview'!BK$5&lt;='WK Conversion'!#REF!,"M",IF('Graphical Overview'!BK$5&lt;='WK Conversion'!#REF!,"A",IF('Graphical Overview'!BK$5&lt;'WK Conversion'!#REF!,"P",IF('Graphical Overview'!BK$5='WK Conversion'!#REF!,"R",IF('Graphical Overview'!BK$5&lt;='WK Conversion'!#REF!,"CI",IF('Graphical Overview'!BK$5&lt;='WK Conversion'!#REF!,"I",""))))))))</f>
        <v>#REF!</v>
      </c>
      <c r="BL41" s="38" t="e">
        <f ca="1">IF('Graphical Overview'!BL$5&lt;='WK Conversion'!#REF!,"ME",IF('Graphical Overview'!BL$5&lt;='WK Conversion'!#REF!,"EE",IF('Graphical Overview'!BL$5&lt;='WK Conversion'!#REF!,"M",IF('Graphical Overview'!BL$5&lt;='WK Conversion'!#REF!,"A",IF('Graphical Overview'!BL$5&lt;'WK Conversion'!#REF!,"P",IF('Graphical Overview'!BL$5='WK Conversion'!#REF!,"R",IF('Graphical Overview'!BL$5&lt;='WK Conversion'!#REF!,"CI",IF('Graphical Overview'!BL$5&lt;='WK Conversion'!#REF!,"I",""))))))))</f>
        <v>#REF!</v>
      </c>
      <c r="BM41" s="38" t="e">
        <f ca="1">IF('Graphical Overview'!BM$5&lt;='WK Conversion'!#REF!,"ME",IF('Graphical Overview'!BM$5&lt;='WK Conversion'!#REF!,"EE",IF('Graphical Overview'!BM$5&lt;='WK Conversion'!#REF!,"M",IF('Graphical Overview'!BM$5&lt;='WK Conversion'!#REF!,"A",IF('Graphical Overview'!BM$5&lt;'WK Conversion'!#REF!,"P",IF('Graphical Overview'!BM$5='WK Conversion'!#REF!,"R",IF('Graphical Overview'!BM$5&lt;='WK Conversion'!#REF!,"CI",IF('Graphical Overview'!BM$5&lt;='WK Conversion'!#REF!,"I",""))))))))</f>
        <v>#REF!</v>
      </c>
      <c r="BN41" s="38" t="e">
        <f ca="1">IF('Graphical Overview'!BN$5&lt;='WK Conversion'!#REF!,"ME",IF('Graphical Overview'!BN$5&lt;='WK Conversion'!#REF!,"EE",IF('Graphical Overview'!BN$5&lt;='WK Conversion'!#REF!,"M",IF('Graphical Overview'!BN$5&lt;='WK Conversion'!#REF!,"A",IF('Graphical Overview'!BN$5&lt;'WK Conversion'!#REF!,"P",IF('Graphical Overview'!BN$5='WK Conversion'!#REF!,"R",IF('Graphical Overview'!BN$5&lt;='WK Conversion'!#REF!,"CI",IF('Graphical Overview'!BN$5&lt;='WK Conversion'!#REF!,"I",""))))))))</f>
        <v>#REF!</v>
      </c>
      <c r="BO41" s="108" t="e">
        <f ca="1">IF('Graphical Overview'!BO$5&lt;='WK Conversion'!#REF!,"ME",IF('Graphical Overview'!BO$5&lt;='WK Conversion'!#REF!,"EE",IF('Graphical Overview'!BO$5&lt;='WK Conversion'!#REF!,"M",IF('Graphical Overview'!BO$5&lt;='WK Conversion'!#REF!,"A",IF('Graphical Overview'!BO$5&lt;'WK Conversion'!#REF!,"P",IF('Graphical Overview'!BO$5='WK Conversion'!#REF!,"R",IF('Graphical Overview'!BO$5&lt;='WK Conversion'!#REF!,"CI",IF('Graphical Overview'!BO$5&lt;='WK Conversion'!#REF!,"I",""))))))))</f>
        <v>#REF!</v>
      </c>
      <c r="BP41" s="38" t="e">
        <f ca="1">IF('Graphical Overview'!BP$5&lt;='WK Conversion'!#REF!,"ME",IF('Graphical Overview'!BP$5&lt;='WK Conversion'!#REF!,"EE",IF('Graphical Overview'!BP$5&lt;='WK Conversion'!#REF!,"M",IF('Graphical Overview'!BP$5&lt;='WK Conversion'!#REF!,"A",IF('Graphical Overview'!BP$5&lt;'WK Conversion'!#REF!,"P",IF('Graphical Overview'!BP$5='WK Conversion'!#REF!,"R",IF('Graphical Overview'!BP$5&lt;='WK Conversion'!#REF!,"CI",IF('Graphical Overview'!BP$5&lt;='WK Conversion'!#REF!,"I",""))))))))</f>
        <v>#REF!</v>
      </c>
      <c r="BQ41" s="38" t="e">
        <f ca="1">IF('Graphical Overview'!BQ$5&lt;='WK Conversion'!#REF!,"ME",IF('Graphical Overview'!BQ$5&lt;='WK Conversion'!#REF!,"EE",IF('Graphical Overview'!BQ$5&lt;='WK Conversion'!#REF!,"M",IF('Graphical Overview'!BQ$5&lt;='WK Conversion'!#REF!,"A",IF('Graphical Overview'!BQ$5&lt;'WK Conversion'!#REF!,"P",IF('Graphical Overview'!BQ$5='WK Conversion'!#REF!,"R",IF('Graphical Overview'!BQ$5&lt;='WK Conversion'!#REF!,"CI",IF('Graphical Overview'!BQ$5&lt;='WK Conversion'!#REF!,"I",""))))))))</f>
        <v>#REF!</v>
      </c>
      <c r="BR41" s="38" t="e">
        <f ca="1">IF('Graphical Overview'!BR$5&lt;='WK Conversion'!#REF!,"ME",IF('Graphical Overview'!BR$5&lt;='WK Conversion'!#REF!,"EE",IF('Graphical Overview'!BR$5&lt;='WK Conversion'!#REF!,"M",IF('Graphical Overview'!BR$5&lt;='WK Conversion'!#REF!,"A",IF('Graphical Overview'!BR$5&lt;'WK Conversion'!#REF!,"P",IF('Graphical Overview'!BR$5='WK Conversion'!#REF!,"R",IF('Graphical Overview'!BR$5&lt;='WK Conversion'!#REF!,"CI",IF('Graphical Overview'!BR$5&lt;='WK Conversion'!#REF!,"I",""))))))))</f>
        <v>#REF!</v>
      </c>
      <c r="BS41" s="38" t="e">
        <f ca="1">IF('Graphical Overview'!BS$5&lt;='WK Conversion'!#REF!,"ME",IF('Graphical Overview'!BS$5&lt;='WK Conversion'!#REF!,"EE",IF('Graphical Overview'!BS$5&lt;='WK Conversion'!#REF!,"M",IF('Graphical Overview'!BS$5&lt;='WK Conversion'!#REF!,"A",IF('Graphical Overview'!BS$5&lt;'WK Conversion'!#REF!,"P",IF('Graphical Overview'!BS$5='WK Conversion'!#REF!,"R",IF('Graphical Overview'!BS$5&lt;='WK Conversion'!#REF!,"CI",IF('Graphical Overview'!BS$5&lt;='WK Conversion'!#REF!,"I",""))))))))</f>
        <v>#REF!</v>
      </c>
      <c r="BT41" s="38" t="e">
        <f ca="1">IF('Graphical Overview'!BT$5&lt;='WK Conversion'!#REF!,"ME",IF('Graphical Overview'!BT$5&lt;='WK Conversion'!#REF!,"EE",IF('Graphical Overview'!BT$5&lt;='WK Conversion'!#REF!,"M",IF('Graphical Overview'!BT$5&lt;='WK Conversion'!#REF!,"A",IF('Graphical Overview'!BT$5&lt;'WK Conversion'!#REF!,"P",IF('Graphical Overview'!BT$5='WK Conversion'!#REF!,"R",IF('Graphical Overview'!BT$5&lt;='WK Conversion'!#REF!,"CI",IF('Graphical Overview'!BT$5&lt;='WK Conversion'!#REF!,"I",""))))))))</f>
        <v>#REF!</v>
      </c>
      <c r="BU41" s="38" t="e">
        <f ca="1">IF('Graphical Overview'!BU$5&lt;='WK Conversion'!#REF!,"ME",IF('Graphical Overview'!BU$5&lt;='WK Conversion'!#REF!,"EE",IF('Graphical Overview'!BU$5&lt;='WK Conversion'!#REF!,"M",IF('Graphical Overview'!BU$5&lt;='WK Conversion'!#REF!,"A",IF('Graphical Overview'!BU$5&lt;'WK Conversion'!#REF!,"P",IF('Graphical Overview'!BU$5='WK Conversion'!#REF!,"R",IF('Graphical Overview'!BU$5&lt;='WK Conversion'!#REF!,"CI",IF('Graphical Overview'!BU$5&lt;='WK Conversion'!#REF!,"I",""))))))))</f>
        <v>#REF!</v>
      </c>
      <c r="BV41" s="38" t="e">
        <f ca="1">IF('Graphical Overview'!BV$5&lt;='WK Conversion'!#REF!,"ME",IF('Graphical Overview'!BV$5&lt;='WK Conversion'!#REF!,"EE",IF('Graphical Overview'!BV$5&lt;='WK Conversion'!#REF!,"M",IF('Graphical Overview'!BV$5&lt;='WK Conversion'!#REF!,"A",IF('Graphical Overview'!BV$5&lt;'WK Conversion'!#REF!,"P",IF('Graphical Overview'!BV$5='WK Conversion'!#REF!,"R",IF('Graphical Overview'!BV$5&lt;='WK Conversion'!#REF!,"CI",IF('Graphical Overview'!BV$5&lt;='WK Conversion'!#REF!,"I",""))))))))</f>
        <v>#REF!</v>
      </c>
      <c r="BW41" s="38" t="e">
        <f ca="1">IF('Graphical Overview'!BW$5&lt;='WK Conversion'!#REF!,"ME",IF('Graphical Overview'!BW$5&lt;='WK Conversion'!#REF!,"EE",IF('Graphical Overview'!BW$5&lt;='WK Conversion'!#REF!,"M",IF('Graphical Overview'!BW$5&lt;='WK Conversion'!#REF!,"A",IF('Graphical Overview'!BW$5&lt;'WK Conversion'!#REF!,"P",IF('Graphical Overview'!BW$5='WK Conversion'!#REF!,"R",IF('Graphical Overview'!BW$5&lt;='WK Conversion'!#REF!,"CI",IF('Graphical Overview'!BW$5&lt;='WK Conversion'!#REF!,"I",""))))))))</f>
        <v>#REF!</v>
      </c>
      <c r="BX41" s="38" t="e">
        <f ca="1">IF('Graphical Overview'!BX$5&lt;='WK Conversion'!#REF!,"ME",IF('Graphical Overview'!BX$5&lt;='WK Conversion'!#REF!,"EE",IF('Graphical Overview'!BX$5&lt;='WK Conversion'!#REF!,"M",IF('Graphical Overview'!BX$5&lt;='WK Conversion'!#REF!,"A",IF('Graphical Overview'!BX$5&lt;'WK Conversion'!#REF!,"P",IF('Graphical Overview'!BX$5='WK Conversion'!#REF!,"R",IF('Graphical Overview'!BX$5&lt;='WK Conversion'!#REF!,"CI",IF('Graphical Overview'!BX$5&lt;='WK Conversion'!#REF!,"I",""))))))))</f>
        <v>#REF!</v>
      </c>
      <c r="BY41" s="38" t="e">
        <f ca="1">IF('Graphical Overview'!BY$5&lt;='WK Conversion'!#REF!,"ME",IF('Graphical Overview'!BY$5&lt;='WK Conversion'!#REF!,"EE",IF('Graphical Overview'!BY$5&lt;='WK Conversion'!#REF!,"M",IF('Graphical Overview'!BY$5&lt;='WK Conversion'!#REF!,"A",IF('Graphical Overview'!BY$5&lt;'WK Conversion'!#REF!,"P",IF('Graphical Overview'!BY$5='WK Conversion'!#REF!,"R",IF('Graphical Overview'!BY$5&lt;='WK Conversion'!#REF!,"CI",IF('Graphical Overview'!BY$5&lt;='WK Conversion'!#REF!,"I",""))))))))</f>
        <v>#REF!</v>
      </c>
      <c r="BZ41" s="38" t="e">
        <f ca="1">IF('Graphical Overview'!BZ$5&lt;='WK Conversion'!#REF!,"ME",IF('Graphical Overview'!BZ$5&lt;='WK Conversion'!#REF!,"EE",IF('Graphical Overview'!BZ$5&lt;='WK Conversion'!#REF!,"M",IF('Graphical Overview'!BZ$5&lt;='WK Conversion'!#REF!,"A",IF('Graphical Overview'!BZ$5&lt;'WK Conversion'!#REF!,"P",IF('Graphical Overview'!BZ$5='WK Conversion'!#REF!,"R",IF('Graphical Overview'!BZ$5&lt;='WK Conversion'!#REF!,"CI",IF('Graphical Overview'!BZ$5&lt;='WK Conversion'!#REF!,"I",""))))))))</f>
        <v>#REF!</v>
      </c>
      <c r="CA41" s="38" t="e">
        <f ca="1">IF('Graphical Overview'!CA$5&lt;='WK Conversion'!#REF!,"ME",IF('Graphical Overview'!CA$5&lt;='WK Conversion'!#REF!,"EE",IF('Graphical Overview'!CA$5&lt;='WK Conversion'!#REF!,"M",IF('Graphical Overview'!CA$5&lt;='WK Conversion'!#REF!,"A",IF('Graphical Overview'!CA$5&lt;'WK Conversion'!#REF!,"P",IF('Graphical Overview'!CA$5='WK Conversion'!#REF!,"R",IF('Graphical Overview'!CA$5&lt;='WK Conversion'!#REF!,"CI",IF('Graphical Overview'!CA$5&lt;='WK Conversion'!#REF!,"I",""))))))))</f>
        <v>#REF!</v>
      </c>
      <c r="CB41" s="38" t="e">
        <f ca="1">IF('Graphical Overview'!CB$5&lt;='WK Conversion'!#REF!,"ME",IF('Graphical Overview'!CB$5&lt;='WK Conversion'!#REF!,"EE",IF('Graphical Overview'!CB$5&lt;='WK Conversion'!#REF!,"M",IF('Graphical Overview'!CB$5&lt;='WK Conversion'!#REF!,"A",IF('Graphical Overview'!CB$5&lt;'WK Conversion'!#REF!,"P",IF('Graphical Overview'!CB$5='WK Conversion'!#REF!,"R",IF('Graphical Overview'!CB$5&lt;='WK Conversion'!#REF!,"CI",IF('Graphical Overview'!CB$5&lt;='WK Conversion'!#REF!,"I",""))))))))</f>
        <v>#REF!</v>
      </c>
      <c r="CC41" s="38" t="e">
        <f ca="1">IF('Graphical Overview'!CC$5&lt;='WK Conversion'!#REF!,"ME",IF('Graphical Overview'!CC$5&lt;='WK Conversion'!#REF!,"EE",IF('Graphical Overview'!CC$5&lt;='WK Conversion'!#REF!,"M",IF('Graphical Overview'!CC$5&lt;='WK Conversion'!#REF!,"A",IF('Graphical Overview'!CC$5&lt;'WK Conversion'!#REF!,"P",IF('Graphical Overview'!CC$5='WK Conversion'!#REF!,"R",IF('Graphical Overview'!CC$5&lt;='WK Conversion'!#REF!,"CI",IF('Graphical Overview'!CC$5&lt;='WK Conversion'!#REF!,"I",""))))))))</f>
        <v>#REF!</v>
      </c>
      <c r="CD41" s="38" t="e">
        <f ca="1">IF('Graphical Overview'!CD$5&lt;='WK Conversion'!#REF!,"ME",IF('Graphical Overview'!CD$5&lt;='WK Conversion'!#REF!,"EE",IF('Graphical Overview'!CD$5&lt;='WK Conversion'!#REF!,"M",IF('Graphical Overview'!CD$5&lt;='WK Conversion'!#REF!,"A",IF('Graphical Overview'!CD$5&lt;'WK Conversion'!#REF!,"P",IF('Graphical Overview'!CD$5='WK Conversion'!#REF!,"R",IF('Graphical Overview'!CD$5&lt;='WK Conversion'!#REF!,"CI",IF('Graphical Overview'!CD$5&lt;='WK Conversion'!#REF!,"I",""))))))))</f>
        <v>#REF!</v>
      </c>
      <c r="CE41" s="38" t="e">
        <f ca="1">IF('Graphical Overview'!CE$5&lt;='WK Conversion'!#REF!,"ME",IF('Graphical Overview'!CE$5&lt;='WK Conversion'!#REF!,"EE",IF('Graphical Overview'!CE$5&lt;='WK Conversion'!#REF!,"M",IF('Graphical Overview'!CE$5&lt;='WK Conversion'!#REF!,"A",IF('Graphical Overview'!CE$5&lt;'WK Conversion'!#REF!,"P",IF('Graphical Overview'!CE$5='WK Conversion'!#REF!,"R",IF('Graphical Overview'!CE$5&lt;='WK Conversion'!#REF!,"CI",IF('Graphical Overview'!CE$5&lt;='WK Conversion'!#REF!,"I",""))))))))</f>
        <v>#REF!</v>
      </c>
      <c r="CF41" s="39" t="e">
        <f ca="1">IF('Graphical Overview'!CF$5&lt;='WK Conversion'!#REF!,"ME",IF('Graphical Overview'!CF$5&lt;='WK Conversion'!#REF!,"EE",IF('Graphical Overview'!CF$5&lt;='WK Conversion'!#REF!,"M",IF('Graphical Overview'!CF$5&lt;='WK Conversion'!#REF!,"A",IF('Graphical Overview'!CF$5&lt;'WK Conversion'!#REF!,"P",IF('Graphical Overview'!CF$5='WK Conversion'!#REF!,"R",IF('Graphical Overview'!CF$5&lt;='WK Conversion'!#REF!,"CI",IF('Graphical Overview'!CF$5&lt;='WK Conversion'!#REF!,"I",""))))))))</f>
        <v>#REF!</v>
      </c>
    </row>
    <row r="42" spans="1:84" ht="13.8" thickBot="1" x14ac:dyDescent="0.3">
      <c r="A42" s="118"/>
      <c r="B42" s="117"/>
      <c r="C42" s="117"/>
      <c r="D42" s="117"/>
      <c r="E42" s="117"/>
      <c r="F42" s="122" t="s">
        <v>116</v>
      </c>
      <c r="G42" s="123" t="e">
        <f t="shared" ref="G42:AZ42" si="4">SUM(G7:G38)</f>
        <v>#REF!</v>
      </c>
      <c r="H42" s="124" t="e">
        <f t="shared" si="4"/>
        <v>#REF!</v>
      </c>
      <c r="I42" s="124" t="e">
        <f t="shared" si="4"/>
        <v>#REF!</v>
      </c>
      <c r="J42" s="124" t="e">
        <f t="shared" si="4"/>
        <v>#REF!</v>
      </c>
      <c r="K42" s="124" t="e">
        <f t="shared" si="4"/>
        <v>#REF!</v>
      </c>
      <c r="L42" s="124" t="e">
        <f t="shared" si="4"/>
        <v>#REF!</v>
      </c>
      <c r="M42" s="124" t="e">
        <f t="shared" si="4"/>
        <v>#REF!</v>
      </c>
      <c r="N42" s="124" t="e">
        <f t="shared" si="4"/>
        <v>#REF!</v>
      </c>
      <c r="O42" s="124" t="e">
        <f t="shared" si="4"/>
        <v>#REF!</v>
      </c>
      <c r="P42" s="124" t="e">
        <f t="shared" si="4"/>
        <v>#REF!</v>
      </c>
      <c r="Q42" s="125" t="e">
        <f t="shared" si="4"/>
        <v>#REF!</v>
      </c>
      <c r="R42" s="123" t="e">
        <f t="shared" si="4"/>
        <v>#REF!</v>
      </c>
      <c r="S42" s="124" t="e">
        <f t="shared" si="4"/>
        <v>#REF!</v>
      </c>
      <c r="T42" s="124" t="e">
        <f t="shared" si="4"/>
        <v>#REF!</v>
      </c>
      <c r="U42" s="124" t="e">
        <f t="shared" si="4"/>
        <v>#REF!</v>
      </c>
      <c r="V42" s="124" t="e">
        <f t="shared" si="4"/>
        <v>#REF!</v>
      </c>
      <c r="W42" s="124" t="e">
        <f t="shared" si="4"/>
        <v>#REF!</v>
      </c>
      <c r="X42" s="124" t="e">
        <f t="shared" si="4"/>
        <v>#REF!</v>
      </c>
      <c r="Y42" s="124" t="e">
        <f t="shared" si="4"/>
        <v>#REF!</v>
      </c>
      <c r="Z42" s="124" t="e">
        <f t="shared" si="4"/>
        <v>#REF!</v>
      </c>
      <c r="AA42" s="124" t="e">
        <f t="shared" si="4"/>
        <v>#REF!</v>
      </c>
      <c r="AB42" s="125" t="e">
        <f t="shared" si="4"/>
        <v>#REF!</v>
      </c>
      <c r="AC42" s="123" t="e">
        <f t="shared" si="4"/>
        <v>#REF!</v>
      </c>
      <c r="AD42" s="124" t="e">
        <f t="shared" si="4"/>
        <v>#REF!</v>
      </c>
      <c r="AE42" s="124" t="e">
        <f t="shared" si="4"/>
        <v>#REF!</v>
      </c>
      <c r="AF42" s="124" t="e">
        <f t="shared" si="4"/>
        <v>#REF!</v>
      </c>
      <c r="AG42" s="124" t="e">
        <f t="shared" si="4"/>
        <v>#REF!</v>
      </c>
      <c r="AH42" s="124" t="e">
        <f t="shared" si="4"/>
        <v>#REF!</v>
      </c>
      <c r="AI42" s="124" t="e">
        <f t="shared" si="4"/>
        <v>#REF!</v>
      </c>
      <c r="AJ42" s="124" t="e">
        <f t="shared" si="4"/>
        <v>#REF!</v>
      </c>
      <c r="AK42" s="124" t="e">
        <f t="shared" si="4"/>
        <v>#REF!</v>
      </c>
      <c r="AL42" s="124" t="e">
        <f t="shared" si="4"/>
        <v>#REF!</v>
      </c>
      <c r="AM42" s="125" t="e">
        <f t="shared" si="4"/>
        <v>#REF!</v>
      </c>
      <c r="AN42" s="123" t="e">
        <f t="shared" si="4"/>
        <v>#REF!</v>
      </c>
      <c r="AO42" s="126" t="e">
        <f t="shared" si="4"/>
        <v>#REF!</v>
      </c>
      <c r="AP42" s="126" t="e">
        <f t="shared" si="4"/>
        <v>#REF!</v>
      </c>
      <c r="AQ42" s="126" t="e">
        <f t="shared" si="4"/>
        <v>#REF!</v>
      </c>
      <c r="AR42" s="126" t="e">
        <f t="shared" si="4"/>
        <v>#REF!</v>
      </c>
      <c r="AS42" s="126" t="e">
        <f t="shared" si="4"/>
        <v>#REF!</v>
      </c>
      <c r="AT42" s="126" t="e">
        <f t="shared" si="4"/>
        <v>#REF!</v>
      </c>
      <c r="AU42" s="126" t="e">
        <f t="shared" si="4"/>
        <v>#REF!</v>
      </c>
      <c r="AV42" s="126" t="e">
        <f t="shared" si="4"/>
        <v>#REF!</v>
      </c>
      <c r="AW42" s="126" t="e">
        <f t="shared" si="4"/>
        <v>#REF!</v>
      </c>
      <c r="AX42" s="126" t="e">
        <f t="shared" si="4"/>
        <v>#REF!</v>
      </c>
      <c r="AY42" s="126" t="e">
        <f t="shared" si="4"/>
        <v>#REF!</v>
      </c>
      <c r="AZ42" s="127" t="e">
        <f t="shared" si="4"/>
        <v>#REF!</v>
      </c>
      <c r="BA42" s="121"/>
      <c r="BB42" s="119"/>
      <c r="BC42" s="119"/>
      <c r="BD42" s="119"/>
      <c r="BE42" s="119"/>
      <c r="BF42" s="119"/>
      <c r="BG42" s="119"/>
      <c r="BH42" s="119"/>
      <c r="BI42" s="119"/>
      <c r="BJ42" s="119"/>
      <c r="BK42" s="119"/>
      <c r="BL42" s="119"/>
      <c r="BM42" s="119"/>
      <c r="BN42" s="119"/>
      <c r="BO42" s="121"/>
      <c r="BP42" s="119"/>
      <c r="BQ42" s="119"/>
      <c r="BR42" s="119"/>
      <c r="BS42" s="119"/>
      <c r="BT42" s="119"/>
      <c r="BU42" s="119"/>
      <c r="BV42" s="119"/>
      <c r="BW42" s="119"/>
      <c r="BX42" s="119"/>
      <c r="BY42" s="119"/>
      <c r="BZ42" s="119"/>
      <c r="CA42" s="119"/>
      <c r="CB42" s="119"/>
      <c r="CC42" s="119"/>
      <c r="CD42" s="119"/>
      <c r="CE42" s="119"/>
      <c r="CF42" s="120"/>
    </row>
    <row r="43" spans="1:84" ht="16.2" thickBot="1" x14ac:dyDescent="0.35">
      <c r="A43" s="36" t="s">
        <v>71</v>
      </c>
      <c r="B43" s="26"/>
      <c r="C43" s="26"/>
      <c r="D43" s="26"/>
      <c r="E43" s="26"/>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G43" s="307" t="s">
        <v>87</v>
      </c>
      <c r="BH43" s="308"/>
      <c r="BI43" s="308"/>
      <c r="BJ43" s="308"/>
      <c r="BK43" s="308"/>
      <c r="BL43" s="308"/>
      <c r="BM43" s="308"/>
      <c r="BN43" s="308"/>
      <c r="BO43" s="308"/>
      <c r="BP43" s="308"/>
      <c r="BQ43" s="308"/>
      <c r="BR43" s="308"/>
      <c r="BS43" s="309"/>
      <c r="BT43" s="307" t="s">
        <v>76</v>
      </c>
      <c r="BU43" s="308"/>
      <c r="BV43" s="308"/>
      <c r="BW43" s="308"/>
      <c r="BX43" s="308"/>
      <c r="BY43" s="308"/>
      <c r="BZ43" s="308"/>
      <c r="CA43" s="308"/>
      <c r="CB43" s="308"/>
      <c r="CC43" s="308"/>
      <c r="CD43" s="308"/>
      <c r="CE43" s="308"/>
      <c r="CF43" s="309"/>
    </row>
    <row r="44" spans="1:84" ht="15" customHeight="1" x14ac:dyDescent="0.3">
      <c r="A44" s="36"/>
      <c r="B44" s="26"/>
      <c r="C44" s="26"/>
      <c r="D44" s="26"/>
      <c r="E44" s="26"/>
      <c r="F44" s="22"/>
      <c r="G44" s="22"/>
      <c r="H44" s="22"/>
      <c r="I44" s="22"/>
      <c r="J44" s="22"/>
      <c r="K44" s="22"/>
      <c r="L44" s="24" t="s">
        <v>130</v>
      </c>
      <c r="AO44" s="22"/>
      <c r="AP44" s="22"/>
      <c r="AQ44" s="22"/>
      <c r="AR44" s="22"/>
      <c r="AS44" s="22"/>
      <c r="AT44" s="22"/>
      <c r="AU44" s="22"/>
      <c r="AV44" s="22"/>
      <c r="AW44" s="22"/>
      <c r="AX44" s="22"/>
      <c r="AY44" s="22"/>
      <c r="AZ44" s="22"/>
      <c r="BD44" s="20" t="s">
        <v>54</v>
      </c>
      <c r="BE44" s="141" t="s">
        <v>18</v>
      </c>
      <c r="BG44" s="31" t="s">
        <v>49</v>
      </c>
      <c r="BH44" s="313" t="s">
        <v>126</v>
      </c>
      <c r="BI44" s="314"/>
      <c r="BJ44" s="314"/>
      <c r="BK44" s="314"/>
      <c r="BL44" s="314"/>
      <c r="BM44" s="314"/>
      <c r="BN44" s="314"/>
      <c r="BO44" s="314"/>
      <c r="BP44" s="314"/>
      <c r="BQ44" s="314"/>
      <c r="BR44" s="314"/>
      <c r="BS44" s="315"/>
      <c r="BT44" s="32" t="s">
        <v>49</v>
      </c>
      <c r="BU44" s="313"/>
      <c r="BV44" s="314"/>
      <c r="BW44" s="314"/>
      <c r="BX44" s="314"/>
      <c r="BY44" s="314"/>
      <c r="BZ44" s="314"/>
      <c r="CA44" s="314"/>
      <c r="CB44" s="314"/>
      <c r="CC44" s="314"/>
      <c r="CD44" s="314"/>
      <c r="CE44" s="314"/>
      <c r="CF44" s="315"/>
    </row>
    <row r="45" spans="1:84" ht="15" customHeight="1" x14ac:dyDescent="0.25">
      <c r="A45" s="28"/>
      <c r="B45" s="27"/>
      <c r="C45" s="27"/>
      <c r="D45" s="27"/>
      <c r="E45" s="27"/>
      <c r="F45" s="22"/>
      <c r="G45" s="22"/>
      <c r="H45" s="22"/>
      <c r="I45" s="22"/>
      <c r="J45" s="22"/>
      <c r="K45" s="22"/>
      <c r="L45" s="112">
        <v>1</v>
      </c>
      <c r="M45" s="51"/>
      <c r="N45" s="51"/>
      <c r="O45" s="51"/>
      <c r="AO45" s="22"/>
      <c r="AP45" s="22"/>
      <c r="AQ45" s="22"/>
      <c r="AR45" s="22"/>
      <c r="AS45" s="22"/>
      <c r="AT45" s="22"/>
      <c r="AU45" s="22"/>
      <c r="AV45" s="22"/>
      <c r="AW45" s="22"/>
      <c r="AX45" s="22"/>
      <c r="AY45" s="22"/>
      <c r="AZ45" s="22"/>
      <c r="BD45" s="20" t="s">
        <v>55</v>
      </c>
      <c r="BE45" s="141" t="s">
        <v>19</v>
      </c>
      <c r="BG45" s="31" t="s">
        <v>50</v>
      </c>
      <c r="BH45" s="290" t="s">
        <v>127</v>
      </c>
      <c r="BI45" s="291"/>
      <c r="BJ45" s="291"/>
      <c r="BK45" s="291"/>
      <c r="BL45" s="291"/>
      <c r="BM45" s="291"/>
      <c r="BN45" s="291"/>
      <c r="BO45" s="291"/>
      <c r="BP45" s="291"/>
      <c r="BQ45" s="291"/>
      <c r="BR45" s="291"/>
      <c r="BS45" s="292"/>
      <c r="BT45" s="31" t="s">
        <v>50</v>
      </c>
      <c r="BU45" s="290"/>
      <c r="BV45" s="291"/>
      <c r="BW45" s="291"/>
      <c r="BX45" s="291"/>
      <c r="BY45" s="291"/>
      <c r="BZ45" s="291"/>
      <c r="CA45" s="291"/>
      <c r="CB45" s="291"/>
      <c r="CC45" s="291"/>
      <c r="CD45" s="291"/>
      <c r="CE45" s="291"/>
      <c r="CF45" s="292"/>
    </row>
    <row r="46" spans="1:84" ht="15" customHeight="1" x14ac:dyDescent="0.25">
      <c r="A46" s="28"/>
      <c r="B46" s="27"/>
      <c r="C46" s="27"/>
      <c r="D46" s="27"/>
      <c r="E46" s="27"/>
      <c r="F46" s="22"/>
      <c r="G46" s="22"/>
      <c r="H46" s="22"/>
      <c r="I46" s="22"/>
      <c r="J46" s="22"/>
      <c r="K46" s="22"/>
      <c r="L46" s="112"/>
      <c r="M46" s="51"/>
      <c r="N46" s="51"/>
      <c r="O46" s="51"/>
      <c r="S46" s="113"/>
      <c r="AO46" s="22"/>
      <c r="AP46" s="22"/>
      <c r="AQ46" s="22"/>
      <c r="AR46" s="22"/>
      <c r="AS46" s="22"/>
      <c r="AT46" s="22"/>
      <c r="AU46" s="22"/>
      <c r="AV46" s="22"/>
      <c r="AW46" s="22"/>
      <c r="AX46" s="22"/>
      <c r="AY46" s="22"/>
      <c r="AZ46" s="22"/>
      <c r="BA46" s="20"/>
      <c r="BB46" s="30"/>
      <c r="BD46" s="20" t="s">
        <v>56</v>
      </c>
      <c r="BE46" s="141" t="s">
        <v>5</v>
      </c>
      <c r="BG46" s="31" t="s">
        <v>51</v>
      </c>
      <c r="BH46" s="293" t="s">
        <v>114</v>
      </c>
      <c r="BI46" s="293"/>
      <c r="BJ46" s="293"/>
      <c r="BK46" s="293"/>
      <c r="BL46" s="293"/>
      <c r="BM46" s="293"/>
      <c r="BN46" s="293"/>
      <c r="BO46" s="293"/>
      <c r="BP46" s="293"/>
      <c r="BQ46" s="293"/>
      <c r="BR46" s="293"/>
      <c r="BS46" s="294"/>
      <c r="BT46" s="31" t="s">
        <v>51</v>
      </c>
      <c r="BU46" s="290"/>
      <c r="BV46" s="291"/>
      <c r="BW46" s="291"/>
      <c r="BX46" s="291"/>
      <c r="BY46" s="291"/>
      <c r="BZ46" s="291"/>
      <c r="CA46" s="291"/>
      <c r="CB46" s="291"/>
      <c r="CC46" s="291"/>
      <c r="CD46" s="291"/>
      <c r="CE46" s="291"/>
      <c r="CF46" s="292"/>
    </row>
    <row r="47" spans="1:84" ht="15" x14ac:dyDescent="0.25">
      <c r="A47" s="28"/>
      <c r="B47" s="27"/>
      <c r="C47" s="27"/>
      <c r="D47" s="27"/>
      <c r="E47" s="27"/>
      <c r="F47" s="22"/>
      <c r="G47" s="22"/>
      <c r="H47" s="22"/>
      <c r="I47" s="22"/>
      <c r="J47" s="22"/>
      <c r="K47" s="22"/>
      <c r="L47" s="112">
        <v>2</v>
      </c>
      <c r="M47" s="51"/>
      <c r="N47" s="51"/>
      <c r="O47" s="51"/>
      <c r="S47" s="113"/>
      <c r="AO47" s="22"/>
      <c r="AP47" s="22"/>
      <c r="AQ47" s="22"/>
      <c r="AR47" s="22"/>
      <c r="AS47" s="22"/>
      <c r="AT47" s="22"/>
      <c r="AU47" s="22"/>
      <c r="AV47" s="22"/>
      <c r="AW47" s="22"/>
      <c r="AX47" s="22"/>
      <c r="AY47" s="22"/>
      <c r="AZ47" s="22"/>
      <c r="BA47" s="20"/>
      <c r="BB47" s="30"/>
      <c r="BD47" s="20" t="s">
        <v>10</v>
      </c>
      <c r="BE47" s="141" t="s">
        <v>6</v>
      </c>
      <c r="BG47" s="31" t="s">
        <v>52</v>
      </c>
      <c r="BH47" s="293" t="s">
        <v>115</v>
      </c>
      <c r="BI47" s="293"/>
      <c r="BJ47" s="293"/>
      <c r="BK47" s="293"/>
      <c r="BL47" s="293"/>
      <c r="BM47" s="293"/>
      <c r="BN47" s="293"/>
      <c r="BO47" s="293"/>
      <c r="BP47" s="293"/>
      <c r="BQ47" s="293"/>
      <c r="BR47" s="293"/>
      <c r="BS47" s="294"/>
      <c r="BT47" s="31" t="s">
        <v>52</v>
      </c>
      <c r="BU47" s="290"/>
      <c r="BV47" s="291"/>
      <c r="BW47" s="291"/>
      <c r="BX47" s="291"/>
      <c r="BY47" s="291"/>
      <c r="BZ47" s="291"/>
      <c r="CA47" s="291"/>
      <c r="CB47" s="291"/>
      <c r="CC47" s="291"/>
      <c r="CD47" s="291"/>
      <c r="CE47" s="291"/>
      <c r="CF47" s="292"/>
    </row>
    <row r="48" spans="1:84" ht="15.6" thickBot="1" x14ac:dyDescent="0.3">
      <c r="A48" s="28"/>
      <c r="B48" s="27"/>
      <c r="C48" s="27"/>
      <c r="D48" s="27"/>
      <c r="E48" s="27"/>
      <c r="F48" s="23"/>
      <c r="G48" s="23"/>
      <c r="H48" s="23"/>
      <c r="I48" s="23"/>
      <c r="J48" s="23"/>
      <c r="K48" s="23"/>
      <c r="L48" s="112"/>
      <c r="M48" s="51"/>
      <c r="N48" s="51"/>
      <c r="O48" s="51"/>
      <c r="AO48" s="23"/>
      <c r="AP48" s="23"/>
      <c r="AQ48" s="23"/>
      <c r="AR48" s="23"/>
      <c r="AS48" s="23"/>
      <c r="AT48" s="23"/>
      <c r="AU48" s="23"/>
      <c r="AV48" s="23"/>
      <c r="AW48" s="23"/>
      <c r="AX48" s="23"/>
      <c r="AY48" s="23"/>
      <c r="AZ48" s="23"/>
      <c r="BA48" s="20"/>
      <c r="BB48" s="30"/>
      <c r="BD48" s="20" t="s">
        <v>11</v>
      </c>
      <c r="BE48" s="141" t="s">
        <v>7</v>
      </c>
      <c r="BG48" s="114" t="s">
        <v>53</v>
      </c>
      <c r="BH48" s="293" t="s">
        <v>117</v>
      </c>
      <c r="BI48" s="293"/>
      <c r="BJ48" s="293"/>
      <c r="BK48" s="293"/>
      <c r="BL48" s="293"/>
      <c r="BM48" s="293"/>
      <c r="BN48" s="293"/>
      <c r="BO48" s="293"/>
      <c r="BP48" s="293"/>
      <c r="BQ48" s="293"/>
      <c r="BR48" s="293"/>
      <c r="BS48" s="294"/>
      <c r="BT48" s="33" t="s">
        <v>53</v>
      </c>
      <c r="BU48" s="328"/>
      <c r="BV48" s="329"/>
      <c r="BW48" s="329"/>
      <c r="BX48" s="329"/>
      <c r="BY48" s="329"/>
      <c r="BZ48" s="329"/>
      <c r="CA48" s="329"/>
      <c r="CB48" s="329"/>
      <c r="CC48" s="329"/>
      <c r="CD48" s="329"/>
      <c r="CE48" s="329"/>
      <c r="CF48" s="330"/>
    </row>
    <row r="49" spans="1:84" ht="15.6" thickBot="1" x14ac:dyDescent="0.3">
      <c r="A49" s="28"/>
      <c r="B49" s="27"/>
      <c r="C49" s="27"/>
      <c r="D49" s="27"/>
      <c r="E49" s="27"/>
      <c r="F49" s="27"/>
      <c r="G49" s="27"/>
      <c r="H49" s="27"/>
      <c r="I49" s="27"/>
      <c r="J49" s="27"/>
      <c r="K49" s="27"/>
      <c r="L49" s="112">
        <v>3</v>
      </c>
      <c r="M49" s="51"/>
      <c r="N49" s="51"/>
      <c r="O49" s="51"/>
      <c r="S49" s="113"/>
      <c r="AO49" s="27"/>
      <c r="AP49" s="27"/>
      <c r="AQ49" s="27"/>
      <c r="AR49" s="27"/>
      <c r="AS49" s="27"/>
      <c r="AT49" s="27"/>
      <c r="AU49" s="27"/>
      <c r="AV49" s="27"/>
      <c r="AW49" s="27"/>
      <c r="AX49" s="27"/>
      <c r="AY49" s="27"/>
      <c r="AZ49" s="27"/>
      <c r="BA49" s="20"/>
      <c r="BB49" s="30"/>
      <c r="BD49" s="20" t="s">
        <v>12</v>
      </c>
      <c r="BE49" s="141" t="s">
        <v>8</v>
      </c>
      <c r="BG49" s="114" t="s">
        <v>113</v>
      </c>
      <c r="BH49" s="293" t="s">
        <v>119</v>
      </c>
      <c r="BI49" s="293"/>
      <c r="BJ49" s="293"/>
      <c r="BK49" s="293"/>
      <c r="BL49" s="293"/>
      <c r="BM49" s="293"/>
      <c r="BN49" s="293"/>
      <c r="BO49" s="293"/>
      <c r="BP49" s="293"/>
      <c r="BQ49" s="293"/>
      <c r="BR49" s="293"/>
      <c r="BS49" s="294"/>
      <c r="BT49" s="307" t="s">
        <v>88</v>
      </c>
      <c r="BU49" s="308"/>
      <c r="BV49" s="308"/>
      <c r="BW49" s="308"/>
      <c r="BX49" s="308"/>
      <c r="BY49" s="308"/>
      <c r="BZ49" s="308"/>
      <c r="CA49" s="308"/>
      <c r="CB49" s="308"/>
      <c r="CC49" s="308"/>
      <c r="CD49" s="308"/>
      <c r="CE49" s="308"/>
      <c r="CF49" s="309"/>
    </row>
    <row r="50" spans="1:84" ht="15" x14ac:dyDescent="0.25">
      <c r="A50" s="28"/>
      <c r="B50" s="27"/>
      <c r="C50" s="27"/>
      <c r="D50" s="27"/>
      <c r="E50" s="27"/>
      <c r="F50" s="25"/>
      <c r="G50" s="25"/>
      <c r="H50" s="25"/>
      <c r="I50" s="25"/>
      <c r="J50" s="25"/>
      <c r="K50" s="25"/>
      <c r="L50" s="112"/>
      <c r="M50" s="51"/>
      <c r="N50" s="51"/>
      <c r="O50" s="51"/>
      <c r="AO50" s="25"/>
      <c r="AP50" s="25"/>
      <c r="AQ50" s="25"/>
      <c r="AR50" s="25"/>
      <c r="AS50" s="25"/>
      <c r="AT50" s="25"/>
      <c r="AU50" s="25"/>
      <c r="AV50" s="25"/>
      <c r="AW50" s="25"/>
      <c r="AX50" s="25"/>
      <c r="AY50" s="25"/>
      <c r="AZ50" s="25"/>
      <c r="BA50" s="20"/>
      <c r="BB50" s="30"/>
      <c r="BD50" s="20" t="s">
        <v>64</v>
      </c>
      <c r="BE50" s="141" t="s">
        <v>66</v>
      </c>
      <c r="BG50" s="114" t="s">
        <v>120</v>
      </c>
      <c r="BH50" s="293" t="s">
        <v>118</v>
      </c>
      <c r="BI50" s="293"/>
      <c r="BJ50" s="293"/>
      <c r="BK50" s="293"/>
      <c r="BL50" s="293"/>
      <c r="BM50" s="293"/>
      <c r="BN50" s="293"/>
      <c r="BO50" s="293"/>
      <c r="BP50" s="293"/>
      <c r="BQ50" s="293"/>
      <c r="BR50" s="293"/>
      <c r="BS50" s="294"/>
      <c r="BT50" s="32" t="s">
        <v>49</v>
      </c>
      <c r="BU50" s="331" t="s">
        <v>112</v>
      </c>
      <c r="BV50" s="331"/>
      <c r="BW50" s="331"/>
      <c r="BX50" s="331"/>
      <c r="BY50" s="331"/>
      <c r="BZ50" s="331"/>
      <c r="CA50" s="331"/>
      <c r="CB50" s="331"/>
      <c r="CC50" s="331"/>
      <c r="CD50" s="331"/>
      <c r="CE50" s="331"/>
      <c r="CF50" s="332"/>
    </row>
    <row r="51" spans="1:84" ht="15" x14ac:dyDescent="0.25">
      <c r="A51" s="28"/>
      <c r="B51" s="27"/>
      <c r="C51" s="27"/>
      <c r="D51" s="27"/>
      <c r="E51" s="27"/>
      <c r="F51" s="25"/>
      <c r="G51" s="25"/>
      <c r="H51" s="25"/>
      <c r="I51" s="25"/>
      <c r="J51" s="25"/>
      <c r="K51" s="25"/>
      <c r="L51" s="112">
        <v>4</v>
      </c>
      <c r="AO51" s="25"/>
      <c r="AP51" s="25"/>
      <c r="AQ51" s="25"/>
      <c r="AR51" s="25"/>
      <c r="AS51" s="25"/>
      <c r="AT51" s="25"/>
      <c r="AU51" s="25"/>
      <c r="AV51" s="25"/>
      <c r="AW51" s="25"/>
      <c r="AX51" s="25"/>
      <c r="AY51" s="25"/>
      <c r="AZ51" s="25"/>
      <c r="BA51" s="20"/>
      <c r="BB51" s="30"/>
      <c r="BD51" s="20" t="s">
        <v>65</v>
      </c>
      <c r="BE51" s="141" t="s">
        <v>9</v>
      </c>
      <c r="BG51" s="114" t="s">
        <v>121</v>
      </c>
      <c r="BH51" s="291"/>
      <c r="BI51" s="291"/>
      <c r="BJ51" s="291"/>
      <c r="BK51" s="291"/>
      <c r="BL51" s="291"/>
      <c r="BM51" s="291"/>
      <c r="BN51" s="291"/>
      <c r="BO51" s="291"/>
      <c r="BP51" s="291"/>
      <c r="BQ51" s="291"/>
      <c r="BR51" s="291"/>
      <c r="BS51" s="292"/>
      <c r="BT51" s="31" t="s">
        <v>50</v>
      </c>
      <c r="BU51" s="293" t="s">
        <v>119</v>
      </c>
      <c r="BV51" s="293"/>
      <c r="BW51" s="293"/>
      <c r="BX51" s="293"/>
      <c r="BY51" s="293"/>
      <c r="BZ51" s="293"/>
      <c r="CA51" s="293"/>
      <c r="CB51" s="293"/>
      <c r="CC51" s="293"/>
      <c r="CD51" s="293"/>
      <c r="CE51" s="293"/>
      <c r="CF51" s="294"/>
    </row>
    <row r="52" spans="1:84" ht="15" customHeight="1" x14ac:dyDescent="0.25">
      <c r="A52" s="28"/>
      <c r="B52" s="27"/>
      <c r="C52" s="27"/>
      <c r="D52" s="27"/>
      <c r="E52" s="27"/>
      <c r="F52" s="27"/>
      <c r="G52" s="27"/>
      <c r="H52" s="27"/>
      <c r="I52" s="27"/>
      <c r="J52" s="27"/>
      <c r="K52" s="27"/>
      <c r="L52" s="112"/>
      <c r="AO52" s="27"/>
      <c r="AP52" s="27"/>
      <c r="AQ52" s="27"/>
      <c r="AR52" s="27"/>
      <c r="AS52" s="27"/>
      <c r="AT52" s="27"/>
      <c r="AU52" s="27"/>
      <c r="AV52" s="27"/>
      <c r="AW52" s="27"/>
      <c r="AX52" s="27"/>
      <c r="AY52" s="27"/>
      <c r="AZ52" s="27"/>
      <c r="BG52" s="114" t="s">
        <v>122</v>
      </c>
      <c r="BH52" s="291"/>
      <c r="BI52" s="291"/>
      <c r="BJ52" s="291"/>
      <c r="BK52" s="291"/>
      <c r="BL52" s="291"/>
      <c r="BM52" s="291"/>
      <c r="BN52" s="291"/>
      <c r="BO52" s="291"/>
      <c r="BP52" s="291"/>
      <c r="BQ52" s="291"/>
      <c r="BR52" s="291"/>
      <c r="BS52" s="292"/>
      <c r="BT52" s="31" t="s">
        <v>51</v>
      </c>
      <c r="BU52" s="293" t="s">
        <v>118</v>
      </c>
      <c r="BV52" s="293"/>
      <c r="BW52" s="293"/>
      <c r="BX52" s="293"/>
      <c r="BY52" s="293"/>
      <c r="BZ52" s="293"/>
      <c r="CA52" s="293"/>
      <c r="CB52" s="293"/>
      <c r="CC52" s="293"/>
      <c r="CD52" s="293"/>
      <c r="CE52" s="293"/>
      <c r="CF52" s="294"/>
    </row>
    <row r="53" spans="1:84" ht="15" customHeight="1" x14ac:dyDescent="0.25">
      <c r="A53" s="28"/>
      <c r="B53" s="27"/>
      <c r="C53" s="27"/>
      <c r="D53" s="27"/>
      <c r="E53" s="27"/>
      <c r="L53" s="112">
        <v>5</v>
      </c>
      <c r="M53" s="51"/>
      <c r="N53" s="51"/>
      <c r="O53" s="51"/>
      <c r="P53" s="51"/>
      <c r="Q53" s="51"/>
      <c r="BG53" s="114" t="s">
        <v>123</v>
      </c>
      <c r="BH53" s="291"/>
      <c r="BI53" s="291"/>
      <c r="BJ53" s="291"/>
      <c r="BK53" s="291"/>
      <c r="BL53" s="291"/>
      <c r="BM53" s="291"/>
      <c r="BN53" s="291"/>
      <c r="BO53" s="291"/>
      <c r="BP53" s="291"/>
      <c r="BQ53" s="291"/>
      <c r="BR53" s="291"/>
      <c r="BS53" s="292"/>
      <c r="BT53" s="31" t="s">
        <v>52</v>
      </c>
      <c r="BU53" s="293"/>
      <c r="BV53" s="293"/>
      <c r="BW53" s="293"/>
      <c r="BX53" s="293"/>
      <c r="BY53" s="293"/>
      <c r="BZ53" s="293"/>
      <c r="CA53" s="293"/>
      <c r="CB53" s="293"/>
      <c r="CC53" s="293"/>
      <c r="CD53" s="293"/>
      <c r="CE53" s="293"/>
      <c r="CF53" s="294"/>
    </row>
    <row r="54" spans="1:84" ht="15" customHeight="1" x14ac:dyDescent="0.25">
      <c r="A54" s="28"/>
      <c r="B54" s="27"/>
      <c r="C54" s="27"/>
      <c r="D54" s="27"/>
      <c r="E54" s="27"/>
      <c r="L54" s="112"/>
      <c r="M54" s="51"/>
      <c r="N54" s="51"/>
      <c r="O54" s="51"/>
      <c r="P54" s="51"/>
      <c r="Q54" s="51"/>
      <c r="BG54" s="114" t="s">
        <v>124</v>
      </c>
      <c r="BH54" s="291"/>
      <c r="BI54" s="291"/>
      <c r="BJ54" s="291"/>
      <c r="BK54" s="291"/>
      <c r="BL54" s="291"/>
      <c r="BM54" s="291"/>
      <c r="BN54" s="291"/>
      <c r="BO54" s="291"/>
      <c r="BP54" s="291"/>
      <c r="BQ54" s="291"/>
      <c r="BR54" s="291"/>
      <c r="BS54" s="292"/>
      <c r="BT54" s="114" t="s">
        <v>53</v>
      </c>
      <c r="BU54" s="293"/>
      <c r="BV54" s="293"/>
      <c r="BW54" s="293"/>
      <c r="BX54" s="293"/>
      <c r="BY54" s="293"/>
      <c r="BZ54" s="293"/>
      <c r="CA54" s="293"/>
      <c r="CB54" s="293"/>
      <c r="CC54" s="293"/>
      <c r="CD54" s="293"/>
      <c r="CE54" s="293"/>
      <c r="CF54" s="294"/>
    </row>
    <row r="55" spans="1:84" ht="15.75" customHeight="1" thickBot="1" x14ac:dyDescent="0.35">
      <c r="A55" s="36"/>
      <c r="B55" s="27"/>
      <c r="C55" s="27"/>
      <c r="D55" s="27"/>
      <c r="E55" s="27"/>
      <c r="L55" s="112">
        <v>6</v>
      </c>
      <c r="M55" s="51"/>
      <c r="N55" s="51"/>
      <c r="O55" s="51"/>
      <c r="P55" s="51"/>
      <c r="Q55" s="51"/>
      <c r="BG55" s="115" t="s">
        <v>125</v>
      </c>
      <c r="BH55" s="293"/>
      <c r="BI55" s="293"/>
      <c r="BJ55" s="293"/>
      <c r="BK55" s="293"/>
      <c r="BL55" s="293"/>
      <c r="BM55" s="293"/>
      <c r="BN55" s="293"/>
      <c r="BO55" s="293"/>
      <c r="BP55" s="293"/>
      <c r="BQ55" s="293"/>
      <c r="BR55" s="293"/>
      <c r="BS55" s="294"/>
      <c r="BT55" s="115" t="s">
        <v>113</v>
      </c>
      <c r="BU55" s="293"/>
      <c r="BV55" s="293"/>
      <c r="BW55" s="293"/>
      <c r="BX55" s="293"/>
      <c r="BY55" s="293"/>
      <c r="BZ55" s="293"/>
      <c r="CA55" s="293"/>
      <c r="CB55" s="293"/>
      <c r="CC55" s="293"/>
      <c r="CD55" s="293"/>
      <c r="CE55" s="293"/>
      <c r="CF55" s="294"/>
    </row>
    <row r="56" spans="1:84" ht="15.6" thickBot="1" x14ac:dyDescent="0.3">
      <c r="A56" s="35"/>
      <c r="B56" s="27"/>
      <c r="C56" s="27"/>
      <c r="D56" s="27"/>
      <c r="E56" s="27"/>
      <c r="L56" s="112"/>
      <c r="M56" s="51"/>
      <c r="N56" s="51"/>
      <c r="O56" s="51"/>
      <c r="P56" s="51"/>
      <c r="Q56" s="51"/>
      <c r="BG56" s="318" t="s">
        <v>142</v>
      </c>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20"/>
    </row>
    <row r="57" spans="1:84" ht="15.75" customHeight="1" x14ac:dyDescent="0.3">
      <c r="A57" s="36"/>
      <c r="B57" s="27"/>
      <c r="C57" s="27"/>
      <c r="D57" s="27"/>
      <c r="E57" s="27"/>
      <c r="L57" s="112">
        <v>7</v>
      </c>
      <c r="M57" s="51"/>
      <c r="N57" s="51"/>
      <c r="O57" s="51"/>
      <c r="P57" s="51"/>
      <c r="Q57" s="51"/>
      <c r="BG57" s="316" t="s">
        <v>77</v>
      </c>
      <c r="BH57" s="303"/>
      <c r="BI57" s="301" t="s">
        <v>3</v>
      </c>
      <c r="BJ57" s="302"/>
      <c r="BK57" s="302"/>
      <c r="BL57" s="302"/>
      <c r="BM57" s="302"/>
      <c r="BN57" s="302"/>
      <c r="BO57" s="302"/>
      <c r="BP57" s="303"/>
      <c r="BQ57" s="295" t="s">
        <v>78</v>
      </c>
      <c r="BR57" s="296"/>
      <c r="BS57" s="310"/>
      <c r="BT57" s="295" t="s">
        <v>79</v>
      </c>
      <c r="BU57" s="296"/>
      <c r="BV57" s="310"/>
      <c r="BW57" s="312" t="s">
        <v>80</v>
      </c>
      <c r="BX57" s="312"/>
      <c r="BY57" s="312"/>
      <c r="BZ57" s="312"/>
      <c r="CA57" s="296" t="s">
        <v>83</v>
      </c>
      <c r="CB57" s="310"/>
      <c r="CC57" s="295" t="s">
        <v>84</v>
      </c>
      <c r="CD57" s="296"/>
      <c r="CE57" s="296"/>
      <c r="CF57" s="297"/>
    </row>
    <row r="58" spans="1:84" ht="16.5" customHeight="1" x14ac:dyDescent="0.25">
      <c r="A58" s="35"/>
      <c r="B58" s="27"/>
      <c r="C58" s="27"/>
      <c r="D58" s="27"/>
      <c r="E58" s="27"/>
      <c r="L58" s="112"/>
      <c r="M58" s="51"/>
      <c r="N58" s="51"/>
      <c r="O58" s="51"/>
      <c r="P58" s="51"/>
      <c r="Q58" s="51"/>
      <c r="BG58" s="317"/>
      <c r="BH58" s="306"/>
      <c r="BI58" s="304"/>
      <c r="BJ58" s="305"/>
      <c r="BK58" s="305"/>
      <c r="BL58" s="305"/>
      <c r="BM58" s="305"/>
      <c r="BN58" s="305"/>
      <c r="BO58" s="305"/>
      <c r="BP58" s="306"/>
      <c r="BQ58" s="298"/>
      <c r="BR58" s="299"/>
      <c r="BS58" s="311"/>
      <c r="BT58" s="298"/>
      <c r="BU58" s="299"/>
      <c r="BV58" s="311"/>
      <c r="BW58" s="327" t="s">
        <v>81</v>
      </c>
      <c r="BX58" s="327"/>
      <c r="BY58" s="327" t="s">
        <v>82</v>
      </c>
      <c r="BZ58" s="327"/>
      <c r="CA58" s="299"/>
      <c r="CB58" s="311"/>
      <c r="CC58" s="298"/>
      <c r="CD58" s="299"/>
      <c r="CE58" s="299"/>
      <c r="CF58" s="300"/>
    </row>
    <row r="59" spans="1:84" ht="15.75" customHeight="1" x14ac:dyDescent="0.3">
      <c r="A59" s="35"/>
      <c r="B59" s="27"/>
      <c r="C59" s="27"/>
      <c r="D59" s="27"/>
      <c r="E59" s="27"/>
      <c r="L59" s="24" t="s">
        <v>48</v>
      </c>
      <c r="M59" s="51"/>
      <c r="N59" s="51"/>
      <c r="O59" s="51"/>
      <c r="P59" s="51"/>
      <c r="Q59" s="51"/>
      <c r="BG59" s="272"/>
      <c r="BH59" s="273"/>
      <c r="BI59" s="274"/>
      <c r="BJ59" s="275"/>
      <c r="BK59" s="275"/>
      <c r="BL59" s="275"/>
      <c r="BM59" s="275"/>
      <c r="BN59" s="275"/>
      <c r="BO59" s="275"/>
      <c r="BP59" s="276"/>
      <c r="BQ59" s="282"/>
      <c r="BR59" s="283"/>
      <c r="BS59" s="273"/>
      <c r="BT59" s="282"/>
      <c r="BU59" s="283"/>
      <c r="BV59" s="273"/>
      <c r="BW59" s="284"/>
      <c r="BX59" s="285"/>
      <c r="BY59" s="284"/>
      <c r="BZ59" s="285"/>
      <c r="CA59" s="284"/>
      <c r="CB59" s="285"/>
      <c r="CC59" s="284"/>
      <c r="CD59" s="286"/>
      <c r="CE59" s="286"/>
      <c r="CF59" s="287"/>
    </row>
    <row r="60" spans="1:84" ht="16.5" customHeight="1" x14ac:dyDescent="0.25">
      <c r="A60" s="35"/>
      <c r="B60" s="27"/>
      <c r="C60" s="27"/>
      <c r="D60" s="27"/>
      <c r="E60" s="27"/>
      <c r="L60" s="112">
        <v>1</v>
      </c>
      <c r="M60" s="51"/>
      <c r="N60" s="51"/>
      <c r="O60" s="51"/>
      <c r="P60" s="51"/>
      <c r="Q60" s="51"/>
      <c r="AZ60" s="51"/>
      <c r="BF60" s="78"/>
      <c r="BG60" s="272">
        <v>2481</v>
      </c>
      <c r="BH60" s="273"/>
      <c r="BI60" s="274" t="s">
        <v>139</v>
      </c>
      <c r="BJ60" s="275"/>
      <c r="BK60" s="275"/>
      <c r="BL60" s="275"/>
      <c r="BM60" s="275"/>
      <c r="BN60" s="275"/>
      <c r="BO60" s="275"/>
      <c r="BP60" s="276"/>
      <c r="BQ60" s="282"/>
      <c r="BR60" s="283"/>
      <c r="BS60" s="273"/>
      <c r="BT60" s="282" t="s">
        <v>140</v>
      </c>
      <c r="BU60" s="283"/>
      <c r="BV60" s="273"/>
      <c r="BW60" s="284"/>
      <c r="BX60" s="285"/>
      <c r="BY60" s="284"/>
      <c r="BZ60" s="285"/>
      <c r="CA60" s="284" t="s">
        <v>141</v>
      </c>
      <c r="CB60" s="285"/>
      <c r="CC60" s="284" t="s">
        <v>141</v>
      </c>
      <c r="CD60" s="286"/>
      <c r="CE60" s="286"/>
      <c r="CF60" s="287"/>
    </row>
    <row r="61" spans="1:84" ht="16.5" customHeight="1" x14ac:dyDescent="0.25">
      <c r="A61" s="35"/>
      <c r="B61" s="27"/>
      <c r="C61" s="27"/>
      <c r="D61" s="27"/>
      <c r="E61" s="27"/>
      <c r="L61" s="112"/>
      <c r="M61" s="51"/>
      <c r="N61" s="51"/>
      <c r="O61" s="51"/>
      <c r="P61" s="51"/>
      <c r="Q61" s="51"/>
      <c r="BF61" s="78"/>
      <c r="BG61" s="272"/>
      <c r="BH61" s="273"/>
      <c r="BI61" s="274"/>
      <c r="BJ61" s="275"/>
      <c r="BK61" s="275"/>
      <c r="BL61" s="275"/>
      <c r="BM61" s="275"/>
      <c r="BN61" s="275"/>
      <c r="BO61" s="275"/>
      <c r="BP61" s="276"/>
      <c r="BQ61" s="282"/>
      <c r="BR61" s="283"/>
      <c r="BS61" s="273"/>
      <c r="BT61" s="282"/>
      <c r="BU61" s="283"/>
      <c r="BV61" s="273"/>
      <c r="BW61" s="284"/>
      <c r="BX61" s="285"/>
      <c r="BY61" s="284"/>
      <c r="BZ61" s="285"/>
      <c r="CA61" s="284"/>
      <c r="CB61" s="285"/>
      <c r="CC61" s="284"/>
      <c r="CD61" s="286"/>
      <c r="CE61" s="286"/>
      <c r="CF61" s="287"/>
    </row>
    <row r="62" spans="1:84" ht="15" customHeight="1" x14ac:dyDescent="0.25">
      <c r="A62" s="35"/>
      <c r="B62" s="27"/>
      <c r="C62" s="27"/>
      <c r="D62" s="27"/>
      <c r="E62" s="27"/>
      <c r="L62" s="112">
        <v>2</v>
      </c>
      <c r="M62" s="51"/>
      <c r="N62" s="51"/>
      <c r="O62" s="51"/>
      <c r="P62" s="51"/>
      <c r="Q62" s="51"/>
      <c r="BF62" s="78"/>
      <c r="BG62" s="272"/>
      <c r="BH62" s="273"/>
      <c r="BI62" s="274"/>
      <c r="BJ62" s="275"/>
      <c r="BK62" s="275"/>
      <c r="BL62" s="275"/>
      <c r="BM62" s="275"/>
      <c r="BN62" s="275"/>
      <c r="BO62" s="275"/>
      <c r="BP62" s="276"/>
      <c r="BQ62" s="282"/>
      <c r="BR62" s="283"/>
      <c r="BS62" s="273"/>
      <c r="BT62" s="282"/>
      <c r="BU62" s="283"/>
      <c r="BV62" s="273"/>
      <c r="BW62" s="284"/>
      <c r="BX62" s="285"/>
      <c r="BY62" s="284"/>
      <c r="BZ62" s="285"/>
      <c r="CA62" s="284"/>
      <c r="CB62" s="285"/>
      <c r="CC62" s="288"/>
      <c r="CD62" s="288"/>
      <c r="CE62" s="288"/>
      <c r="CF62" s="289"/>
    </row>
    <row r="63" spans="1:84" ht="16.5" customHeight="1" x14ac:dyDescent="0.25">
      <c r="A63" s="35"/>
      <c r="B63" s="27"/>
      <c r="C63" s="27"/>
      <c r="D63" s="27"/>
      <c r="E63" s="27"/>
      <c r="L63" s="112"/>
      <c r="BF63" s="78"/>
      <c r="BG63" s="272"/>
      <c r="BH63" s="273"/>
      <c r="BI63" s="274"/>
      <c r="BJ63" s="275"/>
      <c r="BK63" s="275"/>
      <c r="BL63" s="275"/>
      <c r="BM63" s="275"/>
      <c r="BN63" s="275"/>
      <c r="BO63" s="275"/>
      <c r="BP63" s="276"/>
      <c r="BQ63" s="282"/>
      <c r="BR63" s="283"/>
      <c r="BS63" s="273"/>
      <c r="BT63" s="282"/>
      <c r="BU63" s="283"/>
      <c r="BV63" s="273"/>
      <c r="BW63" s="284"/>
      <c r="BX63" s="285"/>
      <c r="BY63" s="284"/>
      <c r="BZ63" s="285"/>
      <c r="CA63" s="284"/>
      <c r="CB63" s="285"/>
      <c r="CC63" s="284"/>
      <c r="CD63" s="286"/>
      <c r="CE63" s="286"/>
      <c r="CF63" s="287"/>
    </row>
    <row r="64" spans="1:84" ht="16.5" customHeight="1" x14ac:dyDescent="0.25">
      <c r="A64" s="35"/>
      <c r="B64" s="27"/>
      <c r="C64" s="27"/>
      <c r="D64" s="27"/>
      <c r="E64" s="27"/>
      <c r="L64" s="112">
        <v>3</v>
      </c>
      <c r="BF64" s="78"/>
      <c r="BG64" s="272"/>
      <c r="BH64" s="273"/>
      <c r="BI64" s="274"/>
      <c r="BJ64" s="275"/>
      <c r="BK64" s="275"/>
      <c r="BL64" s="275"/>
      <c r="BM64" s="275"/>
      <c r="BN64" s="275"/>
      <c r="BO64" s="275"/>
      <c r="BP64" s="276"/>
      <c r="BQ64" s="282"/>
      <c r="BR64" s="283"/>
      <c r="BS64" s="273"/>
      <c r="BT64" s="282"/>
      <c r="BU64" s="283"/>
      <c r="BV64" s="273"/>
      <c r="BW64" s="284"/>
      <c r="BX64" s="285"/>
      <c r="BY64" s="284"/>
      <c r="BZ64" s="285"/>
      <c r="CA64" s="284"/>
      <c r="CB64" s="285"/>
      <c r="CC64" s="284"/>
      <c r="CD64" s="286"/>
      <c r="CE64" s="286"/>
      <c r="CF64" s="287"/>
    </row>
    <row r="65" spans="1:84" ht="15.75" customHeight="1" x14ac:dyDescent="0.25">
      <c r="A65" s="35"/>
      <c r="B65" s="27"/>
      <c r="C65" s="27"/>
      <c r="D65" s="27"/>
      <c r="E65" s="27"/>
      <c r="L65" s="112"/>
      <c r="M65" s="25"/>
      <c r="BF65" s="78"/>
      <c r="BG65"/>
      <c r="BH65"/>
      <c r="BI65"/>
      <c r="BJ65"/>
      <c r="BK65"/>
      <c r="BL65"/>
      <c r="BM65"/>
      <c r="BN65"/>
      <c r="BO65"/>
      <c r="BP65"/>
      <c r="BQ65"/>
      <c r="BR65"/>
      <c r="BS65"/>
      <c r="BT65"/>
      <c r="BU65"/>
      <c r="BV65"/>
      <c r="BW65"/>
      <c r="BX65"/>
      <c r="BY65"/>
      <c r="BZ65"/>
      <c r="CA65"/>
      <c r="CB65"/>
      <c r="CC65"/>
      <c r="CD65"/>
      <c r="CE65"/>
      <c r="CF65"/>
    </row>
    <row r="66" spans="1:84" ht="15.75" customHeight="1" x14ac:dyDescent="0.25">
      <c r="A66" s="35"/>
      <c r="B66" s="27"/>
      <c r="C66" s="27"/>
      <c r="D66" s="27"/>
      <c r="E66" s="27"/>
      <c r="L66" s="112">
        <v>4</v>
      </c>
      <c r="M66" s="25"/>
      <c r="BF66" s="78"/>
      <c r="BG66"/>
      <c r="BH66"/>
      <c r="BI66"/>
      <c r="BJ66"/>
      <c r="BK66"/>
      <c r="BL66"/>
      <c r="BM66"/>
      <c r="BN66"/>
      <c r="BO66"/>
      <c r="BP66"/>
      <c r="BQ66"/>
      <c r="BR66"/>
      <c r="BS66"/>
      <c r="BT66"/>
      <c r="BU66"/>
      <c r="BV66"/>
      <c r="BW66"/>
      <c r="BX66"/>
      <c r="BY66"/>
      <c r="BZ66"/>
      <c r="CA66"/>
      <c r="CB66"/>
      <c r="CC66"/>
      <c r="CD66"/>
      <c r="CE66"/>
      <c r="CF66"/>
    </row>
    <row r="67" spans="1:84" ht="16.5" customHeight="1" x14ac:dyDescent="0.25">
      <c r="A67" s="35"/>
      <c r="B67" s="27"/>
      <c r="C67" s="27"/>
      <c r="D67" s="27"/>
      <c r="L67" s="112"/>
      <c r="M67" s="25"/>
      <c r="BF67" s="78"/>
      <c r="BG67"/>
      <c r="BH67"/>
      <c r="BI67"/>
      <c r="BJ67"/>
      <c r="BK67"/>
      <c r="BL67"/>
      <c r="BM67"/>
      <c r="BN67"/>
      <c r="BO67"/>
      <c r="BP67"/>
      <c r="BQ67"/>
      <c r="BR67"/>
      <c r="BS67"/>
      <c r="BT67"/>
      <c r="BU67"/>
      <c r="BV67"/>
      <c r="BW67"/>
      <c r="BX67"/>
      <c r="BY67"/>
      <c r="BZ67"/>
      <c r="CA67"/>
      <c r="CB67"/>
      <c r="CC67"/>
      <c r="CD67"/>
      <c r="CE67"/>
      <c r="CF67"/>
    </row>
    <row r="68" spans="1:84" ht="15.75" customHeight="1" x14ac:dyDescent="0.25">
      <c r="A68" s="35"/>
      <c r="B68" s="27"/>
      <c r="C68" s="27"/>
      <c r="D68" s="27"/>
      <c r="L68" s="112">
        <v>5</v>
      </c>
      <c r="M68" s="25"/>
      <c r="BF68" s="78"/>
      <c r="BG68"/>
      <c r="BH68"/>
      <c r="BI68"/>
      <c r="BJ68"/>
      <c r="BK68"/>
      <c r="BL68"/>
      <c r="BM68"/>
      <c r="BN68"/>
      <c r="BO68"/>
      <c r="BP68"/>
      <c r="BQ68"/>
      <c r="BR68"/>
      <c r="BS68"/>
      <c r="BT68"/>
      <c r="BU68"/>
      <c r="BV68"/>
      <c r="BW68"/>
      <c r="BX68"/>
      <c r="BY68"/>
      <c r="BZ68"/>
      <c r="CA68"/>
      <c r="CB68"/>
      <c r="CC68"/>
      <c r="CD68"/>
      <c r="CE68"/>
      <c r="CF68"/>
    </row>
    <row r="69" spans="1:84" ht="15.75" customHeight="1" x14ac:dyDescent="0.25">
      <c r="A69" s="35"/>
      <c r="B69" s="27"/>
      <c r="C69" s="27"/>
      <c r="D69" s="27"/>
      <c r="L69" s="112"/>
      <c r="M69" s="25"/>
      <c r="BF69" s="78"/>
      <c r="BG69"/>
      <c r="BH69"/>
      <c r="BI69"/>
      <c r="BJ69"/>
      <c r="BK69"/>
      <c r="BL69"/>
      <c r="BM69"/>
      <c r="BN69"/>
      <c r="BO69"/>
      <c r="BP69"/>
      <c r="BQ69"/>
      <c r="BR69"/>
      <c r="BS69"/>
      <c r="BT69"/>
      <c r="BU69"/>
      <c r="BV69"/>
      <c r="BW69"/>
      <c r="BX69"/>
      <c r="BY69"/>
      <c r="BZ69"/>
      <c r="CA69"/>
      <c r="CB69"/>
      <c r="CC69"/>
      <c r="CD69"/>
      <c r="CE69"/>
      <c r="CF69"/>
    </row>
    <row r="70" spans="1:84" ht="15" customHeight="1" x14ac:dyDescent="0.25">
      <c r="A70" s="35"/>
      <c r="B70" s="27"/>
      <c r="C70" s="27"/>
      <c r="D70" s="27"/>
      <c r="L70" s="112">
        <v>6</v>
      </c>
      <c r="M70" s="25"/>
      <c r="S70" s="25"/>
      <c r="BF70" s="78"/>
      <c r="BG70"/>
      <c r="BH70"/>
      <c r="BI70"/>
      <c r="BJ70"/>
      <c r="BK70"/>
      <c r="BL70"/>
      <c r="BM70"/>
      <c r="BN70"/>
      <c r="BO70"/>
      <c r="BP70"/>
      <c r="BQ70"/>
      <c r="BR70"/>
      <c r="BS70"/>
      <c r="BT70"/>
      <c r="BU70"/>
      <c r="BV70"/>
      <c r="BW70"/>
      <c r="BX70"/>
      <c r="BY70"/>
      <c r="BZ70"/>
      <c r="CA70"/>
      <c r="CB70"/>
      <c r="CC70"/>
      <c r="CD70"/>
      <c r="CE70"/>
      <c r="CF70"/>
    </row>
    <row r="71" spans="1:84" ht="15.75" customHeight="1" x14ac:dyDescent="0.25">
      <c r="A71" s="35"/>
      <c r="B71" s="27"/>
      <c r="C71" s="27"/>
      <c r="D71" s="27"/>
      <c r="L71" s="112"/>
      <c r="M71" s="25"/>
      <c r="BF71" s="78"/>
      <c r="BG71"/>
      <c r="BH71"/>
      <c r="BI71"/>
      <c r="BJ71"/>
      <c r="BK71"/>
      <c r="BL71"/>
      <c r="BM71"/>
      <c r="BN71"/>
      <c r="BO71"/>
      <c r="BP71"/>
      <c r="BQ71"/>
      <c r="BR71"/>
      <c r="BS71"/>
      <c r="BT71"/>
      <c r="BU71"/>
      <c r="BV71"/>
      <c r="BW71"/>
      <c r="BX71"/>
      <c r="BY71"/>
      <c r="BZ71"/>
      <c r="CA71"/>
      <c r="CB71"/>
      <c r="CC71"/>
      <c r="CD71"/>
      <c r="CE71"/>
      <c r="CF71"/>
    </row>
    <row r="72" spans="1:84" ht="15.75" customHeight="1" x14ac:dyDescent="0.25">
      <c r="A72" s="35"/>
      <c r="B72" s="27"/>
      <c r="C72" s="27"/>
      <c r="D72" s="27"/>
      <c r="L72" s="112">
        <v>7</v>
      </c>
      <c r="M72" s="25"/>
      <c r="BF72" s="78"/>
      <c r="BG72"/>
      <c r="BH72"/>
      <c r="BI72"/>
      <c r="BJ72"/>
      <c r="BK72"/>
      <c r="BL72"/>
      <c r="BM72"/>
      <c r="BN72"/>
      <c r="BO72"/>
      <c r="BP72"/>
      <c r="BQ72"/>
      <c r="BR72"/>
      <c r="BS72"/>
      <c r="BT72"/>
      <c r="BU72"/>
      <c r="BV72"/>
      <c r="BW72"/>
      <c r="BX72"/>
      <c r="BY72"/>
      <c r="BZ72"/>
      <c r="CA72"/>
      <c r="CB72"/>
      <c r="CC72"/>
      <c r="CD72"/>
      <c r="CE72"/>
      <c r="CF72"/>
    </row>
    <row r="73" spans="1:84" ht="15" x14ac:dyDescent="0.25">
      <c r="A73" s="35"/>
      <c r="B73" s="27"/>
      <c r="C73" s="27"/>
      <c r="D73" s="27"/>
      <c r="M73" s="25"/>
      <c r="BF73" s="78"/>
      <c r="BG73" s="37"/>
      <c r="BH73" s="27"/>
      <c r="BI73" s="72"/>
      <c r="BJ73" s="72"/>
      <c r="BK73" s="72"/>
      <c r="BL73" s="72"/>
      <c r="BM73" s="72"/>
      <c r="BN73" s="72"/>
      <c r="BO73" s="72"/>
      <c r="BP73" s="72"/>
      <c r="BQ73" s="72"/>
      <c r="BR73" s="72"/>
      <c r="BS73" s="72"/>
      <c r="BT73" s="37"/>
      <c r="BU73" s="22"/>
      <c r="BV73"/>
      <c r="BW73"/>
      <c r="BX73"/>
      <c r="BY73"/>
      <c r="BZ73"/>
      <c r="CA73"/>
      <c r="CB73"/>
      <c r="CC73"/>
      <c r="CD73"/>
      <c r="CE73"/>
      <c r="CF73"/>
    </row>
    <row r="74" spans="1:84" ht="15.6" x14ac:dyDescent="0.3">
      <c r="A74" s="35"/>
      <c r="B74" s="27"/>
      <c r="C74" s="27"/>
      <c r="D74" s="27"/>
      <c r="L74" s="24" t="s">
        <v>86</v>
      </c>
      <c r="M74" s="25"/>
      <c r="BF74" s="78"/>
      <c r="BG74" s="27"/>
      <c r="BH74" s="72"/>
      <c r="BI74" s="72"/>
      <c r="BJ74" s="72"/>
      <c r="BK74" s="72"/>
      <c r="BL74" s="72"/>
      <c r="BM74" s="72"/>
      <c r="BN74" s="72"/>
      <c r="BO74" s="72"/>
      <c r="BP74" s="72"/>
      <c r="BQ74" s="72"/>
      <c r="BR74" s="72"/>
      <c r="BS74" s="37"/>
      <c r="BT74" s="22"/>
      <c r="BU74"/>
      <c r="BV74"/>
      <c r="BW74"/>
      <c r="BX74"/>
      <c r="BY74"/>
      <c r="BZ74"/>
      <c r="CA74"/>
      <c r="CB74"/>
      <c r="CC74"/>
      <c r="CD74"/>
      <c r="CE74"/>
      <c r="CF74"/>
    </row>
    <row r="75" spans="1:84" ht="15" customHeight="1" x14ac:dyDescent="0.25">
      <c r="A75" s="35"/>
      <c r="B75" s="27"/>
      <c r="C75" s="27"/>
      <c r="D75" s="27"/>
      <c r="L75" s="112">
        <v>1</v>
      </c>
      <c r="M75" s="25"/>
      <c r="BF75" s="78"/>
      <c r="BG75" s="27"/>
      <c r="BH75" s="72"/>
      <c r="BI75" s="72"/>
      <c r="BJ75" s="72"/>
      <c r="BK75" s="72"/>
      <c r="BL75" s="72"/>
      <c r="BM75" s="72"/>
      <c r="BN75" s="72"/>
      <c r="BO75" s="72"/>
      <c r="BP75" s="72"/>
      <c r="BQ75" s="72"/>
      <c r="BR75" s="72"/>
      <c r="BS75" s="37"/>
      <c r="BT75" s="22"/>
      <c r="BU75"/>
      <c r="BV75"/>
      <c r="BW75"/>
      <c r="BX75"/>
      <c r="BY75"/>
      <c r="BZ75"/>
      <c r="CA75"/>
      <c r="CB75"/>
      <c r="CC75"/>
      <c r="CD75"/>
      <c r="CE75"/>
      <c r="CF75"/>
    </row>
    <row r="76" spans="1:84" ht="15" x14ac:dyDescent="0.25">
      <c r="L76" s="112"/>
      <c r="M76" s="25"/>
      <c r="BG76" s="27"/>
      <c r="BH76" s="72"/>
      <c r="BI76" s="72"/>
      <c r="BJ76" s="72"/>
      <c r="BK76" s="72"/>
      <c r="BL76" s="72"/>
      <c r="BM76" s="72"/>
      <c r="BN76" s="72"/>
      <c r="BO76" s="72"/>
      <c r="BP76" s="72"/>
      <c r="BQ76" s="72"/>
      <c r="BR76" s="72"/>
      <c r="BS76" s="37"/>
      <c r="BT76" s="22"/>
      <c r="BU76"/>
      <c r="BV76"/>
      <c r="BW76"/>
      <c r="BX76"/>
      <c r="BY76"/>
      <c r="BZ76"/>
      <c r="CA76"/>
      <c r="CB76"/>
      <c r="CC76"/>
      <c r="CD76"/>
      <c r="CE76"/>
      <c r="CF76"/>
    </row>
    <row r="77" spans="1:84" ht="15" x14ac:dyDescent="0.25">
      <c r="L77" s="112">
        <v>2</v>
      </c>
      <c r="M77" s="25"/>
      <c r="BG77" s="27"/>
      <c r="BH77" s="72"/>
      <c r="BI77" s="72"/>
      <c r="BJ77" s="72"/>
      <c r="BK77" s="72"/>
      <c r="BL77" s="72"/>
      <c r="BM77" s="72"/>
      <c r="BN77" s="72"/>
      <c r="BO77" s="72"/>
      <c r="BP77" s="72"/>
      <c r="BQ77" s="72"/>
      <c r="BR77" s="72"/>
      <c r="BS77" s="37"/>
      <c r="BT77" s="22"/>
      <c r="BU77"/>
      <c r="BV77"/>
      <c r="BW77"/>
      <c r="BX77"/>
      <c r="BY77"/>
      <c r="BZ77"/>
      <c r="CA77"/>
      <c r="CB77"/>
      <c r="CC77"/>
      <c r="CD77"/>
      <c r="CE77"/>
      <c r="CF77"/>
    </row>
    <row r="78" spans="1:84" ht="16.5" customHeight="1" x14ac:dyDescent="0.25">
      <c r="L78" s="112">
        <v>6</v>
      </c>
      <c r="M78" s="25"/>
      <c r="BG78" s="27"/>
      <c r="BH78" s="72"/>
      <c r="BI78" s="72"/>
      <c r="BJ78" s="72"/>
      <c r="BK78" s="72"/>
      <c r="BL78" s="72"/>
      <c r="BM78" s="72"/>
      <c r="BN78" s="72"/>
      <c r="BO78" s="72"/>
      <c r="BP78" s="72"/>
      <c r="BQ78" s="72"/>
      <c r="BR78" s="72"/>
      <c r="BS78" s="37"/>
      <c r="BT78" s="22"/>
      <c r="BU78"/>
      <c r="BV78"/>
      <c r="BW78"/>
      <c r="BX78"/>
      <c r="BY78"/>
      <c r="BZ78"/>
      <c r="CA78"/>
      <c r="CB78"/>
      <c r="CC78"/>
      <c r="CD78"/>
      <c r="CE78"/>
      <c r="CF78"/>
    </row>
    <row r="79" spans="1:84" ht="21" thickBot="1" x14ac:dyDescent="0.4">
      <c r="A79" s="5"/>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BG79" s="27"/>
      <c r="BH79" s="72"/>
      <c r="BI79" s="72"/>
      <c r="BJ79" s="72"/>
      <c r="BK79" s="72"/>
      <c r="BL79" s="72"/>
      <c r="BM79" s="72"/>
      <c r="BN79" s="72"/>
      <c r="BO79" s="72"/>
      <c r="BP79" s="72"/>
      <c r="BQ79" s="72"/>
      <c r="BR79" s="72"/>
      <c r="BS79" s="37"/>
      <c r="BT79" s="22"/>
      <c r="BU79"/>
      <c r="BV79"/>
      <c r="BW79"/>
      <c r="BX79"/>
      <c r="BY79"/>
      <c r="BZ79"/>
      <c r="CA79"/>
      <c r="CB79"/>
      <c r="CC79"/>
      <c r="CD79"/>
      <c r="CE79"/>
      <c r="CF79"/>
    </row>
    <row r="80" spans="1:84" ht="15" x14ac:dyDescent="0.25">
      <c r="A80" s="77"/>
      <c r="B80" s="110"/>
      <c r="C80" s="281"/>
      <c r="D80" s="279"/>
      <c r="E80" s="279"/>
      <c r="F80" s="279"/>
      <c r="G80" s="279"/>
      <c r="H80" s="279"/>
      <c r="I80" s="279"/>
      <c r="J80" s="279"/>
      <c r="K80" s="279"/>
      <c r="L80" s="279"/>
      <c r="M80" s="279"/>
      <c r="N80" s="279"/>
      <c r="O80" s="279"/>
      <c r="P80" s="279"/>
      <c r="Q80" s="280"/>
      <c r="R80" s="277"/>
      <c r="S80" s="278"/>
      <c r="T80" s="279"/>
      <c r="U80" s="279"/>
      <c r="V80" s="279"/>
      <c r="W80" s="279"/>
      <c r="X80" s="279"/>
      <c r="Y80" s="279"/>
      <c r="Z80" s="279"/>
      <c r="AA80" s="279"/>
      <c r="AB80" s="280"/>
      <c r="AC80" s="132"/>
      <c r="BG80" s="27"/>
      <c r="BH80" s="72"/>
      <c r="BI80" s="72"/>
      <c r="BJ80" s="72"/>
      <c r="BK80" s="72"/>
      <c r="BL80" s="72"/>
      <c r="BM80" s="72"/>
      <c r="BN80" s="72"/>
      <c r="BO80" s="72"/>
      <c r="BP80" s="72"/>
      <c r="BQ80" s="72"/>
      <c r="BR80" s="72"/>
      <c r="BS80" s="37"/>
      <c r="BT80" s="22"/>
      <c r="BU80"/>
      <c r="BV80"/>
      <c r="BW80"/>
      <c r="BX80"/>
      <c r="BY80"/>
      <c r="BZ80"/>
      <c r="CA80"/>
      <c r="CB80"/>
      <c r="CC80"/>
      <c r="CD80"/>
      <c r="CE80"/>
      <c r="CF80"/>
    </row>
    <row r="81" spans="1:84" ht="63" customHeight="1" x14ac:dyDescent="0.25">
      <c r="A81" s="40"/>
      <c r="B81" s="111"/>
      <c r="C81" s="269"/>
      <c r="D81" s="270"/>
      <c r="E81" s="270"/>
      <c r="F81" s="270"/>
      <c r="G81" s="271"/>
      <c r="R81" s="129"/>
      <c r="S81" s="154"/>
      <c r="T81" s="155"/>
      <c r="U81" s="155"/>
      <c r="V81" s="155"/>
      <c r="W81" s="155"/>
      <c r="X81" s="155"/>
      <c r="Y81" s="155"/>
      <c r="Z81" s="155"/>
      <c r="AA81" s="155"/>
      <c r="AB81" s="156"/>
      <c r="AC81" s="153"/>
      <c r="AD81" s="130"/>
      <c r="AE81" s="131"/>
      <c r="AF81" s="145"/>
      <c r="AG81" s="146"/>
      <c r="AH81" s="1"/>
      <c r="AI81" s="1"/>
      <c r="AJ81" s="1"/>
      <c r="AK81" s="1"/>
      <c r="AL81" s="1"/>
      <c r="AM81" s="1"/>
      <c r="AN81" s="1"/>
      <c r="AO81" s="1"/>
      <c r="AP81" s="1"/>
      <c r="AQ81" s="1"/>
      <c r="AR81" s="1"/>
      <c r="AS81" s="1"/>
      <c r="AT81" s="1"/>
      <c r="AU81" s="1"/>
      <c r="AV81" s="1"/>
      <c r="AW81" s="1"/>
      <c r="AX81" s="1"/>
      <c r="AY81" s="1"/>
      <c r="AZ81" s="1"/>
      <c r="BF81" s="37"/>
      <c r="BG81" s="27"/>
      <c r="BH81" s="72"/>
      <c r="BI81" s="72"/>
      <c r="BJ81" s="72"/>
      <c r="BK81" s="72"/>
      <c r="BL81" s="72"/>
      <c r="BM81" s="72"/>
      <c r="BN81" s="72"/>
      <c r="BO81" s="72"/>
      <c r="BP81" s="72"/>
      <c r="BQ81" s="72"/>
      <c r="BR81" s="72"/>
      <c r="BS81" s="37"/>
      <c r="BT81" s="22"/>
      <c r="BU81"/>
      <c r="BV81"/>
      <c r="BW81"/>
      <c r="BX81"/>
      <c r="BY81"/>
      <c r="BZ81"/>
      <c r="CA81"/>
      <c r="CB81"/>
      <c r="CC81"/>
      <c r="CD81"/>
      <c r="CE81"/>
      <c r="CF81"/>
    </row>
    <row r="82" spans="1:84" ht="35.25" customHeight="1" x14ac:dyDescent="0.25">
      <c r="A82" s="150"/>
      <c r="B82" s="111"/>
      <c r="C82" s="269"/>
      <c r="D82" s="270"/>
      <c r="E82" s="270"/>
      <c r="F82" s="270"/>
      <c r="G82" s="271"/>
      <c r="R82" s="129"/>
      <c r="S82" s="154"/>
      <c r="T82" s="155"/>
      <c r="U82" s="155"/>
      <c r="V82" s="155"/>
      <c r="W82" s="155"/>
      <c r="X82" s="155"/>
      <c r="Y82" s="155"/>
      <c r="Z82" s="155"/>
      <c r="AA82" s="155"/>
      <c r="AB82" s="156"/>
      <c r="AC82" s="153"/>
      <c r="AD82" s="130"/>
      <c r="AE82" s="131"/>
      <c r="AF82" s="145"/>
      <c r="AG82" s="146"/>
      <c r="AH82" s="1"/>
      <c r="AI82" s="1"/>
      <c r="AJ82" s="1"/>
      <c r="AK82" s="1"/>
      <c r="AL82" s="1"/>
      <c r="AM82" s="1"/>
      <c r="AN82" s="1"/>
      <c r="AO82" s="1"/>
      <c r="AP82" s="1"/>
      <c r="AQ82" s="1"/>
      <c r="AR82" s="1"/>
      <c r="AS82" s="1"/>
      <c r="AT82" s="1"/>
      <c r="AU82" s="1"/>
      <c r="AV82" s="1"/>
      <c r="AW82" s="1"/>
      <c r="AX82" s="1"/>
      <c r="AY82" s="1"/>
      <c r="AZ82" s="1"/>
      <c r="BF82" s="37"/>
      <c r="BG82" s="27"/>
      <c r="BH82" s="72"/>
      <c r="BI82" s="72"/>
      <c r="BJ82" s="72"/>
      <c r="BK82" s="72"/>
      <c r="BL82" s="72"/>
      <c r="BM82" s="72"/>
      <c r="BN82" s="72"/>
      <c r="BO82" s="72"/>
      <c r="BP82" s="72"/>
      <c r="BQ82" s="72"/>
      <c r="BR82" s="72"/>
      <c r="BS82" s="37"/>
      <c r="BT82" s="22"/>
      <c r="BU82"/>
      <c r="BV82"/>
      <c r="BW82"/>
      <c r="BX82"/>
      <c r="BY82"/>
      <c r="BZ82"/>
      <c r="CA82"/>
      <c r="CB82"/>
      <c r="CC82"/>
      <c r="CD82"/>
      <c r="CE82"/>
      <c r="CF82"/>
    </row>
    <row r="83" spans="1:84" ht="27" customHeight="1" x14ac:dyDescent="0.25">
      <c r="A83" s="150"/>
      <c r="B83" s="111"/>
      <c r="C83" s="269"/>
      <c r="D83" s="270"/>
      <c r="E83" s="270"/>
      <c r="F83" s="270"/>
      <c r="G83" s="271"/>
      <c r="R83" s="129"/>
      <c r="S83" s="130"/>
      <c r="T83" s="149"/>
      <c r="U83" s="149"/>
      <c r="V83" s="149"/>
      <c r="W83" s="149"/>
      <c r="X83" s="149"/>
      <c r="Y83" s="149"/>
      <c r="Z83" s="149"/>
      <c r="AA83" s="149"/>
      <c r="AB83" s="147"/>
      <c r="AC83" s="129"/>
      <c r="AD83" s="130"/>
      <c r="AE83" s="131"/>
      <c r="AF83" s="145"/>
      <c r="AG83" s="146"/>
      <c r="AH83" s="1"/>
      <c r="AI83" s="1"/>
      <c r="AJ83" s="1"/>
      <c r="AK83" s="1"/>
      <c r="AL83" s="1"/>
      <c r="AM83" s="1"/>
      <c r="AN83" s="1"/>
      <c r="AO83" s="1"/>
      <c r="AP83" s="1"/>
      <c r="AQ83" s="1"/>
      <c r="AR83" s="1"/>
      <c r="AS83" s="1"/>
      <c r="AT83" s="1"/>
      <c r="AU83" s="1"/>
      <c r="AV83" s="1"/>
      <c r="AW83" s="1"/>
      <c r="AX83" s="1"/>
      <c r="AY83" s="1"/>
      <c r="AZ83" s="1"/>
      <c r="BF83" s="37"/>
      <c r="BG83" s="27"/>
      <c r="BH83" s="72"/>
      <c r="BI83" s="72"/>
      <c r="BJ83" s="72"/>
      <c r="BK83" s="72"/>
      <c r="BL83" s="72"/>
      <c r="BM83" s="72"/>
      <c r="BN83" s="72"/>
      <c r="BO83" s="72"/>
      <c r="BP83" s="72"/>
      <c r="BQ83" s="72"/>
      <c r="BR83" s="72"/>
      <c r="BS83" s="37"/>
      <c r="BT83" s="22"/>
      <c r="BU83"/>
      <c r="BV83"/>
      <c r="BW83"/>
      <c r="BX83"/>
      <c r="BY83"/>
      <c r="BZ83"/>
      <c r="CA83"/>
      <c r="CB83"/>
      <c r="CC83"/>
      <c r="CD83"/>
      <c r="CE83"/>
      <c r="CF83"/>
    </row>
    <row r="84" spans="1:84" ht="35.25" customHeight="1" x14ac:dyDescent="0.25">
      <c r="A84" s="150"/>
      <c r="B84" s="111"/>
      <c r="C84" s="269"/>
      <c r="D84" s="270"/>
      <c r="E84" s="270"/>
      <c r="F84" s="270"/>
      <c r="G84" s="271"/>
      <c r="R84" s="129"/>
      <c r="S84" s="130"/>
      <c r="T84" s="149"/>
      <c r="U84" s="149"/>
      <c r="V84" s="149"/>
      <c r="W84" s="149"/>
      <c r="X84" s="149"/>
      <c r="Y84" s="149"/>
      <c r="Z84" s="149"/>
      <c r="AA84" s="149"/>
      <c r="AB84" s="147"/>
      <c r="AC84" s="129"/>
      <c r="AD84" s="130"/>
      <c r="AE84" s="131"/>
      <c r="AF84" s="145"/>
      <c r="AG84" s="146"/>
      <c r="AH84" s="1"/>
      <c r="AI84" s="1"/>
      <c r="AJ84" s="1"/>
      <c r="AK84" s="1"/>
      <c r="AL84" s="1"/>
      <c r="AM84" s="1"/>
      <c r="AN84" s="1"/>
      <c r="AO84" s="1"/>
      <c r="AP84" s="1"/>
      <c r="AQ84" s="1"/>
      <c r="AR84" s="1"/>
      <c r="AS84" s="1"/>
      <c r="AT84" s="1"/>
      <c r="AU84" s="1"/>
      <c r="AV84" s="1"/>
      <c r="AW84" s="1"/>
      <c r="AX84" s="1"/>
      <c r="AY84" s="1"/>
      <c r="AZ84" s="1"/>
      <c r="BF84" s="37"/>
      <c r="BG84" s="27"/>
      <c r="BH84" s="72"/>
      <c r="BI84" s="72"/>
      <c r="BJ84" s="72"/>
      <c r="BK84" s="72"/>
      <c r="BL84" s="72"/>
      <c r="BM84" s="72"/>
      <c r="BN84" s="72"/>
      <c r="BO84" s="72"/>
      <c r="BP84" s="72"/>
      <c r="BQ84" s="72"/>
      <c r="BR84" s="72"/>
      <c r="BS84" s="37"/>
      <c r="BT84" s="22"/>
      <c r="BU84"/>
      <c r="BV84"/>
      <c r="BW84"/>
      <c r="BX84"/>
      <c r="BY84"/>
      <c r="BZ84"/>
      <c r="CA84"/>
      <c r="CB84"/>
      <c r="CC84"/>
      <c r="CD84"/>
      <c r="CE84"/>
      <c r="CF84"/>
    </row>
    <row r="85" spans="1:84" ht="23.25" customHeight="1" x14ac:dyDescent="0.25">
      <c r="A85" s="150"/>
      <c r="B85" s="111"/>
      <c r="C85" s="269"/>
      <c r="D85" s="270"/>
      <c r="E85" s="270"/>
      <c r="F85" s="270"/>
      <c r="G85" s="271"/>
      <c r="R85" s="129"/>
      <c r="S85" s="130"/>
      <c r="T85" s="149"/>
      <c r="U85" s="149"/>
      <c r="V85" s="149"/>
      <c r="W85" s="149"/>
      <c r="X85" s="149"/>
      <c r="Y85" s="149"/>
      <c r="Z85" s="149"/>
      <c r="AA85" s="149"/>
      <c r="AB85" s="147"/>
      <c r="AC85" s="153"/>
      <c r="AD85" s="130"/>
      <c r="AE85" s="131"/>
      <c r="AF85" s="145"/>
      <c r="AG85" s="146"/>
      <c r="AH85" s="1"/>
      <c r="AI85" s="1"/>
      <c r="AJ85" s="1"/>
      <c r="AK85" s="1"/>
      <c r="AL85" s="1"/>
      <c r="AM85" s="1"/>
      <c r="AN85" s="1"/>
      <c r="AO85" s="1"/>
      <c r="AP85" s="1"/>
      <c r="AQ85" s="1"/>
      <c r="AR85" s="1"/>
      <c r="AS85" s="1"/>
      <c r="AT85" s="1"/>
      <c r="AU85" s="1"/>
      <c r="AV85" s="1"/>
      <c r="AW85" s="1"/>
      <c r="AX85" s="1"/>
      <c r="AY85" s="1"/>
      <c r="AZ85" s="1"/>
      <c r="BF85" s="37"/>
      <c r="BG85" s="27"/>
      <c r="BH85" s="72"/>
      <c r="BI85" s="72"/>
      <c r="BJ85" s="72"/>
      <c r="BK85" s="72"/>
      <c r="BL85" s="72"/>
      <c r="BM85" s="72"/>
      <c r="BN85" s="72"/>
      <c r="BO85" s="72"/>
      <c r="BP85" s="72"/>
      <c r="BQ85" s="72"/>
      <c r="BR85" s="72"/>
      <c r="BS85" s="37"/>
      <c r="BT85" s="22"/>
      <c r="BU85"/>
      <c r="BV85"/>
      <c r="BW85"/>
      <c r="BX85"/>
      <c r="BY85"/>
      <c r="BZ85"/>
      <c r="CA85"/>
      <c r="CB85"/>
      <c r="CC85"/>
      <c r="CD85"/>
      <c r="CE85"/>
      <c r="CF85"/>
    </row>
    <row r="86" spans="1:84" x14ac:dyDescent="0.25">
      <c r="A86"/>
      <c r="B86"/>
      <c r="C86"/>
      <c r="D86"/>
      <c r="E86"/>
    </row>
    <row r="87" spans="1:84" x14ac:dyDescent="0.25">
      <c r="A87"/>
      <c r="B87"/>
      <c r="C87"/>
      <c r="D87"/>
      <c r="E87"/>
    </row>
    <row r="88" spans="1:84" x14ac:dyDescent="0.25">
      <c r="A88"/>
      <c r="B88"/>
      <c r="C88"/>
      <c r="D88"/>
      <c r="E88"/>
    </row>
    <row r="89" spans="1:84" x14ac:dyDescent="0.25">
      <c r="A89"/>
      <c r="B89"/>
      <c r="C89"/>
      <c r="D89"/>
      <c r="E89"/>
    </row>
    <row r="90" spans="1:84" x14ac:dyDescent="0.25">
      <c r="A90"/>
      <c r="B90"/>
      <c r="C90"/>
      <c r="D90"/>
      <c r="E90"/>
    </row>
    <row r="91" spans="1:84" x14ac:dyDescent="0.25">
      <c r="A91"/>
      <c r="B91"/>
      <c r="C91"/>
      <c r="D91"/>
      <c r="E91"/>
    </row>
    <row r="92" spans="1:84" x14ac:dyDescent="0.25">
      <c r="A92"/>
      <c r="B92"/>
      <c r="C92"/>
      <c r="D92"/>
      <c r="E92"/>
    </row>
    <row r="93" spans="1:84" x14ac:dyDescent="0.25">
      <c r="A93"/>
      <c r="B93"/>
      <c r="C93"/>
      <c r="D93"/>
      <c r="E93"/>
    </row>
    <row r="94" spans="1:84" x14ac:dyDescent="0.25">
      <c r="A94"/>
      <c r="B94"/>
      <c r="C94"/>
      <c r="D94"/>
      <c r="E94"/>
    </row>
    <row r="95" spans="1:84" x14ac:dyDescent="0.25">
      <c r="A95"/>
      <c r="B95"/>
      <c r="C95"/>
      <c r="D95"/>
      <c r="E95"/>
    </row>
    <row r="96" spans="1:84" x14ac:dyDescent="0.25">
      <c r="A96"/>
      <c r="B96"/>
      <c r="C96"/>
      <c r="D96"/>
      <c r="E96"/>
    </row>
    <row r="97" spans="1:5" x14ac:dyDescent="0.25">
      <c r="A97"/>
      <c r="B97"/>
      <c r="C97"/>
      <c r="D97"/>
      <c r="E97"/>
    </row>
    <row r="98" spans="1:5" x14ac:dyDescent="0.25">
      <c r="A98"/>
      <c r="B98"/>
      <c r="C98"/>
      <c r="D98"/>
      <c r="E98"/>
    </row>
    <row r="99" spans="1:5" x14ac:dyDescent="0.25">
      <c r="A99"/>
      <c r="B99"/>
      <c r="C99"/>
      <c r="D99"/>
      <c r="E99"/>
    </row>
    <row r="100" spans="1:5" x14ac:dyDescent="0.25">
      <c r="A100"/>
      <c r="B100"/>
      <c r="C100"/>
      <c r="D100"/>
      <c r="E100"/>
    </row>
  </sheetData>
  <sheetProtection formatCells="0" formatColumns="0" formatRows="0"/>
  <mergeCells count="95">
    <mergeCell ref="BQ60:BS60"/>
    <mergeCell ref="BI60:BP60"/>
    <mergeCell ref="BG59:BH59"/>
    <mergeCell ref="BI59:BP59"/>
    <mergeCell ref="BW60:BX60"/>
    <mergeCell ref="BU44:CF44"/>
    <mergeCell ref="C81:G81"/>
    <mergeCell ref="CC59:CF59"/>
    <mergeCell ref="BQ59:BS59"/>
    <mergeCell ref="BH48:BS48"/>
    <mergeCell ref="BQ57:BS58"/>
    <mergeCell ref="BW58:BX58"/>
    <mergeCell ref="BY58:BZ58"/>
    <mergeCell ref="BT59:BV59"/>
    <mergeCell ref="BW59:BX59"/>
    <mergeCell ref="BY59:BZ59"/>
    <mergeCell ref="BU48:CF48"/>
    <mergeCell ref="BU50:CF50"/>
    <mergeCell ref="BT49:CF49"/>
    <mergeCell ref="CA59:CB59"/>
    <mergeCell ref="BG60:BH60"/>
    <mergeCell ref="G4:Q4"/>
    <mergeCell ref="R4:AB4"/>
    <mergeCell ref="AC4:AM4"/>
    <mergeCell ref="AN4:AY4"/>
    <mergeCell ref="BG43:BS43"/>
    <mergeCell ref="BT43:CF43"/>
    <mergeCell ref="BU47:CF47"/>
    <mergeCell ref="BU46:CF46"/>
    <mergeCell ref="CA57:CB58"/>
    <mergeCell ref="BH46:BS46"/>
    <mergeCell ref="BH47:BS47"/>
    <mergeCell ref="BH49:BS49"/>
    <mergeCell ref="BW57:BZ57"/>
    <mergeCell ref="BT57:BV58"/>
    <mergeCell ref="BH51:BS51"/>
    <mergeCell ref="BU54:CF54"/>
    <mergeCell ref="BH50:BS50"/>
    <mergeCell ref="BH44:BS44"/>
    <mergeCell ref="BH45:BS45"/>
    <mergeCell ref="BG57:BH58"/>
    <mergeCell ref="BG56:CF56"/>
    <mergeCell ref="BW62:BX62"/>
    <mergeCell ref="BG62:BH62"/>
    <mergeCell ref="BW61:BX61"/>
    <mergeCell ref="BQ61:BS61"/>
    <mergeCell ref="BT61:BV61"/>
    <mergeCell ref="BQ62:BS62"/>
    <mergeCell ref="BG61:BH61"/>
    <mergeCell ref="BI61:BP61"/>
    <mergeCell ref="BI62:BP62"/>
    <mergeCell ref="BI57:BP58"/>
    <mergeCell ref="BH52:BS52"/>
    <mergeCell ref="BH53:BS53"/>
    <mergeCell ref="BH55:BS55"/>
    <mergeCell ref="BH54:BS54"/>
    <mergeCell ref="BU45:CF45"/>
    <mergeCell ref="BU51:CF51"/>
    <mergeCell ref="BU52:CF52"/>
    <mergeCell ref="BU53:CF53"/>
    <mergeCell ref="CC61:CF61"/>
    <mergeCell ref="CC60:CF60"/>
    <mergeCell ref="BY60:BZ60"/>
    <mergeCell ref="CA61:CB61"/>
    <mergeCell ref="CA60:CB60"/>
    <mergeCell ref="BY61:BZ61"/>
    <mergeCell ref="BU55:CF55"/>
    <mergeCell ref="CC57:CF58"/>
    <mergeCell ref="BT60:BV60"/>
    <mergeCell ref="BQ63:BS63"/>
    <mergeCell ref="BW64:BX64"/>
    <mergeCell ref="BT62:BV62"/>
    <mergeCell ref="CC64:CF64"/>
    <mergeCell ref="CA64:CB64"/>
    <mergeCell ref="BY64:BZ64"/>
    <mergeCell ref="BT64:BV64"/>
    <mergeCell ref="CA63:CB63"/>
    <mergeCell ref="CC63:CF63"/>
    <mergeCell ref="CA62:CB62"/>
    <mergeCell ref="BY62:BZ62"/>
    <mergeCell ref="BY63:BZ63"/>
    <mergeCell ref="BT63:BV63"/>
    <mergeCell ref="CC62:CF62"/>
    <mergeCell ref="BW63:BX63"/>
    <mergeCell ref="BQ64:BS64"/>
    <mergeCell ref="BI63:BP63"/>
    <mergeCell ref="BI64:BP64"/>
    <mergeCell ref="R80:AB80"/>
    <mergeCell ref="C80:Q80"/>
    <mergeCell ref="C82:G82"/>
    <mergeCell ref="C83:G83"/>
    <mergeCell ref="C84:G84"/>
    <mergeCell ref="C85:G85"/>
    <mergeCell ref="BG63:BH63"/>
    <mergeCell ref="BG64:BH64"/>
  </mergeCells>
  <phoneticPr fontId="13" type="noConversion"/>
  <conditionalFormatting sqref="AZ7:AZ41">
    <cfRule type="cellIs" dxfId="62" priority="228" operator="greaterThan">
      <formula>0</formula>
    </cfRule>
  </conditionalFormatting>
  <conditionalFormatting sqref="AZ42">
    <cfRule type="cellIs" dxfId="61" priority="89" operator="greaterThan">
      <formula>0</formula>
    </cfRule>
  </conditionalFormatting>
  <printOptions horizontalCentered="1"/>
  <pageMargins left="1" right="1" top="1" bottom="1" header="0.5" footer="0.5"/>
  <pageSetup paperSize="3" scale="45" fitToHeight="0" orientation="landscape" r:id="rId1"/>
  <headerFooter alignWithMargins="0">
    <oddHeader>&amp;R&amp;"Arial,Bold Italic"Document #: 1200-0002
Revision Date: 04/01/2014</oddHeader>
  </headerFooter>
  <rowBreaks count="1" manualBreakCount="1">
    <brk id="42" max="16383" man="1"/>
  </rowBreaks>
  <customProperties>
    <customPr name="%locator_row%" r:id="rId2"/>
    <customPr name="%startcell%" r:id="rId3"/>
  </customPropertie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C107"/>
  <sheetViews>
    <sheetView tabSelected="1" zoomScale="80" zoomScaleNormal="80" zoomScaleSheetLayoutView="55" workbookViewId="0">
      <pane xSplit="2" ySplit="3" topLeftCell="C4" activePane="bottomRight" state="frozen"/>
      <selection pane="topRight" activeCell="C1" sqref="C1"/>
      <selection pane="bottomLeft" activeCell="A4" sqref="A4"/>
      <selection pane="bottomRight" activeCell="P37" sqref="P37"/>
    </sheetView>
  </sheetViews>
  <sheetFormatPr defaultColWidth="9" defaultRowHeight="15" outlineLevelCol="1" x14ac:dyDescent="0.25"/>
  <cols>
    <col min="1" max="1" width="9.5546875" style="184" hidden="1" customWidth="1"/>
    <col min="2" max="2" width="21" style="228" customWidth="1"/>
    <col min="3" max="3" width="18.5546875" style="188" customWidth="1"/>
    <col min="4" max="4" width="15.109375" style="188" customWidth="1"/>
    <col min="5" max="5" width="21.44140625" style="188" customWidth="1"/>
    <col min="6" max="6" width="10.5546875" style="188" customWidth="1"/>
    <col min="7" max="7" width="11.5546875" style="188" customWidth="1"/>
    <col min="8" max="8" width="15.5546875" style="188" customWidth="1"/>
    <col min="9" max="9" width="40.5546875" style="188" customWidth="1"/>
    <col min="10" max="10" width="8" style="30" customWidth="1" outlineLevel="1"/>
    <col min="11" max="11" width="8" style="30" customWidth="1"/>
    <col min="12" max="16" width="12.44140625" style="208" customWidth="1"/>
    <col min="17" max="17" width="17.44140625" style="208" customWidth="1"/>
    <col min="18" max="18" width="13.44140625" style="208" bestFit="1" customWidth="1"/>
    <col min="19" max="19" width="14.44140625" style="208" customWidth="1"/>
    <col min="20" max="20" width="12.44140625" style="208" hidden="1" customWidth="1"/>
    <col min="21" max="21" width="12.5546875" style="208" customWidth="1"/>
    <col min="22" max="22" width="14.5546875" style="208" customWidth="1"/>
    <col min="23" max="23" width="12.5546875" style="208" customWidth="1"/>
    <col min="24" max="24" width="93" style="219" customWidth="1"/>
    <col min="25" max="25" width="22.44140625" style="167" bestFit="1" customWidth="1"/>
    <col min="26" max="26" width="26.5546875" style="51" bestFit="1" customWidth="1"/>
    <col min="27" max="27" width="6.44140625" style="51" customWidth="1"/>
    <col min="28" max="28" width="56.5546875" style="166" customWidth="1" outlineLevel="1"/>
    <col min="29" max="29" width="17.5546875" style="167" customWidth="1" outlineLevel="1"/>
    <col min="30" max="30" width="55" style="166" customWidth="1" outlineLevel="1"/>
    <col min="31" max="31" width="25" style="167" customWidth="1" outlineLevel="1"/>
    <col min="32" max="32" width="55" style="166" customWidth="1" outlineLevel="1"/>
    <col min="33" max="33" width="25" style="167" customWidth="1" outlineLevel="1"/>
    <col min="34" max="35" width="9" style="184" customWidth="1"/>
    <col min="36" max="36" width="7.5546875" style="170" customWidth="1" outlineLevel="1"/>
    <col min="37" max="59" width="8" style="170" customWidth="1" outlineLevel="1"/>
    <col min="60" max="60" width="8" style="170" customWidth="1" outlineLevel="1" collapsed="1"/>
    <col min="61" max="70" width="8" style="170" customWidth="1" outlineLevel="1"/>
    <col min="71" max="71" width="8" style="170" customWidth="1" outlineLevel="1" collapsed="1"/>
    <col min="72" max="80" width="8" style="170" customWidth="1" outlineLevel="1"/>
    <col min="81" max="81" width="20.5546875" style="170" customWidth="1" outlineLevel="1"/>
    <col min="82" max="16384" width="9" style="184"/>
  </cols>
  <sheetData>
    <row r="1" spans="1:81" s="138" customFormat="1" ht="27" hidden="1" x14ac:dyDescent="0.3">
      <c r="A1" s="175" t="s">
        <v>193</v>
      </c>
      <c r="B1" s="224" t="s">
        <v>228</v>
      </c>
      <c r="C1" s="185" t="s">
        <v>194</v>
      </c>
      <c r="D1" s="185" t="s">
        <v>195</v>
      </c>
      <c r="E1" s="185" t="s">
        <v>196</v>
      </c>
      <c r="F1" s="221" t="s">
        <v>197</v>
      </c>
      <c r="G1" s="185" t="s">
        <v>198</v>
      </c>
      <c r="H1" s="185" t="s">
        <v>199</v>
      </c>
      <c r="I1" s="185" t="s">
        <v>229</v>
      </c>
      <c r="J1" s="177" t="s">
        <v>230</v>
      </c>
      <c r="K1" s="177" t="s">
        <v>200</v>
      </c>
      <c r="L1" s="185" t="s">
        <v>201</v>
      </c>
      <c r="M1" s="185" t="s">
        <v>202</v>
      </c>
      <c r="N1" s="185" t="s">
        <v>203</v>
      </c>
      <c r="O1" s="185" t="s">
        <v>204</v>
      </c>
      <c r="P1" s="185" t="s">
        <v>205</v>
      </c>
      <c r="Q1" s="185" t="s">
        <v>206</v>
      </c>
      <c r="R1" s="185" t="s">
        <v>207</v>
      </c>
      <c r="S1" s="185" t="s">
        <v>235</v>
      </c>
      <c r="T1" s="185" t="s">
        <v>227</v>
      </c>
      <c r="U1" s="185" t="s">
        <v>208</v>
      </c>
      <c r="V1" s="185" t="s">
        <v>226</v>
      </c>
      <c r="W1" s="185" t="s">
        <v>209</v>
      </c>
      <c r="X1" s="185" t="s">
        <v>210</v>
      </c>
      <c r="Y1" s="175" t="s">
        <v>231</v>
      </c>
      <c r="Z1" s="175" t="s">
        <v>211</v>
      </c>
      <c r="AA1" s="176"/>
      <c r="AB1" s="177" t="s">
        <v>232</v>
      </c>
      <c r="AC1" s="189" t="s">
        <v>233</v>
      </c>
      <c r="AD1" s="189" t="s">
        <v>234</v>
      </c>
      <c r="AE1" s="189"/>
      <c r="AF1" s="189"/>
      <c r="AG1" s="189"/>
      <c r="AH1" s="189"/>
      <c r="AJ1" s="175" t="s">
        <v>146</v>
      </c>
      <c r="AK1" s="175" t="s">
        <v>146</v>
      </c>
      <c r="AL1" s="175" t="s">
        <v>146</v>
      </c>
      <c r="AM1" s="175" t="s">
        <v>146</v>
      </c>
      <c r="AN1" s="175" t="s">
        <v>146</v>
      </c>
      <c r="AO1" s="175" t="s">
        <v>146</v>
      </c>
      <c r="AP1" s="175" t="s">
        <v>146</v>
      </c>
      <c r="AQ1" s="175" t="s">
        <v>146</v>
      </c>
      <c r="AR1" s="175" t="s">
        <v>146</v>
      </c>
      <c r="AS1" s="175" t="s">
        <v>146</v>
      </c>
      <c r="AT1" s="175" t="s">
        <v>146</v>
      </c>
      <c r="AU1" s="175" t="s">
        <v>146</v>
      </c>
      <c r="AV1" s="175" t="s">
        <v>146</v>
      </c>
      <c r="AW1" s="175" t="s">
        <v>146</v>
      </c>
      <c r="AX1" s="175" t="s">
        <v>146</v>
      </c>
      <c r="AY1" s="175" t="s">
        <v>146</v>
      </c>
      <c r="AZ1" s="175" t="s">
        <v>146</v>
      </c>
      <c r="BA1" s="175" t="s">
        <v>146</v>
      </c>
      <c r="BB1" s="175" t="s">
        <v>146</v>
      </c>
      <c r="BC1" s="175" t="s">
        <v>146</v>
      </c>
      <c r="BD1" s="175" t="s">
        <v>146</v>
      </c>
      <c r="BE1" s="175" t="s">
        <v>146</v>
      </c>
      <c r="BF1" s="175" t="s">
        <v>146</v>
      </c>
      <c r="BG1" s="175" t="s">
        <v>146</v>
      </c>
      <c r="BH1" s="175" t="s">
        <v>146</v>
      </c>
      <c r="BI1" s="175" t="s">
        <v>146</v>
      </c>
      <c r="BJ1" s="175" t="s">
        <v>146</v>
      </c>
      <c r="BK1" s="175" t="s">
        <v>146</v>
      </c>
      <c r="BL1" s="175" t="s">
        <v>146</v>
      </c>
      <c r="BM1" s="175" t="s">
        <v>146</v>
      </c>
      <c r="BN1" s="175" t="s">
        <v>146</v>
      </c>
      <c r="BO1" s="175" t="s">
        <v>146</v>
      </c>
      <c r="BP1" s="175" t="s">
        <v>146</v>
      </c>
      <c r="BQ1" s="175" t="s">
        <v>146</v>
      </c>
      <c r="BR1" s="175" t="s">
        <v>146</v>
      </c>
      <c r="BS1" s="175" t="s">
        <v>146</v>
      </c>
      <c r="BT1" s="175" t="s">
        <v>146</v>
      </c>
      <c r="BU1" s="175" t="s">
        <v>146</v>
      </c>
      <c r="BV1" s="175" t="s">
        <v>146</v>
      </c>
      <c r="BW1" s="175" t="s">
        <v>146</v>
      </c>
      <c r="BX1" s="175" t="s">
        <v>146</v>
      </c>
      <c r="BY1" s="175" t="s">
        <v>146</v>
      </c>
      <c r="BZ1" s="175" t="s">
        <v>146</v>
      </c>
      <c r="CA1" s="175" t="s">
        <v>146</v>
      </c>
      <c r="CB1" s="175" t="s">
        <v>146</v>
      </c>
      <c r="CC1" s="175" t="s">
        <v>146</v>
      </c>
    </row>
    <row r="2" spans="1:81" s="190" customFormat="1" ht="33" x14ac:dyDescent="0.6">
      <c r="B2" s="172" t="str">
        <f ca="1">"Acieta Project Milestones Overview - Updated: "&amp; MONTH(TODAY())&amp;"/"&amp;DAY(TODAY())&amp;"/"&amp; YEAR(TODAY())</f>
        <v>Acieta Project Milestones Overview - Updated: 8/1/2019</v>
      </c>
      <c r="C2" s="186"/>
      <c r="D2" s="186"/>
      <c r="E2" s="186"/>
      <c r="F2" s="186"/>
      <c r="G2" s="186"/>
      <c r="H2" s="186"/>
      <c r="I2" s="186"/>
      <c r="J2" s="134"/>
      <c r="K2" s="134"/>
      <c r="L2" s="333" t="s">
        <v>175</v>
      </c>
      <c r="M2" s="333"/>
      <c r="N2" s="333"/>
      <c r="O2" s="333"/>
      <c r="P2" s="333"/>
      <c r="Q2" s="333"/>
      <c r="R2" s="333"/>
      <c r="S2" s="333"/>
      <c r="T2" s="333"/>
      <c r="U2" s="333"/>
      <c r="V2" s="333"/>
      <c r="W2" s="210"/>
      <c r="X2" s="213"/>
      <c r="Y2" s="159"/>
      <c r="Z2" s="171"/>
      <c r="AA2" s="174"/>
      <c r="AB2" s="178"/>
      <c r="AC2" s="179"/>
      <c r="AD2" s="178"/>
      <c r="AE2" s="179"/>
      <c r="AF2" s="178"/>
      <c r="AG2" s="179"/>
      <c r="AJ2" s="191" t="s">
        <v>91</v>
      </c>
      <c r="AK2" s="192"/>
      <c r="AL2" s="192"/>
      <c r="AM2" s="192"/>
      <c r="AN2" s="192"/>
      <c r="AO2" s="192"/>
      <c r="AP2" s="192"/>
      <c r="AQ2" s="192"/>
      <c r="AR2" s="192"/>
      <c r="AS2" s="192"/>
      <c r="AT2" s="192"/>
      <c r="AU2" s="193" t="s">
        <v>92</v>
      </c>
      <c r="AV2" s="194"/>
      <c r="AW2" s="194"/>
      <c r="AX2" s="194"/>
      <c r="AY2" s="194"/>
      <c r="AZ2" s="194"/>
      <c r="BA2" s="194"/>
      <c r="BB2" s="194"/>
      <c r="BC2" s="194"/>
      <c r="BD2" s="194"/>
      <c r="BE2" s="194"/>
      <c r="BF2" s="195" t="s">
        <v>93</v>
      </c>
      <c r="BG2" s="196"/>
      <c r="BH2" s="196"/>
      <c r="BI2" s="196"/>
      <c r="BJ2" s="196"/>
      <c r="BK2" s="196"/>
      <c r="BL2" s="196"/>
      <c r="BM2" s="196"/>
      <c r="BN2" s="196"/>
      <c r="BO2" s="196"/>
      <c r="BP2" s="196"/>
      <c r="BQ2" s="197" t="s">
        <v>176</v>
      </c>
      <c r="BR2" s="198"/>
      <c r="BS2" s="198"/>
      <c r="BT2" s="198"/>
      <c r="BU2" s="198"/>
      <c r="BV2" s="198"/>
      <c r="BW2" s="198"/>
      <c r="BX2" s="198"/>
      <c r="BY2" s="198"/>
      <c r="BZ2" s="198"/>
      <c r="CA2" s="198"/>
      <c r="CB2" s="198"/>
      <c r="CC2" s="199"/>
    </row>
    <row r="3" spans="1:81" s="190" customFormat="1" ht="171.75" customHeight="1" x14ac:dyDescent="0.3">
      <c r="A3" s="161" t="s">
        <v>224</v>
      </c>
      <c r="B3" s="225" t="s">
        <v>77</v>
      </c>
      <c r="C3" s="160" t="s">
        <v>0</v>
      </c>
      <c r="D3" s="160" t="s">
        <v>18</v>
      </c>
      <c r="E3" s="160" t="s">
        <v>19</v>
      </c>
      <c r="F3" s="160" t="s">
        <v>143</v>
      </c>
      <c r="G3" s="160" t="s">
        <v>180</v>
      </c>
      <c r="H3" s="160" t="s">
        <v>179</v>
      </c>
      <c r="I3" s="133" t="s">
        <v>240</v>
      </c>
      <c r="J3" s="236" t="s">
        <v>178</v>
      </c>
      <c r="K3" s="236" t="s">
        <v>225</v>
      </c>
      <c r="L3" s="204" t="s">
        <v>131</v>
      </c>
      <c r="M3" s="204" t="s">
        <v>132</v>
      </c>
      <c r="N3" s="204" t="s">
        <v>174</v>
      </c>
      <c r="O3" s="204" t="s">
        <v>151</v>
      </c>
      <c r="P3" s="204" t="s">
        <v>172</v>
      </c>
      <c r="Q3" s="204" t="s">
        <v>173</v>
      </c>
      <c r="R3" s="204" t="s">
        <v>134</v>
      </c>
      <c r="S3" s="204" t="s">
        <v>135</v>
      </c>
      <c r="T3" s="204" t="s">
        <v>57</v>
      </c>
      <c r="U3" s="204" t="s">
        <v>136</v>
      </c>
      <c r="V3" s="204" t="s">
        <v>14</v>
      </c>
      <c r="W3" s="204" t="s">
        <v>184</v>
      </c>
      <c r="X3" s="214" t="s">
        <v>47</v>
      </c>
      <c r="Y3" s="162" t="s">
        <v>46</v>
      </c>
      <c r="Z3" s="136" t="s">
        <v>212</v>
      </c>
      <c r="AA3" s="189"/>
      <c r="AB3" s="200" t="s">
        <v>74</v>
      </c>
      <c r="AC3" s="200" t="s">
        <v>46</v>
      </c>
      <c r="AD3" s="200" t="s">
        <v>75</v>
      </c>
      <c r="AE3" s="200" t="s">
        <v>46</v>
      </c>
      <c r="AF3" s="200" t="s">
        <v>145</v>
      </c>
      <c r="AG3" s="200" t="s">
        <v>46</v>
      </c>
      <c r="AJ3" s="180" t="s">
        <v>94</v>
      </c>
      <c r="AK3" s="180" t="s">
        <v>0</v>
      </c>
      <c r="AL3" s="180" t="s">
        <v>18</v>
      </c>
      <c r="AM3" s="180" t="s">
        <v>19</v>
      </c>
      <c r="AN3" s="180" t="s">
        <v>20</v>
      </c>
      <c r="AO3" s="180" t="s">
        <v>21</v>
      </c>
      <c r="AP3" s="180" t="s">
        <v>22</v>
      </c>
      <c r="AQ3" s="180" t="s">
        <v>23</v>
      </c>
      <c r="AR3" s="180" t="s">
        <v>24</v>
      </c>
      <c r="AS3" s="180" t="s">
        <v>63</v>
      </c>
      <c r="AT3" s="180" t="s">
        <v>17</v>
      </c>
      <c r="AU3" s="181" t="s">
        <v>95</v>
      </c>
      <c r="AV3" s="181" t="s">
        <v>0</v>
      </c>
      <c r="AW3" s="181" t="s">
        <v>18</v>
      </c>
      <c r="AX3" s="181" t="s">
        <v>19</v>
      </c>
      <c r="AY3" s="181" t="s">
        <v>20</v>
      </c>
      <c r="AZ3" s="181" t="s">
        <v>21</v>
      </c>
      <c r="BA3" s="181" t="s">
        <v>22</v>
      </c>
      <c r="BB3" s="181" t="s">
        <v>23</v>
      </c>
      <c r="BC3" s="181" t="s">
        <v>24</v>
      </c>
      <c r="BD3" s="181" t="s">
        <v>63</v>
      </c>
      <c r="BE3" s="181" t="s">
        <v>17</v>
      </c>
      <c r="BF3" s="182" t="s">
        <v>96</v>
      </c>
      <c r="BG3" s="182" t="s">
        <v>0</v>
      </c>
      <c r="BH3" s="182" t="s">
        <v>18</v>
      </c>
      <c r="BI3" s="182" t="s">
        <v>19</v>
      </c>
      <c r="BJ3" s="182" t="s">
        <v>20</v>
      </c>
      <c r="BK3" s="182" t="s">
        <v>21</v>
      </c>
      <c r="BL3" s="182" t="s">
        <v>22</v>
      </c>
      <c r="BM3" s="182" t="s">
        <v>23</v>
      </c>
      <c r="BN3" s="182" t="s">
        <v>24</v>
      </c>
      <c r="BO3" s="182" t="s">
        <v>63</v>
      </c>
      <c r="BP3" s="182" t="s">
        <v>17</v>
      </c>
      <c r="BQ3" s="183" t="s">
        <v>177</v>
      </c>
      <c r="BR3" s="183" t="s">
        <v>0</v>
      </c>
      <c r="BS3" s="183" t="s">
        <v>18</v>
      </c>
      <c r="BT3" s="183" t="s">
        <v>19</v>
      </c>
      <c r="BU3" s="183" t="s">
        <v>20</v>
      </c>
      <c r="BV3" s="183" t="s">
        <v>21</v>
      </c>
      <c r="BW3" s="183" t="s">
        <v>22</v>
      </c>
      <c r="BX3" s="183" t="s">
        <v>23</v>
      </c>
      <c r="BY3" s="183" t="s">
        <v>24</v>
      </c>
      <c r="BZ3" s="183" t="s">
        <v>63</v>
      </c>
      <c r="CA3" s="183" t="s">
        <v>17</v>
      </c>
      <c r="CB3" s="183" t="s">
        <v>100</v>
      </c>
      <c r="CC3" s="201" t="s">
        <v>101</v>
      </c>
    </row>
    <row r="4" spans="1:81" ht="30" x14ac:dyDescent="0.25">
      <c r="A4" s="202" t="s">
        <v>223</v>
      </c>
      <c r="B4" s="223">
        <v>2544</v>
      </c>
      <c r="C4" s="164" t="s">
        <v>251</v>
      </c>
      <c r="D4" s="164" t="s">
        <v>350</v>
      </c>
      <c r="E4" s="164" t="s">
        <v>254</v>
      </c>
      <c r="F4" s="164" t="s">
        <v>144</v>
      </c>
      <c r="G4" s="164" t="s">
        <v>182</v>
      </c>
      <c r="H4" s="164" t="s">
        <v>263</v>
      </c>
      <c r="I4" s="164" t="s">
        <v>149</v>
      </c>
      <c r="J4" s="220" t="s">
        <v>236</v>
      </c>
      <c r="K4" s="220" t="s">
        <v>236</v>
      </c>
      <c r="L4" s="205" t="s">
        <v>128</v>
      </c>
      <c r="M4" s="205"/>
      <c r="N4" s="205"/>
      <c r="O4" s="205"/>
      <c r="P4" s="205"/>
      <c r="Q4" s="205"/>
      <c r="R4" s="205"/>
      <c r="S4" s="205"/>
      <c r="T4" s="212"/>
      <c r="U4" s="205" t="s">
        <v>67</v>
      </c>
      <c r="V4" s="205" t="s">
        <v>67</v>
      </c>
      <c r="W4" s="205"/>
      <c r="X4" s="259" t="s">
        <v>370</v>
      </c>
      <c r="Y4" s="128">
        <v>43662</v>
      </c>
      <c r="Z4" s="143"/>
      <c r="AA4" s="173"/>
      <c r="AH4" s="167"/>
      <c r="AJ4" s="168"/>
      <c r="AK4" s="169"/>
      <c r="AL4" s="169"/>
      <c r="AM4" s="169"/>
      <c r="AN4" s="169"/>
      <c r="AO4" s="169"/>
      <c r="AP4" s="169"/>
      <c r="AQ4" s="169"/>
      <c r="AR4" s="169"/>
      <c r="AS4" s="169"/>
      <c r="AT4" s="169"/>
      <c r="AU4" s="168"/>
      <c r="AV4" s="169"/>
      <c r="AW4" s="169"/>
      <c r="AX4" s="169"/>
      <c r="AY4" s="169"/>
      <c r="AZ4" s="169"/>
      <c r="BA4" s="169"/>
      <c r="BB4" s="169"/>
      <c r="BC4" s="169"/>
      <c r="BD4" s="169"/>
      <c r="BE4" s="169"/>
      <c r="BF4" s="168"/>
      <c r="BG4" s="169"/>
      <c r="BH4" s="169"/>
      <c r="BI4" s="169"/>
      <c r="BJ4" s="169"/>
      <c r="BK4" s="169"/>
      <c r="BL4" s="169"/>
      <c r="BM4" s="169"/>
      <c r="BN4" s="169"/>
      <c r="BO4" s="169"/>
      <c r="BP4" s="169"/>
      <c r="BQ4" s="168"/>
      <c r="BR4" s="169"/>
      <c r="BS4" s="169"/>
      <c r="BT4" s="169"/>
      <c r="BU4" s="169"/>
      <c r="BV4" s="169"/>
      <c r="BW4" s="169"/>
      <c r="BX4" s="169"/>
      <c r="BY4" s="169"/>
      <c r="BZ4" s="169"/>
      <c r="CA4" s="169"/>
      <c r="CB4" s="169"/>
      <c r="CC4" s="169"/>
    </row>
    <row r="5" spans="1:81" ht="36.75" customHeight="1" x14ac:dyDescent="0.25">
      <c r="A5" s="202" t="s">
        <v>222</v>
      </c>
      <c r="B5" s="223">
        <v>2605</v>
      </c>
      <c r="C5" s="164" t="s">
        <v>251</v>
      </c>
      <c r="D5" s="164" t="s">
        <v>72</v>
      </c>
      <c r="E5" s="164" t="s">
        <v>72</v>
      </c>
      <c r="F5" s="164" t="s">
        <v>72</v>
      </c>
      <c r="G5" s="164" t="s">
        <v>185</v>
      </c>
      <c r="H5" s="164" t="s">
        <v>260</v>
      </c>
      <c r="I5" s="164" t="s">
        <v>183</v>
      </c>
      <c r="J5" s="220" t="s">
        <v>236</v>
      </c>
      <c r="K5" s="220" t="s">
        <v>236</v>
      </c>
      <c r="L5" s="205"/>
      <c r="M5" s="205"/>
      <c r="N5" s="205"/>
      <c r="O5" s="205"/>
      <c r="P5" s="205"/>
      <c r="Q5" s="205"/>
      <c r="R5" s="205"/>
      <c r="S5" s="205"/>
      <c r="T5" s="205"/>
      <c r="U5" s="205"/>
      <c r="V5" s="205" t="s">
        <v>67</v>
      </c>
      <c r="W5" s="205"/>
      <c r="X5" s="215"/>
      <c r="Y5" s="128">
        <v>43662</v>
      </c>
      <c r="Z5" s="143"/>
      <c r="AA5" s="173"/>
      <c r="AB5" s="163"/>
      <c r="AC5" s="163"/>
      <c r="AD5" s="163"/>
      <c r="AE5" s="163"/>
      <c r="AF5" s="163"/>
      <c r="AG5" s="163"/>
      <c r="AH5" s="167"/>
      <c r="AJ5" s="168"/>
      <c r="AK5" s="169"/>
      <c r="AL5" s="169"/>
      <c r="AM5" s="169"/>
      <c r="AN5" s="169"/>
      <c r="AO5" s="169"/>
      <c r="AP5" s="169"/>
      <c r="AQ5" s="169"/>
      <c r="AR5" s="169"/>
      <c r="AS5" s="169"/>
      <c r="AT5" s="169"/>
      <c r="AU5" s="168"/>
      <c r="AV5" s="169"/>
      <c r="AW5" s="169"/>
      <c r="AX5" s="169"/>
      <c r="AY5" s="169"/>
      <c r="AZ5" s="169"/>
      <c r="BA5" s="169"/>
      <c r="BB5" s="169"/>
      <c r="BC5" s="169"/>
      <c r="BD5" s="169"/>
      <c r="BE5" s="169"/>
      <c r="BF5" s="168"/>
      <c r="BG5" s="169"/>
      <c r="BH5" s="169"/>
      <c r="BI5" s="169"/>
      <c r="BJ5" s="169"/>
      <c r="BK5" s="169"/>
      <c r="BL5" s="169"/>
      <c r="BM5" s="169"/>
      <c r="BN5" s="169"/>
      <c r="BO5" s="169"/>
      <c r="BP5" s="169"/>
      <c r="BQ5" s="168"/>
      <c r="BR5" s="169"/>
      <c r="BS5" s="169"/>
      <c r="BT5" s="169"/>
      <c r="BU5" s="169"/>
      <c r="BV5" s="169"/>
      <c r="BW5" s="169"/>
      <c r="BX5" s="169"/>
      <c r="BY5" s="169"/>
      <c r="BZ5" s="169"/>
      <c r="CA5" s="169"/>
      <c r="CB5" s="169"/>
      <c r="CC5" s="169"/>
    </row>
    <row r="6" spans="1:81" ht="30" x14ac:dyDescent="0.25">
      <c r="A6" s="202" t="s">
        <v>221</v>
      </c>
      <c r="B6" s="226">
        <v>2614</v>
      </c>
      <c r="C6" s="40" t="s">
        <v>252</v>
      </c>
      <c r="D6" s="40" t="s">
        <v>259</v>
      </c>
      <c r="E6" s="164" t="s">
        <v>254</v>
      </c>
      <c r="F6" s="40" t="s">
        <v>171</v>
      </c>
      <c r="G6" s="40" t="s">
        <v>181</v>
      </c>
      <c r="H6" s="164" t="s">
        <v>263</v>
      </c>
      <c r="I6" s="40" t="s">
        <v>186</v>
      </c>
      <c r="J6" s="220" t="s">
        <v>236</v>
      </c>
      <c r="K6" s="220" t="s">
        <v>236</v>
      </c>
      <c r="L6" s="212"/>
      <c r="M6" s="212"/>
      <c r="N6" s="212"/>
      <c r="O6" s="212"/>
      <c r="P6" s="205"/>
      <c r="Q6" s="205"/>
      <c r="R6" s="205"/>
      <c r="S6" s="205"/>
      <c r="T6" s="212"/>
      <c r="U6" s="205"/>
      <c r="V6" s="205"/>
      <c r="W6" s="242" t="s">
        <v>67</v>
      </c>
      <c r="X6" s="209" t="s">
        <v>341</v>
      </c>
      <c r="Y6" s="165">
        <v>43584</v>
      </c>
      <c r="Z6" s="143"/>
      <c r="AA6" s="173"/>
      <c r="AB6" s="163"/>
      <c r="AC6" s="163"/>
      <c r="AD6" s="163"/>
      <c r="AE6" s="163"/>
      <c r="AF6" s="163"/>
      <c r="AG6" s="163"/>
      <c r="AH6" s="167"/>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row>
    <row r="7" spans="1:81" ht="30" x14ac:dyDescent="0.25">
      <c r="A7" s="202" t="s">
        <v>220</v>
      </c>
      <c r="B7" s="223">
        <v>2632</v>
      </c>
      <c r="C7" s="164" t="s">
        <v>250</v>
      </c>
      <c r="D7" s="164" t="s">
        <v>259</v>
      </c>
      <c r="E7" s="164" t="s">
        <v>254</v>
      </c>
      <c r="F7" s="164"/>
      <c r="G7" s="164" t="s">
        <v>182</v>
      </c>
      <c r="H7" s="164" t="s">
        <v>260</v>
      </c>
      <c r="I7" s="164" t="s">
        <v>187</v>
      </c>
      <c r="J7" s="220" t="s">
        <v>236</v>
      </c>
      <c r="K7" s="220" t="s">
        <v>237</v>
      </c>
      <c r="L7" s="205"/>
      <c r="M7" s="205"/>
      <c r="N7" s="205"/>
      <c r="O7" s="205"/>
      <c r="P7" s="205"/>
      <c r="Q7" s="205"/>
      <c r="R7" s="205"/>
      <c r="S7" s="205">
        <v>43675</v>
      </c>
      <c r="T7" s="205"/>
      <c r="U7" s="205">
        <v>43675</v>
      </c>
      <c r="V7" s="205">
        <v>43700</v>
      </c>
      <c r="W7" s="205">
        <v>43728</v>
      </c>
      <c r="X7" s="215" t="s">
        <v>425</v>
      </c>
      <c r="Y7" s="165">
        <v>43671</v>
      </c>
      <c r="Z7" s="40"/>
      <c r="AA7" s="173"/>
      <c r="AH7" s="167"/>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row>
    <row r="8" spans="1:81" ht="45" x14ac:dyDescent="0.25">
      <c r="A8" s="202" t="s">
        <v>219</v>
      </c>
      <c r="B8" s="223">
        <v>2644</v>
      </c>
      <c r="C8" s="164" t="s">
        <v>251</v>
      </c>
      <c r="D8" s="164" t="s">
        <v>258</v>
      </c>
      <c r="E8" s="164" t="s">
        <v>188</v>
      </c>
      <c r="F8" s="222" t="s">
        <v>171</v>
      </c>
      <c r="G8" s="164" t="s">
        <v>181</v>
      </c>
      <c r="H8" s="164" t="s">
        <v>262</v>
      </c>
      <c r="I8" s="164" t="s">
        <v>390</v>
      </c>
      <c r="J8" s="220" t="s">
        <v>238</v>
      </c>
      <c r="K8" s="220" t="s">
        <v>238</v>
      </c>
      <c r="L8" s="205"/>
      <c r="M8" s="205"/>
      <c r="N8" s="205"/>
      <c r="O8" s="205"/>
      <c r="P8" s="205"/>
      <c r="Q8" s="249">
        <v>43676</v>
      </c>
      <c r="R8" s="249">
        <v>43683</v>
      </c>
      <c r="S8" s="249">
        <v>43690</v>
      </c>
      <c r="T8" s="211"/>
      <c r="U8" s="249">
        <v>43696</v>
      </c>
      <c r="V8" s="249">
        <v>43770</v>
      </c>
      <c r="W8" s="205"/>
      <c r="X8" s="217" t="s">
        <v>404</v>
      </c>
      <c r="Y8" s="128">
        <v>43662</v>
      </c>
      <c r="Z8" s="203"/>
      <c r="AA8" s="173"/>
      <c r="AB8" s="163"/>
      <c r="AC8" s="163"/>
      <c r="AD8" s="163"/>
      <c r="AE8" s="163"/>
      <c r="AF8" s="163"/>
      <c r="AG8" s="163"/>
      <c r="AH8" s="167"/>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row>
    <row r="9" spans="1:81" ht="30" x14ac:dyDescent="0.25">
      <c r="A9" s="202" t="s">
        <v>246</v>
      </c>
      <c r="B9" s="223">
        <v>2646</v>
      </c>
      <c r="C9" s="164" t="s">
        <v>264</v>
      </c>
      <c r="D9" s="164" t="s">
        <v>256</v>
      </c>
      <c r="E9" s="164" t="s">
        <v>253</v>
      </c>
      <c r="F9" s="164" t="s">
        <v>170</v>
      </c>
      <c r="G9" s="164" t="s">
        <v>182</v>
      </c>
      <c r="H9" s="164" t="s">
        <v>260</v>
      </c>
      <c r="I9" s="164" t="s">
        <v>189</v>
      </c>
      <c r="J9" s="220" t="s">
        <v>236</v>
      </c>
      <c r="K9" s="220" t="s">
        <v>238</v>
      </c>
      <c r="L9" s="242">
        <v>43693</v>
      </c>
      <c r="M9" s="242">
        <v>43700</v>
      </c>
      <c r="N9" s="242">
        <v>43721</v>
      </c>
      <c r="O9" s="242">
        <v>43735</v>
      </c>
      <c r="P9" s="242">
        <v>43756</v>
      </c>
      <c r="Q9" s="242">
        <v>43775</v>
      </c>
      <c r="R9" s="242">
        <v>43777</v>
      </c>
      <c r="S9" s="242">
        <v>43787</v>
      </c>
      <c r="T9" s="205">
        <v>43766</v>
      </c>
      <c r="U9" s="242">
        <v>43794</v>
      </c>
      <c r="V9" s="242">
        <v>43854</v>
      </c>
      <c r="W9" s="242">
        <v>43517</v>
      </c>
      <c r="X9" s="216" t="s">
        <v>374</v>
      </c>
      <c r="Y9" s="128">
        <v>43676</v>
      </c>
      <c r="Z9" s="143"/>
      <c r="AB9" s="163"/>
      <c r="AC9" s="163"/>
      <c r="AD9" s="163"/>
      <c r="AE9" s="163"/>
      <c r="AF9" s="163"/>
      <c r="AG9" s="163"/>
      <c r="AH9" s="167"/>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row>
    <row r="10" spans="1:81" ht="37.5" customHeight="1" x14ac:dyDescent="0.25">
      <c r="A10" s="202" t="s">
        <v>218</v>
      </c>
      <c r="B10" s="223">
        <v>2663</v>
      </c>
      <c r="C10" s="164" t="s">
        <v>251</v>
      </c>
      <c r="D10" s="164" t="s">
        <v>258</v>
      </c>
      <c r="E10" s="164" t="s">
        <v>253</v>
      </c>
      <c r="F10" s="222" t="s">
        <v>171</v>
      </c>
      <c r="G10" s="164" t="s">
        <v>181</v>
      </c>
      <c r="H10" s="216" t="s">
        <v>263</v>
      </c>
      <c r="I10" s="164" t="s">
        <v>289</v>
      </c>
      <c r="J10" s="220" t="s">
        <v>238</v>
      </c>
      <c r="K10" s="220" t="s">
        <v>237</v>
      </c>
      <c r="L10" s="205"/>
      <c r="M10" s="205"/>
      <c r="N10" s="205"/>
      <c r="O10" s="205"/>
      <c r="P10" s="205"/>
      <c r="Q10" s="242"/>
      <c r="R10" s="242"/>
      <c r="S10" s="242"/>
      <c r="T10" s="242" t="s">
        <v>67</v>
      </c>
      <c r="U10" s="242"/>
      <c r="V10" s="242">
        <v>43679</v>
      </c>
      <c r="W10" s="205"/>
      <c r="X10" s="217"/>
      <c r="Y10" s="128">
        <v>43662</v>
      </c>
      <c r="Z10" s="143"/>
      <c r="AA10" s="173"/>
      <c r="AB10" s="163"/>
      <c r="AC10" s="163"/>
      <c r="AD10" s="163"/>
      <c r="AE10" s="163"/>
      <c r="AF10" s="163"/>
      <c r="AG10" s="163"/>
      <c r="AH10" s="167"/>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row>
    <row r="11" spans="1:81" ht="90" x14ac:dyDescent="0.25">
      <c r="A11" s="202" t="s">
        <v>217</v>
      </c>
      <c r="B11" s="223">
        <v>2667</v>
      </c>
      <c r="C11" s="40" t="s">
        <v>252</v>
      </c>
      <c r="D11" s="40" t="s">
        <v>259</v>
      </c>
      <c r="E11" s="164" t="s">
        <v>254</v>
      </c>
      <c r="F11" s="222" t="s">
        <v>171</v>
      </c>
      <c r="G11" s="164" t="s">
        <v>182</v>
      </c>
      <c r="H11" s="164" t="s">
        <v>260</v>
      </c>
      <c r="I11" s="164" t="s">
        <v>190</v>
      </c>
      <c r="J11" s="220" t="s">
        <v>236</v>
      </c>
      <c r="K11" s="220" t="s">
        <v>236</v>
      </c>
      <c r="L11" s="205"/>
      <c r="M11" s="205"/>
      <c r="N11" s="205"/>
      <c r="O11" s="205"/>
      <c r="P11" s="205" t="s">
        <v>356</v>
      </c>
      <c r="Q11" s="212" t="s">
        <v>408</v>
      </c>
      <c r="R11" s="205" t="s">
        <v>241</v>
      </c>
      <c r="S11" s="205" t="s">
        <v>405</v>
      </c>
      <c r="T11" s="205"/>
      <c r="U11" s="205"/>
      <c r="V11" s="205"/>
      <c r="W11" s="205"/>
      <c r="X11" s="144" t="s">
        <v>242</v>
      </c>
      <c r="Y11" s="165">
        <v>43584</v>
      </c>
      <c r="Z11" s="143"/>
      <c r="AA11" s="173"/>
      <c r="AB11" s="163"/>
      <c r="AC11" s="163"/>
      <c r="AD11" s="163"/>
      <c r="AE11" s="163"/>
      <c r="AF11" s="163"/>
      <c r="AG11" s="163"/>
      <c r="AH11" s="167"/>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row>
    <row r="12" spans="1:81" ht="30" x14ac:dyDescent="0.25">
      <c r="A12" s="202" t="s">
        <v>216</v>
      </c>
      <c r="B12" s="223">
        <v>2668</v>
      </c>
      <c r="C12" s="40" t="s">
        <v>252</v>
      </c>
      <c r="D12" s="164" t="s">
        <v>257</v>
      </c>
      <c r="E12" s="164" t="s">
        <v>253</v>
      </c>
      <c r="F12" s="222"/>
      <c r="G12" s="164"/>
      <c r="H12" s="164" t="s">
        <v>263</v>
      </c>
      <c r="I12" s="164" t="s">
        <v>239</v>
      </c>
      <c r="J12" s="220" t="s">
        <v>236</v>
      </c>
      <c r="K12" s="220" t="s">
        <v>236</v>
      </c>
      <c r="L12" s="242"/>
      <c r="M12" s="242"/>
      <c r="N12" s="242"/>
      <c r="O12" s="242"/>
      <c r="P12" s="242"/>
      <c r="Q12" s="242"/>
      <c r="R12" s="242"/>
      <c r="S12" s="242"/>
      <c r="T12" s="205"/>
      <c r="U12" s="242"/>
      <c r="V12" s="242"/>
      <c r="W12" s="242">
        <v>43693</v>
      </c>
      <c r="X12" s="144"/>
      <c r="Y12" s="165">
        <v>43584</v>
      </c>
      <c r="Z12" s="143"/>
      <c r="AA12" s="173"/>
      <c r="AB12" s="163"/>
      <c r="AC12" s="163"/>
      <c r="AD12" s="163"/>
      <c r="AE12" s="163"/>
      <c r="AF12" s="163"/>
      <c r="AG12" s="163"/>
      <c r="AH12" s="167"/>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row>
    <row r="13" spans="1:81" ht="30" x14ac:dyDescent="0.25">
      <c r="A13" s="202" t="s">
        <v>215</v>
      </c>
      <c r="B13" s="223">
        <v>2671</v>
      </c>
      <c r="C13" s="164" t="s">
        <v>264</v>
      </c>
      <c r="D13" s="40" t="s">
        <v>259</v>
      </c>
      <c r="E13" s="164" t="s">
        <v>255</v>
      </c>
      <c r="F13" s="222"/>
      <c r="G13" s="164" t="s">
        <v>313</v>
      </c>
      <c r="H13" s="164" t="s">
        <v>261</v>
      </c>
      <c r="I13" s="164" t="s">
        <v>191</v>
      </c>
      <c r="J13" s="220" t="s">
        <v>236</v>
      </c>
      <c r="K13" s="220" t="s">
        <v>236</v>
      </c>
      <c r="L13" s="205"/>
      <c r="M13" s="205"/>
      <c r="N13" s="205"/>
      <c r="O13" s="205"/>
      <c r="P13" s="205"/>
      <c r="Q13" s="205"/>
      <c r="R13" s="205"/>
      <c r="S13" s="205"/>
      <c r="T13" s="205">
        <f>T7-14</f>
        <v>-14</v>
      </c>
      <c r="U13" s="205"/>
      <c r="V13" s="205"/>
      <c r="W13" s="205">
        <v>43686</v>
      </c>
      <c r="X13" s="217" t="s">
        <v>421</v>
      </c>
      <c r="Y13" s="128">
        <v>43676</v>
      </c>
      <c r="Z13" s="143" t="s">
        <v>297</v>
      </c>
      <c r="AA13" s="173"/>
      <c r="AB13" s="163"/>
      <c r="AC13" s="163"/>
      <c r="AD13" s="163"/>
      <c r="AE13" s="163"/>
      <c r="AF13" s="163"/>
      <c r="AG13" s="163"/>
      <c r="AH13" s="167"/>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row>
    <row r="14" spans="1:81" ht="120" x14ac:dyDescent="0.25">
      <c r="A14" s="202" t="s">
        <v>214</v>
      </c>
      <c r="B14" s="223">
        <v>2672</v>
      </c>
      <c r="C14" s="164" t="s">
        <v>247</v>
      </c>
      <c r="D14" s="164" t="s">
        <v>350</v>
      </c>
      <c r="E14" s="164" t="s">
        <v>254</v>
      </c>
      <c r="F14" s="222"/>
      <c r="G14" s="164"/>
      <c r="H14" s="164" t="s">
        <v>262</v>
      </c>
      <c r="I14" s="164" t="s">
        <v>192</v>
      </c>
      <c r="J14" s="220" t="s">
        <v>238</v>
      </c>
      <c r="K14" s="220" t="s">
        <v>236</v>
      </c>
      <c r="L14" s="205"/>
      <c r="M14" s="205"/>
      <c r="N14" s="205"/>
      <c r="O14" s="205"/>
      <c r="P14" s="242"/>
      <c r="Q14" s="242"/>
      <c r="R14" s="242"/>
      <c r="S14" s="242"/>
      <c r="T14" s="206" t="s">
        <v>72</v>
      </c>
      <c r="U14" s="242" t="s">
        <v>423</v>
      </c>
      <c r="V14" s="242" t="s">
        <v>365</v>
      </c>
      <c r="W14" s="206" t="s">
        <v>391</v>
      </c>
      <c r="X14" s="217" t="s">
        <v>424</v>
      </c>
      <c r="Y14" s="128">
        <v>43670</v>
      </c>
      <c r="Z14" s="143"/>
      <c r="AA14" s="173"/>
      <c r="AB14" s="163"/>
      <c r="AC14" s="163"/>
      <c r="AD14" s="163"/>
      <c r="AE14" s="163"/>
      <c r="AF14" s="163"/>
      <c r="AG14" s="163"/>
      <c r="AH14" s="167"/>
    </row>
    <row r="15" spans="1:81" ht="30" x14ac:dyDescent="0.25">
      <c r="A15" s="202" t="s">
        <v>213</v>
      </c>
      <c r="B15" s="223">
        <v>2675</v>
      </c>
      <c r="C15" s="164" t="s">
        <v>248</v>
      </c>
      <c r="D15" s="164"/>
      <c r="E15" s="164" t="s">
        <v>254</v>
      </c>
      <c r="F15" s="222"/>
      <c r="G15" s="164"/>
      <c r="H15" s="164" t="s">
        <v>267</v>
      </c>
      <c r="I15" s="164" t="s">
        <v>269</v>
      </c>
      <c r="J15" s="220" t="s">
        <v>236</v>
      </c>
      <c r="K15" s="220" t="s">
        <v>236</v>
      </c>
      <c r="L15" s="254"/>
      <c r="M15" s="242"/>
      <c r="N15" s="242"/>
      <c r="O15" s="242"/>
      <c r="P15" s="242"/>
      <c r="Q15" s="242"/>
      <c r="R15" s="242"/>
      <c r="S15" s="242"/>
      <c r="T15" s="242"/>
      <c r="U15" s="242"/>
      <c r="V15" s="242"/>
      <c r="W15" s="242">
        <v>43696</v>
      </c>
      <c r="X15" s="217" t="s">
        <v>355</v>
      </c>
      <c r="Y15" s="128">
        <v>43607</v>
      </c>
      <c r="Z15" s="143"/>
      <c r="AA15" s="173"/>
      <c r="AB15" s="163"/>
      <c r="AC15" s="163"/>
      <c r="AD15" s="163"/>
      <c r="AE15" s="163"/>
      <c r="AF15" s="163"/>
      <c r="AG15" s="163"/>
      <c r="AH15" s="167"/>
    </row>
    <row r="16" spans="1:81" ht="30" x14ac:dyDescent="0.25">
      <c r="A16" s="202" t="s">
        <v>245</v>
      </c>
      <c r="B16" s="223">
        <v>2681</v>
      </c>
      <c r="C16" s="164" t="s">
        <v>247</v>
      </c>
      <c r="D16" s="164" t="s">
        <v>268</v>
      </c>
      <c r="E16" s="164" t="s">
        <v>254</v>
      </c>
      <c r="F16" s="222"/>
      <c r="G16" s="164"/>
      <c r="H16" s="164" t="s">
        <v>244</v>
      </c>
      <c r="I16" s="164" t="s">
        <v>243</v>
      </c>
      <c r="J16" s="253" t="s">
        <v>236</v>
      </c>
      <c r="K16" s="253" t="s">
        <v>236</v>
      </c>
      <c r="L16" s="205"/>
      <c r="M16" s="205"/>
      <c r="N16" s="205"/>
      <c r="O16" s="205"/>
      <c r="P16" s="205"/>
      <c r="Q16" s="205"/>
      <c r="R16" s="205"/>
      <c r="S16" s="205"/>
      <c r="T16" s="205" t="s">
        <v>72</v>
      </c>
      <c r="U16" s="205" t="s">
        <v>67</v>
      </c>
      <c r="V16" s="205"/>
      <c r="W16" s="205"/>
      <c r="X16" s="217" t="s">
        <v>307</v>
      </c>
      <c r="Y16" s="128"/>
      <c r="Z16" s="143"/>
      <c r="AA16" s="173"/>
      <c r="AB16" s="163"/>
      <c r="AC16" s="163"/>
      <c r="AD16" s="163"/>
      <c r="AE16" s="163"/>
      <c r="AF16" s="163"/>
      <c r="AG16" s="163"/>
      <c r="AH16" s="167"/>
    </row>
    <row r="17" spans="1:81" ht="30" x14ac:dyDescent="0.25">
      <c r="A17" s="202" t="s">
        <v>276</v>
      </c>
      <c r="B17" s="223">
        <v>2683</v>
      </c>
      <c r="C17" s="164" t="s">
        <v>251</v>
      </c>
      <c r="D17" s="164" t="s">
        <v>258</v>
      </c>
      <c r="E17" s="164" t="s">
        <v>253</v>
      </c>
      <c r="F17" s="222"/>
      <c r="G17" s="164"/>
      <c r="H17" s="164" t="s">
        <v>330</v>
      </c>
      <c r="I17" s="164" t="s">
        <v>282</v>
      </c>
      <c r="J17" s="220" t="s">
        <v>236</v>
      </c>
      <c r="K17" s="220" t="s">
        <v>236</v>
      </c>
      <c r="L17" s="205"/>
      <c r="M17" s="205"/>
      <c r="N17" s="205"/>
      <c r="O17" s="205"/>
      <c r="P17" s="205"/>
      <c r="Q17" s="242"/>
      <c r="R17" s="242"/>
      <c r="S17" s="242"/>
      <c r="T17" s="205"/>
      <c r="U17" s="242"/>
      <c r="V17" s="242">
        <v>43721</v>
      </c>
      <c r="W17" s="205"/>
      <c r="X17" s="216" t="s">
        <v>403</v>
      </c>
      <c r="Y17" s="128">
        <v>43662</v>
      </c>
      <c r="Z17" s="143"/>
      <c r="AA17" s="173"/>
      <c r="AB17" s="163"/>
      <c r="AC17" s="163"/>
      <c r="AD17" s="163"/>
      <c r="AE17" s="163"/>
      <c r="AF17" s="163"/>
      <c r="AG17" s="163"/>
      <c r="AH17" s="167"/>
    </row>
    <row r="18" spans="1:81" ht="30" x14ac:dyDescent="0.25">
      <c r="A18" s="202" t="s">
        <v>275</v>
      </c>
      <c r="B18" s="223">
        <v>2684</v>
      </c>
      <c r="C18" s="40" t="s">
        <v>252</v>
      </c>
      <c r="D18" s="234" t="s">
        <v>277</v>
      </c>
      <c r="E18" s="164" t="s">
        <v>254</v>
      </c>
      <c r="F18" s="222"/>
      <c r="G18" s="164"/>
      <c r="H18" s="164" t="s">
        <v>263</v>
      </c>
      <c r="I18" s="164" t="s">
        <v>286</v>
      </c>
      <c r="J18" s="220" t="s">
        <v>238</v>
      </c>
      <c r="K18" s="220" t="s">
        <v>236</v>
      </c>
      <c r="L18" s="205"/>
      <c r="M18" s="205"/>
      <c r="N18" s="205"/>
      <c r="O18" s="205"/>
      <c r="P18" s="242"/>
      <c r="Q18" s="242"/>
      <c r="R18" s="242">
        <v>43678</v>
      </c>
      <c r="S18" s="206">
        <v>43679</v>
      </c>
      <c r="T18" s="242" t="s">
        <v>67</v>
      </c>
      <c r="U18" s="242">
        <v>43682</v>
      </c>
      <c r="V18" s="242">
        <v>43687</v>
      </c>
      <c r="W18" s="206">
        <v>43714</v>
      </c>
      <c r="X18" s="217"/>
      <c r="Y18" s="165">
        <v>43584</v>
      </c>
      <c r="Z18" s="143"/>
      <c r="AA18" s="173"/>
      <c r="AB18" s="163"/>
      <c r="AC18" s="163"/>
      <c r="AD18" s="163"/>
      <c r="AE18" s="163"/>
      <c r="AF18" s="163"/>
      <c r="AG18" s="163"/>
      <c r="AH18" s="167"/>
    </row>
    <row r="19" spans="1:81" ht="30" x14ac:dyDescent="0.25">
      <c r="A19" s="202" t="s">
        <v>274</v>
      </c>
      <c r="B19" s="223">
        <v>2685</v>
      </c>
      <c r="C19" s="40" t="s">
        <v>264</v>
      </c>
      <c r="D19" s="164" t="s">
        <v>268</v>
      </c>
      <c r="E19" s="164" t="s">
        <v>254</v>
      </c>
      <c r="F19" s="222"/>
      <c r="G19" s="164" t="s">
        <v>312</v>
      </c>
      <c r="H19" s="164" t="s">
        <v>263</v>
      </c>
      <c r="I19" s="164" t="s">
        <v>285</v>
      </c>
      <c r="J19" s="220" t="s">
        <v>236</v>
      </c>
      <c r="K19" s="220" t="s">
        <v>238</v>
      </c>
      <c r="L19" s="205"/>
      <c r="M19" s="205"/>
      <c r="N19" s="205"/>
      <c r="O19" s="205"/>
      <c r="P19" s="242"/>
      <c r="Q19" s="242"/>
      <c r="R19" s="242"/>
      <c r="S19" s="242"/>
      <c r="T19" s="242"/>
      <c r="U19" s="242"/>
      <c r="V19" s="242">
        <v>43679</v>
      </c>
      <c r="W19" s="242">
        <v>43707</v>
      </c>
      <c r="X19" s="40" t="s">
        <v>422</v>
      </c>
      <c r="Y19" s="128">
        <v>43676</v>
      </c>
      <c r="Z19" s="143" t="s">
        <v>297</v>
      </c>
      <c r="AA19" s="158"/>
      <c r="AB19" s="163"/>
      <c r="AC19" s="163"/>
      <c r="AD19" s="163"/>
      <c r="AE19" s="163"/>
      <c r="AF19" s="163"/>
      <c r="AG19" s="163"/>
      <c r="AH19" s="167"/>
    </row>
    <row r="20" spans="1:81" ht="30" x14ac:dyDescent="0.25">
      <c r="A20" s="202" t="s">
        <v>273</v>
      </c>
      <c r="B20" s="223">
        <v>2686</v>
      </c>
      <c r="C20" s="40" t="s">
        <v>252</v>
      </c>
      <c r="D20" s="164" t="s">
        <v>256</v>
      </c>
      <c r="E20" s="164" t="s">
        <v>266</v>
      </c>
      <c r="F20" s="222"/>
      <c r="G20" s="164"/>
      <c r="H20" s="164" t="s">
        <v>260</v>
      </c>
      <c r="I20" s="164" t="s">
        <v>265</v>
      </c>
      <c r="J20" s="220" t="s">
        <v>236</v>
      </c>
      <c r="K20" s="220" t="s">
        <v>236</v>
      </c>
      <c r="L20" s="205"/>
      <c r="M20" s="205"/>
      <c r="N20" s="205"/>
      <c r="O20" s="205"/>
      <c r="P20" s="242"/>
      <c r="Q20" s="242"/>
      <c r="R20" s="242"/>
      <c r="S20" s="242"/>
      <c r="T20" s="211" t="s">
        <v>267</v>
      </c>
      <c r="U20" s="242"/>
      <c r="V20" s="242" t="s">
        <v>420</v>
      </c>
      <c r="W20" s="242">
        <v>43728</v>
      </c>
      <c r="X20" s="217"/>
      <c r="Y20" s="165">
        <v>43584</v>
      </c>
      <c r="Z20" s="143"/>
      <c r="AA20" s="173"/>
      <c r="AB20" s="163"/>
      <c r="AC20" s="163"/>
      <c r="AD20" s="163"/>
      <c r="AE20" s="163"/>
      <c r="AF20" s="163"/>
      <c r="AG20" s="163"/>
      <c r="AH20" s="167"/>
      <c r="AJ20" s="168">
        <f>SUM(AK20:AT20)</f>
        <v>209</v>
      </c>
      <c r="AK20" s="169">
        <v>23</v>
      </c>
      <c r="AL20" s="169">
        <v>17</v>
      </c>
      <c r="AM20" s="169">
        <v>3</v>
      </c>
      <c r="AN20" s="169">
        <v>1.5</v>
      </c>
      <c r="AO20" s="169">
        <v>26</v>
      </c>
      <c r="AP20" s="169">
        <v>8.5</v>
      </c>
      <c r="AQ20" s="169">
        <v>0</v>
      </c>
      <c r="AR20" s="169">
        <v>90</v>
      </c>
      <c r="AS20" s="169">
        <v>0</v>
      </c>
      <c r="AT20" s="169">
        <v>40</v>
      </c>
      <c r="AU20" s="168">
        <f>SUM(AV20:BE20)</f>
        <v>219</v>
      </c>
      <c r="AV20" s="169">
        <v>23</v>
      </c>
      <c r="AW20" s="169">
        <v>17</v>
      </c>
      <c r="AX20" s="169">
        <v>5</v>
      </c>
      <c r="AY20" s="169">
        <v>1.5</v>
      </c>
      <c r="AZ20" s="169">
        <v>26</v>
      </c>
      <c r="BA20" s="169">
        <v>13.5</v>
      </c>
      <c r="BB20" s="169">
        <v>3</v>
      </c>
      <c r="BC20" s="169">
        <v>90</v>
      </c>
      <c r="BD20" s="169">
        <v>0</v>
      </c>
      <c r="BE20" s="169">
        <v>40</v>
      </c>
      <c r="BF20" s="168">
        <f>SUM(BG20:BP20)</f>
        <v>153</v>
      </c>
      <c r="BG20" s="169">
        <v>5</v>
      </c>
      <c r="BH20" s="169">
        <v>0</v>
      </c>
      <c r="BI20" s="169">
        <v>0</v>
      </c>
      <c r="BJ20" s="169">
        <v>1.5</v>
      </c>
      <c r="BK20" s="169">
        <v>0</v>
      </c>
      <c r="BL20" s="169">
        <v>13.5</v>
      </c>
      <c r="BM20" s="169">
        <v>3</v>
      </c>
      <c r="BN20" s="169">
        <v>90</v>
      </c>
      <c r="BO20" s="169">
        <v>0</v>
      </c>
      <c r="BP20" s="169">
        <v>40</v>
      </c>
      <c r="BQ20" s="168">
        <f>SUM(BR20:CB20)</f>
        <v>72.2</v>
      </c>
      <c r="BR20" s="169">
        <v>12</v>
      </c>
      <c r="BS20" s="169">
        <v>22</v>
      </c>
      <c r="BT20" s="169">
        <v>1</v>
      </c>
      <c r="BU20" s="169">
        <v>0</v>
      </c>
      <c r="BV20" s="169">
        <v>36.700000000000003</v>
      </c>
      <c r="BW20" s="169">
        <v>0</v>
      </c>
      <c r="BX20" s="169">
        <v>0</v>
      </c>
      <c r="BY20" s="169">
        <v>0.5</v>
      </c>
      <c r="BZ20" s="169">
        <v>0</v>
      </c>
      <c r="CA20" s="169">
        <v>0</v>
      </c>
      <c r="CB20" s="169">
        <v>0</v>
      </c>
      <c r="CC20" s="169"/>
    </row>
    <row r="21" spans="1:81" ht="63" customHeight="1" x14ac:dyDescent="0.25">
      <c r="A21" s="202" t="s">
        <v>272</v>
      </c>
      <c r="B21" s="223">
        <v>2687</v>
      </c>
      <c r="C21" s="164" t="s">
        <v>310</v>
      </c>
      <c r="D21" s="246" t="s">
        <v>258</v>
      </c>
      <c r="E21" s="164" t="s">
        <v>253</v>
      </c>
      <c r="F21" s="222"/>
      <c r="G21" s="164"/>
      <c r="H21" s="164" t="s">
        <v>331</v>
      </c>
      <c r="I21" s="164" t="s">
        <v>281</v>
      </c>
      <c r="J21" s="220" t="s">
        <v>238</v>
      </c>
      <c r="K21" s="220" t="s">
        <v>236</v>
      </c>
      <c r="L21" s="205"/>
      <c r="M21" s="205"/>
      <c r="N21" s="205"/>
      <c r="O21" s="205"/>
      <c r="P21" s="242"/>
      <c r="Q21" s="242"/>
      <c r="R21" s="206">
        <v>43677</v>
      </c>
      <c r="S21" s="206">
        <v>43690</v>
      </c>
      <c r="T21" s="249"/>
      <c r="U21" s="249"/>
      <c r="V21" s="249"/>
      <c r="W21" s="205"/>
      <c r="X21" s="217" t="s">
        <v>402</v>
      </c>
      <c r="Y21" s="128">
        <v>43662</v>
      </c>
      <c r="Z21" s="143"/>
      <c r="AA21" s="158"/>
      <c r="AB21" s="163"/>
      <c r="AC21" s="163"/>
      <c r="AD21" s="163"/>
      <c r="AE21" s="163"/>
      <c r="AF21" s="163"/>
      <c r="AG21" s="163"/>
      <c r="AH21" s="163"/>
      <c r="AI21" s="163"/>
    </row>
    <row r="22" spans="1:81" ht="30" x14ac:dyDescent="0.25">
      <c r="A22" s="202" t="s">
        <v>271</v>
      </c>
      <c r="B22" s="229">
        <v>2689</v>
      </c>
      <c r="C22" s="40" t="s">
        <v>252</v>
      </c>
      <c r="D22" s="40" t="s">
        <v>350</v>
      </c>
      <c r="E22" s="40" t="s">
        <v>254</v>
      </c>
      <c r="F22" s="230"/>
      <c r="G22" s="230"/>
      <c r="H22" s="40" t="s">
        <v>332</v>
      </c>
      <c r="I22" s="40" t="s">
        <v>280</v>
      </c>
      <c r="J22" s="235" t="s">
        <v>236</v>
      </c>
      <c r="K22" s="235" t="s">
        <v>236</v>
      </c>
      <c r="L22" s="231"/>
      <c r="M22" s="243"/>
      <c r="N22" s="243"/>
      <c r="O22" s="243"/>
      <c r="P22" s="243"/>
      <c r="Q22" s="243"/>
      <c r="R22" s="243"/>
      <c r="S22" s="243"/>
      <c r="T22" s="241" t="s">
        <v>67</v>
      </c>
      <c r="U22" s="243"/>
      <c r="V22" s="243"/>
      <c r="W22" s="243">
        <v>43693</v>
      </c>
      <c r="X22" s="217"/>
      <c r="Y22" s="165">
        <v>43584</v>
      </c>
      <c r="Z22" s="233"/>
      <c r="AA22" s="173"/>
      <c r="AB22" s="163"/>
      <c r="AC22" s="163"/>
      <c r="AD22" s="163"/>
      <c r="AE22" s="163"/>
      <c r="AF22" s="163"/>
      <c r="AG22" s="163"/>
      <c r="AH22" s="167"/>
    </row>
    <row r="23" spans="1:81" ht="90" x14ac:dyDescent="0.25">
      <c r="A23" s="202" t="s">
        <v>270</v>
      </c>
      <c r="B23" s="229">
        <v>2690</v>
      </c>
      <c r="C23" s="40" t="s">
        <v>247</v>
      </c>
      <c r="D23" s="164" t="s">
        <v>278</v>
      </c>
      <c r="E23" s="40" t="s">
        <v>254</v>
      </c>
      <c r="F23" s="230"/>
      <c r="G23" s="40" t="s">
        <v>283</v>
      </c>
      <c r="H23" s="40" t="s">
        <v>333</v>
      </c>
      <c r="I23" s="40" t="s">
        <v>279</v>
      </c>
      <c r="J23" s="235" t="s">
        <v>236</v>
      </c>
      <c r="K23" s="235" t="s">
        <v>236</v>
      </c>
      <c r="L23" s="247"/>
      <c r="M23" s="243"/>
      <c r="N23" s="247"/>
      <c r="O23" s="247"/>
      <c r="P23" s="247"/>
      <c r="Q23" s="243"/>
      <c r="R23" s="247"/>
      <c r="S23" s="247"/>
      <c r="T23" s="250"/>
      <c r="U23" s="243"/>
      <c r="V23" s="243" t="s">
        <v>364</v>
      </c>
      <c r="W23" s="251" t="s">
        <v>365</v>
      </c>
      <c r="X23" s="239" t="s">
        <v>366</v>
      </c>
      <c r="Y23" s="165">
        <v>43637</v>
      </c>
      <c r="Z23" s="233"/>
      <c r="AA23" s="173"/>
      <c r="AB23" s="163"/>
      <c r="AC23" s="163"/>
      <c r="AD23" s="163"/>
      <c r="AE23" s="163"/>
      <c r="AF23" s="163"/>
      <c r="AG23" s="163"/>
      <c r="AH23" s="167"/>
    </row>
    <row r="24" spans="1:81" ht="30" x14ac:dyDescent="0.25">
      <c r="A24" s="202" t="s">
        <v>290</v>
      </c>
      <c r="B24" s="223">
        <v>2692</v>
      </c>
      <c r="C24" s="164" t="s">
        <v>252</v>
      </c>
      <c r="D24" s="164"/>
      <c r="E24" s="164"/>
      <c r="F24" s="222"/>
      <c r="G24" s="164"/>
      <c r="H24" s="164" t="s">
        <v>332</v>
      </c>
      <c r="I24" s="164" t="s">
        <v>284</v>
      </c>
      <c r="J24" s="220" t="s">
        <v>236</v>
      </c>
      <c r="K24" s="220" t="s">
        <v>236</v>
      </c>
      <c r="L24" s="205"/>
      <c r="M24" s="205"/>
      <c r="N24" s="205"/>
      <c r="O24" s="205"/>
      <c r="P24" s="205"/>
      <c r="Q24" s="242"/>
      <c r="R24" s="242">
        <v>43676</v>
      </c>
      <c r="S24" s="206">
        <v>43679</v>
      </c>
      <c r="T24" s="205"/>
      <c r="U24" s="242">
        <v>43682</v>
      </c>
      <c r="V24" s="242">
        <v>43707</v>
      </c>
      <c r="W24" s="206">
        <v>43735</v>
      </c>
      <c r="X24" s="217"/>
      <c r="Y24" s="165">
        <v>43584</v>
      </c>
      <c r="Z24" s="143"/>
      <c r="AA24" s="173"/>
      <c r="AB24" s="163"/>
      <c r="AC24" s="163"/>
      <c r="AD24" s="163"/>
      <c r="AE24" s="163"/>
      <c r="AF24" s="163"/>
      <c r="AG24" s="163"/>
      <c r="AH24" s="167"/>
    </row>
    <row r="25" spans="1:81" ht="60" x14ac:dyDescent="0.25">
      <c r="A25" s="202" t="s">
        <v>292</v>
      </c>
      <c r="B25" s="223">
        <v>2695</v>
      </c>
      <c r="C25" s="40" t="s">
        <v>247</v>
      </c>
      <c r="D25" s="164" t="s">
        <v>268</v>
      </c>
      <c r="E25" s="164" t="s">
        <v>254</v>
      </c>
      <c r="F25" s="222"/>
      <c r="G25" s="164"/>
      <c r="H25" s="164" t="s">
        <v>244</v>
      </c>
      <c r="I25" s="164" t="s">
        <v>287</v>
      </c>
      <c r="J25" s="220" t="s">
        <v>236</v>
      </c>
      <c r="K25" s="220" t="s">
        <v>236</v>
      </c>
      <c r="L25" s="205"/>
      <c r="M25" s="205"/>
      <c r="N25" s="205"/>
      <c r="O25" s="205"/>
      <c r="P25" s="242"/>
      <c r="Q25" s="205"/>
      <c r="R25" s="205"/>
      <c r="S25" s="205"/>
      <c r="T25" s="205"/>
      <c r="U25" s="205"/>
      <c r="V25" s="242">
        <v>43983</v>
      </c>
      <c r="W25" s="242"/>
      <c r="X25" s="217" t="s">
        <v>349</v>
      </c>
      <c r="Y25" s="128">
        <v>43616</v>
      </c>
      <c r="Z25" s="143"/>
      <c r="AA25" s="173"/>
      <c r="AB25" s="163"/>
      <c r="AC25" s="163"/>
      <c r="AD25" s="163"/>
      <c r="AE25" s="163"/>
      <c r="AF25" s="163"/>
      <c r="AG25" s="163"/>
      <c r="AH25" s="167"/>
    </row>
    <row r="26" spans="1:81" ht="30" x14ac:dyDescent="0.25">
      <c r="A26" s="202" t="s">
        <v>291</v>
      </c>
      <c r="B26" s="223">
        <v>2696</v>
      </c>
      <c r="C26" s="40" t="s">
        <v>248</v>
      </c>
      <c r="D26" s="164"/>
      <c r="E26" s="164" t="s">
        <v>253</v>
      </c>
      <c r="F26" s="222"/>
      <c r="G26" s="164"/>
      <c r="H26" s="164" t="s">
        <v>262</v>
      </c>
      <c r="I26" s="164" t="s">
        <v>288</v>
      </c>
      <c r="J26" s="220" t="s">
        <v>238</v>
      </c>
      <c r="K26" s="220" t="s">
        <v>237</v>
      </c>
      <c r="L26" s="206">
        <v>43686</v>
      </c>
      <c r="M26" s="206">
        <v>43691</v>
      </c>
      <c r="N26" s="206">
        <v>43712</v>
      </c>
      <c r="O26" s="242">
        <v>43719</v>
      </c>
      <c r="P26" s="242">
        <v>43739</v>
      </c>
      <c r="Q26" s="242">
        <v>43767</v>
      </c>
      <c r="R26" s="242">
        <v>43775</v>
      </c>
      <c r="S26" s="242">
        <v>43782</v>
      </c>
      <c r="T26" s="206" t="s">
        <v>67</v>
      </c>
      <c r="U26" s="242">
        <v>43788</v>
      </c>
      <c r="V26" s="242">
        <v>43817</v>
      </c>
      <c r="W26" s="242">
        <v>43848</v>
      </c>
      <c r="X26" s="217" t="s">
        <v>358</v>
      </c>
      <c r="Y26" s="128"/>
      <c r="Z26" s="143"/>
      <c r="AA26" s="173"/>
      <c r="AB26" s="163"/>
      <c r="AC26" s="163"/>
      <c r="AD26" s="163"/>
      <c r="AE26" s="163"/>
      <c r="AF26" s="163"/>
      <c r="AG26" s="163"/>
      <c r="AH26" s="167"/>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row>
    <row r="27" spans="1:81" ht="30" x14ac:dyDescent="0.25">
      <c r="A27" s="202" t="s">
        <v>294</v>
      </c>
      <c r="B27" s="223">
        <v>2697</v>
      </c>
      <c r="C27" s="40" t="s">
        <v>252</v>
      </c>
      <c r="D27" s="164"/>
      <c r="E27" s="164" t="s">
        <v>254</v>
      </c>
      <c r="F27" s="222"/>
      <c r="G27" s="164"/>
      <c r="H27" s="164"/>
      <c r="I27" s="164" t="s">
        <v>361</v>
      </c>
      <c r="J27" s="220" t="s">
        <v>238</v>
      </c>
      <c r="K27" s="220" t="s">
        <v>238</v>
      </c>
      <c r="L27" s="242"/>
      <c r="M27" s="242"/>
      <c r="N27" s="242"/>
      <c r="O27" s="249">
        <v>43672</v>
      </c>
      <c r="P27" s="249">
        <v>43693</v>
      </c>
      <c r="Q27" s="254"/>
      <c r="R27" s="254"/>
      <c r="S27" s="249">
        <v>43693</v>
      </c>
      <c r="T27" s="249" t="s">
        <v>67</v>
      </c>
      <c r="U27" s="249">
        <v>43696</v>
      </c>
      <c r="V27" s="254"/>
      <c r="W27" s="254"/>
      <c r="X27" s="217"/>
      <c r="Y27" s="165">
        <v>43584</v>
      </c>
      <c r="Z27" s="143"/>
      <c r="AA27" s="173"/>
      <c r="AB27" s="163"/>
      <c r="AC27" s="163"/>
      <c r="AD27" s="163"/>
      <c r="AE27" s="163"/>
      <c r="AF27" s="163"/>
      <c r="AG27" s="163"/>
      <c r="AH27" s="167"/>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row>
    <row r="28" spans="1:81" ht="30" x14ac:dyDescent="0.25">
      <c r="A28" s="202" t="s">
        <v>296</v>
      </c>
      <c r="B28" s="223">
        <v>2699</v>
      </c>
      <c r="C28" s="40" t="s">
        <v>247</v>
      </c>
      <c r="D28" s="164" t="s">
        <v>350</v>
      </c>
      <c r="E28" s="164" t="s">
        <v>254</v>
      </c>
      <c r="F28" s="222"/>
      <c r="G28" s="164"/>
      <c r="H28" s="164" t="s">
        <v>260</v>
      </c>
      <c r="I28" s="164" t="s">
        <v>293</v>
      </c>
      <c r="J28" s="220" t="s">
        <v>306</v>
      </c>
      <c r="K28" s="220" t="s">
        <v>306</v>
      </c>
      <c r="L28" s="240" t="s">
        <v>306</v>
      </c>
      <c r="M28" s="240" t="s">
        <v>306</v>
      </c>
      <c r="N28" s="240" t="s">
        <v>306</v>
      </c>
      <c r="O28" s="240" t="s">
        <v>306</v>
      </c>
      <c r="P28" s="240" t="s">
        <v>306</v>
      </c>
      <c r="Q28" s="240" t="s">
        <v>306</v>
      </c>
      <c r="R28" s="240" t="s">
        <v>306</v>
      </c>
      <c r="S28" s="240" t="s">
        <v>306</v>
      </c>
      <c r="T28" s="240" t="s">
        <v>306</v>
      </c>
      <c r="U28" s="240" t="s">
        <v>306</v>
      </c>
      <c r="V28" s="240" t="s">
        <v>306</v>
      </c>
      <c r="W28" s="240" t="s">
        <v>306</v>
      </c>
      <c r="X28" s="217" t="s">
        <v>298</v>
      </c>
      <c r="Y28" s="128">
        <v>43501</v>
      </c>
      <c r="Z28" s="143"/>
      <c r="AA28" s="173"/>
      <c r="AB28" s="163"/>
      <c r="AC28" s="163"/>
      <c r="AD28" s="163"/>
      <c r="AE28" s="163"/>
      <c r="AF28" s="163"/>
      <c r="AG28" s="163"/>
      <c r="AH28" s="167"/>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row>
    <row r="29" spans="1:81" ht="30" x14ac:dyDescent="0.25">
      <c r="A29" s="202" t="s">
        <v>295</v>
      </c>
      <c r="B29" s="223">
        <v>2700</v>
      </c>
      <c r="C29" s="40" t="s">
        <v>264</v>
      </c>
      <c r="D29" s="164" t="s">
        <v>258</v>
      </c>
      <c r="E29" s="164" t="s">
        <v>253</v>
      </c>
      <c r="F29" s="222"/>
      <c r="G29" s="164"/>
      <c r="H29" s="164" t="s">
        <v>260</v>
      </c>
      <c r="I29" s="164" t="s">
        <v>299</v>
      </c>
      <c r="J29" s="220" t="s">
        <v>236</v>
      </c>
      <c r="K29" s="220" t="s">
        <v>236</v>
      </c>
      <c r="L29" s="205"/>
      <c r="M29" s="205"/>
      <c r="N29" s="205"/>
      <c r="O29" s="205"/>
      <c r="P29" s="205"/>
      <c r="Q29" s="205"/>
      <c r="R29" s="205"/>
      <c r="S29" s="242"/>
      <c r="T29" s="205"/>
      <c r="U29" s="242"/>
      <c r="V29" s="242"/>
      <c r="W29" s="242">
        <v>43686</v>
      </c>
      <c r="X29" s="217"/>
      <c r="Y29" s="128">
        <v>43676</v>
      </c>
      <c r="Z29" s="143" t="s">
        <v>297</v>
      </c>
      <c r="AA29" s="173"/>
      <c r="AB29" s="163"/>
      <c r="AC29" s="163"/>
      <c r="AD29" s="163"/>
      <c r="AE29" s="163"/>
      <c r="AF29" s="163"/>
      <c r="AG29" s="163"/>
      <c r="AH29" s="167"/>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row>
    <row r="30" spans="1:81" ht="30" x14ac:dyDescent="0.25">
      <c r="A30" s="202" t="s">
        <v>304</v>
      </c>
      <c r="B30" s="223">
        <v>2701</v>
      </c>
      <c r="C30" s="40" t="s">
        <v>248</v>
      </c>
      <c r="D30" s="164"/>
      <c r="E30" s="164" t="s">
        <v>254</v>
      </c>
      <c r="F30" s="222"/>
      <c r="G30" s="164"/>
      <c r="H30" s="164" t="s">
        <v>263</v>
      </c>
      <c r="I30" s="164" t="s">
        <v>300</v>
      </c>
      <c r="J30" s="220" t="s">
        <v>236</v>
      </c>
      <c r="K30" s="220" t="s">
        <v>237</v>
      </c>
      <c r="L30" s="205"/>
      <c r="M30" s="205"/>
      <c r="N30" s="205"/>
      <c r="O30" s="205"/>
      <c r="P30" s="242"/>
      <c r="Q30" s="242"/>
      <c r="R30" s="242"/>
      <c r="S30" s="206">
        <v>43678</v>
      </c>
      <c r="T30" s="249"/>
      <c r="U30" s="242">
        <v>43682</v>
      </c>
      <c r="V30" s="242">
        <v>43693</v>
      </c>
      <c r="W30" s="242">
        <v>43724</v>
      </c>
      <c r="X30" s="217" t="s">
        <v>371</v>
      </c>
      <c r="Y30" s="128">
        <v>43529</v>
      </c>
      <c r="Z30" s="143"/>
      <c r="AA30" s="173"/>
      <c r="AB30" s="163"/>
      <c r="AC30" s="163"/>
      <c r="AD30" s="163"/>
      <c r="AE30" s="163"/>
      <c r="AF30" s="163"/>
      <c r="AG30" s="163"/>
      <c r="AH30" s="167"/>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row>
    <row r="31" spans="1:81" ht="30.75" customHeight="1" x14ac:dyDescent="0.25">
      <c r="A31" s="202" t="s">
        <v>67</v>
      </c>
      <c r="B31" s="223">
        <v>2702</v>
      </c>
      <c r="C31" s="40" t="s">
        <v>301</v>
      </c>
      <c r="D31" s="164"/>
      <c r="E31" s="164"/>
      <c r="F31" s="222"/>
      <c r="G31" s="164"/>
      <c r="H31" s="164"/>
      <c r="I31" s="164" t="s">
        <v>302</v>
      </c>
      <c r="J31" s="220" t="s">
        <v>236</v>
      </c>
      <c r="K31" s="220" t="s">
        <v>236</v>
      </c>
      <c r="L31" s="205"/>
      <c r="M31" s="205"/>
      <c r="N31" s="205"/>
      <c r="O31" s="205"/>
      <c r="P31" s="205"/>
      <c r="Q31" s="205"/>
      <c r="R31" s="205"/>
      <c r="S31" s="205"/>
      <c r="T31" s="205"/>
      <c r="U31" s="205"/>
      <c r="V31" s="205"/>
      <c r="W31" s="205"/>
      <c r="X31" s="217" t="s">
        <v>346</v>
      </c>
      <c r="Y31" s="128">
        <v>43593</v>
      </c>
      <c r="Z31" s="143"/>
      <c r="AA31" s="173"/>
      <c r="AB31" s="163"/>
      <c r="AC31" s="163"/>
      <c r="AD31" s="163"/>
      <c r="AE31" s="163"/>
      <c r="AF31" s="163"/>
      <c r="AG31" s="163"/>
      <c r="AH31" s="167"/>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row>
    <row r="32" spans="1:81" ht="60" x14ac:dyDescent="0.25">
      <c r="A32" s="202" t="s">
        <v>305</v>
      </c>
      <c r="B32" s="223">
        <v>2703</v>
      </c>
      <c r="C32" s="40" t="s">
        <v>247</v>
      </c>
      <c r="D32" s="164" t="s">
        <v>320</v>
      </c>
      <c r="E32" s="164" t="s">
        <v>255</v>
      </c>
      <c r="F32" s="222" t="s">
        <v>72</v>
      </c>
      <c r="G32" s="164"/>
      <c r="H32" s="164" t="s">
        <v>262</v>
      </c>
      <c r="I32" s="164" t="s">
        <v>303</v>
      </c>
      <c r="J32" s="220" t="s">
        <v>237</v>
      </c>
      <c r="K32" s="220" t="s">
        <v>238</v>
      </c>
      <c r="L32" s="242"/>
      <c r="M32" s="242"/>
      <c r="N32" s="206" t="s">
        <v>427</v>
      </c>
      <c r="O32" s="206" t="s">
        <v>368</v>
      </c>
      <c r="P32" s="242" t="s">
        <v>428</v>
      </c>
      <c r="Q32" s="242" t="s">
        <v>429</v>
      </c>
      <c r="R32" s="242" t="s">
        <v>430</v>
      </c>
      <c r="S32" s="242" t="s">
        <v>431</v>
      </c>
      <c r="T32" s="242"/>
      <c r="U32" s="242" t="s">
        <v>432</v>
      </c>
      <c r="V32" s="242" t="s">
        <v>433</v>
      </c>
      <c r="W32" s="242" t="s">
        <v>434</v>
      </c>
      <c r="X32" s="217" t="s">
        <v>435</v>
      </c>
      <c r="Y32" s="128">
        <v>43626</v>
      </c>
      <c r="Z32" s="143"/>
      <c r="AA32" s="173"/>
      <c r="AB32" s="163"/>
      <c r="AC32" s="163"/>
      <c r="AD32" s="163"/>
      <c r="AE32" s="163"/>
      <c r="AF32" s="163"/>
      <c r="AG32" s="163"/>
      <c r="AH32" s="167"/>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row>
    <row r="33" spans="1:81" ht="30" x14ac:dyDescent="0.25">
      <c r="A33" s="244" t="s">
        <v>316</v>
      </c>
      <c r="B33" s="223">
        <v>2705</v>
      </c>
      <c r="C33" s="40" t="s">
        <v>264</v>
      </c>
      <c r="D33" s="164" t="s">
        <v>278</v>
      </c>
      <c r="E33" s="164" t="s">
        <v>254</v>
      </c>
      <c r="F33" s="222"/>
      <c r="G33" s="164"/>
      <c r="H33" s="164" t="s">
        <v>333</v>
      </c>
      <c r="I33" s="164" t="s">
        <v>318</v>
      </c>
      <c r="J33" s="220" t="s">
        <v>236</v>
      </c>
      <c r="K33" s="220" t="s">
        <v>236</v>
      </c>
      <c r="L33" s="247"/>
      <c r="M33" s="243"/>
      <c r="N33" s="247"/>
      <c r="O33" s="247"/>
      <c r="P33" s="247"/>
      <c r="Q33" s="247">
        <v>43697</v>
      </c>
      <c r="R33" s="247">
        <v>43699</v>
      </c>
      <c r="S33" s="247">
        <v>43706</v>
      </c>
      <c r="T33" s="205"/>
      <c r="U33" s="247">
        <v>43711</v>
      </c>
      <c r="V33" s="247">
        <v>43735</v>
      </c>
      <c r="W33" s="247">
        <v>43756</v>
      </c>
      <c r="X33" s="217"/>
      <c r="Y33" s="128">
        <v>43676</v>
      </c>
      <c r="Z33" s="143" t="s">
        <v>297</v>
      </c>
      <c r="AA33" s="173"/>
      <c r="AB33" s="163"/>
      <c r="AC33" s="163"/>
      <c r="AD33" s="163"/>
      <c r="AE33" s="163"/>
      <c r="AF33" s="163"/>
      <c r="AG33" s="163"/>
      <c r="AH33" s="167"/>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row>
    <row r="34" spans="1:81" ht="45" x14ac:dyDescent="0.25">
      <c r="A34" s="245" t="s">
        <v>315</v>
      </c>
      <c r="B34" s="223">
        <v>2706</v>
      </c>
      <c r="C34" s="40" t="s">
        <v>301</v>
      </c>
      <c r="D34" s="164" t="s">
        <v>319</v>
      </c>
      <c r="E34" s="164" t="s">
        <v>253</v>
      </c>
      <c r="F34" s="222"/>
      <c r="G34" s="164"/>
      <c r="H34" s="164"/>
      <c r="I34" s="164" t="s">
        <v>308</v>
      </c>
      <c r="J34" s="220" t="s">
        <v>238</v>
      </c>
      <c r="K34" s="220" t="s">
        <v>238</v>
      </c>
      <c r="L34" s="242"/>
      <c r="M34" s="242"/>
      <c r="N34" s="242"/>
      <c r="O34" s="206">
        <v>43682</v>
      </c>
      <c r="P34" s="206">
        <v>43685</v>
      </c>
      <c r="Q34" s="242" t="s">
        <v>72</v>
      </c>
      <c r="R34" s="242" t="s">
        <v>72</v>
      </c>
      <c r="S34" s="242">
        <v>43671</v>
      </c>
      <c r="T34" s="242"/>
      <c r="U34" s="242">
        <v>43696</v>
      </c>
      <c r="V34" s="242">
        <v>43706</v>
      </c>
      <c r="W34" s="206">
        <v>43739</v>
      </c>
      <c r="X34" s="217" t="s">
        <v>392</v>
      </c>
      <c r="Y34" s="128">
        <v>43654</v>
      </c>
      <c r="Z34" s="143"/>
      <c r="AA34" s="173"/>
      <c r="AB34" s="163"/>
      <c r="AC34" s="163"/>
      <c r="AD34" s="163"/>
      <c r="AE34" s="163"/>
      <c r="AF34" s="163"/>
      <c r="AG34" s="163"/>
      <c r="AH34" s="167"/>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row>
    <row r="35" spans="1:81" ht="45" x14ac:dyDescent="0.25">
      <c r="A35" s="244" t="s">
        <v>314</v>
      </c>
      <c r="B35" s="223">
        <v>2707</v>
      </c>
      <c r="C35" s="40" t="s">
        <v>247</v>
      </c>
      <c r="D35" s="164" t="s">
        <v>256</v>
      </c>
      <c r="E35" s="164" t="s">
        <v>311</v>
      </c>
      <c r="F35" s="222" t="s">
        <v>72</v>
      </c>
      <c r="G35" s="164"/>
      <c r="H35" s="164"/>
      <c r="I35" s="164" t="s">
        <v>309</v>
      </c>
      <c r="J35" s="220" t="s">
        <v>236</v>
      </c>
      <c r="K35" s="220" t="s">
        <v>236</v>
      </c>
      <c r="L35" s="242"/>
      <c r="M35" s="242"/>
      <c r="N35" s="206" t="s">
        <v>367</v>
      </c>
      <c r="O35" s="206" t="s">
        <v>368</v>
      </c>
      <c r="P35" s="206">
        <v>43712</v>
      </c>
      <c r="Q35" s="242">
        <v>43728</v>
      </c>
      <c r="R35" s="242">
        <v>43732</v>
      </c>
      <c r="S35" s="242" t="s">
        <v>72</v>
      </c>
      <c r="T35" s="242" t="s">
        <v>67</v>
      </c>
      <c r="U35" s="242" t="s">
        <v>72</v>
      </c>
      <c r="V35" s="242" t="s">
        <v>72</v>
      </c>
      <c r="W35" s="242" t="s">
        <v>72</v>
      </c>
      <c r="X35" s="217" t="s">
        <v>369</v>
      </c>
      <c r="Y35" s="128">
        <v>43640</v>
      </c>
      <c r="Z35" s="143"/>
      <c r="AA35" s="173"/>
      <c r="AB35" s="163"/>
      <c r="AC35" s="163"/>
      <c r="AD35" s="163"/>
      <c r="AE35" s="163"/>
      <c r="AF35" s="163"/>
      <c r="AG35" s="163"/>
      <c r="AH35" s="167"/>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row>
    <row r="36" spans="1:81" ht="34.5" customHeight="1" x14ac:dyDescent="0.25">
      <c r="A36" s="268" t="s">
        <v>339</v>
      </c>
      <c r="B36" s="223">
        <v>2708</v>
      </c>
      <c r="C36" s="40" t="s">
        <v>301</v>
      </c>
      <c r="D36" s="164" t="s">
        <v>320</v>
      </c>
      <c r="E36" s="164" t="s">
        <v>254</v>
      </c>
      <c r="F36" s="222"/>
      <c r="G36" s="164"/>
      <c r="H36" s="164" t="s">
        <v>72</v>
      </c>
      <c r="I36" s="164" t="s">
        <v>317</v>
      </c>
      <c r="J36" s="220" t="s">
        <v>236</v>
      </c>
      <c r="K36" s="220" t="s">
        <v>236</v>
      </c>
      <c r="L36" s="242"/>
      <c r="M36" s="242"/>
      <c r="N36" s="242"/>
      <c r="O36" s="242"/>
      <c r="P36" s="242"/>
      <c r="Q36" s="242"/>
      <c r="R36" s="242"/>
      <c r="S36" s="242"/>
      <c r="T36" s="242"/>
      <c r="U36" s="242"/>
      <c r="V36" s="242"/>
      <c r="W36" s="206">
        <v>43709</v>
      </c>
      <c r="X36" s="217" t="s">
        <v>456</v>
      </c>
      <c r="Y36" s="128">
        <v>43640</v>
      </c>
      <c r="Z36" s="143"/>
      <c r="AA36" s="173"/>
      <c r="AB36" s="163"/>
      <c r="AC36" s="163"/>
      <c r="AD36" s="163"/>
      <c r="AE36" s="163"/>
      <c r="AF36" s="163"/>
      <c r="AG36" s="163"/>
      <c r="AH36" s="167"/>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row>
    <row r="37" spans="1:81" ht="30" x14ac:dyDescent="0.25">
      <c r="A37" s="267" t="s">
        <v>340</v>
      </c>
      <c r="B37" s="223">
        <v>2709</v>
      </c>
      <c r="C37" s="40" t="s">
        <v>301</v>
      </c>
      <c r="D37" s="164" t="s">
        <v>258</v>
      </c>
      <c r="E37" s="164" t="s">
        <v>253</v>
      </c>
      <c r="F37" s="222"/>
      <c r="G37" s="164"/>
      <c r="H37" s="164" t="s">
        <v>333</v>
      </c>
      <c r="I37" s="164" t="s">
        <v>323</v>
      </c>
      <c r="J37" s="220" t="s">
        <v>236</v>
      </c>
      <c r="K37" s="220" t="s">
        <v>236</v>
      </c>
      <c r="L37" s="242"/>
      <c r="M37" s="242"/>
      <c r="N37" s="242"/>
      <c r="O37" s="242">
        <v>43698</v>
      </c>
      <c r="P37" s="242">
        <v>43707</v>
      </c>
      <c r="Q37" s="242">
        <v>43759</v>
      </c>
      <c r="R37" s="242"/>
      <c r="S37" s="242">
        <v>43770</v>
      </c>
      <c r="T37" s="242"/>
      <c r="U37" s="242">
        <v>43773</v>
      </c>
      <c r="V37" s="242">
        <v>43489</v>
      </c>
      <c r="W37" s="242">
        <v>43891</v>
      </c>
      <c r="X37" s="217"/>
      <c r="Y37" s="128">
        <v>43640</v>
      </c>
      <c r="Z37" s="143"/>
      <c r="AA37" s="173"/>
      <c r="AB37" s="163"/>
      <c r="AC37" s="163"/>
      <c r="AD37" s="163"/>
      <c r="AE37" s="163"/>
      <c r="AF37" s="163"/>
      <c r="AG37" s="163"/>
      <c r="AH37" s="167"/>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row>
    <row r="38" spans="1:81" ht="30" x14ac:dyDescent="0.25">
      <c r="A38" s="267" t="s">
        <v>337</v>
      </c>
      <c r="B38" s="223">
        <v>2710</v>
      </c>
      <c r="C38" s="40" t="s">
        <v>252</v>
      </c>
      <c r="D38" s="164" t="s">
        <v>278</v>
      </c>
      <c r="E38" s="164" t="s">
        <v>253</v>
      </c>
      <c r="F38" s="222"/>
      <c r="G38" s="164"/>
      <c r="H38" s="164" t="s">
        <v>260</v>
      </c>
      <c r="I38" s="164" t="s">
        <v>321</v>
      </c>
      <c r="J38" s="220" t="s">
        <v>236</v>
      </c>
      <c r="K38" s="220" t="s">
        <v>236</v>
      </c>
      <c r="L38" s="206">
        <v>43679</v>
      </c>
      <c r="M38" s="206">
        <v>43686</v>
      </c>
      <c r="N38" s="206">
        <v>43707</v>
      </c>
      <c r="O38" s="206">
        <v>43714</v>
      </c>
      <c r="P38" s="206">
        <v>43735</v>
      </c>
      <c r="Q38" s="242">
        <v>43761</v>
      </c>
      <c r="R38" s="242">
        <v>43768</v>
      </c>
      <c r="S38" s="206">
        <v>43770</v>
      </c>
      <c r="T38" s="242" t="s">
        <v>67</v>
      </c>
      <c r="U38" s="242">
        <v>43773</v>
      </c>
      <c r="V38" s="242">
        <v>43784</v>
      </c>
      <c r="W38" s="206">
        <v>43812</v>
      </c>
      <c r="X38" s="217" t="s">
        <v>407</v>
      </c>
      <c r="Y38" s="165">
        <v>43584</v>
      </c>
      <c r="Z38" s="143"/>
      <c r="AA38" s="173"/>
      <c r="AB38" s="163"/>
      <c r="AC38" s="163"/>
      <c r="AD38" s="163"/>
      <c r="AE38" s="163"/>
      <c r="AF38" s="163"/>
      <c r="AG38" s="163"/>
      <c r="AH38" s="167"/>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row>
    <row r="39" spans="1:81" ht="30" x14ac:dyDescent="0.25">
      <c r="A39" s="267" t="s">
        <v>336</v>
      </c>
      <c r="B39" s="223">
        <v>2711</v>
      </c>
      <c r="C39" s="40" t="s">
        <v>252</v>
      </c>
      <c r="D39" s="164" t="s">
        <v>278</v>
      </c>
      <c r="E39" s="164" t="s">
        <v>253</v>
      </c>
      <c r="F39" s="222"/>
      <c r="G39" s="164"/>
      <c r="H39" s="164"/>
      <c r="I39" s="164" t="s">
        <v>322</v>
      </c>
      <c r="J39" s="220" t="s">
        <v>236</v>
      </c>
      <c r="K39" s="220" t="s">
        <v>236</v>
      </c>
      <c r="L39" s="242"/>
      <c r="M39" s="242"/>
      <c r="N39" s="242"/>
      <c r="O39" s="242"/>
      <c r="P39" s="242"/>
      <c r="Q39" s="242"/>
      <c r="R39" s="242"/>
      <c r="S39" s="242"/>
      <c r="T39" s="242"/>
      <c r="U39" s="242"/>
      <c r="V39" s="242"/>
      <c r="W39" s="242"/>
      <c r="X39" s="217" t="s">
        <v>406</v>
      </c>
      <c r="Y39" s="165">
        <v>43584</v>
      </c>
      <c r="Z39" s="143"/>
      <c r="AA39" s="173"/>
      <c r="AB39" s="163"/>
      <c r="AC39" s="163"/>
      <c r="AD39" s="163"/>
      <c r="AE39" s="163"/>
      <c r="AF39" s="163"/>
      <c r="AG39" s="163"/>
      <c r="AH39" s="167"/>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row>
    <row r="40" spans="1:81" ht="30" x14ac:dyDescent="0.25">
      <c r="A40" s="267" t="s">
        <v>338</v>
      </c>
      <c r="B40" s="223">
        <v>2712</v>
      </c>
      <c r="C40" s="40" t="s">
        <v>247</v>
      </c>
      <c r="D40" s="164" t="s">
        <v>350</v>
      </c>
      <c r="E40" s="164" t="s">
        <v>254</v>
      </c>
      <c r="F40" s="222" t="s">
        <v>72</v>
      </c>
      <c r="G40" s="164" t="s">
        <v>348</v>
      </c>
      <c r="H40" s="164" t="s">
        <v>263</v>
      </c>
      <c r="I40" s="164" t="s">
        <v>324</v>
      </c>
      <c r="J40" s="220" t="s">
        <v>238</v>
      </c>
      <c r="K40" s="220" t="s">
        <v>236</v>
      </c>
      <c r="L40" s="255"/>
      <c r="M40" s="255"/>
      <c r="N40" s="242"/>
      <c r="O40" s="242"/>
      <c r="P40" s="242"/>
      <c r="Q40" s="242" t="s">
        <v>409</v>
      </c>
      <c r="R40" s="242" t="s">
        <v>410</v>
      </c>
      <c r="S40" s="263" t="s">
        <v>411</v>
      </c>
      <c r="T40" s="263"/>
      <c r="U40" s="242" t="s">
        <v>412</v>
      </c>
      <c r="V40" s="242" t="s">
        <v>413</v>
      </c>
      <c r="W40" s="263" t="s">
        <v>414</v>
      </c>
      <c r="X40" s="217" t="s">
        <v>415</v>
      </c>
      <c r="Y40" s="128">
        <v>43662</v>
      </c>
      <c r="Z40" s="143"/>
      <c r="AA40" s="173"/>
      <c r="AB40" s="163"/>
      <c r="AC40" s="163"/>
      <c r="AD40" s="163"/>
      <c r="AE40" s="163"/>
      <c r="AF40" s="163"/>
      <c r="AG40" s="163"/>
      <c r="AH40" s="167"/>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row>
    <row r="41" spans="1:81" ht="30" x14ac:dyDescent="0.25">
      <c r="A41" s="267" t="s">
        <v>335</v>
      </c>
      <c r="B41" s="223">
        <v>2713</v>
      </c>
      <c r="C41" s="40" t="s">
        <v>325</v>
      </c>
      <c r="D41" s="164" t="s">
        <v>326</v>
      </c>
      <c r="E41" s="164" t="s">
        <v>327</v>
      </c>
      <c r="F41" s="222"/>
      <c r="G41" s="164"/>
      <c r="H41" s="164" t="s">
        <v>260</v>
      </c>
      <c r="I41" s="164" t="s">
        <v>328</v>
      </c>
      <c r="J41" s="220" t="s">
        <v>238</v>
      </c>
      <c r="K41" s="220" t="s">
        <v>238</v>
      </c>
      <c r="L41" s="206">
        <v>43679</v>
      </c>
      <c r="M41" s="242"/>
      <c r="N41" s="249">
        <v>43693</v>
      </c>
      <c r="O41" s="206">
        <v>43685</v>
      </c>
      <c r="P41" s="206">
        <v>43700</v>
      </c>
      <c r="Q41" s="242">
        <v>43720</v>
      </c>
      <c r="R41" s="242">
        <v>43725</v>
      </c>
      <c r="S41" s="206">
        <v>43728</v>
      </c>
      <c r="T41" s="206"/>
      <c r="U41" s="242">
        <v>43731</v>
      </c>
      <c r="V41" s="242">
        <v>43756</v>
      </c>
      <c r="W41" s="206">
        <v>43777</v>
      </c>
      <c r="X41" s="217" t="s">
        <v>347</v>
      </c>
      <c r="Y41" s="128"/>
      <c r="Z41" s="143"/>
      <c r="AA41" s="173"/>
      <c r="AB41" s="163"/>
      <c r="AC41" s="163"/>
      <c r="AD41" s="163"/>
      <c r="AE41" s="163"/>
      <c r="AF41" s="163"/>
      <c r="AG41" s="163"/>
      <c r="AH41" s="167"/>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row>
    <row r="42" spans="1:81" ht="30" x14ac:dyDescent="0.25">
      <c r="A42" s="267" t="s">
        <v>334</v>
      </c>
      <c r="B42" s="223">
        <v>2714</v>
      </c>
      <c r="C42" s="40" t="s">
        <v>248</v>
      </c>
      <c r="D42" s="164"/>
      <c r="E42" s="164" t="s">
        <v>254</v>
      </c>
      <c r="F42" s="222"/>
      <c r="G42" s="164"/>
      <c r="H42" s="164" t="s">
        <v>333</v>
      </c>
      <c r="I42" s="164" t="s">
        <v>387</v>
      </c>
      <c r="J42" s="220" t="s">
        <v>238</v>
      </c>
      <c r="K42" s="220" t="s">
        <v>237</v>
      </c>
      <c r="L42" s="242"/>
      <c r="M42" s="242"/>
      <c r="N42" s="242">
        <v>43677</v>
      </c>
      <c r="O42" s="242">
        <v>43685</v>
      </c>
      <c r="P42" s="242">
        <v>43713</v>
      </c>
      <c r="Q42" s="242">
        <v>43748</v>
      </c>
      <c r="R42" s="242">
        <v>43755</v>
      </c>
      <c r="S42" s="242">
        <v>43759</v>
      </c>
      <c r="T42" s="242"/>
      <c r="U42" s="242">
        <v>43767</v>
      </c>
      <c r="V42" s="242">
        <v>43819</v>
      </c>
      <c r="W42" s="242">
        <v>43490</v>
      </c>
      <c r="X42" s="217" t="s">
        <v>360</v>
      </c>
      <c r="Y42" s="128"/>
      <c r="Z42" s="143"/>
      <c r="AA42" s="173"/>
      <c r="AB42" s="163"/>
      <c r="AC42" s="163"/>
      <c r="AD42" s="163"/>
      <c r="AE42" s="163"/>
      <c r="AF42" s="163"/>
      <c r="AG42" s="163"/>
      <c r="AH42" s="167"/>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row>
    <row r="43" spans="1:81" ht="45" x14ac:dyDescent="0.25">
      <c r="A43" s="266"/>
      <c r="B43" s="223">
        <v>2715</v>
      </c>
      <c r="C43" s="40" t="s">
        <v>373</v>
      </c>
      <c r="D43" s="164"/>
      <c r="E43" s="164"/>
      <c r="F43" s="222"/>
      <c r="G43" s="164"/>
      <c r="H43" s="164"/>
      <c r="I43" s="164" t="s">
        <v>329</v>
      </c>
      <c r="J43" s="220" t="s">
        <v>236</v>
      </c>
      <c r="K43" s="220" t="s">
        <v>236</v>
      </c>
      <c r="L43" s="242"/>
      <c r="M43" s="242"/>
      <c r="N43" s="242"/>
      <c r="O43" s="242"/>
      <c r="P43" s="242"/>
      <c r="Q43" s="242"/>
      <c r="R43" s="242"/>
      <c r="S43" s="242"/>
      <c r="T43" s="242"/>
      <c r="U43" s="242">
        <v>43696</v>
      </c>
      <c r="V43" s="242">
        <v>43707</v>
      </c>
      <c r="W43" s="242"/>
      <c r="X43" s="217" t="s">
        <v>401</v>
      </c>
      <c r="Y43" s="128"/>
      <c r="Z43" s="143"/>
      <c r="AA43" s="173"/>
      <c r="AB43" s="163"/>
      <c r="AC43" s="163"/>
      <c r="AD43" s="163"/>
      <c r="AE43" s="163"/>
      <c r="AF43" s="163"/>
      <c r="AG43" s="163"/>
      <c r="AH43" s="167"/>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row>
    <row r="44" spans="1:81" ht="30" x14ac:dyDescent="0.25">
      <c r="A44" s="252" t="s">
        <v>246</v>
      </c>
      <c r="B44" s="223">
        <v>2717</v>
      </c>
      <c r="C44" s="164" t="s">
        <v>264</v>
      </c>
      <c r="D44" s="164" t="s">
        <v>278</v>
      </c>
      <c r="E44" s="164" t="s">
        <v>253</v>
      </c>
      <c r="F44" s="164"/>
      <c r="G44" s="164" t="s">
        <v>348</v>
      </c>
      <c r="H44" s="164"/>
      <c r="I44" s="164" t="s">
        <v>385</v>
      </c>
      <c r="J44" s="220" t="s">
        <v>236</v>
      </c>
      <c r="K44" s="220" t="s">
        <v>306</v>
      </c>
      <c r="L44" s="242"/>
      <c r="M44" s="242" t="s">
        <v>436</v>
      </c>
      <c r="N44" s="242" t="s">
        <v>437</v>
      </c>
      <c r="O44" s="242" t="s">
        <v>438</v>
      </c>
      <c r="P44" s="242" t="s">
        <v>439</v>
      </c>
      <c r="Q44" s="242" t="s">
        <v>440</v>
      </c>
      <c r="R44" s="242" t="s">
        <v>441</v>
      </c>
      <c r="S44" s="242" t="s">
        <v>442</v>
      </c>
      <c r="T44" s="242" t="s">
        <v>67</v>
      </c>
      <c r="U44" s="242" t="s">
        <v>443</v>
      </c>
      <c r="V44" s="242" t="s">
        <v>444</v>
      </c>
      <c r="W44" s="242" t="s">
        <v>445</v>
      </c>
      <c r="X44" s="216" t="s">
        <v>446</v>
      </c>
      <c r="Y44" s="128">
        <v>43676</v>
      </c>
      <c r="Z44" s="143" t="s">
        <v>297</v>
      </c>
      <c r="AA44" s="173"/>
      <c r="AB44" s="163"/>
      <c r="AC44" s="163"/>
      <c r="AD44" s="163"/>
      <c r="AE44" s="163"/>
      <c r="AF44" s="163"/>
      <c r="AG44" s="163"/>
      <c r="AH44" s="167"/>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row>
    <row r="45" spans="1:81" ht="30" x14ac:dyDescent="0.25">
      <c r="A45" s="265"/>
      <c r="B45" s="226">
        <v>2719</v>
      </c>
      <c r="C45" s="40" t="s">
        <v>248</v>
      </c>
      <c r="D45" s="40"/>
      <c r="E45" s="40" t="s">
        <v>254</v>
      </c>
      <c r="F45" s="230"/>
      <c r="G45" s="230"/>
      <c r="H45" s="230"/>
      <c r="I45" s="40" t="s">
        <v>386</v>
      </c>
      <c r="J45" s="235" t="s">
        <v>236</v>
      </c>
      <c r="K45" s="235" t="s">
        <v>236</v>
      </c>
      <c r="L45" s="243"/>
      <c r="M45" s="247"/>
      <c r="N45" s="243"/>
      <c r="O45" s="243"/>
      <c r="P45" s="243"/>
      <c r="Q45" s="247"/>
      <c r="R45" s="243"/>
      <c r="S45" s="247"/>
      <c r="T45" s="238"/>
      <c r="U45" s="243"/>
      <c r="V45" s="243"/>
      <c r="W45" s="238">
        <v>43701</v>
      </c>
      <c r="X45" s="216" t="s">
        <v>359</v>
      </c>
      <c r="Y45" s="232"/>
      <c r="Z45" s="233"/>
      <c r="AA45" s="173"/>
      <c r="AB45" s="163"/>
      <c r="AC45" s="163"/>
      <c r="AD45" s="163"/>
      <c r="AE45" s="163"/>
      <c r="AF45" s="163"/>
      <c r="AG45" s="163"/>
      <c r="AH45" s="167"/>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row>
    <row r="46" spans="1:81" ht="30" x14ac:dyDescent="0.25">
      <c r="A46" s="265"/>
      <c r="B46" s="226">
        <v>2720</v>
      </c>
      <c r="C46" s="40" t="s">
        <v>248</v>
      </c>
      <c r="D46" s="40"/>
      <c r="E46" s="40" t="s">
        <v>254</v>
      </c>
      <c r="F46" s="230"/>
      <c r="G46" s="230"/>
      <c r="H46" s="230"/>
      <c r="I46" s="40" t="s">
        <v>388</v>
      </c>
      <c r="J46" s="235" t="s">
        <v>238</v>
      </c>
      <c r="K46" s="235" t="s">
        <v>237</v>
      </c>
      <c r="L46" s="251">
        <v>43684</v>
      </c>
      <c r="M46" s="238">
        <v>43691</v>
      </c>
      <c r="N46" s="251">
        <v>43700</v>
      </c>
      <c r="O46" s="251">
        <v>43707</v>
      </c>
      <c r="P46" s="243">
        <v>43734</v>
      </c>
      <c r="Q46" s="247">
        <v>43777</v>
      </c>
      <c r="R46" s="243">
        <v>43784</v>
      </c>
      <c r="S46" s="238">
        <v>43794</v>
      </c>
      <c r="T46" s="238"/>
      <c r="U46" s="243">
        <v>43820</v>
      </c>
      <c r="V46" s="243">
        <v>43825</v>
      </c>
      <c r="W46" s="238">
        <v>43856</v>
      </c>
      <c r="X46" s="216"/>
      <c r="Y46" s="232"/>
      <c r="Z46" s="233"/>
      <c r="AA46" s="173"/>
      <c r="AB46" s="163"/>
      <c r="AC46" s="163"/>
      <c r="AD46" s="163"/>
      <c r="AE46" s="163"/>
      <c r="AF46" s="163"/>
      <c r="AG46" s="163"/>
      <c r="AH46" s="167"/>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row>
    <row r="47" spans="1:81" ht="45.6" x14ac:dyDescent="0.25">
      <c r="A47" s="265"/>
      <c r="B47" s="226">
        <v>2721</v>
      </c>
      <c r="C47" s="40" t="s">
        <v>301</v>
      </c>
      <c r="D47" s="40" t="s">
        <v>320</v>
      </c>
      <c r="E47" s="40" t="s">
        <v>254</v>
      </c>
      <c r="F47" s="230"/>
      <c r="G47" s="230"/>
      <c r="H47" s="230"/>
      <c r="I47" s="40" t="s">
        <v>389</v>
      </c>
      <c r="J47" s="235" t="s">
        <v>238</v>
      </c>
      <c r="K47" s="235" t="s">
        <v>238</v>
      </c>
      <c r="L47" s="243"/>
      <c r="M47" s="243"/>
      <c r="N47" s="251">
        <v>43692</v>
      </c>
      <c r="O47" s="251">
        <v>43707</v>
      </c>
      <c r="P47" s="251">
        <v>43745</v>
      </c>
      <c r="Q47" s="260" t="s">
        <v>362</v>
      </c>
      <c r="R47" s="243">
        <v>43809</v>
      </c>
      <c r="S47" s="258" t="s">
        <v>363</v>
      </c>
      <c r="T47" s="257"/>
      <c r="U47" s="243" t="s">
        <v>72</v>
      </c>
      <c r="V47" s="243" t="s">
        <v>72</v>
      </c>
      <c r="W47" s="238">
        <v>43525</v>
      </c>
      <c r="X47" s="216"/>
      <c r="Y47" s="128">
        <v>43654</v>
      </c>
      <c r="Z47" s="233"/>
      <c r="AA47" s="173"/>
      <c r="AB47" s="163"/>
      <c r="AC47" s="163"/>
      <c r="AD47" s="163"/>
      <c r="AE47" s="163"/>
      <c r="AF47" s="163"/>
      <c r="AG47" s="163"/>
      <c r="AH47" s="167"/>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row>
    <row r="48" spans="1:81" ht="30" x14ac:dyDescent="0.25">
      <c r="A48" s="265"/>
      <c r="B48" s="226">
        <v>2722</v>
      </c>
      <c r="C48" s="40" t="s">
        <v>325</v>
      </c>
      <c r="D48" s="40" t="s">
        <v>350</v>
      </c>
      <c r="E48" s="40" t="s">
        <v>381</v>
      </c>
      <c r="F48" s="230"/>
      <c r="G48" s="230"/>
      <c r="H48" s="230"/>
      <c r="I48" s="40" t="s">
        <v>400</v>
      </c>
      <c r="J48" s="235" t="s">
        <v>236</v>
      </c>
      <c r="K48" s="235" t="s">
        <v>236</v>
      </c>
      <c r="L48" s="251">
        <v>43686</v>
      </c>
      <c r="M48" s="238">
        <v>43700</v>
      </c>
      <c r="N48" s="251">
        <v>43721</v>
      </c>
      <c r="O48" s="251">
        <v>43728</v>
      </c>
      <c r="P48" s="251">
        <v>43756</v>
      </c>
      <c r="Q48" s="243">
        <v>43776</v>
      </c>
      <c r="R48" s="243">
        <v>43781</v>
      </c>
      <c r="S48" s="251">
        <v>43784</v>
      </c>
      <c r="T48" s="251"/>
      <c r="U48" s="243">
        <v>43787</v>
      </c>
      <c r="V48" s="243">
        <v>43819</v>
      </c>
      <c r="W48" s="238">
        <v>43482</v>
      </c>
      <c r="X48" s="216"/>
      <c r="Y48" s="128"/>
      <c r="Z48" s="233"/>
      <c r="AA48" s="173"/>
      <c r="AB48" s="163"/>
      <c r="AC48" s="163"/>
      <c r="AD48" s="163"/>
      <c r="AE48" s="163"/>
      <c r="AF48" s="163"/>
      <c r="AG48" s="163"/>
      <c r="AH48" s="167"/>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row>
    <row r="49" spans="1:81" ht="30" x14ac:dyDescent="0.25">
      <c r="A49" s="265"/>
      <c r="B49" s="229">
        <v>2723</v>
      </c>
      <c r="C49" s="40" t="s">
        <v>247</v>
      </c>
      <c r="D49" s="40" t="s">
        <v>259</v>
      </c>
      <c r="E49" s="40" t="s">
        <v>254</v>
      </c>
      <c r="F49" s="40" t="s">
        <v>72</v>
      </c>
      <c r="G49" s="230"/>
      <c r="H49" s="40" t="s">
        <v>260</v>
      </c>
      <c r="I49" s="40" t="s">
        <v>382</v>
      </c>
      <c r="J49" s="235" t="s">
        <v>238</v>
      </c>
      <c r="K49" s="235" t="s">
        <v>238</v>
      </c>
      <c r="L49" s="238">
        <v>43686</v>
      </c>
      <c r="M49" s="238">
        <v>43693</v>
      </c>
      <c r="N49" s="238">
        <v>43721</v>
      </c>
      <c r="O49" s="238">
        <v>43728</v>
      </c>
      <c r="P49" s="238">
        <v>43747</v>
      </c>
      <c r="Q49" s="247">
        <v>43783</v>
      </c>
      <c r="R49" s="247">
        <v>43787</v>
      </c>
      <c r="S49" s="238">
        <v>43791</v>
      </c>
      <c r="T49" s="238"/>
      <c r="U49" s="247">
        <v>43794</v>
      </c>
      <c r="V49" s="247">
        <v>43819</v>
      </c>
      <c r="W49" s="238">
        <v>43481</v>
      </c>
      <c r="X49" s="216" t="s">
        <v>372</v>
      </c>
      <c r="Y49" s="232">
        <v>43643</v>
      </c>
      <c r="Z49" s="233"/>
      <c r="AA49" s="173"/>
      <c r="AB49" s="163"/>
      <c r="AC49" s="163"/>
      <c r="AD49" s="163"/>
      <c r="AE49" s="163"/>
      <c r="AF49" s="163"/>
      <c r="AG49" s="163"/>
      <c r="AH49" s="167"/>
      <c r="AJ49" s="168">
        <f>SUM(AK49:AT49)</f>
        <v>209</v>
      </c>
      <c r="AK49" s="169">
        <v>23</v>
      </c>
      <c r="AL49" s="169">
        <v>17</v>
      </c>
      <c r="AM49" s="169">
        <v>3</v>
      </c>
      <c r="AN49" s="169">
        <v>1.5</v>
      </c>
      <c r="AO49" s="169">
        <v>26</v>
      </c>
      <c r="AP49" s="169">
        <v>8.5</v>
      </c>
      <c r="AQ49" s="169">
        <v>0</v>
      </c>
      <c r="AR49" s="169">
        <v>90</v>
      </c>
      <c r="AS49" s="169">
        <v>0</v>
      </c>
      <c r="AT49" s="169">
        <v>40</v>
      </c>
      <c r="AU49" s="168">
        <f>SUM(AV49:BE49)</f>
        <v>219</v>
      </c>
      <c r="AV49" s="169">
        <v>23</v>
      </c>
      <c r="AW49" s="169">
        <v>17</v>
      </c>
      <c r="AX49" s="169">
        <v>5</v>
      </c>
      <c r="AY49" s="169">
        <v>1.5</v>
      </c>
      <c r="AZ49" s="169">
        <v>26</v>
      </c>
      <c r="BA49" s="169">
        <v>13.5</v>
      </c>
      <c r="BB49" s="169">
        <v>3</v>
      </c>
      <c r="BC49" s="169">
        <v>90</v>
      </c>
      <c r="BD49" s="169">
        <v>0</v>
      </c>
      <c r="BE49" s="169">
        <v>40</v>
      </c>
      <c r="BF49" s="168">
        <f>SUM(BG49:BP49)</f>
        <v>153</v>
      </c>
      <c r="BG49" s="169">
        <v>5</v>
      </c>
      <c r="BH49" s="169">
        <v>0</v>
      </c>
      <c r="BI49" s="169">
        <v>0</v>
      </c>
      <c r="BJ49" s="169">
        <v>1.5</v>
      </c>
      <c r="BK49" s="169">
        <v>0</v>
      </c>
      <c r="BL49" s="169">
        <v>13.5</v>
      </c>
      <c r="BM49" s="169">
        <v>3</v>
      </c>
      <c r="BN49" s="169">
        <v>90</v>
      </c>
      <c r="BO49" s="169">
        <v>0</v>
      </c>
      <c r="BP49" s="169">
        <v>40</v>
      </c>
      <c r="BQ49" s="168">
        <f>SUM(BR49:CB49)</f>
        <v>72.2</v>
      </c>
      <c r="BR49" s="169">
        <v>12</v>
      </c>
      <c r="BS49" s="169">
        <v>22</v>
      </c>
      <c r="BT49" s="169">
        <v>1</v>
      </c>
      <c r="BU49" s="169">
        <v>0</v>
      </c>
      <c r="BV49" s="169">
        <v>36.700000000000003</v>
      </c>
      <c r="BW49" s="169">
        <v>0</v>
      </c>
      <c r="BX49" s="169">
        <v>0</v>
      </c>
      <c r="BY49" s="169">
        <v>0.5</v>
      </c>
      <c r="BZ49" s="169">
        <v>0</v>
      </c>
      <c r="CA49" s="169">
        <v>0</v>
      </c>
      <c r="CB49" s="169">
        <v>0</v>
      </c>
      <c r="CC49" s="169"/>
    </row>
    <row r="50" spans="1:81" ht="75" x14ac:dyDescent="0.25">
      <c r="A50" s="245" t="s">
        <v>215</v>
      </c>
      <c r="B50" s="223">
        <v>2724</v>
      </c>
      <c r="C50" s="164" t="s">
        <v>264</v>
      </c>
      <c r="D50" s="40" t="s">
        <v>268</v>
      </c>
      <c r="E50" s="164" t="s">
        <v>254</v>
      </c>
      <c r="F50" s="222"/>
      <c r="G50" s="164"/>
      <c r="H50" s="164"/>
      <c r="I50" s="164" t="s">
        <v>383</v>
      </c>
      <c r="J50" s="235" t="s">
        <v>236</v>
      </c>
      <c r="K50" s="235" t="s">
        <v>236</v>
      </c>
      <c r="L50" s="242">
        <v>43683</v>
      </c>
      <c r="M50" s="242">
        <v>43686</v>
      </c>
      <c r="N50" s="242">
        <v>43700</v>
      </c>
      <c r="O50" s="242">
        <v>43707</v>
      </c>
      <c r="P50" s="242">
        <v>43721</v>
      </c>
      <c r="Q50" s="242" t="s">
        <v>397</v>
      </c>
      <c r="R50" s="242" t="s">
        <v>396</v>
      </c>
      <c r="S50" s="242">
        <v>43733</v>
      </c>
      <c r="T50" s="206"/>
      <c r="U50" s="242" t="s">
        <v>398</v>
      </c>
      <c r="V50" s="242">
        <v>43742</v>
      </c>
      <c r="W50" s="242">
        <v>43763</v>
      </c>
      <c r="X50" s="217" t="s">
        <v>399</v>
      </c>
      <c r="Y50" s="128">
        <v>43676</v>
      </c>
      <c r="Z50" s="143" t="s">
        <v>297</v>
      </c>
      <c r="AA50" s="173"/>
      <c r="AB50" s="163"/>
      <c r="AC50" s="163"/>
      <c r="AD50" s="163"/>
      <c r="AE50" s="163"/>
      <c r="AF50" s="163"/>
      <c r="AG50" s="163"/>
      <c r="AH50" s="167"/>
      <c r="AJ50" s="168">
        <f>SUM(AK50:AT50)</f>
        <v>209</v>
      </c>
      <c r="AK50" s="169">
        <v>23</v>
      </c>
      <c r="AL50" s="169">
        <v>17</v>
      </c>
      <c r="AM50" s="169">
        <v>3</v>
      </c>
      <c r="AN50" s="169">
        <v>1.5</v>
      </c>
      <c r="AO50" s="169">
        <v>26</v>
      </c>
      <c r="AP50" s="169">
        <v>8.5</v>
      </c>
      <c r="AQ50" s="169">
        <v>0</v>
      </c>
      <c r="AR50" s="169">
        <v>90</v>
      </c>
      <c r="AS50" s="169">
        <v>0</v>
      </c>
      <c r="AT50" s="169">
        <v>40</v>
      </c>
      <c r="AU50" s="168">
        <f>SUM(AV50:BE50)</f>
        <v>219</v>
      </c>
      <c r="AV50" s="169">
        <v>23</v>
      </c>
      <c r="AW50" s="169">
        <v>17</v>
      </c>
      <c r="AX50" s="169">
        <v>5</v>
      </c>
      <c r="AY50" s="169">
        <v>1.5</v>
      </c>
      <c r="AZ50" s="169">
        <v>26</v>
      </c>
      <c r="BA50" s="169">
        <v>13.5</v>
      </c>
      <c r="BB50" s="169">
        <v>3</v>
      </c>
      <c r="BC50" s="169">
        <v>90</v>
      </c>
      <c r="BD50" s="169">
        <v>0</v>
      </c>
      <c r="BE50" s="169">
        <v>40</v>
      </c>
      <c r="BF50" s="168">
        <f>SUM(BG50:BP50)</f>
        <v>153</v>
      </c>
      <c r="BG50" s="169">
        <v>5</v>
      </c>
      <c r="BH50" s="169">
        <v>0</v>
      </c>
      <c r="BI50" s="169">
        <v>0</v>
      </c>
      <c r="BJ50" s="169">
        <v>1.5</v>
      </c>
      <c r="BK50" s="169">
        <v>0</v>
      </c>
      <c r="BL50" s="169">
        <v>13.5</v>
      </c>
      <c r="BM50" s="169">
        <v>3</v>
      </c>
      <c r="BN50" s="169">
        <v>90</v>
      </c>
      <c r="BO50" s="169">
        <v>0</v>
      </c>
      <c r="BP50" s="169">
        <v>40</v>
      </c>
      <c r="BQ50" s="168">
        <f>SUM(BR50:CB50)</f>
        <v>72.2</v>
      </c>
      <c r="BR50" s="169">
        <v>12</v>
      </c>
      <c r="BS50" s="169">
        <v>22</v>
      </c>
      <c r="BT50" s="169">
        <v>1</v>
      </c>
      <c r="BU50" s="169">
        <v>0</v>
      </c>
      <c r="BV50" s="169">
        <v>36.700000000000003</v>
      </c>
      <c r="BW50" s="169">
        <v>0</v>
      </c>
      <c r="BX50" s="169">
        <v>0</v>
      </c>
      <c r="BY50" s="169">
        <v>0.5</v>
      </c>
      <c r="BZ50" s="169">
        <v>0</v>
      </c>
      <c r="CA50" s="169">
        <v>0</v>
      </c>
      <c r="CB50" s="169">
        <v>0</v>
      </c>
      <c r="CC50" s="169"/>
    </row>
    <row r="51" spans="1:81" ht="45" x14ac:dyDescent="0.25">
      <c r="A51" s="245" t="s">
        <v>215</v>
      </c>
      <c r="B51" s="223">
        <v>2725</v>
      </c>
      <c r="C51" s="164" t="s">
        <v>264</v>
      </c>
      <c r="D51" s="40"/>
      <c r="E51" s="164" t="s">
        <v>254</v>
      </c>
      <c r="F51" s="222"/>
      <c r="G51" s="164"/>
      <c r="H51" s="164"/>
      <c r="I51" s="164" t="s">
        <v>452</v>
      </c>
      <c r="J51" s="235"/>
      <c r="K51" s="235"/>
      <c r="L51" s="242" t="s">
        <v>72</v>
      </c>
      <c r="M51" s="206">
        <v>43707</v>
      </c>
      <c r="N51" s="242" t="s">
        <v>72</v>
      </c>
      <c r="O51" s="242" t="s">
        <v>72</v>
      </c>
      <c r="P51" s="206" t="s">
        <v>453</v>
      </c>
      <c r="Q51" s="242" t="s">
        <v>72</v>
      </c>
      <c r="R51" s="242" t="s">
        <v>72</v>
      </c>
      <c r="S51" s="206">
        <v>43740</v>
      </c>
      <c r="T51" s="206"/>
      <c r="U51" s="242" t="s">
        <v>72</v>
      </c>
      <c r="V51" s="242" t="s">
        <v>454</v>
      </c>
      <c r="W51" s="206">
        <v>43763</v>
      </c>
      <c r="X51" s="217"/>
      <c r="Y51" s="128">
        <v>43676</v>
      </c>
      <c r="Z51" s="143" t="s">
        <v>455</v>
      </c>
      <c r="AA51" s="173"/>
      <c r="AB51" s="163"/>
      <c r="AC51" s="163"/>
      <c r="AD51" s="163"/>
      <c r="AE51" s="163"/>
      <c r="AF51" s="163"/>
      <c r="AG51" s="163"/>
      <c r="AH51" s="167"/>
      <c r="AJ51" s="168">
        <f>SUM(AK51:AT51)</f>
        <v>209</v>
      </c>
      <c r="AK51" s="169">
        <v>23</v>
      </c>
      <c r="AL51" s="169">
        <v>17</v>
      </c>
      <c r="AM51" s="169">
        <v>3</v>
      </c>
      <c r="AN51" s="169">
        <v>1.5</v>
      </c>
      <c r="AO51" s="169">
        <v>26</v>
      </c>
      <c r="AP51" s="169">
        <v>8.5</v>
      </c>
      <c r="AQ51" s="169">
        <v>0</v>
      </c>
      <c r="AR51" s="169">
        <v>90</v>
      </c>
      <c r="AS51" s="169">
        <v>0</v>
      </c>
      <c r="AT51" s="169">
        <v>40</v>
      </c>
      <c r="AU51" s="168">
        <f>SUM(AV51:BE51)</f>
        <v>219</v>
      </c>
      <c r="AV51" s="169">
        <v>23</v>
      </c>
      <c r="AW51" s="169">
        <v>17</v>
      </c>
      <c r="AX51" s="169">
        <v>5</v>
      </c>
      <c r="AY51" s="169">
        <v>1.5</v>
      </c>
      <c r="AZ51" s="169">
        <v>26</v>
      </c>
      <c r="BA51" s="169">
        <v>13.5</v>
      </c>
      <c r="BB51" s="169">
        <v>3</v>
      </c>
      <c r="BC51" s="169">
        <v>90</v>
      </c>
      <c r="BD51" s="169">
        <v>0</v>
      </c>
      <c r="BE51" s="169">
        <v>40</v>
      </c>
      <c r="BF51" s="168">
        <f>SUM(BG51:BP51)</f>
        <v>153</v>
      </c>
      <c r="BG51" s="169">
        <v>5</v>
      </c>
      <c r="BH51" s="169">
        <v>0</v>
      </c>
      <c r="BI51" s="169">
        <v>0</v>
      </c>
      <c r="BJ51" s="169">
        <v>1.5</v>
      </c>
      <c r="BK51" s="169">
        <v>0</v>
      </c>
      <c r="BL51" s="169">
        <v>13.5</v>
      </c>
      <c r="BM51" s="169">
        <v>3</v>
      </c>
      <c r="BN51" s="169">
        <v>90</v>
      </c>
      <c r="BO51" s="169">
        <v>0</v>
      </c>
      <c r="BP51" s="169">
        <v>40</v>
      </c>
      <c r="BQ51" s="168">
        <f>SUM(BR51:CB51)</f>
        <v>72.2</v>
      </c>
      <c r="BR51" s="169">
        <v>12</v>
      </c>
      <c r="BS51" s="169">
        <v>22</v>
      </c>
      <c r="BT51" s="169">
        <v>1</v>
      </c>
      <c r="BU51" s="169">
        <v>0</v>
      </c>
      <c r="BV51" s="169">
        <v>36.700000000000003</v>
      </c>
      <c r="BW51" s="169">
        <v>0</v>
      </c>
      <c r="BX51" s="169">
        <v>0</v>
      </c>
      <c r="BY51" s="169">
        <v>0.5</v>
      </c>
      <c r="BZ51" s="169">
        <v>0</v>
      </c>
      <c r="CA51" s="169">
        <v>0</v>
      </c>
      <c r="CB51" s="169">
        <v>0</v>
      </c>
      <c r="CC51" s="169"/>
    </row>
    <row r="52" spans="1:81" ht="38.700000000000003" customHeight="1" x14ac:dyDescent="0.25">
      <c r="A52" s="245"/>
      <c r="B52" s="223">
        <v>2726</v>
      </c>
      <c r="C52" s="164" t="s">
        <v>248</v>
      </c>
      <c r="D52" s="40"/>
      <c r="E52" s="164"/>
      <c r="F52" s="222"/>
      <c r="G52" s="164"/>
      <c r="H52" s="164"/>
      <c r="I52" s="164" t="s">
        <v>418</v>
      </c>
      <c r="J52" s="235" t="s">
        <v>236</v>
      </c>
      <c r="K52" s="235" t="s">
        <v>236</v>
      </c>
      <c r="L52" s="206">
        <v>43685</v>
      </c>
      <c r="M52" s="206">
        <v>43685</v>
      </c>
      <c r="N52" s="206">
        <v>43713</v>
      </c>
      <c r="O52" s="206">
        <v>43725</v>
      </c>
      <c r="P52" s="206">
        <v>43749</v>
      </c>
      <c r="Q52" s="242">
        <v>43756</v>
      </c>
      <c r="R52" s="242">
        <v>43756</v>
      </c>
      <c r="S52" s="206">
        <v>43761</v>
      </c>
      <c r="T52" s="206"/>
      <c r="U52" s="242">
        <v>43767</v>
      </c>
      <c r="V52" s="242">
        <v>43777</v>
      </c>
      <c r="W52" s="206">
        <v>43811</v>
      </c>
      <c r="X52" s="217" t="s">
        <v>419</v>
      </c>
      <c r="Y52" s="128"/>
      <c r="Z52" s="143"/>
      <c r="AA52" s="173"/>
      <c r="AB52" s="163"/>
      <c r="AC52" s="163"/>
      <c r="AD52" s="163"/>
      <c r="AE52" s="163"/>
      <c r="AF52" s="163"/>
      <c r="AG52" s="163"/>
      <c r="AH52" s="167"/>
      <c r="AJ52" s="168"/>
      <c r="AK52" s="169"/>
      <c r="AL52" s="169"/>
      <c r="AM52" s="169"/>
      <c r="AN52" s="169"/>
      <c r="AO52" s="169"/>
      <c r="AP52" s="169"/>
      <c r="AQ52" s="169"/>
      <c r="AR52" s="169"/>
      <c r="AS52" s="169"/>
      <c r="AT52" s="169"/>
      <c r="AU52" s="168"/>
      <c r="AV52" s="169"/>
      <c r="AW52" s="169"/>
      <c r="AX52" s="169"/>
      <c r="AY52" s="169"/>
      <c r="AZ52" s="169"/>
      <c r="BA52" s="169"/>
      <c r="BB52" s="169"/>
      <c r="BC52" s="169"/>
      <c r="BD52" s="169"/>
      <c r="BE52" s="169"/>
      <c r="BF52" s="168"/>
      <c r="BG52" s="169"/>
      <c r="BH52" s="169"/>
      <c r="BI52" s="169"/>
      <c r="BJ52" s="169"/>
      <c r="BK52" s="169"/>
      <c r="BL52" s="169"/>
      <c r="BM52" s="169"/>
      <c r="BN52" s="169"/>
      <c r="BO52" s="169"/>
      <c r="BP52" s="169"/>
      <c r="BQ52" s="168"/>
      <c r="BR52" s="169"/>
      <c r="BS52" s="169"/>
      <c r="BT52" s="169"/>
      <c r="BU52" s="169"/>
      <c r="BV52" s="169"/>
      <c r="BW52" s="169"/>
      <c r="BX52" s="169"/>
      <c r="BY52" s="169"/>
      <c r="BZ52" s="169"/>
      <c r="CA52" s="169"/>
      <c r="CB52" s="169"/>
      <c r="CC52" s="169"/>
    </row>
    <row r="53" spans="1:81" ht="38.700000000000003" customHeight="1" x14ac:dyDescent="0.25">
      <c r="A53" s="245"/>
      <c r="B53" s="223">
        <v>2727</v>
      </c>
      <c r="C53" s="164" t="s">
        <v>325</v>
      </c>
      <c r="D53" s="40"/>
      <c r="E53" s="164"/>
      <c r="F53" s="222"/>
      <c r="G53" s="164"/>
      <c r="H53" s="164"/>
      <c r="I53" s="164" t="s">
        <v>426</v>
      </c>
      <c r="J53" s="235"/>
      <c r="K53" s="235" t="s">
        <v>236</v>
      </c>
      <c r="L53" s="206">
        <v>43691</v>
      </c>
      <c r="M53" s="206">
        <v>43691</v>
      </c>
      <c r="N53" s="206">
        <v>11197</v>
      </c>
      <c r="O53" s="206">
        <v>43711</v>
      </c>
      <c r="P53" s="206">
        <v>43721</v>
      </c>
      <c r="Q53" s="242">
        <v>43746</v>
      </c>
      <c r="R53" s="242">
        <v>43747</v>
      </c>
      <c r="S53" s="206">
        <v>43749</v>
      </c>
      <c r="T53" s="206"/>
      <c r="U53" s="242">
        <v>43752</v>
      </c>
      <c r="V53" s="242">
        <v>43777</v>
      </c>
      <c r="W53" s="206">
        <v>43805</v>
      </c>
      <c r="X53" s="217"/>
      <c r="Y53" s="128"/>
      <c r="Z53" s="143"/>
      <c r="AA53" s="173"/>
      <c r="AB53" s="163"/>
      <c r="AC53" s="163"/>
      <c r="AD53" s="163"/>
      <c r="AE53" s="163"/>
      <c r="AF53" s="163"/>
      <c r="AG53" s="163"/>
      <c r="AH53" s="167"/>
      <c r="AJ53" s="168"/>
      <c r="AK53" s="169"/>
      <c r="AL53" s="169"/>
      <c r="AM53" s="169"/>
      <c r="AN53" s="169"/>
      <c r="AO53" s="169"/>
      <c r="AP53" s="169"/>
      <c r="AQ53" s="169"/>
      <c r="AR53" s="169"/>
      <c r="AS53" s="169"/>
      <c r="AT53" s="169"/>
      <c r="AU53" s="168"/>
      <c r="AV53" s="169"/>
      <c r="AW53" s="169"/>
      <c r="AX53" s="169"/>
      <c r="AY53" s="169"/>
      <c r="AZ53" s="169"/>
      <c r="BA53" s="169"/>
      <c r="BB53" s="169"/>
      <c r="BC53" s="169"/>
      <c r="BD53" s="169"/>
      <c r="BE53" s="169"/>
      <c r="BF53" s="168"/>
      <c r="BG53" s="169"/>
      <c r="BH53" s="169"/>
      <c r="BI53" s="169"/>
      <c r="BJ53" s="169"/>
      <c r="BK53" s="169"/>
      <c r="BL53" s="169"/>
      <c r="BM53" s="169"/>
      <c r="BN53" s="169"/>
      <c r="BO53" s="169"/>
      <c r="BP53" s="169"/>
      <c r="BQ53" s="168"/>
      <c r="BR53" s="169"/>
      <c r="BS53" s="169"/>
      <c r="BT53" s="169"/>
      <c r="BU53" s="169"/>
      <c r="BV53" s="169"/>
      <c r="BW53" s="169"/>
      <c r="BX53" s="169"/>
      <c r="BY53" s="169"/>
      <c r="BZ53" s="169"/>
      <c r="CA53" s="169"/>
      <c r="CB53" s="169"/>
      <c r="CC53" s="169"/>
    </row>
    <row r="54" spans="1:81" ht="30" x14ac:dyDescent="0.25">
      <c r="A54" s="245"/>
      <c r="B54" s="256" t="s">
        <v>357</v>
      </c>
      <c r="C54" s="40"/>
      <c r="D54" s="164"/>
      <c r="E54" s="40" t="s">
        <v>254</v>
      </c>
      <c r="F54" s="230"/>
      <c r="G54" s="230"/>
      <c r="H54" s="230"/>
      <c r="I54" s="40" t="s">
        <v>384</v>
      </c>
      <c r="J54" s="235" t="s">
        <v>238</v>
      </c>
      <c r="K54" s="235" t="s">
        <v>238</v>
      </c>
      <c r="L54" s="231"/>
      <c r="M54" s="231"/>
      <c r="N54" s="231"/>
      <c r="O54" s="231"/>
      <c r="P54" s="243">
        <v>43686</v>
      </c>
      <c r="Q54" s="247">
        <v>43700</v>
      </c>
      <c r="R54" s="231"/>
      <c r="S54" s="231"/>
      <c r="T54" s="231"/>
      <c r="U54" s="212"/>
      <c r="V54" s="231"/>
      <c r="W54" s="231"/>
      <c r="X54" s="216"/>
      <c r="Y54" s="232"/>
      <c r="Z54" s="233"/>
      <c r="AA54" s="173"/>
      <c r="AB54" s="163"/>
      <c r="AC54" s="163"/>
      <c r="AD54" s="163"/>
      <c r="AE54" s="163"/>
      <c r="AF54" s="163"/>
      <c r="AG54" s="163"/>
      <c r="AH54" s="167"/>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row>
    <row r="55" spans="1:81" ht="38.25" customHeight="1" x14ac:dyDescent="0.25">
      <c r="A55" s="261"/>
      <c r="B55" s="226" t="s">
        <v>354</v>
      </c>
      <c r="C55" s="40" t="s">
        <v>376</v>
      </c>
      <c r="D55" s="40" t="s">
        <v>256</v>
      </c>
      <c r="E55" s="230"/>
      <c r="F55" s="230"/>
      <c r="G55" s="230"/>
      <c r="H55" s="230"/>
      <c r="I55" s="40" t="s">
        <v>352</v>
      </c>
      <c r="J55" s="235" t="s">
        <v>237</v>
      </c>
      <c r="K55" s="235" t="s">
        <v>237</v>
      </c>
      <c r="L55" s="247">
        <v>43707</v>
      </c>
      <c r="M55" s="247">
        <v>43707</v>
      </c>
      <c r="N55" s="241">
        <v>43781</v>
      </c>
      <c r="O55" s="241">
        <v>43784</v>
      </c>
      <c r="P55" s="241"/>
      <c r="Q55" s="257"/>
      <c r="R55" s="257"/>
      <c r="S55" s="257">
        <v>43789</v>
      </c>
      <c r="T55" s="231" t="e">
        <f>#REF!+7</f>
        <v>#REF!</v>
      </c>
      <c r="U55" s="257">
        <v>43794</v>
      </c>
      <c r="V55" s="257">
        <v>43798</v>
      </c>
      <c r="W55" s="231"/>
      <c r="X55" s="216" t="s">
        <v>449</v>
      </c>
      <c r="Y55" s="232">
        <v>43647</v>
      </c>
      <c r="Z55" s="233"/>
      <c r="AA55" s="173"/>
      <c r="AB55" s="163"/>
      <c r="AC55" s="163"/>
      <c r="AD55" s="163"/>
      <c r="AE55" s="163"/>
      <c r="AF55" s="163"/>
      <c r="AG55" s="163"/>
      <c r="AH55" s="167"/>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row>
    <row r="56" spans="1:81" ht="38.25" customHeight="1" x14ac:dyDescent="0.25">
      <c r="A56" s="261"/>
      <c r="B56" s="226" t="s">
        <v>353</v>
      </c>
      <c r="C56" s="40" t="s">
        <v>376</v>
      </c>
      <c r="D56" s="230"/>
      <c r="E56" s="230"/>
      <c r="F56" s="230"/>
      <c r="G56" s="230"/>
      <c r="H56" s="230"/>
      <c r="I56" s="40" t="s">
        <v>351</v>
      </c>
      <c r="J56" s="235" t="s">
        <v>238</v>
      </c>
      <c r="K56" s="235" t="s">
        <v>237</v>
      </c>
      <c r="L56" s="231">
        <v>43707</v>
      </c>
      <c r="M56" s="231">
        <v>43707</v>
      </c>
      <c r="N56" s="243"/>
      <c r="O56" s="241">
        <v>43670</v>
      </c>
      <c r="P56" s="241">
        <v>43665</v>
      </c>
      <c r="Q56" s="247"/>
      <c r="R56" s="247"/>
      <c r="S56" s="257">
        <v>43665</v>
      </c>
      <c r="T56" s="231" t="e">
        <f>#REF!+7</f>
        <v>#REF!</v>
      </c>
      <c r="U56" s="231">
        <v>43794</v>
      </c>
      <c r="V56" s="231">
        <v>43798</v>
      </c>
      <c r="W56" s="231"/>
      <c r="X56" s="248"/>
      <c r="Y56" s="232">
        <v>43675</v>
      </c>
      <c r="Z56" s="233"/>
      <c r="AA56" s="173"/>
      <c r="AB56" s="163"/>
      <c r="AC56" s="163"/>
      <c r="AD56" s="163"/>
      <c r="AE56" s="163"/>
      <c r="AF56" s="163"/>
      <c r="AG56" s="163"/>
      <c r="AH56" s="167"/>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row>
    <row r="57" spans="1:81" ht="30" x14ac:dyDescent="0.25">
      <c r="A57" s="245"/>
      <c r="B57" s="226" t="s">
        <v>342</v>
      </c>
      <c r="C57" s="40" t="s">
        <v>249</v>
      </c>
      <c r="D57" s="164" t="s">
        <v>350</v>
      </c>
      <c r="E57" s="40" t="s">
        <v>254</v>
      </c>
      <c r="F57" s="230"/>
      <c r="G57" s="230"/>
      <c r="H57" s="230"/>
      <c r="I57" s="40" t="s">
        <v>343</v>
      </c>
      <c r="J57" s="235" t="s">
        <v>236</v>
      </c>
      <c r="K57" s="235" t="s">
        <v>236</v>
      </c>
      <c r="L57" s="231"/>
      <c r="M57" s="231"/>
      <c r="N57" s="231"/>
      <c r="O57" s="231"/>
      <c r="P57" s="231"/>
      <c r="Q57" s="231"/>
      <c r="R57" s="231"/>
      <c r="S57" s="231"/>
      <c r="T57" s="231"/>
      <c r="U57" s="212"/>
      <c r="V57" s="231"/>
      <c r="W57" s="231">
        <v>43699</v>
      </c>
      <c r="X57" s="216"/>
      <c r="Y57" s="232">
        <v>43668</v>
      </c>
      <c r="Z57" s="233" t="s">
        <v>395</v>
      </c>
      <c r="AA57" s="173"/>
      <c r="AB57" s="163"/>
      <c r="AC57" s="163"/>
      <c r="AD57" s="163"/>
      <c r="AE57" s="163"/>
      <c r="AF57" s="163"/>
      <c r="AG57" s="163"/>
      <c r="AH57" s="167"/>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row>
    <row r="58" spans="1:81" ht="30" x14ac:dyDescent="0.25">
      <c r="A58" s="252"/>
      <c r="B58" s="226" t="s">
        <v>344</v>
      </c>
      <c r="C58" s="40" t="s">
        <v>376</v>
      </c>
      <c r="D58" s="164" t="s">
        <v>350</v>
      </c>
      <c r="E58" s="40" t="s">
        <v>254</v>
      </c>
      <c r="F58" s="230"/>
      <c r="G58" s="230"/>
      <c r="H58" s="230"/>
      <c r="I58" s="40" t="s">
        <v>345</v>
      </c>
      <c r="J58" s="235" t="s">
        <v>237</v>
      </c>
      <c r="K58" s="235" t="s">
        <v>237</v>
      </c>
      <c r="L58" s="231"/>
      <c r="M58" s="212"/>
      <c r="N58" s="231">
        <v>43678</v>
      </c>
      <c r="O58" s="231"/>
      <c r="P58" s="212">
        <v>43679</v>
      </c>
      <c r="Q58" s="231"/>
      <c r="R58" s="231"/>
      <c r="S58" s="231">
        <v>43679</v>
      </c>
      <c r="T58" s="231"/>
      <c r="U58" s="212">
        <v>43682</v>
      </c>
      <c r="V58" s="231"/>
      <c r="W58" s="231"/>
      <c r="X58" s="216" t="s">
        <v>450</v>
      </c>
      <c r="Y58" s="232">
        <v>43676</v>
      </c>
      <c r="Z58" s="233"/>
      <c r="AA58" s="173"/>
      <c r="AB58" s="163"/>
      <c r="AC58" s="163"/>
      <c r="AD58" s="163"/>
      <c r="AE58" s="163"/>
      <c r="AF58" s="163"/>
      <c r="AG58" s="163"/>
      <c r="AH58" s="167"/>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row>
    <row r="59" spans="1:81" ht="30" x14ac:dyDescent="0.25">
      <c r="A59" s="252" t="s">
        <v>215</v>
      </c>
      <c r="B59" s="223" t="s">
        <v>375</v>
      </c>
      <c r="C59" s="164" t="s">
        <v>376</v>
      </c>
      <c r="D59" s="40" t="s">
        <v>259</v>
      </c>
      <c r="E59" s="262" t="s">
        <v>377</v>
      </c>
      <c r="F59" s="222"/>
      <c r="G59" s="164"/>
      <c r="H59" s="164" t="s">
        <v>244</v>
      </c>
      <c r="I59" s="164" t="s">
        <v>378</v>
      </c>
      <c r="J59" s="235" t="s">
        <v>237</v>
      </c>
      <c r="K59" s="235" t="s">
        <v>236</v>
      </c>
      <c r="L59" s="205"/>
      <c r="M59" s="255"/>
      <c r="N59" s="255">
        <v>43692</v>
      </c>
      <c r="O59" s="255">
        <v>43697</v>
      </c>
      <c r="P59" s="255"/>
      <c r="Q59" s="255"/>
      <c r="R59" s="255"/>
      <c r="S59" s="255">
        <v>43706</v>
      </c>
      <c r="T59" s="255"/>
      <c r="U59" s="255">
        <v>43710</v>
      </c>
      <c r="V59" s="255"/>
      <c r="W59" s="255"/>
      <c r="X59" s="217" t="s">
        <v>448</v>
      </c>
      <c r="Y59" s="128">
        <v>43668</v>
      </c>
      <c r="Z59" s="143"/>
      <c r="AA59" s="173"/>
      <c r="AB59" s="163"/>
      <c r="AC59" s="163"/>
      <c r="AD59" s="163"/>
      <c r="AE59" s="163"/>
      <c r="AF59" s="163"/>
      <c r="AG59" s="163"/>
      <c r="AH59" s="167"/>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row>
    <row r="60" spans="1:81" ht="15.6" x14ac:dyDescent="0.25">
      <c r="A60" s="252" t="s">
        <v>215</v>
      </c>
      <c r="B60" s="223" t="s">
        <v>416</v>
      </c>
      <c r="C60" s="164" t="s">
        <v>249</v>
      </c>
      <c r="D60" s="40" t="s">
        <v>259</v>
      </c>
      <c r="E60" s="264"/>
      <c r="F60" s="222"/>
      <c r="G60" s="164"/>
      <c r="H60" s="164" t="s">
        <v>244</v>
      </c>
      <c r="I60" s="164" t="s">
        <v>417</v>
      </c>
      <c r="J60" s="235" t="s">
        <v>236</v>
      </c>
      <c r="K60" s="235" t="s">
        <v>236</v>
      </c>
      <c r="L60" s="205"/>
      <c r="M60" s="255"/>
      <c r="N60" s="242">
        <v>43724</v>
      </c>
      <c r="O60" s="242">
        <v>43731</v>
      </c>
      <c r="P60" s="242">
        <v>43735</v>
      </c>
      <c r="Q60" s="255"/>
      <c r="R60" s="255"/>
      <c r="S60" s="255"/>
      <c r="T60" s="255"/>
      <c r="U60" s="255"/>
      <c r="V60" s="255"/>
      <c r="W60" s="255"/>
      <c r="X60" s="217"/>
      <c r="Y60" s="128">
        <v>43663</v>
      </c>
      <c r="Z60" s="143"/>
      <c r="AA60" s="173"/>
      <c r="AB60" s="163"/>
      <c r="AC60" s="163"/>
      <c r="AD60" s="163"/>
      <c r="AE60" s="163"/>
      <c r="AF60" s="163"/>
      <c r="AG60" s="163"/>
      <c r="AH60" s="167"/>
      <c r="AJ60" s="163"/>
      <c r="AK60" s="163"/>
      <c r="AL60" s="163"/>
      <c r="AM60" s="163"/>
      <c r="AN60" s="163"/>
      <c r="AO60" s="163"/>
      <c r="AP60" s="163"/>
      <c r="AQ60" s="163"/>
      <c r="AR60" s="163"/>
      <c r="AS60" s="163"/>
      <c r="AT60" s="163"/>
      <c r="AU60" s="163"/>
      <c r="AV60" s="163"/>
      <c r="AW60" s="163"/>
      <c r="AX60" s="163"/>
      <c r="AY60" s="163"/>
      <c r="AZ60" s="163"/>
      <c r="BA60" s="163"/>
      <c r="BB60" s="163"/>
      <c r="BC60" s="163"/>
      <c r="BD60" s="163"/>
      <c r="BE60" s="163"/>
      <c r="BF60" s="163"/>
      <c r="BG60" s="163"/>
      <c r="BH60" s="163"/>
      <c r="BI60" s="163"/>
      <c r="BJ60" s="163"/>
      <c r="BK60" s="163"/>
      <c r="BL60" s="163"/>
      <c r="BM60" s="163"/>
      <c r="BN60" s="163"/>
      <c r="BO60" s="163"/>
      <c r="BP60" s="163"/>
      <c r="BQ60" s="163"/>
      <c r="BR60" s="163"/>
      <c r="BS60" s="163"/>
      <c r="BT60" s="163"/>
      <c r="BU60" s="163"/>
      <c r="BV60" s="163"/>
      <c r="BW60" s="163"/>
      <c r="BX60" s="163"/>
      <c r="BY60" s="163"/>
      <c r="BZ60" s="163"/>
      <c r="CA60" s="163"/>
      <c r="CB60" s="163"/>
      <c r="CC60" s="163"/>
    </row>
    <row r="61" spans="1:81" ht="30" x14ac:dyDescent="0.25">
      <c r="A61" s="252" t="s">
        <v>215</v>
      </c>
      <c r="B61" s="223" t="s">
        <v>379</v>
      </c>
      <c r="C61" s="164" t="s">
        <v>376</v>
      </c>
      <c r="D61" s="40" t="s">
        <v>350</v>
      </c>
      <c r="E61" s="262" t="s">
        <v>377</v>
      </c>
      <c r="F61" s="222"/>
      <c r="G61" s="164"/>
      <c r="H61" s="164" t="s">
        <v>244</v>
      </c>
      <c r="I61" s="164" t="s">
        <v>380</v>
      </c>
      <c r="J61" s="235" t="s">
        <v>236</v>
      </c>
      <c r="K61" s="235" t="s">
        <v>238</v>
      </c>
      <c r="L61" s="205"/>
      <c r="M61" s="255"/>
      <c r="N61" s="255"/>
      <c r="O61" s="255"/>
      <c r="P61" s="255">
        <v>43678</v>
      </c>
      <c r="Q61" s="255"/>
      <c r="R61" s="255"/>
      <c r="S61" s="255">
        <v>43682</v>
      </c>
      <c r="T61" s="255"/>
      <c r="U61" s="255">
        <v>43696</v>
      </c>
      <c r="V61" s="255">
        <v>43707</v>
      </c>
      <c r="W61" s="255"/>
      <c r="X61" s="217" t="s">
        <v>447</v>
      </c>
      <c r="Y61" s="128">
        <v>43675</v>
      </c>
      <c r="Z61" s="143"/>
      <c r="AA61" s="173"/>
      <c r="AB61" s="163"/>
      <c r="AC61" s="163"/>
      <c r="AD61" s="163"/>
      <c r="AE61" s="163"/>
      <c r="AF61" s="163"/>
      <c r="AG61" s="163"/>
      <c r="AH61" s="167"/>
      <c r="AJ61" s="163"/>
      <c r="AK61" s="163"/>
      <c r="AL61" s="163"/>
      <c r="AM61" s="163"/>
      <c r="AN61" s="163"/>
      <c r="AO61" s="163"/>
      <c r="AP61" s="163"/>
      <c r="AQ61" s="163"/>
      <c r="AR61" s="163"/>
      <c r="AS61" s="163"/>
      <c r="AT61" s="163"/>
      <c r="AU61" s="163"/>
      <c r="AV61" s="163"/>
      <c r="AW61" s="163"/>
      <c r="AX61" s="163"/>
      <c r="AY61" s="163"/>
      <c r="AZ61" s="163"/>
      <c r="BA61" s="163"/>
      <c r="BB61" s="163"/>
      <c r="BC61" s="163"/>
      <c r="BD61" s="163"/>
      <c r="BE61" s="163"/>
      <c r="BF61" s="163"/>
      <c r="BG61" s="163"/>
      <c r="BH61" s="163"/>
      <c r="BI61" s="163"/>
      <c r="BJ61" s="163"/>
      <c r="BK61" s="163"/>
      <c r="BL61" s="163"/>
      <c r="BM61" s="163"/>
      <c r="BN61" s="163"/>
      <c r="BO61" s="163"/>
      <c r="BP61" s="163"/>
      <c r="BQ61" s="163"/>
      <c r="BR61" s="163"/>
      <c r="BS61" s="163"/>
      <c r="BT61" s="163"/>
      <c r="BU61" s="163"/>
      <c r="BV61" s="163"/>
      <c r="BW61" s="163"/>
      <c r="BX61" s="163"/>
      <c r="BY61" s="163"/>
      <c r="BZ61" s="163"/>
      <c r="CA61" s="163"/>
      <c r="CB61" s="163"/>
      <c r="CC61" s="163"/>
    </row>
    <row r="62" spans="1:81" ht="15.6" x14ac:dyDescent="0.25">
      <c r="A62" s="252" t="s">
        <v>215</v>
      </c>
      <c r="B62" s="223" t="s">
        <v>394</v>
      </c>
      <c r="C62" s="164" t="s">
        <v>376</v>
      </c>
      <c r="D62" s="40"/>
      <c r="E62" s="222" t="s">
        <v>381</v>
      </c>
      <c r="F62" s="222"/>
      <c r="G62" s="164"/>
      <c r="H62" s="164" t="s">
        <v>244</v>
      </c>
      <c r="I62" s="164" t="s">
        <v>393</v>
      </c>
      <c r="J62" s="235" t="s">
        <v>238</v>
      </c>
      <c r="K62" s="235" t="s">
        <v>236</v>
      </c>
      <c r="L62" s="205"/>
      <c r="M62" s="255"/>
      <c r="N62" s="255"/>
      <c r="O62" s="255"/>
      <c r="P62" s="255"/>
      <c r="Q62" s="255"/>
      <c r="R62" s="255"/>
      <c r="S62" s="249"/>
      <c r="T62" s="255"/>
      <c r="U62" s="255"/>
      <c r="V62" s="255"/>
      <c r="W62" s="255"/>
      <c r="X62" s="217" t="s">
        <v>451</v>
      </c>
      <c r="Y62" s="128">
        <v>43676</v>
      </c>
      <c r="Z62" s="143"/>
      <c r="AA62" s="173"/>
      <c r="AB62" s="163"/>
      <c r="AC62" s="163"/>
      <c r="AD62" s="163"/>
      <c r="AE62" s="163"/>
      <c r="AF62" s="163"/>
      <c r="AG62" s="163"/>
      <c r="AH62" s="167"/>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3"/>
      <c r="BJ62" s="163"/>
      <c r="BK62" s="163"/>
      <c r="BL62" s="163"/>
      <c r="BM62" s="163"/>
      <c r="BN62" s="163"/>
      <c r="BO62" s="163"/>
      <c r="BP62" s="163"/>
      <c r="BQ62" s="163"/>
      <c r="BR62" s="163"/>
      <c r="BS62" s="163"/>
      <c r="BT62" s="163"/>
      <c r="BU62" s="163"/>
      <c r="BV62" s="163"/>
      <c r="BW62" s="163"/>
      <c r="BX62" s="163"/>
      <c r="BY62" s="163"/>
      <c r="BZ62" s="163"/>
      <c r="CA62" s="163"/>
      <c r="CB62" s="163"/>
      <c r="CC62" s="163"/>
    </row>
    <row r="63" spans="1:81" ht="15.6" x14ac:dyDescent="0.25">
      <c r="B63" s="227"/>
      <c r="C63" s="187"/>
      <c r="D63" s="187"/>
      <c r="E63" s="187"/>
      <c r="F63" s="187"/>
      <c r="G63" s="187"/>
      <c r="H63" s="187"/>
      <c r="I63" s="187"/>
      <c r="J63" s="237"/>
      <c r="K63" s="237"/>
      <c r="L63" s="207"/>
      <c r="M63" s="207"/>
      <c r="N63" s="207"/>
      <c r="O63" s="207"/>
      <c r="P63" s="207"/>
      <c r="Q63" s="207"/>
      <c r="R63" s="207"/>
      <c r="S63" s="207"/>
      <c r="T63" s="207"/>
      <c r="U63" s="207"/>
      <c r="V63" s="207"/>
      <c r="W63" s="207"/>
      <c r="X63" s="218"/>
      <c r="Y63" s="163"/>
      <c r="Z63" s="173"/>
      <c r="AA63" s="173"/>
      <c r="AB63" s="163"/>
      <c r="AC63" s="163"/>
      <c r="AD63" s="163"/>
      <c r="AE63" s="163"/>
      <c r="AF63" s="163"/>
      <c r="AG63" s="163"/>
      <c r="AH63" s="167"/>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3"/>
      <c r="BJ63" s="163"/>
      <c r="BK63" s="163"/>
      <c r="BL63" s="163"/>
      <c r="BM63" s="163"/>
      <c r="BN63" s="163"/>
      <c r="BO63" s="163"/>
      <c r="BP63" s="163"/>
      <c r="BQ63" s="163"/>
      <c r="BR63" s="163"/>
      <c r="BS63" s="163"/>
      <c r="BT63" s="163"/>
      <c r="BU63" s="163"/>
      <c r="BV63" s="163"/>
      <c r="BW63" s="163"/>
      <c r="BX63" s="163"/>
      <c r="BY63" s="163"/>
      <c r="BZ63" s="163"/>
      <c r="CA63" s="163"/>
      <c r="CB63" s="163"/>
      <c r="CC63" s="163"/>
    </row>
    <row r="64" spans="1:81" ht="15.6" x14ac:dyDescent="0.25">
      <c r="B64" s="227"/>
      <c r="C64" s="187"/>
      <c r="D64" s="187"/>
      <c r="E64" s="187"/>
      <c r="F64" s="187"/>
      <c r="G64" s="187"/>
      <c r="H64" s="187"/>
      <c r="I64" s="187"/>
      <c r="J64" s="237"/>
      <c r="K64" s="237"/>
      <c r="L64" s="207"/>
      <c r="M64" s="207"/>
      <c r="N64" s="207"/>
      <c r="O64" s="207"/>
      <c r="P64" s="207"/>
      <c r="Q64" s="207"/>
      <c r="R64" s="207"/>
      <c r="S64" s="207"/>
      <c r="T64" s="207"/>
      <c r="U64" s="207"/>
      <c r="V64" s="207"/>
      <c r="W64" s="207"/>
      <c r="X64" s="218"/>
      <c r="Y64" s="163"/>
      <c r="Z64" s="173"/>
      <c r="AA64" s="173"/>
      <c r="AB64" s="163"/>
      <c r="AC64" s="163"/>
      <c r="AD64" s="163"/>
      <c r="AE64" s="163"/>
      <c r="AF64" s="163"/>
      <c r="AG64" s="163"/>
      <c r="AH64" s="167"/>
      <c r="AJ64" s="163"/>
      <c r="AK64" s="163"/>
      <c r="AL64" s="163"/>
      <c r="AM64" s="163"/>
      <c r="AN64" s="163"/>
      <c r="AO64" s="163"/>
      <c r="AP64" s="163"/>
      <c r="AQ64" s="163"/>
      <c r="AR64" s="163"/>
      <c r="AS64" s="163"/>
      <c r="AT64" s="163"/>
      <c r="AU64" s="163"/>
      <c r="AV64" s="163"/>
      <c r="AW64" s="163"/>
      <c r="AX64" s="163"/>
      <c r="AY64" s="163"/>
      <c r="AZ64" s="163"/>
      <c r="BA64" s="163"/>
      <c r="BB64" s="163"/>
      <c r="BC64" s="163"/>
      <c r="BD64" s="163"/>
      <c r="BE64" s="163"/>
      <c r="BF64" s="163"/>
      <c r="BG64" s="163"/>
      <c r="BH64" s="163"/>
      <c r="BI64" s="163"/>
      <c r="BJ64" s="163"/>
      <c r="BK64" s="163"/>
      <c r="BL64" s="163"/>
      <c r="BM64" s="163"/>
      <c r="BN64" s="163"/>
      <c r="BO64" s="163"/>
      <c r="BP64" s="163"/>
      <c r="BQ64" s="163"/>
      <c r="BR64" s="163"/>
      <c r="BS64" s="163"/>
      <c r="BT64" s="163"/>
      <c r="BU64" s="163"/>
      <c r="BV64" s="163"/>
      <c r="BW64" s="163"/>
      <c r="BX64" s="163"/>
      <c r="BY64" s="163"/>
      <c r="BZ64" s="163"/>
      <c r="CA64" s="163"/>
      <c r="CB64" s="163"/>
      <c r="CC64" s="163"/>
    </row>
    <row r="65" spans="2:81" ht="15.6" x14ac:dyDescent="0.25">
      <c r="B65" s="227"/>
      <c r="C65" s="187"/>
      <c r="D65" s="187"/>
      <c r="E65" s="187"/>
      <c r="F65" s="187"/>
      <c r="G65" s="187"/>
      <c r="H65" s="187"/>
      <c r="I65" s="187"/>
      <c r="J65" s="237"/>
      <c r="K65" s="237"/>
      <c r="L65" s="207"/>
      <c r="M65" s="207"/>
      <c r="N65" s="207"/>
      <c r="O65" s="207"/>
      <c r="P65" s="207"/>
      <c r="Q65" s="207"/>
      <c r="R65" s="207"/>
      <c r="S65" s="207"/>
      <c r="T65" s="207"/>
      <c r="U65" s="207"/>
      <c r="V65" s="207"/>
      <c r="W65" s="207"/>
      <c r="X65" s="218"/>
      <c r="Y65" s="163"/>
      <c r="Z65" s="173"/>
      <c r="AA65" s="173"/>
      <c r="AB65" s="163"/>
      <c r="AC65" s="163"/>
      <c r="AD65" s="163"/>
      <c r="AE65" s="163"/>
      <c r="AF65" s="163"/>
      <c r="AG65" s="163"/>
      <c r="AH65" s="167"/>
      <c r="AJ65" s="163"/>
      <c r="AK65" s="163"/>
      <c r="AL65" s="163"/>
      <c r="AM65" s="163"/>
      <c r="AN65" s="163"/>
      <c r="AO65" s="163"/>
      <c r="AP65" s="163"/>
      <c r="AQ65" s="163"/>
      <c r="AR65" s="163"/>
      <c r="AS65" s="163"/>
      <c r="AT65" s="163"/>
      <c r="AU65" s="163"/>
      <c r="AV65" s="163"/>
      <c r="AW65" s="163"/>
      <c r="AX65" s="163"/>
      <c r="AY65" s="163"/>
      <c r="AZ65" s="163"/>
      <c r="BA65" s="163"/>
      <c r="BB65" s="163"/>
      <c r="BC65" s="163"/>
      <c r="BD65" s="163"/>
      <c r="BE65" s="163"/>
      <c r="BF65" s="163"/>
      <c r="BG65" s="163"/>
      <c r="BH65" s="163"/>
      <c r="BI65" s="163"/>
      <c r="BJ65" s="163"/>
      <c r="BK65" s="163"/>
      <c r="BL65" s="163"/>
      <c r="BM65" s="163"/>
      <c r="BN65" s="163"/>
      <c r="BO65" s="163"/>
      <c r="BP65" s="163"/>
      <c r="BQ65" s="163"/>
      <c r="BR65" s="163"/>
      <c r="BS65" s="163"/>
      <c r="BT65" s="163"/>
      <c r="BU65" s="163"/>
      <c r="BV65" s="163"/>
      <c r="BW65" s="163"/>
      <c r="BX65" s="163"/>
      <c r="BY65" s="163"/>
      <c r="BZ65" s="163"/>
      <c r="CA65" s="163"/>
      <c r="CB65" s="163"/>
      <c r="CC65" s="163"/>
    </row>
    <row r="66" spans="2:81" ht="15.6" x14ac:dyDescent="0.25">
      <c r="B66" s="227"/>
      <c r="C66" s="187"/>
      <c r="D66" s="187"/>
      <c r="E66" s="187"/>
      <c r="F66" s="187"/>
      <c r="G66" s="187"/>
      <c r="H66" s="187"/>
      <c r="I66" s="187"/>
      <c r="J66" s="237"/>
      <c r="K66" s="237"/>
      <c r="L66" s="207"/>
      <c r="M66" s="207"/>
      <c r="N66" s="207"/>
      <c r="O66" s="207"/>
      <c r="P66" s="207"/>
      <c r="Q66" s="207"/>
      <c r="R66" s="207"/>
      <c r="S66" s="207"/>
      <c r="T66" s="207"/>
      <c r="U66" s="207"/>
      <c r="V66" s="207"/>
      <c r="W66" s="207"/>
      <c r="X66" s="218"/>
      <c r="Y66" s="163"/>
      <c r="Z66" s="173"/>
      <c r="AA66" s="173"/>
      <c r="AB66" s="163"/>
      <c r="AC66" s="163"/>
      <c r="AD66" s="163"/>
      <c r="AE66" s="163"/>
      <c r="AF66" s="163"/>
      <c r="AG66" s="163"/>
      <c r="AH66" s="167"/>
      <c r="AJ66" s="163"/>
      <c r="AK66" s="163"/>
      <c r="AL66" s="163"/>
      <c r="AM66" s="163"/>
      <c r="AN66" s="163"/>
      <c r="AO66" s="163"/>
      <c r="AP66" s="163"/>
      <c r="AQ66" s="163"/>
      <c r="AR66" s="163"/>
      <c r="AS66" s="163"/>
      <c r="AT66" s="163"/>
      <c r="AU66" s="163"/>
      <c r="AV66" s="163"/>
      <c r="AW66" s="163"/>
      <c r="AX66" s="163"/>
      <c r="AY66" s="163"/>
      <c r="AZ66" s="163"/>
      <c r="BA66" s="163"/>
      <c r="BB66" s="163"/>
      <c r="BC66" s="163"/>
      <c r="BD66" s="163"/>
      <c r="BE66" s="163"/>
      <c r="BF66" s="163"/>
      <c r="BG66" s="163"/>
      <c r="BH66" s="163"/>
      <c r="BI66" s="163"/>
      <c r="BJ66" s="163"/>
      <c r="BK66" s="163"/>
      <c r="BL66" s="163"/>
      <c r="BM66" s="163"/>
      <c r="BN66" s="163"/>
      <c r="BO66" s="163"/>
      <c r="BP66" s="163"/>
      <c r="BQ66" s="163"/>
      <c r="BR66" s="163"/>
      <c r="BS66" s="163"/>
      <c r="BT66" s="163"/>
      <c r="BU66" s="163"/>
      <c r="BV66" s="163"/>
      <c r="BW66" s="163"/>
      <c r="BX66" s="163"/>
      <c r="BY66" s="163"/>
      <c r="BZ66" s="163"/>
      <c r="CA66" s="163"/>
      <c r="CB66" s="163"/>
      <c r="CC66" s="163"/>
    </row>
    <row r="67" spans="2:81" ht="15.6" x14ac:dyDescent="0.25">
      <c r="B67" s="227"/>
      <c r="C67" s="187"/>
      <c r="D67" s="187"/>
      <c r="E67" s="187"/>
      <c r="F67" s="187"/>
      <c r="G67" s="187"/>
      <c r="H67" s="187"/>
      <c r="I67" s="187"/>
      <c r="J67" s="237"/>
      <c r="K67" s="237"/>
      <c r="L67" s="207"/>
      <c r="M67" s="207"/>
      <c r="N67" s="207"/>
      <c r="O67" s="207"/>
      <c r="P67" s="207"/>
      <c r="Q67" s="207"/>
      <c r="R67" s="207"/>
      <c r="S67" s="207"/>
      <c r="T67" s="207"/>
      <c r="U67" s="207"/>
      <c r="V67" s="207"/>
      <c r="W67" s="207"/>
      <c r="X67" s="218"/>
      <c r="Y67" s="163"/>
      <c r="Z67" s="173"/>
      <c r="AA67" s="173"/>
      <c r="AB67" s="163"/>
      <c r="AC67" s="163"/>
      <c r="AD67" s="163"/>
      <c r="AE67" s="163"/>
      <c r="AF67" s="163"/>
      <c r="AG67" s="163"/>
      <c r="AH67" s="167"/>
      <c r="AJ67" s="163"/>
      <c r="AK67" s="163"/>
      <c r="AL67" s="163"/>
      <c r="AM67" s="163"/>
      <c r="AN67" s="163"/>
      <c r="AO67" s="163"/>
      <c r="AP67" s="163"/>
      <c r="AQ67" s="163"/>
      <c r="AR67" s="163"/>
      <c r="AS67" s="163"/>
      <c r="AT67" s="163"/>
      <c r="AU67" s="163"/>
      <c r="AV67" s="163"/>
      <c r="AW67" s="163"/>
      <c r="AX67" s="163"/>
      <c r="AY67" s="163"/>
      <c r="AZ67" s="163"/>
      <c r="BA67" s="163"/>
      <c r="BB67" s="163"/>
      <c r="BC67" s="163"/>
      <c r="BD67" s="163"/>
      <c r="BE67" s="163"/>
      <c r="BF67" s="163"/>
      <c r="BG67" s="163"/>
      <c r="BH67" s="163"/>
      <c r="BI67" s="163"/>
      <c r="BJ67" s="163"/>
      <c r="BK67" s="163"/>
      <c r="BL67" s="163"/>
      <c r="BM67" s="163"/>
      <c r="BN67" s="163"/>
      <c r="BO67" s="163"/>
      <c r="BP67" s="163"/>
      <c r="BQ67" s="163"/>
      <c r="BR67" s="163"/>
      <c r="BS67" s="163"/>
      <c r="BT67" s="163"/>
      <c r="BU67" s="163"/>
      <c r="BV67" s="163"/>
      <c r="BW67" s="163"/>
      <c r="BX67" s="163"/>
      <c r="BY67" s="163"/>
      <c r="BZ67" s="163"/>
      <c r="CA67" s="163"/>
      <c r="CB67" s="163"/>
      <c r="CC67" s="163"/>
    </row>
    <row r="68" spans="2:81" ht="15.6" x14ac:dyDescent="0.25">
      <c r="B68" s="227"/>
      <c r="C68" s="187"/>
      <c r="D68" s="187"/>
      <c r="E68" s="187"/>
      <c r="F68" s="187"/>
      <c r="G68" s="187"/>
      <c r="H68" s="187"/>
      <c r="I68" s="187"/>
      <c r="J68" s="237"/>
      <c r="K68" s="237"/>
      <c r="L68" s="207"/>
      <c r="M68" s="207"/>
      <c r="N68" s="207"/>
      <c r="O68" s="207"/>
      <c r="P68" s="207"/>
      <c r="Q68" s="207"/>
      <c r="R68" s="207"/>
      <c r="S68" s="207"/>
      <c r="T68" s="207"/>
      <c r="U68" s="207"/>
      <c r="V68" s="207"/>
      <c r="W68" s="207"/>
      <c r="X68" s="218"/>
      <c r="Y68" s="163"/>
      <c r="Z68" s="173"/>
      <c r="AA68" s="173"/>
      <c r="AB68" s="163"/>
      <c r="AC68" s="163"/>
      <c r="AD68" s="163"/>
      <c r="AE68" s="163"/>
      <c r="AF68" s="163"/>
      <c r="AG68" s="163"/>
      <c r="AH68" s="167"/>
      <c r="AJ68" s="163"/>
      <c r="AK68" s="163"/>
      <c r="AL68" s="163"/>
      <c r="AM68" s="163"/>
      <c r="AN68" s="163"/>
      <c r="AO68" s="163"/>
      <c r="AP68" s="163"/>
      <c r="AQ68" s="163"/>
      <c r="AR68" s="163"/>
      <c r="AS68" s="163"/>
      <c r="AT68" s="163"/>
      <c r="AU68" s="163"/>
      <c r="AV68" s="163"/>
      <c r="AW68" s="163"/>
      <c r="AX68" s="163"/>
      <c r="AY68" s="163"/>
      <c r="AZ68" s="163"/>
      <c r="BA68" s="163"/>
      <c r="BB68" s="163"/>
      <c r="BC68" s="163"/>
      <c r="BD68" s="163"/>
      <c r="BE68" s="163"/>
      <c r="BF68" s="163"/>
      <c r="BG68" s="163"/>
      <c r="BH68" s="163"/>
      <c r="BI68" s="163"/>
      <c r="BJ68" s="163"/>
      <c r="BK68" s="163"/>
      <c r="BL68" s="163"/>
      <c r="BM68" s="163"/>
      <c r="BN68" s="163"/>
      <c r="BO68" s="163"/>
      <c r="BP68" s="163"/>
      <c r="BQ68" s="163"/>
      <c r="BR68" s="163"/>
      <c r="BS68" s="163"/>
      <c r="BT68" s="163"/>
      <c r="BU68" s="163"/>
      <c r="BV68" s="163"/>
      <c r="BW68" s="163"/>
      <c r="BX68" s="163"/>
      <c r="BY68" s="163"/>
      <c r="BZ68" s="163"/>
      <c r="CA68" s="163"/>
      <c r="CB68" s="163"/>
      <c r="CC68" s="163"/>
    </row>
    <row r="69" spans="2:81" ht="15.6" x14ac:dyDescent="0.25">
      <c r="B69" s="227"/>
      <c r="C69" s="187"/>
      <c r="D69" s="187"/>
      <c r="E69" s="187"/>
      <c r="F69" s="187"/>
      <c r="G69" s="187"/>
      <c r="H69" s="187"/>
      <c r="I69" s="187"/>
      <c r="J69" s="237"/>
      <c r="K69" s="237"/>
      <c r="L69" s="207"/>
      <c r="M69" s="207"/>
      <c r="N69" s="207"/>
      <c r="O69" s="207"/>
      <c r="P69" s="207"/>
      <c r="Q69" s="207"/>
      <c r="R69" s="207"/>
      <c r="S69" s="207"/>
      <c r="T69" s="207"/>
      <c r="U69" s="207"/>
      <c r="V69" s="207"/>
      <c r="W69" s="207"/>
      <c r="X69" s="218"/>
      <c r="Y69" s="163"/>
      <c r="Z69" s="173"/>
      <c r="AA69" s="173"/>
      <c r="AB69" s="163"/>
      <c r="AC69" s="163"/>
      <c r="AD69" s="163"/>
      <c r="AE69" s="163"/>
      <c r="AF69" s="163"/>
      <c r="AG69" s="163"/>
      <c r="AH69" s="167"/>
      <c r="AJ69" s="163"/>
      <c r="AK69" s="163"/>
      <c r="AL69" s="163"/>
      <c r="AM69" s="163"/>
      <c r="AN69" s="163"/>
      <c r="AO69" s="163"/>
      <c r="AP69" s="163"/>
      <c r="AQ69" s="163"/>
      <c r="AR69" s="163"/>
      <c r="AS69" s="163"/>
      <c r="AT69" s="163"/>
      <c r="AU69" s="163"/>
      <c r="AV69" s="163"/>
      <c r="AW69" s="163"/>
      <c r="AX69" s="163"/>
      <c r="AY69" s="163"/>
      <c r="AZ69" s="163"/>
      <c r="BA69" s="163"/>
      <c r="BB69" s="163"/>
      <c r="BC69" s="163"/>
      <c r="BD69" s="163"/>
      <c r="BE69" s="163"/>
      <c r="BF69" s="163"/>
      <c r="BG69" s="163"/>
      <c r="BH69" s="163"/>
      <c r="BI69" s="163"/>
      <c r="BJ69" s="163"/>
      <c r="BK69" s="163"/>
      <c r="BL69" s="163"/>
      <c r="BM69" s="163"/>
      <c r="BN69" s="163"/>
      <c r="BO69" s="163"/>
      <c r="BP69" s="163"/>
      <c r="BQ69" s="163"/>
      <c r="BR69" s="163"/>
      <c r="BS69" s="163"/>
      <c r="BT69" s="163"/>
      <c r="BU69" s="163"/>
      <c r="BV69" s="163"/>
      <c r="BW69" s="163"/>
      <c r="BX69" s="163"/>
      <c r="BY69" s="163"/>
      <c r="BZ69" s="163"/>
      <c r="CA69" s="163"/>
      <c r="CB69" s="163"/>
      <c r="CC69" s="163"/>
    </row>
    <row r="70" spans="2:81" ht="15.6" x14ac:dyDescent="0.25">
      <c r="B70" s="227"/>
      <c r="C70" s="187"/>
      <c r="D70" s="187"/>
      <c r="E70" s="187"/>
      <c r="F70" s="187"/>
      <c r="G70" s="187"/>
      <c r="H70" s="187"/>
      <c r="I70" s="187"/>
      <c r="J70" s="237"/>
      <c r="K70" s="237"/>
      <c r="L70" s="207"/>
      <c r="M70" s="207"/>
      <c r="N70" s="207"/>
      <c r="O70" s="207"/>
      <c r="P70" s="207"/>
      <c r="Q70" s="207"/>
      <c r="R70" s="207"/>
      <c r="S70" s="207"/>
      <c r="T70" s="207"/>
      <c r="U70" s="207"/>
      <c r="V70" s="207"/>
      <c r="W70" s="207"/>
      <c r="X70" s="218"/>
      <c r="Y70" s="163"/>
      <c r="Z70" s="173"/>
      <c r="AA70" s="173"/>
      <c r="AB70" s="163"/>
      <c r="AC70" s="163"/>
      <c r="AD70" s="163"/>
      <c r="AE70" s="163"/>
      <c r="AF70" s="163"/>
      <c r="AG70" s="163"/>
      <c r="AH70" s="167"/>
      <c r="AJ70" s="163"/>
      <c r="AK70" s="163"/>
      <c r="AL70" s="163"/>
      <c r="AM70" s="163"/>
      <c r="AN70" s="163"/>
      <c r="AO70" s="163"/>
      <c r="AP70" s="163"/>
      <c r="AQ70" s="163"/>
      <c r="AR70" s="163"/>
      <c r="AS70" s="163"/>
      <c r="AT70" s="163"/>
      <c r="AU70" s="163"/>
      <c r="AV70" s="163"/>
      <c r="AW70" s="163"/>
      <c r="AX70" s="163"/>
      <c r="AY70" s="163"/>
      <c r="AZ70" s="163"/>
      <c r="BA70" s="163"/>
      <c r="BB70" s="163"/>
      <c r="BC70" s="163"/>
      <c r="BD70" s="163"/>
      <c r="BE70" s="163"/>
      <c r="BF70" s="163"/>
      <c r="BG70" s="163"/>
      <c r="BH70" s="163"/>
      <c r="BI70" s="163"/>
      <c r="BJ70" s="163"/>
      <c r="BK70" s="163"/>
      <c r="BL70" s="163"/>
      <c r="BM70" s="163"/>
      <c r="BN70" s="163"/>
      <c r="BO70" s="163"/>
      <c r="BP70" s="163"/>
      <c r="BQ70" s="163"/>
      <c r="BR70" s="163"/>
      <c r="BS70" s="163"/>
      <c r="BT70" s="163"/>
      <c r="BU70" s="163"/>
      <c r="BV70" s="163"/>
      <c r="BW70" s="163"/>
      <c r="BX70" s="163"/>
      <c r="BY70" s="163"/>
      <c r="BZ70" s="163"/>
      <c r="CA70" s="163"/>
      <c r="CB70" s="163"/>
      <c r="CC70" s="163"/>
    </row>
    <row r="71" spans="2:81" ht="15.6" x14ac:dyDescent="0.25">
      <c r="B71" s="227"/>
      <c r="C71" s="187"/>
      <c r="D71" s="187"/>
      <c r="E71" s="187"/>
      <c r="F71" s="187"/>
      <c r="G71" s="187"/>
      <c r="H71" s="187"/>
      <c r="I71" s="187"/>
      <c r="J71" s="237"/>
      <c r="K71" s="237"/>
      <c r="L71" s="207"/>
      <c r="M71" s="207"/>
      <c r="N71" s="207"/>
      <c r="O71" s="207"/>
      <c r="P71" s="207"/>
      <c r="Q71" s="207"/>
      <c r="R71" s="207"/>
      <c r="S71" s="207"/>
      <c r="T71" s="207"/>
      <c r="U71" s="207"/>
      <c r="V71" s="207"/>
      <c r="W71" s="207"/>
      <c r="X71" s="218"/>
      <c r="Y71" s="163"/>
      <c r="Z71" s="173"/>
      <c r="AA71" s="173"/>
      <c r="AB71" s="163"/>
      <c r="AC71" s="163"/>
      <c r="AD71" s="163"/>
      <c r="AE71" s="163"/>
      <c r="AF71" s="163"/>
      <c r="AG71" s="163"/>
      <c r="AH71" s="167"/>
      <c r="AJ71" s="163"/>
      <c r="AK71" s="163"/>
      <c r="AL71" s="163"/>
      <c r="AM71" s="163"/>
      <c r="AN71" s="163"/>
      <c r="AO71" s="163"/>
      <c r="AP71" s="163"/>
      <c r="AQ71" s="163"/>
      <c r="AR71" s="163"/>
      <c r="AS71" s="163"/>
      <c r="AT71" s="163"/>
      <c r="AU71" s="163"/>
      <c r="AV71" s="163"/>
      <c r="AW71" s="163"/>
      <c r="AX71" s="163"/>
      <c r="AY71" s="163"/>
      <c r="AZ71" s="163"/>
      <c r="BA71" s="163"/>
      <c r="BB71" s="163"/>
      <c r="BC71" s="163"/>
      <c r="BD71" s="163"/>
      <c r="BE71" s="163"/>
      <c r="BF71" s="163"/>
      <c r="BG71" s="163"/>
      <c r="BH71" s="163"/>
      <c r="BI71" s="163"/>
      <c r="BJ71" s="163"/>
      <c r="BK71" s="163"/>
      <c r="BL71" s="163"/>
      <c r="BM71" s="163"/>
      <c r="BN71" s="163"/>
      <c r="BO71" s="163"/>
      <c r="BP71" s="163"/>
      <c r="BQ71" s="163"/>
      <c r="BR71" s="163"/>
      <c r="BS71" s="163"/>
      <c r="BT71" s="163"/>
      <c r="BU71" s="163"/>
      <c r="BV71" s="163"/>
      <c r="BW71" s="163"/>
      <c r="BX71" s="163"/>
      <c r="BY71" s="163"/>
      <c r="BZ71" s="163"/>
      <c r="CA71" s="163"/>
      <c r="CB71" s="163"/>
      <c r="CC71" s="163"/>
    </row>
    <row r="72" spans="2:81" ht="15.6" x14ac:dyDescent="0.25">
      <c r="B72" s="227"/>
      <c r="C72" s="187"/>
      <c r="D72" s="187"/>
      <c r="E72" s="187"/>
      <c r="F72" s="187"/>
      <c r="G72" s="187"/>
      <c r="H72" s="187"/>
      <c r="I72" s="187"/>
      <c r="J72" s="237"/>
      <c r="K72" s="237"/>
      <c r="L72" s="207"/>
      <c r="M72" s="207"/>
      <c r="N72" s="207"/>
      <c r="O72" s="207"/>
      <c r="P72" s="207"/>
      <c r="Q72" s="207"/>
      <c r="R72" s="207"/>
      <c r="S72" s="207"/>
      <c r="T72" s="207"/>
      <c r="U72" s="207"/>
      <c r="V72" s="207"/>
      <c r="W72" s="207"/>
      <c r="X72" s="218"/>
      <c r="Y72" s="163"/>
      <c r="Z72" s="173"/>
      <c r="AA72" s="173"/>
      <c r="AB72" s="163"/>
      <c r="AC72" s="163"/>
      <c r="AD72" s="163"/>
      <c r="AE72" s="163"/>
      <c r="AF72" s="163"/>
      <c r="AG72" s="163"/>
      <c r="AH72" s="167"/>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3"/>
      <c r="BJ72" s="163"/>
      <c r="BK72" s="163"/>
      <c r="BL72" s="163"/>
      <c r="BM72" s="163"/>
      <c r="BN72" s="163"/>
      <c r="BO72" s="163"/>
      <c r="BP72" s="163"/>
      <c r="BQ72" s="163"/>
      <c r="BR72" s="163"/>
      <c r="BS72" s="163"/>
      <c r="BT72" s="163"/>
      <c r="BU72" s="163"/>
      <c r="BV72" s="163"/>
      <c r="BW72" s="163"/>
      <c r="BX72" s="163"/>
      <c r="BY72" s="163"/>
      <c r="BZ72" s="163"/>
      <c r="CA72" s="163"/>
      <c r="CB72" s="163"/>
      <c r="CC72" s="163"/>
    </row>
    <row r="73" spans="2:81" ht="15.6" x14ac:dyDescent="0.25">
      <c r="B73" s="227"/>
      <c r="C73" s="187"/>
      <c r="D73" s="187"/>
      <c r="E73" s="187"/>
      <c r="F73" s="187"/>
      <c r="G73" s="187"/>
      <c r="H73" s="187"/>
      <c r="I73" s="187"/>
      <c r="J73" s="237"/>
      <c r="K73" s="237"/>
      <c r="L73" s="207"/>
      <c r="M73" s="207"/>
      <c r="N73" s="207"/>
      <c r="O73" s="207"/>
      <c r="P73" s="207"/>
      <c r="Q73" s="207"/>
      <c r="R73" s="207"/>
      <c r="S73" s="207"/>
      <c r="T73" s="207"/>
      <c r="U73" s="207"/>
      <c r="V73" s="207"/>
      <c r="W73" s="207"/>
      <c r="X73" s="218"/>
      <c r="Y73" s="163"/>
      <c r="Z73" s="173"/>
      <c r="AA73" s="173"/>
      <c r="AB73" s="163"/>
      <c r="AC73" s="163"/>
      <c r="AD73" s="163"/>
      <c r="AE73" s="163"/>
      <c r="AF73" s="163"/>
      <c r="AG73" s="163"/>
      <c r="AH73" s="167"/>
      <c r="AJ73" s="163"/>
      <c r="AK73" s="163"/>
      <c r="AL73" s="163"/>
      <c r="AM73" s="163"/>
      <c r="AN73" s="163"/>
      <c r="AO73" s="163"/>
      <c r="AP73" s="163"/>
      <c r="AQ73" s="163"/>
      <c r="AR73" s="163"/>
      <c r="AS73" s="163"/>
      <c r="AT73" s="163"/>
      <c r="AU73" s="163"/>
      <c r="AV73" s="163"/>
      <c r="AW73" s="163"/>
      <c r="AX73" s="163"/>
      <c r="AY73" s="163"/>
      <c r="AZ73" s="163"/>
      <c r="BA73" s="163"/>
      <c r="BB73" s="163"/>
      <c r="BC73" s="163"/>
      <c r="BD73" s="163"/>
      <c r="BE73" s="163"/>
      <c r="BF73" s="163"/>
      <c r="BG73" s="163"/>
      <c r="BH73" s="163"/>
      <c r="BI73" s="163"/>
      <c r="BJ73" s="163"/>
      <c r="BK73" s="163"/>
      <c r="BL73" s="163"/>
      <c r="BM73" s="163"/>
      <c r="BN73" s="163"/>
      <c r="BO73" s="163"/>
      <c r="BP73" s="163"/>
      <c r="BQ73" s="163"/>
      <c r="BR73" s="163"/>
      <c r="BS73" s="163"/>
      <c r="BT73" s="163"/>
      <c r="BU73" s="163"/>
      <c r="BV73" s="163"/>
      <c r="BW73" s="163"/>
      <c r="BX73" s="163"/>
      <c r="BY73" s="163"/>
      <c r="BZ73" s="163"/>
      <c r="CA73" s="163"/>
      <c r="CB73" s="163"/>
      <c r="CC73" s="163"/>
    </row>
    <row r="74" spans="2:81" ht="15.6" x14ac:dyDescent="0.25">
      <c r="B74" s="227"/>
      <c r="C74" s="187"/>
      <c r="D74" s="187"/>
      <c r="E74" s="187"/>
      <c r="F74" s="187"/>
      <c r="G74" s="187"/>
      <c r="H74" s="187"/>
      <c r="I74" s="187"/>
      <c r="J74" s="237"/>
      <c r="K74" s="237"/>
      <c r="L74" s="207"/>
      <c r="M74" s="207"/>
      <c r="N74" s="207"/>
      <c r="O74" s="207"/>
      <c r="P74" s="207"/>
      <c r="Q74" s="207"/>
      <c r="R74" s="207"/>
      <c r="S74" s="207"/>
      <c r="T74" s="207"/>
      <c r="U74" s="207"/>
      <c r="V74" s="207"/>
      <c r="W74" s="207"/>
      <c r="X74" s="218"/>
      <c r="Y74" s="163"/>
      <c r="Z74" s="173"/>
      <c r="AA74" s="173"/>
      <c r="AB74" s="163"/>
      <c r="AC74" s="163"/>
      <c r="AD74" s="163"/>
      <c r="AE74" s="163"/>
      <c r="AF74" s="163"/>
      <c r="AG74" s="163"/>
      <c r="AH74" s="167"/>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3"/>
      <c r="BJ74" s="163"/>
      <c r="BK74" s="163"/>
      <c r="BL74" s="163"/>
      <c r="BM74" s="163"/>
      <c r="BN74" s="163"/>
      <c r="BO74" s="163"/>
      <c r="BP74" s="163"/>
      <c r="BQ74" s="163"/>
      <c r="BR74" s="163"/>
      <c r="BS74" s="163"/>
      <c r="BT74" s="163"/>
      <c r="BU74" s="163"/>
      <c r="BV74" s="163"/>
      <c r="BW74" s="163"/>
      <c r="BX74" s="163"/>
      <c r="BY74" s="163"/>
      <c r="BZ74" s="163"/>
      <c r="CA74" s="163"/>
      <c r="CB74" s="163"/>
      <c r="CC74" s="163"/>
    </row>
    <row r="75" spans="2:81" ht="15.6" x14ac:dyDescent="0.25">
      <c r="B75" s="227"/>
      <c r="C75" s="187"/>
      <c r="D75" s="187"/>
      <c r="E75" s="187"/>
      <c r="F75" s="187"/>
      <c r="G75" s="187"/>
      <c r="H75" s="187"/>
      <c r="I75" s="187"/>
      <c r="J75" s="237"/>
      <c r="K75" s="237"/>
      <c r="L75" s="207"/>
      <c r="M75" s="207"/>
      <c r="N75" s="207"/>
      <c r="O75" s="207"/>
      <c r="P75" s="207"/>
      <c r="Q75" s="207"/>
      <c r="R75" s="207"/>
      <c r="S75" s="207"/>
      <c r="T75" s="207"/>
      <c r="U75" s="207"/>
      <c r="V75" s="207"/>
      <c r="W75" s="207"/>
      <c r="X75" s="218"/>
      <c r="Y75" s="163"/>
      <c r="Z75" s="173"/>
      <c r="AA75" s="173"/>
      <c r="AB75" s="163"/>
      <c r="AC75" s="163"/>
      <c r="AD75" s="163"/>
      <c r="AE75" s="163"/>
      <c r="AF75" s="163"/>
      <c r="AG75" s="163"/>
      <c r="AH75" s="167"/>
      <c r="AJ75" s="163"/>
      <c r="AK75" s="163"/>
      <c r="AL75" s="163"/>
      <c r="AM75" s="163"/>
      <c r="AN75" s="163"/>
      <c r="AO75" s="163"/>
      <c r="AP75" s="163"/>
      <c r="AQ75" s="163"/>
      <c r="AR75" s="163"/>
      <c r="AS75" s="163"/>
      <c r="AT75" s="163"/>
      <c r="AU75" s="163"/>
      <c r="AV75" s="163"/>
      <c r="AW75" s="163"/>
      <c r="AX75" s="163"/>
      <c r="AY75" s="163"/>
      <c r="AZ75" s="163"/>
      <c r="BA75" s="163"/>
      <c r="BB75" s="163"/>
      <c r="BC75" s="163"/>
      <c r="BD75" s="163"/>
      <c r="BE75" s="163"/>
      <c r="BF75" s="163"/>
      <c r="BG75" s="163"/>
      <c r="BH75" s="163"/>
      <c r="BI75" s="163"/>
      <c r="BJ75" s="163"/>
      <c r="BK75" s="163"/>
      <c r="BL75" s="163"/>
      <c r="BM75" s="163"/>
      <c r="BN75" s="163"/>
      <c r="BO75" s="163"/>
      <c r="BP75" s="163"/>
      <c r="BQ75" s="163"/>
      <c r="BR75" s="163"/>
      <c r="BS75" s="163"/>
      <c r="BT75" s="163"/>
      <c r="BU75" s="163"/>
      <c r="BV75" s="163"/>
      <c r="BW75" s="163"/>
      <c r="BX75" s="163"/>
      <c r="BY75" s="163"/>
      <c r="BZ75" s="163"/>
      <c r="CA75" s="163"/>
      <c r="CB75" s="163"/>
      <c r="CC75" s="163"/>
    </row>
    <row r="76" spans="2:81" ht="15.6" x14ac:dyDescent="0.25">
      <c r="B76" s="227"/>
      <c r="C76" s="187"/>
      <c r="D76" s="187"/>
      <c r="E76" s="187"/>
      <c r="F76" s="187"/>
      <c r="G76" s="187"/>
      <c r="H76" s="187"/>
      <c r="I76" s="187"/>
      <c r="J76" s="237"/>
      <c r="K76" s="237"/>
      <c r="L76" s="207"/>
      <c r="M76" s="207"/>
      <c r="N76" s="207"/>
      <c r="O76" s="207"/>
      <c r="P76" s="207"/>
      <c r="Q76" s="207"/>
      <c r="R76" s="207"/>
      <c r="S76" s="207"/>
      <c r="T76" s="207"/>
      <c r="U76" s="207"/>
      <c r="V76" s="207"/>
      <c r="W76" s="207"/>
      <c r="X76" s="218"/>
      <c r="Y76" s="163"/>
      <c r="Z76" s="173"/>
      <c r="AA76" s="173"/>
      <c r="AB76" s="163"/>
      <c r="AC76" s="163"/>
      <c r="AD76" s="163"/>
      <c r="AE76" s="163"/>
      <c r="AF76" s="163"/>
      <c r="AG76" s="163"/>
      <c r="AH76" s="167"/>
      <c r="AJ76" s="163"/>
      <c r="AK76" s="163"/>
      <c r="AL76" s="163"/>
      <c r="AM76" s="163"/>
      <c r="AN76" s="163"/>
      <c r="AO76" s="163"/>
      <c r="AP76" s="163"/>
      <c r="AQ76" s="163"/>
      <c r="AR76" s="163"/>
      <c r="AS76" s="163"/>
      <c r="AT76" s="163"/>
      <c r="AU76" s="163"/>
      <c r="AV76" s="163"/>
      <c r="AW76" s="163"/>
      <c r="AX76" s="163"/>
      <c r="AY76" s="163"/>
      <c r="AZ76" s="163"/>
      <c r="BA76" s="163"/>
      <c r="BB76" s="163"/>
      <c r="BC76" s="163"/>
      <c r="BD76" s="163"/>
      <c r="BE76" s="163"/>
      <c r="BF76" s="163"/>
      <c r="BG76" s="163"/>
      <c r="BH76" s="163"/>
      <c r="BI76" s="163"/>
      <c r="BJ76" s="163"/>
      <c r="BK76" s="163"/>
      <c r="BL76" s="163"/>
      <c r="BM76" s="163"/>
      <c r="BN76" s="163"/>
      <c r="BO76" s="163"/>
      <c r="BP76" s="163"/>
      <c r="BQ76" s="163"/>
      <c r="BR76" s="163"/>
      <c r="BS76" s="163"/>
      <c r="BT76" s="163"/>
      <c r="BU76" s="163"/>
      <c r="BV76" s="163"/>
      <c r="BW76" s="163"/>
      <c r="BX76" s="163"/>
      <c r="BY76" s="163"/>
      <c r="BZ76" s="163"/>
      <c r="CA76" s="163"/>
      <c r="CB76" s="163"/>
      <c r="CC76" s="163"/>
    </row>
    <row r="77" spans="2:81" ht="15.6" x14ac:dyDescent="0.25">
      <c r="B77" s="227"/>
      <c r="C77" s="187"/>
      <c r="D77" s="187"/>
      <c r="E77" s="187"/>
      <c r="F77" s="187"/>
      <c r="G77" s="187"/>
      <c r="H77" s="187"/>
      <c r="I77" s="187"/>
      <c r="J77" s="237"/>
      <c r="K77" s="237"/>
      <c r="L77" s="207"/>
      <c r="M77" s="207"/>
      <c r="N77" s="207"/>
      <c r="O77" s="207"/>
      <c r="P77" s="207"/>
      <c r="Q77" s="207"/>
      <c r="R77" s="207"/>
      <c r="S77" s="207"/>
      <c r="T77" s="207"/>
      <c r="U77" s="207"/>
      <c r="V77" s="207"/>
      <c r="W77" s="207"/>
      <c r="X77" s="218"/>
      <c r="Y77" s="163"/>
      <c r="Z77" s="173"/>
      <c r="AA77" s="173"/>
      <c r="AB77" s="163"/>
      <c r="AC77" s="163"/>
      <c r="AD77" s="163"/>
      <c r="AE77" s="163"/>
      <c r="AF77" s="163"/>
      <c r="AG77" s="163"/>
      <c r="AH77" s="167"/>
      <c r="AJ77" s="163"/>
      <c r="AK77" s="163"/>
      <c r="AL77" s="163"/>
      <c r="AM77" s="163"/>
      <c r="AN77" s="163"/>
      <c r="AO77" s="163"/>
      <c r="AP77" s="163"/>
      <c r="AQ77" s="163"/>
      <c r="AR77" s="163"/>
      <c r="AS77" s="163"/>
      <c r="AT77" s="163"/>
      <c r="AU77" s="163"/>
      <c r="AV77" s="163"/>
      <c r="AW77" s="163"/>
      <c r="AX77" s="163"/>
      <c r="AY77" s="163"/>
      <c r="AZ77" s="163"/>
      <c r="BA77" s="163"/>
      <c r="BB77" s="163"/>
      <c r="BC77" s="163"/>
      <c r="BD77" s="163"/>
      <c r="BE77" s="163"/>
      <c r="BF77" s="163"/>
      <c r="BG77" s="163"/>
      <c r="BH77" s="163"/>
      <c r="BI77" s="163"/>
      <c r="BJ77" s="163"/>
      <c r="BK77" s="163"/>
      <c r="BL77" s="163"/>
      <c r="BM77" s="163"/>
      <c r="BN77" s="163"/>
      <c r="BO77" s="163"/>
      <c r="BP77" s="163"/>
      <c r="BQ77" s="163"/>
      <c r="BR77" s="163"/>
      <c r="BS77" s="163"/>
      <c r="BT77" s="163"/>
      <c r="BU77" s="163"/>
      <c r="BV77" s="163"/>
      <c r="BW77" s="163"/>
      <c r="BX77" s="163"/>
      <c r="BY77" s="163"/>
      <c r="BZ77" s="163"/>
      <c r="CA77" s="163"/>
      <c r="CB77" s="163"/>
      <c r="CC77" s="163"/>
    </row>
    <row r="78" spans="2:81" ht="15.6" x14ac:dyDescent="0.25">
      <c r="B78" s="227"/>
      <c r="C78" s="187"/>
      <c r="D78" s="187"/>
      <c r="E78" s="187"/>
      <c r="F78" s="187"/>
      <c r="G78" s="187"/>
      <c r="H78" s="187"/>
      <c r="I78" s="187"/>
      <c r="J78" s="237"/>
      <c r="K78" s="237"/>
      <c r="L78" s="207"/>
      <c r="M78" s="207"/>
      <c r="N78" s="207"/>
      <c r="O78" s="207"/>
      <c r="P78" s="207"/>
      <c r="Q78" s="207"/>
      <c r="R78" s="207"/>
      <c r="S78" s="207"/>
      <c r="T78" s="207"/>
      <c r="U78" s="207"/>
      <c r="V78" s="207"/>
      <c r="W78" s="207"/>
      <c r="X78" s="218"/>
      <c r="Y78" s="163"/>
      <c r="Z78" s="173"/>
      <c r="AA78" s="173"/>
      <c r="AB78" s="163"/>
      <c r="AC78" s="163"/>
      <c r="AD78" s="163"/>
      <c r="AE78" s="163"/>
      <c r="AF78" s="163"/>
      <c r="AG78" s="163"/>
      <c r="AH78" s="167"/>
      <c r="AJ78" s="163"/>
      <c r="AK78" s="163"/>
      <c r="AL78" s="163"/>
      <c r="AM78" s="163"/>
      <c r="AN78" s="163"/>
      <c r="AO78" s="163"/>
      <c r="AP78" s="163"/>
      <c r="AQ78" s="163"/>
      <c r="AR78" s="163"/>
      <c r="AS78" s="163"/>
      <c r="AT78" s="163"/>
      <c r="AU78" s="163"/>
      <c r="AV78" s="163"/>
      <c r="AW78" s="163"/>
      <c r="AX78" s="163"/>
      <c r="AY78" s="163"/>
      <c r="AZ78" s="163"/>
      <c r="BA78" s="163"/>
      <c r="BB78" s="163"/>
      <c r="BC78" s="163"/>
      <c r="BD78" s="163"/>
      <c r="BE78" s="163"/>
      <c r="BF78" s="163"/>
      <c r="BG78" s="163"/>
      <c r="BH78" s="163"/>
      <c r="BI78" s="163"/>
      <c r="BJ78" s="163"/>
      <c r="BK78" s="163"/>
      <c r="BL78" s="163"/>
      <c r="BM78" s="163"/>
      <c r="BN78" s="163"/>
      <c r="BO78" s="163"/>
      <c r="BP78" s="163"/>
      <c r="BQ78" s="163"/>
      <c r="BR78" s="163"/>
      <c r="BS78" s="163"/>
      <c r="BT78" s="163"/>
      <c r="BU78" s="163"/>
      <c r="BV78" s="163"/>
      <c r="BW78" s="163"/>
      <c r="BX78" s="163"/>
      <c r="BY78" s="163"/>
      <c r="BZ78" s="163"/>
      <c r="CA78" s="163"/>
      <c r="CB78" s="163"/>
      <c r="CC78" s="163"/>
    </row>
    <row r="79" spans="2:81" ht="15.6" x14ac:dyDescent="0.25">
      <c r="B79" s="227"/>
      <c r="C79" s="187"/>
      <c r="D79" s="187"/>
      <c r="E79" s="187"/>
      <c r="F79" s="187"/>
      <c r="G79" s="187"/>
      <c r="H79" s="187"/>
      <c r="I79" s="187"/>
      <c r="J79" s="237"/>
      <c r="K79" s="237"/>
      <c r="L79" s="207"/>
      <c r="M79" s="207"/>
      <c r="N79" s="207"/>
      <c r="O79" s="207"/>
      <c r="P79" s="207"/>
      <c r="Q79" s="207"/>
      <c r="R79" s="207"/>
      <c r="S79" s="207"/>
      <c r="T79" s="207"/>
      <c r="U79" s="207"/>
      <c r="V79" s="207"/>
      <c r="W79" s="207"/>
      <c r="X79" s="218"/>
      <c r="Y79" s="163"/>
      <c r="Z79" s="173"/>
      <c r="AA79" s="173"/>
      <c r="AB79" s="163"/>
      <c r="AC79" s="163"/>
      <c r="AD79" s="163"/>
      <c r="AE79" s="163"/>
      <c r="AF79" s="163"/>
      <c r="AG79" s="163"/>
      <c r="AH79" s="167"/>
      <c r="AJ79" s="163"/>
      <c r="AK79" s="163"/>
      <c r="AL79" s="163"/>
      <c r="AM79" s="163"/>
      <c r="AN79" s="163"/>
      <c r="AO79" s="163"/>
      <c r="AP79" s="163"/>
      <c r="AQ79" s="163"/>
      <c r="AR79" s="163"/>
      <c r="AS79" s="163"/>
      <c r="AT79" s="163"/>
      <c r="AU79" s="163"/>
      <c r="AV79" s="163"/>
      <c r="AW79" s="163"/>
      <c r="AX79" s="163"/>
      <c r="AY79" s="163"/>
      <c r="AZ79" s="163"/>
      <c r="BA79" s="163"/>
      <c r="BB79" s="163"/>
      <c r="BC79" s="163"/>
      <c r="BD79" s="163"/>
      <c r="BE79" s="163"/>
      <c r="BF79" s="163"/>
      <c r="BG79" s="163"/>
      <c r="BH79" s="163"/>
      <c r="BI79" s="163"/>
      <c r="BJ79" s="163"/>
      <c r="BK79" s="163"/>
      <c r="BL79" s="163"/>
      <c r="BM79" s="163"/>
      <c r="BN79" s="163"/>
      <c r="BO79" s="163"/>
      <c r="BP79" s="163"/>
      <c r="BQ79" s="163"/>
      <c r="BR79" s="163"/>
      <c r="BS79" s="163"/>
      <c r="BT79" s="163"/>
      <c r="BU79" s="163"/>
      <c r="BV79" s="163"/>
      <c r="BW79" s="163"/>
      <c r="BX79" s="163"/>
      <c r="BY79" s="163"/>
      <c r="BZ79" s="163"/>
      <c r="CA79" s="163"/>
      <c r="CB79" s="163"/>
      <c r="CC79" s="163"/>
    </row>
    <row r="80" spans="2:81" ht="15.6" x14ac:dyDescent="0.25">
      <c r="B80" s="227"/>
      <c r="C80" s="187"/>
      <c r="D80" s="187"/>
      <c r="E80" s="187"/>
      <c r="F80" s="187"/>
      <c r="G80" s="187"/>
      <c r="H80" s="187"/>
      <c r="I80" s="187"/>
      <c r="J80" s="237"/>
      <c r="K80" s="237"/>
      <c r="L80" s="207"/>
      <c r="M80" s="207"/>
      <c r="N80" s="207"/>
      <c r="O80" s="207"/>
      <c r="P80" s="207"/>
      <c r="Q80" s="207"/>
      <c r="R80" s="207"/>
      <c r="S80" s="207"/>
      <c r="T80" s="207"/>
      <c r="U80" s="207"/>
      <c r="V80" s="207"/>
      <c r="W80" s="207"/>
      <c r="X80" s="218"/>
      <c r="Y80" s="163"/>
      <c r="Z80" s="173"/>
      <c r="AA80" s="173"/>
      <c r="AB80" s="163"/>
      <c r="AC80" s="163"/>
      <c r="AD80" s="163"/>
      <c r="AE80" s="163"/>
      <c r="AF80" s="163"/>
      <c r="AG80" s="163"/>
      <c r="AH80" s="167"/>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3"/>
      <c r="BJ80" s="163"/>
      <c r="BK80" s="163"/>
      <c r="BL80" s="163"/>
      <c r="BM80" s="163"/>
      <c r="BN80" s="163"/>
      <c r="BO80" s="163"/>
      <c r="BP80" s="163"/>
      <c r="BQ80" s="163"/>
      <c r="BR80" s="163"/>
      <c r="BS80" s="163"/>
      <c r="BT80" s="163"/>
      <c r="BU80" s="163"/>
      <c r="BV80" s="163"/>
      <c r="BW80" s="163"/>
      <c r="BX80" s="163"/>
      <c r="BY80" s="163"/>
      <c r="BZ80" s="163"/>
      <c r="CA80" s="163"/>
      <c r="CB80" s="163"/>
      <c r="CC80" s="163"/>
    </row>
    <row r="81" spans="2:81" ht="15.6" x14ac:dyDescent="0.25">
      <c r="B81" s="227"/>
      <c r="C81" s="187"/>
      <c r="D81" s="187"/>
      <c r="E81" s="187"/>
      <c r="F81" s="187"/>
      <c r="G81" s="187"/>
      <c r="H81" s="187"/>
      <c r="I81" s="187"/>
      <c r="J81" s="237"/>
      <c r="K81" s="237"/>
      <c r="L81" s="207"/>
      <c r="M81" s="207"/>
      <c r="N81" s="207"/>
      <c r="O81" s="207"/>
      <c r="P81" s="207"/>
      <c r="Q81" s="207"/>
      <c r="R81" s="207"/>
      <c r="S81" s="207"/>
      <c r="T81" s="207"/>
      <c r="U81" s="207"/>
      <c r="V81" s="207"/>
      <c r="W81" s="207"/>
      <c r="X81" s="218"/>
      <c r="Y81" s="163"/>
      <c r="Z81" s="173"/>
      <c r="AA81" s="173"/>
      <c r="AB81" s="163"/>
      <c r="AC81" s="163"/>
      <c r="AD81" s="163"/>
      <c r="AE81" s="163"/>
      <c r="AF81" s="163"/>
      <c r="AG81" s="163"/>
      <c r="AH81" s="167"/>
      <c r="AJ81" s="163"/>
      <c r="AK81" s="163"/>
      <c r="AL81" s="163"/>
      <c r="AM81" s="163"/>
      <c r="AN81" s="163"/>
      <c r="AO81" s="163"/>
      <c r="AP81" s="163"/>
      <c r="AQ81" s="163"/>
      <c r="AR81" s="163"/>
      <c r="AS81" s="163"/>
      <c r="AT81" s="163"/>
      <c r="AU81" s="163"/>
      <c r="AV81" s="163"/>
      <c r="AW81" s="163"/>
      <c r="AX81" s="163"/>
      <c r="AY81" s="163"/>
      <c r="AZ81" s="163"/>
      <c r="BA81" s="163"/>
      <c r="BB81" s="163"/>
      <c r="BC81" s="163"/>
      <c r="BD81" s="163"/>
      <c r="BE81" s="163"/>
      <c r="BF81" s="163"/>
      <c r="BG81" s="163"/>
      <c r="BH81" s="163"/>
      <c r="BI81" s="163"/>
      <c r="BJ81" s="163"/>
      <c r="BK81" s="163"/>
      <c r="BL81" s="163"/>
      <c r="BM81" s="163"/>
      <c r="BN81" s="163"/>
      <c r="BO81" s="163"/>
      <c r="BP81" s="163"/>
      <c r="BQ81" s="163"/>
      <c r="BR81" s="163"/>
      <c r="BS81" s="163"/>
      <c r="BT81" s="163"/>
      <c r="BU81" s="163"/>
      <c r="BV81" s="163"/>
      <c r="BW81" s="163"/>
      <c r="BX81" s="163"/>
      <c r="BY81" s="163"/>
      <c r="BZ81" s="163"/>
      <c r="CA81" s="163"/>
      <c r="CB81" s="163"/>
      <c r="CC81" s="163"/>
    </row>
    <row r="82" spans="2:81" ht="15.6" x14ac:dyDescent="0.25">
      <c r="B82" s="227"/>
      <c r="C82" s="187"/>
      <c r="D82" s="187"/>
      <c r="E82" s="187"/>
      <c r="F82" s="187"/>
      <c r="G82" s="187"/>
      <c r="H82" s="187"/>
      <c r="I82" s="187"/>
      <c r="J82" s="237"/>
      <c r="K82" s="237"/>
      <c r="L82" s="207"/>
      <c r="M82" s="207"/>
      <c r="N82" s="207"/>
      <c r="O82" s="207"/>
      <c r="P82" s="207"/>
      <c r="Q82" s="207"/>
      <c r="R82" s="207"/>
      <c r="S82" s="207"/>
      <c r="T82" s="207"/>
      <c r="U82" s="207"/>
      <c r="V82" s="207"/>
      <c r="W82" s="207"/>
      <c r="X82" s="218"/>
      <c r="Y82" s="163"/>
      <c r="Z82" s="173"/>
      <c r="AA82" s="173"/>
      <c r="AB82" s="163"/>
      <c r="AC82" s="163"/>
      <c r="AD82" s="163"/>
      <c r="AE82" s="163"/>
      <c r="AF82" s="163"/>
      <c r="AG82" s="163"/>
      <c r="AH82" s="167"/>
      <c r="AJ82" s="163"/>
      <c r="AK82" s="163"/>
      <c r="AL82" s="163"/>
      <c r="AM82" s="163"/>
      <c r="AN82" s="163"/>
      <c r="AO82" s="163"/>
      <c r="AP82" s="163"/>
      <c r="AQ82" s="163"/>
      <c r="AR82" s="163"/>
      <c r="AS82" s="163"/>
      <c r="AT82" s="163"/>
      <c r="AU82" s="163"/>
      <c r="AV82" s="163"/>
      <c r="AW82" s="163"/>
      <c r="AX82" s="163"/>
      <c r="AY82" s="163"/>
      <c r="AZ82" s="163"/>
      <c r="BA82" s="163"/>
      <c r="BB82" s="163"/>
      <c r="BC82" s="163"/>
      <c r="BD82" s="163"/>
      <c r="BE82" s="163"/>
      <c r="BF82" s="163"/>
      <c r="BG82" s="163"/>
      <c r="BH82" s="163"/>
      <c r="BI82" s="163"/>
      <c r="BJ82" s="163"/>
      <c r="BK82" s="163"/>
      <c r="BL82" s="163"/>
      <c r="BM82" s="163"/>
      <c r="BN82" s="163"/>
      <c r="BO82" s="163"/>
      <c r="BP82" s="163"/>
      <c r="BQ82" s="163"/>
      <c r="BR82" s="163"/>
      <c r="BS82" s="163"/>
      <c r="BT82" s="163"/>
      <c r="BU82" s="163"/>
      <c r="BV82" s="163"/>
      <c r="BW82" s="163"/>
      <c r="BX82" s="163"/>
      <c r="BY82" s="163"/>
      <c r="BZ82" s="163"/>
      <c r="CA82" s="163"/>
      <c r="CB82" s="163"/>
      <c r="CC82" s="163"/>
    </row>
    <row r="83" spans="2:81" ht="15.6" x14ac:dyDescent="0.25">
      <c r="B83" s="227"/>
      <c r="C83" s="187"/>
      <c r="D83" s="187"/>
      <c r="E83" s="187"/>
      <c r="F83" s="187"/>
      <c r="G83" s="187"/>
      <c r="H83" s="187"/>
      <c r="I83" s="187"/>
      <c r="J83" s="237"/>
      <c r="K83" s="237"/>
      <c r="L83" s="207"/>
      <c r="M83" s="207"/>
      <c r="N83" s="207"/>
      <c r="O83" s="207"/>
      <c r="P83" s="207"/>
      <c r="Q83" s="207"/>
      <c r="R83" s="207"/>
      <c r="S83" s="207"/>
      <c r="T83" s="207"/>
      <c r="U83" s="207"/>
      <c r="V83" s="207"/>
      <c r="W83" s="207"/>
      <c r="X83" s="218"/>
      <c r="Y83" s="163"/>
      <c r="Z83" s="173"/>
      <c r="AA83" s="173"/>
      <c r="AB83" s="163"/>
      <c r="AC83" s="163"/>
      <c r="AD83" s="163"/>
      <c r="AE83" s="163"/>
      <c r="AF83" s="163"/>
      <c r="AG83" s="163"/>
      <c r="AH83" s="167"/>
      <c r="AJ83" s="163"/>
      <c r="AK83" s="163"/>
      <c r="AL83" s="163"/>
      <c r="AM83" s="163"/>
      <c r="AN83" s="163"/>
      <c r="AO83" s="163"/>
      <c r="AP83" s="163"/>
      <c r="AQ83" s="163"/>
      <c r="AR83" s="163"/>
      <c r="AS83" s="163"/>
      <c r="AT83" s="163"/>
      <c r="AU83" s="163"/>
      <c r="AV83" s="163"/>
      <c r="AW83" s="163"/>
      <c r="AX83" s="163"/>
      <c r="AY83" s="163"/>
      <c r="AZ83" s="163"/>
      <c r="BA83" s="163"/>
      <c r="BB83" s="163"/>
      <c r="BC83" s="163"/>
      <c r="BD83" s="163"/>
      <c r="BE83" s="163"/>
      <c r="BF83" s="163"/>
      <c r="BG83" s="163"/>
      <c r="BH83" s="163"/>
      <c r="BI83" s="163"/>
      <c r="BJ83" s="163"/>
      <c r="BK83" s="163"/>
      <c r="BL83" s="163"/>
      <c r="BM83" s="163"/>
      <c r="BN83" s="163"/>
      <c r="BO83" s="163"/>
      <c r="BP83" s="163"/>
      <c r="BQ83" s="163"/>
      <c r="BR83" s="163"/>
      <c r="BS83" s="163"/>
      <c r="BT83" s="163"/>
      <c r="BU83" s="163"/>
      <c r="BV83" s="163"/>
      <c r="BW83" s="163"/>
      <c r="BX83" s="163"/>
      <c r="BY83" s="163"/>
      <c r="BZ83" s="163"/>
      <c r="CA83" s="163"/>
      <c r="CB83" s="163"/>
      <c r="CC83" s="163"/>
    </row>
    <row r="84" spans="2:81" ht="15.6" x14ac:dyDescent="0.25">
      <c r="B84" s="227"/>
      <c r="C84" s="187"/>
      <c r="D84" s="187"/>
      <c r="E84" s="187"/>
      <c r="F84" s="187"/>
      <c r="G84" s="187"/>
      <c r="H84" s="187"/>
      <c r="I84" s="187"/>
      <c r="J84" s="237"/>
      <c r="K84" s="237"/>
      <c r="L84" s="207"/>
      <c r="M84" s="207"/>
      <c r="N84" s="207"/>
      <c r="O84" s="207"/>
      <c r="P84" s="207"/>
      <c r="Q84" s="207"/>
      <c r="R84" s="207"/>
      <c r="S84" s="207"/>
      <c r="T84" s="207"/>
      <c r="U84" s="207"/>
      <c r="V84" s="207"/>
      <c r="W84" s="207"/>
      <c r="X84" s="218"/>
      <c r="Y84" s="163"/>
      <c r="Z84" s="173"/>
      <c r="AA84" s="173"/>
      <c r="AB84" s="163"/>
      <c r="AC84" s="163"/>
      <c r="AD84" s="163"/>
      <c r="AE84" s="163"/>
      <c r="AF84" s="163"/>
      <c r="AG84" s="163"/>
      <c r="AH84" s="167"/>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3"/>
      <c r="BJ84" s="163"/>
      <c r="BK84" s="163"/>
      <c r="BL84" s="163"/>
      <c r="BM84" s="163"/>
      <c r="BN84" s="163"/>
      <c r="BO84" s="163"/>
      <c r="BP84" s="163"/>
      <c r="BQ84" s="163"/>
      <c r="BR84" s="163"/>
      <c r="BS84" s="163"/>
      <c r="BT84" s="163"/>
      <c r="BU84" s="163"/>
      <c r="BV84" s="163"/>
      <c r="BW84" s="163"/>
      <c r="BX84" s="163"/>
      <c r="BY84" s="163"/>
      <c r="BZ84" s="163"/>
      <c r="CA84" s="163"/>
      <c r="CB84" s="163"/>
      <c r="CC84" s="163"/>
    </row>
    <row r="85" spans="2:81" ht="15.6" x14ac:dyDescent="0.25">
      <c r="B85" s="227"/>
      <c r="C85" s="187"/>
      <c r="D85" s="187"/>
      <c r="E85" s="187"/>
      <c r="F85" s="187"/>
      <c r="G85" s="187"/>
      <c r="H85" s="187"/>
      <c r="I85" s="187"/>
      <c r="J85" s="237"/>
      <c r="K85" s="237"/>
      <c r="L85" s="207"/>
      <c r="M85" s="207"/>
      <c r="N85" s="207"/>
      <c r="O85" s="207"/>
      <c r="P85" s="207"/>
      <c r="Q85" s="207"/>
      <c r="R85" s="207"/>
      <c r="S85" s="207"/>
      <c r="T85" s="207"/>
      <c r="U85" s="207"/>
      <c r="V85" s="207"/>
      <c r="W85" s="207"/>
      <c r="X85" s="218"/>
      <c r="Y85" s="163"/>
      <c r="Z85" s="173"/>
      <c r="AA85" s="173"/>
      <c r="AB85" s="163"/>
      <c r="AC85" s="163"/>
      <c r="AD85" s="163"/>
      <c r="AE85" s="163"/>
      <c r="AF85" s="163"/>
      <c r="AG85" s="163"/>
      <c r="AH85" s="167"/>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3"/>
      <c r="BJ85" s="163"/>
      <c r="BK85" s="163"/>
      <c r="BL85" s="163"/>
      <c r="BM85" s="163"/>
      <c r="BN85" s="163"/>
      <c r="BO85" s="163"/>
      <c r="BP85" s="163"/>
      <c r="BQ85" s="163"/>
      <c r="BR85" s="163"/>
      <c r="BS85" s="163"/>
      <c r="BT85" s="163"/>
      <c r="BU85" s="163"/>
      <c r="BV85" s="163"/>
      <c r="BW85" s="163"/>
      <c r="BX85" s="163"/>
      <c r="BY85" s="163"/>
      <c r="BZ85" s="163"/>
      <c r="CA85" s="163"/>
      <c r="CB85" s="163"/>
      <c r="CC85" s="163"/>
    </row>
    <row r="86" spans="2:81" ht="15.6" x14ac:dyDescent="0.25">
      <c r="B86" s="227"/>
      <c r="C86" s="187"/>
      <c r="D86" s="187"/>
      <c r="E86" s="187"/>
      <c r="F86" s="187"/>
      <c r="G86" s="187"/>
      <c r="H86" s="187"/>
      <c r="I86" s="187"/>
      <c r="J86" s="237"/>
      <c r="K86" s="237"/>
      <c r="L86" s="207"/>
      <c r="M86" s="207"/>
      <c r="N86" s="207"/>
      <c r="O86" s="207"/>
      <c r="P86" s="207"/>
      <c r="Q86" s="207"/>
      <c r="R86" s="207"/>
      <c r="S86" s="207"/>
      <c r="T86" s="207"/>
      <c r="U86" s="207"/>
      <c r="V86" s="207"/>
      <c r="W86" s="207"/>
      <c r="X86" s="218"/>
      <c r="Y86" s="163"/>
      <c r="Z86" s="173"/>
      <c r="AA86" s="173"/>
      <c r="AB86" s="163"/>
      <c r="AC86" s="163"/>
      <c r="AD86" s="163"/>
      <c r="AE86" s="163"/>
      <c r="AF86" s="163"/>
      <c r="AG86" s="163"/>
      <c r="AH86" s="167"/>
      <c r="AJ86" s="163"/>
      <c r="AK86" s="163"/>
      <c r="AL86" s="163"/>
      <c r="AM86" s="163"/>
      <c r="AN86" s="163"/>
      <c r="AO86" s="163"/>
      <c r="AP86" s="163"/>
      <c r="AQ86" s="163"/>
      <c r="AR86" s="163"/>
      <c r="AS86" s="163"/>
      <c r="AT86" s="163"/>
      <c r="AU86" s="163"/>
      <c r="AV86" s="163"/>
      <c r="AW86" s="163"/>
      <c r="AX86" s="163"/>
      <c r="AY86" s="163"/>
      <c r="AZ86" s="163"/>
      <c r="BA86" s="163"/>
      <c r="BB86" s="163"/>
      <c r="BC86" s="163"/>
      <c r="BD86" s="163"/>
      <c r="BE86" s="163"/>
      <c r="BF86" s="163"/>
      <c r="BG86" s="163"/>
      <c r="BH86" s="163"/>
      <c r="BI86" s="163"/>
      <c r="BJ86" s="163"/>
      <c r="BK86" s="163"/>
      <c r="BL86" s="163"/>
      <c r="BM86" s="163"/>
      <c r="BN86" s="163"/>
      <c r="BO86" s="163"/>
      <c r="BP86" s="163"/>
      <c r="BQ86" s="163"/>
      <c r="BR86" s="163"/>
      <c r="BS86" s="163"/>
      <c r="BT86" s="163"/>
      <c r="BU86" s="163"/>
      <c r="BV86" s="163"/>
      <c r="BW86" s="163"/>
      <c r="BX86" s="163"/>
      <c r="BY86" s="163"/>
      <c r="BZ86" s="163"/>
      <c r="CA86" s="163"/>
      <c r="CB86" s="163"/>
      <c r="CC86" s="163"/>
    </row>
    <row r="87" spans="2:81" ht="15.6" x14ac:dyDescent="0.25">
      <c r="B87" s="227"/>
      <c r="C87" s="187"/>
      <c r="D87" s="187"/>
      <c r="E87" s="187"/>
      <c r="F87" s="187"/>
      <c r="G87" s="187"/>
      <c r="H87" s="187"/>
      <c r="I87" s="187"/>
      <c r="J87" s="237"/>
      <c r="K87" s="237"/>
      <c r="L87" s="207"/>
      <c r="M87" s="207"/>
      <c r="N87" s="207"/>
      <c r="O87" s="207"/>
      <c r="P87" s="207"/>
      <c r="Q87" s="207"/>
      <c r="R87" s="207"/>
      <c r="S87" s="207"/>
      <c r="T87" s="207"/>
      <c r="U87" s="207"/>
      <c r="V87" s="207"/>
      <c r="W87" s="207"/>
      <c r="X87" s="218"/>
      <c r="Y87" s="163"/>
      <c r="Z87" s="173"/>
      <c r="AA87" s="173"/>
      <c r="AB87" s="163"/>
      <c r="AC87" s="163"/>
      <c r="AD87" s="163"/>
      <c r="AE87" s="163"/>
      <c r="AF87" s="163"/>
      <c r="AG87" s="163"/>
      <c r="AH87" s="167"/>
      <c r="AJ87" s="163"/>
      <c r="AK87" s="163"/>
      <c r="AL87" s="163"/>
      <c r="AM87" s="163"/>
      <c r="AN87" s="163"/>
      <c r="AO87" s="163"/>
      <c r="AP87" s="163"/>
      <c r="AQ87" s="163"/>
      <c r="AR87" s="163"/>
      <c r="AS87" s="163"/>
      <c r="AT87" s="163"/>
      <c r="AU87" s="163"/>
      <c r="AV87" s="163"/>
      <c r="AW87" s="163"/>
      <c r="AX87" s="163"/>
      <c r="AY87" s="163"/>
      <c r="AZ87" s="163"/>
      <c r="BA87" s="163"/>
      <c r="BB87" s="163"/>
      <c r="BC87" s="163"/>
      <c r="BD87" s="163"/>
      <c r="BE87" s="163"/>
      <c r="BF87" s="163"/>
      <c r="BG87" s="163"/>
      <c r="BH87" s="163"/>
      <c r="BI87" s="163"/>
      <c r="BJ87" s="163"/>
      <c r="BK87" s="163"/>
      <c r="BL87" s="163"/>
      <c r="BM87" s="163"/>
      <c r="BN87" s="163"/>
      <c r="BO87" s="163"/>
      <c r="BP87" s="163"/>
      <c r="BQ87" s="163"/>
      <c r="BR87" s="163"/>
      <c r="BS87" s="163"/>
      <c r="BT87" s="163"/>
      <c r="BU87" s="163"/>
      <c r="BV87" s="163"/>
      <c r="BW87" s="163"/>
      <c r="BX87" s="163"/>
      <c r="BY87" s="163"/>
      <c r="BZ87" s="163"/>
      <c r="CA87" s="163"/>
      <c r="CB87" s="163"/>
      <c r="CC87" s="163"/>
    </row>
    <row r="88" spans="2:81" ht="15.6" x14ac:dyDescent="0.25">
      <c r="B88" s="227"/>
      <c r="C88" s="187"/>
      <c r="D88" s="187"/>
      <c r="E88" s="187"/>
      <c r="F88" s="187"/>
      <c r="G88" s="187"/>
      <c r="H88" s="187"/>
      <c r="I88" s="187"/>
      <c r="J88" s="237"/>
      <c r="K88" s="237"/>
      <c r="L88" s="207"/>
      <c r="M88" s="207"/>
      <c r="N88" s="207"/>
      <c r="O88" s="207"/>
      <c r="P88" s="207"/>
      <c r="Q88" s="207"/>
      <c r="R88" s="207"/>
      <c r="S88" s="207"/>
      <c r="T88" s="207"/>
      <c r="U88" s="207"/>
      <c r="V88" s="207"/>
      <c r="W88" s="207"/>
      <c r="X88" s="218"/>
      <c r="Y88" s="163"/>
      <c r="Z88" s="173"/>
      <c r="AA88" s="173"/>
      <c r="AB88" s="163"/>
      <c r="AC88" s="163"/>
      <c r="AD88" s="163"/>
      <c r="AE88" s="163"/>
      <c r="AF88" s="163"/>
      <c r="AG88" s="163"/>
      <c r="AH88" s="167"/>
      <c r="AJ88" s="163"/>
      <c r="AK88" s="163"/>
      <c r="AL88" s="163"/>
      <c r="AM88" s="163"/>
      <c r="AN88" s="163"/>
      <c r="AO88" s="163"/>
      <c r="AP88" s="163"/>
      <c r="AQ88" s="163"/>
      <c r="AR88" s="163"/>
      <c r="AS88" s="163"/>
      <c r="AT88" s="163"/>
      <c r="AU88" s="163"/>
      <c r="AV88" s="163"/>
      <c r="AW88" s="163"/>
      <c r="AX88" s="163"/>
      <c r="AY88" s="163"/>
      <c r="AZ88" s="163"/>
      <c r="BA88" s="163"/>
      <c r="BB88" s="163"/>
      <c r="BC88" s="163"/>
      <c r="BD88" s="163"/>
      <c r="BE88" s="163"/>
      <c r="BF88" s="163"/>
      <c r="BG88" s="163"/>
      <c r="BH88" s="163"/>
      <c r="BI88" s="163"/>
      <c r="BJ88" s="163"/>
      <c r="BK88" s="163"/>
      <c r="BL88" s="163"/>
      <c r="BM88" s="163"/>
      <c r="BN88" s="163"/>
      <c r="BO88" s="163"/>
      <c r="BP88" s="163"/>
      <c r="BQ88" s="163"/>
      <c r="BR88" s="163"/>
      <c r="BS88" s="163"/>
      <c r="BT88" s="163"/>
      <c r="BU88" s="163"/>
      <c r="BV88" s="163"/>
      <c r="BW88" s="163"/>
      <c r="BX88" s="163"/>
      <c r="BY88" s="163"/>
      <c r="BZ88" s="163"/>
      <c r="CA88" s="163"/>
      <c r="CB88" s="163"/>
      <c r="CC88" s="163"/>
    </row>
    <row r="89" spans="2:81" ht="15.6" x14ac:dyDescent="0.25">
      <c r="B89" s="227"/>
      <c r="C89" s="187"/>
      <c r="D89" s="187"/>
      <c r="E89" s="187"/>
      <c r="F89" s="187"/>
      <c r="G89" s="187"/>
      <c r="H89" s="187"/>
      <c r="I89" s="187"/>
      <c r="J89" s="237"/>
      <c r="K89" s="237"/>
      <c r="L89" s="207"/>
      <c r="M89" s="207"/>
      <c r="N89" s="207"/>
      <c r="O89" s="207"/>
      <c r="P89" s="207"/>
      <c r="Q89" s="207"/>
      <c r="R89" s="207"/>
      <c r="S89" s="207"/>
      <c r="T89" s="207"/>
      <c r="U89" s="207"/>
      <c r="V89" s="207"/>
      <c r="W89" s="207"/>
      <c r="X89" s="218"/>
      <c r="Y89" s="163"/>
      <c r="Z89" s="173"/>
      <c r="AA89" s="173"/>
      <c r="AB89" s="163"/>
      <c r="AC89" s="163"/>
      <c r="AD89" s="163"/>
      <c r="AE89" s="163"/>
      <c r="AF89" s="163"/>
      <c r="AG89" s="163"/>
      <c r="AH89" s="167"/>
      <c r="AJ89" s="163"/>
      <c r="AK89" s="163"/>
      <c r="AL89" s="163"/>
      <c r="AM89" s="163"/>
      <c r="AN89" s="163"/>
      <c r="AO89" s="163"/>
      <c r="AP89" s="163"/>
      <c r="AQ89" s="163"/>
      <c r="AR89" s="163"/>
      <c r="AS89" s="163"/>
      <c r="AT89" s="163"/>
      <c r="AU89" s="163"/>
      <c r="AV89" s="163"/>
      <c r="AW89" s="163"/>
      <c r="AX89" s="163"/>
      <c r="AY89" s="163"/>
      <c r="AZ89" s="163"/>
      <c r="BA89" s="163"/>
      <c r="BB89" s="163"/>
      <c r="BC89" s="163"/>
      <c r="BD89" s="163"/>
      <c r="BE89" s="163"/>
      <c r="BF89" s="163"/>
      <c r="BG89" s="163"/>
      <c r="BH89" s="163"/>
      <c r="BI89" s="163"/>
      <c r="BJ89" s="163"/>
      <c r="BK89" s="163"/>
      <c r="BL89" s="163"/>
      <c r="BM89" s="163"/>
      <c r="BN89" s="163"/>
      <c r="BO89" s="163"/>
      <c r="BP89" s="163"/>
      <c r="BQ89" s="163"/>
      <c r="BR89" s="163"/>
      <c r="BS89" s="163"/>
      <c r="BT89" s="163"/>
      <c r="BU89" s="163"/>
      <c r="BV89" s="163"/>
      <c r="BW89" s="163"/>
      <c r="BX89" s="163"/>
      <c r="BY89" s="163"/>
      <c r="BZ89" s="163"/>
      <c r="CA89" s="163"/>
      <c r="CB89" s="163"/>
      <c r="CC89" s="163"/>
    </row>
    <row r="90" spans="2:81" ht="15.6" x14ac:dyDescent="0.25">
      <c r="B90" s="227"/>
      <c r="C90" s="187"/>
      <c r="D90" s="187"/>
      <c r="E90" s="187"/>
      <c r="F90" s="187"/>
      <c r="G90" s="187"/>
      <c r="H90" s="187"/>
      <c r="I90" s="187"/>
      <c r="J90" s="237"/>
      <c r="K90" s="237"/>
      <c r="L90" s="207"/>
      <c r="M90" s="207"/>
      <c r="N90" s="207"/>
      <c r="O90" s="207"/>
      <c r="P90" s="207"/>
      <c r="Q90" s="207"/>
      <c r="R90" s="207"/>
      <c r="S90" s="207"/>
      <c r="T90" s="207"/>
      <c r="U90" s="207"/>
      <c r="V90" s="207"/>
      <c r="W90" s="207"/>
      <c r="X90" s="218"/>
      <c r="Y90" s="163"/>
      <c r="Z90" s="173"/>
      <c r="AA90" s="173"/>
      <c r="AB90" s="163"/>
      <c r="AC90" s="163"/>
      <c r="AD90" s="163"/>
      <c r="AE90" s="163"/>
      <c r="AF90" s="163"/>
      <c r="AG90" s="163"/>
      <c r="AH90" s="167"/>
      <c r="AJ90" s="163"/>
      <c r="AK90" s="163"/>
      <c r="AL90" s="163"/>
      <c r="AM90" s="163"/>
      <c r="AN90" s="163"/>
      <c r="AO90" s="163"/>
      <c r="AP90" s="163"/>
      <c r="AQ90" s="163"/>
      <c r="AR90" s="163"/>
      <c r="AS90" s="163"/>
      <c r="AT90" s="163"/>
      <c r="AU90" s="163"/>
      <c r="AV90" s="163"/>
      <c r="AW90" s="163"/>
      <c r="AX90" s="163"/>
      <c r="AY90" s="163"/>
      <c r="AZ90" s="163"/>
      <c r="BA90" s="163"/>
      <c r="BB90" s="163"/>
      <c r="BC90" s="163"/>
      <c r="BD90" s="163"/>
      <c r="BE90" s="163"/>
      <c r="BF90" s="163"/>
      <c r="BG90" s="163"/>
      <c r="BH90" s="163"/>
      <c r="BI90" s="163"/>
      <c r="BJ90" s="163"/>
      <c r="BK90" s="163"/>
      <c r="BL90" s="163"/>
      <c r="BM90" s="163"/>
      <c r="BN90" s="163"/>
      <c r="BO90" s="163"/>
      <c r="BP90" s="163"/>
      <c r="BQ90" s="163"/>
      <c r="BR90" s="163"/>
      <c r="BS90" s="163"/>
      <c r="BT90" s="163"/>
      <c r="BU90" s="163"/>
      <c r="BV90" s="163"/>
      <c r="BW90" s="163"/>
      <c r="BX90" s="163"/>
      <c r="BY90" s="163"/>
      <c r="BZ90" s="163"/>
      <c r="CA90" s="163"/>
      <c r="CB90" s="163"/>
      <c r="CC90" s="163"/>
    </row>
    <row r="91" spans="2:81" ht="15.6" x14ac:dyDescent="0.25">
      <c r="B91" s="227"/>
      <c r="C91" s="187"/>
      <c r="D91" s="187"/>
      <c r="E91" s="187"/>
      <c r="F91" s="187"/>
      <c r="G91" s="187"/>
      <c r="H91" s="187"/>
      <c r="I91" s="187"/>
      <c r="J91" s="237"/>
      <c r="K91" s="237"/>
      <c r="L91" s="207"/>
      <c r="M91" s="207"/>
      <c r="N91" s="207"/>
      <c r="O91" s="207"/>
      <c r="P91" s="207"/>
      <c r="Q91" s="207"/>
      <c r="R91" s="207"/>
      <c r="S91" s="207"/>
      <c r="T91" s="207"/>
      <c r="U91" s="207"/>
      <c r="V91" s="207"/>
      <c r="W91" s="207"/>
      <c r="X91" s="218"/>
      <c r="Y91" s="163"/>
      <c r="Z91" s="173"/>
      <c r="AA91" s="173"/>
      <c r="AB91" s="163"/>
      <c r="AC91" s="163"/>
      <c r="AD91" s="163"/>
      <c r="AE91" s="163"/>
      <c r="AF91" s="163"/>
      <c r="AG91" s="163"/>
      <c r="AH91" s="167"/>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3"/>
      <c r="BJ91" s="163"/>
      <c r="BK91" s="163"/>
      <c r="BL91" s="163"/>
      <c r="BM91" s="163"/>
      <c r="BN91" s="163"/>
      <c r="BO91" s="163"/>
      <c r="BP91" s="163"/>
      <c r="BQ91" s="163"/>
      <c r="BR91" s="163"/>
      <c r="BS91" s="163"/>
      <c r="BT91" s="163"/>
      <c r="BU91" s="163"/>
      <c r="BV91" s="163"/>
      <c r="BW91" s="163"/>
      <c r="BX91" s="163"/>
      <c r="BY91" s="163"/>
      <c r="BZ91" s="163"/>
      <c r="CA91" s="163"/>
      <c r="CB91" s="163"/>
      <c r="CC91" s="163"/>
    </row>
    <row r="92" spans="2:81" ht="15.6" x14ac:dyDescent="0.25">
      <c r="B92" s="227"/>
      <c r="C92" s="187"/>
      <c r="D92" s="187"/>
      <c r="E92" s="187"/>
      <c r="F92" s="187"/>
      <c r="G92" s="187"/>
      <c r="H92" s="187"/>
      <c r="I92" s="187"/>
      <c r="J92" s="237"/>
      <c r="K92" s="237"/>
      <c r="L92" s="207"/>
      <c r="M92" s="207"/>
      <c r="N92" s="207"/>
      <c r="O92" s="207"/>
      <c r="P92" s="207"/>
      <c r="Q92" s="207"/>
      <c r="R92" s="207"/>
      <c r="S92" s="207"/>
      <c r="T92" s="207"/>
      <c r="U92" s="207"/>
      <c r="V92" s="207"/>
      <c r="W92" s="207"/>
      <c r="X92" s="218"/>
      <c r="Y92" s="163"/>
      <c r="Z92" s="173"/>
      <c r="AA92" s="173"/>
      <c r="AB92" s="163"/>
      <c r="AC92" s="163"/>
      <c r="AD92" s="163"/>
      <c r="AE92" s="163"/>
      <c r="AF92" s="163"/>
      <c r="AG92" s="163"/>
      <c r="AH92" s="167"/>
      <c r="AJ92" s="163"/>
      <c r="AK92" s="163"/>
      <c r="AL92" s="163"/>
      <c r="AM92" s="163"/>
      <c r="AN92" s="163"/>
      <c r="AO92" s="163"/>
      <c r="AP92" s="163"/>
      <c r="AQ92" s="163"/>
      <c r="AR92" s="163"/>
      <c r="AS92" s="163"/>
      <c r="AT92" s="163"/>
      <c r="AU92" s="163"/>
      <c r="AV92" s="163"/>
      <c r="AW92" s="163"/>
      <c r="AX92" s="163"/>
      <c r="AY92" s="163"/>
      <c r="AZ92" s="163"/>
      <c r="BA92" s="163"/>
      <c r="BB92" s="163"/>
      <c r="BC92" s="163"/>
      <c r="BD92" s="163"/>
      <c r="BE92" s="163"/>
      <c r="BF92" s="163"/>
      <c r="BG92" s="163"/>
      <c r="BH92" s="163"/>
      <c r="BI92" s="163"/>
      <c r="BJ92" s="163"/>
      <c r="BK92" s="163"/>
      <c r="BL92" s="163"/>
      <c r="BM92" s="163"/>
      <c r="BN92" s="163"/>
      <c r="BO92" s="163"/>
      <c r="BP92" s="163"/>
      <c r="BQ92" s="163"/>
      <c r="BR92" s="163"/>
      <c r="BS92" s="163"/>
      <c r="BT92" s="163"/>
      <c r="BU92" s="163"/>
      <c r="BV92" s="163"/>
      <c r="BW92" s="163"/>
      <c r="BX92" s="163"/>
      <c r="BY92" s="163"/>
      <c r="BZ92" s="163"/>
      <c r="CA92" s="163"/>
      <c r="CB92" s="163"/>
      <c r="CC92" s="163"/>
    </row>
    <row r="93" spans="2:81" ht="15.6" x14ac:dyDescent="0.25">
      <c r="B93" s="227"/>
      <c r="C93" s="187"/>
      <c r="D93" s="187"/>
      <c r="E93" s="187"/>
      <c r="F93" s="187"/>
      <c r="G93" s="187"/>
      <c r="H93" s="187"/>
      <c r="I93" s="187"/>
      <c r="J93" s="237"/>
      <c r="K93" s="237"/>
      <c r="L93" s="207"/>
      <c r="M93" s="207"/>
      <c r="N93" s="207"/>
      <c r="O93" s="207"/>
      <c r="P93" s="207"/>
      <c r="Q93" s="207"/>
      <c r="R93" s="207"/>
      <c r="S93" s="207"/>
      <c r="T93" s="207"/>
      <c r="U93" s="207"/>
      <c r="V93" s="207"/>
      <c r="W93" s="207"/>
      <c r="X93" s="218"/>
      <c r="Y93" s="163"/>
      <c r="Z93" s="173"/>
      <c r="AA93" s="173"/>
      <c r="AB93" s="163"/>
      <c r="AC93" s="163"/>
      <c r="AD93" s="163"/>
      <c r="AE93" s="163"/>
      <c r="AF93" s="163"/>
      <c r="AG93" s="163"/>
      <c r="AH93" s="167"/>
      <c r="AJ93" s="163"/>
      <c r="AK93" s="163"/>
      <c r="AL93" s="163"/>
      <c r="AM93" s="163"/>
      <c r="AN93" s="163"/>
      <c r="AO93" s="163"/>
      <c r="AP93" s="163"/>
      <c r="AQ93" s="163"/>
      <c r="AR93" s="163"/>
      <c r="AS93" s="163"/>
      <c r="AT93" s="163"/>
      <c r="AU93" s="163"/>
      <c r="AV93" s="163"/>
      <c r="AW93" s="163"/>
      <c r="AX93" s="163"/>
      <c r="AY93" s="163"/>
      <c r="AZ93" s="163"/>
      <c r="BA93" s="163"/>
      <c r="BB93" s="163"/>
      <c r="BC93" s="163"/>
      <c r="BD93" s="163"/>
      <c r="BE93" s="163"/>
      <c r="BF93" s="163"/>
      <c r="BG93" s="163"/>
      <c r="BH93" s="163"/>
      <c r="BI93" s="163"/>
      <c r="BJ93" s="163"/>
      <c r="BK93" s="163"/>
      <c r="BL93" s="163"/>
      <c r="BM93" s="163"/>
      <c r="BN93" s="163"/>
      <c r="BO93" s="163"/>
      <c r="BP93" s="163"/>
      <c r="BQ93" s="163"/>
      <c r="BR93" s="163"/>
      <c r="BS93" s="163"/>
      <c r="BT93" s="163"/>
      <c r="BU93" s="163"/>
      <c r="BV93" s="163"/>
      <c r="BW93" s="163"/>
      <c r="BX93" s="163"/>
      <c r="BY93" s="163"/>
      <c r="BZ93" s="163"/>
      <c r="CA93" s="163"/>
      <c r="CB93" s="163"/>
      <c r="CC93" s="163"/>
    </row>
    <row r="94" spans="2:81" ht="15.6" x14ac:dyDescent="0.25">
      <c r="B94" s="227"/>
      <c r="C94" s="187"/>
      <c r="D94" s="187"/>
      <c r="E94" s="187"/>
      <c r="F94" s="187"/>
      <c r="G94" s="187"/>
      <c r="H94" s="187"/>
      <c r="I94" s="187"/>
      <c r="J94" s="237"/>
      <c r="K94" s="237"/>
      <c r="L94" s="207"/>
      <c r="M94" s="207"/>
      <c r="N94" s="207"/>
      <c r="O94" s="207"/>
      <c r="P94" s="207"/>
      <c r="Q94" s="207"/>
      <c r="R94" s="207"/>
      <c r="S94" s="207"/>
      <c r="T94" s="207"/>
      <c r="U94" s="207"/>
      <c r="V94" s="207"/>
      <c r="W94" s="207"/>
      <c r="X94" s="218"/>
      <c r="Y94" s="163"/>
      <c r="Z94" s="173"/>
      <c r="AA94" s="173"/>
      <c r="AB94" s="163"/>
      <c r="AC94" s="163"/>
      <c r="AD94" s="163"/>
      <c r="AE94" s="163"/>
      <c r="AF94" s="163"/>
      <c r="AG94" s="163"/>
      <c r="AH94" s="167"/>
      <c r="AJ94" s="163"/>
      <c r="AK94" s="163"/>
      <c r="AL94" s="163"/>
      <c r="AM94" s="163"/>
      <c r="AN94" s="163"/>
      <c r="AO94" s="163"/>
      <c r="AP94" s="163"/>
      <c r="AQ94" s="163"/>
      <c r="AR94" s="163"/>
      <c r="AS94" s="163"/>
      <c r="AT94" s="163"/>
      <c r="AU94" s="163"/>
      <c r="AV94" s="163"/>
      <c r="AW94" s="163"/>
      <c r="AX94" s="163"/>
      <c r="AY94" s="163"/>
      <c r="AZ94" s="163"/>
      <c r="BA94" s="163"/>
      <c r="BB94" s="163"/>
      <c r="BC94" s="163"/>
      <c r="BD94" s="163"/>
      <c r="BE94" s="163"/>
      <c r="BF94" s="163"/>
      <c r="BG94" s="163"/>
      <c r="BH94" s="163"/>
      <c r="BI94" s="163"/>
      <c r="BJ94" s="163"/>
      <c r="BK94" s="163"/>
      <c r="BL94" s="163"/>
      <c r="BM94" s="163"/>
      <c r="BN94" s="163"/>
      <c r="BO94" s="163"/>
      <c r="BP94" s="163"/>
      <c r="BQ94" s="163"/>
      <c r="BR94" s="163"/>
      <c r="BS94" s="163"/>
      <c r="BT94" s="163"/>
      <c r="BU94" s="163"/>
      <c r="BV94" s="163"/>
      <c r="BW94" s="163"/>
      <c r="BX94" s="163"/>
      <c r="BY94" s="163"/>
      <c r="BZ94" s="163"/>
      <c r="CA94" s="163"/>
      <c r="CB94" s="163"/>
      <c r="CC94" s="163"/>
    </row>
    <row r="95" spans="2:81" ht="15.6" x14ac:dyDescent="0.25">
      <c r="B95" s="227"/>
      <c r="C95" s="187"/>
      <c r="D95" s="187"/>
      <c r="E95" s="187"/>
      <c r="F95" s="187"/>
      <c r="G95" s="187"/>
      <c r="H95" s="187"/>
      <c r="I95" s="187"/>
      <c r="J95" s="237"/>
      <c r="K95" s="237"/>
      <c r="L95" s="207"/>
      <c r="M95" s="207"/>
      <c r="N95" s="207"/>
      <c r="O95" s="207"/>
      <c r="P95" s="207"/>
      <c r="Q95" s="207"/>
      <c r="R95" s="207"/>
      <c r="S95" s="207"/>
      <c r="T95" s="207"/>
      <c r="U95" s="207"/>
      <c r="V95" s="207"/>
      <c r="W95" s="207"/>
      <c r="X95" s="218"/>
      <c r="Y95" s="163"/>
      <c r="Z95" s="173"/>
      <c r="AA95" s="173"/>
      <c r="AB95" s="163"/>
      <c r="AC95" s="163"/>
      <c r="AD95" s="163"/>
      <c r="AE95" s="163"/>
      <c r="AF95" s="163"/>
      <c r="AG95" s="163"/>
      <c r="AH95" s="167"/>
      <c r="AJ95" s="163"/>
      <c r="AK95" s="163"/>
      <c r="AL95" s="163"/>
      <c r="AM95" s="163"/>
      <c r="AN95" s="163"/>
      <c r="AO95" s="163"/>
      <c r="AP95" s="163"/>
      <c r="AQ95" s="163"/>
      <c r="AR95" s="163"/>
      <c r="AS95" s="163"/>
      <c r="AT95" s="163"/>
      <c r="AU95" s="163"/>
      <c r="AV95" s="163"/>
      <c r="AW95" s="163"/>
      <c r="AX95" s="163"/>
      <c r="AY95" s="163"/>
      <c r="AZ95" s="163"/>
      <c r="BA95" s="163"/>
      <c r="BB95" s="163"/>
      <c r="BC95" s="163"/>
      <c r="BD95" s="163"/>
      <c r="BE95" s="163"/>
      <c r="BF95" s="163"/>
      <c r="BG95" s="163"/>
      <c r="BH95" s="163"/>
      <c r="BI95" s="163"/>
      <c r="BJ95" s="163"/>
      <c r="BK95" s="163"/>
      <c r="BL95" s="163"/>
      <c r="BM95" s="163"/>
      <c r="BN95" s="163"/>
      <c r="BO95" s="163"/>
      <c r="BP95" s="163"/>
      <c r="BQ95" s="163"/>
      <c r="BR95" s="163"/>
      <c r="BS95" s="163"/>
      <c r="BT95" s="163"/>
      <c r="BU95" s="163"/>
      <c r="BV95" s="163"/>
      <c r="BW95" s="163"/>
      <c r="BX95" s="163"/>
      <c r="BY95" s="163"/>
      <c r="BZ95" s="163"/>
      <c r="CA95" s="163"/>
      <c r="CB95" s="163"/>
      <c r="CC95" s="163"/>
    </row>
    <row r="96" spans="2:81" ht="15.6" x14ac:dyDescent="0.25">
      <c r="B96" s="227"/>
      <c r="C96" s="187"/>
      <c r="D96" s="187"/>
      <c r="E96" s="187"/>
      <c r="F96" s="187"/>
      <c r="G96" s="187"/>
      <c r="H96" s="187"/>
      <c r="I96" s="187"/>
      <c r="J96" s="237"/>
      <c r="K96" s="237"/>
      <c r="L96" s="207"/>
      <c r="M96" s="207"/>
      <c r="N96" s="207"/>
      <c r="O96" s="207"/>
      <c r="P96" s="207"/>
      <c r="Q96" s="207"/>
      <c r="R96" s="207"/>
      <c r="S96" s="207"/>
      <c r="T96" s="207"/>
      <c r="U96" s="207"/>
      <c r="V96" s="207"/>
      <c r="W96" s="207"/>
      <c r="X96" s="218"/>
      <c r="Y96" s="163"/>
      <c r="Z96" s="173"/>
      <c r="AA96" s="173"/>
      <c r="AB96" s="163"/>
      <c r="AC96" s="163"/>
      <c r="AD96" s="163"/>
      <c r="AE96" s="163"/>
      <c r="AF96" s="163"/>
      <c r="AG96" s="163"/>
      <c r="AH96" s="167"/>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3"/>
      <c r="BJ96" s="163"/>
      <c r="BK96" s="163"/>
      <c r="BL96" s="163"/>
      <c r="BM96" s="163"/>
      <c r="BN96" s="163"/>
      <c r="BO96" s="163"/>
      <c r="BP96" s="163"/>
      <c r="BQ96" s="163"/>
      <c r="BR96" s="163"/>
      <c r="BS96" s="163"/>
      <c r="BT96" s="163"/>
      <c r="BU96" s="163"/>
      <c r="BV96" s="163"/>
      <c r="BW96" s="163"/>
      <c r="BX96" s="163"/>
      <c r="BY96" s="163"/>
      <c r="BZ96" s="163"/>
      <c r="CA96" s="163"/>
      <c r="CB96" s="163"/>
      <c r="CC96" s="163"/>
    </row>
    <row r="97" spans="2:81" ht="15.6" x14ac:dyDescent="0.25">
      <c r="B97" s="227"/>
      <c r="C97" s="187"/>
      <c r="D97" s="187"/>
      <c r="E97" s="187"/>
      <c r="F97" s="187"/>
      <c r="G97" s="187"/>
      <c r="H97" s="187"/>
      <c r="I97" s="187"/>
      <c r="J97" s="237"/>
      <c r="K97" s="237"/>
      <c r="L97" s="207"/>
      <c r="M97" s="207"/>
      <c r="N97" s="207"/>
      <c r="O97" s="207"/>
      <c r="P97" s="207"/>
      <c r="Q97" s="207"/>
      <c r="R97" s="207"/>
      <c r="S97" s="207"/>
      <c r="T97" s="207"/>
      <c r="U97" s="207"/>
      <c r="V97" s="207"/>
      <c r="W97" s="207"/>
      <c r="X97" s="218"/>
      <c r="Y97" s="163"/>
      <c r="Z97" s="173"/>
      <c r="AA97" s="173"/>
      <c r="AB97" s="163"/>
      <c r="AC97" s="163"/>
      <c r="AD97" s="163"/>
      <c r="AE97" s="163"/>
      <c r="AF97" s="163"/>
      <c r="AG97" s="163"/>
      <c r="AH97" s="167"/>
      <c r="AJ97" s="163"/>
      <c r="AK97" s="163"/>
      <c r="AL97" s="163"/>
      <c r="AM97" s="163"/>
      <c r="AN97" s="163"/>
      <c r="AO97" s="163"/>
      <c r="AP97" s="163"/>
      <c r="AQ97" s="163"/>
      <c r="AR97" s="163"/>
      <c r="AS97" s="163"/>
      <c r="AT97" s="163"/>
      <c r="AU97" s="163"/>
      <c r="AV97" s="163"/>
      <c r="AW97" s="163"/>
      <c r="AX97" s="163"/>
      <c r="AY97" s="163"/>
      <c r="AZ97" s="163"/>
      <c r="BA97" s="163"/>
      <c r="BB97" s="163"/>
      <c r="BC97" s="163"/>
      <c r="BD97" s="163"/>
      <c r="BE97" s="163"/>
      <c r="BF97" s="163"/>
      <c r="BG97" s="163"/>
      <c r="BH97" s="163"/>
      <c r="BI97" s="163"/>
      <c r="BJ97" s="163"/>
      <c r="BK97" s="163"/>
      <c r="BL97" s="163"/>
      <c r="BM97" s="163"/>
      <c r="BN97" s="163"/>
      <c r="BO97" s="163"/>
      <c r="BP97" s="163"/>
      <c r="BQ97" s="163"/>
      <c r="BR97" s="163"/>
      <c r="BS97" s="163"/>
      <c r="BT97" s="163"/>
      <c r="BU97" s="163"/>
      <c r="BV97" s="163"/>
      <c r="BW97" s="163"/>
      <c r="BX97" s="163"/>
      <c r="BY97" s="163"/>
      <c r="BZ97" s="163"/>
      <c r="CA97" s="163"/>
      <c r="CB97" s="163"/>
      <c r="CC97" s="163"/>
    </row>
    <row r="98" spans="2:81" ht="15.6" x14ac:dyDescent="0.25">
      <c r="B98" s="227"/>
      <c r="C98" s="187"/>
      <c r="D98" s="187"/>
      <c r="E98" s="187"/>
      <c r="F98" s="187"/>
      <c r="G98" s="187"/>
      <c r="H98" s="187"/>
      <c r="I98" s="187"/>
      <c r="J98" s="237"/>
      <c r="K98" s="237"/>
      <c r="L98" s="207"/>
      <c r="M98" s="207"/>
      <c r="N98" s="207"/>
      <c r="O98" s="207"/>
      <c r="P98" s="207"/>
      <c r="Q98" s="207"/>
      <c r="R98" s="207"/>
      <c r="S98" s="207"/>
      <c r="T98" s="207"/>
      <c r="U98" s="207"/>
      <c r="V98" s="207"/>
      <c r="W98" s="207"/>
      <c r="X98" s="218"/>
      <c r="Y98" s="163"/>
      <c r="Z98" s="173"/>
      <c r="AA98" s="173"/>
      <c r="AB98" s="163"/>
      <c r="AC98" s="163"/>
      <c r="AD98" s="163"/>
      <c r="AE98" s="163"/>
      <c r="AF98" s="163"/>
      <c r="AG98" s="163"/>
      <c r="AH98" s="167"/>
      <c r="AJ98" s="163"/>
      <c r="AK98" s="163"/>
      <c r="AL98" s="163"/>
      <c r="AM98" s="163"/>
      <c r="AN98" s="163"/>
      <c r="AO98" s="163"/>
      <c r="AP98" s="163"/>
      <c r="AQ98" s="163"/>
      <c r="AR98" s="163"/>
      <c r="AS98" s="163"/>
      <c r="AT98" s="163"/>
      <c r="AU98" s="163"/>
      <c r="AV98" s="163"/>
      <c r="AW98" s="163"/>
      <c r="AX98" s="163"/>
      <c r="AY98" s="163"/>
      <c r="AZ98" s="163"/>
      <c r="BA98" s="163"/>
      <c r="BB98" s="163"/>
      <c r="BC98" s="163"/>
      <c r="BD98" s="163"/>
      <c r="BE98" s="163"/>
      <c r="BF98" s="163"/>
      <c r="BG98" s="163"/>
      <c r="BH98" s="163"/>
      <c r="BI98" s="163"/>
      <c r="BJ98" s="163"/>
      <c r="BK98" s="163"/>
      <c r="BL98" s="163"/>
      <c r="BM98" s="163"/>
      <c r="BN98" s="163"/>
      <c r="BO98" s="163"/>
      <c r="BP98" s="163"/>
      <c r="BQ98" s="163"/>
      <c r="BR98" s="163"/>
      <c r="BS98" s="163"/>
      <c r="BT98" s="163"/>
      <c r="BU98" s="163"/>
      <c r="BV98" s="163"/>
      <c r="BW98" s="163"/>
      <c r="BX98" s="163"/>
      <c r="BY98" s="163"/>
      <c r="BZ98" s="163"/>
      <c r="CA98" s="163"/>
      <c r="CB98" s="163"/>
      <c r="CC98" s="163"/>
    </row>
    <row r="99" spans="2:81" ht="15.6" x14ac:dyDescent="0.25">
      <c r="B99" s="227"/>
      <c r="C99" s="187"/>
      <c r="D99" s="187"/>
      <c r="E99" s="187"/>
      <c r="F99" s="187"/>
      <c r="G99" s="187"/>
      <c r="H99" s="187"/>
      <c r="I99" s="187"/>
      <c r="J99" s="237"/>
      <c r="K99" s="237"/>
      <c r="L99" s="207"/>
      <c r="M99" s="207"/>
      <c r="N99" s="207"/>
      <c r="O99" s="207"/>
      <c r="P99" s="207"/>
      <c r="Q99" s="207"/>
      <c r="R99" s="207"/>
      <c r="S99" s="207"/>
      <c r="T99" s="207"/>
      <c r="U99" s="207"/>
      <c r="V99" s="207"/>
      <c r="W99" s="207"/>
      <c r="X99" s="218"/>
      <c r="Y99" s="163"/>
      <c r="Z99" s="173"/>
      <c r="AA99" s="173"/>
      <c r="AB99" s="163"/>
      <c r="AC99" s="163"/>
      <c r="AD99" s="163"/>
      <c r="AE99" s="163"/>
      <c r="AF99" s="163"/>
      <c r="AG99" s="163"/>
      <c r="AH99" s="167"/>
      <c r="AJ99" s="163"/>
      <c r="AK99" s="163"/>
      <c r="AL99" s="163"/>
      <c r="AM99" s="163"/>
      <c r="AN99" s="163"/>
      <c r="AO99" s="163"/>
      <c r="AP99" s="163"/>
      <c r="AQ99" s="163"/>
      <c r="AR99" s="163"/>
      <c r="AS99" s="163"/>
      <c r="AT99" s="163"/>
      <c r="AU99" s="163"/>
      <c r="AV99" s="163"/>
      <c r="AW99" s="163"/>
      <c r="AX99" s="163"/>
      <c r="AY99" s="163"/>
      <c r="AZ99" s="163"/>
      <c r="BA99" s="163"/>
      <c r="BB99" s="163"/>
      <c r="BC99" s="163"/>
      <c r="BD99" s="163"/>
      <c r="BE99" s="163"/>
      <c r="BF99" s="163"/>
      <c r="BG99" s="163"/>
      <c r="BH99" s="163"/>
      <c r="BI99" s="163"/>
      <c r="BJ99" s="163"/>
      <c r="BK99" s="163"/>
      <c r="BL99" s="163"/>
      <c r="BM99" s="163"/>
      <c r="BN99" s="163"/>
      <c r="BO99" s="163"/>
      <c r="BP99" s="163"/>
      <c r="BQ99" s="163"/>
      <c r="BR99" s="163"/>
      <c r="BS99" s="163"/>
      <c r="BT99" s="163"/>
      <c r="BU99" s="163"/>
      <c r="BV99" s="163"/>
      <c r="BW99" s="163"/>
      <c r="BX99" s="163"/>
      <c r="BY99" s="163"/>
      <c r="BZ99" s="163"/>
      <c r="CA99" s="163"/>
      <c r="CB99" s="163"/>
      <c r="CC99" s="163"/>
    </row>
    <row r="100" spans="2:81" ht="15.6" x14ac:dyDescent="0.25">
      <c r="B100" s="227"/>
      <c r="C100" s="187"/>
      <c r="D100" s="187"/>
      <c r="E100" s="187"/>
      <c r="F100" s="187"/>
      <c r="G100" s="187"/>
      <c r="H100" s="187"/>
      <c r="I100" s="187"/>
      <c r="J100" s="237"/>
      <c r="K100" s="237"/>
      <c r="L100" s="207"/>
      <c r="M100" s="207"/>
      <c r="N100" s="207"/>
      <c r="O100" s="207"/>
      <c r="P100" s="207"/>
      <c r="Q100" s="207"/>
      <c r="R100" s="207"/>
      <c r="S100" s="207"/>
      <c r="T100" s="207"/>
      <c r="U100" s="207"/>
      <c r="V100" s="207"/>
      <c r="W100" s="207"/>
      <c r="X100" s="218"/>
      <c r="Y100" s="163"/>
      <c r="Z100" s="173"/>
      <c r="AA100" s="173"/>
      <c r="AB100" s="163"/>
      <c r="AC100" s="163"/>
      <c r="AD100" s="163"/>
      <c r="AE100" s="163"/>
      <c r="AF100" s="163"/>
      <c r="AG100" s="163"/>
      <c r="AH100" s="167"/>
      <c r="AJ100" s="163"/>
      <c r="AK100" s="163"/>
      <c r="AL100" s="163"/>
      <c r="AM100" s="163"/>
      <c r="AN100" s="163"/>
      <c r="AO100" s="163"/>
      <c r="AP100" s="163"/>
      <c r="AQ100" s="163"/>
      <c r="AR100" s="163"/>
      <c r="AS100" s="163"/>
      <c r="AT100" s="163"/>
      <c r="AU100" s="163"/>
      <c r="AV100" s="163"/>
      <c r="AW100" s="163"/>
      <c r="AX100" s="163"/>
      <c r="AY100" s="163"/>
      <c r="AZ100" s="163"/>
      <c r="BA100" s="163"/>
      <c r="BB100" s="163"/>
      <c r="BC100" s="163"/>
      <c r="BD100" s="163"/>
      <c r="BE100" s="163"/>
      <c r="BF100" s="163"/>
      <c r="BG100" s="163"/>
      <c r="BH100" s="163"/>
      <c r="BI100" s="163"/>
      <c r="BJ100" s="163"/>
      <c r="BK100" s="163"/>
      <c r="BL100" s="163"/>
      <c r="BM100" s="163"/>
      <c r="BN100" s="163"/>
      <c r="BO100" s="163"/>
      <c r="BP100" s="163"/>
      <c r="BQ100" s="163"/>
      <c r="BR100" s="163"/>
      <c r="BS100" s="163"/>
      <c r="BT100" s="163"/>
      <c r="BU100" s="163"/>
      <c r="BV100" s="163"/>
      <c r="BW100" s="163"/>
      <c r="BX100" s="163"/>
      <c r="BY100" s="163"/>
      <c r="BZ100" s="163"/>
      <c r="CA100" s="163"/>
      <c r="CB100" s="163"/>
      <c r="CC100" s="163"/>
    </row>
    <row r="101" spans="2:81" ht="15.6" x14ac:dyDescent="0.25">
      <c r="B101" s="227"/>
      <c r="C101" s="187"/>
      <c r="D101" s="187"/>
      <c r="E101" s="187"/>
      <c r="F101" s="187"/>
      <c r="G101" s="187"/>
      <c r="H101" s="187"/>
      <c r="I101" s="187"/>
      <c r="J101" s="237"/>
      <c r="K101" s="237"/>
      <c r="L101" s="207"/>
      <c r="M101" s="207"/>
      <c r="N101" s="207"/>
      <c r="O101" s="207"/>
      <c r="P101" s="207"/>
      <c r="Q101" s="207"/>
      <c r="R101" s="207"/>
      <c r="S101" s="207"/>
      <c r="T101" s="207"/>
      <c r="U101" s="207"/>
      <c r="V101" s="207"/>
      <c r="W101" s="207"/>
      <c r="X101" s="218"/>
      <c r="Y101" s="163"/>
      <c r="Z101" s="173"/>
      <c r="AA101" s="173"/>
      <c r="AB101" s="163"/>
      <c r="AC101" s="163"/>
      <c r="AD101" s="163"/>
      <c r="AE101" s="163"/>
      <c r="AF101" s="163"/>
      <c r="AG101" s="163"/>
      <c r="AH101" s="167"/>
      <c r="AJ101" s="163"/>
      <c r="AK101" s="163"/>
      <c r="AL101" s="163"/>
      <c r="AM101" s="163"/>
      <c r="AN101" s="163"/>
      <c r="AO101" s="163"/>
      <c r="AP101" s="163"/>
      <c r="AQ101" s="163"/>
      <c r="AR101" s="163"/>
      <c r="AS101" s="163"/>
      <c r="AT101" s="163"/>
      <c r="AU101" s="163"/>
      <c r="AV101" s="163"/>
      <c r="AW101" s="163"/>
      <c r="AX101" s="163"/>
      <c r="AY101" s="163"/>
      <c r="AZ101" s="163"/>
      <c r="BA101" s="163"/>
      <c r="BB101" s="163"/>
      <c r="BC101" s="163"/>
      <c r="BD101" s="163"/>
      <c r="BE101" s="163"/>
      <c r="BF101" s="163"/>
      <c r="BG101" s="163"/>
      <c r="BH101" s="163"/>
      <c r="BI101" s="163"/>
      <c r="BJ101" s="163"/>
      <c r="BK101" s="163"/>
      <c r="BL101" s="163"/>
      <c r="BM101" s="163"/>
      <c r="BN101" s="163"/>
      <c r="BO101" s="163"/>
      <c r="BP101" s="163"/>
      <c r="BQ101" s="163"/>
      <c r="BR101" s="163"/>
      <c r="BS101" s="163"/>
      <c r="BT101" s="163"/>
      <c r="BU101" s="163"/>
      <c r="BV101" s="163"/>
      <c r="BW101" s="163"/>
      <c r="BX101" s="163"/>
      <c r="BY101" s="163"/>
      <c r="BZ101" s="163"/>
      <c r="CA101" s="163"/>
      <c r="CB101" s="163"/>
      <c r="CC101" s="163"/>
    </row>
    <row r="102" spans="2:81" ht="15.6" x14ac:dyDescent="0.25">
      <c r="B102" s="227"/>
      <c r="C102" s="187"/>
      <c r="D102" s="187"/>
      <c r="E102" s="187"/>
      <c r="F102" s="187"/>
      <c r="G102" s="187"/>
      <c r="H102" s="187"/>
      <c r="I102" s="187"/>
      <c r="J102" s="237"/>
      <c r="K102" s="237"/>
      <c r="L102" s="207"/>
      <c r="M102" s="207"/>
      <c r="N102" s="207"/>
      <c r="O102" s="207"/>
      <c r="P102" s="207"/>
      <c r="Q102" s="207"/>
      <c r="R102" s="207"/>
      <c r="S102" s="207"/>
      <c r="T102" s="207"/>
      <c r="U102" s="207"/>
      <c r="V102" s="207"/>
      <c r="W102" s="207"/>
      <c r="X102" s="218"/>
      <c r="Y102" s="163"/>
      <c r="Z102" s="173"/>
      <c r="AA102" s="173"/>
      <c r="AB102" s="163"/>
      <c r="AC102" s="163"/>
      <c r="AD102" s="163"/>
      <c r="AE102" s="163"/>
      <c r="AF102" s="163"/>
      <c r="AG102" s="163"/>
      <c r="AH102" s="167"/>
      <c r="AJ102" s="163"/>
      <c r="AK102" s="163"/>
      <c r="AL102" s="163"/>
      <c r="AM102" s="163"/>
      <c r="AN102" s="163"/>
      <c r="AO102" s="163"/>
      <c r="AP102" s="163"/>
      <c r="AQ102" s="163"/>
      <c r="AR102" s="163"/>
      <c r="AS102" s="163"/>
      <c r="AT102" s="163"/>
      <c r="AU102" s="163"/>
      <c r="AV102" s="163"/>
      <c r="AW102" s="163"/>
      <c r="AX102" s="163"/>
      <c r="AY102" s="163"/>
      <c r="AZ102" s="163"/>
      <c r="BA102" s="163"/>
      <c r="BB102" s="163"/>
      <c r="BC102" s="163"/>
      <c r="BD102" s="163"/>
      <c r="BE102" s="163"/>
      <c r="BF102" s="163"/>
      <c r="BG102" s="163"/>
      <c r="BH102" s="163"/>
      <c r="BI102" s="163"/>
      <c r="BJ102" s="163"/>
      <c r="BK102" s="163"/>
      <c r="BL102" s="163"/>
      <c r="BM102" s="163"/>
      <c r="BN102" s="163"/>
      <c r="BO102" s="163"/>
      <c r="BP102" s="163"/>
      <c r="BQ102" s="163"/>
      <c r="BR102" s="163"/>
      <c r="BS102" s="163"/>
      <c r="BT102" s="163"/>
      <c r="BU102" s="163"/>
      <c r="BV102" s="163"/>
      <c r="BW102" s="163"/>
      <c r="BX102" s="163"/>
      <c r="BY102" s="163"/>
      <c r="BZ102" s="163"/>
      <c r="CA102" s="163"/>
      <c r="CB102" s="163"/>
      <c r="CC102" s="163"/>
    </row>
    <row r="103" spans="2:81" ht="15.6" x14ac:dyDescent="0.25">
      <c r="B103" s="227"/>
      <c r="C103" s="187"/>
      <c r="D103" s="187"/>
      <c r="E103" s="187"/>
      <c r="F103" s="187"/>
      <c r="G103" s="187"/>
      <c r="H103" s="187"/>
      <c r="I103" s="187"/>
      <c r="J103" s="237"/>
      <c r="K103" s="237"/>
      <c r="L103" s="207"/>
      <c r="M103" s="207"/>
      <c r="N103" s="207"/>
      <c r="O103" s="207"/>
      <c r="P103" s="207"/>
      <c r="Q103" s="207"/>
      <c r="R103" s="207"/>
      <c r="S103" s="207"/>
      <c r="T103" s="207"/>
      <c r="U103" s="207"/>
      <c r="V103" s="207"/>
      <c r="W103" s="207"/>
      <c r="X103" s="218"/>
      <c r="Y103" s="163"/>
      <c r="Z103" s="173"/>
      <c r="AA103" s="173"/>
      <c r="AB103" s="163"/>
      <c r="AC103" s="163"/>
      <c r="AD103" s="163"/>
      <c r="AE103" s="163"/>
      <c r="AF103" s="163"/>
      <c r="AG103" s="163"/>
      <c r="AH103" s="167"/>
      <c r="AJ103" s="163"/>
      <c r="AK103" s="163"/>
      <c r="AL103" s="163"/>
      <c r="AM103" s="163"/>
      <c r="AN103" s="163"/>
      <c r="AO103" s="163"/>
      <c r="AP103" s="163"/>
      <c r="AQ103" s="163"/>
      <c r="AR103" s="163"/>
      <c r="AS103" s="163"/>
      <c r="AT103" s="163"/>
      <c r="AU103" s="163"/>
      <c r="AV103" s="163"/>
      <c r="AW103" s="163"/>
      <c r="AX103" s="163"/>
      <c r="AY103" s="163"/>
      <c r="AZ103" s="163"/>
      <c r="BA103" s="163"/>
      <c r="BB103" s="163"/>
      <c r="BC103" s="163"/>
      <c r="BD103" s="163"/>
      <c r="BE103" s="163"/>
      <c r="BF103" s="163"/>
      <c r="BG103" s="163"/>
      <c r="BH103" s="163"/>
      <c r="BI103" s="163"/>
      <c r="BJ103" s="163"/>
      <c r="BK103" s="163"/>
      <c r="BL103" s="163"/>
      <c r="BM103" s="163"/>
      <c r="BN103" s="163"/>
      <c r="BO103" s="163"/>
      <c r="BP103" s="163"/>
      <c r="BQ103" s="163"/>
      <c r="BR103" s="163"/>
      <c r="BS103" s="163"/>
      <c r="BT103" s="163"/>
      <c r="BU103" s="163"/>
      <c r="BV103" s="163"/>
      <c r="BW103" s="163"/>
      <c r="BX103" s="163"/>
      <c r="BY103" s="163"/>
      <c r="BZ103" s="163"/>
      <c r="CA103" s="163"/>
      <c r="CB103" s="163"/>
      <c r="CC103" s="163"/>
    </row>
    <row r="104" spans="2:81" ht="15.6" x14ac:dyDescent="0.25">
      <c r="B104" s="227"/>
      <c r="C104" s="187"/>
      <c r="D104" s="187"/>
      <c r="E104" s="187"/>
      <c r="F104" s="187"/>
      <c r="G104" s="187"/>
      <c r="H104" s="187"/>
      <c r="I104" s="187"/>
      <c r="J104" s="237"/>
      <c r="K104" s="237"/>
      <c r="L104" s="207"/>
      <c r="M104" s="207"/>
      <c r="N104" s="207"/>
      <c r="O104" s="207"/>
      <c r="P104" s="207"/>
      <c r="Q104" s="207"/>
      <c r="R104" s="207"/>
      <c r="S104" s="207"/>
      <c r="T104" s="207"/>
      <c r="U104" s="207"/>
      <c r="V104" s="207"/>
      <c r="W104" s="207"/>
      <c r="X104" s="218"/>
      <c r="Y104" s="163"/>
      <c r="Z104" s="173"/>
      <c r="AA104" s="173"/>
      <c r="AB104" s="163"/>
      <c r="AC104" s="163"/>
      <c r="AD104" s="163"/>
      <c r="AE104" s="163"/>
      <c r="AF104" s="163"/>
      <c r="AG104" s="163"/>
      <c r="AH104" s="167"/>
      <c r="AJ104" s="163"/>
      <c r="AK104" s="163"/>
      <c r="AL104" s="163"/>
      <c r="AM104" s="163"/>
      <c r="AN104" s="163"/>
      <c r="AO104" s="163"/>
      <c r="AP104" s="163"/>
      <c r="AQ104" s="163"/>
      <c r="AR104" s="163"/>
      <c r="AS104" s="163"/>
      <c r="AT104" s="163"/>
      <c r="AU104" s="163"/>
      <c r="AV104" s="163"/>
      <c r="AW104" s="163"/>
      <c r="AX104" s="163"/>
      <c r="AY104" s="163"/>
      <c r="AZ104" s="163"/>
      <c r="BA104" s="163"/>
      <c r="BB104" s="163"/>
      <c r="BC104" s="163"/>
      <c r="BD104" s="163"/>
      <c r="BE104" s="163"/>
      <c r="BF104" s="163"/>
      <c r="BG104" s="163"/>
      <c r="BH104" s="163"/>
      <c r="BI104" s="163"/>
      <c r="BJ104" s="163"/>
      <c r="BK104" s="163"/>
      <c r="BL104" s="163"/>
      <c r="BM104" s="163"/>
      <c r="BN104" s="163"/>
      <c r="BO104" s="163"/>
      <c r="BP104" s="163"/>
      <c r="BQ104" s="163"/>
      <c r="BR104" s="163"/>
      <c r="BS104" s="163"/>
      <c r="BT104" s="163"/>
      <c r="BU104" s="163"/>
      <c r="BV104" s="163"/>
      <c r="BW104" s="163"/>
      <c r="BX104" s="163"/>
      <c r="BY104" s="163"/>
      <c r="BZ104" s="163"/>
      <c r="CA104" s="163"/>
      <c r="CB104" s="163"/>
      <c r="CC104" s="163"/>
    </row>
    <row r="105" spans="2:81" ht="15.6" x14ac:dyDescent="0.25">
      <c r="B105" s="227"/>
      <c r="C105" s="187"/>
      <c r="D105" s="187"/>
      <c r="E105" s="187"/>
      <c r="F105" s="187"/>
      <c r="G105" s="187"/>
      <c r="H105" s="187"/>
      <c r="I105" s="187"/>
      <c r="J105" s="237"/>
      <c r="K105" s="237"/>
      <c r="L105" s="207"/>
      <c r="M105" s="207"/>
      <c r="N105" s="207"/>
      <c r="O105" s="207"/>
      <c r="P105" s="207"/>
      <c r="Q105" s="207"/>
      <c r="R105" s="207"/>
      <c r="S105" s="207"/>
      <c r="T105" s="207"/>
      <c r="U105" s="207"/>
      <c r="V105" s="207"/>
      <c r="W105" s="207"/>
      <c r="X105" s="218"/>
      <c r="Y105" s="163"/>
      <c r="Z105" s="173"/>
      <c r="AA105" s="173"/>
      <c r="AB105" s="163"/>
      <c r="AC105" s="163"/>
      <c r="AD105" s="163"/>
      <c r="AE105" s="163"/>
      <c r="AF105" s="163"/>
      <c r="AG105" s="163"/>
      <c r="AH105" s="167"/>
      <c r="AJ105" s="163"/>
      <c r="AK105" s="163"/>
      <c r="AL105" s="163"/>
      <c r="AM105" s="163"/>
      <c r="AN105" s="163"/>
      <c r="AO105" s="163"/>
      <c r="AP105" s="163"/>
      <c r="AQ105" s="163"/>
      <c r="AR105" s="163"/>
      <c r="AS105" s="163"/>
      <c r="AT105" s="163"/>
      <c r="AU105" s="163"/>
      <c r="AV105" s="163"/>
      <c r="AW105" s="163"/>
      <c r="AX105" s="163"/>
      <c r="AY105" s="163"/>
      <c r="AZ105" s="163"/>
      <c r="BA105" s="163"/>
      <c r="BB105" s="163"/>
      <c r="BC105" s="163"/>
      <c r="BD105" s="163"/>
      <c r="BE105" s="163"/>
      <c r="BF105" s="163"/>
      <c r="BG105" s="163"/>
      <c r="BH105" s="163"/>
      <c r="BI105" s="163"/>
      <c r="BJ105" s="163"/>
      <c r="BK105" s="163"/>
      <c r="BL105" s="163"/>
      <c r="BM105" s="163"/>
      <c r="BN105" s="163"/>
      <c r="BO105" s="163"/>
      <c r="BP105" s="163"/>
      <c r="BQ105" s="163"/>
      <c r="BR105" s="163"/>
      <c r="BS105" s="163"/>
      <c r="BT105" s="163"/>
      <c r="BU105" s="163"/>
      <c r="BV105" s="163"/>
      <c r="BW105" s="163"/>
      <c r="BX105" s="163"/>
      <c r="BY105" s="163"/>
      <c r="BZ105" s="163"/>
      <c r="CA105" s="163"/>
      <c r="CB105" s="163"/>
      <c r="CC105" s="163"/>
    </row>
    <row r="106" spans="2:81" ht="15.6" x14ac:dyDescent="0.25">
      <c r="B106" s="227"/>
      <c r="C106" s="187"/>
      <c r="D106" s="187"/>
      <c r="E106" s="187"/>
      <c r="F106" s="187"/>
      <c r="G106" s="187"/>
      <c r="H106" s="187"/>
      <c r="I106" s="187"/>
      <c r="J106" s="237"/>
      <c r="K106" s="237"/>
      <c r="L106" s="207"/>
      <c r="M106" s="207"/>
      <c r="N106" s="207"/>
      <c r="O106" s="207"/>
      <c r="P106" s="207"/>
      <c r="Q106" s="207"/>
      <c r="R106" s="207"/>
      <c r="S106" s="207"/>
      <c r="T106" s="207"/>
      <c r="U106" s="207"/>
      <c r="V106" s="207"/>
      <c r="W106" s="207"/>
      <c r="X106" s="218"/>
      <c r="Y106" s="163"/>
      <c r="AC106" s="163"/>
      <c r="AE106" s="163"/>
      <c r="AG106" s="163"/>
      <c r="AJ106" s="163"/>
      <c r="AK106" s="163"/>
      <c r="AL106" s="163"/>
      <c r="AM106" s="163"/>
      <c r="AN106" s="163"/>
      <c r="AO106" s="163"/>
      <c r="AP106" s="163"/>
      <c r="AQ106" s="163"/>
      <c r="AR106" s="163"/>
      <c r="AS106" s="163"/>
      <c r="AT106" s="163"/>
      <c r="AU106" s="163"/>
      <c r="AV106" s="163"/>
      <c r="AW106" s="163"/>
      <c r="AX106" s="163"/>
      <c r="AY106" s="163"/>
      <c r="AZ106" s="163"/>
      <c r="BA106" s="163"/>
      <c r="BB106" s="163"/>
      <c r="BC106" s="163"/>
      <c r="BD106" s="163"/>
      <c r="BE106" s="163"/>
      <c r="BF106" s="163"/>
      <c r="BG106" s="163"/>
      <c r="BH106" s="163"/>
      <c r="BI106" s="163"/>
      <c r="BJ106" s="163"/>
      <c r="BK106" s="163"/>
      <c r="BL106" s="163"/>
      <c r="BM106" s="163"/>
      <c r="BN106" s="163"/>
      <c r="BO106" s="163"/>
      <c r="BP106" s="163"/>
      <c r="BQ106" s="163"/>
      <c r="BR106" s="163"/>
      <c r="BS106" s="163"/>
      <c r="BT106" s="163"/>
      <c r="BU106" s="163"/>
      <c r="BV106" s="163"/>
      <c r="BW106" s="163"/>
      <c r="BX106" s="163"/>
      <c r="BY106" s="163"/>
      <c r="BZ106" s="163"/>
      <c r="CA106" s="163"/>
      <c r="CB106" s="163"/>
      <c r="CC106" s="163"/>
    </row>
    <row r="107" spans="2:81" ht="15.6" x14ac:dyDescent="0.25">
      <c r="B107" s="227"/>
      <c r="C107" s="187"/>
      <c r="D107" s="187"/>
      <c r="E107" s="187"/>
      <c r="F107" s="187"/>
      <c r="G107" s="187"/>
      <c r="H107" s="187"/>
      <c r="I107" s="187"/>
      <c r="J107" s="237"/>
      <c r="K107" s="237"/>
      <c r="L107" s="207"/>
      <c r="M107" s="207"/>
      <c r="N107" s="207"/>
      <c r="O107" s="207"/>
      <c r="P107" s="207"/>
      <c r="Q107" s="207"/>
      <c r="R107" s="207"/>
      <c r="S107" s="207"/>
      <c r="T107" s="207"/>
      <c r="U107" s="207"/>
      <c r="V107" s="207"/>
      <c r="W107" s="207"/>
      <c r="X107" s="218"/>
      <c r="Y107" s="163"/>
      <c r="AC107" s="163"/>
      <c r="AE107" s="163"/>
      <c r="AG107" s="163"/>
      <c r="AJ107" s="163"/>
      <c r="AK107" s="163"/>
      <c r="AL107" s="163"/>
      <c r="AM107" s="163"/>
      <c r="AN107" s="163"/>
      <c r="AO107" s="163"/>
      <c r="AP107" s="163"/>
      <c r="AQ107" s="163"/>
      <c r="AR107" s="163"/>
      <c r="AS107" s="163"/>
      <c r="AT107" s="163"/>
      <c r="AU107" s="163"/>
      <c r="AV107" s="163"/>
      <c r="AW107" s="163"/>
      <c r="AX107" s="163"/>
      <c r="AY107" s="163"/>
      <c r="AZ107" s="163"/>
      <c r="BA107" s="163"/>
      <c r="BB107" s="163"/>
      <c r="BC107" s="163"/>
      <c r="BD107" s="163"/>
      <c r="BE107" s="163"/>
      <c r="BF107" s="163"/>
      <c r="BG107" s="163"/>
      <c r="BH107" s="163"/>
      <c r="BI107" s="163"/>
      <c r="BJ107" s="163"/>
      <c r="BK107" s="163"/>
      <c r="BL107" s="163"/>
      <c r="BM107" s="163"/>
      <c r="BN107" s="163"/>
      <c r="BO107" s="163"/>
      <c r="BP107" s="163"/>
      <c r="BQ107" s="163"/>
      <c r="BR107" s="163"/>
      <c r="BS107" s="163"/>
      <c r="BT107" s="163"/>
      <c r="BU107" s="163"/>
      <c r="BV107" s="163"/>
      <c r="BW107" s="163"/>
      <c r="BX107" s="163"/>
      <c r="BY107" s="163"/>
      <c r="BZ107" s="163"/>
      <c r="CA107" s="163"/>
      <c r="CB107" s="163"/>
      <c r="CC107" s="163"/>
    </row>
  </sheetData>
  <autoFilter ref="A3:Z62" xr:uid="{00000000-0009-0000-0000-000001000000}">
    <sortState xmlns:xlrd2="http://schemas.microsoft.com/office/spreadsheetml/2017/richdata2" ref="A4:Z62">
      <sortCondition ref="B3:B62"/>
    </sortState>
  </autoFilter>
  <sortState xmlns:xlrd2="http://schemas.microsoft.com/office/spreadsheetml/2017/richdata2" ref="A4:Z107">
    <sortCondition ref="B1"/>
  </sortState>
  <mergeCells count="1">
    <mergeCell ref="L2:V2"/>
  </mergeCells>
  <phoneticPr fontId="13" type="noConversion"/>
  <conditionalFormatting sqref="K19:K21 K4:K17 K24:K27 J30:K50 J52:K53">
    <cfRule type="cellIs" dxfId="60" priority="970" operator="equal">
      <formula>"W"</formula>
    </cfRule>
    <cfRule type="cellIs" dxfId="59" priority="971" operator="equal">
      <formula>"Y"</formula>
    </cfRule>
    <cfRule type="cellIs" dxfId="58" priority="972" operator="equal">
      <formula>"N"</formula>
    </cfRule>
  </conditionalFormatting>
  <conditionalFormatting sqref="K18">
    <cfRule type="cellIs" dxfId="57" priority="967" operator="equal">
      <formula>"W"</formula>
    </cfRule>
    <cfRule type="cellIs" dxfId="56" priority="968" operator="equal">
      <formula>"Y"</formula>
    </cfRule>
    <cfRule type="cellIs" dxfId="55" priority="969" operator="equal">
      <formula>"N"</formula>
    </cfRule>
  </conditionalFormatting>
  <conditionalFormatting sqref="K22">
    <cfRule type="cellIs" dxfId="54" priority="955" operator="equal">
      <formula>"W"</formula>
    </cfRule>
    <cfRule type="cellIs" dxfId="53" priority="956" operator="equal">
      <formula>"Y"</formula>
    </cfRule>
    <cfRule type="cellIs" dxfId="52" priority="957" operator="equal">
      <formula>"N"</formula>
    </cfRule>
  </conditionalFormatting>
  <conditionalFormatting sqref="K23">
    <cfRule type="cellIs" dxfId="51" priority="937" operator="equal">
      <formula>"W"</formula>
    </cfRule>
    <cfRule type="cellIs" dxfId="50" priority="938" operator="equal">
      <formula>"Y"</formula>
    </cfRule>
    <cfRule type="cellIs" dxfId="49" priority="939" operator="equal">
      <formula>"N"</formula>
    </cfRule>
  </conditionalFormatting>
  <conditionalFormatting sqref="L29:W29">
    <cfRule type="cellIs" dxfId="48" priority="640" operator="equal">
      <formula>"W"</formula>
    </cfRule>
    <cfRule type="cellIs" dxfId="47" priority="641" operator="equal">
      <formula>"Y"</formula>
    </cfRule>
    <cfRule type="cellIs" dxfId="46" priority="642" operator="equal">
      <formula>"N"</formula>
    </cfRule>
  </conditionalFormatting>
  <conditionalFormatting sqref="K29">
    <cfRule type="cellIs" dxfId="45" priority="559" operator="equal">
      <formula>"W"</formula>
    </cfRule>
    <cfRule type="cellIs" dxfId="44" priority="560" operator="equal">
      <formula>"Y"</formula>
    </cfRule>
    <cfRule type="cellIs" dxfId="43" priority="561" operator="equal">
      <formula>"N"</formula>
    </cfRule>
  </conditionalFormatting>
  <conditionalFormatting sqref="K54:K59 K61">
    <cfRule type="cellIs" dxfId="42" priority="127" operator="equal">
      <formula>"W"</formula>
    </cfRule>
    <cfRule type="cellIs" dxfId="41" priority="128" operator="equal">
      <formula>"Y"</formula>
    </cfRule>
    <cfRule type="cellIs" dxfId="40" priority="129" operator="equal">
      <formula>"N"</formula>
    </cfRule>
  </conditionalFormatting>
  <conditionalFormatting sqref="K28">
    <cfRule type="cellIs" dxfId="39" priority="97" operator="equal">
      <formula>"W"</formula>
    </cfRule>
    <cfRule type="cellIs" dxfId="38" priority="98" operator="equal">
      <formula>"Y"</formula>
    </cfRule>
    <cfRule type="cellIs" dxfId="37" priority="99" operator="equal">
      <formula>"N"</formula>
    </cfRule>
  </conditionalFormatting>
  <conditionalFormatting sqref="K62">
    <cfRule type="cellIs" dxfId="36" priority="94" operator="equal">
      <formula>"W"</formula>
    </cfRule>
    <cfRule type="cellIs" dxfId="35" priority="95" operator="equal">
      <formula>"Y"</formula>
    </cfRule>
    <cfRule type="cellIs" dxfId="34" priority="96" operator="equal">
      <formula>"N"</formula>
    </cfRule>
  </conditionalFormatting>
  <conditionalFormatting sqref="K60">
    <cfRule type="cellIs" dxfId="33" priority="61" operator="equal">
      <formula>"W"</formula>
    </cfRule>
    <cfRule type="cellIs" dxfId="32" priority="62" operator="equal">
      <formula>"Y"</formula>
    </cfRule>
    <cfRule type="cellIs" dxfId="31" priority="63" operator="equal">
      <formula>"N"</formula>
    </cfRule>
  </conditionalFormatting>
  <conditionalFormatting sqref="J19:J21 J4:J17 J24:J27">
    <cfRule type="cellIs" dxfId="30" priority="28" operator="equal">
      <formula>"W"</formula>
    </cfRule>
    <cfRule type="cellIs" dxfId="29" priority="29" operator="equal">
      <formula>"Y"</formula>
    </cfRule>
    <cfRule type="cellIs" dxfId="28" priority="30" operator="equal">
      <formula>"N"</formula>
    </cfRule>
  </conditionalFormatting>
  <conditionalFormatting sqref="J18">
    <cfRule type="cellIs" dxfId="27" priority="25" operator="equal">
      <formula>"W"</formula>
    </cfRule>
    <cfRule type="cellIs" dxfId="26" priority="26" operator="equal">
      <formula>"Y"</formula>
    </cfRule>
    <cfRule type="cellIs" dxfId="25" priority="27" operator="equal">
      <formula>"N"</formula>
    </cfRule>
  </conditionalFormatting>
  <conditionalFormatting sqref="J22">
    <cfRule type="cellIs" dxfId="24" priority="22" operator="equal">
      <formula>"W"</formula>
    </cfRule>
    <cfRule type="cellIs" dxfId="23" priority="23" operator="equal">
      <formula>"Y"</formula>
    </cfRule>
    <cfRule type="cellIs" dxfId="22" priority="24" operator="equal">
      <formula>"N"</formula>
    </cfRule>
  </conditionalFormatting>
  <conditionalFormatting sqref="J23">
    <cfRule type="cellIs" dxfId="21" priority="19" operator="equal">
      <formula>"W"</formula>
    </cfRule>
    <cfRule type="cellIs" dxfId="20" priority="20" operator="equal">
      <formula>"Y"</formula>
    </cfRule>
    <cfRule type="cellIs" dxfId="19" priority="21" operator="equal">
      <formula>"N"</formula>
    </cfRule>
  </conditionalFormatting>
  <conditionalFormatting sqref="J29">
    <cfRule type="cellIs" dxfId="18" priority="16" operator="equal">
      <formula>"W"</formula>
    </cfRule>
    <cfRule type="cellIs" dxfId="17" priority="17" operator="equal">
      <formula>"Y"</formula>
    </cfRule>
    <cfRule type="cellIs" dxfId="16" priority="18" operator="equal">
      <formula>"N"</formula>
    </cfRule>
  </conditionalFormatting>
  <conditionalFormatting sqref="J54:J59 J61">
    <cfRule type="cellIs" dxfId="15" priority="13" operator="equal">
      <formula>"W"</formula>
    </cfRule>
    <cfRule type="cellIs" dxfId="14" priority="14" operator="equal">
      <formula>"Y"</formula>
    </cfRule>
    <cfRule type="cellIs" dxfId="13" priority="15" operator="equal">
      <formula>"N"</formula>
    </cfRule>
  </conditionalFormatting>
  <conditionalFormatting sqref="J28">
    <cfRule type="cellIs" dxfId="12" priority="10" operator="equal">
      <formula>"W"</formula>
    </cfRule>
    <cfRule type="cellIs" dxfId="11" priority="11" operator="equal">
      <formula>"Y"</formula>
    </cfRule>
    <cfRule type="cellIs" dxfId="10" priority="12" operator="equal">
      <formula>"N"</formula>
    </cfRule>
  </conditionalFormatting>
  <conditionalFormatting sqref="J62">
    <cfRule type="cellIs" dxfId="9" priority="7" operator="equal">
      <formula>"W"</formula>
    </cfRule>
    <cfRule type="cellIs" dxfId="8" priority="8" operator="equal">
      <formula>"Y"</formula>
    </cfRule>
    <cfRule type="cellIs" dxfId="7" priority="9" operator="equal">
      <formula>"N"</formula>
    </cfRule>
  </conditionalFormatting>
  <conditionalFormatting sqref="J60">
    <cfRule type="cellIs" dxfId="6" priority="4" operator="equal">
      <formula>"W"</formula>
    </cfRule>
    <cfRule type="cellIs" dxfId="5" priority="5" operator="equal">
      <formula>"Y"</formula>
    </cfRule>
    <cfRule type="cellIs" dxfId="4" priority="6" operator="equal">
      <formula>"N"</formula>
    </cfRule>
  </conditionalFormatting>
  <conditionalFormatting sqref="J51:K51">
    <cfRule type="cellIs" dxfId="3" priority="1" operator="equal">
      <formula>"W"</formula>
    </cfRule>
    <cfRule type="cellIs" dxfId="2" priority="2" operator="equal">
      <formula>"Y"</formula>
    </cfRule>
    <cfRule type="cellIs" dxfId="1" priority="3" operator="equal">
      <formula>"N"</formula>
    </cfRule>
  </conditionalFormatting>
  <printOptions horizontalCentered="1"/>
  <pageMargins left="0.25" right="0.25" top="0.75" bottom="0.75" header="0.3" footer="0.3"/>
  <pageSetup paperSize="3" scale="49" fitToHeight="0" orientation="landscape" r:id="rId1"/>
  <headerFooter alignWithMargins="0">
    <oddHeader>&amp;C&amp;D  &amp;T&amp;R&amp;"Arial,Bold Italic"Document #: 1200-0002
Revision Date: 04/01/2014</oddHeader>
  </headerFooter>
  <customProperties>
    <customPr name="%get_maps%" r:id="rId2"/>
    <customPr name="%locator_row%" r:id="rId3"/>
    <customPr name="%startcell%" r:id="rId4"/>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4:XFD16"/>
  <sheetViews>
    <sheetView zoomScale="80" zoomScaleNormal="80" workbookViewId="0">
      <selection activeCell="BD5" sqref="BD5"/>
    </sheetView>
  </sheetViews>
  <sheetFormatPr defaultRowHeight="13.2" outlineLevelRow="1" x14ac:dyDescent="0.25"/>
  <cols>
    <col min="1" max="1" width="16" bestFit="1" customWidth="1"/>
    <col min="2" max="7" width="10" customWidth="1"/>
    <col min="8" max="8" width="39.5546875" customWidth="1"/>
    <col min="9" max="54" width="0" hidden="1" customWidth="1"/>
    <col min="55" max="55" width="16.5546875" customWidth="1"/>
    <col min="56" max="65" width="15.5546875" customWidth="1"/>
    <col min="66" max="66" width="39.5546875" customWidth="1"/>
    <col min="67" max="67" width="11" customWidth="1"/>
  </cols>
  <sheetData>
    <row r="4" spans="1:16384" s="138" customFormat="1" ht="139.19999999999999" x14ac:dyDescent="0.3">
      <c r="A4" s="133" t="s">
        <v>77</v>
      </c>
      <c r="B4" s="134" t="s">
        <v>0</v>
      </c>
      <c r="C4" s="134" t="s">
        <v>18</v>
      </c>
      <c r="D4" s="134" t="s">
        <v>19</v>
      </c>
      <c r="E4" s="134" t="s">
        <v>143</v>
      </c>
      <c r="F4" s="134" t="s">
        <v>89</v>
      </c>
      <c r="G4" s="134" t="s">
        <v>90</v>
      </c>
      <c r="H4" s="134" t="s">
        <v>129</v>
      </c>
      <c r="I4" s="135" t="s">
        <v>94</v>
      </c>
      <c r="J4" s="140" t="s">
        <v>0</v>
      </c>
      <c r="K4" s="140" t="s">
        <v>18</v>
      </c>
      <c r="L4" s="140" t="s">
        <v>19</v>
      </c>
      <c r="M4" s="140" t="s">
        <v>20</v>
      </c>
      <c r="N4" s="140" t="s">
        <v>21</v>
      </c>
      <c r="O4" s="140" t="s">
        <v>22</v>
      </c>
      <c r="P4" s="140" t="s">
        <v>23</v>
      </c>
      <c r="Q4" s="140" t="s">
        <v>24</v>
      </c>
      <c r="R4" s="135" t="s">
        <v>63</v>
      </c>
      <c r="S4" s="140" t="s">
        <v>17</v>
      </c>
      <c r="T4" s="135" t="s">
        <v>95</v>
      </c>
      <c r="U4" s="140" t="s">
        <v>0</v>
      </c>
      <c r="V4" s="140" t="s">
        <v>18</v>
      </c>
      <c r="W4" s="140" t="s">
        <v>19</v>
      </c>
      <c r="X4" s="140" t="s">
        <v>20</v>
      </c>
      <c r="Y4" s="140" t="s">
        <v>21</v>
      </c>
      <c r="Z4" s="140" t="s">
        <v>22</v>
      </c>
      <c r="AA4" s="140" t="s">
        <v>23</v>
      </c>
      <c r="AB4" s="140" t="s">
        <v>24</v>
      </c>
      <c r="AC4" s="135" t="s">
        <v>63</v>
      </c>
      <c r="AD4" s="140" t="s">
        <v>17</v>
      </c>
      <c r="AE4" s="135" t="s">
        <v>96</v>
      </c>
      <c r="AF4" s="140" t="s">
        <v>0</v>
      </c>
      <c r="AG4" s="140" t="s">
        <v>18</v>
      </c>
      <c r="AH4" s="140" t="s">
        <v>19</v>
      </c>
      <c r="AI4" s="140" t="s">
        <v>20</v>
      </c>
      <c r="AJ4" s="140" t="s">
        <v>21</v>
      </c>
      <c r="AK4" s="140" t="s">
        <v>22</v>
      </c>
      <c r="AL4" s="140" t="s">
        <v>23</v>
      </c>
      <c r="AM4" s="140" t="s">
        <v>24</v>
      </c>
      <c r="AN4" s="135" t="s">
        <v>63</v>
      </c>
      <c r="AO4" s="140" t="s">
        <v>17</v>
      </c>
      <c r="AP4" s="135" t="s">
        <v>98</v>
      </c>
      <c r="AQ4" s="140" t="s">
        <v>0</v>
      </c>
      <c r="AR4" s="140" t="s">
        <v>18</v>
      </c>
      <c r="AS4" s="140" t="s">
        <v>19</v>
      </c>
      <c r="AT4" s="140" t="s">
        <v>20</v>
      </c>
      <c r="AU4" s="140" t="s">
        <v>21</v>
      </c>
      <c r="AV4" s="140" t="s">
        <v>22</v>
      </c>
      <c r="AW4" s="140" t="s">
        <v>23</v>
      </c>
      <c r="AX4" s="140" t="s">
        <v>24</v>
      </c>
      <c r="AY4" s="135" t="s">
        <v>63</v>
      </c>
      <c r="AZ4" s="135" t="s">
        <v>17</v>
      </c>
      <c r="BA4" s="140" t="s">
        <v>100</v>
      </c>
      <c r="BB4" s="133" t="s">
        <v>101</v>
      </c>
      <c r="BC4" s="135" t="s">
        <v>131</v>
      </c>
      <c r="BD4" s="135" t="s">
        <v>132</v>
      </c>
      <c r="BE4" s="135" t="s">
        <v>133</v>
      </c>
      <c r="BF4" s="135" t="s">
        <v>151</v>
      </c>
      <c r="BG4" s="135" t="s">
        <v>137</v>
      </c>
      <c r="BH4" s="135" t="s">
        <v>73</v>
      </c>
      <c r="BI4" s="135" t="s">
        <v>134</v>
      </c>
      <c r="BJ4" s="135" t="s">
        <v>135</v>
      </c>
      <c r="BK4" s="135" t="s">
        <v>57</v>
      </c>
      <c r="BL4" s="135" t="s">
        <v>136</v>
      </c>
      <c r="BM4" s="135" t="s">
        <v>14</v>
      </c>
      <c r="BN4" s="136" t="s">
        <v>47</v>
      </c>
      <c r="BO4" s="137" t="s">
        <v>46</v>
      </c>
      <c r="BP4" s="157" t="s">
        <v>74</v>
      </c>
      <c r="BQ4" s="157" t="s">
        <v>46</v>
      </c>
      <c r="BR4" s="157" t="s">
        <v>75</v>
      </c>
      <c r="BS4" s="157" t="s">
        <v>46</v>
      </c>
      <c r="BT4" s="157" t="s">
        <v>145</v>
      </c>
      <c r="BU4" s="157" t="s">
        <v>46</v>
      </c>
    </row>
    <row r="5" spans="1:16384" s="158" customFormat="1" ht="52.5" customHeight="1" x14ac:dyDescent="0.25">
      <c r="A5" s="143" t="s">
        <v>77</v>
      </c>
      <c r="B5" s="40" t="s">
        <v>154</v>
      </c>
      <c r="C5" s="40" t="s">
        <v>155</v>
      </c>
      <c r="D5" s="40" t="s">
        <v>156</v>
      </c>
      <c r="E5" s="40" t="s">
        <v>157</v>
      </c>
      <c r="F5" s="40" t="s">
        <v>158</v>
      </c>
      <c r="G5" s="40" t="s">
        <v>159</v>
      </c>
      <c r="H5" s="40" t="s">
        <v>152</v>
      </c>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40" t="s">
        <v>169</v>
      </c>
      <c r="BD5" s="40" t="s">
        <v>153</v>
      </c>
      <c r="BE5" s="40" t="s">
        <v>153</v>
      </c>
      <c r="BF5" s="40" t="s">
        <v>153</v>
      </c>
      <c r="BG5" s="40" t="s">
        <v>153</v>
      </c>
      <c r="BH5" s="40" t="s">
        <v>153</v>
      </c>
      <c r="BI5" s="40" t="s">
        <v>153</v>
      </c>
      <c r="BJ5" s="40" t="s">
        <v>153</v>
      </c>
      <c r="BK5" s="40" t="s">
        <v>153</v>
      </c>
      <c r="BL5" s="40" t="s">
        <v>153</v>
      </c>
      <c r="BM5" s="40" t="s">
        <v>153</v>
      </c>
      <c r="BN5" s="143"/>
      <c r="BO5" s="143"/>
      <c r="BP5" s="143"/>
      <c r="BQ5" s="143"/>
      <c r="BR5" s="143"/>
      <c r="BS5" s="143"/>
      <c r="BT5" s="143"/>
      <c r="BU5" s="143"/>
    </row>
    <row r="6" spans="1:16384" s="139" customFormat="1" ht="36.75" customHeight="1" x14ac:dyDescent="0.25">
      <c r="A6" s="338" t="s">
        <v>148</v>
      </c>
      <c r="B6" s="336" t="s">
        <v>138</v>
      </c>
      <c r="C6" s="336" t="s">
        <v>68</v>
      </c>
      <c r="D6" s="336" t="s">
        <v>70</v>
      </c>
      <c r="E6" s="336"/>
      <c r="F6" s="336"/>
      <c r="G6" s="336"/>
      <c r="H6" s="334" t="s">
        <v>147</v>
      </c>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2">
        <v>42636</v>
      </c>
      <c r="BD6" s="142">
        <v>42643</v>
      </c>
      <c r="BE6" s="142">
        <v>42678</v>
      </c>
      <c r="BF6" s="142"/>
      <c r="BG6" s="142">
        <v>42734</v>
      </c>
      <c r="BH6" s="142">
        <v>42782</v>
      </c>
      <c r="BI6" s="142">
        <v>42787</v>
      </c>
      <c r="BJ6" s="142">
        <v>42431</v>
      </c>
      <c r="BK6" s="142"/>
      <c r="BL6" s="142">
        <v>42435</v>
      </c>
      <c r="BM6" s="142">
        <v>42838</v>
      </c>
      <c r="BN6" s="144" t="s">
        <v>150</v>
      </c>
      <c r="BO6" s="128">
        <v>42632</v>
      </c>
      <c r="BP6" s="148"/>
      <c r="BQ6" s="143"/>
      <c r="BR6" s="152"/>
      <c r="BS6" s="151"/>
      <c r="BT6" s="152"/>
      <c r="BU6" s="151"/>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hidden="1" outlineLevel="1" x14ac:dyDescent="0.25">
      <c r="A7" s="339"/>
      <c r="B7" s="337"/>
      <c r="C7" s="337"/>
      <c r="D7" s="337"/>
      <c r="E7" s="337"/>
      <c r="F7" s="337"/>
      <c r="G7" s="337"/>
      <c r="H7" s="335"/>
      <c r="BC7" s="51" t="s">
        <v>165</v>
      </c>
      <c r="BD7" s="51" t="s">
        <v>167</v>
      </c>
    </row>
    <row r="8" spans="1:16384" hidden="1" outlineLevel="1" x14ac:dyDescent="0.25">
      <c r="A8" s="339"/>
      <c r="B8" s="337"/>
      <c r="C8" s="337"/>
      <c r="D8" s="337"/>
      <c r="E8" s="337"/>
      <c r="F8" s="337"/>
      <c r="G8" s="337"/>
      <c r="H8" s="335"/>
      <c r="BC8" s="51" t="s">
        <v>166</v>
      </c>
      <c r="BD8" s="51" t="s">
        <v>168</v>
      </c>
    </row>
    <row r="9" spans="1:16384" collapsed="1" x14ac:dyDescent="0.25"/>
    <row r="14" spans="1:16384" x14ac:dyDescent="0.25">
      <c r="BC14" s="51" t="s">
        <v>160</v>
      </c>
      <c r="BD14" s="51" t="s">
        <v>161</v>
      </c>
    </row>
    <row r="15" spans="1:16384" x14ac:dyDescent="0.25">
      <c r="BC15" s="51" t="s">
        <v>162</v>
      </c>
      <c r="BD15" s="51" t="s">
        <v>163</v>
      </c>
    </row>
    <row r="16" spans="1:16384" x14ac:dyDescent="0.25">
      <c r="BC16" s="51" t="s">
        <v>164</v>
      </c>
    </row>
  </sheetData>
  <mergeCells count="8">
    <mergeCell ref="H6:H8"/>
    <mergeCell ref="B6:B8"/>
    <mergeCell ref="A6:A8"/>
    <mergeCell ref="C6:C8"/>
    <mergeCell ref="D6:D8"/>
    <mergeCell ref="E6:E8"/>
    <mergeCell ref="F6:F8"/>
    <mergeCell ref="G6:G8"/>
  </mergeCells>
  <conditionalFormatting sqref="I4:BA4">
    <cfRule type="cellIs" dxfId="0" priority="1" operator="equal">
      <formula>" "</formula>
    </cfRule>
  </conditionalFormatting>
  <pageMargins left="0.7" right="0.7" top="0.75" bottom="0.75" header="0.3" footer="0.3"/>
  <customProperties>
    <customPr name="%startcell%"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BD35"/>
  <sheetViews>
    <sheetView zoomScale="80" zoomScaleNormal="80" workbookViewId="0">
      <selection activeCell="C33" sqref="C33"/>
    </sheetView>
  </sheetViews>
  <sheetFormatPr defaultRowHeight="13.2" outlineLevelCol="1" x14ac:dyDescent="0.25"/>
  <cols>
    <col min="1" max="1" width="11.5546875" style="1" customWidth="1"/>
    <col min="2" max="2" width="34.5546875" style="1" customWidth="1"/>
    <col min="3" max="3" width="63.5546875" customWidth="1"/>
    <col min="4" max="14" width="6" customWidth="1" outlineLevel="1"/>
    <col min="15" max="15" width="7.5546875" customWidth="1" outlineLevel="1"/>
    <col min="16" max="36" width="6" customWidth="1" outlineLevel="1"/>
    <col min="37" max="37" width="7.5546875" customWidth="1" outlineLevel="1"/>
    <col min="38" max="39" width="6" customWidth="1" outlineLevel="1"/>
    <col min="40" max="47" width="6" style="12" customWidth="1" outlineLevel="1"/>
    <col min="48" max="48" width="8.5546875" style="12" customWidth="1" outlineLevel="1"/>
    <col min="49" max="49" width="8" style="1" bestFit="1" customWidth="1"/>
    <col min="50" max="51" width="13" style="1" bestFit="1" customWidth="1"/>
    <col min="52" max="52" width="15.5546875" style="1" bestFit="1" customWidth="1"/>
    <col min="53" max="53" width="16.5546875" style="1" bestFit="1" customWidth="1"/>
    <col min="54" max="54" width="12" style="1" bestFit="1" customWidth="1"/>
    <col min="55" max="56" width="17" style="1" bestFit="1" customWidth="1"/>
  </cols>
  <sheetData>
    <row r="1" spans="1:56" ht="25.5" customHeight="1" x14ac:dyDescent="0.35">
      <c r="A1" s="5" t="s">
        <v>85</v>
      </c>
    </row>
    <row r="2" spans="1:56" s="9" customFormat="1" ht="12.75" hidden="1" customHeight="1" x14ac:dyDescent="0.25">
      <c r="A2" s="10" t="s">
        <v>13</v>
      </c>
      <c r="B2" s="11">
        <v>42005</v>
      </c>
      <c r="C2" s="7">
        <f ca="1">((DAYS360(B2,B3+5))/7)</f>
        <v>236.42857142857142</v>
      </c>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12"/>
      <c r="AO2" s="12"/>
      <c r="AP2" s="12"/>
      <c r="AQ2" s="12"/>
      <c r="AR2" s="12"/>
      <c r="AS2" s="12"/>
      <c r="AT2" s="12"/>
      <c r="AU2" s="12"/>
      <c r="AV2" s="12"/>
      <c r="AW2" s="8"/>
      <c r="AX2" s="8"/>
      <c r="AY2" s="8"/>
      <c r="AZ2" s="8"/>
      <c r="BA2" s="8"/>
      <c r="BB2" s="8"/>
      <c r="BC2" s="8"/>
      <c r="BD2" s="1"/>
    </row>
    <row r="3" spans="1:56" x14ac:dyDescent="0.25">
      <c r="A3" s="1" t="s">
        <v>4</v>
      </c>
      <c r="B3" s="6">
        <f ca="1">TODAY()</f>
        <v>43678</v>
      </c>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56" ht="23.25" customHeight="1" thickBot="1" x14ac:dyDescent="0.3">
      <c r="B4" s="6"/>
    </row>
    <row r="5" spans="1:56" ht="14.25" customHeight="1" thickBot="1" x14ac:dyDescent="0.3">
      <c r="D5" s="342" t="s">
        <v>91</v>
      </c>
      <c r="E5" s="322"/>
      <c r="F5" s="322"/>
      <c r="G5" s="322"/>
      <c r="H5" s="322"/>
      <c r="I5" s="322"/>
      <c r="J5" s="322"/>
      <c r="K5" s="322"/>
      <c r="L5" s="322"/>
      <c r="M5" s="322"/>
      <c r="N5" s="343"/>
      <c r="O5" s="342" t="s">
        <v>92</v>
      </c>
      <c r="P5" s="322"/>
      <c r="Q5" s="322"/>
      <c r="R5" s="322"/>
      <c r="S5" s="322"/>
      <c r="T5" s="322"/>
      <c r="U5" s="322"/>
      <c r="V5" s="322"/>
      <c r="W5" s="322"/>
      <c r="X5" s="322"/>
      <c r="Y5" s="343"/>
      <c r="Z5" s="344" t="s">
        <v>93</v>
      </c>
      <c r="AA5" s="325"/>
      <c r="AB5" s="325"/>
      <c r="AC5" s="325"/>
      <c r="AD5" s="325"/>
      <c r="AE5" s="325"/>
      <c r="AF5" s="325"/>
      <c r="AG5" s="325"/>
      <c r="AH5" s="325"/>
      <c r="AI5" s="325"/>
      <c r="AJ5" s="345"/>
      <c r="AK5" s="344" t="s">
        <v>97</v>
      </c>
      <c r="AL5" s="325"/>
      <c r="AM5" s="325"/>
      <c r="AN5" s="325"/>
      <c r="AO5" s="325"/>
      <c r="AP5" s="325"/>
      <c r="AQ5" s="325"/>
      <c r="AR5" s="325"/>
      <c r="AS5" s="325"/>
      <c r="AT5" s="325"/>
      <c r="AU5" s="325"/>
      <c r="AV5" s="345"/>
      <c r="AW5" s="340" t="s">
        <v>1</v>
      </c>
      <c r="AX5" s="341"/>
      <c r="AY5" s="341"/>
      <c r="AZ5" s="341"/>
      <c r="BA5" s="341"/>
      <c r="BB5" s="341"/>
      <c r="BC5" s="341"/>
      <c r="BD5" s="341"/>
    </row>
    <row r="6" spans="1:56" ht="39.75" customHeight="1" thickBot="1" x14ac:dyDescent="0.3">
      <c r="A6" s="18" t="s">
        <v>2</v>
      </c>
      <c r="B6" s="18" t="s">
        <v>0</v>
      </c>
      <c r="C6" s="19" t="s">
        <v>3</v>
      </c>
      <c r="D6" s="93" t="s">
        <v>102</v>
      </c>
      <c r="E6" s="92" t="s">
        <v>0</v>
      </c>
      <c r="F6" s="92" t="s">
        <v>18</v>
      </c>
      <c r="G6" s="92" t="s">
        <v>19</v>
      </c>
      <c r="H6" s="92" t="s">
        <v>20</v>
      </c>
      <c r="I6" s="92" t="s">
        <v>21</v>
      </c>
      <c r="J6" s="92" t="s">
        <v>22</v>
      </c>
      <c r="K6" s="92" t="s">
        <v>23</v>
      </c>
      <c r="L6" s="92" t="s">
        <v>24</v>
      </c>
      <c r="M6" s="91" t="s">
        <v>106</v>
      </c>
      <c r="N6" s="94" t="s">
        <v>107</v>
      </c>
      <c r="O6" s="93" t="s">
        <v>103</v>
      </c>
      <c r="P6" s="92" t="s">
        <v>0</v>
      </c>
      <c r="Q6" s="92" t="s">
        <v>18</v>
      </c>
      <c r="R6" s="92" t="s">
        <v>19</v>
      </c>
      <c r="S6" s="92" t="s">
        <v>20</v>
      </c>
      <c r="T6" s="92" t="s">
        <v>21</v>
      </c>
      <c r="U6" s="92" t="s">
        <v>22</v>
      </c>
      <c r="V6" s="92" t="s">
        <v>23</v>
      </c>
      <c r="W6" s="92" t="s">
        <v>24</v>
      </c>
      <c r="X6" s="91" t="s">
        <v>106</v>
      </c>
      <c r="Y6" s="94" t="s">
        <v>107</v>
      </c>
      <c r="Z6" s="93" t="s">
        <v>104</v>
      </c>
      <c r="AA6" s="95" t="s">
        <v>0</v>
      </c>
      <c r="AB6" s="92" t="s">
        <v>18</v>
      </c>
      <c r="AC6" s="92" t="s">
        <v>19</v>
      </c>
      <c r="AD6" s="92" t="s">
        <v>20</v>
      </c>
      <c r="AE6" s="92" t="s">
        <v>21</v>
      </c>
      <c r="AF6" s="92" t="s">
        <v>22</v>
      </c>
      <c r="AG6" s="92" t="s">
        <v>23</v>
      </c>
      <c r="AH6" s="92" t="s">
        <v>24</v>
      </c>
      <c r="AI6" s="91" t="s">
        <v>106</v>
      </c>
      <c r="AJ6" s="94" t="s">
        <v>107</v>
      </c>
      <c r="AK6" s="93" t="s">
        <v>105</v>
      </c>
      <c r="AL6" s="95" t="s">
        <v>0</v>
      </c>
      <c r="AM6" s="92" t="s">
        <v>18</v>
      </c>
      <c r="AN6" s="92" t="s">
        <v>19</v>
      </c>
      <c r="AO6" s="92" t="s">
        <v>20</v>
      </c>
      <c r="AP6" s="92" t="s">
        <v>21</v>
      </c>
      <c r="AQ6" s="92" t="s">
        <v>22</v>
      </c>
      <c r="AR6" s="92" t="s">
        <v>23</v>
      </c>
      <c r="AS6" s="92" t="s">
        <v>24</v>
      </c>
      <c r="AT6" s="92" t="s">
        <v>106</v>
      </c>
      <c r="AU6" s="97" t="s">
        <v>107</v>
      </c>
      <c r="AV6" s="94" t="s">
        <v>100</v>
      </c>
      <c r="AW6" s="96" t="s">
        <v>101</v>
      </c>
      <c r="AX6" s="4" t="s">
        <v>62</v>
      </c>
      <c r="AY6" s="4" t="s">
        <v>61</v>
      </c>
      <c r="AZ6" s="4" t="s">
        <v>60</v>
      </c>
      <c r="BA6" s="4" t="s">
        <v>59</v>
      </c>
      <c r="BB6" s="29" t="s">
        <v>58</v>
      </c>
      <c r="BC6" s="4" t="s">
        <v>57</v>
      </c>
      <c r="BD6" s="4" t="s">
        <v>14</v>
      </c>
    </row>
    <row r="7" spans="1:56" x14ac:dyDescent="0.25">
      <c r="A7" s="1" t="str">
        <f>IF(Data!B3="","",Data!B3)</f>
        <v>Job #</v>
      </c>
      <c r="B7" s="1" t="str">
        <f>IF(Data!C3="","",Data!C3)</f>
        <v>PM</v>
      </c>
      <c r="C7" s="22" t="str">
        <f>IF(Data!I3="","",Data!I3)</f>
        <v>Customer
Project</v>
      </c>
      <c r="D7" s="70" t="str">
        <f>IF(Data!AJ3="","",Data!AJ3)</f>
        <v>Total Sold Hrs</v>
      </c>
      <c r="E7" s="70" t="str">
        <f>IF(Data!AK3="","",Data!AK3)</f>
        <v>PM</v>
      </c>
      <c r="F7" s="70" t="str">
        <f>IF(Data!AL3="","",Data!AL3)</f>
        <v>ME</v>
      </c>
      <c r="G7" s="70" t="str">
        <f>IF(Data!AM3="","",Data!AM3)</f>
        <v>EE</v>
      </c>
      <c r="H7" s="70" t="str">
        <f>IF(Data!AN3="","",Data!AN3)</f>
        <v>Fab</v>
      </c>
      <c r="I7" s="70" t="str">
        <f>IF(Data!AO3="","",Data!AO3)</f>
        <v>Mach</v>
      </c>
      <c r="J7" s="70" t="str">
        <f>IF(Data!AP3="","",Data!AP3)</f>
        <v>Assy</v>
      </c>
      <c r="K7" s="70" t="str">
        <f>IF(Data!AQ3="","",Data!AQ3)</f>
        <v>Elect</v>
      </c>
      <c r="L7" s="70" t="str">
        <f>IF(Data!AR3="","",Data!AR3)</f>
        <v>Prog</v>
      </c>
      <c r="M7" s="70" t="str">
        <f>IF(Data!AS3="","",Data!AS3)</f>
        <v>Chan Install</v>
      </c>
      <c r="N7" s="70" t="str">
        <f>IF(Data!AT3="","",Data!AT3)</f>
        <v>Install</v>
      </c>
      <c r="O7" s="70" t="str">
        <f>IF(Data!AU3="","",Data!AU3)</f>
        <v>Total Budget Hrs</v>
      </c>
      <c r="P7" s="70" t="str">
        <f>IF(Data!AV3="","",Data!AV3)</f>
        <v>PM</v>
      </c>
      <c r="Q7" s="70" t="str">
        <f>IF(Data!AW3="","",Data!AW3)</f>
        <v>ME</v>
      </c>
      <c r="R7" s="70" t="str">
        <f>IF(Data!AX3="","",Data!AX3)</f>
        <v>EE</v>
      </c>
      <c r="S7" s="70" t="str">
        <f>IF(Data!AY3="","",Data!AY3)</f>
        <v>Fab</v>
      </c>
      <c r="T7" s="70" t="str">
        <f>IF(Data!AZ3="","",Data!AZ3)</f>
        <v>Mach</v>
      </c>
      <c r="U7" s="70" t="str">
        <f>IF(Data!BA3="","",Data!BA3)</f>
        <v>Assy</v>
      </c>
      <c r="V7" s="70" t="str">
        <f>IF(Data!BB3="","",Data!BB3)</f>
        <v>Elect</v>
      </c>
      <c r="W7" s="70" t="str">
        <f>IF(Data!BC3="","",Data!BC3)</f>
        <v>Prog</v>
      </c>
      <c r="X7" s="70" t="str">
        <f>IF(Data!BD3="","",Data!BD3)</f>
        <v>Chan Install</v>
      </c>
      <c r="Y7" s="70" t="str">
        <f>IF(Data!BE3="","",Data!BE3)</f>
        <v>Install</v>
      </c>
      <c r="Z7" s="70" t="str">
        <f>IF(Data!BF3="","",Data!BF3)</f>
        <v>Total Backlog Hrs</v>
      </c>
      <c r="AA7" s="70" t="str">
        <f>IF(Data!BG3="","",Data!BG3)</f>
        <v>PM</v>
      </c>
      <c r="AB7" s="70" t="str">
        <f>IF(Data!BH3="","",Data!BH3)</f>
        <v>ME</v>
      </c>
      <c r="AC7" s="70" t="str">
        <f>IF(Data!BI3="","",Data!BI3)</f>
        <v>EE</v>
      </c>
      <c r="AD7" s="70" t="str">
        <f>IF(Data!BJ3="","",Data!BJ3)</f>
        <v>Fab</v>
      </c>
      <c r="AE7" s="70" t="str">
        <f>IF(Data!BK3="","",Data!BK3)</f>
        <v>Mach</v>
      </c>
      <c r="AF7" s="70" t="str">
        <f>IF(Data!BL3="","",Data!BL3)</f>
        <v>Assy</v>
      </c>
      <c r="AG7" s="70" t="str">
        <f>IF(Data!BM3="","",Data!BM3)</f>
        <v>Elect</v>
      </c>
      <c r="AH7" s="70" t="str">
        <f>IF(Data!BN3="","",Data!BN3)</f>
        <v>Prog</v>
      </c>
      <c r="AI7" s="70" t="str">
        <f>IF(Data!BO3="","",Data!BO3)</f>
        <v>Chan Install</v>
      </c>
      <c r="AJ7" s="70" t="str">
        <f>IF(Data!BP3="","",Data!BP3)</f>
        <v>Install</v>
      </c>
      <c r="AK7" s="70" t="str">
        <f>IF(Data!BQ3="","",Data!BQ3)</f>
        <v>Total Actual Hrs</v>
      </c>
      <c r="AL7" s="70" t="str">
        <f>IF(Data!BR3="","",Data!BR3)</f>
        <v>PM</v>
      </c>
      <c r="AM7" s="70" t="str">
        <f>IF(Data!BS3="","",Data!BS3)</f>
        <v>ME</v>
      </c>
      <c r="AN7" s="70" t="str">
        <f>IF(Data!BT3="","",Data!BT3)</f>
        <v>EE</v>
      </c>
      <c r="AO7" s="70" t="str">
        <f>IF(Data!BU3="","",Data!BU3)</f>
        <v>Fab</v>
      </c>
      <c r="AP7" s="70" t="str">
        <f>IF(Data!BV3="","",Data!BV3)</f>
        <v>Mach</v>
      </c>
      <c r="AQ7" s="70" t="str">
        <f>IF(Data!BW3="","",Data!BW3)</f>
        <v>Assy</v>
      </c>
      <c r="AR7" s="70" t="str">
        <f>IF(Data!BX3="","",Data!BX3)</f>
        <v>Elect</v>
      </c>
      <c r="AS7" s="70" t="str">
        <f>IF(Data!BY3="","",Data!BY3)</f>
        <v>Prog</v>
      </c>
      <c r="AT7" s="70" t="str">
        <f>IF(Data!BZ3="","",Data!BZ3)</f>
        <v>Chan Install</v>
      </c>
      <c r="AU7" s="70" t="str">
        <f>IF(Data!CA3="","",Data!CA3)</f>
        <v>Install</v>
      </c>
      <c r="AV7" s="70" t="str">
        <f>IF(Data!CB3="","",Data!CB3)</f>
        <v>Rework</v>
      </c>
      <c r="AW7" s="70" t="str">
        <f>IF(Data!CC3="","",Data!CC3)</f>
        <v>Over budget</v>
      </c>
      <c r="AX7" s="98" t="e">
        <f>IF(Data!L3="",0,(ROUND(((DAYS360('WK Conversion'!$B$2,Data!L3)/7)+1),0)))</f>
        <v>#VALUE!</v>
      </c>
      <c r="AY7" s="98" t="e">
        <f>IF(Data!M3="",0,(ROUND(((DAYS360('WK Conversion'!$B$2,Data!M3)/7)+1),0)))</f>
        <v>#VALUE!</v>
      </c>
      <c r="AZ7" s="98" t="e">
        <f>IF(Data!N3="",0,(ROUND(((DAYS360('WK Conversion'!$B$2,Data!N3)/7)+1),0)))</f>
        <v>#VALUE!</v>
      </c>
      <c r="BA7" s="98" t="e">
        <f>IF(Data!P3="",0,(ROUND(((DAYS360('WK Conversion'!$B$2,Data!P3)/7)+1),0)))</f>
        <v>#VALUE!</v>
      </c>
      <c r="BB7" s="98" t="e">
        <f>IF(Data!S3="",0,(ROUND(((DAYS360('WK Conversion'!$B$2,Data!S3)/7)+1),0)))</f>
        <v>#VALUE!</v>
      </c>
      <c r="BC7" s="98" t="e">
        <f>IF(Data!T3="",0,(ROUND(((DAYS360('WK Conversion'!$B$2,Data!T3)/7)+1),0)))</f>
        <v>#VALUE!</v>
      </c>
      <c r="BD7" s="98" t="e">
        <f>IF(Data!V3="",0,(ROUND(((DAYS360('WK Conversion'!$B$2,Data!V3)/7)+1),0)))</f>
        <v>#VALUE!</v>
      </c>
    </row>
    <row r="8" spans="1:56" x14ac:dyDescent="0.25">
      <c r="A8" s="1" t="e">
        <f>IF(Data!#REF!="","",Data!#REF!)</f>
        <v>#REF!</v>
      </c>
      <c r="B8" s="1" t="e">
        <f>IF(Data!#REF!="","",Data!#REF!)</f>
        <v>#REF!</v>
      </c>
      <c r="C8" s="22" t="e">
        <f>IF(Data!#REF!="","",Data!#REF!)</f>
        <v>#REF!</v>
      </c>
      <c r="D8" s="70" t="e">
        <f>IF(Data!#REF!="","",Data!#REF!)</f>
        <v>#REF!</v>
      </c>
      <c r="E8" s="70" t="e">
        <f>IF(Data!#REF!="","",Data!#REF!)</f>
        <v>#REF!</v>
      </c>
      <c r="F8" s="70" t="e">
        <f>IF(Data!#REF!="","",Data!#REF!)</f>
        <v>#REF!</v>
      </c>
      <c r="G8" s="70" t="e">
        <f>IF(Data!#REF!="","",Data!#REF!)</f>
        <v>#REF!</v>
      </c>
      <c r="H8" s="70" t="e">
        <f>IF(Data!#REF!="","",Data!#REF!)</f>
        <v>#REF!</v>
      </c>
      <c r="I8" s="70" t="e">
        <f>IF(Data!#REF!="","",Data!#REF!)</f>
        <v>#REF!</v>
      </c>
      <c r="J8" s="70" t="e">
        <f>IF(Data!#REF!="","",Data!#REF!)</f>
        <v>#REF!</v>
      </c>
      <c r="K8" s="70" t="e">
        <f>IF(Data!#REF!="","",Data!#REF!)</f>
        <v>#REF!</v>
      </c>
      <c r="L8" s="70" t="e">
        <f>IF(Data!#REF!="","",Data!#REF!)</f>
        <v>#REF!</v>
      </c>
      <c r="M8" s="70" t="e">
        <f>IF(Data!#REF!="","",Data!#REF!)</f>
        <v>#REF!</v>
      </c>
      <c r="N8" s="70" t="e">
        <f>IF(Data!#REF!="","",Data!#REF!)</f>
        <v>#REF!</v>
      </c>
      <c r="O8" s="70" t="e">
        <f>IF(Data!#REF!="","",Data!#REF!)</f>
        <v>#REF!</v>
      </c>
      <c r="P8" s="70" t="e">
        <f>IF(Data!#REF!="","",Data!#REF!)</f>
        <v>#REF!</v>
      </c>
      <c r="Q8" s="70" t="e">
        <f>IF(Data!#REF!="","",Data!#REF!)</f>
        <v>#REF!</v>
      </c>
      <c r="R8" s="70" t="e">
        <f>IF(Data!#REF!="","",Data!#REF!)</f>
        <v>#REF!</v>
      </c>
      <c r="S8" s="70" t="e">
        <f>IF(Data!#REF!="","",Data!#REF!)</f>
        <v>#REF!</v>
      </c>
      <c r="T8" s="70" t="e">
        <f>IF(Data!#REF!="","",Data!#REF!)</f>
        <v>#REF!</v>
      </c>
      <c r="U8" s="70" t="e">
        <f>IF(Data!#REF!="","",Data!#REF!)</f>
        <v>#REF!</v>
      </c>
      <c r="V8" s="70" t="e">
        <f>IF(Data!#REF!="","",Data!#REF!)</f>
        <v>#REF!</v>
      </c>
      <c r="W8" s="70" t="e">
        <f>IF(Data!#REF!="","",Data!#REF!)</f>
        <v>#REF!</v>
      </c>
      <c r="X8" s="70" t="e">
        <f>IF(Data!#REF!="","",Data!#REF!)</f>
        <v>#REF!</v>
      </c>
      <c r="Y8" s="70" t="e">
        <f>IF(Data!#REF!="","",Data!#REF!)</f>
        <v>#REF!</v>
      </c>
      <c r="Z8" s="70" t="e">
        <f>IF(Data!#REF!="","",Data!#REF!)</f>
        <v>#REF!</v>
      </c>
      <c r="AA8" s="70" t="e">
        <f>IF(Data!#REF!="","",Data!#REF!)</f>
        <v>#REF!</v>
      </c>
      <c r="AB8" s="70" t="e">
        <f>IF(Data!#REF!="","",Data!#REF!)</f>
        <v>#REF!</v>
      </c>
      <c r="AC8" s="70" t="e">
        <f>IF(Data!#REF!="","",Data!#REF!)</f>
        <v>#REF!</v>
      </c>
      <c r="AD8" s="70" t="e">
        <f>IF(Data!#REF!="","",Data!#REF!)</f>
        <v>#REF!</v>
      </c>
      <c r="AE8" s="70" t="e">
        <f>IF(Data!#REF!="","",Data!#REF!)</f>
        <v>#REF!</v>
      </c>
      <c r="AF8" s="70" t="e">
        <f>IF(Data!#REF!="","",Data!#REF!)</f>
        <v>#REF!</v>
      </c>
      <c r="AG8" s="70" t="e">
        <f>IF(Data!#REF!="","",Data!#REF!)</f>
        <v>#REF!</v>
      </c>
      <c r="AH8" s="70" t="e">
        <f>IF(Data!#REF!="","",Data!#REF!)</f>
        <v>#REF!</v>
      </c>
      <c r="AI8" s="70" t="e">
        <f>IF(Data!#REF!="","",Data!#REF!)</f>
        <v>#REF!</v>
      </c>
      <c r="AJ8" s="70" t="e">
        <f>IF(Data!#REF!="","",Data!#REF!)</f>
        <v>#REF!</v>
      </c>
      <c r="AK8" s="70" t="e">
        <f>IF(Data!#REF!="","",Data!#REF!)</f>
        <v>#REF!</v>
      </c>
      <c r="AL8" s="70" t="e">
        <f>IF(Data!#REF!="","",Data!#REF!)</f>
        <v>#REF!</v>
      </c>
      <c r="AM8" s="70" t="e">
        <f>IF(Data!#REF!="","",Data!#REF!)</f>
        <v>#REF!</v>
      </c>
      <c r="AN8" s="70" t="e">
        <f>IF(Data!#REF!="","",Data!#REF!)</f>
        <v>#REF!</v>
      </c>
      <c r="AO8" s="70" t="e">
        <f>IF(Data!#REF!="","",Data!#REF!)</f>
        <v>#REF!</v>
      </c>
      <c r="AP8" s="70" t="e">
        <f>IF(Data!#REF!="","",Data!#REF!)</f>
        <v>#REF!</v>
      </c>
      <c r="AQ8" s="70" t="e">
        <f>IF(Data!#REF!="","",Data!#REF!)</f>
        <v>#REF!</v>
      </c>
      <c r="AR8" s="70" t="e">
        <f>IF(Data!#REF!="","",Data!#REF!)</f>
        <v>#REF!</v>
      </c>
      <c r="AS8" s="70" t="e">
        <f>IF(Data!#REF!="","",Data!#REF!)</f>
        <v>#REF!</v>
      </c>
      <c r="AT8" s="70" t="e">
        <f>IF(Data!#REF!="","",Data!#REF!)</f>
        <v>#REF!</v>
      </c>
      <c r="AU8" s="70" t="e">
        <f>IF(Data!#REF!="","",Data!#REF!)</f>
        <v>#REF!</v>
      </c>
      <c r="AV8" s="70" t="e">
        <f>IF(Data!#REF!="","",Data!#REF!)</f>
        <v>#REF!</v>
      </c>
      <c r="AW8" s="70" t="e">
        <f>IF(Data!#REF!="","",Data!#REF!)</f>
        <v>#REF!</v>
      </c>
      <c r="AX8" s="98" t="e">
        <f>IF(Data!#REF!="",0,(ROUND(((DAYS360('WK Conversion'!$B$2,Data!#REF!)/7)+1),0)))</f>
        <v>#REF!</v>
      </c>
      <c r="AY8" s="98" t="e">
        <f>IF(Data!#REF!="",0,(ROUND(((DAYS360('WK Conversion'!$B$2,Data!#REF!)/7)+1),0)))</f>
        <v>#REF!</v>
      </c>
      <c r="AZ8" s="98" t="e">
        <f>IF(Data!#REF!="",0,(ROUND(((DAYS360('WK Conversion'!$B$2,Data!#REF!)/7)+1),0)))</f>
        <v>#REF!</v>
      </c>
      <c r="BA8" s="98" t="e">
        <f>IF(Data!#REF!="",0,(ROUND(((DAYS360('WK Conversion'!$B$2,Data!#REF!)/7)+1),0)))</f>
        <v>#REF!</v>
      </c>
      <c r="BB8" s="98" t="e">
        <f>IF(Data!#REF!="",0,(ROUND(((DAYS360('WK Conversion'!$B$2,Data!#REF!)/7)+1),0)))</f>
        <v>#REF!</v>
      </c>
      <c r="BC8" s="98" t="e">
        <f>IF(Data!#REF!="",0,(ROUND(((DAYS360('WK Conversion'!$B$2,Data!#REF!)/7)+1),0)))</f>
        <v>#REF!</v>
      </c>
      <c r="BD8" s="98" t="e">
        <f>IF(Data!#REF!="",0,(ROUND(((DAYS360('WK Conversion'!$B$2,Data!#REF!)/7)+1),0)))</f>
        <v>#REF!</v>
      </c>
    </row>
    <row r="9" spans="1:56" x14ac:dyDescent="0.25">
      <c r="A9" s="1" t="e">
        <f>IF(Data!#REF!="","",Data!#REF!)</f>
        <v>#REF!</v>
      </c>
      <c r="B9" s="1" t="e">
        <f>IF(Data!#REF!="","",Data!#REF!)</f>
        <v>#REF!</v>
      </c>
      <c r="C9" s="22" t="e">
        <f>IF(Data!#REF!="","",Data!#REF!)</f>
        <v>#REF!</v>
      </c>
      <c r="D9" s="70" t="e">
        <f>IF(Data!#REF!="","",Data!#REF!)</f>
        <v>#REF!</v>
      </c>
      <c r="E9" s="70" t="e">
        <f>IF(Data!#REF!="","",Data!#REF!)</f>
        <v>#REF!</v>
      </c>
      <c r="F9" s="70" t="e">
        <f>IF(Data!#REF!="","",Data!#REF!)</f>
        <v>#REF!</v>
      </c>
      <c r="G9" s="70" t="e">
        <f>IF(Data!#REF!="","",Data!#REF!)</f>
        <v>#REF!</v>
      </c>
      <c r="H9" s="70" t="e">
        <f>IF(Data!#REF!="","",Data!#REF!)</f>
        <v>#REF!</v>
      </c>
      <c r="I9" s="70" t="e">
        <f>IF(Data!#REF!="","",Data!#REF!)</f>
        <v>#REF!</v>
      </c>
      <c r="J9" s="70" t="e">
        <f>IF(Data!#REF!="","",Data!#REF!)</f>
        <v>#REF!</v>
      </c>
      <c r="K9" s="70" t="e">
        <f>IF(Data!#REF!="","",Data!#REF!)</f>
        <v>#REF!</v>
      </c>
      <c r="L9" s="70" t="e">
        <f>IF(Data!#REF!="","",Data!#REF!)</f>
        <v>#REF!</v>
      </c>
      <c r="M9" s="70" t="e">
        <f>IF(Data!#REF!="","",Data!#REF!)</f>
        <v>#REF!</v>
      </c>
      <c r="N9" s="70" t="e">
        <f>IF(Data!#REF!="","",Data!#REF!)</f>
        <v>#REF!</v>
      </c>
      <c r="O9" s="70" t="e">
        <f>IF(Data!#REF!="","",Data!#REF!)</f>
        <v>#REF!</v>
      </c>
      <c r="P9" s="70" t="e">
        <f>IF(Data!#REF!="","",Data!#REF!)</f>
        <v>#REF!</v>
      </c>
      <c r="Q9" s="70" t="e">
        <f>IF(Data!#REF!="","",Data!#REF!)</f>
        <v>#REF!</v>
      </c>
      <c r="R9" s="70" t="e">
        <f>IF(Data!#REF!="","",Data!#REF!)</f>
        <v>#REF!</v>
      </c>
      <c r="S9" s="70" t="e">
        <f>IF(Data!#REF!="","",Data!#REF!)</f>
        <v>#REF!</v>
      </c>
      <c r="T9" s="70" t="e">
        <f>IF(Data!#REF!="","",Data!#REF!)</f>
        <v>#REF!</v>
      </c>
      <c r="U9" s="70" t="e">
        <f>IF(Data!#REF!="","",Data!#REF!)</f>
        <v>#REF!</v>
      </c>
      <c r="V9" s="70" t="e">
        <f>IF(Data!#REF!="","",Data!#REF!)</f>
        <v>#REF!</v>
      </c>
      <c r="W9" s="70" t="e">
        <f>IF(Data!#REF!="","",Data!#REF!)</f>
        <v>#REF!</v>
      </c>
      <c r="X9" s="70" t="e">
        <f>IF(Data!#REF!="","",Data!#REF!)</f>
        <v>#REF!</v>
      </c>
      <c r="Y9" s="70" t="e">
        <f>IF(Data!#REF!="","",Data!#REF!)</f>
        <v>#REF!</v>
      </c>
      <c r="Z9" s="70" t="e">
        <f>IF(Data!#REF!="","",Data!#REF!)</f>
        <v>#REF!</v>
      </c>
      <c r="AA9" s="70" t="e">
        <f>IF(Data!#REF!="","",Data!#REF!)</f>
        <v>#REF!</v>
      </c>
      <c r="AB9" s="70" t="e">
        <f>IF(Data!#REF!="","",Data!#REF!)</f>
        <v>#REF!</v>
      </c>
      <c r="AC9" s="70" t="e">
        <f>IF(Data!#REF!="","",Data!#REF!)</f>
        <v>#REF!</v>
      </c>
      <c r="AD9" s="70" t="e">
        <f>IF(Data!#REF!="","",Data!#REF!)</f>
        <v>#REF!</v>
      </c>
      <c r="AE9" s="70" t="e">
        <f>IF(Data!#REF!="","",Data!#REF!)</f>
        <v>#REF!</v>
      </c>
      <c r="AF9" s="70" t="e">
        <f>IF(Data!#REF!="","",Data!#REF!)</f>
        <v>#REF!</v>
      </c>
      <c r="AG9" s="70" t="e">
        <f>IF(Data!#REF!="","",Data!#REF!)</f>
        <v>#REF!</v>
      </c>
      <c r="AH9" s="70" t="e">
        <f>IF(Data!#REF!="","",Data!#REF!)</f>
        <v>#REF!</v>
      </c>
      <c r="AI9" s="70" t="e">
        <f>IF(Data!#REF!="","",Data!#REF!)</f>
        <v>#REF!</v>
      </c>
      <c r="AJ9" s="70" t="e">
        <f>IF(Data!#REF!="","",Data!#REF!)</f>
        <v>#REF!</v>
      </c>
      <c r="AK9" s="70" t="e">
        <f>IF(Data!#REF!="","",Data!#REF!)</f>
        <v>#REF!</v>
      </c>
      <c r="AL9" s="70" t="e">
        <f>IF(Data!#REF!="","",Data!#REF!)</f>
        <v>#REF!</v>
      </c>
      <c r="AM9" s="70" t="e">
        <f>IF(Data!#REF!="","",Data!#REF!)</f>
        <v>#REF!</v>
      </c>
      <c r="AN9" s="70" t="e">
        <f>IF(Data!#REF!="","",Data!#REF!)</f>
        <v>#REF!</v>
      </c>
      <c r="AO9" s="70" t="e">
        <f>IF(Data!#REF!="","",Data!#REF!)</f>
        <v>#REF!</v>
      </c>
      <c r="AP9" s="70" t="e">
        <f>IF(Data!#REF!="","",Data!#REF!)</f>
        <v>#REF!</v>
      </c>
      <c r="AQ9" s="70" t="e">
        <f>IF(Data!#REF!="","",Data!#REF!)</f>
        <v>#REF!</v>
      </c>
      <c r="AR9" s="70" t="e">
        <f>IF(Data!#REF!="","",Data!#REF!)</f>
        <v>#REF!</v>
      </c>
      <c r="AS9" s="70" t="e">
        <f>IF(Data!#REF!="","",Data!#REF!)</f>
        <v>#REF!</v>
      </c>
      <c r="AT9" s="70" t="e">
        <f>IF(Data!#REF!="","",Data!#REF!)</f>
        <v>#REF!</v>
      </c>
      <c r="AU9" s="70" t="e">
        <f>IF(Data!#REF!="","",Data!#REF!)</f>
        <v>#REF!</v>
      </c>
      <c r="AV9" s="70" t="e">
        <f>IF(Data!#REF!="","",Data!#REF!)</f>
        <v>#REF!</v>
      </c>
      <c r="AW9" s="70" t="e">
        <f>IF(Data!#REF!="","",Data!#REF!)</f>
        <v>#REF!</v>
      </c>
      <c r="AX9" s="98" t="e">
        <f>IF(Data!#REF!="",0,(ROUND(((DAYS360('WK Conversion'!$B$2,Data!#REF!)/7)+1),0)))</f>
        <v>#REF!</v>
      </c>
      <c r="AY9" s="98" t="e">
        <f>IF(Data!#REF!="",0,(ROUND(((DAYS360('WK Conversion'!$B$2,Data!#REF!)/7)+1),0)))</f>
        <v>#REF!</v>
      </c>
      <c r="AZ9" s="98" t="e">
        <f>IF(Data!#REF!="",0,(ROUND(((DAYS360('WK Conversion'!$B$2,Data!#REF!)/7)+1),0)))</f>
        <v>#REF!</v>
      </c>
      <c r="BA9" s="98" t="e">
        <f>IF(Data!#REF!="",0,(ROUND(((DAYS360('WK Conversion'!$B$2,Data!#REF!)/7)+1),0)))</f>
        <v>#REF!</v>
      </c>
      <c r="BB9" s="98" t="e">
        <f>IF(Data!#REF!="",0,(ROUND(((DAYS360('WK Conversion'!$B$2,Data!#REF!)/7)+1),0)))</f>
        <v>#REF!</v>
      </c>
      <c r="BC9" s="98" t="e">
        <f>IF(Data!#REF!="",0,(ROUND(((DAYS360('WK Conversion'!$B$2,Data!#REF!)/7)+1),0)))</f>
        <v>#REF!</v>
      </c>
      <c r="BD9" s="98" t="e">
        <f>IF(Data!#REF!="",0,(ROUND(((DAYS360('WK Conversion'!$B$2,Data!#REF!)/7)+1),0)))</f>
        <v>#REF!</v>
      </c>
    </row>
    <row r="10" spans="1:56" x14ac:dyDescent="0.25">
      <c r="A10" s="1" t="e">
        <f>IF(Data!#REF!="","",Data!#REF!)</f>
        <v>#REF!</v>
      </c>
      <c r="B10" s="1" t="e">
        <f>IF(Data!#REF!="","",Data!#REF!)</f>
        <v>#REF!</v>
      </c>
      <c r="C10" s="22" t="e">
        <f>IF(Data!#REF!="","",Data!#REF!)</f>
        <v>#REF!</v>
      </c>
      <c r="D10" s="70" t="e">
        <f>IF(Data!#REF!="","",Data!#REF!)</f>
        <v>#REF!</v>
      </c>
      <c r="E10" s="70" t="e">
        <f>IF(Data!#REF!="","",Data!#REF!)</f>
        <v>#REF!</v>
      </c>
      <c r="F10" s="70" t="e">
        <f>IF(Data!#REF!="","",Data!#REF!)</f>
        <v>#REF!</v>
      </c>
      <c r="G10" s="70" t="e">
        <f>IF(Data!#REF!="","",Data!#REF!)</f>
        <v>#REF!</v>
      </c>
      <c r="H10" s="70" t="e">
        <f>IF(Data!#REF!="","",Data!#REF!)</f>
        <v>#REF!</v>
      </c>
      <c r="I10" s="70" t="e">
        <f>IF(Data!#REF!="","",Data!#REF!)</f>
        <v>#REF!</v>
      </c>
      <c r="J10" s="70" t="e">
        <f>IF(Data!#REF!="","",Data!#REF!)</f>
        <v>#REF!</v>
      </c>
      <c r="K10" s="70" t="e">
        <f>IF(Data!#REF!="","",Data!#REF!)</f>
        <v>#REF!</v>
      </c>
      <c r="L10" s="70" t="e">
        <f>IF(Data!#REF!="","",Data!#REF!)</f>
        <v>#REF!</v>
      </c>
      <c r="M10" s="70" t="e">
        <f>IF(Data!#REF!="","",Data!#REF!)</f>
        <v>#REF!</v>
      </c>
      <c r="N10" s="70" t="e">
        <f>IF(Data!#REF!="","",Data!#REF!)</f>
        <v>#REF!</v>
      </c>
      <c r="O10" s="70" t="e">
        <f>IF(Data!#REF!="","",Data!#REF!)</f>
        <v>#REF!</v>
      </c>
      <c r="P10" s="70" t="e">
        <f>IF(Data!#REF!="","",Data!#REF!)</f>
        <v>#REF!</v>
      </c>
      <c r="Q10" s="70" t="e">
        <f>IF(Data!#REF!="","",Data!#REF!)</f>
        <v>#REF!</v>
      </c>
      <c r="R10" s="70" t="e">
        <f>IF(Data!#REF!="","",Data!#REF!)</f>
        <v>#REF!</v>
      </c>
      <c r="S10" s="70" t="e">
        <f>IF(Data!#REF!="","",Data!#REF!)</f>
        <v>#REF!</v>
      </c>
      <c r="T10" s="70" t="e">
        <f>IF(Data!#REF!="","",Data!#REF!)</f>
        <v>#REF!</v>
      </c>
      <c r="U10" s="70" t="e">
        <f>IF(Data!#REF!="","",Data!#REF!)</f>
        <v>#REF!</v>
      </c>
      <c r="V10" s="70" t="e">
        <f>IF(Data!#REF!="","",Data!#REF!)</f>
        <v>#REF!</v>
      </c>
      <c r="W10" s="70" t="e">
        <f>IF(Data!#REF!="","",Data!#REF!)</f>
        <v>#REF!</v>
      </c>
      <c r="X10" s="70" t="e">
        <f>IF(Data!#REF!="","",Data!#REF!)</f>
        <v>#REF!</v>
      </c>
      <c r="Y10" s="70" t="e">
        <f>IF(Data!#REF!="","",Data!#REF!)</f>
        <v>#REF!</v>
      </c>
      <c r="Z10" s="70" t="e">
        <f>IF(Data!#REF!="","",Data!#REF!)</f>
        <v>#REF!</v>
      </c>
      <c r="AA10" s="70" t="e">
        <f>IF(Data!#REF!="","",Data!#REF!)</f>
        <v>#REF!</v>
      </c>
      <c r="AB10" s="70" t="e">
        <f>IF(Data!#REF!="","",Data!#REF!)</f>
        <v>#REF!</v>
      </c>
      <c r="AC10" s="70" t="e">
        <f>IF(Data!#REF!="","",Data!#REF!)</f>
        <v>#REF!</v>
      </c>
      <c r="AD10" s="70" t="e">
        <f>IF(Data!#REF!="","",Data!#REF!)</f>
        <v>#REF!</v>
      </c>
      <c r="AE10" s="70" t="e">
        <f>IF(Data!#REF!="","",Data!#REF!)</f>
        <v>#REF!</v>
      </c>
      <c r="AF10" s="70" t="e">
        <f>IF(Data!#REF!="","",Data!#REF!)</f>
        <v>#REF!</v>
      </c>
      <c r="AG10" s="70" t="e">
        <f>IF(Data!#REF!="","",Data!#REF!)</f>
        <v>#REF!</v>
      </c>
      <c r="AH10" s="70" t="e">
        <f>IF(Data!#REF!="","",Data!#REF!)</f>
        <v>#REF!</v>
      </c>
      <c r="AI10" s="70" t="e">
        <f>IF(Data!#REF!="","",Data!#REF!)</f>
        <v>#REF!</v>
      </c>
      <c r="AJ10" s="70" t="e">
        <f>IF(Data!#REF!="","",Data!#REF!)</f>
        <v>#REF!</v>
      </c>
      <c r="AK10" s="70" t="e">
        <f>IF(Data!#REF!="","",Data!#REF!)</f>
        <v>#REF!</v>
      </c>
      <c r="AL10" s="70" t="e">
        <f>IF(Data!#REF!="","",Data!#REF!)</f>
        <v>#REF!</v>
      </c>
      <c r="AM10" s="70" t="e">
        <f>IF(Data!#REF!="","",Data!#REF!)</f>
        <v>#REF!</v>
      </c>
      <c r="AN10" s="70" t="e">
        <f>IF(Data!#REF!="","",Data!#REF!)</f>
        <v>#REF!</v>
      </c>
      <c r="AO10" s="70" t="e">
        <f>IF(Data!#REF!="","",Data!#REF!)</f>
        <v>#REF!</v>
      </c>
      <c r="AP10" s="70" t="e">
        <f>IF(Data!#REF!="","",Data!#REF!)</f>
        <v>#REF!</v>
      </c>
      <c r="AQ10" s="70" t="e">
        <f>IF(Data!#REF!="","",Data!#REF!)</f>
        <v>#REF!</v>
      </c>
      <c r="AR10" s="70" t="e">
        <f>IF(Data!#REF!="","",Data!#REF!)</f>
        <v>#REF!</v>
      </c>
      <c r="AS10" s="70" t="e">
        <f>IF(Data!#REF!="","",Data!#REF!)</f>
        <v>#REF!</v>
      </c>
      <c r="AT10" s="70" t="e">
        <f>IF(Data!#REF!="","",Data!#REF!)</f>
        <v>#REF!</v>
      </c>
      <c r="AU10" s="70" t="e">
        <f>IF(Data!#REF!="","",Data!#REF!)</f>
        <v>#REF!</v>
      </c>
      <c r="AV10" s="70" t="e">
        <f>IF(Data!#REF!="","",Data!#REF!)</f>
        <v>#REF!</v>
      </c>
      <c r="AW10" s="70" t="e">
        <f>IF(Data!#REF!="","",Data!#REF!)</f>
        <v>#REF!</v>
      </c>
      <c r="AX10" s="98" t="e">
        <f>IF(Data!#REF!="",0,(ROUND(((DAYS360('WK Conversion'!$B$2,Data!#REF!)/7)+1),0)))</f>
        <v>#REF!</v>
      </c>
      <c r="AY10" s="98" t="e">
        <f>IF(Data!#REF!="",0,(ROUND(((DAYS360('WK Conversion'!$B$2,Data!#REF!)/7)+1),0)))</f>
        <v>#REF!</v>
      </c>
      <c r="AZ10" s="98" t="e">
        <f>IF(Data!#REF!="",0,(ROUND(((DAYS360('WK Conversion'!$B$2,Data!#REF!)/7)+1),0)))</f>
        <v>#REF!</v>
      </c>
      <c r="BA10" s="98" t="e">
        <f>IF(Data!#REF!="",0,(ROUND(((DAYS360('WK Conversion'!$B$2,Data!#REF!)/7)+1),0)))</f>
        <v>#REF!</v>
      </c>
      <c r="BB10" s="98" t="e">
        <f>IF(Data!#REF!="",0,(ROUND(((DAYS360('WK Conversion'!$B$2,Data!#REF!)/7)+1),0)))</f>
        <v>#REF!</v>
      </c>
      <c r="BC10" s="98" t="e">
        <f>IF(Data!#REF!="",0,(ROUND(((DAYS360('WK Conversion'!$B$2,Data!#REF!)/7)+1),0)))</f>
        <v>#REF!</v>
      </c>
      <c r="BD10" s="98" t="e">
        <f>IF(Data!#REF!="",0,(ROUND(((DAYS360('WK Conversion'!$B$2,Data!#REF!)/7)+1),0)))</f>
        <v>#REF!</v>
      </c>
    </row>
    <row r="11" spans="1:56" x14ac:dyDescent="0.25">
      <c r="A11" s="1" t="e">
        <f>IF(Data!#REF!="","",Data!#REF!)</f>
        <v>#REF!</v>
      </c>
      <c r="B11" s="1" t="e">
        <f>IF(Data!#REF!="","",Data!#REF!)</f>
        <v>#REF!</v>
      </c>
      <c r="C11" s="22" t="e">
        <f>IF(Data!#REF!="","",Data!#REF!)</f>
        <v>#REF!</v>
      </c>
      <c r="D11" s="70" t="e">
        <f>IF(Data!#REF!="","",Data!#REF!)</f>
        <v>#REF!</v>
      </c>
      <c r="E11" s="70" t="e">
        <f>IF(Data!#REF!="","",Data!#REF!)</f>
        <v>#REF!</v>
      </c>
      <c r="F11" s="70" t="e">
        <f>IF(Data!#REF!="","",Data!#REF!)</f>
        <v>#REF!</v>
      </c>
      <c r="G11" s="70" t="e">
        <f>IF(Data!#REF!="","",Data!#REF!)</f>
        <v>#REF!</v>
      </c>
      <c r="H11" s="70" t="e">
        <f>IF(Data!#REF!="","",Data!#REF!)</f>
        <v>#REF!</v>
      </c>
      <c r="I11" s="70" t="e">
        <f>IF(Data!#REF!="","",Data!#REF!)</f>
        <v>#REF!</v>
      </c>
      <c r="J11" s="70" t="e">
        <f>IF(Data!#REF!="","",Data!#REF!)</f>
        <v>#REF!</v>
      </c>
      <c r="K11" s="70" t="e">
        <f>IF(Data!#REF!="","",Data!#REF!)</f>
        <v>#REF!</v>
      </c>
      <c r="L11" s="70" t="e">
        <f>IF(Data!#REF!="","",Data!#REF!)</f>
        <v>#REF!</v>
      </c>
      <c r="M11" s="70" t="e">
        <f>IF(Data!#REF!="","",Data!#REF!)</f>
        <v>#REF!</v>
      </c>
      <c r="N11" s="70" t="e">
        <f>IF(Data!#REF!="","",Data!#REF!)</f>
        <v>#REF!</v>
      </c>
      <c r="O11" s="70" t="e">
        <f>IF(Data!#REF!="","",Data!#REF!)</f>
        <v>#REF!</v>
      </c>
      <c r="P11" s="70" t="e">
        <f>IF(Data!#REF!="","",Data!#REF!)</f>
        <v>#REF!</v>
      </c>
      <c r="Q11" s="70" t="e">
        <f>IF(Data!#REF!="","",Data!#REF!)</f>
        <v>#REF!</v>
      </c>
      <c r="R11" s="70" t="e">
        <f>IF(Data!#REF!="","",Data!#REF!)</f>
        <v>#REF!</v>
      </c>
      <c r="S11" s="70" t="e">
        <f>IF(Data!#REF!="","",Data!#REF!)</f>
        <v>#REF!</v>
      </c>
      <c r="T11" s="70" t="e">
        <f>IF(Data!#REF!="","",Data!#REF!)</f>
        <v>#REF!</v>
      </c>
      <c r="U11" s="70" t="e">
        <f>IF(Data!#REF!="","",Data!#REF!)</f>
        <v>#REF!</v>
      </c>
      <c r="V11" s="70" t="e">
        <f>IF(Data!#REF!="","",Data!#REF!)</f>
        <v>#REF!</v>
      </c>
      <c r="W11" s="70" t="e">
        <f>IF(Data!#REF!="","",Data!#REF!)</f>
        <v>#REF!</v>
      </c>
      <c r="X11" s="70" t="e">
        <f>IF(Data!#REF!="","",Data!#REF!)</f>
        <v>#REF!</v>
      </c>
      <c r="Y11" s="70" t="e">
        <f>IF(Data!#REF!="","",Data!#REF!)</f>
        <v>#REF!</v>
      </c>
      <c r="Z11" s="70" t="e">
        <f>IF(Data!#REF!="","",Data!#REF!)</f>
        <v>#REF!</v>
      </c>
      <c r="AA11" s="70" t="e">
        <f>IF(Data!#REF!="","",Data!#REF!)</f>
        <v>#REF!</v>
      </c>
      <c r="AB11" s="70" t="e">
        <f>IF(Data!#REF!="","",Data!#REF!)</f>
        <v>#REF!</v>
      </c>
      <c r="AC11" s="70" t="e">
        <f>IF(Data!#REF!="","",Data!#REF!)</f>
        <v>#REF!</v>
      </c>
      <c r="AD11" s="70" t="e">
        <f>IF(Data!#REF!="","",Data!#REF!)</f>
        <v>#REF!</v>
      </c>
      <c r="AE11" s="70" t="e">
        <f>IF(Data!#REF!="","",Data!#REF!)</f>
        <v>#REF!</v>
      </c>
      <c r="AF11" s="70" t="e">
        <f>IF(Data!#REF!="","",Data!#REF!)</f>
        <v>#REF!</v>
      </c>
      <c r="AG11" s="70" t="e">
        <f>IF(Data!#REF!="","",Data!#REF!)</f>
        <v>#REF!</v>
      </c>
      <c r="AH11" s="70" t="e">
        <f>IF(Data!#REF!="","",Data!#REF!)</f>
        <v>#REF!</v>
      </c>
      <c r="AI11" s="70" t="e">
        <f>IF(Data!#REF!="","",Data!#REF!)</f>
        <v>#REF!</v>
      </c>
      <c r="AJ11" s="70" t="e">
        <f>IF(Data!#REF!="","",Data!#REF!)</f>
        <v>#REF!</v>
      </c>
      <c r="AK11" s="70" t="e">
        <f>IF(Data!#REF!="","",Data!#REF!)</f>
        <v>#REF!</v>
      </c>
      <c r="AL11" s="70" t="e">
        <f>IF(Data!#REF!="","",Data!#REF!)</f>
        <v>#REF!</v>
      </c>
      <c r="AM11" s="70" t="e">
        <f>IF(Data!#REF!="","",Data!#REF!)</f>
        <v>#REF!</v>
      </c>
      <c r="AN11" s="70" t="e">
        <f>IF(Data!#REF!="","",Data!#REF!)</f>
        <v>#REF!</v>
      </c>
      <c r="AO11" s="70" t="e">
        <f>IF(Data!#REF!="","",Data!#REF!)</f>
        <v>#REF!</v>
      </c>
      <c r="AP11" s="70" t="e">
        <f>IF(Data!#REF!="","",Data!#REF!)</f>
        <v>#REF!</v>
      </c>
      <c r="AQ11" s="70" t="e">
        <f>IF(Data!#REF!="","",Data!#REF!)</f>
        <v>#REF!</v>
      </c>
      <c r="AR11" s="70" t="e">
        <f>IF(Data!#REF!="","",Data!#REF!)</f>
        <v>#REF!</v>
      </c>
      <c r="AS11" s="70" t="e">
        <f>IF(Data!#REF!="","",Data!#REF!)</f>
        <v>#REF!</v>
      </c>
      <c r="AT11" s="70" t="e">
        <f>IF(Data!#REF!="","",Data!#REF!)</f>
        <v>#REF!</v>
      </c>
      <c r="AU11" s="70" t="e">
        <f>IF(Data!#REF!="","",Data!#REF!)</f>
        <v>#REF!</v>
      </c>
      <c r="AV11" s="70" t="e">
        <f>IF(Data!#REF!="","",Data!#REF!)</f>
        <v>#REF!</v>
      </c>
      <c r="AW11" s="70" t="e">
        <f>IF(Data!#REF!="","",Data!#REF!)</f>
        <v>#REF!</v>
      </c>
      <c r="AX11" s="98" t="e">
        <f>IF(Data!#REF!="",0,(ROUND(((DAYS360('WK Conversion'!$B$2,Data!#REF!)/7)+1),0)))</f>
        <v>#REF!</v>
      </c>
      <c r="AY11" s="98" t="e">
        <f>IF(Data!#REF!="",0,(ROUND(((DAYS360('WK Conversion'!$B$2,Data!#REF!)/7)+1),0)))</f>
        <v>#REF!</v>
      </c>
      <c r="AZ11" s="98" t="e">
        <f>IF(Data!#REF!="",0,(ROUND(((DAYS360('WK Conversion'!$B$2,Data!#REF!)/7)+1),0)))</f>
        <v>#REF!</v>
      </c>
      <c r="BA11" s="98" t="e">
        <f>IF(Data!#REF!="",0,(ROUND(((DAYS360('WK Conversion'!$B$2,Data!#REF!)/7)+1),0)))</f>
        <v>#REF!</v>
      </c>
      <c r="BB11" s="98" t="e">
        <f>IF(Data!#REF!="",0,(ROUND(((DAYS360('WK Conversion'!$B$2,Data!#REF!)/7)+1),0)))</f>
        <v>#REF!</v>
      </c>
      <c r="BC11" s="98" t="e">
        <f>IF(Data!#REF!="",0,(ROUND(((DAYS360('WK Conversion'!$B$2,Data!#REF!)/7)+1),0)))</f>
        <v>#REF!</v>
      </c>
      <c r="BD11" s="98" t="e">
        <f>IF(Data!#REF!="",0,(ROUND(((DAYS360('WK Conversion'!$B$2,Data!#REF!)/7)+1),0)))</f>
        <v>#REF!</v>
      </c>
    </row>
    <row r="12" spans="1:56" x14ac:dyDescent="0.25">
      <c r="A12" s="1" t="e">
        <f>IF(Data!#REF!="","",Data!#REF!)</f>
        <v>#REF!</v>
      </c>
      <c r="B12" s="1" t="e">
        <f>IF(Data!#REF!="","",Data!#REF!)</f>
        <v>#REF!</v>
      </c>
      <c r="C12" s="22" t="e">
        <f>IF(Data!#REF!="","",Data!#REF!)</f>
        <v>#REF!</v>
      </c>
      <c r="D12" s="70" t="e">
        <f>IF(Data!#REF!="","",Data!#REF!)</f>
        <v>#REF!</v>
      </c>
      <c r="E12" s="70" t="e">
        <f>IF(Data!#REF!="","",Data!#REF!)</f>
        <v>#REF!</v>
      </c>
      <c r="F12" s="70" t="e">
        <f>IF(Data!#REF!="","",Data!#REF!)</f>
        <v>#REF!</v>
      </c>
      <c r="G12" s="70" t="e">
        <f>IF(Data!#REF!="","",Data!#REF!)</f>
        <v>#REF!</v>
      </c>
      <c r="H12" s="70" t="e">
        <f>IF(Data!#REF!="","",Data!#REF!)</f>
        <v>#REF!</v>
      </c>
      <c r="I12" s="70" t="e">
        <f>IF(Data!#REF!="","",Data!#REF!)</f>
        <v>#REF!</v>
      </c>
      <c r="J12" s="70" t="e">
        <f>IF(Data!#REF!="","",Data!#REF!)</f>
        <v>#REF!</v>
      </c>
      <c r="K12" s="70" t="e">
        <f>IF(Data!#REF!="","",Data!#REF!)</f>
        <v>#REF!</v>
      </c>
      <c r="L12" s="70" t="e">
        <f>IF(Data!#REF!="","",Data!#REF!)</f>
        <v>#REF!</v>
      </c>
      <c r="M12" s="70" t="e">
        <f>IF(Data!#REF!="","",Data!#REF!)</f>
        <v>#REF!</v>
      </c>
      <c r="N12" s="70" t="e">
        <f>IF(Data!#REF!="","",Data!#REF!)</f>
        <v>#REF!</v>
      </c>
      <c r="O12" s="70" t="e">
        <f>IF(Data!#REF!="","",Data!#REF!)</f>
        <v>#REF!</v>
      </c>
      <c r="P12" s="70" t="e">
        <f>IF(Data!#REF!="","",Data!#REF!)</f>
        <v>#REF!</v>
      </c>
      <c r="Q12" s="70" t="e">
        <f>IF(Data!#REF!="","",Data!#REF!)</f>
        <v>#REF!</v>
      </c>
      <c r="R12" s="70" t="e">
        <f>IF(Data!#REF!="","",Data!#REF!)</f>
        <v>#REF!</v>
      </c>
      <c r="S12" s="70" t="e">
        <f>IF(Data!#REF!="","",Data!#REF!)</f>
        <v>#REF!</v>
      </c>
      <c r="T12" s="70" t="e">
        <f>IF(Data!#REF!="","",Data!#REF!)</f>
        <v>#REF!</v>
      </c>
      <c r="U12" s="70" t="e">
        <f>IF(Data!#REF!="","",Data!#REF!)</f>
        <v>#REF!</v>
      </c>
      <c r="V12" s="70" t="e">
        <f>IF(Data!#REF!="","",Data!#REF!)</f>
        <v>#REF!</v>
      </c>
      <c r="W12" s="70" t="e">
        <f>IF(Data!#REF!="","",Data!#REF!)</f>
        <v>#REF!</v>
      </c>
      <c r="X12" s="70" t="e">
        <f>IF(Data!#REF!="","",Data!#REF!)</f>
        <v>#REF!</v>
      </c>
      <c r="Y12" s="70" t="e">
        <f>IF(Data!#REF!="","",Data!#REF!)</f>
        <v>#REF!</v>
      </c>
      <c r="Z12" s="70" t="e">
        <f>IF(Data!#REF!="","",Data!#REF!)</f>
        <v>#REF!</v>
      </c>
      <c r="AA12" s="70" t="e">
        <f>IF(Data!#REF!="","",Data!#REF!)</f>
        <v>#REF!</v>
      </c>
      <c r="AB12" s="70" t="e">
        <f>IF(Data!#REF!="","",Data!#REF!)</f>
        <v>#REF!</v>
      </c>
      <c r="AC12" s="70" t="e">
        <f>IF(Data!#REF!="","",Data!#REF!)</f>
        <v>#REF!</v>
      </c>
      <c r="AD12" s="70" t="e">
        <f>IF(Data!#REF!="","",Data!#REF!)</f>
        <v>#REF!</v>
      </c>
      <c r="AE12" s="70" t="e">
        <f>IF(Data!#REF!="","",Data!#REF!)</f>
        <v>#REF!</v>
      </c>
      <c r="AF12" s="70" t="e">
        <f>IF(Data!#REF!="","",Data!#REF!)</f>
        <v>#REF!</v>
      </c>
      <c r="AG12" s="70" t="e">
        <f>IF(Data!#REF!="","",Data!#REF!)</f>
        <v>#REF!</v>
      </c>
      <c r="AH12" s="70" t="e">
        <f>IF(Data!#REF!="","",Data!#REF!)</f>
        <v>#REF!</v>
      </c>
      <c r="AI12" s="70" t="e">
        <f>IF(Data!#REF!="","",Data!#REF!)</f>
        <v>#REF!</v>
      </c>
      <c r="AJ12" s="70" t="e">
        <f>IF(Data!#REF!="","",Data!#REF!)</f>
        <v>#REF!</v>
      </c>
      <c r="AK12" s="70" t="e">
        <f>IF(Data!#REF!="","",Data!#REF!)</f>
        <v>#REF!</v>
      </c>
      <c r="AL12" s="70" t="e">
        <f>IF(Data!#REF!="","",Data!#REF!)</f>
        <v>#REF!</v>
      </c>
      <c r="AM12" s="70" t="e">
        <f>IF(Data!#REF!="","",Data!#REF!)</f>
        <v>#REF!</v>
      </c>
      <c r="AN12" s="70" t="e">
        <f>IF(Data!#REF!="","",Data!#REF!)</f>
        <v>#REF!</v>
      </c>
      <c r="AO12" s="70" t="e">
        <f>IF(Data!#REF!="","",Data!#REF!)</f>
        <v>#REF!</v>
      </c>
      <c r="AP12" s="70" t="e">
        <f>IF(Data!#REF!="","",Data!#REF!)</f>
        <v>#REF!</v>
      </c>
      <c r="AQ12" s="70" t="e">
        <f>IF(Data!#REF!="","",Data!#REF!)</f>
        <v>#REF!</v>
      </c>
      <c r="AR12" s="70" t="e">
        <f>IF(Data!#REF!="","",Data!#REF!)</f>
        <v>#REF!</v>
      </c>
      <c r="AS12" s="70" t="e">
        <f>IF(Data!#REF!="","",Data!#REF!)</f>
        <v>#REF!</v>
      </c>
      <c r="AT12" s="70" t="e">
        <f>IF(Data!#REF!="","",Data!#REF!)</f>
        <v>#REF!</v>
      </c>
      <c r="AU12" s="70" t="e">
        <f>IF(Data!#REF!="","",Data!#REF!)</f>
        <v>#REF!</v>
      </c>
      <c r="AV12" s="70" t="e">
        <f>IF(Data!#REF!="","",Data!#REF!)</f>
        <v>#REF!</v>
      </c>
      <c r="AW12" s="70" t="e">
        <f>IF(Data!#REF!="","",Data!#REF!)</f>
        <v>#REF!</v>
      </c>
      <c r="AX12" s="98" t="e">
        <f>IF(Data!#REF!="",0,(ROUND(((DAYS360('WK Conversion'!$B$2,Data!#REF!)/7)+1),0)))</f>
        <v>#REF!</v>
      </c>
      <c r="AY12" s="98" t="e">
        <f>IF(Data!#REF!="",0,(ROUND(((DAYS360('WK Conversion'!$B$2,Data!#REF!)/7)+1),0)))</f>
        <v>#REF!</v>
      </c>
      <c r="AZ12" s="98" t="e">
        <f>IF(Data!#REF!="",0,(ROUND(((DAYS360('WK Conversion'!$B$2,Data!#REF!)/7)+1),0)))</f>
        <v>#REF!</v>
      </c>
      <c r="BA12" s="98" t="e">
        <f>IF(Data!#REF!="",0,(ROUND(((DAYS360('WK Conversion'!$B$2,Data!#REF!)/7)+1),0)))</f>
        <v>#REF!</v>
      </c>
      <c r="BB12" s="98" t="e">
        <f>IF(Data!#REF!="",0,(ROUND(((DAYS360('WK Conversion'!$B$2,Data!#REF!)/7)+1),0)))</f>
        <v>#REF!</v>
      </c>
      <c r="BC12" s="98" t="e">
        <f>IF(Data!#REF!="",0,(ROUND(((DAYS360('WK Conversion'!$B$2,Data!#REF!)/7)+1),0)))</f>
        <v>#REF!</v>
      </c>
      <c r="BD12" s="98" t="e">
        <f>IF(Data!#REF!="",0,(ROUND(((DAYS360('WK Conversion'!$B$2,Data!#REF!)/7)+1),0)))</f>
        <v>#REF!</v>
      </c>
    </row>
    <row r="13" spans="1:56" x14ac:dyDescent="0.25">
      <c r="A13" s="1" t="e">
        <f>IF(Data!#REF!="","",Data!#REF!)</f>
        <v>#REF!</v>
      </c>
      <c r="B13" s="1" t="e">
        <f>IF(Data!#REF!="","",Data!#REF!)</f>
        <v>#REF!</v>
      </c>
      <c r="C13" s="22" t="e">
        <f>IF(Data!#REF!="","",Data!#REF!)</f>
        <v>#REF!</v>
      </c>
      <c r="D13" s="70" t="e">
        <f>IF(Data!#REF!="","",Data!#REF!)</f>
        <v>#REF!</v>
      </c>
      <c r="E13" s="70" t="e">
        <f>IF(Data!#REF!="","",Data!#REF!)</f>
        <v>#REF!</v>
      </c>
      <c r="F13" s="70" t="e">
        <f>IF(Data!#REF!="","",Data!#REF!)</f>
        <v>#REF!</v>
      </c>
      <c r="G13" s="70" t="e">
        <f>IF(Data!#REF!="","",Data!#REF!)</f>
        <v>#REF!</v>
      </c>
      <c r="H13" s="70" t="e">
        <f>IF(Data!#REF!="","",Data!#REF!)</f>
        <v>#REF!</v>
      </c>
      <c r="I13" s="70" t="e">
        <f>IF(Data!#REF!="","",Data!#REF!)</f>
        <v>#REF!</v>
      </c>
      <c r="J13" s="70" t="e">
        <f>IF(Data!#REF!="","",Data!#REF!)</f>
        <v>#REF!</v>
      </c>
      <c r="K13" s="70" t="e">
        <f>IF(Data!#REF!="","",Data!#REF!)</f>
        <v>#REF!</v>
      </c>
      <c r="L13" s="70" t="e">
        <f>IF(Data!#REF!="","",Data!#REF!)</f>
        <v>#REF!</v>
      </c>
      <c r="M13" s="70" t="e">
        <f>IF(Data!#REF!="","",Data!#REF!)</f>
        <v>#REF!</v>
      </c>
      <c r="N13" s="70" t="e">
        <f>IF(Data!#REF!="","",Data!#REF!)</f>
        <v>#REF!</v>
      </c>
      <c r="O13" s="70" t="e">
        <f>IF(Data!#REF!="","",Data!#REF!)</f>
        <v>#REF!</v>
      </c>
      <c r="P13" s="70" t="e">
        <f>IF(Data!#REF!="","",Data!#REF!)</f>
        <v>#REF!</v>
      </c>
      <c r="Q13" s="70" t="e">
        <f>IF(Data!#REF!="","",Data!#REF!)</f>
        <v>#REF!</v>
      </c>
      <c r="R13" s="70" t="e">
        <f>IF(Data!#REF!="","",Data!#REF!)</f>
        <v>#REF!</v>
      </c>
      <c r="S13" s="70" t="e">
        <f>IF(Data!#REF!="","",Data!#REF!)</f>
        <v>#REF!</v>
      </c>
      <c r="T13" s="70" t="e">
        <f>IF(Data!#REF!="","",Data!#REF!)</f>
        <v>#REF!</v>
      </c>
      <c r="U13" s="70" t="e">
        <f>IF(Data!#REF!="","",Data!#REF!)</f>
        <v>#REF!</v>
      </c>
      <c r="V13" s="70" t="e">
        <f>IF(Data!#REF!="","",Data!#REF!)</f>
        <v>#REF!</v>
      </c>
      <c r="W13" s="70" t="e">
        <f>IF(Data!#REF!="","",Data!#REF!)</f>
        <v>#REF!</v>
      </c>
      <c r="X13" s="70" t="e">
        <f>IF(Data!#REF!="","",Data!#REF!)</f>
        <v>#REF!</v>
      </c>
      <c r="Y13" s="70" t="e">
        <f>IF(Data!#REF!="","",Data!#REF!)</f>
        <v>#REF!</v>
      </c>
      <c r="Z13" s="70" t="e">
        <f>IF(Data!#REF!="","",Data!#REF!)</f>
        <v>#REF!</v>
      </c>
      <c r="AA13" s="70" t="e">
        <f>IF(Data!#REF!="","",Data!#REF!)</f>
        <v>#REF!</v>
      </c>
      <c r="AB13" s="70" t="e">
        <f>IF(Data!#REF!="","",Data!#REF!)</f>
        <v>#REF!</v>
      </c>
      <c r="AC13" s="70" t="e">
        <f>IF(Data!#REF!="","",Data!#REF!)</f>
        <v>#REF!</v>
      </c>
      <c r="AD13" s="70" t="e">
        <f>IF(Data!#REF!="","",Data!#REF!)</f>
        <v>#REF!</v>
      </c>
      <c r="AE13" s="70" t="e">
        <f>IF(Data!#REF!="","",Data!#REF!)</f>
        <v>#REF!</v>
      </c>
      <c r="AF13" s="70" t="e">
        <f>IF(Data!#REF!="","",Data!#REF!)</f>
        <v>#REF!</v>
      </c>
      <c r="AG13" s="70" t="e">
        <f>IF(Data!#REF!="","",Data!#REF!)</f>
        <v>#REF!</v>
      </c>
      <c r="AH13" s="70" t="e">
        <f>IF(Data!#REF!="","",Data!#REF!)</f>
        <v>#REF!</v>
      </c>
      <c r="AI13" s="70" t="e">
        <f>IF(Data!#REF!="","",Data!#REF!)</f>
        <v>#REF!</v>
      </c>
      <c r="AJ13" s="70" t="e">
        <f>IF(Data!#REF!="","",Data!#REF!)</f>
        <v>#REF!</v>
      </c>
      <c r="AK13" s="70" t="e">
        <f>IF(Data!#REF!="","",Data!#REF!)</f>
        <v>#REF!</v>
      </c>
      <c r="AL13" s="70" t="e">
        <f>IF(Data!#REF!="","",Data!#REF!)</f>
        <v>#REF!</v>
      </c>
      <c r="AM13" s="70" t="e">
        <f>IF(Data!#REF!="","",Data!#REF!)</f>
        <v>#REF!</v>
      </c>
      <c r="AN13" s="70" t="e">
        <f>IF(Data!#REF!="","",Data!#REF!)</f>
        <v>#REF!</v>
      </c>
      <c r="AO13" s="70" t="e">
        <f>IF(Data!#REF!="","",Data!#REF!)</f>
        <v>#REF!</v>
      </c>
      <c r="AP13" s="70" t="e">
        <f>IF(Data!#REF!="","",Data!#REF!)</f>
        <v>#REF!</v>
      </c>
      <c r="AQ13" s="70" t="e">
        <f>IF(Data!#REF!="","",Data!#REF!)</f>
        <v>#REF!</v>
      </c>
      <c r="AR13" s="70" t="e">
        <f>IF(Data!#REF!="","",Data!#REF!)</f>
        <v>#REF!</v>
      </c>
      <c r="AS13" s="70" t="e">
        <f>IF(Data!#REF!="","",Data!#REF!)</f>
        <v>#REF!</v>
      </c>
      <c r="AT13" s="70" t="e">
        <f>IF(Data!#REF!="","",Data!#REF!)</f>
        <v>#REF!</v>
      </c>
      <c r="AU13" s="70" t="e">
        <f>IF(Data!#REF!="","",Data!#REF!)</f>
        <v>#REF!</v>
      </c>
      <c r="AV13" s="70" t="e">
        <f>IF(Data!#REF!="","",Data!#REF!)</f>
        <v>#REF!</v>
      </c>
      <c r="AW13" s="70" t="e">
        <f>IF(Data!#REF!="","",Data!#REF!)</f>
        <v>#REF!</v>
      </c>
      <c r="AX13" s="98" t="e">
        <f>IF(Data!#REF!="",0,(ROUND(((DAYS360('WK Conversion'!$B$2,Data!#REF!)/7)+1),0)))</f>
        <v>#REF!</v>
      </c>
      <c r="AY13" s="98" t="e">
        <f>IF(Data!#REF!="",0,(ROUND(((DAYS360('WK Conversion'!$B$2,Data!#REF!)/7)+1),0)))</f>
        <v>#REF!</v>
      </c>
      <c r="AZ13" s="98" t="e">
        <f>IF(Data!#REF!="",0,(ROUND(((DAYS360('WK Conversion'!$B$2,Data!#REF!)/7)+1),0)))</f>
        <v>#REF!</v>
      </c>
      <c r="BA13" s="98" t="e">
        <f>IF(Data!#REF!="",0,(ROUND(((DAYS360('WK Conversion'!$B$2,Data!#REF!)/7)+1),0)))</f>
        <v>#REF!</v>
      </c>
      <c r="BB13" s="98" t="e">
        <f>IF(Data!#REF!="",0,(ROUND(((DAYS360('WK Conversion'!$B$2,Data!#REF!)/7)+1),0)))</f>
        <v>#REF!</v>
      </c>
      <c r="BC13" s="98" t="e">
        <f>IF(Data!#REF!="",0,(ROUND(((DAYS360('WK Conversion'!$B$2,Data!#REF!)/7)+1),0)))</f>
        <v>#REF!</v>
      </c>
      <c r="BD13" s="98" t="e">
        <f>IF(Data!#REF!="",0,(ROUND(((DAYS360('WK Conversion'!$B$2,Data!#REF!)/7)+1),0)))</f>
        <v>#REF!</v>
      </c>
    </row>
    <row r="14" spans="1:56" x14ac:dyDescent="0.25">
      <c r="A14" s="1" t="e">
        <f>IF(Data!#REF!="","",Data!#REF!)</f>
        <v>#REF!</v>
      </c>
      <c r="B14" s="1" t="e">
        <f>IF(Data!#REF!="","",Data!#REF!)</f>
        <v>#REF!</v>
      </c>
      <c r="C14" s="22" t="e">
        <f>IF(Data!#REF!="","",Data!#REF!)</f>
        <v>#REF!</v>
      </c>
      <c r="D14" s="70" t="e">
        <f>IF(Data!#REF!="","",Data!#REF!)</f>
        <v>#REF!</v>
      </c>
      <c r="E14" s="70" t="e">
        <f>IF(Data!#REF!="","",Data!#REF!)</f>
        <v>#REF!</v>
      </c>
      <c r="F14" s="70" t="e">
        <f>IF(Data!#REF!="","",Data!#REF!)</f>
        <v>#REF!</v>
      </c>
      <c r="G14" s="70" t="e">
        <f>IF(Data!#REF!="","",Data!#REF!)</f>
        <v>#REF!</v>
      </c>
      <c r="H14" s="70" t="e">
        <f>IF(Data!#REF!="","",Data!#REF!)</f>
        <v>#REF!</v>
      </c>
      <c r="I14" s="70" t="e">
        <f>IF(Data!#REF!="","",Data!#REF!)</f>
        <v>#REF!</v>
      </c>
      <c r="J14" s="70" t="e">
        <f>IF(Data!#REF!="","",Data!#REF!)</f>
        <v>#REF!</v>
      </c>
      <c r="K14" s="70" t="e">
        <f>IF(Data!#REF!="","",Data!#REF!)</f>
        <v>#REF!</v>
      </c>
      <c r="L14" s="70" t="e">
        <f>IF(Data!#REF!="","",Data!#REF!)</f>
        <v>#REF!</v>
      </c>
      <c r="M14" s="70" t="e">
        <f>IF(Data!#REF!="","",Data!#REF!)</f>
        <v>#REF!</v>
      </c>
      <c r="N14" s="70" t="e">
        <f>IF(Data!#REF!="","",Data!#REF!)</f>
        <v>#REF!</v>
      </c>
      <c r="O14" s="70" t="e">
        <f>IF(Data!#REF!="","",Data!#REF!)</f>
        <v>#REF!</v>
      </c>
      <c r="P14" s="70" t="e">
        <f>IF(Data!#REF!="","",Data!#REF!)</f>
        <v>#REF!</v>
      </c>
      <c r="Q14" s="70" t="e">
        <f>IF(Data!#REF!="","",Data!#REF!)</f>
        <v>#REF!</v>
      </c>
      <c r="R14" s="70" t="e">
        <f>IF(Data!#REF!="","",Data!#REF!)</f>
        <v>#REF!</v>
      </c>
      <c r="S14" s="70" t="e">
        <f>IF(Data!#REF!="","",Data!#REF!)</f>
        <v>#REF!</v>
      </c>
      <c r="T14" s="70" t="e">
        <f>IF(Data!#REF!="","",Data!#REF!)</f>
        <v>#REF!</v>
      </c>
      <c r="U14" s="70" t="e">
        <f>IF(Data!#REF!="","",Data!#REF!)</f>
        <v>#REF!</v>
      </c>
      <c r="V14" s="70" t="e">
        <f>IF(Data!#REF!="","",Data!#REF!)</f>
        <v>#REF!</v>
      </c>
      <c r="W14" s="70" t="e">
        <f>IF(Data!#REF!="","",Data!#REF!)</f>
        <v>#REF!</v>
      </c>
      <c r="X14" s="70" t="e">
        <f>IF(Data!#REF!="","",Data!#REF!)</f>
        <v>#REF!</v>
      </c>
      <c r="Y14" s="70" t="e">
        <f>IF(Data!#REF!="","",Data!#REF!)</f>
        <v>#REF!</v>
      </c>
      <c r="Z14" s="70" t="e">
        <f>IF(Data!#REF!="","",Data!#REF!)</f>
        <v>#REF!</v>
      </c>
      <c r="AA14" s="70" t="e">
        <f>IF(Data!#REF!="","",Data!#REF!)</f>
        <v>#REF!</v>
      </c>
      <c r="AB14" s="70" t="e">
        <f>IF(Data!#REF!="","",Data!#REF!)</f>
        <v>#REF!</v>
      </c>
      <c r="AC14" s="70" t="e">
        <f>IF(Data!#REF!="","",Data!#REF!)</f>
        <v>#REF!</v>
      </c>
      <c r="AD14" s="70" t="e">
        <f>IF(Data!#REF!="","",Data!#REF!)</f>
        <v>#REF!</v>
      </c>
      <c r="AE14" s="70" t="e">
        <f>IF(Data!#REF!="","",Data!#REF!)</f>
        <v>#REF!</v>
      </c>
      <c r="AF14" s="70" t="e">
        <f>IF(Data!#REF!="","",Data!#REF!)</f>
        <v>#REF!</v>
      </c>
      <c r="AG14" s="70" t="e">
        <f>IF(Data!#REF!="","",Data!#REF!)</f>
        <v>#REF!</v>
      </c>
      <c r="AH14" s="70" t="e">
        <f>IF(Data!#REF!="","",Data!#REF!)</f>
        <v>#REF!</v>
      </c>
      <c r="AI14" s="70" t="e">
        <f>IF(Data!#REF!="","",Data!#REF!)</f>
        <v>#REF!</v>
      </c>
      <c r="AJ14" s="70" t="e">
        <f>IF(Data!#REF!="","",Data!#REF!)</f>
        <v>#REF!</v>
      </c>
      <c r="AK14" s="70" t="e">
        <f>IF(Data!#REF!="","",Data!#REF!)</f>
        <v>#REF!</v>
      </c>
      <c r="AL14" s="70" t="e">
        <f>IF(Data!#REF!="","",Data!#REF!)</f>
        <v>#REF!</v>
      </c>
      <c r="AM14" s="70" t="e">
        <f>IF(Data!#REF!="","",Data!#REF!)</f>
        <v>#REF!</v>
      </c>
      <c r="AN14" s="70" t="e">
        <f>IF(Data!#REF!="","",Data!#REF!)</f>
        <v>#REF!</v>
      </c>
      <c r="AO14" s="70" t="e">
        <f>IF(Data!#REF!="","",Data!#REF!)</f>
        <v>#REF!</v>
      </c>
      <c r="AP14" s="70" t="e">
        <f>IF(Data!#REF!="","",Data!#REF!)</f>
        <v>#REF!</v>
      </c>
      <c r="AQ14" s="70" t="e">
        <f>IF(Data!#REF!="","",Data!#REF!)</f>
        <v>#REF!</v>
      </c>
      <c r="AR14" s="70" t="e">
        <f>IF(Data!#REF!="","",Data!#REF!)</f>
        <v>#REF!</v>
      </c>
      <c r="AS14" s="70" t="e">
        <f>IF(Data!#REF!="","",Data!#REF!)</f>
        <v>#REF!</v>
      </c>
      <c r="AT14" s="70" t="e">
        <f>IF(Data!#REF!="","",Data!#REF!)</f>
        <v>#REF!</v>
      </c>
      <c r="AU14" s="70" t="e">
        <f>IF(Data!#REF!="","",Data!#REF!)</f>
        <v>#REF!</v>
      </c>
      <c r="AV14" s="70" t="e">
        <f>IF(Data!#REF!="","",Data!#REF!)</f>
        <v>#REF!</v>
      </c>
      <c r="AW14" s="70" t="e">
        <f>IF(Data!#REF!="","",Data!#REF!)</f>
        <v>#REF!</v>
      </c>
      <c r="AX14" s="98" t="e">
        <f>IF(Data!#REF!="",0,(ROUND(((DAYS360('WK Conversion'!$B$2,Data!#REF!)/7)+1),0)))</f>
        <v>#REF!</v>
      </c>
      <c r="AY14" s="98" t="e">
        <f>IF(Data!#REF!="",0,(ROUND(((DAYS360('WK Conversion'!$B$2,Data!#REF!)/7)+1),0)))</f>
        <v>#REF!</v>
      </c>
      <c r="AZ14" s="98" t="e">
        <f>IF(Data!#REF!="",0,(ROUND(((DAYS360('WK Conversion'!$B$2,Data!#REF!)/7)+1),0)))</f>
        <v>#REF!</v>
      </c>
      <c r="BA14" s="98" t="e">
        <f>IF(Data!#REF!="",0,(ROUND(((DAYS360('WK Conversion'!$B$2,Data!#REF!)/7)+1),0)))</f>
        <v>#REF!</v>
      </c>
      <c r="BB14" s="98" t="e">
        <f>IF(Data!#REF!="",0,(ROUND(((DAYS360('WK Conversion'!$B$2,Data!#REF!)/7)+1),0)))</f>
        <v>#REF!</v>
      </c>
      <c r="BC14" s="98" t="e">
        <f>IF(Data!#REF!="",0,(ROUND(((DAYS360('WK Conversion'!$B$2,Data!#REF!)/7)+1),0)))</f>
        <v>#REF!</v>
      </c>
      <c r="BD14" s="98" t="e">
        <f>IF(Data!#REF!="",0,(ROUND(((DAYS360('WK Conversion'!$B$2,Data!#REF!)/7)+1),0)))</f>
        <v>#REF!</v>
      </c>
    </row>
    <row r="15" spans="1:56" x14ac:dyDescent="0.25">
      <c r="A15" s="1" t="e">
        <f>IF(Data!#REF!="","",Data!#REF!)</f>
        <v>#REF!</v>
      </c>
      <c r="B15" s="1" t="e">
        <f>IF(Data!#REF!="","",Data!#REF!)</f>
        <v>#REF!</v>
      </c>
      <c r="C15" s="22" t="e">
        <f>IF(Data!#REF!="","",Data!#REF!)</f>
        <v>#REF!</v>
      </c>
      <c r="D15" s="70" t="e">
        <f>IF(Data!#REF!="","",Data!#REF!)</f>
        <v>#REF!</v>
      </c>
      <c r="E15" s="70" t="e">
        <f>IF(Data!#REF!="","",Data!#REF!)</f>
        <v>#REF!</v>
      </c>
      <c r="F15" s="70" t="e">
        <f>IF(Data!#REF!="","",Data!#REF!)</f>
        <v>#REF!</v>
      </c>
      <c r="G15" s="70" t="e">
        <f>IF(Data!#REF!="","",Data!#REF!)</f>
        <v>#REF!</v>
      </c>
      <c r="H15" s="70" t="e">
        <f>IF(Data!#REF!="","",Data!#REF!)</f>
        <v>#REF!</v>
      </c>
      <c r="I15" s="70" t="e">
        <f>IF(Data!#REF!="","",Data!#REF!)</f>
        <v>#REF!</v>
      </c>
      <c r="J15" s="70" t="e">
        <f>IF(Data!#REF!="","",Data!#REF!)</f>
        <v>#REF!</v>
      </c>
      <c r="K15" s="70" t="e">
        <f>IF(Data!#REF!="","",Data!#REF!)</f>
        <v>#REF!</v>
      </c>
      <c r="L15" s="70" t="e">
        <f>IF(Data!#REF!="","",Data!#REF!)</f>
        <v>#REF!</v>
      </c>
      <c r="M15" s="70" t="e">
        <f>IF(Data!#REF!="","",Data!#REF!)</f>
        <v>#REF!</v>
      </c>
      <c r="N15" s="70" t="e">
        <f>IF(Data!#REF!="","",Data!#REF!)</f>
        <v>#REF!</v>
      </c>
      <c r="O15" s="70" t="e">
        <f>IF(Data!#REF!="","",Data!#REF!)</f>
        <v>#REF!</v>
      </c>
      <c r="P15" s="70" t="e">
        <f>IF(Data!#REF!="","",Data!#REF!)</f>
        <v>#REF!</v>
      </c>
      <c r="Q15" s="70" t="e">
        <f>IF(Data!#REF!="","",Data!#REF!)</f>
        <v>#REF!</v>
      </c>
      <c r="R15" s="70" t="e">
        <f>IF(Data!#REF!="","",Data!#REF!)</f>
        <v>#REF!</v>
      </c>
      <c r="S15" s="70" t="e">
        <f>IF(Data!#REF!="","",Data!#REF!)</f>
        <v>#REF!</v>
      </c>
      <c r="T15" s="70" t="e">
        <f>IF(Data!#REF!="","",Data!#REF!)</f>
        <v>#REF!</v>
      </c>
      <c r="U15" s="70" t="e">
        <f>IF(Data!#REF!="","",Data!#REF!)</f>
        <v>#REF!</v>
      </c>
      <c r="V15" s="70" t="e">
        <f>IF(Data!#REF!="","",Data!#REF!)</f>
        <v>#REF!</v>
      </c>
      <c r="W15" s="70" t="e">
        <f>IF(Data!#REF!="","",Data!#REF!)</f>
        <v>#REF!</v>
      </c>
      <c r="X15" s="70" t="e">
        <f>IF(Data!#REF!="","",Data!#REF!)</f>
        <v>#REF!</v>
      </c>
      <c r="Y15" s="70" t="e">
        <f>IF(Data!#REF!="","",Data!#REF!)</f>
        <v>#REF!</v>
      </c>
      <c r="Z15" s="70" t="e">
        <f>IF(Data!#REF!="","",Data!#REF!)</f>
        <v>#REF!</v>
      </c>
      <c r="AA15" s="70" t="e">
        <f>IF(Data!#REF!="","",Data!#REF!)</f>
        <v>#REF!</v>
      </c>
      <c r="AB15" s="70" t="e">
        <f>IF(Data!#REF!="","",Data!#REF!)</f>
        <v>#REF!</v>
      </c>
      <c r="AC15" s="70" t="e">
        <f>IF(Data!#REF!="","",Data!#REF!)</f>
        <v>#REF!</v>
      </c>
      <c r="AD15" s="70" t="e">
        <f>IF(Data!#REF!="","",Data!#REF!)</f>
        <v>#REF!</v>
      </c>
      <c r="AE15" s="70" t="e">
        <f>IF(Data!#REF!="","",Data!#REF!)</f>
        <v>#REF!</v>
      </c>
      <c r="AF15" s="70" t="e">
        <f>IF(Data!#REF!="","",Data!#REF!)</f>
        <v>#REF!</v>
      </c>
      <c r="AG15" s="70" t="e">
        <f>IF(Data!#REF!="","",Data!#REF!)</f>
        <v>#REF!</v>
      </c>
      <c r="AH15" s="70" t="e">
        <f>IF(Data!#REF!="","",Data!#REF!)</f>
        <v>#REF!</v>
      </c>
      <c r="AI15" s="70" t="e">
        <f>IF(Data!#REF!="","",Data!#REF!)</f>
        <v>#REF!</v>
      </c>
      <c r="AJ15" s="70" t="e">
        <f>IF(Data!#REF!="","",Data!#REF!)</f>
        <v>#REF!</v>
      </c>
      <c r="AK15" s="70" t="e">
        <f>IF(Data!#REF!="","",Data!#REF!)</f>
        <v>#REF!</v>
      </c>
      <c r="AL15" s="70" t="e">
        <f>IF(Data!#REF!="","",Data!#REF!)</f>
        <v>#REF!</v>
      </c>
      <c r="AM15" s="70" t="e">
        <f>IF(Data!#REF!="","",Data!#REF!)</f>
        <v>#REF!</v>
      </c>
      <c r="AN15" s="70" t="e">
        <f>IF(Data!#REF!="","",Data!#REF!)</f>
        <v>#REF!</v>
      </c>
      <c r="AO15" s="70" t="e">
        <f>IF(Data!#REF!="","",Data!#REF!)</f>
        <v>#REF!</v>
      </c>
      <c r="AP15" s="70" t="e">
        <f>IF(Data!#REF!="","",Data!#REF!)</f>
        <v>#REF!</v>
      </c>
      <c r="AQ15" s="70" t="e">
        <f>IF(Data!#REF!="","",Data!#REF!)</f>
        <v>#REF!</v>
      </c>
      <c r="AR15" s="70" t="e">
        <f>IF(Data!#REF!="","",Data!#REF!)</f>
        <v>#REF!</v>
      </c>
      <c r="AS15" s="70" t="e">
        <f>IF(Data!#REF!="","",Data!#REF!)</f>
        <v>#REF!</v>
      </c>
      <c r="AT15" s="70" t="e">
        <f>IF(Data!#REF!="","",Data!#REF!)</f>
        <v>#REF!</v>
      </c>
      <c r="AU15" s="70" t="e">
        <f>IF(Data!#REF!="","",Data!#REF!)</f>
        <v>#REF!</v>
      </c>
      <c r="AV15" s="70" t="e">
        <f>IF(Data!#REF!="","",Data!#REF!)</f>
        <v>#REF!</v>
      </c>
      <c r="AW15" s="70" t="e">
        <f>IF(Data!#REF!="","",Data!#REF!)</f>
        <v>#REF!</v>
      </c>
      <c r="AX15" s="98" t="e">
        <f>IF(Data!#REF!="",0,(ROUND(((DAYS360('WK Conversion'!$B$2,Data!#REF!)/7)+1),0)))</f>
        <v>#REF!</v>
      </c>
      <c r="AY15" s="98" t="e">
        <f>IF(Data!#REF!="",0,(ROUND(((DAYS360('WK Conversion'!$B$2,Data!#REF!)/7)+1),0)))</f>
        <v>#REF!</v>
      </c>
      <c r="AZ15" s="98" t="e">
        <f>IF(Data!#REF!="",0,(ROUND(((DAYS360('WK Conversion'!$B$2,Data!#REF!)/7)+1),0)))</f>
        <v>#REF!</v>
      </c>
      <c r="BA15" s="98" t="e">
        <f>IF(Data!#REF!="",0,(ROUND(((DAYS360('WK Conversion'!$B$2,Data!#REF!)/7)+1),0)))</f>
        <v>#REF!</v>
      </c>
      <c r="BB15" s="98" t="e">
        <f>IF(Data!#REF!="",0,(ROUND(((DAYS360('WK Conversion'!$B$2,Data!#REF!)/7)+1),0)))</f>
        <v>#REF!</v>
      </c>
      <c r="BC15" s="98" t="e">
        <f>IF(Data!#REF!="",0,(ROUND(((DAYS360('WK Conversion'!$B$2,Data!#REF!)/7)+1),0)))</f>
        <v>#REF!</v>
      </c>
      <c r="BD15" s="98" t="e">
        <f>IF(Data!#REF!="",0,(ROUND(((DAYS360('WK Conversion'!$B$2,Data!#REF!)/7)+1),0)))</f>
        <v>#REF!</v>
      </c>
    </row>
    <row r="16" spans="1:56" x14ac:dyDescent="0.25">
      <c r="A16" s="1" t="e">
        <f>IF(Data!#REF!="","",Data!#REF!)</f>
        <v>#REF!</v>
      </c>
      <c r="B16" s="1" t="e">
        <f>IF(Data!#REF!="","",Data!#REF!)</f>
        <v>#REF!</v>
      </c>
      <c r="C16" s="22" t="e">
        <f>IF(Data!#REF!="","",Data!#REF!)</f>
        <v>#REF!</v>
      </c>
      <c r="D16" s="70" t="e">
        <f>IF(Data!#REF!="","",Data!#REF!)</f>
        <v>#REF!</v>
      </c>
      <c r="E16" s="70" t="e">
        <f>IF(Data!#REF!="","",Data!#REF!)</f>
        <v>#REF!</v>
      </c>
      <c r="F16" s="70" t="e">
        <f>IF(Data!#REF!="","",Data!#REF!)</f>
        <v>#REF!</v>
      </c>
      <c r="G16" s="70" t="e">
        <f>IF(Data!#REF!="","",Data!#REF!)</f>
        <v>#REF!</v>
      </c>
      <c r="H16" s="70" t="e">
        <f>IF(Data!#REF!="","",Data!#REF!)</f>
        <v>#REF!</v>
      </c>
      <c r="I16" s="70" t="e">
        <f>IF(Data!#REF!="","",Data!#REF!)</f>
        <v>#REF!</v>
      </c>
      <c r="J16" s="70" t="e">
        <f>IF(Data!#REF!="","",Data!#REF!)</f>
        <v>#REF!</v>
      </c>
      <c r="K16" s="70" t="e">
        <f>IF(Data!#REF!="","",Data!#REF!)</f>
        <v>#REF!</v>
      </c>
      <c r="L16" s="70" t="e">
        <f>IF(Data!#REF!="","",Data!#REF!)</f>
        <v>#REF!</v>
      </c>
      <c r="M16" s="70" t="e">
        <f>IF(Data!#REF!="","",Data!#REF!)</f>
        <v>#REF!</v>
      </c>
      <c r="N16" s="70" t="e">
        <f>IF(Data!#REF!="","",Data!#REF!)</f>
        <v>#REF!</v>
      </c>
      <c r="O16" s="70" t="e">
        <f>IF(Data!#REF!="","",Data!#REF!)</f>
        <v>#REF!</v>
      </c>
      <c r="P16" s="70" t="e">
        <f>IF(Data!#REF!="","",Data!#REF!)</f>
        <v>#REF!</v>
      </c>
      <c r="Q16" s="70" t="e">
        <f>IF(Data!#REF!="","",Data!#REF!)</f>
        <v>#REF!</v>
      </c>
      <c r="R16" s="70" t="e">
        <f>IF(Data!#REF!="","",Data!#REF!)</f>
        <v>#REF!</v>
      </c>
      <c r="S16" s="70" t="e">
        <f>IF(Data!#REF!="","",Data!#REF!)</f>
        <v>#REF!</v>
      </c>
      <c r="T16" s="70" t="e">
        <f>IF(Data!#REF!="","",Data!#REF!)</f>
        <v>#REF!</v>
      </c>
      <c r="U16" s="70" t="e">
        <f>IF(Data!#REF!="","",Data!#REF!)</f>
        <v>#REF!</v>
      </c>
      <c r="V16" s="70" t="e">
        <f>IF(Data!#REF!="","",Data!#REF!)</f>
        <v>#REF!</v>
      </c>
      <c r="W16" s="70" t="e">
        <f>IF(Data!#REF!="","",Data!#REF!)</f>
        <v>#REF!</v>
      </c>
      <c r="X16" s="70" t="e">
        <f>IF(Data!#REF!="","",Data!#REF!)</f>
        <v>#REF!</v>
      </c>
      <c r="Y16" s="70" t="e">
        <f>IF(Data!#REF!="","",Data!#REF!)</f>
        <v>#REF!</v>
      </c>
      <c r="Z16" s="70" t="e">
        <f>IF(Data!#REF!="","",Data!#REF!)</f>
        <v>#REF!</v>
      </c>
      <c r="AA16" s="70" t="e">
        <f>IF(Data!#REF!="","",Data!#REF!)</f>
        <v>#REF!</v>
      </c>
      <c r="AB16" s="70" t="e">
        <f>IF(Data!#REF!="","",Data!#REF!)</f>
        <v>#REF!</v>
      </c>
      <c r="AC16" s="70" t="e">
        <f>IF(Data!#REF!="","",Data!#REF!)</f>
        <v>#REF!</v>
      </c>
      <c r="AD16" s="70" t="e">
        <f>IF(Data!#REF!="","",Data!#REF!)</f>
        <v>#REF!</v>
      </c>
      <c r="AE16" s="70" t="e">
        <f>IF(Data!#REF!="","",Data!#REF!)</f>
        <v>#REF!</v>
      </c>
      <c r="AF16" s="70" t="e">
        <f>IF(Data!#REF!="","",Data!#REF!)</f>
        <v>#REF!</v>
      </c>
      <c r="AG16" s="70" t="e">
        <f>IF(Data!#REF!="","",Data!#REF!)</f>
        <v>#REF!</v>
      </c>
      <c r="AH16" s="70" t="e">
        <f>IF(Data!#REF!="","",Data!#REF!)</f>
        <v>#REF!</v>
      </c>
      <c r="AI16" s="70" t="e">
        <f>IF(Data!#REF!="","",Data!#REF!)</f>
        <v>#REF!</v>
      </c>
      <c r="AJ16" s="70" t="e">
        <f>IF(Data!#REF!="","",Data!#REF!)</f>
        <v>#REF!</v>
      </c>
      <c r="AK16" s="70" t="e">
        <f>IF(Data!#REF!="","",Data!#REF!)</f>
        <v>#REF!</v>
      </c>
      <c r="AL16" s="70" t="e">
        <f>IF(Data!#REF!="","",Data!#REF!)</f>
        <v>#REF!</v>
      </c>
      <c r="AM16" s="70" t="e">
        <f>IF(Data!#REF!="","",Data!#REF!)</f>
        <v>#REF!</v>
      </c>
      <c r="AN16" s="70" t="e">
        <f>IF(Data!#REF!="","",Data!#REF!)</f>
        <v>#REF!</v>
      </c>
      <c r="AO16" s="70" t="e">
        <f>IF(Data!#REF!="","",Data!#REF!)</f>
        <v>#REF!</v>
      </c>
      <c r="AP16" s="70" t="e">
        <f>IF(Data!#REF!="","",Data!#REF!)</f>
        <v>#REF!</v>
      </c>
      <c r="AQ16" s="70" t="e">
        <f>IF(Data!#REF!="","",Data!#REF!)</f>
        <v>#REF!</v>
      </c>
      <c r="AR16" s="70" t="e">
        <f>IF(Data!#REF!="","",Data!#REF!)</f>
        <v>#REF!</v>
      </c>
      <c r="AS16" s="70" t="e">
        <f>IF(Data!#REF!="","",Data!#REF!)</f>
        <v>#REF!</v>
      </c>
      <c r="AT16" s="70" t="e">
        <f>IF(Data!#REF!="","",Data!#REF!)</f>
        <v>#REF!</v>
      </c>
      <c r="AU16" s="70" t="e">
        <f>IF(Data!#REF!="","",Data!#REF!)</f>
        <v>#REF!</v>
      </c>
      <c r="AV16" s="70" t="e">
        <f>IF(Data!#REF!="","",Data!#REF!)</f>
        <v>#REF!</v>
      </c>
      <c r="AW16" s="70" t="e">
        <f>IF(Data!#REF!="","",Data!#REF!)</f>
        <v>#REF!</v>
      </c>
      <c r="AX16" s="98" t="e">
        <f>IF(Data!#REF!="",0,(ROUND(((DAYS360('WK Conversion'!$B$2,Data!#REF!)/7)+1),0)))</f>
        <v>#REF!</v>
      </c>
      <c r="AY16" s="98" t="e">
        <f>IF(Data!#REF!="",0,(ROUND(((DAYS360('WK Conversion'!$B$2,Data!#REF!)/7)+1),0)))</f>
        <v>#REF!</v>
      </c>
      <c r="AZ16" s="98" t="e">
        <f>IF(Data!#REF!="",0,(ROUND(((DAYS360('WK Conversion'!$B$2,Data!#REF!)/7)+1),0)))</f>
        <v>#REF!</v>
      </c>
      <c r="BA16" s="98" t="e">
        <f>IF(Data!#REF!="",0,(ROUND(((DAYS360('WK Conversion'!$B$2,Data!#REF!)/7)+1),0)))</f>
        <v>#REF!</v>
      </c>
      <c r="BB16" s="98" t="e">
        <f>IF(Data!#REF!="",0,(ROUND(((DAYS360('WK Conversion'!$B$2,Data!#REF!)/7)+1),0)))</f>
        <v>#REF!</v>
      </c>
      <c r="BC16" s="98" t="e">
        <f>IF(Data!#REF!="",0,(ROUND(((DAYS360('WK Conversion'!$B$2,Data!#REF!)/7)+1),0)))</f>
        <v>#REF!</v>
      </c>
      <c r="BD16" s="98" t="e">
        <f>IF(Data!#REF!="",0,(ROUND(((DAYS360('WK Conversion'!$B$2,Data!#REF!)/7)+1),0)))</f>
        <v>#REF!</v>
      </c>
    </row>
    <row r="17" spans="1:56" x14ac:dyDescent="0.25">
      <c r="A17" s="1" t="e">
        <f>IF(Data!#REF!="","",Data!#REF!)</f>
        <v>#REF!</v>
      </c>
      <c r="B17" s="1" t="e">
        <f>IF(Data!#REF!="","",Data!#REF!)</f>
        <v>#REF!</v>
      </c>
      <c r="C17" s="22" t="e">
        <f>IF(Data!#REF!="","",Data!#REF!)</f>
        <v>#REF!</v>
      </c>
      <c r="D17" s="70" t="e">
        <f>IF(Data!#REF!="","",Data!#REF!)</f>
        <v>#REF!</v>
      </c>
      <c r="E17" s="70" t="e">
        <f>IF(Data!#REF!="","",Data!#REF!)</f>
        <v>#REF!</v>
      </c>
      <c r="F17" s="70" t="e">
        <f>IF(Data!#REF!="","",Data!#REF!)</f>
        <v>#REF!</v>
      </c>
      <c r="G17" s="70" t="e">
        <f>IF(Data!#REF!="","",Data!#REF!)</f>
        <v>#REF!</v>
      </c>
      <c r="H17" s="70" t="e">
        <f>IF(Data!#REF!="","",Data!#REF!)</f>
        <v>#REF!</v>
      </c>
      <c r="I17" s="70" t="e">
        <f>IF(Data!#REF!="","",Data!#REF!)</f>
        <v>#REF!</v>
      </c>
      <c r="J17" s="70" t="e">
        <f>IF(Data!#REF!="","",Data!#REF!)</f>
        <v>#REF!</v>
      </c>
      <c r="K17" s="70" t="e">
        <f>IF(Data!#REF!="","",Data!#REF!)</f>
        <v>#REF!</v>
      </c>
      <c r="L17" s="70" t="e">
        <f>IF(Data!#REF!="","",Data!#REF!)</f>
        <v>#REF!</v>
      </c>
      <c r="M17" s="70" t="e">
        <f>IF(Data!#REF!="","",Data!#REF!)</f>
        <v>#REF!</v>
      </c>
      <c r="N17" s="70" t="e">
        <f>IF(Data!#REF!="","",Data!#REF!)</f>
        <v>#REF!</v>
      </c>
      <c r="O17" s="70" t="e">
        <f>IF(Data!#REF!="","",Data!#REF!)</f>
        <v>#REF!</v>
      </c>
      <c r="P17" s="70" t="e">
        <f>IF(Data!#REF!="","",Data!#REF!)</f>
        <v>#REF!</v>
      </c>
      <c r="Q17" s="70" t="e">
        <f>IF(Data!#REF!="","",Data!#REF!)</f>
        <v>#REF!</v>
      </c>
      <c r="R17" s="70" t="e">
        <f>IF(Data!#REF!="","",Data!#REF!)</f>
        <v>#REF!</v>
      </c>
      <c r="S17" s="70" t="e">
        <f>IF(Data!#REF!="","",Data!#REF!)</f>
        <v>#REF!</v>
      </c>
      <c r="T17" s="70" t="e">
        <f>IF(Data!#REF!="","",Data!#REF!)</f>
        <v>#REF!</v>
      </c>
      <c r="U17" s="70" t="e">
        <f>IF(Data!#REF!="","",Data!#REF!)</f>
        <v>#REF!</v>
      </c>
      <c r="V17" s="70" t="e">
        <f>IF(Data!#REF!="","",Data!#REF!)</f>
        <v>#REF!</v>
      </c>
      <c r="W17" s="70" t="e">
        <f>IF(Data!#REF!="","",Data!#REF!)</f>
        <v>#REF!</v>
      </c>
      <c r="X17" s="70" t="e">
        <f>IF(Data!#REF!="","",Data!#REF!)</f>
        <v>#REF!</v>
      </c>
      <c r="Y17" s="70" t="e">
        <f>IF(Data!#REF!="","",Data!#REF!)</f>
        <v>#REF!</v>
      </c>
      <c r="Z17" s="70" t="e">
        <f>IF(Data!#REF!="","",Data!#REF!)</f>
        <v>#REF!</v>
      </c>
      <c r="AA17" s="70" t="e">
        <f>IF(Data!#REF!="","",Data!#REF!)</f>
        <v>#REF!</v>
      </c>
      <c r="AB17" s="70" t="e">
        <f>IF(Data!#REF!="","",Data!#REF!)</f>
        <v>#REF!</v>
      </c>
      <c r="AC17" s="70" t="e">
        <f>IF(Data!#REF!="","",Data!#REF!)</f>
        <v>#REF!</v>
      </c>
      <c r="AD17" s="70" t="e">
        <f>IF(Data!#REF!="","",Data!#REF!)</f>
        <v>#REF!</v>
      </c>
      <c r="AE17" s="70" t="e">
        <f>IF(Data!#REF!="","",Data!#REF!)</f>
        <v>#REF!</v>
      </c>
      <c r="AF17" s="70" t="e">
        <f>IF(Data!#REF!="","",Data!#REF!)</f>
        <v>#REF!</v>
      </c>
      <c r="AG17" s="70" t="e">
        <f>IF(Data!#REF!="","",Data!#REF!)</f>
        <v>#REF!</v>
      </c>
      <c r="AH17" s="70" t="e">
        <f>IF(Data!#REF!="","",Data!#REF!)</f>
        <v>#REF!</v>
      </c>
      <c r="AI17" s="70" t="e">
        <f>IF(Data!#REF!="","",Data!#REF!)</f>
        <v>#REF!</v>
      </c>
      <c r="AJ17" s="70" t="e">
        <f>IF(Data!#REF!="","",Data!#REF!)</f>
        <v>#REF!</v>
      </c>
      <c r="AK17" s="70" t="e">
        <f>IF(Data!#REF!="","",Data!#REF!)</f>
        <v>#REF!</v>
      </c>
      <c r="AL17" s="70" t="e">
        <f>IF(Data!#REF!="","",Data!#REF!)</f>
        <v>#REF!</v>
      </c>
      <c r="AM17" s="70" t="e">
        <f>IF(Data!#REF!="","",Data!#REF!)</f>
        <v>#REF!</v>
      </c>
      <c r="AN17" s="70" t="e">
        <f>IF(Data!#REF!="","",Data!#REF!)</f>
        <v>#REF!</v>
      </c>
      <c r="AO17" s="70" t="e">
        <f>IF(Data!#REF!="","",Data!#REF!)</f>
        <v>#REF!</v>
      </c>
      <c r="AP17" s="70" t="e">
        <f>IF(Data!#REF!="","",Data!#REF!)</f>
        <v>#REF!</v>
      </c>
      <c r="AQ17" s="70" t="e">
        <f>IF(Data!#REF!="","",Data!#REF!)</f>
        <v>#REF!</v>
      </c>
      <c r="AR17" s="70" t="e">
        <f>IF(Data!#REF!="","",Data!#REF!)</f>
        <v>#REF!</v>
      </c>
      <c r="AS17" s="70" t="e">
        <f>IF(Data!#REF!="","",Data!#REF!)</f>
        <v>#REF!</v>
      </c>
      <c r="AT17" s="70" t="e">
        <f>IF(Data!#REF!="","",Data!#REF!)</f>
        <v>#REF!</v>
      </c>
      <c r="AU17" s="70" t="e">
        <f>IF(Data!#REF!="","",Data!#REF!)</f>
        <v>#REF!</v>
      </c>
      <c r="AV17" s="70" t="e">
        <f>IF(Data!#REF!="","",Data!#REF!)</f>
        <v>#REF!</v>
      </c>
      <c r="AW17" s="70" t="e">
        <f>IF(Data!#REF!="","",Data!#REF!)</f>
        <v>#REF!</v>
      </c>
      <c r="AX17" s="98" t="e">
        <f>IF(Data!#REF!="",0,(ROUND(((DAYS360('WK Conversion'!$B$2,Data!#REF!)/7)+1),0)))</f>
        <v>#REF!</v>
      </c>
      <c r="AY17" s="98" t="e">
        <f>IF(Data!#REF!="",0,(ROUND(((DAYS360('WK Conversion'!$B$2,Data!#REF!)/7)+1),0)))</f>
        <v>#REF!</v>
      </c>
      <c r="AZ17" s="98" t="e">
        <f>IF(Data!#REF!="",0,(ROUND(((DAYS360('WK Conversion'!$B$2,Data!#REF!)/7)+1),0)))</f>
        <v>#REF!</v>
      </c>
      <c r="BA17" s="98" t="e">
        <f>IF(Data!#REF!="",0,(ROUND(((DAYS360('WK Conversion'!$B$2,Data!#REF!)/7)+1),0)))</f>
        <v>#REF!</v>
      </c>
      <c r="BB17" s="98" t="e">
        <f>IF(Data!#REF!="",0,(ROUND(((DAYS360('WK Conversion'!$B$2,Data!#REF!)/7)+1),0)))</f>
        <v>#REF!</v>
      </c>
      <c r="BC17" s="98" t="e">
        <f>IF(Data!#REF!="",0,(ROUND(((DAYS360('WK Conversion'!$B$2,Data!#REF!)/7)+1),0)))</f>
        <v>#REF!</v>
      </c>
      <c r="BD17" s="98" t="e">
        <f>IF(Data!#REF!="",0,(ROUND(((DAYS360('WK Conversion'!$B$2,Data!#REF!)/7)+1),0)))</f>
        <v>#REF!</v>
      </c>
    </row>
    <row r="18" spans="1:56" x14ac:dyDescent="0.25">
      <c r="A18" s="1" t="e">
        <f>IF(Data!#REF!="","",Data!#REF!)</f>
        <v>#REF!</v>
      </c>
      <c r="B18" s="1" t="e">
        <f>IF(Data!#REF!="","",Data!#REF!)</f>
        <v>#REF!</v>
      </c>
      <c r="C18" s="22" t="e">
        <f>IF(Data!#REF!="","",Data!#REF!)</f>
        <v>#REF!</v>
      </c>
      <c r="D18" s="70" t="e">
        <f>IF(Data!#REF!="","",Data!#REF!)</f>
        <v>#REF!</v>
      </c>
      <c r="E18" s="70" t="e">
        <f>IF(Data!#REF!="","",Data!#REF!)</f>
        <v>#REF!</v>
      </c>
      <c r="F18" s="70" t="e">
        <f>IF(Data!#REF!="","",Data!#REF!)</f>
        <v>#REF!</v>
      </c>
      <c r="G18" s="70" t="e">
        <f>IF(Data!#REF!="","",Data!#REF!)</f>
        <v>#REF!</v>
      </c>
      <c r="H18" s="70" t="e">
        <f>IF(Data!#REF!="","",Data!#REF!)</f>
        <v>#REF!</v>
      </c>
      <c r="I18" s="70" t="e">
        <f>IF(Data!#REF!="","",Data!#REF!)</f>
        <v>#REF!</v>
      </c>
      <c r="J18" s="70" t="e">
        <f>IF(Data!#REF!="","",Data!#REF!)</f>
        <v>#REF!</v>
      </c>
      <c r="K18" s="70" t="e">
        <f>IF(Data!#REF!="","",Data!#REF!)</f>
        <v>#REF!</v>
      </c>
      <c r="L18" s="70" t="e">
        <f>IF(Data!#REF!="","",Data!#REF!)</f>
        <v>#REF!</v>
      </c>
      <c r="M18" s="70" t="e">
        <f>IF(Data!#REF!="","",Data!#REF!)</f>
        <v>#REF!</v>
      </c>
      <c r="N18" s="70" t="e">
        <f>IF(Data!#REF!="","",Data!#REF!)</f>
        <v>#REF!</v>
      </c>
      <c r="O18" s="70" t="e">
        <f>IF(Data!#REF!="","",Data!#REF!)</f>
        <v>#REF!</v>
      </c>
      <c r="P18" s="70" t="e">
        <f>IF(Data!#REF!="","",Data!#REF!)</f>
        <v>#REF!</v>
      </c>
      <c r="Q18" s="70" t="e">
        <f>IF(Data!#REF!="","",Data!#REF!)</f>
        <v>#REF!</v>
      </c>
      <c r="R18" s="70" t="e">
        <f>IF(Data!#REF!="","",Data!#REF!)</f>
        <v>#REF!</v>
      </c>
      <c r="S18" s="70" t="e">
        <f>IF(Data!#REF!="","",Data!#REF!)</f>
        <v>#REF!</v>
      </c>
      <c r="T18" s="70" t="e">
        <f>IF(Data!#REF!="","",Data!#REF!)</f>
        <v>#REF!</v>
      </c>
      <c r="U18" s="70" t="e">
        <f>IF(Data!#REF!="","",Data!#REF!)</f>
        <v>#REF!</v>
      </c>
      <c r="V18" s="70" t="e">
        <f>IF(Data!#REF!="","",Data!#REF!)</f>
        <v>#REF!</v>
      </c>
      <c r="W18" s="70" t="e">
        <f>IF(Data!#REF!="","",Data!#REF!)</f>
        <v>#REF!</v>
      </c>
      <c r="X18" s="70" t="e">
        <f>IF(Data!#REF!="","",Data!#REF!)</f>
        <v>#REF!</v>
      </c>
      <c r="Y18" s="70" t="e">
        <f>IF(Data!#REF!="","",Data!#REF!)</f>
        <v>#REF!</v>
      </c>
      <c r="Z18" s="70" t="e">
        <f>IF(Data!#REF!="","",Data!#REF!)</f>
        <v>#REF!</v>
      </c>
      <c r="AA18" s="70" t="e">
        <f>IF(Data!#REF!="","",Data!#REF!)</f>
        <v>#REF!</v>
      </c>
      <c r="AB18" s="70" t="e">
        <f>IF(Data!#REF!="","",Data!#REF!)</f>
        <v>#REF!</v>
      </c>
      <c r="AC18" s="70" t="e">
        <f>IF(Data!#REF!="","",Data!#REF!)</f>
        <v>#REF!</v>
      </c>
      <c r="AD18" s="70" t="e">
        <f>IF(Data!#REF!="","",Data!#REF!)</f>
        <v>#REF!</v>
      </c>
      <c r="AE18" s="70" t="e">
        <f>IF(Data!#REF!="","",Data!#REF!)</f>
        <v>#REF!</v>
      </c>
      <c r="AF18" s="70" t="e">
        <f>IF(Data!#REF!="","",Data!#REF!)</f>
        <v>#REF!</v>
      </c>
      <c r="AG18" s="70" t="e">
        <f>IF(Data!#REF!="","",Data!#REF!)</f>
        <v>#REF!</v>
      </c>
      <c r="AH18" s="70" t="e">
        <f>IF(Data!#REF!="","",Data!#REF!)</f>
        <v>#REF!</v>
      </c>
      <c r="AI18" s="70" t="e">
        <f>IF(Data!#REF!="","",Data!#REF!)</f>
        <v>#REF!</v>
      </c>
      <c r="AJ18" s="70" t="e">
        <f>IF(Data!#REF!="","",Data!#REF!)</f>
        <v>#REF!</v>
      </c>
      <c r="AK18" s="70" t="e">
        <f>IF(Data!#REF!="","",Data!#REF!)</f>
        <v>#REF!</v>
      </c>
      <c r="AL18" s="70" t="e">
        <f>IF(Data!#REF!="","",Data!#REF!)</f>
        <v>#REF!</v>
      </c>
      <c r="AM18" s="70" t="e">
        <f>IF(Data!#REF!="","",Data!#REF!)</f>
        <v>#REF!</v>
      </c>
      <c r="AN18" s="70" t="e">
        <f>IF(Data!#REF!="","",Data!#REF!)</f>
        <v>#REF!</v>
      </c>
      <c r="AO18" s="70" t="e">
        <f>IF(Data!#REF!="","",Data!#REF!)</f>
        <v>#REF!</v>
      </c>
      <c r="AP18" s="70" t="e">
        <f>IF(Data!#REF!="","",Data!#REF!)</f>
        <v>#REF!</v>
      </c>
      <c r="AQ18" s="70" t="e">
        <f>IF(Data!#REF!="","",Data!#REF!)</f>
        <v>#REF!</v>
      </c>
      <c r="AR18" s="70" t="e">
        <f>IF(Data!#REF!="","",Data!#REF!)</f>
        <v>#REF!</v>
      </c>
      <c r="AS18" s="70" t="e">
        <f>IF(Data!#REF!="","",Data!#REF!)</f>
        <v>#REF!</v>
      </c>
      <c r="AT18" s="70" t="e">
        <f>IF(Data!#REF!="","",Data!#REF!)</f>
        <v>#REF!</v>
      </c>
      <c r="AU18" s="70" t="e">
        <f>IF(Data!#REF!="","",Data!#REF!)</f>
        <v>#REF!</v>
      </c>
      <c r="AV18" s="70" t="e">
        <f>IF(Data!#REF!="","",Data!#REF!)</f>
        <v>#REF!</v>
      </c>
      <c r="AW18" s="70" t="e">
        <f>IF(Data!#REF!="","",Data!#REF!)</f>
        <v>#REF!</v>
      </c>
      <c r="AX18" s="98" t="e">
        <f>IF(Data!#REF!="",0,(ROUND(((DAYS360('WK Conversion'!$B$2,Data!#REF!)/7)+1),0)))</f>
        <v>#REF!</v>
      </c>
      <c r="AY18" s="98" t="e">
        <f>IF(Data!#REF!="",0,(ROUND(((DAYS360('WK Conversion'!$B$2,Data!#REF!)/7)+1),0)))</f>
        <v>#REF!</v>
      </c>
      <c r="AZ18" s="98" t="e">
        <f>IF(Data!#REF!="",0,(ROUND(((DAYS360('WK Conversion'!$B$2,Data!#REF!)/7)+1),0)))</f>
        <v>#REF!</v>
      </c>
      <c r="BA18" s="98" t="e">
        <f>IF(Data!#REF!="",0,(ROUND(((DAYS360('WK Conversion'!$B$2,Data!#REF!)/7)+1),0)))</f>
        <v>#REF!</v>
      </c>
      <c r="BB18" s="98" t="e">
        <f>IF(Data!#REF!="",0,(ROUND(((DAYS360('WK Conversion'!$B$2,Data!#REF!)/7)+1),0)))</f>
        <v>#REF!</v>
      </c>
      <c r="BC18" s="98" t="e">
        <f>IF(Data!#REF!="",0,(ROUND(((DAYS360('WK Conversion'!$B$2,Data!#REF!)/7)+1),0)))</f>
        <v>#REF!</v>
      </c>
      <c r="BD18" s="98" t="e">
        <f>IF(Data!#REF!="",0,(ROUND(((DAYS360('WK Conversion'!$B$2,Data!#REF!)/7)+1),0)))</f>
        <v>#REF!</v>
      </c>
    </row>
    <row r="19" spans="1:56" x14ac:dyDescent="0.25">
      <c r="A19" s="1" t="e">
        <f>IF(Data!#REF!="","",Data!#REF!)</f>
        <v>#REF!</v>
      </c>
      <c r="B19" s="1" t="e">
        <f>IF(Data!#REF!="","",Data!#REF!)</f>
        <v>#REF!</v>
      </c>
      <c r="C19" s="22" t="e">
        <f>IF(Data!#REF!="","",Data!#REF!)</f>
        <v>#REF!</v>
      </c>
      <c r="D19" s="70" t="e">
        <f>IF(Data!#REF!="","",Data!#REF!)</f>
        <v>#REF!</v>
      </c>
      <c r="E19" s="70" t="e">
        <f>IF(Data!#REF!="","",Data!#REF!)</f>
        <v>#REF!</v>
      </c>
      <c r="F19" s="70" t="e">
        <f>IF(Data!#REF!="","",Data!#REF!)</f>
        <v>#REF!</v>
      </c>
      <c r="G19" s="70" t="e">
        <f>IF(Data!#REF!="","",Data!#REF!)</f>
        <v>#REF!</v>
      </c>
      <c r="H19" s="70" t="e">
        <f>IF(Data!#REF!="","",Data!#REF!)</f>
        <v>#REF!</v>
      </c>
      <c r="I19" s="70" t="e">
        <f>IF(Data!#REF!="","",Data!#REF!)</f>
        <v>#REF!</v>
      </c>
      <c r="J19" s="70" t="e">
        <f>IF(Data!#REF!="","",Data!#REF!)</f>
        <v>#REF!</v>
      </c>
      <c r="K19" s="70" t="e">
        <f>IF(Data!#REF!="","",Data!#REF!)</f>
        <v>#REF!</v>
      </c>
      <c r="L19" s="70" t="e">
        <f>IF(Data!#REF!="","",Data!#REF!)</f>
        <v>#REF!</v>
      </c>
      <c r="M19" s="70" t="e">
        <f>IF(Data!#REF!="","",Data!#REF!)</f>
        <v>#REF!</v>
      </c>
      <c r="N19" s="70" t="e">
        <f>IF(Data!#REF!="","",Data!#REF!)</f>
        <v>#REF!</v>
      </c>
      <c r="O19" s="70" t="e">
        <f>IF(Data!#REF!="","",Data!#REF!)</f>
        <v>#REF!</v>
      </c>
      <c r="P19" s="70" t="e">
        <f>IF(Data!#REF!="","",Data!#REF!)</f>
        <v>#REF!</v>
      </c>
      <c r="Q19" s="70" t="e">
        <f>IF(Data!#REF!="","",Data!#REF!)</f>
        <v>#REF!</v>
      </c>
      <c r="R19" s="70" t="e">
        <f>IF(Data!#REF!="","",Data!#REF!)</f>
        <v>#REF!</v>
      </c>
      <c r="S19" s="70" t="e">
        <f>IF(Data!#REF!="","",Data!#REF!)</f>
        <v>#REF!</v>
      </c>
      <c r="T19" s="70" t="e">
        <f>IF(Data!#REF!="","",Data!#REF!)</f>
        <v>#REF!</v>
      </c>
      <c r="U19" s="70" t="e">
        <f>IF(Data!#REF!="","",Data!#REF!)</f>
        <v>#REF!</v>
      </c>
      <c r="V19" s="70" t="e">
        <f>IF(Data!#REF!="","",Data!#REF!)</f>
        <v>#REF!</v>
      </c>
      <c r="W19" s="70" t="e">
        <f>IF(Data!#REF!="","",Data!#REF!)</f>
        <v>#REF!</v>
      </c>
      <c r="X19" s="70" t="e">
        <f>IF(Data!#REF!="","",Data!#REF!)</f>
        <v>#REF!</v>
      </c>
      <c r="Y19" s="70" t="e">
        <f>IF(Data!#REF!="","",Data!#REF!)</f>
        <v>#REF!</v>
      </c>
      <c r="Z19" s="70" t="e">
        <f>IF(Data!#REF!="","",Data!#REF!)</f>
        <v>#REF!</v>
      </c>
      <c r="AA19" s="70" t="e">
        <f>IF(Data!#REF!="","",Data!#REF!)</f>
        <v>#REF!</v>
      </c>
      <c r="AB19" s="70" t="e">
        <f>IF(Data!#REF!="","",Data!#REF!)</f>
        <v>#REF!</v>
      </c>
      <c r="AC19" s="70" t="e">
        <f>IF(Data!#REF!="","",Data!#REF!)</f>
        <v>#REF!</v>
      </c>
      <c r="AD19" s="70" t="e">
        <f>IF(Data!#REF!="","",Data!#REF!)</f>
        <v>#REF!</v>
      </c>
      <c r="AE19" s="70" t="e">
        <f>IF(Data!#REF!="","",Data!#REF!)</f>
        <v>#REF!</v>
      </c>
      <c r="AF19" s="70" t="e">
        <f>IF(Data!#REF!="","",Data!#REF!)</f>
        <v>#REF!</v>
      </c>
      <c r="AG19" s="70" t="e">
        <f>IF(Data!#REF!="","",Data!#REF!)</f>
        <v>#REF!</v>
      </c>
      <c r="AH19" s="70" t="e">
        <f>IF(Data!#REF!="","",Data!#REF!)</f>
        <v>#REF!</v>
      </c>
      <c r="AI19" s="70" t="e">
        <f>IF(Data!#REF!="","",Data!#REF!)</f>
        <v>#REF!</v>
      </c>
      <c r="AJ19" s="70" t="e">
        <f>IF(Data!#REF!="","",Data!#REF!)</f>
        <v>#REF!</v>
      </c>
      <c r="AK19" s="70" t="e">
        <f>IF(Data!#REF!="","",Data!#REF!)</f>
        <v>#REF!</v>
      </c>
      <c r="AL19" s="70" t="e">
        <f>IF(Data!#REF!="","",Data!#REF!)</f>
        <v>#REF!</v>
      </c>
      <c r="AM19" s="70" t="e">
        <f>IF(Data!#REF!="","",Data!#REF!)</f>
        <v>#REF!</v>
      </c>
      <c r="AN19" s="70" t="e">
        <f>IF(Data!#REF!="","",Data!#REF!)</f>
        <v>#REF!</v>
      </c>
      <c r="AO19" s="70" t="e">
        <f>IF(Data!#REF!="","",Data!#REF!)</f>
        <v>#REF!</v>
      </c>
      <c r="AP19" s="70" t="e">
        <f>IF(Data!#REF!="","",Data!#REF!)</f>
        <v>#REF!</v>
      </c>
      <c r="AQ19" s="70" t="e">
        <f>IF(Data!#REF!="","",Data!#REF!)</f>
        <v>#REF!</v>
      </c>
      <c r="AR19" s="70" t="e">
        <f>IF(Data!#REF!="","",Data!#REF!)</f>
        <v>#REF!</v>
      </c>
      <c r="AS19" s="70" t="e">
        <f>IF(Data!#REF!="","",Data!#REF!)</f>
        <v>#REF!</v>
      </c>
      <c r="AT19" s="70" t="e">
        <f>IF(Data!#REF!="","",Data!#REF!)</f>
        <v>#REF!</v>
      </c>
      <c r="AU19" s="70" t="e">
        <f>IF(Data!#REF!="","",Data!#REF!)</f>
        <v>#REF!</v>
      </c>
      <c r="AV19" s="70" t="e">
        <f>IF(Data!#REF!="","",Data!#REF!)</f>
        <v>#REF!</v>
      </c>
      <c r="AW19" s="70" t="e">
        <f>IF(Data!#REF!="","",Data!#REF!)</f>
        <v>#REF!</v>
      </c>
      <c r="AX19" s="98" t="e">
        <f>IF(Data!#REF!="",0,(ROUND(((DAYS360('WK Conversion'!$B$2,Data!#REF!)/7)+1),0)))</f>
        <v>#REF!</v>
      </c>
      <c r="AY19" s="98" t="e">
        <f>IF(Data!#REF!="",0,(ROUND(((DAYS360('WK Conversion'!$B$2,Data!#REF!)/7)+1),0)))</f>
        <v>#REF!</v>
      </c>
      <c r="AZ19" s="98" t="e">
        <f>IF(Data!#REF!="",0,(ROUND(((DAYS360('WK Conversion'!$B$2,Data!#REF!)/7)+1),0)))</f>
        <v>#REF!</v>
      </c>
      <c r="BA19" s="98" t="e">
        <f>IF(Data!#REF!="",0,(ROUND(((DAYS360('WK Conversion'!$B$2,Data!#REF!)/7)+1),0)))</f>
        <v>#REF!</v>
      </c>
      <c r="BB19" s="98" t="e">
        <f>IF(Data!#REF!="",0,(ROUND(((DAYS360('WK Conversion'!$B$2,Data!#REF!)/7)+1),0)))</f>
        <v>#REF!</v>
      </c>
      <c r="BC19" s="98" t="e">
        <f>IF(Data!#REF!="",0,(ROUND(((DAYS360('WK Conversion'!$B$2,Data!#REF!)/7)+1),0)))</f>
        <v>#REF!</v>
      </c>
      <c r="BD19" s="98" t="e">
        <f>IF(Data!#REF!="",0,(ROUND(((DAYS360('WK Conversion'!$B$2,Data!#REF!)/7)+1),0)))</f>
        <v>#REF!</v>
      </c>
    </row>
    <row r="20" spans="1:56" x14ac:dyDescent="0.25">
      <c r="A20" s="1" t="e">
        <f>IF(Data!#REF!="","",Data!#REF!)</f>
        <v>#REF!</v>
      </c>
      <c r="B20" s="1" t="e">
        <f>IF(Data!#REF!="","",Data!#REF!)</f>
        <v>#REF!</v>
      </c>
      <c r="C20" s="22" t="e">
        <f>IF(Data!#REF!="","",Data!#REF!)</f>
        <v>#REF!</v>
      </c>
      <c r="D20" s="70" t="e">
        <f>IF(Data!#REF!="","",Data!#REF!)</f>
        <v>#REF!</v>
      </c>
      <c r="E20" s="70" t="e">
        <f>IF(Data!#REF!="","",Data!#REF!)</f>
        <v>#REF!</v>
      </c>
      <c r="F20" s="70" t="e">
        <f>IF(Data!#REF!="","",Data!#REF!)</f>
        <v>#REF!</v>
      </c>
      <c r="G20" s="70" t="e">
        <f>IF(Data!#REF!="","",Data!#REF!)</f>
        <v>#REF!</v>
      </c>
      <c r="H20" s="70" t="e">
        <f>IF(Data!#REF!="","",Data!#REF!)</f>
        <v>#REF!</v>
      </c>
      <c r="I20" s="70" t="e">
        <f>IF(Data!#REF!="","",Data!#REF!)</f>
        <v>#REF!</v>
      </c>
      <c r="J20" s="70" t="e">
        <f>IF(Data!#REF!="","",Data!#REF!)</f>
        <v>#REF!</v>
      </c>
      <c r="K20" s="70" t="e">
        <f>IF(Data!#REF!="","",Data!#REF!)</f>
        <v>#REF!</v>
      </c>
      <c r="L20" s="70" t="e">
        <f>IF(Data!#REF!="","",Data!#REF!)</f>
        <v>#REF!</v>
      </c>
      <c r="M20" s="70" t="e">
        <f>IF(Data!#REF!="","",Data!#REF!)</f>
        <v>#REF!</v>
      </c>
      <c r="N20" s="70" t="e">
        <f>IF(Data!#REF!="","",Data!#REF!)</f>
        <v>#REF!</v>
      </c>
      <c r="O20" s="70" t="e">
        <f>IF(Data!#REF!="","",Data!#REF!)</f>
        <v>#REF!</v>
      </c>
      <c r="P20" s="70" t="e">
        <f>IF(Data!#REF!="","",Data!#REF!)</f>
        <v>#REF!</v>
      </c>
      <c r="Q20" s="70" t="e">
        <f>IF(Data!#REF!="","",Data!#REF!)</f>
        <v>#REF!</v>
      </c>
      <c r="R20" s="70" t="e">
        <f>IF(Data!#REF!="","",Data!#REF!)</f>
        <v>#REF!</v>
      </c>
      <c r="S20" s="70" t="e">
        <f>IF(Data!#REF!="","",Data!#REF!)</f>
        <v>#REF!</v>
      </c>
      <c r="T20" s="70" t="e">
        <f>IF(Data!#REF!="","",Data!#REF!)</f>
        <v>#REF!</v>
      </c>
      <c r="U20" s="70" t="e">
        <f>IF(Data!#REF!="","",Data!#REF!)</f>
        <v>#REF!</v>
      </c>
      <c r="V20" s="70" t="e">
        <f>IF(Data!#REF!="","",Data!#REF!)</f>
        <v>#REF!</v>
      </c>
      <c r="W20" s="70" t="e">
        <f>IF(Data!#REF!="","",Data!#REF!)</f>
        <v>#REF!</v>
      </c>
      <c r="X20" s="70" t="e">
        <f>IF(Data!#REF!="","",Data!#REF!)</f>
        <v>#REF!</v>
      </c>
      <c r="Y20" s="70" t="e">
        <f>IF(Data!#REF!="","",Data!#REF!)</f>
        <v>#REF!</v>
      </c>
      <c r="Z20" s="70" t="e">
        <f>IF(Data!#REF!="","",Data!#REF!)</f>
        <v>#REF!</v>
      </c>
      <c r="AA20" s="70" t="e">
        <f>IF(Data!#REF!="","",Data!#REF!)</f>
        <v>#REF!</v>
      </c>
      <c r="AB20" s="70" t="e">
        <f>IF(Data!#REF!="","",Data!#REF!)</f>
        <v>#REF!</v>
      </c>
      <c r="AC20" s="70" t="e">
        <f>IF(Data!#REF!="","",Data!#REF!)</f>
        <v>#REF!</v>
      </c>
      <c r="AD20" s="70" t="e">
        <f>IF(Data!#REF!="","",Data!#REF!)</f>
        <v>#REF!</v>
      </c>
      <c r="AE20" s="70" t="e">
        <f>IF(Data!#REF!="","",Data!#REF!)</f>
        <v>#REF!</v>
      </c>
      <c r="AF20" s="70" t="e">
        <f>IF(Data!#REF!="","",Data!#REF!)</f>
        <v>#REF!</v>
      </c>
      <c r="AG20" s="70" t="e">
        <f>IF(Data!#REF!="","",Data!#REF!)</f>
        <v>#REF!</v>
      </c>
      <c r="AH20" s="70" t="e">
        <f>IF(Data!#REF!="","",Data!#REF!)</f>
        <v>#REF!</v>
      </c>
      <c r="AI20" s="70" t="e">
        <f>IF(Data!#REF!="","",Data!#REF!)</f>
        <v>#REF!</v>
      </c>
      <c r="AJ20" s="70" t="e">
        <f>IF(Data!#REF!="","",Data!#REF!)</f>
        <v>#REF!</v>
      </c>
      <c r="AK20" s="70" t="e">
        <f>IF(Data!#REF!="","",Data!#REF!)</f>
        <v>#REF!</v>
      </c>
      <c r="AL20" s="70" t="e">
        <f>IF(Data!#REF!="","",Data!#REF!)</f>
        <v>#REF!</v>
      </c>
      <c r="AM20" s="70" t="e">
        <f>IF(Data!#REF!="","",Data!#REF!)</f>
        <v>#REF!</v>
      </c>
      <c r="AN20" s="70" t="e">
        <f>IF(Data!#REF!="","",Data!#REF!)</f>
        <v>#REF!</v>
      </c>
      <c r="AO20" s="70" t="e">
        <f>IF(Data!#REF!="","",Data!#REF!)</f>
        <v>#REF!</v>
      </c>
      <c r="AP20" s="70" t="e">
        <f>IF(Data!#REF!="","",Data!#REF!)</f>
        <v>#REF!</v>
      </c>
      <c r="AQ20" s="70" t="e">
        <f>IF(Data!#REF!="","",Data!#REF!)</f>
        <v>#REF!</v>
      </c>
      <c r="AR20" s="70" t="e">
        <f>IF(Data!#REF!="","",Data!#REF!)</f>
        <v>#REF!</v>
      </c>
      <c r="AS20" s="70" t="e">
        <f>IF(Data!#REF!="","",Data!#REF!)</f>
        <v>#REF!</v>
      </c>
      <c r="AT20" s="70" t="e">
        <f>IF(Data!#REF!="","",Data!#REF!)</f>
        <v>#REF!</v>
      </c>
      <c r="AU20" s="70" t="e">
        <f>IF(Data!#REF!="","",Data!#REF!)</f>
        <v>#REF!</v>
      </c>
      <c r="AV20" s="70" t="e">
        <f>IF(Data!#REF!="","",Data!#REF!)</f>
        <v>#REF!</v>
      </c>
      <c r="AW20" s="70" t="e">
        <f>IF(Data!#REF!="","",Data!#REF!)</f>
        <v>#REF!</v>
      </c>
      <c r="AX20" s="98" t="e">
        <f>IF(Data!#REF!="",0,(ROUND(((DAYS360('WK Conversion'!$B$2,Data!#REF!)/7)+1),0)))</f>
        <v>#REF!</v>
      </c>
      <c r="AY20" s="98" t="e">
        <f>IF(Data!#REF!="",0,(ROUND(((DAYS360('WK Conversion'!$B$2,Data!#REF!)/7)+1),0)))</f>
        <v>#REF!</v>
      </c>
      <c r="AZ20" s="98" t="e">
        <f>IF(Data!#REF!="",0,(ROUND(((DAYS360('WK Conversion'!$B$2,Data!#REF!)/7)+1),0)))</f>
        <v>#REF!</v>
      </c>
      <c r="BA20" s="98" t="e">
        <f>IF(Data!#REF!="",0,(ROUND(((DAYS360('WK Conversion'!$B$2,Data!#REF!)/7)+1),0)))</f>
        <v>#REF!</v>
      </c>
      <c r="BB20" s="98" t="e">
        <f>IF(Data!#REF!="",0,(ROUND(((DAYS360('WK Conversion'!$B$2,Data!#REF!)/7)+1),0)))</f>
        <v>#REF!</v>
      </c>
      <c r="BC20" s="98" t="e">
        <f>IF(Data!#REF!="",0,(ROUND(((DAYS360('WK Conversion'!$B$2,Data!#REF!)/7)+1),0)))</f>
        <v>#REF!</v>
      </c>
      <c r="BD20" s="98" t="e">
        <f>IF(Data!#REF!="",0,(ROUND(((DAYS360('WK Conversion'!$B$2,Data!#REF!)/7)+1),0)))</f>
        <v>#REF!</v>
      </c>
    </row>
    <row r="21" spans="1:56" x14ac:dyDescent="0.25">
      <c r="A21" s="1" t="e">
        <f>IF(Data!#REF!="","",Data!#REF!)</f>
        <v>#REF!</v>
      </c>
      <c r="B21" s="1" t="e">
        <f>IF(Data!#REF!="","",Data!#REF!)</f>
        <v>#REF!</v>
      </c>
      <c r="C21" s="22" t="e">
        <f>IF(Data!#REF!="","",Data!#REF!)</f>
        <v>#REF!</v>
      </c>
      <c r="D21" s="70" t="e">
        <f>IF(Data!#REF!="","",Data!#REF!)</f>
        <v>#REF!</v>
      </c>
      <c r="E21" s="70" t="e">
        <f>IF(Data!#REF!="","",Data!#REF!)</f>
        <v>#REF!</v>
      </c>
      <c r="F21" s="70" t="e">
        <f>IF(Data!#REF!="","",Data!#REF!)</f>
        <v>#REF!</v>
      </c>
      <c r="G21" s="70" t="e">
        <f>IF(Data!#REF!="","",Data!#REF!)</f>
        <v>#REF!</v>
      </c>
      <c r="H21" s="70" t="e">
        <f>IF(Data!#REF!="","",Data!#REF!)</f>
        <v>#REF!</v>
      </c>
      <c r="I21" s="70" t="e">
        <f>IF(Data!#REF!="","",Data!#REF!)</f>
        <v>#REF!</v>
      </c>
      <c r="J21" s="70" t="e">
        <f>IF(Data!#REF!="","",Data!#REF!)</f>
        <v>#REF!</v>
      </c>
      <c r="K21" s="70" t="e">
        <f>IF(Data!#REF!="","",Data!#REF!)</f>
        <v>#REF!</v>
      </c>
      <c r="L21" s="70" t="e">
        <f>IF(Data!#REF!="","",Data!#REF!)</f>
        <v>#REF!</v>
      </c>
      <c r="M21" s="70" t="e">
        <f>IF(Data!#REF!="","",Data!#REF!)</f>
        <v>#REF!</v>
      </c>
      <c r="N21" s="70" t="e">
        <f>IF(Data!#REF!="","",Data!#REF!)</f>
        <v>#REF!</v>
      </c>
      <c r="O21" s="70" t="e">
        <f>IF(Data!#REF!="","",Data!#REF!)</f>
        <v>#REF!</v>
      </c>
      <c r="P21" s="70" t="e">
        <f>IF(Data!#REF!="","",Data!#REF!)</f>
        <v>#REF!</v>
      </c>
      <c r="Q21" s="70" t="e">
        <f>IF(Data!#REF!="","",Data!#REF!)</f>
        <v>#REF!</v>
      </c>
      <c r="R21" s="70" t="e">
        <f>IF(Data!#REF!="","",Data!#REF!)</f>
        <v>#REF!</v>
      </c>
      <c r="S21" s="70" t="e">
        <f>IF(Data!#REF!="","",Data!#REF!)</f>
        <v>#REF!</v>
      </c>
      <c r="T21" s="70" t="e">
        <f>IF(Data!#REF!="","",Data!#REF!)</f>
        <v>#REF!</v>
      </c>
      <c r="U21" s="70" t="e">
        <f>IF(Data!#REF!="","",Data!#REF!)</f>
        <v>#REF!</v>
      </c>
      <c r="V21" s="70" t="e">
        <f>IF(Data!#REF!="","",Data!#REF!)</f>
        <v>#REF!</v>
      </c>
      <c r="W21" s="70" t="e">
        <f>IF(Data!#REF!="","",Data!#REF!)</f>
        <v>#REF!</v>
      </c>
      <c r="X21" s="70" t="e">
        <f>IF(Data!#REF!="","",Data!#REF!)</f>
        <v>#REF!</v>
      </c>
      <c r="Y21" s="70" t="e">
        <f>IF(Data!#REF!="","",Data!#REF!)</f>
        <v>#REF!</v>
      </c>
      <c r="Z21" s="70" t="e">
        <f>IF(Data!#REF!="","",Data!#REF!)</f>
        <v>#REF!</v>
      </c>
      <c r="AA21" s="70" t="e">
        <f>IF(Data!#REF!="","",Data!#REF!)</f>
        <v>#REF!</v>
      </c>
      <c r="AB21" s="70" t="e">
        <f>IF(Data!#REF!="","",Data!#REF!)</f>
        <v>#REF!</v>
      </c>
      <c r="AC21" s="70" t="e">
        <f>IF(Data!#REF!="","",Data!#REF!)</f>
        <v>#REF!</v>
      </c>
      <c r="AD21" s="70" t="e">
        <f>IF(Data!#REF!="","",Data!#REF!)</f>
        <v>#REF!</v>
      </c>
      <c r="AE21" s="70" t="e">
        <f>IF(Data!#REF!="","",Data!#REF!)</f>
        <v>#REF!</v>
      </c>
      <c r="AF21" s="70" t="e">
        <f>IF(Data!#REF!="","",Data!#REF!)</f>
        <v>#REF!</v>
      </c>
      <c r="AG21" s="70" t="e">
        <f>IF(Data!#REF!="","",Data!#REF!)</f>
        <v>#REF!</v>
      </c>
      <c r="AH21" s="70" t="e">
        <f>IF(Data!#REF!="","",Data!#REF!)</f>
        <v>#REF!</v>
      </c>
      <c r="AI21" s="70" t="e">
        <f>IF(Data!#REF!="","",Data!#REF!)</f>
        <v>#REF!</v>
      </c>
      <c r="AJ21" s="70" t="e">
        <f>IF(Data!#REF!="","",Data!#REF!)</f>
        <v>#REF!</v>
      </c>
      <c r="AK21" s="70" t="e">
        <f>IF(Data!#REF!="","",Data!#REF!)</f>
        <v>#REF!</v>
      </c>
      <c r="AL21" s="70" t="e">
        <f>IF(Data!#REF!="","",Data!#REF!)</f>
        <v>#REF!</v>
      </c>
      <c r="AM21" s="70" t="e">
        <f>IF(Data!#REF!="","",Data!#REF!)</f>
        <v>#REF!</v>
      </c>
      <c r="AN21" s="70" t="e">
        <f>IF(Data!#REF!="","",Data!#REF!)</f>
        <v>#REF!</v>
      </c>
      <c r="AO21" s="70" t="e">
        <f>IF(Data!#REF!="","",Data!#REF!)</f>
        <v>#REF!</v>
      </c>
      <c r="AP21" s="70" t="e">
        <f>IF(Data!#REF!="","",Data!#REF!)</f>
        <v>#REF!</v>
      </c>
      <c r="AQ21" s="70" t="e">
        <f>IF(Data!#REF!="","",Data!#REF!)</f>
        <v>#REF!</v>
      </c>
      <c r="AR21" s="70" t="e">
        <f>IF(Data!#REF!="","",Data!#REF!)</f>
        <v>#REF!</v>
      </c>
      <c r="AS21" s="70" t="e">
        <f>IF(Data!#REF!="","",Data!#REF!)</f>
        <v>#REF!</v>
      </c>
      <c r="AT21" s="70" t="e">
        <f>IF(Data!#REF!="","",Data!#REF!)</f>
        <v>#REF!</v>
      </c>
      <c r="AU21" s="70" t="e">
        <f>IF(Data!#REF!="","",Data!#REF!)</f>
        <v>#REF!</v>
      </c>
      <c r="AV21" s="70" t="e">
        <f>IF(Data!#REF!="","",Data!#REF!)</f>
        <v>#REF!</v>
      </c>
      <c r="AW21" s="70" t="e">
        <f>IF(Data!#REF!="","",Data!#REF!)</f>
        <v>#REF!</v>
      </c>
      <c r="AX21" s="98" t="e">
        <f>IF(Data!#REF!="",0,(ROUND(((DAYS360('WK Conversion'!$B$2,Data!#REF!)/7)+1),0)))</f>
        <v>#REF!</v>
      </c>
      <c r="AY21" s="98" t="e">
        <f>IF(Data!#REF!="",0,(ROUND(((DAYS360('WK Conversion'!$B$2,Data!#REF!)/7)+1),0)))</f>
        <v>#REF!</v>
      </c>
      <c r="AZ21" s="98" t="e">
        <f>IF(Data!#REF!="",0,(ROUND(((DAYS360('WK Conversion'!$B$2,Data!#REF!)/7)+1),0)))</f>
        <v>#REF!</v>
      </c>
      <c r="BA21" s="98" t="e">
        <f>IF(Data!#REF!="",0,(ROUND(((DAYS360('WK Conversion'!$B$2,Data!#REF!)/7)+1),0)))</f>
        <v>#REF!</v>
      </c>
      <c r="BB21" s="98" t="e">
        <f>IF(Data!#REF!="",0,(ROUND(((DAYS360('WK Conversion'!$B$2,Data!#REF!)/7)+1),0)))</f>
        <v>#REF!</v>
      </c>
      <c r="BC21" s="98" t="e">
        <f>IF(Data!#REF!="",0,(ROUND(((DAYS360('WK Conversion'!$B$2,Data!#REF!)/7)+1),0)))</f>
        <v>#REF!</v>
      </c>
      <c r="BD21" s="98" t="e">
        <f>IF(Data!#REF!="",0,(ROUND(((DAYS360('WK Conversion'!$B$2,Data!#REF!)/7)+1),0)))</f>
        <v>#REF!</v>
      </c>
    </row>
    <row r="22" spans="1:56" x14ac:dyDescent="0.25">
      <c r="A22" s="1" t="e">
        <f>IF(Data!#REF!="","",Data!#REF!)</f>
        <v>#REF!</v>
      </c>
      <c r="B22" s="1" t="e">
        <f>IF(Data!#REF!="","",Data!#REF!)</f>
        <v>#REF!</v>
      </c>
      <c r="C22" s="22" t="e">
        <f>IF(Data!#REF!="","",Data!#REF!)</f>
        <v>#REF!</v>
      </c>
      <c r="D22" s="70" t="e">
        <f>IF(Data!#REF!="","",Data!#REF!)</f>
        <v>#REF!</v>
      </c>
      <c r="E22" s="70" t="e">
        <f>IF(Data!#REF!="","",Data!#REF!)</f>
        <v>#REF!</v>
      </c>
      <c r="F22" s="70" t="e">
        <f>IF(Data!#REF!="","",Data!#REF!)</f>
        <v>#REF!</v>
      </c>
      <c r="G22" s="70" t="e">
        <f>IF(Data!#REF!="","",Data!#REF!)</f>
        <v>#REF!</v>
      </c>
      <c r="H22" s="70" t="e">
        <f>IF(Data!#REF!="","",Data!#REF!)</f>
        <v>#REF!</v>
      </c>
      <c r="I22" s="70" t="e">
        <f>IF(Data!#REF!="","",Data!#REF!)</f>
        <v>#REF!</v>
      </c>
      <c r="J22" s="70" t="e">
        <f>IF(Data!#REF!="","",Data!#REF!)</f>
        <v>#REF!</v>
      </c>
      <c r="K22" s="70" t="e">
        <f>IF(Data!#REF!="","",Data!#REF!)</f>
        <v>#REF!</v>
      </c>
      <c r="L22" s="70" t="e">
        <f>IF(Data!#REF!="","",Data!#REF!)</f>
        <v>#REF!</v>
      </c>
      <c r="M22" s="70" t="e">
        <f>IF(Data!#REF!="","",Data!#REF!)</f>
        <v>#REF!</v>
      </c>
      <c r="N22" s="70" t="e">
        <f>IF(Data!#REF!="","",Data!#REF!)</f>
        <v>#REF!</v>
      </c>
      <c r="O22" s="70" t="e">
        <f>IF(Data!#REF!="","",Data!#REF!)</f>
        <v>#REF!</v>
      </c>
      <c r="P22" s="70" t="e">
        <f>IF(Data!#REF!="","",Data!#REF!)</f>
        <v>#REF!</v>
      </c>
      <c r="Q22" s="70" t="e">
        <f>IF(Data!#REF!="","",Data!#REF!)</f>
        <v>#REF!</v>
      </c>
      <c r="R22" s="70" t="e">
        <f>IF(Data!#REF!="","",Data!#REF!)</f>
        <v>#REF!</v>
      </c>
      <c r="S22" s="70" t="e">
        <f>IF(Data!#REF!="","",Data!#REF!)</f>
        <v>#REF!</v>
      </c>
      <c r="T22" s="70" t="e">
        <f>IF(Data!#REF!="","",Data!#REF!)</f>
        <v>#REF!</v>
      </c>
      <c r="U22" s="70" t="e">
        <f>IF(Data!#REF!="","",Data!#REF!)</f>
        <v>#REF!</v>
      </c>
      <c r="V22" s="70" t="e">
        <f>IF(Data!#REF!="","",Data!#REF!)</f>
        <v>#REF!</v>
      </c>
      <c r="W22" s="70" t="e">
        <f>IF(Data!#REF!="","",Data!#REF!)</f>
        <v>#REF!</v>
      </c>
      <c r="X22" s="70" t="e">
        <f>IF(Data!#REF!="","",Data!#REF!)</f>
        <v>#REF!</v>
      </c>
      <c r="Y22" s="70" t="e">
        <f>IF(Data!#REF!="","",Data!#REF!)</f>
        <v>#REF!</v>
      </c>
      <c r="Z22" s="70" t="e">
        <f>IF(Data!#REF!="","",Data!#REF!)</f>
        <v>#REF!</v>
      </c>
      <c r="AA22" s="70" t="e">
        <f>IF(Data!#REF!="","",Data!#REF!)</f>
        <v>#REF!</v>
      </c>
      <c r="AB22" s="70" t="e">
        <f>IF(Data!#REF!="","",Data!#REF!)</f>
        <v>#REF!</v>
      </c>
      <c r="AC22" s="70" t="e">
        <f>IF(Data!#REF!="","",Data!#REF!)</f>
        <v>#REF!</v>
      </c>
      <c r="AD22" s="70" t="e">
        <f>IF(Data!#REF!="","",Data!#REF!)</f>
        <v>#REF!</v>
      </c>
      <c r="AE22" s="70" t="e">
        <f>IF(Data!#REF!="","",Data!#REF!)</f>
        <v>#REF!</v>
      </c>
      <c r="AF22" s="70" t="e">
        <f>IF(Data!#REF!="","",Data!#REF!)</f>
        <v>#REF!</v>
      </c>
      <c r="AG22" s="70" t="e">
        <f>IF(Data!#REF!="","",Data!#REF!)</f>
        <v>#REF!</v>
      </c>
      <c r="AH22" s="70" t="e">
        <f>IF(Data!#REF!="","",Data!#REF!)</f>
        <v>#REF!</v>
      </c>
      <c r="AI22" s="70" t="e">
        <f>IF(Data!#REF!="","",Data!#REF!)</f>
        <v>#REF!</v>
      </c>
      <c r="AJ22" s="70" t="e">
        <f>IF(Data!#REF!="","",Data!#REF!)</f>
        <v>#REF!</v>
      </c>
      <c r="AK22" s="70" t="e">
        <f>IF(Data!#REF!="","",Data!#REF!)</f>
        <v>#REF!</v>
      </c>
      <c r="AL22" s="70" t="e">
        <f>IF(Data!#REF!="","",Data!#REF!)</f>
        <v>#REF!</v>
      </c>
      <c r="AM22" s="70" t="e">
        <f>IF(Data!#REF!="","",Data!#REF!)</f>
        <v>#REF!</v>
      </c>
      <c r="AN22" s="70" t="e">
        <f>IF(Data!#REF!="","",Data!#REF!)</f>
        <v>#REF!</v>
      </c>
      <c r="AO22" s="70" t="e">
        <f>IF(Data!#REF!="","",Data!#REF!)</f>
        <v>#REF!</v>
      </c>
      <c r="AP22" s="70" t="e">
        <f>IF(Data!#REF!="","",Data!#REF!)</f>
        <v>#REF!</v>
      </c>
      <c r="AQ22" s="70" t="e">
        <f>IF(Data!#REF!="","",Data!#REF!)</f>
        <v>#REF!</v>
      </c>
      <c r="AR22" s="70" t="e">
        <f>IF(Data!#REF!="","",Data!#REF!)</f>
        <v>#REF!</v>
      </c>
      <c r="AS22" s="70" t="e">
        <f>IF(Data!#REF!="","",Data!#REF!)</f>
        <v>#REF!</v>
      </c>
      <c r="AT22" s="70" t="e">
        <f>IF(Data!#REF!="","",Data!#REF!)</f>
        <v>#REF!</v>
      </c>
      <c r="AU22" s="70" t="e">
        <f>IF(Data!#REF!="","",Data!#REF!)</f>
        <v>#REF!</v>
      </c>
      <c r="AV22" s="70" t="e">
        <f>IF(Data!#REF!="","",Data!#REF!)</f>
        <v>#REF!</v>
      </c>
      <c r="AW22" s="70" t="e">
        <f>IF(Data!#REF!="","",Data!#REF!)</f>
        <v>#REF!</v>
      </c>
      <c r="AX22" s="98" t="e">
        <f>IF(Data!#REF!="",0,(ROUND(((DAYS360('WK Conversion'!$B$2,Data!#REF!)/7)+1),0)))</f>
        <v>#REF!</v>
      </c>
      <c r="AY22" s="98" t="e">
        <f>IF(Data!#REF!="",0,(ROUND(((DAYS360('WK Conversion'!$B$2,Data!#REF!)/7)+1),0)))</f>
        <v>#REF!</v>
      </c>
      <c r="AZ22" s="98" t="e">
        <f>IF(Data!#REF!="",0,(ROUND(((DAYS360('WK Conversion'!$B$2,Data!#REF!)/7)+1),0)))</f>
        <v>#REF!</v>
      </c>
      <c r="BA22" s="98" t="e">
        <f>IF(Data!#REF!="",0,(ROUND(((DAYS360('WK Conversion'!$B$2,Data!#REF!)/7)+1),0)))</f>
        <v>#REF!</v>
      </c>
      <c r="BB22" s="98" t="e">
        <f>IF(Data!#REF!="",0,(ROUND(((DAYS360('WK Conversion'!$B$2,Data!#REF!)/7)+1),0)))</f>
        <v>#REF!</v>
      </c>
      <c r="BC22" s="98" t="e">
        <f>IF(Data!#REF!="",0,(ROUND(((DAYS360('WK Conversion'!$B$2,Data!#REF!)/7)+1),0)))</f>
        <v>#REF!</v>
      </c>
      <c r="BD22" s="98" t="e">
        <f>IF(Data!#REF!="",0,(ROUND(((DAYS360('WK Conversion'!$B$2,Data!#REF!)/7)+1),0)))</f>
        <v>#REF!</v>
      </c>
    </row>
    <row r="23" spans="1:56" x14ac:dyDescent="0.25">
      <c r="A23" s="1" t="e">
        <f>IF(Data!#REF!="","",Data!#REF!)</f>
        <v>#REF!</v>
      </c>
      <c r="B23" s="1" t="e">
        <f>IF(Data!#REF!="","",Data!#REF!)</f>
        <v>#REF!</v>
      </c>
      <c r="C23" s="22" t="e">
        <f>IF(Data!#REF!="","",Data!#REF!)</f>
        <v>#REF!</v>
      </c>
      <c r="D23" s="70" t="e">
        <f>IF(Data!#REF!="","",Data!#REF!)</f>
        <v>#REF!</v>
      </c>
      <c r="E23" s="70" t="e">
        <f>IF(Data!#REF!="","",Data!#REF!)</f>
        <v>#REF!</v>
      </c>
      <c r="F23" s="70" t="e">
        <f>IF(Data!#REF!="","",Data!#REF!)</f>
        <v>#REF!</v>
      </c>
      <c r="G23" s="70" t="e">
        <f>IF(Data!#REF!="","",Data!#REF!)</f>
        <v>#REF!</v>
      </c>
      <c r="H23" s="70" t="e">
        <f>IF(Data!#REF!="","",Data!#REF!)</f>
        <v>#REF!</v>
      </c>
      <c r="I23" s="70" t="e">
        <f>IF(Data!#REF!="","",Data!#REF!)</f>
        <v>#REF!</v>
      </c>
      <c r="J23" s="70" t="e">
        <f>IF(Data!#REF!="","",Data!#REF!)</f>
        <v>#REF!</v>
      </c>
      <c r="K23" s="70" t="e">
        <f>IF(Data!#REF!="","",Data!#REF!)</f>
        <v>#REF!</v>
      </c>
      <c r="L23" s="70" t="e">
        <f>IF(Data!#REF!="","",Data!#REF!)</f>
        <v>#REF!</v>
      </c>
      <c r="M23" s="70" t="e">
        <f>IF(Data!#REF!="","",Data!#REF!)</f>
        <v>#REF!</v>
      </c>
      <c r="N23" s="70" t="e">
        <f>IF(Data!#REF!="","",Data!#REF!)</f>
        <v>#REF!</v>
      </c>
      <c r="O23" s="70" t="e">
        <f>IF(Data!#REF!="","",Data!#REF!)</f>
        <v>#REF!</v>
      </c>
      <c r="P23" s="70" t="e">
        <f>IF(Data!#REF!="","",Data!#REF!)</f>
        <v>#REF!</v>
      </c>
      <c r="Q23" s="70" t="e">
        <f>IF(Data!#REF!="","",Data!#REF!)</f>
        <v>#REF!</v>
      </c>
      <c r="R23" s="70" t="e">
        <f>IF(Data!#REF!="","",Data!#REF!)</f>
        <v>#REF!</v>
      </c>
      <c r="S23" s="70" t="e">
        <f>IF(Data!#REF!="","",Data!#REF!)</f>
        <v>#REF!</v>
      </c>
      <c r="T23" s="70" t="e">
        <f>IF(Data!#REF!="","",Data!#REF!)</f>
        <v>#REF!</v>
      </c>
      <c r="U23" s="70" t="e">
        <f>IF(Data!#REF!="","",Data!#REF!)</f>
        <v>#REF!</v>
      </c>
      <c r="V23" s="70" t="e">
        <f>IF(Data!#REF!="","",Data!#REF!)</f>
        <v>#REF!</v>
      </c>
      <c r="W23" s="70" t="e">
        <f>IF(Data!#REF!="","",Data!#REF!)</f>
        <v>#REF!</v>
      </c>
      <c r="X23" s="70" t="e">
        <f>IF(Data!#REF!="","",Data!#REF!)</f>
        <v>#REF!</v>
      </c>
      <c r="Y23" s="70" t="e">
        <f>IF(Data!#REF!="","",Data!#REF!)</f>
        <v>#REF!</v>
      </c>
      <c r="Z23" s="70" t="e">
        <f>IF(Data!#REF!="","",Data!#REF!)</f>
        <v>#REF!</v>
      </c>
      <c r="AA23" s="70" t="e">
        <f>IF(Data!#REF!="","",Data!#REF!)</f>
        <v>#REF!</v>
      </c>
      <c r="AB23" s="70" t="e">
        <f>IF(Data!#REF!="","",Data!#REF!)</f>
        <v>#REF!</v>
      </c>
      <c r="AC23" s="70" t="e">
        <f>IF(Data!#REF!="","",Data!#REF!)</f>
        <v>#REF!</v>
      </c>
      <c r="AD23" s="70" t="e">
        <f>IF(Data!#REF!="","",Data!#REF!)</f>
        <v>#REF!</v>
      </c>
      <c r="AE23" s="70" t="e">
        <f>IF(Data!#REF!="","",Data!#REF!)</f>
        <v>#REF!</v>
      </c>
      <c r="AF23" s="70" t="e">
        <f>IF(Data!#REF!="","",Data!#REF!)</f>
        <v>#REF!</v>
      </c>
      <c r="AG23" s="70" t="e">
        <f>IF(Data!#REF!="","",Data!#REF!)</f>
        <v>#REF!</v>
      </c>
      <c r="AH23" s="70" t="e">
        <f>IF(Data!#REF!="","",Data!#REF!)</f>
        <v>#REF!</v>
      </c>
      <c r="AI23" s="70" t="e">
        <f>IF(Data!#REF!="","",Data!#REF!)</f>
        <v>#REF!</v>
      </c>
      <c r="AJ23" s="70" t="e">
        <f>IF(Data!#REF!="","",Data!#REF!)</f>
        <v>#REF!</v>
      </c>
      <c r="AK23" s="70" t="e">
        <f>IF(Data!#REF!="","",Data!#REF!)</f>
        <v>#REF!</v>
      </c>
      <c r="AL23" s="70" t="e">
        <f>IF(Data!#REF!="","",Data!#REF!)</f>
        <v>#REF!</v>
      </c>
      <c r="AM23" s="70" t="e">
        <f>IF(Data!#REF!="","",Data!#REF!)</f>
        <v>#REF!</v>
      </c>
      <c r="AN23" s="70" t="e">
        <f>IF(Data!#REF!="","",Data!#REF!)</f>
        <v>#REF!</v>
      </c>
      <c r="AO23" s="70" t="e">
        <f>IF(Data!#REF!="","",Data!#REF!)</f>
        <v>#REF!</v>
      </c>
      <c r="AP23" s="70" t="e">
        <f>IF(Data!#REF!="","",Data!#REF!)</f>
        <v>#REF!</v>
      </c>
      <c r="AQ23" s="70" t="e">
        <f>IF(Data!#REF!="","",Data!#REF!)</f>
        <v>#REF!</v>
      </c>
      <c r="AR23" s="70" t="e">
        <f>IF(Data!#REF!="","",Data!#REF!)</f>
        <v>#REF!</v>
      </c>
      <c r="AS23" s="70" t="e">
        <f>IF(Data!#REF!="","",Data!#REF!)</f>
        <v>#REF!</v>
      </c>
      <c r="AT23" s="70" t="e">
        <f>IF(Data!#REF!="","",Data!#REF!)</f>
        <v>#REF!</v>
      </c>
      <c r="AU23" s="70" t="e">
        <f>IF(Data!#REF!="","",Data!#REF!)</f>
        <v>#REF!</v>
      </c>
      <c r="AV23" s="70" t="e">
        <f>IF(Data!#REF!="","",Data!#REF!)</f>
        <v>#REF!</v>
      </c>
      <c r="AW23" s="70" t="e">
        <f>IF(Data!#REF!="","",Data!#REF!)</f>
        <v>#REF!</v>
      </c>
      <c r="AX23" s="98" t="e">
        <f>IF(Data!#REF!="",0,(ROUND(((DAYS360('WK Conversion'!$B$2,Data!#REF!)/7)+1),0)))</f>
        <v>#REF!</v>
      </c>
      <c r="AY23" s="98" t="e">
        <f>IF(Data!#REF!="",0,(ROUND(((DAYS360('WK Conversion'!$B$2,Data!#REF!)/7)+1),0)))</f>
        <v>#REF!</v>
      </c>
      <c r="AZ23" s="98" t="e">
        <f>IF(Data!#REF!="",0,(ROUND(((DAYS360('WK Conversion'!$B$2,Data!#REF!)/7)+1),0)))</f>
        <v>#REF!</v>
      </c>
      <c r="BA23" s="98" t="e">
        <f>IF(Data!#REF!="",0,(ROUND(((DAYS360('WK Conversion'!$B$2,Data!#REF!)/7)+1),0)))</f>
        <v>#REF!</v>
      </c>
      <c r="BB23" s="98" t="e">
        <f>IF(Data!#REF!="",0,(ROUND(((DAYS360('WK Conversion'!$B$2,Data!#REF!)/7)+1),0)))</f>
        <v>#REF!</v>
      </c>
      <c r="BC23" s="98" t="e">
        <f>IF(Data!#REF!="",0,(ROUND(((DAYS360('WK Conversion'!$B$2,Data!#REF!)/7)+1),0)))</f>
        <v>#REF!</v>
      </c>
      <c r="BD23" s="98" t="e">
        <f>IF(Data!#REF!="",0,(ROUND(((DAYS360('WK Conversion'!$B$2,Data!#REF!)/7)+1),0)))</f>
        <v>#REF!</v>
      </c>
    </row>
    <row r="24" spans="1:56" x14ac:dyDescent="0.25">
      <c r="A24" s="1" t="e">
        <f>IF(Data!#REF!="","",Data!#REF!)</f>
        <v>#REF!</v>
      </c>
      <c r="B24" s="1" t="e">
        <f>IF(Data!#REF!="","",Data!#REF!)</f>
        <v>#REF!</v>
      </c>
      <c r="C24" s="22" t="e">
        <f>IF(Data!#REF!="","",Data!#REF!)</f>
        <v>#REF!</v>
      </c>
      <c r="D24" s="70" t="e">
        <f>IF(Data!#REF!="","",Data!#REF!)</f>
        <v>#REF!</v>
      </c>
      <c r="E24" s="70" t="e">
        <f>IF(Data!#REF!="","",Data!#REF!)</f>
        <v>#REF!</v>
      </c>
      <c r="F24" s="70" t="e">
        <f>IF(Data!#REF!="","",Data!#REF!)</f>
        <v>#REF!</v>
      </c>
      <c r="G24" s="70" t="e">
        <f>IF(Data!#REF!="","",Data!#REF!)</f>
        <v>#REF!</v>
      </c>
      <c r="H24" s="70" t="e">
        <f>IF(Data!#REF!="","",Data!#REF!)</f>
        <v>#REF!</v>
      </c>
      <c r="I24" s="70" t="e">
        <f>IF(Data!#REF!="","",Data!#REF!)</f>
        <v>#REF!</v>
      </c>
      <c r="J24" s="70" t="e">
        <f>IF(Data!#REF!="","",Data!#REF!)</f>
        <v>#REF!</v>
      </c>
      <c r="K24" s="70" t="e">
        <f>IF(Data!#REF!="","",Data!#REF!)</f>
        <v>#REF!</v>
      </c>
      <c r="L24" s="70" t="e">
        <f>IF(Data!#REF!="","",Data!#REF!)</f>
        <v>#REF!</v>
      </c>
      <c r="M24" s="70" t="e">
        <f>IF(Data!#REF!="","",Data!#REF!)</f>
        <v>#REF!</v>
      </c>
      <c r="N24" s="70" t="e">
        <f>IF(Data!#REF!="","",Data!#REF!)</f>
        <v>#REF!</v>
      </c>
      <c r="O24" s="70" t="e">
        <f>IF(Data!#REF!="","",Data!#REF!)</f>
        <v>#REF!</v>
      </c>
      <c r="P24" s="70" t="e">
        <f>IF(Data!#REF!="","",Data!#REF!)</f>
        <v>#REF!</v>
      </c>
      <c r="Q24" s="70" t="e">
        <f>IF(Data!#REF!="","",Data!#REF!)</f>
        <v>#REF!</v>
      </c>
      <c r="R24" s="70" t="e">
        <f>IF(Data!#REF!="","",Data!#REF!)</f>
        <v>#REF!</v>
      </c>
      <c r="S24" s="70" t="e">
        <f>IF(Data!#REF!="","",Data!#REF!)</f>
        <v>#REF!</v>
      </c>
      <c r="T24" s="70" t="e">
        <f>IF(Data!#REF!="","",Data!#REF!)</f>
        <v>#REF!</v>
      </c>
      <c r="U24" s="70" t="e">
        <f>IF(Data!#REF!="","",Data!#REF!)</f>
        <v>#REF!</v>
      </c>
      <c r="V24" s="70" t="e">
        <f>IF(Data!#REF!="","",Data!#REF!)</f>
        <v>#REF!</v>
      </c>
      <c r="W24" s="70" t="e">
        <f>IF(Data!#REF!="","",Data!#REF!)</f>
        <v>#REF!</v>
      </c>
      <c r="X24" s="70" t="e">
        <f>IF(Data!#REF!="","",Data!#REF!)</f>
        <v>#REF!</v>
      </c>
      <c r="Y24" s="70" t="e">
        <f>IF(Data!#REF!="","",Data!#REF!)</f>
        <v>#REF!</v>
      </c>
      <c r="Z24" s="70" t="e">
        <f>IF(Data!#REF!="","",Data!#REF!)</f>
        <v>#REF!</v>
      </c>
      <c r="AA24" s="70" t="e">
        <f>IF(Data!#REF!="","",Data!#REF!)</f>
        <v>#REF!</v>
      </c>
      <c r="AB24" s="70" t="e">
        <f>IF(Data!#REF!="","",Data!#REF!)</f>
        <v>#REF!</v>
      </c>
      <c r="AC24" s="70" t="e">
        <f>IF(Data!#REF!="","",Data!#REF!)</f>
        <v>#REF!</v>
      </c>
      <c r="AD24" s="70" t="e">
        <f>IF(Data!#REF!="","",Data!#REF!)</f>
        <v>#REF!</v>
      </c>
      <c r="AE24" s="70" t="e">
        <f>IF(Data!#REF!="","",Data!#REF!)</f>
        <v>#REF!</v>
      </c>
      <c r="AF24" s="70" t="e">
        <f>IF(Data!#REF!="","",Data!#REF!)</f>
        <v>#REF!</v>
      </c>
      <c r="AG24" s="70" t="e">
        <f>IF(Data!#REF!="","",Data!#REF!)</f>
        <v>#REF!</v>
      </c>
      <c r="AH24" s="70" t="e">
        <f>IF(Data!#REF!="","",Data!#REF!)</f>
        <v>#REF!</v>
      </c>
      <c r="AI24" s="70" t="e">
        <f>IF(Data!#REF!="","",Data!#REF!)</f>
        <v>#REF!</v>
      </c>
      <c r="AJ24" s="70" t="e">
        <f>IF(Data!#REF!="","",Data!#REF!)</f>
        <v>#REF!</v>
      </c>
      <c r="AK24" s="70" t="e">
        <f>IF(Data!#REF!="","",Data!#REF!)</f>
        <v>#REF!</v>
      </c>
      <c r="AL24" s="70" t="e">
        <f>IF(Data!#REF!="","",Data!#REF!)</f>
        <v>#REF!</v>
      </c>
      <c r="AM24" s="70" t="e">
        <f>IF(Data!#REF!="","",Data!#REF!)</f>
        <v>#REF!</v>
      </c>
      <c r="AN24" s="70" t="e">
        <f>IF(Data!#REF!="","",Data!#REF!)</f>
        <v>#REF!</v>
      </c>
      <c r="AO24" s="70" t="e">
        <f>IF(Data!#REF!="","",Data!#REF!)</f>
        <v>#REF!</v>
      </c>
      <c r="AP24" s="70" t="e">
        <f>IF(Data!#REF!="","",Data!#REF!)</f>
        <v>#REF!</v>
      </c>
      <c r="AQ24" s="70" t="e">
        <f>IF(Data!#REF!="","",Data!#REF!)</f>
        <v>#REF!</v>
      </c>
      <c r="AR24" s="70" t="e">
        <f>IF(Data!#REF!="","",Data!#REF!)</f>
        <v>#REF!</v>
      </c>
      <c r="AS24" s="70" t="e">
        <f>IF(Data!#REF!="","",Data!#REF!)</f>
        <v>#REF!</v>
      </c>
      <c r="AT24" s="70" t="e">
        <f>IF(Data!#REF!="","",Data!#REF!)</f>
        <v>#REF!</v>
      </c>
      <c r="AU24" s="70" t="e">
        <f>IF(Data!#REF!="","",Data!#REF!)</f>
        <v>#REF!</v>
      </c>
      <c r="AV24" s="70" t="e">
        <f>IF(Data!#REF!="","",Data!#REF!)</f>
        <v>#REF!</v>
      </c>
      <c r="AW24" s="70" t="e">
        <f>IF(Data!#REF!="","",Data!#REF!)</f>
        <v>#REF!</v>
      </c>
      <c r="AX24" s="98" t="e">
        <f>IF(Data!#REF!="",0,(ROUND(((DAYS360('WK Conversion'!$B$2,Data!#REF!)/7)+1),0)))</f>
        <v>#REF!</v>
      </c>
      <c r="AY24" s="98" t="e">
        <f>IF(Data!#REF!="",0,(ROUND(((DAYS360('WK Conversion'!$B$2,Data!#REF!)/7)+1),0)))</f>
        <v>#REF!</v>
      </c>
      <c r="AZ24" s="98" t="e">
        <f>IF(Data!#REF!="",0,(ROUND(((DAYS360('WK Conversion'!$B$2,Data!#REF!)/7)+1),0)))</f>
        <v>#REF!</v>
      </c>
      <c r="BA24" s="98" t="e">
        <f>IF(Data!#REF!="",0,(ROUND(((DAYS360('WK Conversion'!$B$2,Data!#REF!)/7)+1),0)))</f>
        <v>#REF!</v>
      </c>
      <c r="BB24" s="98" t="e">
        <f>IF(Data!#REF!="",0,(ROUND(((DAYS360('WK Conversion'!$B$2,Data!#REF!)/7)+1),0)))</f>
        <v>#REF!</v>
      </c>
      <c r="BC24" s="98" t="e">
        <f>IF(Data!#REF!="",0,(ROUND(((DAYS360('WK Conversion'!$B$2,Data!#REF!)/7)+1),0)))</f>
        <v>#REF!</v>
      </c>
      <c r="BD24" s="98" t="e">
        <f>IF(Data!#REF!="",0,(ROUND(((DAYS360('WK Conversion'!$B$2,Data!#REF!)/7)+1),0)))</f>
        <v>#REF!</v>
      </c>
    </row>
    <row r="25" spans="1:56" x14ac:dyDescent="0.25">
      <c r="A25" s="1" t="e">
        <f>IF(Data!#REF!="","",Data!#REF!)</f>
        <v>#REF!</v>
      </c>
      <c r="B25" s="1" t="e">
        <f>IF(Data!#REF!="","",Data!#REF!)</f>
        <v>#REF!</v>
      </c>
      <c r="C25" s="22" t="e">
        <f>IF(Data!#REF!="","",Data!#REF!)</f>
        <v>#REF!</v>
      </c>
      <c r="D25" s="70" t="e">
        <f>IF(Data!#REF!="","",Data!#REF!)</f>
        <v>#REF!</v>
      </c>
      <c r="E25" s="70" t="e">
        <f>IF(Data!#REF!="","",Data!#REF!)</f>
        <v>#REF!</v>
      </c>
      <c r="F25" s="70" t="e">
        <f>IF(Data!#REF!="","",Data!#REF!)</f>
        <v>#REF!</v>
      </c>
      <c r="G25" s="70" t="e">
        <f>IF(Data!#REF!="","",Data!#REF!)</f>
        <v>#REF!</v>
      </c>
      <c r="H25" s="70" t="e">
        <f>IF(Data!#REF!="","",Data!#REF!)</f>
        <v>#REF!</v>
      </c>
      <c r="I25" s="70" t="e">
        <f>IF(Data!#REF!="","",Data!#REF!)</f>
        <v>#REF!</v>
      </c>
      <c r="J25" s="70" t="e">
        <f>IF(Data!#REF!="","",Data!#REF!)</f>
        <v>#REF!</v>
      </c>
      <c r="K25" s="70" t="e">
        <f>IF(Data!#REF!="","",Data!#REF!)</f>
        <v>#REF!</v>
      </c>
      <c r="L25" s="70" t="e">
        <f>IF(Data!#REF!="","",Data!#REF!)</f>
        <v>#REF!</v>
      </c>
      <c r="M25" s="70" t="e">
        <f>IF(Data!#REF!="","",Data!#REF!)</f>
        <v>#REF!</v>
      </c>
      <c r="N25" s="70" t="e">
        <f>IF(Data!#REF!="","",Data!#REF!)</f>
        <v>#REF!</v>
      </c>
      <c r="O25" s="70" t="e">
        <f>IF(Data!#REF!="","",Data!#REF!)</f>
        <v>#REF!</v>
      </c>
      <c r="P25" s="70" t="e">
        <f>IF(Data!#REF!="","",Data!#REF!)</f>
        <v>#REF!</v>
      </c>
      <c r="Q25" s="70" t="e">
        <f>IF(Data!#REF!="","",Data!#REF!)</f>
        <v>#REF!</v>
      </c>
      <c r="R25" s="70" t="e">
        <f>IF(Data!#REF!="","",Data!#REF!)</f>
        <v>#REF!</v>
      </c>
      <c r="S25" s="70" t="e">
        <f>IF(Data!#REF!="","",Data!#REF!)</f>
        <v>#REF!</v>
      </c>
      <c r="T25" s="70" t="e">
        <f>IF(Data!#REF!="","",Data!#REF!)</f>
        <v>#REF!</v>
      </c>
      <c r="U25" s="70" t="e">
        <f>IF(Data!#REF!="","",Data!#REF!)</f>
        <v>#REF!</v>
      </c>
      <c r="V25" s="70" t="e">
        <f>IF(Data!#REF!="","",Data!#REF!)</f>
        <v>#REF!</v>
      </c>
      <c r="W25" s="70" t="e">
        <f>IF(Data!#REF!="","",Data!#REF!)</f>
        <v>#REF!</v>
      </c>
      <c r="X25" s="70" t="e">
        <f>IF(Data!#REF!="","",Data!#REF!)</f>
        <v>#REF!</v>
      </c>
      <c r="Y25" s="70" t="e">
        <f>IF(Data!#REF!="","",Data!#REF!)</f>
        <v>#REF!</v>
      </c>
      <c r="Z25" s="70" t="e">
        <f>IF(Data!#REF!="","",Data!#REF!)</f>
        <v>#REF!</v>
      </c>
      <c r="AA25" s="70" t="e">
        <f>IF(Data!#REF!="","",Data!#REF!)</f>
        <v>#REF!</v>
      </c>
      <c r="AB25" s="70" t="e">
        <f>IF(Data!#REF!="","",Data!#REF!)</f>
        <v>#REF!</v>
      </c>
      <c r="AC25" s="70" t="e">
        <f>IF(Data!#REF!="","",Data!#REF!)</f>
        <v>#REF!</v>
      </c>
      <c r="AD25" s="70" t="e">
        <f>IF(Data!#REF!="","",Data!#REF!)</f>
        <v>#REF!</v>
      </c>
      <c r="AE25" s="70" t="e">
        <f>IF(Data!#REF!="","",Data!#REF!)</f>
        <v>#REF!</v>
      </c>
      <c r="AF25" s="70" t="e">
        <f>IF(Data!#REF!="","",Data!#REF!)</f>
        <v>#REF!</v>
      </c>
      <c r="AG25" s="70" t="e">
        <f>IF(Data!#REF!="","",Data!#REF!)</f>
        <v>#REF!</v>
      </c>
      <c r="AH25" s="70" t="e">
        <f>IF(Data!#REF!="","",Data!#REF!)</f>
        <v>#REF!</v>
      </c>
      <c r="AI25" s="70" t="e">
        <f>IF(Data!#REF!="","",Data!#REF!)</f>
        <v>#REF!</v>
      </c>
      <c r="AJ25" s="70" t="e">
        <f>IF(Data!#REF!="","",Data!#REF!)</f>
        <v>#REF!</v>
      </c>
      <c r="AK25" s="70" t="e">
        <f>IF(Data!#REF!="","",Data!#REF!)</f>
        <v>#REF!</v>
      </c>
      <c r="AL25" s="70" t="e">
        <f>IF(Data!#REF!="","",Data!#REF!)</f>
        <v>#REF!</v>
      </c>
      <c r="AM25" s="70" t="e">
        <f>IF(Data!#REF!="","",Data!#REF!)</f>
        <v>#REF!</v>
      </c>
      <c r="AN25" s="70" t="e">
        <f>IF(Data!#REF!="","",Data!#REF!)</f>
        <v>#REF!</v>
      </c>
      <c r="AO25" s="70" t="e">
        <f>IF(Data!#REF!="","",Data!#REF!)</f>
        <v>#REF!</v>
      </c>
      <c r="AP25" s="70" t="e">
        <f>IF(Data!#REF!="","",Data!#REF!)</f>
        <v>#REF!</v>
      </c>
      <c r="AQ25" s="70" t="e">
        <f>IF(Data!#REF!="","",Data!#REF!)</f>
        <v>#REF!</v>
      </c>
      <c r="AR25" s="70" t="e">
        <f>IF(Data!#REF!="","",Data!#REF!)</f>
        <v>#REF!</v>
      </c>
      <c r="AS25" s="70" t="e">
        <f>IF(Data!#REF!="","",Data!#REF!)</f>
        <v>#REF!</v>
      </c>
      <c r="AT25" s="70" t="e">
        <f>IF(Data!#REF!="","",Data!#REF!)</f>
        <v>#REF!</v>
      </c>
      <c r="AU25" s="70" t="e">
        <f>IF(Data!#REF!="","",Data!#REF!)</f>
        <v>#REF!</v>
      </c>
      <c r="AV25" s="70" t="e">
        <f>IF(Data!#REF!="","",Data!#REF!)</f>
        <v>#REF!</v>
      </c>
      <c r="AW25" s="70" t="e">
        <f>IF(Data!#REF!="","",Data!#REF!)</f>
        <v>#REF!</v>
      </c>
      <c r="AX25" s="98" t="e">
        <f>IF(Data!#REF!="",0,(ROUND(((DAYS360('WK Conversion'!$B$2,Data!#REF!)/7)+1),0)))</f>
        <v>#REF!</v>
      </c>
      <c r="AY25" s="98" t="e">
        <f>IF(Data!#REF!="",0,(ROUND(((DAYS360('WK Conversion'!$B$2,Data!#REF!)/7)+1),0)))</f>
        <v>#REF!</v>
      </c>
      <c r="AZ25" s="98" t="e">
        <f>IF(Data!#REF!="",0,(ROUND(((DAYS360('WK Conversion'!$B$2,Data!#REF!)/7)+1),0)))</f>
        <v>#REF!</v>
      </c>
      <c r="BA25" s="98" t="e">
        <f>IF(Data!#REF!="",0,(ROUND(((DAYS360('WK Conversion'!$B$2,Data!#REF!)/7)+1),0)))</f>
        <v>#REF!</v>
      </c>
      <c r="BB25" s="98" t="e">
        <f>IF(Data!#REF!="",0,(ROUND(((DAYS360('WK Conversion'!$B$2,Data!#REF!)/7)+1),0)))</f>
        <v>#REF!</v>
      </c>
      <c r="BC25" s="98" t="e">
        <f>IF(Data!#REF!="",0,(ROUND(((DAYS360('WK Conversion'!$B$2,Data!#REF!)/7)+1),0)))</f>
        <v>#REF!</v>
      </c>
      <c r="BD25" s="98" t="e">
        <f>IF(Data!#REF!="",0,(ROUND(((DAYS360('WK Conversion'!$B$2,Data!#REF!)/7)+1),0)))</f>
        <v>#REF!</v>
      </c>
    </row>
    <row r="26" spans="1:56" x14ac:dyDescent="0.25">
      <c r="A26" s="1" t="e">
        <f>IF(Data!#REF!="","",Data!#REF!)</f>
        <v>#REF!</v>
      </c>
      <c r="B26" s="1" t="e">
        <f>IF(Data!#REF!="","",Data!#REF!)</f>
        <v>#REF!</v>
      </c>
      <c r="C26" s="22" t="e">
        <f>IF(Data!#REF!="","",Data!#REF!)</f>
        <v>#REF!</v>
      </c>
      <c r="D26" s="70" t="e">
        <f>IF(Data!#REF!="","",Data!#REF!)</f>
        <v>#REF!</v>
      </c>
      <c r="E26" s="70" t="e">
        <f>IF(Data!#REF!="","",Data!#REF!)</f>
        <v>#REF!</v>
      </c>
      <c r="F26" s="70" t="e">
        <f>IF(Data!#REF!="","",Data!#REF!)</f>
        <v>#REF!</v>
      </c>
      <c r="G26" s="70" t="e">
        <f>IF(Data!#REF!="","",Data!#REF!)</f>
        <v>#REF!</v>
      </c>
      <c r="H26" s="70" t="e">
        <f>IF(Data!#REF!="","",Data!#REF!)</f>
        <v>#REF!</v>
      </c>
      <c r="I26" s="70" t="e">
        <f>IF(Data!#REF!="","",Data!#REF!)</f>
        <v>#REF!</v>
      </c>
      <c r="J26" s="70" t="e">
        <f>IF(Data!#REF!="","",Data!#REF!)</f>
        <v>#REF!</v>
      </c>
      <c r="K26" s="70" t="e">
        <f>IF(Data!#REF!="","",Data!#REF!)</f>
        <v>#REF!</v>
      </c>
      <c r="L26" s="70" t="e">
        <f>IF(Data!#REF!="","",Data!#REF!)</f>
        <v>#REF!</v>
      </c>
      <c r="M26" s="70" t="e">
        <f>IF(Data!#REF!="","",Data!#REF!)</f>
        <v>#REF!</v>
      </c>
      <c r="N26" s="70" t="e">
        <f>IF(Data!#REF!="","",Data!#REF!)</f>
        <v>#REF!</v>
      </c>
      <c r="O26" s="70" t="e">
        <f>IF(Data!#REF!="","",Data!#REF!)</f>
        <v>#REF!</v>
      </c>
      <c r="P26" s="70" t="e">
        <f>IF(Data!#REF!="","",Data!#REF!)</f>
        <v>#REF!</v>
      </c>
      <c r="Q26" s="70" t="e">
        <f>IF(Data!#REF!="","",Data!#REF!)</f>
        <v>#REF!</v>
      </c>
      <c r="R26" s="70" t="e">
        <f>IF(Data!#REF!="","",Data!#REF!)</f>
        <v>#REF!</v>
      </c>
      <c r="S26" s="70" t="e">
        <f>IF(Data!#REF!="","",Data!#REF!)</f>
        <v>#REF!</v>
      </c>
      <c r="T26" s="70" t="e">
        <f>IF(Data!#REF!="","",Data!#REF!)</f>
        <v>#REF!</v>
      </c>
      <c r="U26" s="70" t="e">
        <f>IF(Data!#REF!="","",Data!#REF!)</f>
        <v>#REF!</v>
      </c>
      <c r="V26" s="70" t="e">
        <f>IF(Data!#REF!="","",Data!#REF!)</f>
        <v>#REF!</v>
      </c>
      <c r="W26" s="70" t="e">
        <f>IF(Data!#REF!="","",Data!#REF!)</f>
        <v>#REF!</v>
      </c>
      <c r="X26" s="70" t="e">
        <f>IF(Data!#REF!="","",Data!#REF!)</f>
        <v>#REF!</v>
      </c>
      <c r="Y26" s="70" t="e">
        <f>IF(Data!#REF!="","",Data!#REF!)</f>
        <v>#REF!</v>
      </c>
      <c r="Z26" s="70" t="e">
        <f>IF(Data!#REF!="","",Data!#REF!)</f>
        <v>#REF!</v>
      </c>
      <c r="AA26" s="70" t="e">
        <f>IF(Data!#REF!="","",Data!#REF!)</f>
        <v>#REF!</v>
      </c>
      <c r="AB26" s="70" t="e">
        <f>IF(Data!#REF!="","",Data!#REF!)</f>
        <v>#REF!</v>
      </c>
      <c r="AC26" s="70" t="e">
        <f>IF(Data!#REF!="","",Data!#REF!)</f>
        <v>#REF!</v>
      </c>
      <c r="AD26" s="70" t="e">
        <f>IF(Data!#REF!="","",Data!#REF!)</f>
        <v>#REF!</v>
      </c>
      <c r="AE26" s="70" t="e">
        <f>IF(Data!#REF!="","",Data!#REF!)</f>
        <v>#REF!</v>
      </c>
      <c r="AF26" s="70" t="e">
        <f>IF(Data!#REF!="","",Data!#REF!)</f>
        <v>#REF!</v>
      </c>
      <c r="AG26" s="70" t="e">
        <f>IF(Data!#REF!="","",Data!#REF!)</f>
        <v>#REF!</v>
      </c>
      <c r="AH26" s="70" t="e">
        <f>IF(Data!#REF!="","",Data!#REF!)</f>
        <v>#REF!</v>
      </c>
      <c r="AI26" s="70" t="e">
        <f>IF(Data!#REF!="","",Data!#REF!)</f>
        <v>#REF!</v>
      </c>
      <c r="AJ26" s="70" t="e">
        <f>IF(Data!#REF!="","",Data!#REF!)</f>
        <v>#REF!</v>
      </c>
      <c r="AK26" s="70" t="e">
        <f>IF(Data!#REF!="","",Data!#REF!)</f>
        <v>#REF!</v>
      </c>
      <c r="AL26" s="70" t="e">
        <f>IF(Data!#REF!="","",Data!#REF!)</f>
        <v>#REF!</v>
      </c>
      <c r="AM26" s="70" t="e">
        <f>IF(Data!#REF!="","",Data!#REF!)</f>
        <v>#REF!</v>
      </c>
      <c r="AN26" s="70" t="e">
        <f>IF(Data!#REF!="","",Data!#REF!)</f>
        <v>#REF!</v>
      </c>
      <c r="AO26" s="70" t="e">
        <f>IF(Data!#REF!="","",Data!#REF!)</f>
        <v>#REF!</v>
      </c>
      <c r="AP26" s="70" t="e">
        <f>IF(Data!#REF!="","",Data!#REF!)</f>
        <v>#REF!</v>
      </c>
      <c r="AQ26" s="70" t="e">
        <f>IF(Data!#REF!="","",Data!#REF!)</f>
        <v>#REF!</v>
      </c>
      <c r="AR26" s="70" t="e">
        <f>IF(Data!#REF!="","",Data!#REF!)</f>
        <v>#REF!</v>
      </c>
      <c r="AS26" s="70" t="e">
        <f>IF(Data!#REF!="","",Data!#REF!)</f>
        <v>#REF!</v>
      </c>
      <c r="AT26" s="70" t="e">
        <f>IF(Data!#REF!="","",Data!#REF!)</f>
        <v>#REF!</v>
      </c>
      <c r="AU26" s="70" t="e">
        <f>IF(Data!#REF!="","",Data!#REF!)</f>
        <v>#REF!</v>
      </c>
      <c r="AV26" s="70" t="e">
        <f>IF(Data!#REF!="","",Data!#REF!)</f>
        <v>#REF!</v>
      </c>
      <c r="AW26" s="70" t="e">
        <f>IF(Data!#REF!="","",Data!#REF!)</f>
        <v>#REF!</v>
      </c>
      <c r="AX26" s="98" t="e">
        <f>IF(Data!#REF!="",0,(ROUND(((DAYS360('WK Conversion'!$B$2,Data!#REF!)/7)+1),0)))</f>
        <v>#REF!</v>
      </c>
      <c r="AY26" s="98" t="e">
        <f>IF(Data!#REF!="",0,(ROUND(((DAYS360('WK Conversion'!$B$2,Data!#REF!)/7)+1),0)))</f>
        <v>#REF!</v>
      </c>
      <c r="AZ26" s="98" t="e">
        <f>IF(Data!#REF!="",0,(ROUND(((DAYS360('WK Conversion'!$B$2,Data!#REF!)/7)+1),0)))</f>
        <v>#REF!</v>
      </c>
      <c r="BA26" s="98" t="e">
        <f>IF(Data!#REF!="",0,(ROUND(((DAYS360('WK Conversion'!$B$2,Data!#REF!)/7)+1),0)))</f>
        <v>#REF!</v>
      </c>
      <c r="BB26" s="98" t="e">
        <f>IF(Data!#REF!="",0,(ROUND(((DAYS360('WK Conversion'!$B$2,Data!#REF!)/7)+1),0)))</f>
        <v>#REF!</v>
      </c>
      <c r="BC26" s="98" t="e">
        <f>IF(Data!#REF!="",0,(ROUND(((DAYS360('WK Conversion'!$B$2,Data!#REF!)/7)+1),0)))</f>
        <v>#REF!</v>
      </c>
      <c r="BD26" s="98" t="e">
        <f>IF(Data!#REF!="",0,(ROUND(((DAYS360('WK Conversion'!$B$2,Data!#REF!)/7)+1),0)))</f>
        <v>#REF!</v>
      </c>
    </row>
    <row r="27" spans="1:56" x14ac:dyDescent="0.25">
      <c r="A27" s="1" t="e">
        <f>IF(Data!#REF!="","",Data!#REF!)</f>
        <v>#REF!</v>
      </c>
      <c r="B27" s="1" t="e">
        <f>IF(Data!#REF!="","",Data!#REF!)</f>
        <v>#REF!</v>
      </c>
      <c r="C27" s="22" t="e">
        <f>IF(Data!#REF!="","",Data!#REF!)</f>
        <v>#REF!</v>
      </c>
      <c r="D27" s="70" t="e">
        <f>IF(Data!#REF!="","",Data!#REF!)</f>
        <v>#REF!</v>
      </c>
      <c r="E27" s="70" t="e">
        <f>IF(Data!#REF!="","",Data!#REF!)</f>
        <v>#REF!</v>
      </c>
      <c r="F27" s="70" t="e">
        <f>IF(Data!#REF!="","",Data!#REF!)</f>
        <v>#REF!</v>
      </c>
      <c r="G27" s="70" t="e">
        <f>IF(Data!#REF!="","",Data!#REF!)</f>
        <v>#REF!</v>
      </c>
      <c r="H27" s="70" t="e">
        <f>IF(Data!#REF!="","",Data!#REF!)</f>
        <v>#REF!</v>
      </c>
      <c r="I27" s="70" t="e">
        <f>IF(Data!#REF!="","",Data!#REF!)</f>
        <v>#REF!</v>
      </c>
      <c r="J27" s="70" t="e">
        <f>IF(Data!#REF!="","",Data!#REF!)</f>
        <v>#REF!</v>
      </c>
      <c r="K27" s="70" t="e">
        <f>IF(Data!#REF!="","",Data!#REF!)</f>
        <v>#REF!</v>
      </c>
      <c r="L27" s="70" t="e">
        <f>IF(Data!#REF!="","",Data!#REF!)</f>
        <v>#REF!</v>
      </c>
      <c r="M27" s="70" t="e">
        <f>IF(Data!#REF!="","",Data!#REF!)</f>
        <v>#REF!</v>
      </c>
      <c r="N27" s="70" t="e">
        <f>IF(Data!#REF!="","",Data!#REF!)</f>
        <v>#REF!</v>
      </c>
      <c r="O27" s="70" t="e">
        <f>IF(Data!#REF!="","",Data!#REF!)</f>
        <v>#REF!</v>
      </c>
      <c r="P27" s="70" t="e">
        <f>IF(Data!#REF!="","",Data!#REF!)</f>
        <v>#REF!</v>
      </c>
      <c r="Q27" s="70" t="e">
        <f>IF(Data!#REF!="","",Data!#REF!)</f>
        <v>#REF!</v>
      </c>
      <c r="R27" s="70" t="e">
        <f>IF(Data!#REF!="","",Data!#REF!)</f>
        <v>#REF!</v>
      </c>
      <c r="S27" s="70" t="e">
        <f>IF(Data!#REF!="","",Data!#REF!)</f>
        <v>#REF!</v>
      </c>
      <c r="T27" s="70" t="e">
        <f>IF(Data!#REF!="","",Data!#REF!)</f>
        <v>#REF!</v>
      </c>
      <c r="U27" s="70" t="e">
        <f>IF(Data!#REF!="","",Data!#REF!)</f>
        <v>#REF!</v>
      </c>
      <c r="V27" s="70" t="e">
        <f>IF(Data!#REF!="","",Data!#REF!)</f>
        <v>#REF!</v>
      </c>
      <c r="W27" s="70" t="e">
        <f>IF(Data!#REF!="","",Data!#REF!)</f>
        <v>#REF!</v>
      </c>
      <c r="X27" s="70" t="e">
        <f>IF(Data!#REF!="","",Data!#REF!)</f>
        <v>#REF!</v>
      </c>
      <c r="Y27" s="70" t="e">
        <f>IF(Data!#REF!="","",Data!#REF!)</f>
        <v>#REF!</v>
      </c>
      <c r="Z27" s="70" t="e">
        <f>IF(Data!#REF!="","",Data!#REF!)</f>
        <v>#REF!</v>
      </c>
      <c r="AA27" s="70" t="e">
        <f>IF(Data!#REF!="","",Data!#REF!)</f>
        <v>#REF!</v>
      </c>
      <c r="AB27" s="70" t="e">
        <f>IF(Data!#REF!="","",Data!#REF!)</f>
        <v>#REF!</v>
      </c>
      <c r="AC27" s="70" t="e">
        <f>IF(Data!#REF!="","",Data!#REF!)</f>
        <v>#REF!</v>
      </c>
      <c r="AD27" s="70" t="e">
        <f>IF(Data!#REF!="","",Data!#REF!)</f>
        <v>#REF!</v>
      </c>
      <c r="AE27" s="70" t="e">
        <f>IF(Data!#REF!="","",Data!#REF!)</f>
        <v>#REF!</v>
      </c>
      <c r="AF27" s="70" t="e">
        <f>IF(Data!#REF!="","",Data!#REF!)</f>
        <v>#REF!</v>
      </c>
      <c r="AG27" s="70" t="e">
        <f>IF(Data!#REF!="","",Data!#REF!)</f>
        <v>#REF!</v>
      </c>
      <c r="AH27" s="70" t="e">
        <f>IF(Data!#REF!="","",Data!#REF!)</f>
        <v>#REF!</v>
      </c>
      <c r="AI27" s="70" t="e">
        <f>IF(Data!#REF!="","",Data!#REF!)</f>
        <v>#REF!</v>
      </c>
      <c r="AJ27" s="70" t="e">
        <f>IF(Data!#REF!="","",Data!#REF!)</f>
        <v>#REF!</v>
      </c>
      <c r="AK27" s="70" t="e">
        <f>IF(Data!#REF!="","",Data!#REF!)</f>
        <v>#REF!</v>
      </c>
      <c r="AL27" s="70" t="e">
        <f>IF(Data!#REF!="","",Data!#REF!)</f>
        <v>#REF!</v>
      </c>
      <c r="AM27" s="70" t="e">
        <f>IF(Data!#REF!="","",Data!#REF!)</f>
        <v>#REF!</v>
      </c>
      <c r="AN27" s="70" t="e">
        <f>IF(Data!#REF!="","",Data!#REF!)</f>
        <v>#REF!</v>
      </c>
      <c r="AO27" s="70" t="e">
        <f>IF(Data!#REF!="","",Data!#REF!)</f>
        <v>#REF!</v>
      </c>
      <c r="AP27" s="70" t="e">
        <f>IF(Data!#REF!="","",Data!#REF!)</f>
        <v>#REF!</v>
      </c>
      <c r="AQ27" s="70" t="e">
        <f>IF(Data!#REF!="","",Data!#REF!)</f>
        <v>#REF!</v>
      </c>
      <c r="AR27" s="70" t="e">
        <f>IF(Data!#REF!="","",Data!#REF!)</f>
        <v>#REF!</v>
      </c>
      <c r="AS27" s="70" t="e">
        <f>IF(Data!#REF!="","",Data!#REF!)</f>
        <v>#REF!</v>
      </c>
      <c r="AT27" s="70" t="e">
        <f>IF(Data!#REF!="","",Data!#REF!)</f>
        <v>#REF!</v>
      </c>
      <c r="AU27" s="70" t="e">
        <f>IF(Data!#REF!="","",Data!#REF!)</f>
        <v>#REF!</v>
      </c>
      <c r="AV27" s="70" t="e">
        <f>IF(Data!#REF!="","",Data!#REF!)</f>
        <v>#REF!</v>
      </c>
      <c r="AW27" s="70" t="e">
        <f>IF(Data!#REF!="","",Data!#REF!)</f>
        <v>#REF!</v>
      </c>
      <c r="AX27" s="98" t="e">
        <f>IF(Data!#REF!="",0,(ROUND(((DAYS360('WK Conversion'!$B$2,Data!#REF!)/7)+1),0)))</f>
        <v>#REF!</v>
      </c>
      <c r="AY27" s="98" t="e">
        <f>IF(Data!#REF!="",0,(ROUND(((DAYS360('WK Conversion'!$B$2,Data!#REF!)/7)+1),0)))</f>
        <v>#REF!</v>
      </c>
      <c r="AZ27" s="98" t="e">
        <f>IF(Data!#REF!="",0,(ROUND(((DAYS360('WK Conversion'!$B$2,Data!#REF!)/7)+1),0)))</f>
        <v>#REF!</v>
      </c>
      <c r="BA27" s="98" t="e">
        <f>IF(Data!#REF!="",0,(ROUND(((DAYS360('WK Conversion'!$B$2,Data!#REF!)/7)+1),0)))</f>
        <v>#REF!</v>
      </c>
      <c r="BB27" s="98" t="e">
        <f>IF(Data!#REF!="",0,(ROUND(((DAYS360('WK Conversion'!$B$2,Data!#REF!)/7)+1),0)))</f>
        <v>#REF!</v>
      </c>
      <c r="BC27" s="98" t="e">
        <f>IF(Data!#REF!="",0,(ROUND(((DAYS360('WK Conversion'!$B$2,Data!#REF!)/7)+1),0)))</f>
        <v>#REF!</v>
      </c>
      <c r="BD27" s="98" t="e">
        <f>IF(Data!#REF!="",0,(ROUND(((DAYS360('WK Conversion'!$B$2,Data!#REF!)/7)+1),0)))</f>
        <v>#REF!</v>
      </c>
    </row>
    <row r="28" spans="1:56" x14ac:dyDescent="0.25">
      <c r="C28" s="22"/>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98"/>
      <c r="AY28" s="98"/>
      <c r="AZ28" s="98"/>
      <c r="BA28" s="98"/>
      <c r="BB28" s="98"/>
      <c r="BC28" s="98"/>
      <c r="BD28" s="98"/>
    </row>
    <row r="29" spans="1:56" x14ac:dyDescent="0.25">
      <c r="C29" s="22"/>
      <c r="D29" s="70"/>
      <c r="E29" s="70"/>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98"/>
      <c r="AY29" s="98"/>
      <c r="AZ29" s="98"/>
      <c r="BA29" s="98"/>
      <c r="BB29" s="98"/>
      <c r="BC29" s="98"/>
      <c r="BD29" s="98"/>
    </row>
    <row r="30" spans="1:56" x14ac:dyDescent="0.25">
      <c r="C30" s="22"/>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98"/>
      <c r="AY30" s="98"/>
      <c r="AZ30" s="98"/>
      <c r="BA30" s="98"/>
      <c r="BB30" s="98"/>
      <c r="BC30" s="98"/>
      <c r="BD30" s="98"/>
    </row>
    <row r="31" spans="1:56" x14ac:dyDescent="0.25">
      <c r="C31" s="22"/>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98"/>
      <c r="AY31" s="98"/>
      <c r="AZ31" s="98"/>
      <c r="BA31" s="98"/>
      <c r="BB31" s="98"/>
      <c r="BC31" s="98"/>
      <c r="BD31" s="98"/>
    </row>
    <row r="32" spans="1:56" x14ac:dyDescent="0.25">
      <c r="C32" s="22"/>
      <c r="D32" s="70"/>
      <c r="E32" s="70"/>
      <c r="F32" s="70"/>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98"/>
      <c r="AY32" s="98"/>
      <c r="AZ32" s="98"/>
      <c r="BA32" s="98"/>
      <c r="BB32" s="98"/>
      <c r="BC32" s="98"/>
      <c r="BD32" s="98"/>
    </row>
    <row r="33" spans="3:56" x14ac:dyDescent="0.25">
      <c r="C33" s="22"/>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98"/>
      <c r="AY33" s="98"/>
      <c r="AZ33" s="98"/>
      <c r="BA33" s="98"/>
      <c r="BB33" s="98"/>
      <c r="BC33" s="98"/>
      <c r="BD33" s="98"/>
    </row>
    <row r="34" spans="3:56" x14ac:dyDescent="0.25">
      <c r="C34" s="22"/>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98"/>
      <c r="AY34" s="98"/>
      <c r="AZ34" s="98"/>
      <c r="BA34" s="98"/>
      <c r="BB34" s="98"/>
      <c r="BC34" s="98"/>
      <c r="BD34" s="98"/>
    </row>
    <row r="35" spans="3:56" x14ac:dyDescent="0.25">
      <c r="C35" s="22"/>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98"/>
      <c r="AY35" s="98"/>
      <c r="AZ35" s="98"/>
      <c r="BA35" s="98"/>
      <c r="BB35" s="98"/>
      <c r="BC35" s="98"/>
      <c r="BD35" s="98"/>
    </row>
  </sheetData>
  <mergeCells count="5">
    <mergeCell ref="AW5:BD5"/>
    <mergeCell ref="D5:N5"/>
    <mergeCell ref="O5:Y5"/>
    <mergeCell ref="Z5:AJ5"/>
    <mergeCell ref="AK5:AV5"/>
  </mergeCells>
  <phoneticPr fontId="13" type="noConversion"/>
  <pageMargins left="0.75" right="0.75" top="1" bottom="1" header="0.5" footer="0.5"/>
  <pageSetup paperSize="3" scale="40" orientation="landscape" r:id="rId1"/>
  <headerFooter alignWithMargins="0">
    <oddHeader>&amp;R&amp;"Arial,Bold Italic"Document #: 1200-0002
Revision Date: 04/01/2014</oddHeader>
  </headerFooter>
  <customProperties>
    <customPr name="%locator_row%" r:id="rId2"/>
    <customPr name="%startcell%" r:id="rId3"/>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I47"/>
  <sheetViews>
    <sheetView topLeftCell="A25" zoomScale="90" zoomScaleNormal="90" workbookViewId="0"/>
  </sheetViews>
  <sheetFormatPr defaultRowHeight="13.2" x14ac:dyDescent="0.25"/>
  <cols>
    <col min="2" max="2" width="5" customWidth="1"/>
    <col min="3" max="7" width="3" bestFit="1" customWidth="1"/>
    <col min="8" max="8" width="2.5546875" customWidth="1"/>
    <col min="9" max="34" width="3" bestFit="1" customWidth="1"/>
  </cols>
  <sheetData>
    <row r="1" spans="1:35" s="21" customFormat="1" ht="22.8" x14ac:dyDescent="0.4">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row>
    <row r="2" spans="1:35" ht="22.8" x14ac:dyDescent="0.4">
      <c r="B2" s="346">
        <v>2015</v>
      </c>
      <c r="C2" s="346"/>
      <c r="D2" s="346"/>
      <c r="E2" s="346"/>
      <c r="F2" s="346"/>
      <c r="G2" s="346"/>
      <c r="H2" s="43"/>
      <c r="I2" s="44"/>
      <c r="J2" s="44"/>
      <c r="K2" s="44"/>
      <c r="L2" s="44"/>
      <c r="M2" s="44"/>
      <c r="N2" s="44"/>
      <c r="O2" s="44"/>
      <c r="P2" s="44"/>
      <c r="Q2" s="44"/>
      <c r="R2" s="44"/>
      <c r="S2" s="44"/>
      <c r="T2" s="44"/>
      <c r="U2" s="44"/>
      <c r="V2" s="44"/>
      <c r="W2" s="44"/>
      <c r="X2" s="44"/>
      <c r="Y2" s="44"/>
      <c r="Z2" s="44"/>
      <c r="AA2" s="44"/>
      <c r="AB2" s="44"/>
      <c r="AC2" s="44"/>
      <c r="AD2" s="44"/>
      <c r="AE2" s="44"/>
      <c r="AF2" s="44"/>
      <c r="AG2" s="44"/>
      <c r="AH2" s="44"/>
    </row>
    <row r="3" spans="1:35" x14ac:dyDescent="0.25">
      <c r="B3" s="45" t="s">
        <v>25</v>
      </c>
    </row>
    <row r="4" spans="1:35" ht="13.8" thickBot="1" x14ac:dyDescent="0.3">
      <c r="AC4" s="76"/>
    </row>
    <row r="5" spans="1:35" ht="13.8" thickBot="1" x14ac:dyDescent="0.3">
      <c r="C5" s="347" t="s">
        <v>26</v>
      </c>
      <c r="D5" s="348"/>
      <c r="E5" s="348"/>
      <c r="F5" s="348"/>
      <c r="G5" s="349"/>
      <c r="H5" s="347" t="s">
        <v>27</v>
      </c>
      <c r="I5" s="348"/>
      <c r="J5" s="348"/>
      <c r="K5" s="348"/>
      <c r="L5" s="349"/>
      <c r="M5" s="347" t="s">
        <v>28</v>
      </c>
      <c r="N5" s="348"/>
      <c r="O5" s="348"/>
      <c r="P5" s="348"/>
      <c r="Q5" s="348"/>
      <c r="R5" s="349"/>
      <c r="S5" s="347" t="s">
        <v>29</v>
      </c>
      <c r="T5" s="348"/>
      <c r="U5" s="348"/>
      <c r="V5" s="348"/>
      <c r="W5" s="348"/>
      <c r="X5" s="347" t="s">
        <v>30</v>
      </c>
      <c r="Y5" s="348"/>
      <c r="Z5" s="348"/>
      <c r="AA5" s="348"/>
      <c r="AB5" s="348"/>
      <c r="AC5" s="347" t="s">
        <v>31</v>
      </c>
      <c r="AD5" s="348"/>
      <c r="AE5" s="348"/>
      <c r="AF5" s="348"/>
      <c r="AG5" s="348"/>
    </row>
    <row r="6" spans="1:35" ht="13.5" customHeight="1" thickBot="1" x14ac:dyDescent="0.3">
      <c r="B6" s="46" t="s">
        <v>32</v>
      </c>
      <c r="C6" s="53">
        <v>1</v>
      </c>
      <c r="D6" s="54">
        <f>C6+1</f>
        <v>2</v>
      </c>
      <c r="E6" s="54">
        <f>D6+1</f>
        <v>3</v>
      </c>
      <c r="F6" s="54">
        <f>E6+1</f>
        <v>4</v>
      </c>
      <c r="G6" s="55">
        <f>F6+1</f>
        <v>5</v>
      </c>
      <c r="H6" s="53">
        <v>5</v>
      </c>
      <c r="I6" s="54">
        <f>H6+1</f>
        <v>6</v>
      </c>
      <c r="J6" s="54">
        <f>I6+1</f>
        <v>7</v>
      </c>
      <c r="K6" s="54">
        <f>J6+1</f>
        <v>8</v>
      </c>
      <c r="L6" s="55">
        <f>K6+1</f>
        <v>9</v>
      </c>
      <c r="M6" s="53">
        <v>9</v>
      </c>
      <c r="N6" s="54">
        <f>M6+1</f>
        <v>10</v>
      </c>
      <c r="O6" s="54">
        <f>N6+1</f>
        <v>11</v>
      </c>
      <c r="P6" s="54">
        <f>O6+1</f>
        <v>12</v>
      </c>
      <c r="Q6" s="54">
        <f>P6+1</f>
        <v>13</v>
      </c>
      <c r="R6" s="55">
        <f>Q6+1</f>
        <v>14</v>
      </c>
      <c r="S6" s="54">
        <v>14</v>
      </c>
      <c r="T6" s="54">
        <f>S6+1</f>
        <v>15</v>
      </c>
      <c r="U6" s="54">
        <f>T6+1</f>
        <v>16</v>
      </c>
      <c r="V6" s="54">
        <f>U6+1</f>
        <v>17</v>
      </c>
      <c r="W6" s="55">
        <f>V6+1</f>
        <v>18</v>
      </c>
      <c r="X6" s="53">
        <v>18</v>
      </c>
      <c r="Y6" s="54">
        <f t="shared" ref="Y6:AG6" si="0">X6+1</f>
        <v>19</v>
      </c>
      <c r="Z6" s="54">
        <f t="shared" si="0"/>
        <v>20</v>
      </c>
      <c r="AA6" s="54">
        <f t="shared" si="0"/>
        <v>21</v>
      </c>
      <c r="AB6" s="55">
        <f t="shared" si="0"/>
        <v>22</v>
      </c>
      <c r="AC6" s="54">
        <f t="shared" si="0"/>
        <v>23</v>
      </c>
      <c r="AD6" s="54">
        <f t="shared" si="0"/>
        <v>24</v>
      </c>
      <c r="AE6" s="54">
        <f t="shared" si="0"/>
        <v>25</v>
      </c>
      <c r="AF6" s="54">
        <f t="shared" si="0"/>
        <v>26</v>
      </c>
      <c r="AG6" s="55">
        <f t="shared" si="0"/>
        <v>27</v>
      </c>
    </row>
    <row r="7" spans="1:35" x14ac:dyDescent="0.25">
      <c r="B7" s="47" t="s">
        <v>33</v>
      </c>
      <c r="C7" s="56"/>
      <c r="D7" s="57">
        <f>C13+1</f>
        <v>5</v>
      </c>
      <c r="E7" s="57">
        <f>D13+1</f>
        <v>12</v>
      </c>
      <c r="F7" s="57">
        <f>E13+1</f>
        <v>19</v>
      </c>
      <c r="G7" s="58">
        <f>F13+1</f>
        <v>26</v>
      </c>
      <c r="H7" s="56"/>
      <c r="I7" s="57">
        <f>H13+1</f>
        <v>2</v>
      </c>
      <c r="J7" s="57">
        <f>I13+1</f>
        <v>9</v>
      </c>
      <c r="K7" s="57">
        <f>J13+1</f>
        <v>16</v>
      </c>
      <c r="L7" s="57">
        <f>K13+1</f>
        <v>23</v>
      </c>
      <c r="M7" s="56"/>
      <c r="N7" s="57">
        <f>M13+1</f>
        <v>2</v>
      </c>
      <c r="O7" s="57">
        <f>N13+1</f>
        <v>9</v>
      </c>
      <c r="P7" s="57">
        <f>O13+1</f>
        <v>16</v>
      </c>
      <c r="Q7" s="57">
        <f>P13+1</f>
        <v>23</v>
      </c>
      <c r="R7" s="58">
        <f>Q13+1</f>
        <v>30</v>
      </c>
      <c r="S7" s="57"/>
      <c r="T7" s="57">
        <f>S13+1</f>
        <v>6</v>
      </c>
      <c r="U7" s="57">
        <f>T13+1</f>
        <v>13</v>
      </c>
      <c r="V7" s="57">
        <f>U13+1</f>
        <v>20</v>
      </c>
      <c r="W7" s="58">
        <f>V13+1</f>
        <v>27</v>
      </c>
      <c r="X7" s="73"/>
      <c r="Y7" s="74">
        <f>X13+1</f>
        <v>4</v>
      </c>
      <c r="Z7" s="74">
        <f>Y13+1</f>
        <v>11</v>
      </c>
      <c r="AA7" s="74">
        <f>Z13+1</f>
        <v>18</v>
      </c>
      <c r="AB7" s="75">
        <f>AA13+1</f>
        <v>25</v>
      </c>
      <c r="AC7" s="57">
        <v>1</v>
      </c>
      <c r="AD7" s="57">
        <f>AC13+1</f>
        <v>8</v>
      </c>
      <c r="AE7" s="57">
        <f>AD13+1</f>
        <v>15</v>
      </c>
      <c r="AF7" s="57">
        <f>AE13+1</f>
        <v>22</v>
      </c>
      <c r="AG7" s="58">
        <f>AF13+1</f>
        <v>29</v>
      </c>
    </row>
    <row r="8" spans="1:35" x14ac:dyDescent="0.25">
      <c r="B8" s="48" t="s">
        <v>34</v>
      </c>
      <c r="C8" s="56"/>
      <c r="D8" s="57">
        <f t="shared" ref="D8:G11" si="1">D7+1</f>
        <v>6</v>
      </c>
      <c r="E8" s="57">
        <f t="shared" si="1"/>
        <v>13</v>
      </c>
      <c r="F8" s="57">
        <f t="shared" si="1"/>
        <v>20</v>
      </c>
      <c r="G8" s="58">
        <f t="shared" si="1"/>
        <v>27</v>
      </c>
      <c r="H8" s="56"/>
      <c r="I8" s="57">
        <f t="shared" ref="I8:L11" si="2">I7+1</f>
        <v>3</v>
      </c>
      <c r="J8" s="57">
        <f t="shared" si="2"/>
        <v>10</v>
      </c>
      <c r="K8" s="57">
        <f t="shared" si="2"/>
        <v>17</v>
      </c>
      <c r="L8" s="58">
        <f t="shared" si="2"/>
        <v>24</v>
      </c>
      <c r="M8" s="56"/>
      <c r="N8" s="57">
        <f t="shared" ref="N8:Q13" si="3">N7+1</f>
        <v>3</v>
      </c>
      <c r="O8" s="57">
        <f t="shared" si="3"/>
        <v>10</v>
      </c>
      <c r="P8" s="57">
        <f t="shared" si="3"/>
        <v>17</v>
      </c>
      <c r="Q8" s="57">
        <f t="shared" si="3"/>
        <v>24</v>
      </c>
      <c r="R8" s="58">
        <v>31</v>
      </c>
      <c r="S8" s="57"/>
      <c r="T8" s="57">
        <f t="shared" ref="T8:W9" si="4">T7+1</f>
        <v>7</v>
      </c>
      <c r="U8" s="57">
        <f t="shared" si="4"/>
        <v>14</v>
      </c>
      <c r="V8" s="57">
        <f t="shared" si="4"/>
        <v>21</v>
      </c>
      <c r="W8" s="58">
        <f t="shared" si="4"/>
        <v>28</v>
      </c>
      <c r="X8" s="56"/>
      <c r="Y8" s="57">
        <f t="shared" ref="Y8:AF12" si="5">Y7+1</f>
        <v>5</v>
      </c>
      <c r="Z8" s="57">
        <f t="shared" si="5"/>
        <v>12</v>
      </c>
      <c r="AA8" s="57">
        <f t="shared" si="5"/>
        <v>19</v>
      </c>
      <c r="AB8" s="58">
        <f t="shared" si="5"/>
        <v>26</v>
      </c>
      <c r="AC8" s="57">
        <f t="shared" si="5"/>
        <v>2</v>
      </c>
      <c r="AD8" s="57">
        <f t="shared" si="5"/>
        <v>9</v>
      </c>
      <c r="AE8" s="57">
        <f t="shared" si="5"/>
        <v>16</v>
      </c>
      <c r="AF8" s="57">
        <f t="shared" si="5"/>
        <v>23</v>
      </c>
      <c r="AG8" s="58">
        <v>30</v>
      </c>
    </row>
    <row r="9" spans="1:35" x14ac:dyDescent="0.25">
      <c r="B9" s="48" t="s">
        <v>35</v>
      </c>
      <c r="C9" s="60"/>
      <c r="D9" s="57">
        <f t="shared" si="1"/>
        <v>7</v>
      </c>
      <c r="E9" s="57">
        <f t="shared" si="1"/>
        <v>14</v>
      </c>
      <c r="F9" s="57">
        <f t="shared" si="1"/>
        <v>21</v>
      </c>
      <c r="G9" s="58">
        <f t="shared" si="1"/>
        <v>28</v>
      </c>
      <c r="H9" s="56"/>
      <c r="I9" s="57">
        <f t="shared" si="2"/>
        <v>4</v>
      </c>
      <c r="J9" s="57">
        <f t="shared" si="2"/>
        <v>11</v>
      </c>
      <c r="K9" s="57">
        <f t="shared" si="2"/>
        <v>18</v>
      </c>
      <c r="L9" s="58">
        <f t="shared" si="2"/>
        <v>25</v>
      </c>
      <c r="M9" s="56"/>
      <c r="N9" s="57">
        <f t="shared" si="3"/>
        <v>4</v>
      </c>
      <c r="O9" s="57">
        <f t="shared" si="3"/>
        <v>11</v>
      </c>
      <c r="P9" s="57">
        <f t="shared" si="3"/>
        <v>18</v>
      </c>
      <c r="Q9" s="57">
        <f t="shared" si="3"/>
        <v>25</v>
      </c>
      <c r="R9" s="58"/>
      <c r="S9" s="57">
        <f>S8+1</f>
        <v>1</v>
      </c>
      <c r="T9" s="57">
        <f t="shared" si="4"/>
        <v>8</v>
      </c>
      <c r="U9" s="57">
        <f t="shared" si="4"/>
        <v>15</v>
      </c>
      <c r="V9" s="57">
        <f t="shared" si="4"/>
        <v>22</v>
      </c>
      <c r="W9" s="58">
        <f t="shared" si="4"/>
        <v>29</v>
      </c>
      <c r="X9" s="56"/>
      <c r="Y9" s="57">
        <f t="shared" si="5"/>
        <v>6</v>
      </c>
      <c r="Z9" s="57">
        <f t="shared" si="5"/>
        <v>13</v>
      </c>
      <c r="AA9" s="57">
        <f t="shared" si="5"/>
        <v>20</v>
      </c>
      <c r="AB9" s="58">
        <f t="shared" si="5"/>
        <v>27</v>
      </c>
      <c r="AC9" s="57">
        <f t="shared" si="5"/>
        <v>3</v>
      </c>
      <c r="AD9" s="57">
        <f t="shared" si="5"/>
        <v>10</v>
      </c>
      <c r="AE9" s="57">
        <f t="shared" si="5"/>
        <v>17</v>
      </c>
      <c r="AF9" s="57">
        <f t="shared" si="5"/>
        <v>24</v>
      </c>
      <c r="AG9" s="58"/>
    </row>
    <row r="10" spans="1:35" x14ac:dyDescent="0.25">
      <c r="B10" s="48" t="s">
        <v>36</v>
      </c>
      <c r="C10" s="60">
        <f>C9+1</f>
        <v>1</v>
      </c>
      <c r="D10" s="57">
        <f t="shared" si="1"/>
        <v>8</v>
      </c>
      <c r="E10" s="57">
        <f t="shared" si="1"/>
        <v>15</v>
      </c>
      <c r="F10" s="57">
        <f t="shared" si="1"/>
        <v>22</v>
      </c>
      <c r="G10" s="58">
        <f t="shared" si="1"/>
        <v>29</v>
      </c>
      <c r="H10" s="56"/>
      <c r="I10" s="57">
        <f t="shared" si="2"/>
        <v>5</v>
      </c>
      <c r="J10" s="57">
        <f t="shared" si="2"/>
        <v>12</v>
      </c>
      <c r="K10" s="57">
        <f t="shared" si="2"/>
        <v>19</v>
      </c>
      <c r="L10" s="58">
        <f t="shared" si="2"/>
        <v>26</v>
      </c>
      <c r="M10" s="56"/>
      <c r="N10" s="57">
        <f t="shared" si="3"/>
        <v>5</v>
      </c>
      <c r="O10" s="57">
        <f t="shared" si="3"/>
        <v>12</v>
      </c>
      <c r="P10" s="57">
        <f t="shared" si="3"/>
        <v>19</v>
      </c>
      <c r="Q10" s="57">
        <f t="shared" si="3"/>
        <v>26</v>
      </c>
      <c r="R10" s="58"/>
      <c r="S10" s="57">
        <f>S9+1</f>
        <v>2</v>
      </c>
      <c r="T10" s="57">
        <f t="shared" ref="T10:V13" si="6">T9+1</f>
        <v>9</v>
      </c>
      <c r="U10" s="57">
        <f t="shared" si="6"/>
        <v>16</v>
      </c>
      <c r="V10" s="57">
        <f t="shared" si="6"/>
        <v>23</v>
      </c>
      <c r="W10" s="58">
        <v>30</v>
      </c>
      <c r="X10" s="56"/>
      <c r="Y10" s="57">
        <f t="shared" si="5"/>
        <v>7</v>
      </c>
      <c r="Z10" s="57">
        <f t="shared" si="5"/>
        <v>14</v>
      </c>
      <c r="AA10" s="57">
        <f t="shared" si="5"/>
        <v>21</v>
      </c>
      <c r="AB10" s="58">
        <f t="shared" si="5"/>
        <v>28</v>
      </c>
      <c r="AC10" s="57">
        <f t="shared" si="5"/>
        <v>4</v>
      </c>
      <c r="AD10" s="57">
        <f t="shared" si="5"/>
        <v>11</v>
      </c>
      <c r="AE10" s="57">
        <f t="shared" si="5"/>
        <v>18</v>
      </c>
      <c r="AF10" s="57">
        <f t="shared" si="5"/>
        <v>25</v>
      </c>
      <c r="AG10" s="58"/>
    </row>
    <row r="11" spans="1:35" x14ac:dyDescent="0.25">
      <c r="B11" s="48" t="s">
        <v>37</v>
      </c>
      <c r="C11" s="60">
        <f>C10+1</f>
        <v>2</v>
      </c>
      <c r="D11" s="57">
        <f t="shared" si="1"/>
        <v>9</v>
      </c>
      <c r="E11" s="57">
        <f t="shared" si="1"/>
        <v>16</v>
      </c>
      <c r="F11" s="57">
        <f t="shared" si="1"/>
        <v>23</v>
      </c>
      <c r="G11" s="58">
        <f t="shared" si="1"/>
        <v>30</v>
      </c>
      <c r="H11" s="56"/>
      <c r="I11" s="57">
        <f t="shared" si="2"/>
        <v>6</v>
      </c>
      <c r="J11" s="57">
        <f t="shared" si="2"/>
        <v>13</v>
      </c>
      <c r="K11" s="57">
        <f t="shared" si="2"/>
        <v>20</v>
      </c>
      <c r="L11" s="58">
        <f t="shared" si="2"/>
        <v>27</v>
      </c>
      <c r="M11" s="56"/>
      <c r="N11" s="57">
        <f t="shared" si="3"/>
        <v>6</v>
      </c>
      <c r="O11" s="57">
        <f t="shared" si="3"/>
        <v>13</v>
      </c>
      <c r="P11" s="57">
        <f t="shared" si="3"/>
        <v>20</v>
      </c>
      <c r="Q11" s="57">
        <f t="shared" si="3"/>
        <v>27</v>
      </c>
      <c r="R11" s="58"/>
      <c r="S11" s="57">
        <f>S10+1</f>
        <v>3</v>
      </c>
      <c r="T11" s="57">
        <f t="shared" si="6"/>
        <v>10</v>
      </c>
      <c r="U11" s="57">
        <f t="shared" si="6"/>
        <v>17</v>
      </c>
      <c r="V11" s="57">
        <f t="shared" si="6"/>
        <v>24</v>
      </c>
      <c r="W11" s="58"/>
      <c r="X11" s="56">
        <f>X10+1</f>
        <v>1</v>
      </c>
      <c r="Y11" s="57">
        <f t="shared" si="5"/>
        <v>8</v>
      </c>
      <c r="Z11" s="57">
        <f t="shared" si="5"/>
        <v>15</v>
      </c>
      <c r="AA11" s="57">
        <f t="shared" si="5"/>
        <v>22</v>
      </c>
      <c r="AB11" s="58">
        <f t="shared" si="5"/>
        <v>29</v>
      </c>
      <c r="AC11" s="57">
        <f t="shared" si="5"/>
        <v>5</v>
      </c>
      <c r="AD11" s="57">
        <f t="shared" si="5"/>
        <v>12</v>
      </c>
      <c r="AE11" s="57">
        <f t="shared" si="5"/>
        <v>19</v>
      </c>
      <c r="AF11" s="57">
        <f t="shared" si="5"/>
        <v>26</v>
      </c>
      <c r="AG11" s="58"/>
    </row>
    <row r="12" spans="1:35" x14ac:dyDescent="0.25">
      <c r="B12" s="49" t="s">
        <v>38</v>
      </c>
      <c r="C12" s="61">
        <f>C11+1</f>
        <v>3</v>
      </c>
      <c r="D12" s="62">
        <f t="shared" ref="D12:F13" si="7">D11+1</f>
        <v>10</v>
      </c>
      <c r="E12" s="62">
        <f t="shared" si="7"/>
        <v>17</v>
      </c>
      <c r="F12" s="62">
        <f t="shared" si="7"/>
        <v>24</v>
      </c>
      <c r="G12" s="63">
        <v>31</v>
      </c>
      <c r="H12" s="61"/>
      <c r="I12" s="62">
        <f t="shared" ref="I12:K13" si="8">I11+1</f>
        <v>7</v>
      </c>
      <c r="J12" s="62">
        <f t="shared" si="8"/>
        <v>14</v>
      </c>
      <c r="K12" s="62">
        <f t="shared" si="8"/>
        <v>21</v>
      </c>
      <c r="L12" s="63">
        <v>28</v>
      </c>
      <c r="M12" s="61"/>
      <c r="N12" s="62">
        <f t="shared" si="3"/>
        <v>7</v>
      </c>
      <c r="O12" s="62">
        <f t="shared" si="3"/>
        <v>14</v>
      </c>
      <c r="P12" s="62">
        <f t="shared" si="3"/>
        <v>21</v>
      </c>
      <c r="Q12" s="62">
        <f t="shared" si="3"/>
        <v>28</v>
      </c>
      <c r="R12" s="63"/>
      <c r="S12" s="62">
        <f>S11+1</f>
        <v>4</v>
      </c>
      <c r="T12" s="62">
        <f t="shared" si="6"/>
        <v>11</v>
      </c>
      <c r="U12" s="62">
        <f t="shared" si="6"/>
        <v>18</v>
      </c>
      <c r="V12" s="62">
        <f t="shared" si="6"/>
        <v>25</v>
      </c>
      <c r="W12" s="63"/>
      <c r="X12" s="61">
        <f>X11+1</f>
        <v>2</v>
      </c>
      <c r="Y12" s="62">
        <f t="shared" si="5"/>
        <v>9</v>
      </c>
      <c r="Z12" s="62">
        <f t="shared" si="5"/>
        <v>16</v>
      </c>
      <c r="AA12" s="62">
        <f t="shared" si="5"/>
        <v>23</v>
      </c>
      <c r="AB12" s="63">
        <f t="shared" si="5"/>
        <v>30</v>
      </c>
      <c r="AC12" s="62">
        <f t="shared" si="5"/>
        <v>6</v>
      </c>
      <c r="AD12" s="62">
        <f t="shared" si="5"/>
        <v>13</v>
      </c>
      <c r="AE12" s="62">
        <f t="shared" si="5"/>
        <v>20</v>
      </c>
      <c r="AF12" s="62">
        <f t="shared" si="5"/>
        <v>27</v>
      </c>
      <c r="AG12" s="58"/>
    </row>
    <row r="13" spans="1:35" ht="13.8" thickBot="1" x14ac:dyDescent="0.3">
      <c r="B13" s="50" t="s">
        <v>39</v>
      </c>
      <c r="C13" s="64">
        <f>C12+1</f>
        <v>4</v>
      </c>
      <c r="D13" s="65">
        <f t="shared" si="7"/>
        <v>11</v>
      </c>
      <c r="E13" s="65">
        <f t="shared" si="7"/>
        <v>18</v>
      </c>
      <c r="F13" s="65">
        <f t="shared" si="7"/>
        <v>25</v>
      </c>
      <c r="G13" s="66"/>
      <c r="H13" s="64">
        <f>H12+1</f>
        <v>1</v>
      </c>
      <c r="I13" s="65">
        <f t="shared" si="8"/>
        <v>8</v>
      </c>
      <c r="J13" s="65">
        <f t="shared" si="8"/>
        <v>15</v>
      </c>
      <c r="K13" s="65">
        <f t="shared" si="8"/>
        <v>22</v>
      </c>
      <c r="L13" s="66"/>
      <c r="M13" s="64">
        <f>M12+1</f>
        <v>1</v>
      </c>
      <c r="N13" s="65">
        <f t="shared" si="3"/>
        <v>8</v>
      </c>
      <c r="O13" s="65">
        <f t="shared" si="3"/>
        <v>15</v>
      </c>
      <c r="P13" s="65">
        <f t="shared" si="3"/>
        <v>22</v>
      </c>
      <c r="Q13" s="65">
        <f t="shared" si="3"/>
        <v>29</v>
      </c>
      <c r="R13" s="66"/>
      <c r="S13" s="65">
        <f>S12+1</f>
        <v>5</v>
      </c>
      <c r="T13" s="65">
        <f t="shared" si="6"/>
        <v>12</v>
      </c>
      <c r="U13" s="65">
        <f t="shared" si="6"/>
        <v>19</v>
      </c>
      <c r="V13" s="65">
        <f t="shared" si="6"/>
        <v>26</v>
      </c>
      <c r="W13" s="66"/>
      <c r="X13" s="64">
        <f>X12+1</f>
        <v>3</v>
      </c>
      <c r="Y13" s="65">
        <f>Y12+1</f>
        <v>10</v>
      </c>
      <c r="Z13" s="65">
        <f>Z12+1</f>
        <v>17</v>
      </c>
      <c r="AA13" s="65">
        <f>AA12+1</f>
        <v>24</v>
      </c>
      <c r="AB13" s="66">
        <v>31</v>
      </c>
      <c r="AC13" s="65">
        <f>AC12+1</f>
        <v>7</v>
      </c>
      <c r="AD13" s="65">
        <f>AD12+1</f>
        <v>14</v>
      </c>
      <c r="AE13" s="65">
        <f>AE12+1</f>
        <v>21</v>
      </c>
      <c r="AF13" s="65">
        <f>AF12+1</f>
        <v>28</v>
      </c>
      <c r="AG13" s="86"/>
    </row>
    <row r="14" spans="1:35" s="71" customFormat="1" ht="13.8" thickBot="1" x14ac:dyDescent="0.3"/>
    <row r="15" spans="1:35" ht="13.8" thickBot="1" x14ac:dyDescent="0.3">
      <c r="C15" s="347" t="s">
        <v>40</v>
      </c>
      <c r="D15" s="348"/>
      <c r="E15" s="348"/>
      <c r="F15" s="348"/>
      <c r="G15" s="348"/>
      <c r="H15" s="352" t="s">
        <v>41</v>
      </c>
      <c r="I15" s="353"/>
      <c r="J15" s="353"/>
      <c r="K15" s="353"/>
      <c r="L15" s="353"/>
      <c r="M15" s="354"/>
      <c r="N15" s="347" t="s">
        <v>42</v>
      </c>
      <c r="O15" s="350"/>
      <c r="P15" s="350"/>
      <c r="Q15" s="350"/>
      <c r="R15" s="351"/>
      <c r="S15" s="347" t="s">
        <v>43</v>
      </c>
      <c r="T15" s="350"/>
      <c r="U15" s="350"/>
      <c r="V15" s="350"/>
      <c r="W15" s="351"/>
      <c r="X15" s="347" t="s">
        <v>44</v>
      </c>
      <c r="Y15" s="350"/>
      <c r="Z15" s="350"/>
      <c r="AA15" s="350"/>
      <c r="AB15" s="350"/>
      <c r="AC15" s="351"/>
      <c r="AD15" s="347" t="s">
        <v>45</v>
      </c>
      <c r="AE15" s="350"/>
      <c r="AF15" s="350"/>
      <c r="AG15" s="350"/>
      <c r="AH15" s="350"/>
    </row>
    <row r="16" spans="1:35" ht="13.8" thickBot="1" x14ac:dyDescent="0.3">
      <c r="B16" s="46" t="s">
        <v>32</v>
      </c>
      <c r="C16" s="53">
        <v>27</v>
      </c>
      <c r="D16" s="54">
        <f>C16+1</f>
        <v>28</v>
      </c>
      <c r="E16" s="54">
        <f>D16+1</f>
        <v>29</v>
      </c>
      <c r="F16" s="54">
        <f>E16+1</f>
        <v>30</v>
      </c>
      <c r="G16" s="55">
        <f>F16+1</f>
        <v>31</v>
      </c>
      <c r="H16" s="53">
        <v>31</v>
      </c>
      <c r="I16" s="54">
        <f>H16+1</f>
        <v>32</v>
      </c>
      <c r="J16" s="54">
        <f>I16+1</f>
        <v>33</v>
      </c>
      <c r="K16" s="54">
        <f>J16+1</f>
        <v>34</v>
      </c>
      <c r="L16" s="54">
        <f>K16+1</f>
        <v>35</v>
      </c>
      <c r="M16" s="55">
        <f>L16+1</f>
        <v>36</v>
      </c>
      <c r="N16" s="54">
        <v>36</v>
      </c>
      <c r="O16" s="54">
        <f>N16+1</f>
        <v>37</v>
      </c>
      <c r="P16" s="54">
        <f>O16+1</f>
        <v>38</v>
      </c>
      <c r="Q16" s="54">
        <f>P16+1</f>
        <v>39</v>
      </c>
      <c r="R16" s="55">
        <f>Q16+1</f>
        <v>40</v>
      </c>
      <c r="S16" s="54">
        <v>40</v>
      </c>
      <c r="T16" s="54">
        <f>S16+1</f>
        <v>41</v>
      </c>
      <c r="U16" s="54">
        <f>T16+1</f>
        <v>42</v>
      </c>
      <c r="V16" s="54">
        <f>U16+1</f>
        <v>43</v>
      </c>
      <c r="W16" s="55">
        <f>V16+1</f>
        <v>44</v>
      </c>
      <c r="X16" s="53">
        <v>44</v>
      </c>
      <c r="Y16" s="54">
        <f>X16+1</f>
        <v>45</v>
      </c>
      <c r="Z16" s="54">
        <f>Y16+1</f>
        <v>46</v>
      </c>
      <c r="AA16" s="54">
        <f>Z16+1</f>
        <v>47</v>
      </c>
      <c r="AB16" s="54">
        <f>AA16+1</f>
        <v>48</v>
      </c>
      <c r="AC16" s="55">
        <f>AB16+1</f>
        <v>49</v>
      </c>
      <c r="AD16" s="54">
        <v>49</v>
      </c>
      <c r="AE16" s="54">
        <f>AD16+1</f>
        <v>50</v>
      </c>
      <c r="AF16" s="54">
        <f>AE16+1</f>
        <v>51</v>
      </c>
      <c r="AG16" s="54">
        <f>AF16+1</f>
        <v>52</v>
      </c>
      <c r="AH16" s="55">
        <v>1</v>
      </c>
    </row>
    <row r="17" spans="2:34" x14ac:dyDescent="0.25">
      <c r="B17" s="47" t="s">
        <v>33</v>
      </c>
      <c r="C17" s="56"/>
      <c r="D17" s="57">
        <f>C23+1</f>
        <v>6</v>
      </c>
      <c r="E17" s="57">
        <f>D23+1</f>
        <v>13</v>
      </c>
      <c r="F17" s="57">
        <f>E23+1</f>
        <v>20</v>
      </c>
      <c r="G17" s="67">
        <f>F23+1</f>
        <v>27</v>
      </c>
      <c r="H17" s="56"/>
      <c r="I17" s="57">
        <f>H23+1</f>
        <v>3</v>
      </c>
      <c r="J17" s="57">
        <f>I23+1</f>
        <v>10</v>
      </c>
      <c r="K17" s="57">
        <f>J23+1</f>
        <v>17</v>
      </c>
      <c r="L17" s="57">
        <f>K23+1</f>
        <v>24</v>
      </c>
      <c r="M17" s="58">
        <f>L23+1</f>
        <v>31</v>
      </c>
      <c r="N17" s="60"/>
      <c r="O17" s="59">
        <f>N23+1</f>
        <v>7</v>
      </c>
      <c r="P17" s="57">
        <f>O23+1</f>
        <v>14</v>
      </c>
      <c r="Q17" s="57">
        <f>P23+1</f>
        <v>21</v>
      </c>
      <c r="R17" s="58">
        <f>Q23+1</f>
        <v>28</v>
      </c>
      <c r="S17" s="57"/>
      <c r="T17" s="57">
        <f>S23+1</f>
        <v>5</v>
      </c>
      <c r="U17" s="57">
        <f>T23+1</f>
        <v>12</v>
      </c>
      <c r="V17" s="57">
        <f>U23+1</f>
        <v>19</v>
      </c>
      <c r="W17" s="58">
        <f>V23+1</f>
        <v>26</v>
      </c>
      <c r="X17" s="73"/>
      <c r="Y17" s="74">
        <f>X23+1</f>
        <v>2</v>
      </c>
      <c r="Z17" s="74">
        <f>Y23+1</f>
        <v>9</v>
      </c>
      <c r="AA17" s="74">
        <f>Z23+1</f>
        <v>16</v>
      </c>
      <c r="AB17" s="74">
        <f>AA23+1</f>
        <v>23</v>
      </c>
      <c r="AC17" s="67">
        <f>AB23+1</f>
        <v>30</v>
      </c>
      <c r="AD17" s="57"/>
      <c r="AE17" s="57">
        <f>AD23+1</f>
        <v>7</v>
      </c>
      <c r="AF17" s="57">
        <f>AE23+1</f>
        <v>14</v>
      </c>
      <c r="AG17" s="57">
        <f>AF23+1</f>
        <v>21</v>
      </c>
      <c r="AH17" s="58">
        <f>AG23+1</f>
        <v>28</v>
      </c>
    </row>
    <row r="18" spans="2:34" x14ac:dyDescent="0.25">
      <c r="B18" s="48" t="s">
        <v>34</v>
      </c>
      <c r="C18" s="57"/>
      <c r="D18" s="57">
        <f t="shared" ref="D18:G20" si="9">D17+1</f>
        <v>7</v>
      </c>
      <c r="E18" s="57">
        <f t="shared" si="9"/>
        <v>14</v>
      </c>
      <c r="F18" s="57">
        <f t="shared" si="9"/>
        <v>21</v>
      </c>
      <c r="G18" s="58">
        <f t="shared" si="9"/>
        <v>28</v>
      </c>
      <c r="H18" s="56"/>
      <c r="I18" s="57">
        <f t="shared" ref="I18:L23" si="10">I17+1</f>
        <v>4</v>
      </c>
      <c r="J18" s="57">
        <f t="shared" si="10"/>
        <v>11</v>
      </c>
      <c r="K18" s="57">
        <f t="shared" si="10"/>
        <v>18</v>
      </c>
      <c r="L18" s="57">
        <f t="shared" si="10"/>
        <v>25</v>
      </c>
      <c r="M18" s="87"/>
      <c r="N18" s="56">
        <f>N17+1</f>
        <v>1</v>
      </c>
      <c r="O18" s="57">
        <f>O17+1</f>
        <v>8</v>
      </c>
      <c r="P18" s="57">
        <f>P17+1</f>
        <v>15</v>
      </c>
      <c r="Q18" s="57">
        <f>Q17+1</f>
        <v>22</v>
      </c>
      <c r="R18" s="58">
        <f>R17+1</f>
        <v>29</v>
      </c>
      <c r="S18" s="57"/>
      <c r="T18" s="57">
        <f t="shared" ref="T18:W21" si="11">T17+1</f>
        <v>6</v>
      </c>
      <c r="U18" s="57">
        <f t="shared" si="11"/>
        <v>13</v>
      </c>
      <c r="V18" s="57">
        <f t="shared" si="11"/>
        <v>20</v>
      </c>
      <c r="W18" s="58">
        <f t="shared" si="11"/>
        <v>27</v>
      </c>
      <c r="X18" s="56"/>
      <c r="Y18" s="57">
        <f t="shared" ref="Y18:AB23" si="12">Y17+1</f>
        <v>3</v>
      </c>
      <c r="Z18" s="57">
        <f t="shared" si="12"/>
        <v>10</v>
      </c>
      <c r="AA18" s="57">
        <f t="shared" si="12"/>
        <v>17</v>
      </c>
      <c r="AB18" s="57">
        <f t="shared" si="12"/>
        <v>24</v>
      </c>
      <c r="AC18" s="58"/>
      <c r="AD18" s="57">
        <f t="shared" ref="AD18:AH19" si="13">AD17+1</f>
        <v>1</v>
      </c>
      <c r="AE18" s="57">
        <f t="shared" si="13"/>
        <v>8</v>
      </c>
      <c r="AF18" s="57">
        <f t="shared" si="13"/>
        <v>15</v>
      </c>
      <c r="AG18" s="57">
        <f t="shared" si="13"/>
        <v>22</v>
      </c>
      <c r="AH18" s="58">
        <f t="shared" si="13"/>
        <v>29</v>
      </c>
    </row>
    <row r="19" spans="2:34" x14ac:dyDescent="0.25">
      <c r="B19" s="48" t="s">
        <v>35</v>
      </c>
      <c r="C19" s="57">
        <f>C18+1</f>
        <v>1</v>
      </c>
      <c r="D19" s="57">
        <f t="shared" si="9"/>
        <v>8</v>
      </c>
      <c r="E19" s="57">
        <f t="shared" si="9"/>
        <v>15</v>
      </c>
      <c r="F19" s="57">
        <f t="shared" si="9"/>
        <v>22</v>
      </c>
      <c r="G19" s="58">
        <f t="shared" si="9"/>
        <v>29</v>
      </c>
      <c r="H19" s="56"/>
      <c r="I19" s="57">
        <f t="shared" si="10"/>
        <v>5</v>
      </c>
      <c r="J19" s="57">
        <f t="shared" si="10"/>
        <v>12</v>
      </c>
      <c r="K19" s="57">
        <f t="shared" si="10"/>
        <v>19</v>
      </c>
      <c r="L19" s="57">
        <f t="shared" si="10"/>
        <v>26</v>
      </c>
      <c r="M19" s="87"/>
      <c r="N19" s="56">
        <f t="shared" ref="N19:Q23" si="14">N18+1</f>
        <v>2</v>
      </c>
      <c r="O19" s="57">
        <f t="shared" si="14"/>
        <v>9</v>
      </c>
      <c r="P19" s="57">
        <f t="shared" si="14"/>
        <v>16</v>
      </c>
      <c r="Q19" s="57">
        <f t="shared" si="14"/>
        <v>23</v>
      </c>
      <c r="R19" s="58">
        <v>30</v>
      </c>
      <c r="S19" s="57"/>
      <c r="T19" s="57">
        <f t="shared" si="11"/>
        <v>7</v>
      </c>
      <c r="U19" s="57">
        <f t="shared" si="11"/>
        <v>14</v>
      </c>
      <c r="V19" s="57">
        <f t="shared" si="11"/>
        <v>21</v>
      </c>
      <c r="W19" s="58">
        <f t="shared" si="11"/>
        <v>28</v>
      </c>
      <c r="X19" s="56"/>
      <c r="Y19" s="57">
        <f t="shared" si="12"/>
        <v>4</v>
      </c>
      <c r="Z19" s="57">
        <f t="shared" si="12"/>
        <v>11</v>
      </c>
      <c r="AA19" s="57">
        <f t="shared" si="12"/>
        <v>18</v>
      </c>
      <c r="AB19" s="57">
        <f t="shared" si="12"/>
        <v>25</v>
      </c>
      <c r="AC19" s="58"/>
      <c r="AD19" s="57">
        <f t="shared" si="13"/>
        <v>2</v>
      </c>
      <c r="AE19" s="57">
        <f t="shared" si="13"/>
        <v>9</v>
      </c>
      <c r="AF19" s="57">
        <f t="shared" si="13"/>
        <v>16</v>
      </c>
      <c r="AG19" s="68">
        <f t="shared" si="13"/>
        <v>23</v>
      </c>
      <c r="AH19" s="58">
        <f t="shared" si="13"/>
        <v>30</v>
      </c>
    </row>
    <row r="20" spans="2:34" x14ac:dyDescent="0.25">
      <c r="B20" s="48" t="s">
        <v>36</v>
      </c>
      <c r="C20" s="59">
        <f>C19+1</f>
        <v>2</v>
      </c>
      <c r="D20" s="57">
        <f t="shared" si="9"/>
        <v>9</v>
      </c>
      <c r="E20" s="57">
        <f t="shared" si="9"/>
        <v>16</v>
      </c>
      <c r="F20" s="57">
        <f t="shared" si="9"/>
        <v>23</v>
      </c>
      <c r="G20" s="58">
        <f t="shared" si="9"/>
        <v>30</v>
      </c>
      <c r="H20" s="56"/>
      <c r="I20" s="57">
        <f t="shared" si="10"/>
        <v>6</v>
      </c>
      <c r="J20" s="57">
        <f t="shared" si="10"/>
        <v>13</v>
      </c>
      <c r="K20" s="57">
        <f t="shared" si="10"/>
        <v>20</v>
      </c>
      <c r="L20" s="57">
        <f t="shared" si="10"/>
        <v>27</v>
      </c>
      <c r="M20" s="87"/>
      <c r="N20" s="56">
        <f t="shared" si="14"/>
        <v>3</v>
      </c>
      <c r="O20" s="57">
        <f t="shared" si="14"/>
        <v>10</v>
      </c>
      <c r="P20" s="57">
        <f t="shared" si="14"/>
        <v>17</v>
      </c>
      <c r="Q20" s="57">
        <f t="shared" si="14"/>
        <v>24</v>
      </c>
      <c r="R20" s="58"/>
      <c r="S20" s="57">
        <f>S19+1</f>
        <v>1</v>
      </c>
      <c r="T20" s="57">
        <f t="shared" si="11"/>
        <v>8</v>
      </c>
      <c r="U20" s="57">
        <f t="shared" si="11"/>
        <v>15</v>
      </c>
      <c r="V20" s="57">
        <f t="shared" si="11"/>
        <v>22</v>
      </c>
      <c r="W20" s="58">
        <f t="shared" si="11"/>
        <v>29</v>
      </c>
      <c r="X20" s="56"/>
      <c r="Y20" s="57">
        <f t="shared" si="12"/>
        <v>5</v>
      </c>
      <c r="Z20" s="57">
        <f t="shared" si="12"/>
        <v>12</v>
      </c>
      <c r="AA20" s="57">
        <f t="shared" si="12"/>
        <v>19</v>
      </c>
      <c r="AB20" s="59">
        <f t="shared" si="12"/>
        <v>26</v>
      </c>
      <c r="AC20" s="69"/>
      <c r="AD20" s="57">
        <f t="shared" ref="AD20:AG23" si="15">AD19+1</f>
        <v>3</v>
      </c>
      <c r="AE20" s="57">
        <f t="shared" si="15"/>
        <v>10</v>
      </c>
      <c r="AF20" s="57">
        <f t="shared" si="15"/>
        <v>17</v>
      </c>
      <c r="AG20" s="59">
        <f t="shared" si="15"/>
        <v>24</v>
      </c>
      <c r="AH20" s="69">
        <v>31</v>
      </c>
    </row>
    <row r="21" spans="2:34" x14ac:dyDescent="0.25">
      <c r="B21" s="48" t="s">
        <v>37</v>
      </c>
      <c r="C21" s="59">
        <f>C20+1</f>
        <v>3</v>
      </c>
      <c r="D21" s="57">
        <f t="shared" ref="D21:F23" si="16">D20+1</f>
        <v>10</v>
      </c>
      <c r="E21" s="57">
        <f t="shared" si="16"/>
        <v>17</v>
      </c>
      <c r="F21" s="57">
        <f t="shared" si="16"/>
        <v>24</v>
      </c>
      <c r="G21" s="58">
        <v>31</v>
      </c>
      <c r="H21" s="56"/>
      <c r="I21" s="57">
        <f t="shared" si="10"/>
        <v>7</v>
      </c>
      <c r="J21" s="57">
        <f t="shared" si="10"/>
        <v>14</v>
      </c>
      <c r="K21" s="57">
        <f t="shared" si="10"/>
        <v>21</v>
      </c>
      <c r="L21" s="57">
        <f t="shared" si="10"/>
        <v>28</v>
      </c>
      <c r="M21" s="87"/>
      <c r="N21" s="56">
        <f t="shared" si="14"/>
        <v>4</v>
      </c>
      <c r="O21" s="57">
        <f t="shared" si="14"/>
        <v>11</v>
      </c>
      <c r="P21" s="57">
        <f t="shared" si="14"/>
        <v>18</v>
      </c>
      <c r="Q21" s="57">
        <f t="shared" si="14"/>
        <v>25</v>
      </c>
      <c r="R21" s="58"/>
      <c r="S21" s="57">
        <f>S20+1</f>
        <v>2</v>
      </c>
      <c r="T21" s="57">
        <f t="shared" si="11"/>
        <v>9</v>
      </c>
      <c r="U21" s="57">
        <f t="shared" si="11"/>
        <v>16</v>
      </c>
      <c r="V21" s="57">
        <f t="shared" si="11"/>
        <v>23</v>
      </c>
      <c r="W21" s="58">
        <f t="shared" si="11"/>
        <v>30</v>
      </c>
      <c r="X21" s="56"/>
      <c r="Y21" s="57">
        <f t="shared" si="12"/>
        <v>6</v>
      </c>
      <c r="Z21" s="57">
        <f t="shared" si="12"/>
        <v>13</v>
      </c>
      <c r="AA21" s="57">
        <f t="shared" si="12"/>
        <v>20</v>
      </c>
      <c r="AB21" s="59">
        <f t="shared" si="12"/>
        <v>27</v>
      </c>
      <c r="AC21" s="69"/>
      <c r="AD21" s="57">
        <f t="shared" si="15"/>
        <v>4</v>
      </c>
      <c r="AE21" s="57">
        <f t="shared" si="15"/>
        <v>11</v>
      </c>
      <c r="AF21" s="57">
        <f t="shared" si="15"/>
        <v>18</v>
      </c>
      <c r="AG21" s="59">
        <f t="shared" si="15"/>
        <v>25</v>
      </c>
      <c r="AH21" s="58"/>
    </row>
    <row r="22" spans="2:34" x14ac:dyDescent="0.25">
      <c r="B22" s="49" t="s">
        <v>38</v>
      </c>
      <c r="C22" s="61">
        <f>C21+1</f>
        <v>4</v>
      </c>
      <c r="D22" s="62">
        <f t="shared" si="16"/>
        <v>11</v>
      </c>
      <c r="E22" s="62">
        <f t="shared" si="16"/>
        <v>18</v>
      </c>
      <c r="F22" s="62">
        <f t="shared" si="16"/>
        <v>25</v>
      </c>
      <c r="G22" s="63"/>
      <c r="H22" s="61">
        <f>H21+1</f>
        <v>1</v>
      </c>
      <c r="I22" s="62">
        <f t="shared" si="10"/>
        <v>8</v>
      </c>
      <c r="J22" s="62">
        <f t="shared" si="10"/>
        <v>15</v>
      </c>
      <c r="K22" s="62">
        <f t="shared" si="10"/>
        <v>22</v>
      </c>
      <c r="L22" s="62">
        <f t="shared" si="10"/>
        <v>29</v>
      </c>
      <c r="M22" s="87"/>
      <c r="N22" s="61">
        <f t="shared" si="14"/>
        <v>5</v>
      </c>
      <c r="O22" s="62">
        <f t="shared" si="14"/>
        <v>12</v>
      </c>
      <c r="P22" s="62">
        <f t="shared" si="14"/>
        <v>19</v>
      </c>
      <c r="Q22" s="62">
        <f t="shared" si="14"/>
        <v>26</v>
      </c>
      <c r="R22" s="63"/>
      <c r="S22" s="62">
        <f>S21+1</f>
        <v>3</v>
      </c>
      <c r="T22" s="62">
        <f t="shared" ref="T22:V23" si="17">T21+1</f>
        <v>10</v>
      </c>
      <c r="U22" s="62">
        <f t="shared" si="17"/>
        <v>17</v>
      </c>
      <c r="V22" s="62">
        <f t="shared" si="17"/>
        <v>24</v>
      </c>
      <c r="W22" s="63">
        <v>31</v>
      </c>
      <c r="X22" s="61"/>
      <c r="Y22" s="62">
        <f t="shared" si="12"/>
        <v>7</v>
      </c>
      <c r="Z22" s="62">
        <f t="shared" si="12"/>
        <v>14</v>
      </c>
      <c r="AA22" s="62">
        <f t="shared" si="12"/>
        <v>21</v>
      </c>
      <c r="AB22" s="62">
        <f t="shared" si="12"/>
        <v>28</v>
      </c>
      <c r="AC22" s="63"/>
      <c r="AD22" s="62">
        <f t="shared" si="15"/>
        <v>5</v>
      </c>
      <c r="AE22" s="62">
        <f t="shared" si="15"/>
        <v>12</v>
      </c>
      <c r="AF22" s="62">
        <f t="shared" si="15"/>
        <v>19</v>
      </c>
      <c r="AG22" s="62">
        <f t="shared" si="15"/>
        <v>26</v>
      </c>
      <c r="AH22" s="63"/>
    </row>
    <row r="23" spans="2:34" ht="13.8" thickBot="1" x14ac:dyDescent="0.3">
      <c r="B23" s="50" t="s">
        <v>39</v>
      </c>
      <c r="C23" s="64">
        <f>C22+1</f>
        <v>5</v>
      </c>
      <c r="D23" s="65">
        <f t="shared" si="16"/>
        <v>12</v>
      </c>
      <c r="E23" s="65">
        <f t="shared" si="16"/>
        <v>19</v>
      </c>
      <c r="F23" s="65">
        <f t="shared" si="16"/>
        <v>26</v>
      </c>
      <c r="G23" s="66"/>
      <c r="H23" s="64">
        <f>H22+1</f>
        <v>2</v>
      </c>
      <c r="I23" s="65">
        <f t="shared" si="10"/>
        <v>9</v>
      </c>
      <c r="J23" s="65">
        <f t="shared" si="10"/>
        <v>16</v>
      </c>
      <c r="K23" s="65">
        <f t="shared" si="10"/>
        <v>23</v>
      </c>
      <c r="L23" s="65">
        <f t="shared" si="10"/>
        <v>30</v>
      </c>
      <c r="M23" s="88"/>
      <c r="N23" s="64">
        <f t="shared" si="14"/>
        <v>6</v>
      </c>
      <c r="O23" s="65">
        <f t="shared" si="14"/>
        <v>13</v>
      </c>
      <c r="P23" s="65">
        <f t="shared" si="14"/>
        <v>20</v>
      </c>
      <c r="Q23" s="65">
        <f t="shared" si="14"/>
        <v>27</v>
      </c>
      <c r="R23" s="66"/>
      <c r="S23" s="65">
        <f>S22+1</f>
        <v>4</v>
      </c>
      <c r="T23" s="65">
        <f t="shared" si="17"/>
        <v>11</v>
      </c>
      <c r="U23" s="65">
        <f t="shared" si="17"/>
        <v>18</v>
      </c>
      <c r="V23" s="65">
        <f t="shared" si="17"/>
        <v>25</v>
      </c>
      <c r="W23" s="66"/>
      <c r="X23" s="64">
        <f>X22+1</f>
        <v>1</v>
      </c>
      <c r="Y23" s="65">
        <f t="shared" si="12"/>
        <v>8</v>
      </c>
      <c r="Z23" s="65">
        <f t="shared" si="12"/>
        <v>15</v>
      </c>
      <c r="AA23" s="65">
        <f t="shared" si="12"/>
        <v>22</v>
      </c>
      <c r="AB23" s="65">
        <f t="shared" si="12"/>
        <v>29</v>
      </c>
      <c r="AC23" s="66"/>
      <c r="AD23" s="65">
        <f t="shared" si="15"/>
        <v>6</v>
      </c>
      <c r="AE23" s="65">
        <f t="shared" si="15"/>
        <v>13</v>
      </c>
      <c r="AF23" s="65">
        <f t="shared" si="15"/>
        <v>20</v>
      </c>
      <c r="AG23" s="65">
        <f t="shared" si="15"/>
        <v>27</v>
      </c>
      <c r="AH23" s="66"/>
    </row>
    <row r="26" spans="2:34" ht="22.8" x14ac:dyDescent="0.4">
      <c r="B26" s="346">
        <v>2016</v>
      </c>
      <c r="C26" s="346"/>
      <c r="D26" s="346"/>
      <c r="E26" s="346"/>
      <c r="F26" s="346"/>
      <c r="G26" s="346"/>
      <c r="H26" s="43"/>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row>
    <row r="27" spans="2:34" x14ac:dyDescent="0.25">
      <c r="B27" s="45" t="s">
        <v>25</v>
      </c>
    </row>
    <row r="28" spans="2:34" ht="13.8" thickBot="1" x14ac:dyDescent="0.3"/>
    <row r="29" spans="2:34" ht="13.8" thickBot="1" x14ac:dyDescent="0.3">
      <c r="C29" s="347" t="s">
        <v>26</v>
      </c>
      <c r="D29" s="348"/>
      <c r="E29" s="348"/>
      <c r="F29" s="348"/>
      <c r="G29" s="349"/>
      <c r="H29" s="347" t="s">
        <v>27</v>
      </c>
      <c r="I29" s="348"/>
      <c r="J29" s="348"/>
      <c r="K29" s="348"/>
      <c r="L29" s="349"/>
      <c r="M29" s="347" t="s">
        <v>28</v>
      </c>
      <c r="N29" s="348"/>
      <c r="O29" s="348"/>
      <c r="P29" s="348"/>
      <c r="Q29" s="349"/>
      <c r="R29" s="350" t="s">
        <v>29</v>
      </c>
      <c r="S29" s="348"/>
      <c r="T29" s="348"/>
      <c r="U29" s="348"/>
      <c r="V29" s="348"/>
      <c r="W29" s="347" t="s">
        <v>30</v>
      </c>
      <c r="X29" s="348"/>
      <c r="Y29" s="348"/>
      <c r="Z29" s="348"/>
      <c r="AA29" s="348"/>
      <c r="AB29" s="349"/>
      <c r="AC29" s="347" t="s">
        <v>31</v>
      </c>
      <c r="AD29" s="348"/>
      <c r="AE29" s="348"/>
      <c r="AF29" s="348"/>
      <c r="AG29" s="349"/>
    </row>
    <row r="30" spans="2:34" ht="13.8" thickBot="1" x14ac:dyDescent="0.3">
      <c r="B30" s="46" t="s">
        <v>32</v>
      </c>
      <c r="C30" s="53">
        <v>1</v>
      </c>
      <c r="D30" s="54">
        <f t="shared" ref="D30:L30" si="18">C30+1</f>
        <v>2</v>
      </c>
      <c r="E30" s="54">
        <f t="shared" si="18"/>
        <v>3</v>
      </c>
      <c r="F30" s="54">
        <f t="shared" si="18"/>
        <v>4</v>
      </c>
      <c r="G30" s="55">
        <f t="shared" si="18"/>
        <v>5</v>
      </c>
      <c r="H30" s="53">
        <f t="shared" si="18"/>
        <v>6</v>
      </c>
      <c r="I30" s="54">
        <f t="shared" si="18"/>
        <v>7</v>
      </c>
      <c r="J30" s="54">
        <f t="shared" si="18"/>
        <v>8</v>
      </c>
      <c r="K30" s="54">
        <f t="shared" si="18"/>
        <v>9</v>
      </c>
      <c r="L30" s="55">
        <f t="shared" si="18"/>
        <v>10</v>
      </c>
      <c r="M30" s="53">
        <v>10</v>
      </c>
      <c r="N30" s="54">
        <f>M30+1</f>
        <v>11</v>
      </c>
      <c r="O30" s="54">
        <f>N30+1</f>
        <v>12</v>
      </c>
      <c r="P30" s="54">
        <f>O30+1</f>
        <v>13</v>
      </c>
      <c r="Q30" s="55">
        <f>P30+1</f>
        <v>14</v>
      </c>
      <c r="R30" s="54">
        <v>14</v>
      </c>
      <c r="S30" s="54">
        <f>R30+1</f>
        <v>15</v>
      </c>
      <c r="T30" s="54">
        <f>S30+1</f>
        <v>16</v>
      </c>
      <c r="U30" s="54">
        <f>T30+1</f>
        <v>17</v>
      </c>
      <c r="V30" s="55">
        <f>U30+1</f>
        <v>18</v>
      </c>
      <c r="W30" s="53">
        <v>18</v>
      </c>
      <c r="X30" s="54">
        <f>W30+1</f>
        <v>19</v>
      </c>
      <c r="Y30" s="54">
        <f>X30+1</f>
        <v>20</v>
      </c>
      <c r="Z30" s="54">
        <f>Y30+1</f>
        <v>21</v>
      </c>
      <c r="AA30" s="54">
        <f>Z30+1</f>
        <v>22</v>
      </c>
      <c r="AB30" s="55">
        <f>AA30+1</f>
        <v>23</v>
      </c>
      <c r="AC30" s="83">
        <v>23</v>
      </c>
      <c r="AD30" s="84">
        <f>AC30+1</f>
        <v>24</v>
      </c>
      <c r="AE30" s="84">
        <f>AD30+1</f>
        <v>25</v>
      </c>
      <c r="AF30" s="84">
        <f>AE30+1</f>
        <v>26</v>
      </c>
      <c r="AG30" s="85">
        <f>AF30+1</f>
        <v>27</v>
      </c>
    </row>
    <row r="31" spans="2:34" x14ac:dyDescent="0.25">
      <c r="B31" s="47" t="s">
        <v>33</v>
      </c>
      <c r="C31" s="80"/>
      <c r="D31" s="68">
        <f>C37+1</f>
        <v>4</v>
      </c>
      <c r="E31" s="68">
        <f>D37+1</f>
        <v>11</v>
      </c>
      <c r="F31" s="68">
        <f>E37+1</f>
        <v>18</v>
      </c>
      <c r="G31" s="81">
        <f>F37+1</f>
        <v>25</v>
      </c>
      <c r="H31" s="80">
        <v>1</v>
      </c>
      <c r="I31" s="68">
        <f>H37+1</f>
        <v>8</v>
      </c>
      <c r="J31" s="68">
        <f>I37+1</f>
        <v>15</v>
      </c>
      <c r="K31" s="68">
        <f>J37+1</f>
        <v>22</v>
      </c>
      <c r="L31" s="68">
        <f>K37+1</f>
        <v>29</v>
      </c>
      <c r="M31" s="80"/>
      <c r="N31" s="68">
        <f>M37+1</f>
        <v>7</v>
      </c>
      <c r="O31" s="68">
        <f>N37+1</f>
        <v>14</v>
      </c>
      <c r="P31" s="68">
        <f>O37+1</f>
        <v>21</v>
      </c>
      <c r="Q31" s="81">
        <f>P37+1</f>
        <v>28</v>
      </c>
      <c r="R31" s="68"/>
      <c r="S31" s="68">
        <f>R37+1</f>
        <v>4</v>
      </c>
      <c r="T31" s="68">
        <f>S37+1</f>
        <v>11</v>
      </c>
      <c r="U31" s="68">
        <f>T37+1</f>
        <v>18</v>
      </c>
      <c r="V31" s="81">
        <f>U37+1</f>
        <v>25</v>
      </c>
      <c r="W31" s="80"/>
      <c r="X31" s="68">
        <f>W37+1</f>
        <v>2</v>
      </c>
      <c r="Y31" s="68">
        <f>X37+1</f>
        <v>9</v>
      </c>
      <c r="Z31" s="68">
        <f>Y37+1</f>
        <v>16</v>
      </c>
      <c r="AA31" s="68">
        <f>Z37+1</f>
        <v>23</v>
      </c>
      <c r="AB31" s="81">
        <f>AA37+1</f>
        <v>30</v>
      </c>
      <c r="AC31" s="80"/>
      <c r="AD31" s="68">
        <f>AC37+1</f>
        <v>6</v>
      </c>
      <c r="AE31" s="68">
        <f>AD37+1</f>
        <v>13</v>
      </c>
      <c r="AF31" s="68">
        <f>AE37+1</f>
        <v>20</v>
      </c>
      <c r="AG31" s="81">
        <f>AF37+1</f>
        <v>27</v>
      </c>
    </row>
    <row r="32" spans="2:34" x14ac:dyDescent="0.25">
      <c r="B32" s="48" t="s">
        <v>34</v>
      </c>
      <c r="C32" s="80"/>
      <c r="D32" s="68">
        <f t="shared" ref="D32:K34" si="19">D31+1</f>
        <v>5</v>
      </c>
      <c r="E32" s="68">
        <f t="shared" si="19"/>
        <v>12</v>
      </c>
      <c r="F32" s="68">
        <f t="shared" si="19"/>
        <v>19</v>
      </c>
      <c r="G32" s="81">
        <f t="shared" si="19"/>
        <v>26</v>
      </c>
      <c r="H32" s="80">
        <f t="shared" si="19"/>
        <v>2</v>
      </c>
      <c r="I32" s="68">
        <f t="shared" si="19"/>
        <v>9</v>
      </c>
      <c r="J32" s="68">
        <f t="shared" si="19"/>
        <v>16</v>
      </c>
      <c r="K32" s="68">
        <f t="shared" si="19"/>
        <v>23</v>
      </c>
      <c r="L32" s="81"/>
      <c r="M32" s="80">
        <v>1</v>
      </c>
      <c r="N32" s="68">
        <f t="shared" ref="N32:Q34" si="20">N31+1</f>
        <v>8</v>
      </c>
      <c r="O32" s="68">
        <f t="shared" si="20"/>
        <v>15</v>
      </c>
      <c r="P32" s="68">
        <f t="shared" si="20"/>
        <v>22</v>
      </c>
      <c r="Q32" s="81">
        <f t="shared" si="20"/>
        <v>29</v>
      </c>
      <c r="R32" s="68"/>
      <c r="S32" s="68">
        <f t="shared" ref="S32:V36" si="21">S31+1</f>
        <v>5</v>
      </c>
      <c r="T32" s="68">
        <f t="shared" si="21"/>
        <v>12</v>
      </c>
      <c r="U32" s="68">
        <f t="shared" si="21"/>
        <v>19</v>
      </c>
      <c r="V32" s="81">
        <f t="shared" si="21"/>
        <v>26</v>
      </c>
      <c r="W32" s="80"/>
      <c r="X32" s="68">
        <f>X31+1</f>
        <v>3</v>
      </c>
      <c r="Y32" s="68">
        <f>Y31+1</f>
        <v>10</v>
      </c>
      <c r="Z32" s="68">
        <f>Z31+1</f>
        <v>17</v>
      </c>
      <c r="AA32" s="68">
        <f>AA31+1</f>
        <v>24</v>
      </c>
      <c r="AB32" s="81">
        <f>AB31+1</f>
        <v>31</v>
      </c>
      <c r="AC32" s="80"/>
      <c r="AD32" s="68">
        <f t="shared" ref="AD32:AG34" si="22">AD31+1</f>
        <v>7</v>
      </c>
      <c r="AE32" s="68">
        <f t="shared" si="22"/>
        <v>14</v>
      </c>
      <c r="AF32" s="68">
        <f t="shared" si="22"/>
        <v>21</v>
      </c>
      <c r="AG32" s="81">
        <f t="shared" si="22"/>
        <v>28</v>
      </c>
    </row>
    <row r="33" spans="2:33" x14ac:dyDescent="0.25">
      <c r="B33" s="48" t="s">
        <v>35</v>
      </c>
      <c r="C33" s="80"/>
      <c r="D33" s="68">
        <f t="shared" si="19"/>
        <v>6</v>
      </c>
      <c r="E33" s="68">
        <f t="shared" si="19"/>
        <v>13</v>
      </c>
      <c r="F33" s="68">
        <f t="shared" si="19"/>
        <v>20</v>
      </c>
      <c r="G33" s="81">
        <f t="shared" si="19"/>
        <v>27</v>
      </c>
      <c r="H33" s="80">
        <f t="shared" si="19"/>
        <v>3</v>
      </c>
      <c r="I33" s="68">
        <f t="shared" si="19"/>
        <v>10</v>
      </c>
      <c r="J33" s="68">
        <f t="shared" si="19"/>
        <v>17</v>
      </c>
      <c r="K33" s="68">
        <f t="shared" si="19"/>
        <v>24</v>
      </c>
      <c r="L33" s="81"/>
      <c r="M33" s="80">
        <f>M32+1</f>
        <v>2</v>
      </c>
      <c r="N33" s="68">
        <f t="shared" si="20"/>
        <v>9</v>
      </c>
      <c r="O33" s="68">
        <f t="shared" si="20"/>
        <v>16</v>
      </c>
      <c r="P33" s="68">
        <f t="shared" si="20"/>
        <v>23</v>
      </c>
      <c r="Q33" s="81">
        <f t="shared" si="20"/>
        <v>30</v>
      </c>
      <c r="R33" s="68"/>
      <c r="S33" s="68">
        <f t="shared" si="21"/>
        <v>6</v>
      </c>
      <c r="T33" s="68">
        <f t="shared" si="21"/>
        <v>13</v>
      </c>
      <c r="U33" s="68">
        <f t="shared" si="21"/>
        <v>20</v>
      </c>
      <c r="V33" s="81">
        <f t="shared" si="21"/>
        <v>27</v>
      </c>
      <c r="W33" s="80"/>
      <c r="X33" s="68">
        <f t="shared" ref="X33:AA37" si="23">X32+1</f>
        <v>4</v>
      </c>
      <c r="Y33" s="68">
        <f t="shared" si="23"/>
        <v>11</v>
      </c>
      <c r="Z33" s="68">
        <f t="shared" si="23"/>
        <v>18</v>
      </c>
      <c r="AA33" s="68">
        <f t="shared" si="23"/>
        <v>25</v>
      </c>
      <c r="AB33" s="87"/>
      <c r="AC33" s="80">
        <v>1</v>
      </c>
      <c r="AD33" s="68">
        <f t="shared" si="22"/>
        <v>8</v>
      </c>
      <c r="AE33" s="68">
        <f t="shared" si="22"/>
        <v>15</v>
      </c>
      <c r="AF33" s="68">
        <f t="shared" si="22"/>
        <v>22</v>
      </c>
      <c r="AG33" s="81">
        <f t="shared" si="22"/>
        <v>29</v>
      </c>
    </row>
    <row r="34" spans="2:33" x14ac:dyDescent="0.25">
      <c r="B34" s="48" t="s">
        <v>36</v>
      </c>
      <c r="C34" s="80"/>
      <c r="D34" s="68">
        <f t="shared" si="19"/>
        <v>7</v>
      </c>
      <c r="E34" s="68">
        <f t="shared" si="19"/>
        <v>14</v>
      </c>
      <c r="F34" s="68">
        <f t="shared" si="19"/>
        <v>21</v>
      </c>
      <c r="G34" s="81">
        <f t="shared" si="19"/>
        <v>28</v>
      </c>
      <c r="H34" s="80">
        <f t="shared" si="19"/>
        <v>4</v>
      </c>
      <c r="I34" s="68">
        <f t="shared" si="19"/>
        <v>11</v>
      </c>
      <c r="J34" s="68">
        <f t="shared" si="19"/>
        <v>18</v>
      </c>
      <c r="K34" s="68">
        <f t="shared" si="19"/>
        <v>25</v>
      </c>
      <c r="L34" s="81"/>
      <c r="M34" s="80">
        <f>M33+1</f>
        <v>3</v>
      </c>
      <c r="N34" s="68">
        <f t="shared" si="20"/>
        <v>10</v>
      </c>
      <c r="O34" s="68">
        <f t="shared" si="20"/>
        <v>17</v>
      </c>
      <c r="P34" s="68">
        <f t="shared" si="20"/>
        <v>24</v>
      </c>
      <c r="Q34" s="81">
        <f t="shared" si="20"/>
        <v>31</v>
      </c>
      <c r="R34" s="68"/>
      <c r="S34" s="68">
        <f t="shared" si="21"/>
        <v>7</v>
      </c>
      <c r="T34" s="68">
        <f t="shared" si="21"/>
        <v>14</v>
      </c>
      <c r="U34" s="68">
        <f t="shared" si="21"/>
        <v>21</v>
      </c>
      <c r="V34" s="81">
        <f t="shared" si="21"/>
        <v>28</v>
      </c>
      <c r="W34" s="80"/>
      <c r="X34" s="68">
        <f t="shared" si="23"/>
        <v>5</v>
      </c>
      <c r="Y34" s="68">
        <f t="shared" si="23"/>
        <v>12</v>
      </c>
      <c r="Z34" s="68">
        <f t="shared" si="23"/>
        <v>19</v>
      </c>
      <c r="AA34" s="68">
        <f t="shared" si="23"/>
        <v>26</v>
      </c>
      <c r="AB34" s="87"/>
      <c r="AC34" s="80">
        <f>AC33+1</f>
        <v>2</v>
      </c>
      <c r="AD34" s="68">
        <f t="shared" si="22"/>
        <v>9</v>
      </c>
      <c r="AE34" s="68">
        <f t="shared" si="22"/>
        <v>16</v>
      </c>
      <c r="AF34" s="68">
        <f t="shared" si="22"/>
        <v>23</v>
      </c>
      <c r="AG34" s="81">
        <f t="shared" si="22"/>
        <v>30</v>
      </c>
    </row>
    <row r="35" spans="2:33" x14ac:dyDescent="0.25">
      <c r="B35" s="48" t="s">
        <v>37</v>
      </c>
      <c r="C35" s="80">
        <v>1</v>
      </c>
      <c r="D35" s="68">
        <f t="shared" ref="D35:H36" si="24">D34+1</f>
        <v>8</v>
      </c>
      <c r="E35" s="68">
        <f t="shared" si="24"/>
        <v>15</v>
      </c>
      <c r="F35" s="68">
        <f t="shared" si="24"/>
        <v>22</v>
      </c>
      <c r="G35" s="81">
        <f t="shared" si="24"/>
        <v>29</v>
      </c>
      <c r="H35" s="80">
        <f t="shared" si="24"/>
        <v>5</v>
      </c>
      <c r="I35" s="68">
        <f t="shared" ref="I35:K37" si="25">I34+1</f>
        <v>12</v>
      </c>
      <c r="J35" s="68">
        <f t="shared" si="25"/>
        <v>19</v>
      </c>
      <c r="K35" s="68">
        <f t="shared" si="25"/>
        <v>26</v>
      </c>
      <c r="L35" s="81"/>
      <c r="M35" s="80">
        <f>M34+1</f>
        <v>4</v>
      </c>
      <c r="N35" s="68">
        <f t="shared" ref="N35:P37" si="26">N34+1</f>
        <v>11</v>
      </c>
      <c r="O35" s="68">
        <f t="shared" si="26"/>
        <v>18</v>
      </c>
      <c r="P35" s="68">
        <f t="shared" si="26"/>
        <v>25</v>
      </c>
      <c r="Q35" s="81"/>
      <c r="R35" s="68">
        <v>1</v>
      </c>
      <c r="S35" s="68">
        <f t="shared" si="21"/>
        <v>8</v>
      </c>
      <c r="T35" s="68">
        <f t="shared" si="21"/>
        <v>15</v>
      </c>
      <c r="U35" s="68">
        <f t="shared" si="21"/>
        <v>22</v>
      </c>
      <c r="V35" s="81">
        <f t="shared" si="21"/>
        <v>29</v>
      </c>
      <c r="W35" s="80"/>
      <c r="X35" s="68">
        <f t="shared" si="23"/>
        <v>6</v>
      </c>
      <c r="Y35" s="68">
        <f t="shared" si="23"/>
        <v>13</v>
      </c>
      <c r="Z35" s="68">
        <f t="shared" si="23"/>
        <v>20</v>
      </c>
      <c r="AA35" s="68">
        <f t="shared" si="23"/>
        <v>27</v>
      </c>
      <c r="AB35" s="87"/>
      <c r="AC35" s="80">
        <f>AC34+1</f>
        <v>3</v>
      </c>
      <c r="AD35" s="68">
        <f t="shared" ref="AD35:AF37" si="27">AD34+1</f>
        <v>10</v>
      </c>
      <c r="AE35" s="68">
        <f t="shared" si="27"/>
        <v>17</v>
      </c>
      <c r="AF35" s="68">
        <f t="shared" si="27"/>
        <v>24</v>
      </c>
      <c r="AG35" s="81"/>
    </row>
    <row r="36" spans="2:33" x14ac:dyDescent="0.25">
      <c r="B36" s="49" t="s">
        <v>38</v>
      </c>
      <c r="C36" s="61">
        <f t="shared" ref="C36:F37" si="28">C35+1</f>
        <v>2</v>
      </c>
      <c r="D36" s="62">
        <f t="shared" si="28"/>
        <v>9</v>
      </c>
      <c r="E36" s="62">
        <f t="shared" si="28"/>
        <v>16</v>
      </c>
      <c r="F36" s="62">
        <f t="shared" si="28"/>
        <v>23</v>
      </c>
      <c r="G36" s="63">
        <f t="shared" si="24"/>
        <v>30</v>
      </c>
      <c r="H36" s="61">
        <f t="shared" si="24"/>
        <v>6</v>
      </c>
      <c r="I36" s="62">
        <f t="shared" si="25"/>
        <v>13</v>
      </c>
      <c r="J36" s="62">
        <f t="shared" si="25"/>
        <v>20</v>
      </c>
      <c r="K36" s="62">
        <f t="shared" si="25"/>
        <v>27</v>
      </c>
      <c r="L36" s="58"/>
      <c r="M36" s="61">
        <f>M35+1</f>
        <v>5</v>
      </c>
      <c r="N36" s="62">
        <f t="shared" si="26"/>
        <v>12</v>
      </c>
      <c r="O36" s="62">
        <f t="shared" si="26"/>
        <v>19</v>
      </c>
      <c r="P36" s="62">
        <f t="shared" si="26"/>
        <v>26</v>
      </c>
      <c r="Q36" s="63"/>
      <c r="R36" s="62">
        <f>R35+1</f>
        <v>2</v>
      </c>
      <c r="S36" s="62">
        <f t="shared" si="21"/>
        <v>9</v>
      </c>
      <c r="T36" s="62">
        <f t="shared" si="21"/>
        <v>16</v>
      </c>
      <c r="U36" s="62">
        <f t="shared" si="21"/>
        <v>23</v>
      </c>
      <c r="V36" s="63">
        <f t="shared" si="21"/>
        <v>30</v>
      </c>
      <c r="W36" s="61"/>
      <c r="X36" s="62">
        <f t="shared" si="23"/>
        <v>7</v>
      </c>
      <c r="Y36" s="62">
        <f t="shared" si="23"/>
        <v>14</v>
      </c>
      <c r="Z36" s="62">
        <f t="shared" si="23"/>
        <v>21</v>
      </c>
      <c r="AA36" s="62">
        <f t="shared" si="23"/>
        <v>28</v>
      </c>
      <c r="AB36" s="87"/>
      <c r="AC36" s="61">
        <f>AC35+1</f>
        <v>4</v>
      </c>
      <c r="AD36" s="62">
        <f t="shared" si="27"/>
        <v>11</v>
      </c>
      <c r="AE36" s="62">
        <f t="shared" si="27"/>
        <v>18</v>
      </c>
      <c r="AF36" s="62">
        <f t="shared" si="27"/>
        <v>25</v>
      </c>
      <c r="AG36" s="58"/>
    </row>
    <row r="37" spans="2:33" ht="13.8" thickBot="1" x14ac:dyDescent="0.3">
      <c r="B37" s="50" t="s">
        <v>39</v>
      </c>
      <c r="C37" s="64">
        <f t="shared" si="28"/>
        <v>3</v>
      </c>
      <c r="D37" s="65">
        <f t="shared" si="28"/>
        <v>10</v>
      </c>
      <c r="E37" s="65">
        <f t="shared" si="28"/>
        <v>17</v>
      </c>
      <c r="F37" s="65">
        <f t="shared" si="28"/>
        <v>24</v>
      </c>
      <c r="G37" s="66">
        <f>G36+1</f>
        <v>31</v>
      </c>
      <c r="H37" s="64">
        <f>H36+1</f>
        <v>7</v>
      </c>
      <c r="I37" s="65">
        <f t="shared" si="25"/>
        <v>14</v>
      </c>
      <c r="J37" s="65">
        <f t="shared" si="25"/>
        <v>21</v>
      </c>
      <c r="K37" s="65">
        <f t="shared" si="25"/>
        <v>28</v>
      </c>
      <c r="L37" s="66"/>
      <c r="M37" s="64">
        <f>M36+1</f>
        <v>6</v>
      </c>
      <c r="N37" s="65">
        <f t="shared" si="26"/>
        <v>13</v>
      </c>
      <c r="O37" s="65">
        <f t="shared" si="26"/>
        <v>20</v>
      </c>
      <c r="P37" s="65">
        <f t="shared" si="26"/>
        <v>27</v>
      </c>
      <c r="Q37" s="66"/>
      <c r="R37" s="65">
        <f>R36+1</f>
        <v>3</v>
      </c>
      <c r="S37" s="65">
        <f>S36+1</f>
        <v>10</v>
      </c>
      <c r="T37" s="65">
        <f>T36+1</f>
        <v>17</v>
      </c>
      <c r="U37" s="65">
        <f>U36+1</f>
        <v>24</v>
      </c>
      <c r="V37" s="66"/>
      <c r="W37" s="64">
        <v>1</v>
      </c>
      <c r="X37" s="65">
        <f t="shared" si="23"/>
        <v>8</v>
      </c>
      <c r="Y37" s="65">
        <f t="shared" si="23"/>
        <v>15</v>
      </c>
      <c r="Z37" s="65">
        <f t="shared" si="23"/>
        <v>22</v>
      </c>
      <c r="AA37" s="65">
        <f t="shared" si="23"/>
        <v>29</v>
      </c>
      <c r="AB37" s="88"/>
      <c r="AC37" s="64">
        <f>AC36+1</f>
        <v>5</v>
      </c>
      <c r="AD37" s="65">
        <f t="shared" si="27"/>
        <v>12</v>
      </c>
      <c r="AE37" s="65">
        <f t="shared" si="27"/>
        <v>19</v>
      </c>
      <c r="AF37" s="65">
        <f t="shared" si="27"/>
        <v>26</v>
      </c>
      <c r="AG37" s="86"/>
    </row>
    <row r="38" spans="2:33" ht="13.8" thickBot="1" x14ac:dyDescent="0.3">
      <c r="B38" s="71"/>
      <c r="C38" s="71"/>
      <c r="D38" s="71"/>
      <c r="E38" s="71"/>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row>
    <row r="39" spans="2:33" ht="13.8" thickBot="1" x14ac:dyDescent="0.3">
      <c r="C39" s="347" t="s">
        <v>40</v>
      </c>
      <c r="D39" s="348"/>
      <c r="E39" s="348"/>
      <c r="F39" s="348"/>
      <c r="G39" s="348"/>
      <c r="H39" s="347" t="s">
        <v>41</v>
      </c>
      <c r="I39" s="348"/>
      <c r="J39" s="348"/>
      <c r="K39" s="348"/>
      <c r="L39" s="349"/>
      <c r="M39" s="350" t="s">
        <v>42</v>
      </c>
      <c r="N39" s="348"/>
      <c r="O39" s="348"/>
      <c r="P39" s="348"/>
      <c r="Q39" s="348"/>
      <c r="R39" s="347" t="s">
        <v>43</v>
      </c>
      <c r="S39" s="348"/>
      <c r="T39" s="348"/>
      <c r="U39" s="348"/>
      <c r="V39" s="348"/>
      <c r="W39" s="349"/>
      <c r="X39" s="347" t="s">
        <v>44</v>
      </c>
      <c r="Y39" s="348"/>
      <c r="Z39" s="348"/>
      <c r="AA39" s="348"/>
      <c r="AB39" s="349"/>
      <c r="AC39" s="347" t="s">
        <v>45</v>
      </c>
      <c r="AD39" s="348"/>
      <c r="AE39" s="348"/>
      <c r="AF39" s="348"/>
      <c r="AG39" s="349"/>
    </row>
    <row r="40" spans="2:33" ht="13.8" thickBot="1" x14ac:dyDescent="0.3">
      <c r="B40" s="46" t="s">
        <v>32</v>
      </c>
      <c r="C40" s="53">
        <v>27</v>
      </c>
      <c r="D40" s="54">
        <f>C40+1</f>
        <v>28</v>
      </c>
      <c r="E40" s="54">
        <f>D40+1</f>
        <v>29</v>
      </c>
      <c r="F40" s="54">
        <f>E40+1</f>
        <v>30</v>
      </c>
      <c r="G40" s="54">
        <f>F40+1</f>
        <v>31</v>
      </c>
      <c r="H40" s="53">
        <v>32</v>
      </c>
      <c r="I40" s="54">
        <f t="shared" ref="I40:Q40" si="29">H40+1</f>
        <v>33</v>
      </c>
      <c r="J40" s="54">
        <f t="shared" si="29"/>
        <v>34</v>
      </c>
      <c r="K40" s="54">
        <f t="shared" si="29"/>
        <v>35</v>
      </c>
      <c r="L40" s="55">
        <f t="shared" si="29"/>
        <v>36</v>
      </c>
      <c r="M40" s="54">
        <v>36</v>
      </c>
      <c r="N40" s="54">
        <f t="shared" si="29"/>
        <v>37</v>
      </c>
      <c r="O40" s="54">
        <f t="shared" si="29"/>
        <v>38</v>
      </c>
      <c r="P40" s="54">
        <f t="shared" si="29"/>
        <v>39</v>
      </c>
      <c r="Q40" s="55">
        <f t="shared" si="29"/>
        <v>40</v>
      </c>
      <c r="R40" s="53">
        <v>40</v>
      </c>
      <c r="S40" s="54">
        <f>R40+1</f>
        <v>41</v>
      </c>
      <c r="T40" s="54">
        <f>S40+1</f>
        <v>42</v>
      </c>
      <c r="U40" s="54">
        <f>T40+1</f>
        <v>43</v>
      </c>
      <c r="V40" s="54">
        <f>U40+1</f>
        <v>44</v>
      </c>
      <c r="W40" s="55">
        <f>V40+1</f>
        <v>45</v>
      </c>
      <c r="X40" s="54">
        <v>45</v>
      </c>
      <c r="Y40" s="54">
        <f t="shared" ref="Y40:AF40" si="30">X40+1</f>
        <v>46</v>
      </c>
      <c r="Z40" s="54">
        <f t="shared" si="30"/>
        <v>47</v>
      </c>
      <c r="AA40" s="54">
        <f t="shared" si="30"/>
        <v>48</v>
      </c>
      <c r="AB40" s="79">
        <f t="shared" si="30"/>
        <v>49</v>
      </c>
      <c r="AC40" s="53">
        <v>49</v>
      </c>
      <c r="AD40" s="54">
        <f t="shared" si="30"/>
        <v>50</v>
      </c>
      <c r="AE40" s="54">
        <f t="shared" si="30"/>
        <v>51</v>
      </c>
      <c r="AF40" s="54">
        <f t="shared" si="30"/>
        <v>52</v>
      </c>
      <c r="AG40" s="55">
        <v>1</v>
      </c>
    </row>
    <row r="41" spans="2:33" x14ac:dyDescent="0.25">
      <c r="B41" s="47" t="s">
        <v>33</v>
      </c>
      <c r="C41" s="80"/>
      <c r="D41" s="68">
        <f>C47+1</f>
        <v>4</v>
      </c>
      <c r="E41" s="68">
        <f>D47+1</f>
        <v>11</v>
      </c>
      <c r="F41" s="68">
        <f>E47+1</f>
        <v>18</v>
      </c>
      <c r="G41" s="82">
        <f>F47+1</f>
        <v>25</v>
      </c>
      <c r="H41" s="80">
        <v>1</v>
      </c>
      <c r="I41" s="68">
        <f>H47+1</f>
        <v>8</v>
      </c>
      <c r="J41" s="68">
        <f>I47+1</f>
        <v>15</v>
      </c>
      <c r="K41" s="68">
        <f>J47+1</f>
        <v>22</v>
      </c>
      <c r="L41" s="81">
        <f>K47+1</f>
        <v>29</v>
      </c>
      <c r="M41" s="68"/>
      <c r="N41" s="68">
        <f>M47+1</f>
        <v>5</v>
      </c>
      <c r="O41" s="68">
        <f>N47+1</f>
        <v>12</v>
      </c>
      <c r="P41" s="68">
        <f>O47+1</f>
        <v>19</v>
      </c>
      <c r="Q41" s="81">
        <f>P47+1</f>
        <v>26</v>
      </c>
      <c r="R41" s="80"/>
      <c r="S41" s="68">
        <f>R47+1</f>
        <v>3</v>
      </c>
      <c r="T41" s="68">
        <f>S47+1</f>
        <v>10</v>
      </c>
      <c r="U41" s="68">
        <f>T47+1</f>
        <v>17</v>
      </c>
      <c r="V41" s="68">
        <f>U47+1</f>
        <v>24</v>
      </c>
      <c r="W41" s="81">
        <f>V47+1</f>
        <v>31</v>
      </c>
      <c r="X41" s="68"/>
      <c r="Y41" s="68">
        <f>X47+1</f>
        <v>7</v>
      </c>
      <c r="Z41" s="68">
        <f>Y47+1</f>
        <v>14</v>
      </c>
      <c r="AA41" s="68">
        <f>Z47+1</f>
        <v>21</v>
      </c>
      <c r="AB41" s="81">
        <f>AA47+1</f>
        <v>28</v>
      </c>
      <c r="AC41" s="80"/>
      <c r="AD41" s="68">
        <f>AC47+1</f>
        <v>5</v>
      </c>
      <c r="AE41" s="68">
        <f>AD47+1</f>
        <v>12</v>
      </c>
      <c r="AF41" s="68">
        <f>AE47+1</f>
        <v>19</v>
      </c>
      <c r="AG41" s="81">
        <f>AF47+1</f>
        <v>26</v>
      </c>
    </row>
    <row r="42" spans="2:33" x14ac:dyDescent="0.25">
      <c r="B42" s="48" t="s">
        <v>34</v>
      </c>
      <c r="C42" s="68"/>
      <c r="D42" s="68">
        <f t="shared" ref="D42:L43" si="31">D41+1</f>
        <v>5</v>
      </c>
      <c r="E42" s="68">
        <f t="shared" si="31"/>
        <v>12</v>
      </c>
      <c r="F42" s="68">
        <f t="shared" si="31"/>
        <v>19</v>
      </c>
      <c r="G42" s="68">
        <f t="shared" si="31"/>
        <v>26</v>
      </c>
      <c r="H42" s="80">
        <f t="shared" si="31"/>
        <v>2</v>
      </c>
      <c r="I42" s="68">
        <f t="shared" si="31"/>
        <v>9</v>
      </c>
      <c r="J42" s="68">
        <f t="shared" si="31"/>
        <v>16</v>
      </c>
      <c r="K42" s="68">
        <f t="shared" si="31"/>
        <v>23</v>
      </c>
      <c r="L42" s="81">
        <f t="shared" si="31"/>
        <v>30</v>
      </c>
      <c r="M42" s="68"/>
      <c r="N42" s="68">
        <f t="shared" ref="N42:Q43" si="32">N41+1</f>
        <v>6</v>
      </c>
      <c r="O42" s="68">
        <f t="shared" si="32"/>
        <v>13</v>
      </c>
      <c r="P42" s="68">
        <f t="shared" si="32"/>
        <v>20</v>
      </c>
      <c r="Q42" s="81">
        <f t="shared" si="32"/>
        <v>27</v>
      </c>
      <c r="R42" s="80"/>
      <c r="S42" s="68">
        <f t="shared" ref="S42:V47" si="33">S41+1</f>
        <v>4</v>
      </c>
      <c r="T42" s="68">
        <f t="shared" si="33"/>
        <v>11</v>
      </c>
      <c r="U42" s="68">
        <f t="shared" si="33"/>
        <v>18</v>
      </c>
      <c r="V42" s="68">
        <f t="shared" si="33"/>
        <v>25</v>
      </c>
      <c r="W42" s="81"/>
      <c r="X42" s="68">
        <f t="shared" ref="X42:AB43" si="34">X41+1</f>
        <v>1</v>
      </c>
      <c r="Y42" s="68">
        <f t="shared" si="34"/>
        <v>8</v>
      </c>
      <c r="Z42" s="68">
        <f t="shared" si="34"/>
        <v>15</v>
      </c>
      <c r="AA42" s="68">
        <f t="shared" si="34"/>
        <v>22</v>
      </c>
      <c r="AB42" s="81">
        <f t="shared" si="34"/>
        <v>29</v>
      </c>
      <c r="AC42" s="80"/>
      <c r="AD42" s="68">
        <f t="shared" ref="AD42:AG44" si="35">AD41+1</f>
        <v>6</v>
      </c>
      <c r="AE42" s="68">
        <f t="shared" si="35"/>
        <v>13</v>
      </c>
      <c r="AF42" s="68">
        <f t="shared" si="35"/>
        <v>20</v>
      </c>
      <c r="AG42" s="81">
        <f t="shared" si="35"/>
        <v>27</v>
      </c>
    </row>
    <row r="43" spans="2:33" x14ac:dyDescent="0.25">
      <c r="B43" s="48" t="s">
        <v>35</v>
      </c>
      <c r="C43" s="68"/>
      <c r="D43" s="68">
        <f t="shared" si="31"/>
        <v>6</v>
      </c>
      <c r="E43" s="68">
        <f t="shared" si="31"/>
        <v>13</v>
      </c>
      <c r="F43" s="68">
        <f t="shared" si="31"/>
        <v>20</v>
      </c>
      <c r="G43" s="68">
        <f t="shared" si="31"/>
        <v>27</v>
      </c>
      <c r="H43" s="80">
        <f t="shared" si="31"/>
        <v>3</v>
      </c>
      <c r="I43" s="68">
        <f t="shared" si="31"/>
        <v>10</v>
      </c>
      <c r="J43" s="68">
        <f t="shared" si="31"/>
        <v>17</v>
      </c>
      <c r="K43" s="68">
        <f t="shared" si="31"/>
        <v>24</v>
      </c>
      <c r="L43" s="81">
        <f t="shared" si="31"/>
        <v>31</v>
      </c>
      <c r="M43" s="68"/>
      <c r="N43" s="68">
        <f t="shared" si="32"/>
        <v>7</v>
      </c>
      <c r="O43" s="68">
        <f t="shared" si="32"/>
        <v>14</v>
      </c>
      <c r="P43" s="68">
        <f t="shared" si="32"/>
        <v>21</v>
      </c>
      <c r="Q43" s="81">
        <f t="shared" si="32"/>
        <v>28</v>
      </c>
      <c r="R43" s="80"/>
      <c r="S43" s="68">
        <f t="shared" si="33"/>
        <v>5</v>
      </c>
      <c r="T43" s="68">
        <f t="shared" si="33"/>
        <v>12</v>
      </c>
      <c r="U43" s="68">
        <f t="shared" si="33"/>
        <v>19</v>
      </c>
      <c r="V43" s="68">
        <f t="shared" si="33"/>
        <v>26</v>
      </c>
      <c r="W43" s="81"/>
      <c r="X43" s="68">
        <f t="shared" si="34"/>
        <v>2</v>
      </c>
      <c r="Y43" s="68">
        <f t="shared" si="34"/>
        <v>9</v>
      </c>
      <c r="Z43" s="68">
        <f t="shared" si="34"/>
        <v>16</v>
      </c>
      <c r="AA43" s="68">
        <f t="shared" si="34"/>
        <v>23</v>
      </c>
      <c r="AB43" s="81">
        <f t="shared" si="34"/>
        <v>30</v>
      </c>
      <c r="AC43" s="80"/>
      <c r="AD43" s="68">
        <f t="shared" si="35"/>
        <v>7</v>
      </c>
      <c r="AE43" s="68">
        <f t="shared" si="35"/>
        <v>14</v>
      </c>
      <c r="AF43" s="68">
        <f t="shared" si="35"/>
        <v>21</v>
      </c>
      <c r="AG43" s="81">
        <f t="shared" si="35"/>
        <v>28</v>
      </c>
    </row>
    <row r="44" spans="2:33" x14ac:dyDescent="0.25">
      <c r="B44" s="48" t="s">
        <v>36</v>
      </c>
      <c r="C44" s="68"/>
      <c r="D44" s="68">
        <f t="shared" ref="D44:K47" si="36">D43+1</f>
        <v>7</v>
      </c>
      <c r="E44" s="68">
        <f t="shared" si="36"/>
        <v>14</v>
      </c>
      <c r="F44" s="68">
        <f t="shared" si="36"/>
        <v>21</v>
      </c>
      <c r="G44" s="68">
        <f t="shared" si="36"/>
        <v>28</v>
      </c>
      <c r="H44" s="80">
        <f t="shared" si="36"/>
        <v>4</v>
      </c>
      <c r="I44" s="68">
        <f t="shared" si="36"/>
        <v>11</v>
      </c>
      <c r="J44" s="68">
        <f t="shared" si="36"/>
        <v>18</v>
      </c>
      <c r="K44" s="68">
        <f t="shared" si="36"/>
        <v>25</v>
      </c>
      <c r="L44" s="81"/>
      <c r="M44" s="68">
        <f t="shared" ref="M44:P47" si="37">M43+1</f>
        <v>1</v>
      </c>
      <c r="N44" s="68">
        <f t="shared" si="37"/>
        <v>8</v>
      </c>
      <c r="O44" s="68">
        <f t="shared" si="37"/>
        <v>15</v>
      </c>
      <c r="P44" s="68">
        <f t="shared" si="37"/>
        <v>22</v>
      </c>
      <c r="Q44" s="81">
        <f>Q43+1</f>
        <v>29</v>
      </c>
      <c r="R44" s="80"/>
      <c r="S44" s="68">
        <f t="shared" si="33"/>
        <v>6</v>
      </c>
      <c r="T44" s="68">
        <f t="shared" si="33"/>
        <v>13</v>
      </c>
      <c r="U44" s="68">
        <f t="shared" si="33"/>
        <v>20</v>
      </c>
      <c r="V44" s="68">
        <f t="shared" si="33"/>
        <v>27</v>
      </c>
      <c r="W44" s="81"/>
      <c r="X44" s="68">
        <f t="shared" ref="X44:AA47" si="38">X43+1</f>
        <v>3</v>
      </c>
      <c r="Y44" s="68">
        <f t="shared" si="38"/>
        <v>10</v>
      </c>
      <c r="Z44" s="68">
        <f t="shared" si="38"/>
        <v>17</v>
      </c>
      <c r="AA44" s="68">
        <f t="shared" si="38"/>
        <v>24</v>
      </c>
      <c r="AB44" s="89"/>
      <c r="AC44" s="80">
        <f>AC43+1</f>
        <v>1</v>
      </c>
      <c r="AD44" s="68">
        <f t="shared" si="35"/>
        <v>8</v>
      </c>
      <c r="AE44" s="68">
        <f t="shared" si="35"/>
        <v>15</v>
      </c>
      <c r="AF44" s="68">
        <f t="shared" si="35"/>
        <v>22</v>
      </c>
      <c r="AG44" s="81">
        <f t="shared" si="35"/>
        <v>29</v>
      </c>
    </row>
    <row r="45" spans="2:33" x14ac:dyDescent="0.25">
      <c r="B45" s="48" t="s">
        <v>37</v>
      </c>
      <c r="C45" s="68">
        <v>1</v>
      </c>
      <c r="D45" s="68">
        <f t="shared" si="36"/>
        <v>8</v>
      </c>
      <c r="E45" s="68">
        <f t="shared" si="36"/>
        <v>15</v>
      </c>
      <c r="F45" s="68">
        <f t="shared" si="36"/>
        <v>22</v>
      </c>
      <c r="G45" s="68">
        <f t="shared" si="36"/>
        <v>29</v>
      </c>
      <c r="H45" s="80">
        <f t="shared" si="36"/>
        <v>5</v>
      </c>
      <c r="I45" s="68">
        <f t="shared" si="36"/>
        <v>12</v>
      </c>
      <c r="J45" s="68">
        <f t="shared" si="36"/>
        <v>19</v>
      </c>
      <c r="K45" s="68">
        <f t="shared" si="36"/>
        <v>26</v>
      </c>
      <c r="L45" s="81"/>
      <c r="M45" s="68">
        <f t="shared" si="37"/>
        <v>2</v>
      </c>
      <c r="N45" s="68">
        <f t="shared" si="37"/>
        <v>9</v>
      </c>
      <c r="O45" s="68">
        <f t="shared" si="37"/>
        <v>16</v>
      </c>
      <c r="P45" s="68">
        <f t="shared" si="37"/>
        <v>23</v>
      </c>
      <c r="Q45" s="81">
        <f>Q44+1</f>
        <v>30</v>
      </c>
      <c r="R45" s="80"/>
      <c r="S45" s="68">
        <f t="shared" si="33"/>
        <v>7</v>
      </c>
      <c r="T45" s="68">
        <f t="shared" si="33"/>
        <v>14</v>
      </c>
      <c r="U45" s="68">
        <f t="shared" si="33"/>
        <v>21</v>
      </c>
      <c r="V45" s="68">
        <f t="shared" si="33"/>
        <v>28</v>
      </c>
      <c r="W45" s="81"/>
      <c r="X45" s="68">
        <f t="shared" si="38"/>
        <v>4</v>
      </c>
      <c r="Y45" s="68">
        <f t="shared" si="38"/>
        <v>11</v>
      </c>
      <c r="Z45" s="68">
        <f t="shared" si="38"/>
        <v>18</v>
      </c>
      <c r="AA45" s="68">
        <f t="shared" si="38"/>
        <v>25</v>
      </c>
      <c r="AB45" s="89"/>
      <c r="AC45" s="80">
        <f>AC44+1</f>
        <v>2</v>
      </c>
      <c r="AD45" s="68">
        <f t="shared" ref="AD45:AG47" si="39">AD44+1</f>
        <v>9</v>
      </c>
      <c r="AE45" s="68">
        <f t="shared" si="39"/>
        <v>16</v>
      </c>
      <c r="AF45" s="68">
        <f t="shared" si="39"/>
        <v>23</v>
      </c>
      <c r="AG45" s="81">
        <f t="shared" si="39"/>
        <v>30</v>
      </c>
    </row>
    <row r="46" spans="2:33" x14ac:dyDescent="0.25">
      <c r="B46" s="49" t="s">
        <v>38</v>
      </c>
      <c r="C46" s="61">
        <f>C45+1</f>
        <v>2</v>
      </c>
      <c r="D46" s="62">
        <f t="shared" si="36"/>
        <v>9</v>
      </c>
      <c r="E46" s="62">
        <f t="shared" si="36"/>
        <v>16</v>
      </c>
      <c r="F46" s="62">
        <f t="shared" si="36"/>
        <v>23</v>
      </c>
      <c r="G46" s="63">
        <f t="shared" si="36"/>
        <v>30</v>
      </c>
      <c r="H46" s="61">
        <f t="shared" si="36"/>
        <v>6</v>
      </c>
      <c r="I46" s="62">
        <f t="shared" si="36"/>
        <v>13</v>
      </c>
      <c r="J46" s="62">
        <f t="shared" si="36"/>
        <v>20</v>
      </c>
      <c r="K46" s="62">
        <f t="shared" si="36"/>
        <v>27</v>
      </c>
      <c r="L46" s="63"/>
      <c r="M46" s="62">
        <f t="shared" si="37"/>
        <v>3</v>
      </c>
      <c r="N46" s="62">
        <f t="shared" si="37"/>
        <v>10</v>
      </c>
      <c r="O46" s="62">
        <f t="shared" si="37"/>
        <v>17</v>
      </c>
      <c r="P46" s="62">
        <f t="shared" si="37"/>
        <v>24</v>
      </c>
      <c r="Q46" s="63"/>
      <c r="R46" s="61">
        <f>R45+1</f>
        <v>1</v>
      </c>
      <c r="S46" s="62">
        <f t="shared" si="33"/>
        <v>8</v>
      </c>
      <c r="T46" s="62">
        <f t="shared" si="33"/>
        <v>15</v>
      </c>
      <c r="U46" s="62">
        <f t="shared" si="33"/>
        <v>22</v>
      </c>
      <c r="V46" s="62">
        <f t="shared" si="33"/>
        <v>29</v>
      </c>
      <c r="W46" s="63"/>
      <c r="X46" s="62">
        <f t="shared" si="38"/>
        <v>5</v>
      </c>
      <c r="Y46" s="62">
        <f t="shared" si="38"/>
        <v>12</v>
      </c>
      <c r="Z46" s="62">
        <f t="shared" si="38"/>
        <v>19</v>
      </c>
      <c r="AA46" s="62">
        <f t="shared" si="38"/>
        <v>26</v>
      </c>
      <c r="AB46" s="87"/>
      <c r="AC46" s="61">
        <f>AC45+1</f>
        <v>3</v>
      </c>
      <c r="AD46" s="62">
        <f t="shared" si="39"/>
        <v>10</v>
      </c>
      <c r="AE46" s="62">
        <f t="shared" si="39"/>
        <v>17</v>
      </c>
      <c r="AF46" s="62">
        <f t="shared" si="39"/>
        <v>24</v>
      </c>
      <c r="AG46" s="63">
        <f t="shared" si="39"/>
        <v>31</v>
      </c>
    </row>
    <row r="47" spans="2:33" ht="13.8" thickBot="1" x14ac:dyDescent="0.3">
      <c r="B47" s="50" t="s">
        <v>39</v>
      </c>
      <c r="C47" s="64">
        <f>C46+1</f>
        <v>3</v>
      </c>
      <c r="D47" s="65">
        <f t="shared" si="36"/>
        <v>10</v>
      </c>
      <c r="E47" s="65">
        <f t="shared" si="36"/>
        <v>17</v>
      </c>
      <c r="F47" s="65">
        <f t="shared" si="36"/>
        <v>24</v>
      </c>
      <c r="G47" s="66">
        <f t="shared" si="36"/>
        <v>31</v>
      </c>
      <c r="H47" s="64">
        <f t="shared" si="36"/>
        <v>7</v>
      </c>
      <c r="I47" s="65">
        <f t="shared" si="36"/>
        <v>14</v>
      </c>
      <c r="J47" s="65">
        <f t="shared" si="36"/>
        <v>21</v>
      </c>
      <c r="K47" s="65">
        <f t="shared" si="36"/>
        <v>28</v>
      </c>
      <c r="L47" s="66"/>
      <c r="M47" s="65">
        <f t="shared" si="37"/>
        <v>4</v>
      </c>
      <c r="N47" s="65">
        <f t="shared" si="37"/>
        <v>11</v>
      </c>
      <c r="O47" s="65">
        <f t="shared" si="37"/>
        <v>18</v>
      </c>
      <c r="P47" s="65">
        <f t="shared" si="37"/>
        <v>25</v>
      </c>
      <c r="Q47" s="66"/>
      <c r="R47" s="64">
        <f>R46+1</f>
        <v>2</v>
      </c>
      <c r="S47" s="65">
        <f t="shared" si="33"/>
        <v>9</v>
      </c>
      <c r="T47" s="65">
        <f t="shared" si="33"/>
        <v>16</v>
      </c>
      <c r="U47" s="65">
        <f t="shared" si="33"/>
        <v>23</v>
      </c>
      <c r="V47" s="65">
        <f t="shared" si="33"/>
        <v>30</v>
      </c>
      <c r="W47" s="66"/>
      <c r="X47" s="65">
        <f t="shared" si="38"/>
        <v>6</v>
      </c>
      <c r="Y47" s="65">
        <f t="shared" si="38"/>
        <v>13</v>
      </c>
      <c r="Z47" s="65">
        <f t="shared" si="38"/>
        <v>20</v>
      </c>
      <c r="AA47" s="65">
        <f t="shared" si="38"/>
        <v>27</v>
      </c>
      <c r="AB47" s="88"/>
      <c r="AC47" s="64">
        <f>AC46+1</f>
        <v>4</v>
      </c>
      <c r="AD47" s="65">
        <f t="shared" si="39"/>
        <v>11</v>
      </c>
      <c r="AE47" s="65">
        <f t="shared" si="39"/>
        <v>18</v>
      </c>
      <c r="AF47" s="65">
        <f t="shared" si="39"/>
        <v>25</v>
      </c>
      <c r="AG47" s="66"/>
    </row>
  </sheetData>
  <mergeCells count="26">
    <mergeCell ref="X39:AB39"/>
    <mergeCell ref="AC39:AG39"/>
    <mergeCell ref="AC29:AG29"/>
    <mergeCell ref="B26:G26"/>
    <mergeCell ref="C29:G29"/>
    <mergeCell ref="H29:L29"/>
    <mergeCell ref="R29:V29"/>
    <mergeCell ref="C39:G39"/>
    <mergeCell ref="H39:L39"/>
    <mergeCell ref="M39:Q39"/>
    <mergeCell ref="M29:Q29"/>
    <mergeCell ref="W29:AB29"/>
    <mergeCell ref="R39:W39"/>
    <mergeCell ref="X5:AB5"/>
    <mergeCell ref="C15:G15"/>
    <mergeCell ref="N15:R15"/>
    <mergeCell ref="S15:W15"/>
    <mergeCell ref="X15:AC15"/>
    <mergeCell ref="AC5:AG5"/>
    <mergeCell ref="AD15:AH15"/>
    <mergeCell ref="H15:M15"/>
    <mergeCell ref="B2:G2"/>
    <mergeCell ref="C5:G5"/>
    <mergeCell ref="H5:L5"/>
    <mergeCell ref="M5:R5"/>
    <mergeCell ref="S5:W5"/>
  </mergeCells>
  <phoneticPr fontId="13" type="noConversion"/>
  <printOptions horizontalCentered="1"/>
  <pageMargins left="0.19" right="0.17" top="1" bottom="1" header="0.5" footer="0.5"/>
  <pageSetup paperSize="3" pageOrder="overThenDown" orientation="landscape" r:id="rId1"/>
  <headerFooter alignWithMargins="0">
    <oddHeader>&amp;R&amp;"Arial,Bold Italic"Document #: 1200-0002
Revision Date: 04/01/2014</oddHeader>
  </headerFooter>
  <customProperties>
    <customPr name="%startcell%" r:id="rId2"/>
  </customPropertie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Graphical Overview</vt:lpstr>
      <vt:lpstr>Data</vt:lpstr>
      <vt:lpstr>Key</vt:lpstr>
      <vt:lpstr>WK Conversion</vt:lpstr>
      <vt:lpstr>Acieta Calendar</vt:lpstr>
      <vt:lpstr>Locator</vt:lpstr>
      <vt:lpstr>'Acieta Calendar'!Print_Area</vt:lpstr>
      <vt:lpstr>Data!Print_Area</vt:lpstr>
      <vt:lpstr>'Graphical Overview'!Print_Area</vt:lpstr>
      <vt:lpstr>'WK Conversion'!Print_Area</vt:lpstr>
      <vt:lpstr>Data!Print_Titles</vt:lpstr>
      <vt:lpstr>'Graphical Overview'!Print_Titles</vt:lpstr>
    </vt:vector>
  </TitlesOfParts>
  <Company>Automated Concepts,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Mischnick</dc:creator>
  <cp:lastModifiedBy>Samuel Dowds</cp:lastModifiedBy>
  <cp:lastPrinted>2019-07-30T21:20:09Z</cp:lastPrinted>
  <dcterms:created xsi:type="dcterms:W3CDTF">2007-11-14T19:47:19Z</dcterms:created>
  <dcterms:modified xsi:type="dcterms:W3CDTF">2019-08-01T23:33:57Z</dcterms:modified>
</cp:coreProperties>
</file>